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8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1" l="1"/>
  <c r="P111"/>
  <c r="I111"/>
  <c r="O111"/>
  <c r="N111"/>
  <c r="L111"/>
  <c r="K111"/>
  <c r="J111"/>
  <c r="H111"/>
  <c r="G111"/>
  <c r="F111"/>
  <c r="E111"/>
  <c r="M111"/>
  <c r="D111"/>
  <c r="C111"/>
  <c r="B111"/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L36" i="39"/>
  <c r="I36"/>
  <c r="J35"/>
  <c r="I35"/>
  <c r="F35"/>
  <c r="E35"/>
  <c r="D35"/>
  <c r="G34"/>
  <c r="F34"/>
  <c r="L33"/>
  <c r="M32"/>
  <c r="Q31"/>
  <c r="N31"/>
  <c r="G31"/>
  <c r="K30"/>
  <c r="Q28"/>
  <c r="G28"/>
  <c r="A28"/>
  <c r="B27"/>
  <c r="D25"/>
  <c r="C25"/>
  <c r="Q22"/>
  <c r="N22"/>
  <c r="H21"/>
  <c r="I20"/>
  <c r="J19"/>
  <c r="I19"/>
  <c r="K18"/>
  <c r="M16"/>
  <c r="N15"/>
  <c r="O14"/>
  <c r="Q12"/>
  <c r="A12"/>
  <c r="B11"/>
  <c r="C10"/>
  <c r="B10"/>
  <c r="Q112" i="41"/>
  <c r="P112"/>
  <c r="O112"/>
  <c r="N112"/>
  <c r="M112"/>
  <c r="L112"/>
  <c r="K111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2" i="44"/>
  <c r="P112"/>
  <c r="O111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K108"/>
  <c r="K36" i="39" s="1"/>
  <c r="J108" i="33"/>
  <c r="J36" i="39" s="1"/>
  <c r="I108" i="33"/>
  <c r="H108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I108"/>
  <c r="H108"/>
  <c r="H35" i="39" s="1"/>
  <c r="G108" i="32"/>
  <c r="G35" i="39" s="1"/>
  <c r="F108" i="32"/>
  <c r="E108"/>
  <c r="D108"/>
  <c r="C108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F108"/>
  <c r="E108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K108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L108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L112" i="28"/>
  <c r="Q110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1" i="39" s="1"/>
  <c r="O108" i="28"/>
  <c r="O31" i="39" s="1"/>
  <c r="N108" i="28"/>
  <c r="M10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F10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J108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F108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2"/>
  <c r="H112"/>
  <c r="G112"/>
  <c r="F112"/>
  <c r="E112"/>
  <c r="D112"/>
  <c r="C112"/>
  <c r="B11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C108"/>
  <c r="B108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2" i="39" s="1"/>
  <c r="O108" i="19"/>
  <c r="O22" i="39" s="1"/>
  <c r="N108" i="19"/>
  <c r="M108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G10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H108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9"/>
  <c r="P19"/>
  <c r="O19"/>
  <c r="N19"/>
  <c r="M19"/>
  <c r="L19"/>
  <c r="K19"/>
  <c r="H19"/>
  <c r="G19"/>
  <c r="F19"/>
  <c r="E19"/>
  <c r="D19"/>
  <c r="C19"/>
  <c r="B19"/>
  <c r="A19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J108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2" i="14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2" i="13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L108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2" i="12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M108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N108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2" i="10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8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1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2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1" s="1"/>
  <c r="G110"/>
  <c r="G111" s="1"/>
  <c r="F110"/>
  <c r="F111" s="1"/>
  <c r="E112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9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D107"/>
  <c r="C107"/>
  <c r="B107"/>
  <c r="Q106"/>
  <c r="P106"/>
  <c r="O106"/>
  <c r="N106"/>
  <c r="M106"/>
  <c r="L106"/>
  <c r="K106"/>
  <c r="J106"/>
  <c r="I106"/>
  <c r="H106"/>
  <c r="G106"/>
  <c r="F106"/>
  <c r="D106"/>
  <c r="C106"/>
  <c r="B106"/>
  <c r="B2"/>
  <c r="A9" i="39" s="1"/>
  <c r="B2" s="1"/>
  <c r="D2" i="5" s="1"/>
  <c r="J111" i="41" l="1"/>
  <c r="I111"/>
  <c r="H111"/>
  <c r="G111"/>
  <c r="F111"/>
  <c r="E111"/>
  <c r="D111"/>
  <c r="C111"/>
  <c r="B111"/>
  <c r="Q111"/>
  <c r="P111"/>
  <c r="K112"/>
  <c r="O111"/>
  <c r="N111"/>
  <c r="M111"/>
  <c r="L111"/>
  <c r="M111" i="40"/>
  <c r="L111"/>
  <c r="K111"/>
  <c r="J111"/>
  <c r="I111"/>
  <c r="H111"/>
  <c r="G111"/>
  <c r="F111"/>
  <c r="E111"/>
  <c r="D111"/>
  <c r="C111"/>
  <c r="B111"/>
  <c r="Q111"/>
  <c r="P111"/>
  <c r="O111"/>
  <c r="N111"/>
  <c r="N111" i="44"/>
  <c r="M111"/>
  <c r="L111"/>
  <c r="K111"/>
  <c r="J111"/>
  <c r="I111"/>
  <c r="H111"/>
  <c r="G111"/>
  <c r="F111"/>
  <c r="O112"/>
  <c r="E111"/>
  <c r="D111"/>
  <c r="C111"/>
  <c r="B111"/>
  <c r="Q111"/>
  <c r="P111"/>
  <c r="O111" i="33"/>
  <c r="N111"/>
  <c r="M111"/>
  <c r="L111"/>
  <c r="K111"/>
  <c r="J111"/>
  <c r="I111"/>
  <c r="H111"/>
  <c r="G111"/>
  <c r="F111"/>
  <c r="E111"/>
  <c r="D111"/>
  <c r="C111"/>
  <c r="B111"/>
  <c r="Q111"/>
  <c r="P111"/>
  <c r="L111" i="32"/>
  <c r="J111"/>
  <c r="K111"/>
  <c r="I111"/>
  <c r="H112"/>
  <c r="E111"/>
  <c r="D111"/>
  <c r="C111"/>
  <c r="B111"/>
  <c r="G112"/>
  <c r="F111"/>
  <c r="Q111"/>
  <c r="P111"/>
  <c r="O111"/>
  <c r="N111"/>
  <c r="M111"/>
  <c r="L111" i="31"/>
  <c r="K111"/>
  <c r="J111"/>
  <c r="H112"/>
  <c r="I111"/>
  <c r="G112"/>
  <c r="F111"/>
  <c r="E111"/>
  <c r="D111"/>
  <c r="C111"/>
  <c r="B111"/>
  <c r="Q111"/>
  <c r="P111"/>
  <c r="O111"/>
  <c r="N111"/>
  <c r="M111"/>
  <c r="L111" i="30"/>
  <c r="K111"/>
  <c r="J111"/>
  <c r="I111"/>
  <c r="H111"/>
  <c r="G111"/>
  <c r="F111"/>
  <c r="E111"/>
  <c r="D111"/>
  <c r="C111"/>
  <c r="B111"/>
  <c r="M112"/>
  <c r="Q111"/>
  <c r="P111"/>
  <c r="O111"/>
  <c r="N111"/>
  <c r="N112" i="29"/>
  <c r="M111"/>
  <c r="L111"/>
  <c r="K111"/>
  <c r="J111"/>
  <c r="I111"/>
  <c r="H111"/>
  <c r="G111"/>
  <c r="F111"/>
  <c r="E111"/>
  <c r="D111"/>
  <c r="C111"/>
  <c r="B111"/>
  <c r="Q111"/>
  <c r="P111"/>
  <c r="O111"/>
  <c r="K111" i="28"/>
  <c r="J111"/>
  <c r="I111"/>
  <c r="H111"/>
  <c r="G111"/>
  <c r="F111"/>
  <c r="E111"/>
  <c r="D111"/>
  <c r="C111"/>
  <c r="B111"/>
  <c r="Q111"/>
  <c r="M111"/>
  <c r="P111"/>
  <c r="O111"/>
  <c r="N111"/>
  <c r="N111" i="27"/>
  <c r="M111"/>
  <c r="L111"/>
  <c r="K111"/>
  <c r="J112"/>
  <c r="H111"/>
  <c r="I112"/>
  <c r="G111"/>
  <c r="F111"/>
  <c r="E111"/>
  <c r="D111"/>
  <c r="C111"/>
  <c r="B111"/>
  <c r="Q111"/>
  <c r="P111"/>
  <c r="O111"/>
  <c r="N111" i="26"/>
  <c r="P111"/>
  <c r="O112"/>
  <c r="M111"/>
  <c r="L111"/>
  <c r="K111"/>
  <c r="J111"/>
  <c r="I111"/>
  <c r="H111"/>
  <c r="G111"/>
  <c r="F111"/>
  <c r="E111"/>
  <c r="D111"/>
  <c r="C111"/>
  <c r="B111"/>
  <c r="Q111"/>
  <c r="O111" i="25"/>
  <c r="N111"/>
  <c r="M111"/>
  <c r="L111"/>
  <c r="K111"/>
  <c r="J111"/>
  <c r="I111"/>
  <c r="H111"/>
  <c r="G111"/>
  <c r="F111"/>
  <c r="E111"/>
  <c r="D111"/>
  <c r="C111"/>
  <c r="B111"/>
  <c r="Q111"/>
  <c r="P111"/>
  <c r="O111" i="24"/>
  <c r="N111"/>
  <c r="M111"/>
  <c r="L111"/>
  <c r="K111"/>
  <c r="J111"/>
  <c r="I111"/>
  <c r="H111"/>
  <c r="G111"/>
  <c r="P111"/>
  <c r="F111"/>
  <c r="E111"/>
  <c r="D111"/>
  <c r="C111"/>
  <c r="B111"/>
  <c r="Q111"/>
  <c r="Q111" i="23"/>
  <c r="P111"/>
  <c r="O111"/>
  <c r="B112"/>
  <c r="N111"/>
  <c r="M111"/>
  <c r="L111"/>
  <c r="K111"/>
  <c r="J111"/>
  <c r="I111"/>
  <c r="H111"/>
  <c r="G111"/>
  <c r="F111"/>
  <c r="E111"/>
  <c r="D111"/>
  <c r="C111"/>
  <c r="O111" i="22"/>
  <c r="B111"/>
  <c r="N111"/>
  <c r="M111"/>
  <c r="L111"/>
  <c r="K111"/>
  <c r="Q112"/>
  <c r="J111"/>
  <c r="I111"/>
  <c r="H111"/>
  <c r="P111"/>
  <c r="G111"/>
  <c r="F111"/>
  <c r="E111"/>
  <c r="D111"/>
  <c r="C111"/>
  <c r="D111" i="21"/>
  <c r="C111"/>
  <c r="B111"/>
  <c r="Q111"/>
  <c r="P111"/>
  <c r="O111"/>
  <c r="N111"/>
  <c r="M111"/>
  <c r="L111"/>
  <c r="K111"/>
  <c r="J111"/>
  <c r="I111"/>
  <c r="H111"/>
  <c r="G111"/>
  <c r="F111"/>
  <c r="E111"/>
  <c r="F111" i="20"/>
  <c r="E111"/>
  <c r="D111"/>
  <c r="C111"/>
  <c r="B111"/>
  <c r="Q111"/>
  <c r="P111"/>
  <c r="O111"/>
  <c r="N111"/>
  <c r="M111"/>
  <c r="L111"/>
  <c r="K111"/>
  <c r="J111"/>
  <c r="I111"/>
  <c r="H111"/>
  <c r="G111"/>
  <c r="F111" i="19"/>
  <c r="E111"/>
  <c r="D111"/>
  <c r="C111"/>
  <c r="B111"/>
  <c r="Q111"/>
  <c r="P111"/>
  <c r="O111"/>
  <c r="N111"/>
  <c r="M111"/>
  <c r="L111"/>
  <c r="K111"/>
  <c r="J111"/>
  <c r="I111"/>
  <c r="H111"/>
  <c r="G111"/>
  <c r="F111" i="18"/>
  <c r="E111"/>
  <c r="D111"/>
  <c r="C111"/>
  <c r="G112"/>
  <c r="B111"/>
  <c r="Q111"/>
  <c r="P111"/>
  <c r="O111"/>
  <c r="N111"/>
  <c r="M111"/>
  <c r="L111"/>
  <c r="K111"/>
  <c r="J111"/>
  <c r="I111"/>
  <c r="H111"/>
  <c r="H112" i="17"/>
  <c r="G111"/>
  <c r="F111"/>
  <c r="E111"/>
  <c r="D111"/>
  <c r="C111"/>
  <c r="B111"/>
  <c r="Q111"/>
  <c r="P111"/>
  <c r="O111"/>
  <c r="N111"/>
  <c r="M111"/>
  <c r="L111"/>
  <c r="K111"/>
  <c r="J111"/>
  <c r="I111"/>
  <c r="H111" i="15"/>
  <c r="G111"/>
  <c r="I111"/>
  <c r="F111"/>
  <c r="E111"/>
  <c r="D111"/>
  <c r="C111"/>
  <c r="B111"/>
  <c r="Q111"/>
  <c r="P111"/>
  <c r="O111"/>
  <c r="N111"/>
  <c r="M111"/>
  <c r="L111"/>
  <c r="K111"/>
  <c r="J111"/>
  <c r="K111" i="14"/>
  <c r="J111"/>
  <c r="I111"/>
  <c r="H111"/>
  <c r="G111"/>
  <c r="F111"/>
  <c r="E111"/>
  <c r="D111"/>
  <c r="C111"/>
  <c r="B111"/>
  <c r="Q111"/>
  <c r="P111"/>
  <c r="O111"/>
  <c r="N111"/>
  <c r="M111"/>
  <c r="L111"/>
  <c r="L111" i="13"/>
  <c r="K112"/>
  <c r="J111"/>
  <c r="I111"/>
  <c r="H111"/>
  <c r="G111"/>
  <c r="F111"/>
  <c r="E111"/>
  <c r="D111"/>
  <c r="C111"/>
  <c r="B111"/>
  <c r="Q111"/>
  <c r="P111"/>
  <c r="O111"/>
  <c r="N111"/>
  <c r="M111"/>
  <c r="K111" i="12"/>
  <c r="M111"/>
  <c r="J111"/>
  <c r="I111"/>
  <c r="H111"/>
  <c r="G111"/>
  <c r="F111"/>
  <c r="E111"/>
  <c r="D111"/>
  <c r="C111"/>
  <c r="B111"/>
  <c r="Q111"/>
  <c r="P111"/>
  <c r="L112"/>
  <c r="O111"/>
  <c r="N111"/>
  <c r="M111" i="11"/>
  <c r="L111"/>
  <c r="K111"/>
  <c r="J111"/>
  <c r="I111"/>
  <c r="H111"/>
  <c r="G111"/>
  <c r="N111"/>
  <c r="F111"/>
  <c r="E111"/>
  <c r="D111"/>
  <c r="C111"/>
  <c r="B111"/>
  <c r="Q111"/>
  <c r="P111"/>
  <c r="O111"/>
  <c r="O111" i="10"/>
  <c r="N111"/>
  <c r="M111"/>
  <c r="L111"/>
  <c r="K111"/>
  <c r="J111"/>
  <c r="I111"/>
  <c r="H111"/>
  <c r="P111"/>
  <c r="G111"/>
  <c r="F111"/>
  <c r="E111"/>
  <c r="D111"/>
  <c r="C111"/>
  <c r="B111"/>
  <c r="Q111"/>
  <c r="O111" i="9"/>
  <c r="N111"/>
  <c r="M111"/>
  <c r="L111"/>
  <c r="K111"/>
  <c r="J111"/>
  <c r="I111"/>
  <c r="H111"/>
  <c r="G111"/>
  <c r="F111"/>
  <c r="P112"/>
  <c r="E111"/>
  <c r="D111"/>
  <c r="C111"/>
  <c r="B111"/>
  <c r="Q111"/>
  <c r="P111" i="8"/>
  <c r="O111"/>
  <c r="N111"/>
  <c r="M111"/>
  <c r="L111"/>
  <c r="K111"/>
  <c r="J111"/>
  <c r="I111"/>
  <c r="Q112"/>
  <c r="H111"/>
  <c r="G111"/>
  <c r="F111"/>
  <c r="E111"/>
  <c r="D111"/>
  <c r="C111"/>
  <c r="B111"/>
  <c r="O111" i="3"/>
  <c r="N111"/>
  <c r="M111"/>
  <c r="L111"/>
  <c r="K111"/>
  <c r="Q112"/>
  <c r="J111"/>
  <c r="I111"/>
  <c r="P112"/>
  <c r="H111"/>
  <c r="G111"/>
  <c r="F111"/>
  <c r="E111"/>
  <c r="D111"/>
  <c r="C111"/>
  <c r="B111"/>
  <c r="P45" i="39"/>
  <c r="P44"/>
  <c r="P43"/>
  <c r="P42"/>
  <c r="P41"/>
  <c r="O45"/>
  <c r="O44"/>
  <c r="O43"/>
  <c r="O42"/>
  <c r="O41"/>
  <c r="N45"/>
  <c r="N44"/>
  <c r="N43"/>
  <c r="N42"/>
  <c r="N41"/>
  <c r="M45"/>
  <c r="M44"/>
  <c r="M43"/>
  <c r="M42"/>
  <c r="M41"/>
  <c r="L45"/>
  <c r="L44"/>
  <c r="L43"/>
  <c r="L42"/>
  <c r="L41"/>
  <c r="K44"/>
  <c r="K45"/>
  <c r="K43"/>
  <c r="K42"/>
  <c r="K41"/>
  <c r="J44"/>
  <c r="J42"/>
  <c r="J45"/>
  <c r="J43"/>
  <c r="J41"/>
  <c r="B45"/>
  <c r="B44"/>
  <c r="B43"/>
  <c r="B42"/>
  <c r="B41"/>
  <c r="I45"/>
  <c r="I44"/>
  <c r="I43"/>
  <c r="I42"/>
  <c r="I41"/>
  <c r="H44"/>
  <c r="H41"/>
  <c r="H45"/>
  <c r="H43"/>
  <c r="H42"/>
  <c r="G44"/>
  <c r="G41"/>
  <c r="G45"/>
  <c r="G43"/>
  <c r="G42"/>
  <c r="F45"/>
  <c r="F43"/>
  <c r="F42"/>
  <c r="F44"/>
  <c r="F41"/>
  <c r="E45"/>
  <c r="E44"/>
  <c r="E43"/>
  <c r="E42"/>
  <c r="E41"/>
  <c r="Q45"/>
  <c r="Q44"/>
  <c r="Q43"/>
  <c r="Q42"/>
  <c r="Q41"/>
  <c r="D45"/>
  <c r="D43"/>
  <c r="D42"/>
  <c r="D44"/>
  <c r="D41"/>
  <c r="C45"/>
  <c r="C44"/>
  <c r="C43"/>
  <c r="C42"/>
  <c r="C41"/>
  <c r="I112" i="2"/>
  <c r="H112"/>
  <c r="G112"/>
  <c r="F112"/>
  <c r="E111"/>
  <c r="D111"/>
  <c r="C111"/>
  <c r="B112"/>
  <c r="Q111"/>
  <c r="P111"/>
  <c r="O111"/>
  <c r="N111"/>
  <c r="M111"/>
  <c r="L111"/>
  <c r="K111"/>
  <c r="J111"/>
  <c r="P47" i="39" l="1"/>
  <c r="P46"/>
  <c r="Q47"/>
  <c r="Q46"/>
  <c r="J46"/>
  <c r="J47"/>
  <c r="B47"/>
  <c r="B46"/>
  <c r="L47"/>
  <c r="L46"/>
  <c r="O47"/>
  <c r="O46"/>
  <c r="G47"/>
  <c r="G46"/>
  <c r="F47"/>
  <c r="F46"/>
  <c r="I47"/>
  <c r="I46"/>
  <c r="D47"/>
  <c r="D46"/>
  <c r="N47"/>
  <c r="N46"/>
  <c r="H46"/>
  <c r="H47"/>
  <c r="E47"/>
  <c r="E46"/>
  <c r="K47"/>
  <c r="K46"/>
  <c r="C47"/>
  <c r="C46"/>
  <c r="M47"/>
  <c r="M46"/>
</calcChain>
</file>

<file path=xl/sharedStrings.xml><?xml version="1.0" encoding="utf-8"?>
<sst xmlns="http://schemas.openxmlformats.org/spreadsheetml/2006/main" count="6166" uniqueCount="3214">
  <si>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</si>
  <si>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</si>
  <si>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</si>
  <si>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</si>
  <si>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</si>
  <si>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</si>
  <si>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</si>
  <si>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</si>
  <si>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</si>
  <si>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</si>
  <si>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</si>
  <si>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</si>
  <si>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</si>
  <si>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</si>
  <si>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</si>
  <si>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</si>
  <si>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</si>
  <si>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</si>
  <si>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</si>
  <si>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</si>
  <si>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</si>
  <si>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</si>
  <si>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</si>
  <si>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</si>
  <si>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</si>
  <si>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</si>
  <si>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</si>
  <si>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</si>
  <si>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</si>
  <si>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</si>
  <si>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</si>
  <si>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</si>
  <si>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</si>
  <si>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</si>
  <si>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</si>
  <si>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</si>
  <si>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</si>
  <si>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</si>
  <si>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</si>
  <si>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</si>
  <si>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</si>
  <si>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</si>
  <si>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</si>
  <si>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</si>
  <si>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</si>
  <si>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</si>
  <si>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</si>
  <si>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</si>
  <si>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</si>
  <si>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</si>
  <si>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</si>
  <si>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</si>
  <si>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</si>
  <si>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</si>
  <si>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</si>
  <si>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</si>
  <si>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</si>
  <si>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</si>
  <si>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</si>
  <si>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</si>
  <si>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</si>
  <si>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</si>
  <si>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</si>
  <si>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</si>
  <si>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</si>
  <si>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</si>
  <si>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</si>
  <si>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</si>
  <si>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</si>
  <si>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</si>
  <si>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</si>
  <si>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</si>
  <si>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</si>
  <si>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</si>
  <si>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</si>
  <si>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</si>
  <si>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</si>
  <si>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</si>
  <si>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</si>
  <si>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</si>
  <si>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</si>
  <si>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</si>
  <si>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</si>
  <si>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</si>
  <si>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</si>
  <si>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</si>
  <si>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</si>
  <si>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</si>
  <si>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</si>
  <si>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</si>
  <si>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</si>
  <si>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</si>
  <si>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</si>
  <si>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</si>
  <si>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</si>
  <si>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</si>
  <si>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</si>
  <si>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</si>
  <si>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</si>
  <si>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</si>
  <si>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</si>
  <si>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</si>
  <si>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</si>
  <si>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</si>
  <si>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</si>
  <si>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</si>
  <si>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</si>
  <si>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</si>
  <si>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</si>
  <si>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</si>
  <si>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</si>
  <si>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</si>
  <si>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</si>
  <si>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</si>
  <si>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</si>
  <si>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</si>
  <si>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</si>
  <si>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</si>
  <si>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</si>
  <si>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</si>
  <si>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</si>
  <si>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</si>
  <si>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</si>
  <si>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</si>
  <si>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</si>
  <si>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</si>
  <si>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</si>
  <si>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</si>
  <si>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</si>
  <si>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</si>
  <si>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</si>
  <si>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</si>
  <si>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</si>
  <si>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</si>
  <si>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</si>
  <si>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</si>
  <si>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</si>
  <si>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</si>
  <si>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</si>
  <si>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</si>
  <si>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</si>
  <si>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</si>
  <si>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</si>
  <si>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</si>
  <si>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</si>
  <si>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</si>
  <si>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</si>
  <si>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</si>
  <si>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</si>
  <si>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</si>
  <si>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</si>
  <si>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</si>
  <si>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</si>
  <si>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</si>
  <si>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</si>
  <si>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</si>
  <si>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</si>
  <si>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</si>
  <si>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</si>
  <si>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</si>
  <si>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</si>
  <si>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</si>
  <si>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</si>
  <si>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</si>
  <si>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</si>
  <si>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</si>
  <si>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</si>
  <si>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</si>
  <si>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</si>
  <si>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</si>
  <si>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</si>
  <si>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</si>
  <si>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</si>
  <si>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</si>
  <si>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</si>
  <si>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</si>
  <si>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</si>
  <si>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</si>
  <si>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</si>
  <si>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</si>
  <si>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</si>
  <si>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</si>
  <si>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</si>
  <si>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</si>
  <si>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</si>
  <si>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</si>
  <si>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</si>
  <si>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</si>
  <si>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</si>
  <si>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</si>
  <si>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</si>
  <si>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</si>
  <si>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</si>
  <si>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</si>
  <si>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</si>
  <si>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</si>
  <si>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</si>
  <si>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</si>
  <si>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</si>
  <si>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</si>
  <si>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</si>
  <si>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</si>
  <si>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</si>
  <si>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</si>
  <si>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</si>
  <si>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</si>
  <si>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</si>
  <si>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</si>
  <si>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</si>
  <si>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</si>
  <si>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</si>
  <si>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</si>
  <si>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</si>
  <si>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</si>
  <si>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</si>
  <si>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</si>
  <si>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</si>
  <si>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</si>
  <si>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</si>
  <si>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</si>
  <si>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</si>
  <si>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</si>
  <si>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</si>
  <si>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</si>
  <si>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</si>
  <si>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</si>
  <si>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</si>
  <si>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</si>
  <si>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</si>
  <si>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</si>
  <si>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</si>
  <si>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</si>
  <si>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</si>
  <si>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</si>
  <si>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</si>
  <si>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</si>
  <si>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</si>
  <si>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</si>
  <si>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</si>
  <si>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01/08/2023 00:15</t>
  </si>
  <si>
    <t>01/08/2023 00:30</t>
  </si>
  <si>
    <t>01/08/2023 00:45</t>
  </si>
  <si>
    <t>01/08/2023 01:00</t>
  </si>
  <si>
    <t>01/08/2023 01:15</t>
  </si>
  <si>
    <t>01/08/2023 01:30</t>
  </si>
  <si>
    <t>01/08/2023 01:45</t>
  </si>
  <si>
    <t>01/08/2023 02:00</t>
  </si>
  <si>
    <t>01/08/2023 02:15</t>
  </si>
  <si>
    <t>01/08/2023 02:30</t>
  </si>
  <si>
    <t>01/08/2023 02:45</t>
  </si>
  <si>
    <t>01/08/2023 03:00</t>
  </si>
  <si>
    <t>01/08/2023 03:15</t>
  </si>
  <si>
    <t>01/08/2023 03:30</t>
  </si>
  <si>
    <t>01/08/2023 03:45</t>
  </si>
  <si>
    <t>01/08/2023 04:00</t>
  </si>
  <si>
    <t>01/08/2023 04:15</t>
  </si>
  <si>
    <t>01/08/2023 04:30</t>
  </si>
  <si>
    <t>01/08/2023 04:45</t>
  </si>
  <si>
    <t>01/08/2023 05:00</t>
  </si>
  <si>
    <t>01/08/2023 05:15</t>
  </si>
  <si>
    <t>01/08/2023 05:30</t>
  </si>
  <si>
    <t>01/08/2023 05:45</t>
  </si>
  <si>
    <t>01/08/2023 06:00</t>
  </si>
  <si>
    <t>01/08/2023 06:15</t>
  </si>
  <si>
    <t>01/08/2023 06:30</t>
  </si>
  <si>
    <t>01/08/2023 06:45</t>
  </si>
  <si>
    <t>01/08/2023 07:00</t>
  </si>
  <si>
    <t>01/08/2023 07:15</t>
  </si>
  <si>
    <t>01/08/2023 07:30</t>
  </si>
  <si>
    <t>01/08/2023 07:45</t>
  </si>
  <si>
    <t>01/08/2023 08:00</t>
  </si>
  <si>
    <t>01/08/2023 08:15</t>
  </si>
  <si>
    <t>01/08/2023 08:30</t>
  </si>
  <si>
    <t>01/08/2023 08:45</t>
  </si>
  <si>
    <t>01/08/2023 09:00</t>
  </si>
  <si>
    <t>01/08/2023 09:15</t>
  </si>
  <si>
    <t>01/08/2023 09:30</t>
  </si>
  <si>
    <t>01/08/2023 09:45</t>
  </si>
  <si>
    <t>01/08/2023 10:00</t>
  </si>
  <si>
    <t>01/08/2023 10:15</t>
  </si>
  <si>
    <t>01/08/2023 10:30</t>
  </si>
  <si>
    <t>01/08/2023 10:45</t>
  </si>
  <si>
    <t>01/08/2023 11:00</t>
  </si>
  <si>
    <t>01/08/2023 11:15</t>
  </si>
  <si>
    <t>01/08/2023 11:30</t>
  </si>
  <si>
    <t>01/08/2023 11:45</t>
  </si>
  <si>
    <t>01/08/2023 12:00</t>
  </si>
  <si>
    <t>01/08/2023 12:15</t>
  </si>
  <si>
    <t>01/08/2023 12:30</t>
  </si>
  <si>
    <t>01/08/2023 12:45</t>
  </si>
  <si>
    <t>01/08/2023 13:00</t>
  </si>
  <si>
    <t>01/08/2023 13:15</t>
  </si>
  <si>
    <t>01/08/2023 13:30</t>
  </si>
  <si>
    <t>01/08/2023 13:45</t>
  </si>
  <si>
    <t>01/08/2023 14:00</t>
  </si>
  <si>
    <t>01/08/2023 14:15</t>
  </si>
  <si>
    <t>01/08/2023 14:30</t>
  </si>
  <si>
    <t>01/08/2023 14:45</t>
  </si>
  <si>
    <t>01/08/2023 15:00</t>
  </si>
  <si>
    <t>01/08/2023 15:15</t>
  </si>
  <si>
    <t>01/08/2023 15:30</t>
  </si>
  <si>
    <t>01/08/2023 15:45</t>
  </si>
  <si>
    <t>01/08/2023 16:00</t>
  </si>
  <si>
    <t>01/08/2023 16:15</t>
  </si>
  <si>
    <t>01/08/2023 16:30</t>
  </si>
  <si>
    <t>01/08/2023 16:45</t>
  </si>
  <si>
    <t>01/08/2023 17:00</t>
  </si>
  <si>
    <t>01/08/2023 17:15</t>
  </si>
  <si>
    <t>01/08/2023 17:30</t>
  </si>
  <si>
    <t>01/08/2023 17:45</t>
  </si>
  <si>
    <t>01/08/2023 18:00</t>
  </si>
  <si>
    <t>01/08/2023 18:15</t>
  </si>
  <si>
    <t>01/08/2023 18:30</t>
  </si>
  <si>
    <t>01/08/2023 18:45</t>
  </si>
  <si>
    <t>01/08/2023 19:00</t>
  </si>
  <si>
    <t>01/08/2023 19:15</t>
  </si>
  <si>
    <t>01/08/2023 19:30</t>
  </si>
  <si>
    <t>01/08/2023 19:45</t>
  </si>
  <si>
    <t>01/08/2023 20:00</t>
  </si>
  <si>
    <t>01/08/2023 20:15</t>
  </si>
  <si>
    <t>01/08/2023 20:30</t>
  </si>
  <si>
    <t>01/08/2023 20:45</t>
  </si>
  <si>
    <t>01/08/2023 21:00</t>
  </si>
  <si>
    <t>01/08/2023 21:15</t>
  </si>
  <si>
    <t>01/08/2023 21:30</t>
  </si>
  <si>
    <t>01/08/2023 21:45</t>
  </si>
  <si>
    <t>01/08/2023 22:00</t>
  </si>
  <si>
    <t>01/08/2023 22:15</t>
  </si>
  <si>
    <t>01/08/2023 22:30</t>
  </si>
  <si>
    <t>01/08/2023 22:45</t>
  </si>
  <si>
    <t>01/08/2023 23:00</t>
  </si>
  <si>
    <t>01/08/2023 23:15</t>
  </si>
  <si>
    <t>01/08/2023 23:30</t>
  </si>
  <si>
    <t>01/08/2023 23:45</t>
  </si>
  <si>
    <t>01/08/2023 24:00</t>
  </si>
  <si>
    <t>02/08/2023 00:15</t>
  </si>
  <si>
    <t>02/08/2023 00:30</t>
  </si>
  <si>
    <t>02/08/2023 00:45</t>
  </si>
  <si>
    <t>02/08/2023 01:00</t>
  </si>
  <si>
    <t>02/08/2023 01:15</t>
  </si>
  <si>
    <t>02/08/2023 01:30</t>
  </si>
  <si>
    <t>02/08/2023 01:45</t>
  </si>
  <si>
    <t>02/08/2023 02:00</t>
  </si>
  <si>
    <t>02/08/2023 02:15</t>
  </si>
  <si>
    <t>02/08/2023 02:30</t>
  </si>
  <si>
    <t>02/08/2023 02:45</t>
  </si>
  <si>
    <t>02/08/2023 03:00</t>
  </si>
  <si>
    <t>02/08/2023 03:15</t>
  </si>
  <si>
    <t>02/08/2023 03:30</t>
  </si>
  <si>
    <t>02/08/2023 03:45</t>
  </si>
  <si>
    <t>02/08/2023 04:00</t>
  </si>
  <si>
    <t>02/08/2023 04:15</t>
  </si>
  <si>
    <t>02/08/2023 04:30</t>
  </si>
  <si>
    <t>02/08/2023 04:45</t>
  </si>
  <si>
    <t>02/08/2023 05:00</t>
  </si>
  <si>
    <t>02/08/2023 05:15</t>
  </si>
  <si>
    <t>02/08/2023 05:30</t>
  </si>
  <si>
    <t>02/08/2023 05:45</t>
  </si>
  <si>
    <t>02/08/2023 06:00</t>
  </si>
  <si>
    <t>02/08/2023 06:15</t>
  </si>
  <si>
    <t>02/08/2023 06:30</t>
  </si>
  <si>
    <t>02/08/2023 06:45</t>
  </si>
  <si>
    <t>02/08/2023 07:00</t>
  </si>
  <si>
    <t>02/08/2023 07:15</t>
  </si>
  <si>
    <t>02/08/2023 07:30</t>
  </si>
  <si>
    <t>02/08/2023 07:45</t>
  </si>
  <si>
    <t>02/08/2023 08:00</t>
  </si>
  <si>
    <t>02/08/2023 08:15</t>
  </si>
  <si>
    <t>02/08/2023 08:30</t>
  </si>
  <si>
    <t>02/08/2023 08:45</t>
  </si>
  <si>
    <t>02/08/2023 09:00</t>
  </si>
  <si>
    <t>02/08/2023 09:15</t>
  </si>
  <si>
    <t>02/08/2023 09:30</t>
  </si>
  <si>
    <t>02/08/2023 09:45</t>
  </si>
  <si>
    <t>02/08/2023 10:00</t>
  </si>
  <si>
    <t>02/08/2023 10:15</t>
  </si>
  <si>
    <t>02/08/2023 10:30</t>
  </si>
  <si>
    <t>02/08/2023 10:45</t>
  </si>
  <si>
    <t>02/08/2023 11:00</t>
  </si>
  <si>
    <t>02/08/2023 11:15</t>
  </si>
  <si>
    <t>02/08/2023 11:30</t>
  </si>
  <si>
    <t>02/08/2023 11:45</t>
  </si>
  <si>
    <t>02/08/2023 12:00</t>
  </si>
  <si>
    <t>02/08/2023 12:15</t>
  </si>
  <si>
    <t>02/08/2023 12:30</t>
  </si>
  <si>
    <t>02/08/2023 12:45</t>
  </si>
  <si>
    <t>02/08/2023 13:00</t>
  </si>
  <si>
    <t>02/08/2023 13:15</t>
  </si>
  <si>
    <t>02/08/2023 13:30</t>
  </si>
  <si>
    <t>02/08/2023 13:45</t>
  </si>
  <si>
    <t>02/08/2023 14:00</t>
  </si>
  <si>
    <t>02/08/2023 14:15</t>
  </si>
  <si>
    <t>02/08/2023 14:30</t>
  </si>
  <si>
    <t>02/08/2023 14:45</t>
  </si>
  <si>
    <t>02/08/2023 15:00</t>
  </si>
  <si>
    <t>02/08/2023 15:15</t>
  </si>
  <si>
    <t>02/08/2023 15:30</t>
  </si>
  <si>
    <t>02/08/2023 15:45</t>
  </si>
  <si>
    <t>02/08/2023 16:00</t>
  </si>
  <si>
    <t>02/08/2023 16:15</t>
  </si>
  <si>
    <t>02/08/2023 16:30</t>
  </si>
  <si>
    <t>02/08/2023 16:45</t>
  </si>
  <si>
    <t>02/08/2023 17:00</t>
  </si>
  <si>
    <t>02/08/2023 17:15</t>
  </si>
  <si>
    <t>02/08/2023 17:30</t>
  </si>
  <si>
    <t>02/08/2023 17:45</t>
  </si>
  <si>
    <t>02/08/2023 18:00</t>
  </si>
  <si>
    <t>02/08/2023 18:15</t>
  </si>
  <si>
    <t>02/08/2023 18:30</t>
  </si>
  <si>
    <t>02/08/2023 18:45</t>
  </si>
  <si>
    <t>02/08/2023 19:00</t>
  </si>
  <si>
    <t>02/08/2023 19:15</t>
  </si>
  <si>
    <t>02/08/2023 19:30</t>
  </si>
  <si>
    <t>02/08/2023 19:45</t>
  </si>
  <si>
    <t>02/08/2023 20:00</t>
  </si>
  <si>
    <t>02/08/2023 20:15</t>
  </si>
  <si>
    <t>02/08/2023 20:30</t>
  </si>
  <si>
    <t>02/08/2023 20:45</t>
  </si>
  <si>
    <t>02/08/2023 21:00</t>
  </si>
  <si>
    <t>02/08/2023 21:15</t>
  </si>
  <si>
    <t>02/08/2023 21:30</t>
  </si>
  <si>
    <t>02/08/2023 21:45</t>
  </si>
  <si>
    <t>02/08/2023 22:00</t>
  </si>
  <si>
    <t>02/08/2023 22:15</t>
  </si>
  <si>
    <t>02/08/2023 22:30</t>
  </si>
  <si>
    <t>02/08/2023 22:45</t>
  </si>
  <si>
    <t>02/08/2023 23:00</t>
  </si>
  <si>
    <t>02/08/2023 23:15</t>
  </si>
  <si>
    <t>02/08/2023 23:30</t>
  </si>
  <si>
    <t>02/08/2023 23:45</t>
  </si>
  <si>
    <t>02/08/2023 24:00</t>
  </si>
  <si>
    <t>03/08/2023 00:15</t>
  </si>
  <si>
    <t>03/08/2023 00:30</t>
  </si>
  <si>
    <t>03/08/2023 00:45</t>
  </si>
  <si>
    <t>03/08/2023 01:00</t>
  </si>
  <si>
    <t>03/08/2023 01:15</t>
  </si>
  <si>
    <t>03/08/2023 01:30</t>
  </si>
  <si>
    <t>03/08/2023 01:45</t>
  </si>
  <si>
    <t>03/08/2023 02:00</t>
  </si>
  <si>
    <t>03/08/2023 02:15</t>
  </si>
  <si>
    <t>03/08/2023 02:30</t>
  </si>
  <si>
    <t>03/08/2023 02:45</t>
  </si>
  <si>
    <t>03/08/2023 03:00</t>
  </si>
  <si>
    <t>03/08/2023 03:15</t>
  </si>
  <si>
    <t>03/08/2023 03:30</t>
  </si>
  <si>
    <t>03/08/2023 03:45</t>
  </si>
  <si>
    <t>03/08/2023 04:00</t>
  </si>
  <si>
    <t>03/08/2023 04:15</t>
  </si>
  <si>
    <t>03/08/2023 04:30</t>
  </si>
  <si>
    <t>03/08/2023 04:45</t>
  </si>
  <si>
    <t>03/08/2023 05:00</t>
  </si>
  <si>
    <t>03/08/2023 05:15</t>
  </si>
  <si>
    <t>03/08/2023 05:30</t>
  </si>
  <si>
    <t>03/08/2023 05:45</t>
  </si>
  <si>
    <t>03/08/2023 06:00</t>
  </si>
  <si>
    <t>03/08/2023 06:15</t>
  </si>
  <si>
    <t>03/08/2023 06:30</t>
  </si>
  <si>
    <t>03/08/2023 06:45</t>
  </si>
  <si>
    <t>03/08/2023 07:00</t>
  </si>
  <si>
    <t>03/08/2023 07:15</t>
  </si>
  <si>
    <t>03/08/2023 07:30</t>
  </si>
  <si>
    <t>03/08/2023 07:45</t>
  </si>
  <si>
    <t>03/08/2023 08:00</t>
  </si>
  <si>
    <t>03/08/2023 08:15</t>
  </si>
  <si>
    <t>03/08/2023 08:30</t>
  </si>
  <si>
    <t>03/08/2023 08:45</t>
  </si>
  <si>
    <t>03/08/2023 09:00</t>
  </si>
  <si>
    <t>03/08/2023 09:15</t>
  </si>
  <si>
    <t>03/08/2023 09:30</t>
  </si>
  <si>
    <t>03/08/2023 09:45</t>
  </si>
  <si>
    <t>03/08/2023 10:00</t>
  </si>
  <si>
    <t>03/08/2023 10:15</t>
  </si>
  <si>
    <t>03/08/2023 10:30</t>
  </si>
  <si>
    <t>03/08/2023 10:45</t>
  </si>
  <si>
    <t>03/08/2023 11:00</t>
  </si>
  <si>
    <t>03/08/2023 11:15</t>
  </si>
  <si>
    <t>03/08/2023 11:30</t>
  </si>
  <si>
    <t>03/08/2023 11:45</t>
  </si>
  <si>
    <t>03/08/2023 12:00</t>
  </si>
  <si>
    <t>03/08/2023 12:15</t>
  </si>
  <si>
    <t>03/08/2023 12:30</t>
  </si>
  <si>
    <t>03/08/2023 12:45</t>
  </si>
  <si>
    <t>03/08/2023 13:00</t>
  </si>
  <si>
    <t>03/08/2023 13:15</t>
  </si>
  <si>
    <t>03/08/2023 13:30</t>
  </si>
  <si>
    <t>03/08/2023 13:45</t>
  </si>
  <si>
    <t>03/08/2023 14:00</t>
  </si>
  <si>
    <t>03/08/2023 14:15</t>
  </si>
  <si>
    <t>03/08/2023 14:30</t>
  </si>
  <si>
    <t>03/08/2023 14:45</t>
  </si>
  <si>
    <t>03/08/2023 15:00</t>
  </si>
  <si>
    <t>03/08/2023 15:15</t>
  </si>
  <si>
    <t>03/08/2023 15:30</t>
  </si>
  <si>
    <t>03/08/2023 15:45</t>
  </si>
  <si>
    <t>03/08/2023 16:00</t>
  </si>
  <si>
    <t>03/08/2023 16:15</t>
  </si>
  <si>
    <t>03/08/2023 16:30</t>
  </si>
  <si>
    <t>03/08/2023 16:45</t>
  </si>
  <si>
    <t>03/08/2023 17:00</t>
  </si>
  <si>
    <t>03/08/2023 17:15</t>
  </si>
  <si>
    <t>03/08/2023 17:30</t>
  </si>
  <si>
    <t>03/08/2023 17:45</t>
  </si>
  <si>
    <t>03/08/2023 18:00</t>
  </si>
  <si>
    <t>03/08/2023 18:15</t>
  </si>
  <si>
    <t>03/08/2023 18:30</t>
  </si>
  <si>
    <t>03/08/2023 18:45</t>
  </si>
  <si>
    <t>03/08/2023 19:00</t>
  </si>
  <si>
    <t>03/08/2023 19:15</t>
  </si>
  <si>
    <t>03/08/2023 19:30</t>
  </si>
  <si>
    <t>03/08/2023 19:45</t>
  </si>
  <si>
    <t>03/08/2023 20:00</t>
  </si>
  <si>
    <t>03/08/2023 20:15</t>
  </si>
  <si>
    <t>03/08/2023 20:30</t>
  </si>
  <si>
    <t>03/08/2023 20:45</t>
  </si>
  <si>
    <t>03/08/2023 21:00</t>
  </si>
  <si>
    <t>03/08/2023 21:15</t>
  </si>
  <si>
    <t>03/08/2023 21:30</t>
  </si>
  <si>
    <t>03/08/2023 21:45</t>
  </si>
  <si>
    <t>03/08/2023 22:00</t>
  </si>
  <si>
    <t>03/08/2023 22:15</t>
  </si>
  <si>
    <t>03/08/2023 22:30</t>
  </si>
  <si>
    <t>03/08/2023 22:45</t>
  </si>
  <si>
    <t>03/08/2023 23:00</t>
  </si>
  <si>
    <t>03/08/2023 23:15</t>
  </si>
  <si>
    <t>03/08/2023 23:30</t>
  </si>
  <si>
    <t>03/08/2023 23:45</t>
  </si>
  <si>
    <t>03/08/2023 24:00</t>
  </si>
  <si>
    <t>04/08/2023 00:15</t>
  </si>
  <si>
    <t>04/08/2023 00:30</t>
  </si>
  <si>
    <t>04/08/2023 00:45</t>
  </si>
  <si>
    <t>04/08/2023 01:00</t>
  </si>
  <si>
    <t>04/08/2023 01:15</t>
  </si>
  <si>
    <t>04/08/2023 01:30</t>
  </si>
  <si>
    <t>04/08/2023 01:45</t>
  </si>
  <si>
    <t>04/08/2023 02:00</t>
  </si>
  <si>
    <t>04/08/2023 02:15</t>
  </si>
  <si>
    <t>04/08/2023 02:30</t>
  </si>
  <si>
    <t>04/08/2023 02:45</t>
  </si>
  <si>
    <t>04/08/2023 03:00</t>
  </si>
  <si>
    <t>04/08/2023 03:15</t>
  </si>
  <si>
    <t>04/08/2023 03:30</t>
  </si>
  <si>
    <t>04/08/2023 03:45</t>
  </si>
  <si>
    <t>04/08/2023 04:00</t>
  </si>
  <si>
    <t>04/08/2023 04:15</t>
  </si>
  <si>
    <t>04/08/2023 04:30</t>
  </si>
  <si>
    <t>04/08/2023 04:45</t>
  </si>
  <si>
    <t>04/08/2023 05:00</t>
  </si>
  <si>
    <t>04/08/2023 05:15</t>
  </si>
  <si>
    <t>04/08/2023 05:30</t>
  </si>
  <si>
    <t>04/08/2023 05:45</t>
  </si>
  <si>
    <t>04/08/2023 06:00</t>
  </si>
  <si>
    <t>04/08/2023 06:15</t>
  </si>
  <si>
    <t>04/08/2023 06:30</t>
  </si>
  <si>
    <t>04/08/2023 06:45</t>
  </si>
  <si>
    <t>04/08/2023 07:00</t>
  </si>
  <si>
    <t>04/08/2023 07:15</t>
  </si>
  <si>
    <t>04/08/2023 07:30</t>
  </si>
  <si>
    <t>04/08/2023 07:45</t>
  </si>
  <si>
    <t>04/08/2023 08:00</t>
  </si>
  <si>
    <t>04/08/2023 08:15</t>
  </si>
  <si>
    <t>04/08/2023 08:30</t>
  </si>
  <si>
    <t>04/08/2023 08:45</t>
  </si>
  <si>
    <t>04/08/2023 09:00</t>
  </si>
  <si>
    <t>04/08/2023 09:15</t>
  </si>
  <si>
    <t>04/08/2023 09:30</t>
  </si>
  <si>
    <t>04/08/2023 09:45</t>
  </si>
  <si>
    <t>04/08/2023 10:00</t>
  </si>
  <si>
    <t>04/08/2023 10:15</t>
  </si>
  <si>
    <t>04/08/2023 10:30</t>
  </si>
  <si>
    <t>04/08/2023 10:45</t>
  </si>
  <si>
    <t>04/08/2023 11:00</t>
  </si>
  <si>
    <t>04/08/2023 11:15</t>
  </si>
  <si>
    <t>04/08/2023 11:30</t>
  </si>
  <si>
    <t>04/08/2023 11:45</t>
  </si>
  <si>
    <t>04/08/2023 12:00</t>
  </si>
  <si>
    <t>04/08/2023 12:15</t>
  </si>
  <si>
    <t>04/08/2023 12:30</t>
  </si>
  <si>
    <t>04/08/2023 12:45</t>
  </si>
  <si>
    <t>04/08/2023 13:00</t>
  </si>
  <si>
    <t>04/08/2023 13:15</t>
  </si>
  <si>
    <t>04/08/2023 13:30</t>
  </si>
  <si>
    <t>04/08/2023 13:45</t>
  </si>
  <si>
    <t>04/08/2023 14:00</t>
  </si>
  <si>
    <t>04/08/2023 14:15</t>
  </si>
  <si>
    <t>04/08/2023 14:30</t>
  </si>
  <si>
    <t>04/08/2023 14:45</t>
  </si>
  <si>
    <t>04/08/2023 15:00</t>
  </si>
  <si>
    <t>04/08/2023 15:15</t>
  </si>
  <si>
    <t>04/08/2023 15:30</t>
  </si>
  <si>
    <t>04/08/2023 15:45</t>
  </si>
  <si>
    <t>04/08/2023 16:00</t>
  </si>
  <si>
    <t>04/08/2023 16:15</t>
  </si>
  <si>
    <t>04/08/2023 16:30</t>
  </si>
  <si>
    <t>04/08/2023 16:45</t>
  </si>
  <si>
    <t>04/08/2023 17:00</t>
  </si>
  <si>
    <t>04/08/2023 17:15</t>
  </si>
  <si>
    <t>04/08/2023 17:30</t>
  </si>
  <si>
    <t>04/08/2023 17:45</t>
  </si>
  <si>
    <t>04/08/2023 18:00</t>
  </si>
  <si>
    <t>04/08/2023 18:15</t>
  </si>
  <si>
    <t>04/08/2023 18:30</t>
  </si>
  <si>
    <t>04/08/2023 18:45</t>
  </si>
  <si>
    <t>04/08/2023 19:00</t>
  </si>
  <si>
    <t>04/08/2023 19:15</t>
  </si>
  <si>
    <t>04/08/2023 19:30</t>
  </si>
  <si>
    <t>04/08/2023 19:45</t>
  </si>
  <si>
    <t>04/08/2023 20:00</t>
  </si>
  <si>
    <t>04/08/2023 20:15</t>
  </si>
  <si>
    <t>04/08/2023 20:30</t>
  </si>
  <si>
    <t>04/08/2023 20:45</t>
  </si>
  <si>
    <t>04/08/2023 21:00</t>
  </si>
  <si>
    <t>04/08/2023 21:15</t>
  </si>
  <si>
    <t>04/08/2023 21:30</t>
  </si>
  <si>
    <t>04/08/2023 21:45</t>
  </si>
  <si>
    <t>04/08/2023 22:00</t>
  </si>
  <si>
    <t>04/08/2023 22:15</t>
  </si>
  <si>
    <t>04/08/2023 22:30</t>
  </si>
  <si>
    <t>04/08/2023 22:45</t>
  </si>
  <si>
    <t>04/08/2023 23:00</t>
  </si>
  <si>
    <t>04/08/2023 23:15</t>
  </si>
  <si>
    <t>04/08/2023 23:30</t>
  </si>
  <si>
    <t>04/08/2023 23:45</t>
  </si>
  <si>
    <t>04/08/2023 24:00</t>
  </si>
  <si>
    <t>05/08/2023 00:15</t>
  </si>
  <si>
    <t>05/08/2023 00:30</t>
  </si>
  <si>
    <t>05/08/2023 00:45</t>
  </si>
  <si>
    <t>05/08/2023 01:00</t>
  </si>
  <si>
    <t>05/08/2023 01:15</t>
  </si>
  <si>
    <t>05/08/2023 01:30</t>
  </si>
  <si>
    <t>05/08/2023 01:45</t>
  </si>
  <si>
    <t>05/08/2023 02:00</t>
  </si>
  <si>
    <t>05/08/2023 02:15</t>
  </si>
  <si>
    <t>05/08/2023 02:30</t>
  </si>
  <si>
    <t>05/08/2023 02:45</t>
  </si>
  <si>
    <t>05/08/2023 03:00</t>
  </si>
  <si>
    <t>05/08/2023 03:15</t>
  </si>
  <si>
    <t>05/08/2023 03:30</t>
  </si>
  <si>
    <t>05/08/2023 03:45</t>
  </si>
  <si>
    <t>05/08/2023 04:00</t>
  </si>
  <si>
    <t>05/08/2023 04:15</t>
  </si>
  <si>
    <t>05/08/2023 04:30</t>
  </si>
  <si>
    <t>05/08/2023 04:45</t>
  </si>
  <si>
    <t>05/08/2023 05:00</t>
  </si>
  <si>
    <t>05/08/2023 05:15</t>
  </si>
  <si>
    <t>05/08/2023 05:30</t>
  </si>
  <si>
    <t>05/08/2023 05:45</t>
  </si>
  <si>
    <t>05/08/2023 06:00</t>
  </si>
  <si>
    <t>05/08/2023 06:15</t>
  </si>
  <si>
    <t>05/08/2023 06:30</t>
  </si>
  <si>
    <t>05/08/2023 06:45</t>
  </si>
  <si>
    <t>05/08/2023 07:00</t>
  </si>
  <si>
    <t>05/08/2023 07:15</t>
  </si>
  <si>
    <t>05/08/2023 07:30</t>
  </si>
  <si>
    <t>05/08/2023 07:45</t>
  </si>
  <si>
    <t>05/08/2023 08:00</t>
  </si>
  <si>
    <t>05/08/2023 08:15</t>
  </si>
  <si>
    <t>05/08/2023 08:30</t>
  </si>
  <si>
    <t>05/08/2023 08:45</t>
  </si>
  <si>
    <t>05/08/2023 09:00</t>
  </si>
  <si>
    <t>05/08/2023 09:15</t>
  </si>
  <si>
    <t>05/08/2023 09:30</t>
  </si>
  <si>
    <t>05/08/2023 09:45</t>
  </si>
  <si>
    <t>05/08/2023 10:00</t>
  </si>
  <si>
    <t>05/08/2023 10:15</t>
  </si>
  <si>
    <t>05/08/2023 10:30</t>
  </si>
  <si>
    <t>05/08/2023 10:45</t>
  </si>
  <si>
    <t>05/08/2023 11:00</t>
  </si>
  <si>
    <t>05/08/2023 11:15</t>
  </si>
  <si>
    <t>05/08/2023 11:30</t>
  </si>
  <si>
    <t>05/08/2023 11:45</t>
  </si>
  <si>
    <t>05/08/2023 12:00</t>
  </si>
  <si>
    <t>05/08/2023 12:15</t>
  </si>
  <si>
    <t>05/08/2023 12:30</t>
  </si>
  <si>
    <t>05/08/2023 12:45</t>
  </si>
  <si>
    <t>05/08/2023 13:00</t>
  </si>
  <si>
    <t>05/08/2023 13:15</t>
  </si>
  <si>
    <t>05/08/2023 13:30</t>
  </si>
  <si>
    <t>05/08/2023 13:45</t>
  </si>
  <si>
    <t>05/08/2023 14:00</t>
  </si>
  <si>
    <t>05/08/2023 14:15</t>
  </si>
  <si>
    <t>05/08/2023 14:30</t>
  </si>
  <si>
    <t>05/08/2023 14:45</t>
  </si>
  <si>
    <t>05/08/2023 15:00</t>
  </si>
  <si>
    <t>05/08/2023 15:15</t>
  </si>
  <si>
    <t>05/08/2023 15:30</t>
  </si>
  <si>
    <t>05/08/2023 15:45</t>
  </si>
  <si>
    <t>05/08/2023 16:00</t>
  </si>
  <si>
    <t>05/08/2023 16:15</t>
  </si>
  <si>
    <t>05/08/2023 16:30</t>
  </si>
  <si>
    <t>05/08/2023 16:45</t>
  </si>
  <si>
    <t>05/08/2023 17:00</t>
  </si>
  <si>
    <t>05/08/2023 17:15</t>
  </si>
  <si>
    <t>05/08/2023 17:30</t>
  </si>
  <si>
    <t>05/08/2023 17:45</t>
  </si>
  <si>
    <t>05/08/2023 18:00</t>
  </si>
  <si>
    <t>05/08/2023 18:15</t>
  </si>
  <si>
    <t>05/08/2023 18:30</t>
  </si>
  <si>
    <t>05/08/2023 18:45</t>
  </si>
  <si>
    <t>05/08/2023 19:00</t>
  </si>
  <si>
    <t>05/08/2023 19:15</t>
  </si>
  <si>
    <t>05/08/2023 19:30</t>
  </si>
  <si>
    <t>05/08/2023 19:45</t>
  </si>
  <si>
    <t>05/08/2023 20:00</t>
  </si>
  <si>
    <t>05/08/2023 20:15</t>
  </si>
  <si>
    <t>05/08/2023 20:30</t>
  </si>
  <si>
    <t>05/08/2023 20:45</t>
  </si>
  <si>
    <t>05/08/2023 21:00</t>
  </si>
  <si>
    <t>05/08/2023 21:15</t>
  </si>
  <si>
    <t>05/08/2023 21:30</t>
  </si>
  <si>
    <t>05/08/2023 21:45</t>
  </si>
  <si>
    <t>05/08/2023 22:00</t>
  </si>
  <si>
    <t>05/08/2023 22:15</t>
  </si>
  <si>
    <t>05/08/2023 22:30</t>
  </si>
  <si>
    <t>05/08/2023 22:45</t>
  </si>
  <si>
    <t>05/08/2023 23:00</t>
  </si>
  <si>
    <t>05/08/2023 23:15</t>
  </si>
  <si>
    <t>05/08/2023 23:30</t>
  </si>
  <si>
    <t>05/08/2023 23:45</t>
  </si>
  <si>
    <t>05/08/2023 24:00</t>
  </si>
  <si>
    <t>06/08/2023 00:15</t>
  </si>
  <si>
    <t>06/08/2023 00:30</t>
  </si>
  <si>
    <t>06/08/2023 00:45</t>
  </si>
  <si>
    <t>06/08/2023 01:00</t>
  </si>
  <si>
    <t>06/08/2023 01:15</t>
  </si>
  <si>
    <t>06/08/2023 01:30</t>
  </si>
  <si>
    <t>06/08/2023 01:45</t>
  </si>
  <si>
    <t>06/08/2023 02:00</t>
  </si>
  <si>
    <t>06/08/2023 02:15</t>
  </si>
  <si>
    <t>06/08/2023 02:30</t>
  </si>
  <si>
    <t>06/08/2023 02:45</t>
  </si>
  <si>
    <t>06/08/2023 03:00</t>
  </si>
  <si>
    <t>06/08/2023 03:15</t>
  </si>
  <si>
    <t>06/08/2023 03:30</t>
  </si>
  <si>
    <t>06/08/2023 03:45</t>
  </si>
  <si>
    <t>06/08/2023 04:00</t>
  </si>
  <si>
    <t>06/08/2023 04:15</t>
  </si>
  <si>
    <t>06/08/2023 04:30</t>
  </si>
  <si>
    <t>06/08/2023 04:45</t>
  </si>
  <si>
    <t>06/08/2023 05:00</t>
  </si>
  <si>
    <t>06/08/2023 05:15</t>
  </si>
  <si>
    <t>06/08/2023 05:30</t>
  </si>
  <si>
    <t>06/08/2023 05:45</t>
  </si>
  <si>
    <t>06/08/2023 06:00</t>
  </si>
  <si>
    <t>06/08/2023 06:15</t>
  </si>
  <si>
    <t>06/08/2023 06:30</t>
  </si>
  <si>
    <t>06/08/2023 06:45</t>
  </si>
  <si>
    <t>06/08/2023 07:00</t>
  </si>
  <si>
    <t>06/08/2023 07:15</t>
  </si>
  <si>
    <t>06/08/2023 07:30</t>
  </si>
  <si>
    <t>06/08/2023 07:45</t>
  </si>
  <si>
    <t>06/08/2023 08:00</t>
  </si>
  <si>
    <t>06/08/2023 08:15</t>
  </si>
  <si>
    <t>06/08/2023 08:30</t>
  </si>
  <si>
    <t>06/08/2023 08:45</t>
  </si>
  <si>
    <t>06/08/2023 09:00</t>
  </si>
  <si>
    <t>06/08/2023 09:15</t>
  </si>
  <si>
    <t>06/08/2023 09:30</t>
  </si>
  <si>
    <t>06/08/2023 09:45</t>
  </si>
  <si>
    <t>06/08/2023 10:00</t>
  </si>
  <si>
    <t>06/08/2023 10:15</t>
  </si>
  <si>
    <t>06/08/2023 10:30</t>
  </si>
  <si>
    <t>06/08/2023 10:45</t>
  </si>
  <si>
    <t>06/08/2023 11:00</t>
  </si>
  <si>
    <t>06/08/2023 11:15</t>
  </si>
  <si>
    <t>06/08/2023 11:30</t>
  </si>
  <si>
    <t>06/08/2023 11:45</t>
  </si>
  <si>
    <t>06/08/2023 12:00</t>
  </si>
  <si>
    <t>06/08/2023 12:15</t>
  </si>
  <si>
    <t>06/08/2023 12:30</t>
  </si>
  <si>
    <t>06/08/2023 12:45</t>
  </si>
  <si>
    <t>06/08/2023 13:00</t>
  </si>
  <si>
    <t>06/08/2023 13:15</t>
  </si>
  <si>
    <t>06/08/2023 13:30</t>
  </si>
  <si>
    <t>06/08/2023 13:45</t>
  </si>
  <si>
    <t>06/08/2023 14:00</t>
  </si>
  <si>
    <t>06/08/2023 14:15</t>
  </si>
  <si>
    <t>06/08/2023 14:30</t>
  </si>
  <si>
    <t>06/08/2023 14:45</t>
  </si>
  <si>
    <t>06/08/2023 15:00</t>
  </si>
  <si>
    <t>06/08/2023 15:15</t>
  </si>
  <si>
    <t>06/08/2023 15:30</t>
  </si>
  <si>
    <t>06/08/2023 15:45</t>
  </si>
  <si>
    <t>06/08/2023 16:00</t>
  </si>
  <si>
    <t>06/08/2023 16:15</t>
  </si>
  <si>
    <t>06/08/2023 16:30</t>
  </si>
  <si>
    <t>06/08/2023 16:45</t>
  </si>
  <si>
    <t>06/08/2023 17:00</t>
  </si>
  <si>
    <t>06/08/2023 17:15</t>
  </si>
  <si>
    <t>06/08/2023 17:30</t>
  </si>
  <si>
    <t>06/08/2023 17:45</t>
  </si>
  <si>
    <t>06/08/2023 18:00</t>
  </si>
  <si>
    <t>06/08/2023 18:15</t>
  </si>
  <si>
    <t>06/08/2023 18:30</t>
  </si>
  <si>
    <t>06/08/2023 18:45</t>
  </si>
  <si>
    <t>06/08/2023 19:00</t>
  </si>
  <si>
    <t>06/08/2023 19:15</t>
  </si>
  <si>
    <t>06/08/2023 19:30</t>
  </si>
  <si>
    <t>06/08/2023 19:45</t>
  </si>
  <si>
    <t>06/08/2023 20:00</t>
  </si>
  <si>
    <t>06/08/2023 20:15</t>
  </si>
  <si>
    <t>06/08/2023 20:30</t>
  </si>
  <si>
    <t>06/08/2023 20:45</t>
  </si>
  <si>
    <t>06/08/2023 21:00</t>
  </si>
  <si>
    <t>06/08/2023 21:15</t>
  </si>
  <si>
    <t>06/08/2023 21:30</t>
  </si>
  <si>
    <t>06/08/2023 21:45</t>
  </si>
  <si>
    <t>06/08/2023 22:00</t>
  </si>
  <si>
    <t>06/08/2023 22:15</t>
  </si>
  <si>
    <t>06/08/2023 22:30</t>
  </si>
  <si>
    <t>06/08/2023 22:45</t>
  </si>
  <si>
    <t>06/08/2023 23:00</t>
  </si>
  <si>
    <t>06/08/2023 23:15</t>
  </si>
  <si>
    <t>06/08/2023 23:30</t>
  </si>
  <si>
    <t>06/08/2023 23:45</t>
  </si>
  <si>
    <t>06/08/2023 24:00</t>
  </si>
  <si>
    <t>07/08/2023 00:15</t>
  </si>
  <si>
    <t>07/08/2023 00:30</t>
  </si>
  <si>
    <t>07/08/2023 00:45</t>
  </si>
  <si>
    <t>07/08/2023 01:00</t>
  </si>
  <si>
    <t>07/08/2023 01:15</t>
  </si>
  <si>
    <t>07/08/2023 01:30</t>
  </si>
  <si>
    <t>07/08/2023 01:45</t>
  </si>
  <si>
    <t>07/08/2023 02:00</t>
  </si>
  <si>
    <t>07/08/2023 02:15</t>
  </si>
  <si>
    <t>07/08/2023 02:30</t>
  </si>
  <si>
    <t>07/08/2023 02:45</t>
  </si>
  <si>
    <t>07/08/2023 03:00</t>
  </si>
  <si>
    <t>07/08/2023 03:15</t>
  </si>
  <si>
    <t>07/08/2023 03:30</t>
  </si>
  <si>
    <t>07/08/2023 03:45</t>
  </si>
  <si>
    <t>07/08/2023 04:00</t>
  </si>
  <si>
    <t>07/08/2023 04:15</t>
  </si>
  <si>
    <t>07/08/2023 04:30</t>
  </si>
  <si>
    <t>07/08/2023 04:45</t>
  </si>
  <si>
    <t>07/08/2023 05:00</t>
  </si>
  <si>
    <t>07/08/2023 05:15</t>
  </si>
  <si>
    <t>07/08/2023 05:30</t>
  </si>
  <si>
    <t>07/08/2023 05:45</t>
  </si>
  <si>
    <t>07/08/2023 06:00</t>
  </si>
  <si>
    <t>07/08/2023 06:15</t>
  </si>
  <si>
    <t>07/08/2023 06:30</t>
  </si>
  <si>
    <t>07/08/2023 06:45</t>
  </si>
  <si>
    <t>07/08/2023 07:00</t>
  </si>
  <si>
    <t>07/08/2023 07:15</t>
  </si>
  <si>
    <t>07/08/2023 07:30</t>
  </si>
  <si>
    <t>07/08/2023 07:45</t>
  </si>
  <si>
    <t>07/08/2023 08:00</t>
  </si>
  <si>
    <t>07/08/2023 08:15</t>
  </si>
  <si>
    <t>07/08/2023 08:30</t>
  </si>
  <si>
    <t>07/08/2023 08:45</t>
  </si>
  <si>
    <t>07/08/2023 09:00</t>
  </si>
  <si>
    <t>07/08/2023 09:15</t>
  </si>
  <si>
    <t>07/08/2023 09:30</t>
  </si>
  <si>
    <t>07/08/2023 09:45</t>
  </si>
  <si>
    <t>07/08/2023 10:00</t>
  </si>
  <si>
    <t>07/08/2023 10:15</t>
  </si>
  <si>
    <t>07/08/2023 10:30</t>
  </si>
  <si>
    <t>07/08/2023 10:45</t>
  </si>
  <si>
    <t>07/08/2023 11:00</t>
  </si>
  <si>
    <t>07/08/2023 11:15</t>
  </si>
  <si>
    <t>07/08/2023 11:30</t>
  </si>
  <si>
    <t>07/08/2023 11:45</t>
  </si>
  <si>
    <t>07/08/2023 12:00</t>
  </si>
  <si>
    <t>07/08/2023 12:15</t>
  </si>
  <si>
    <t>07/08/2023 12:30</t>
  </si>
  <si>
    <t>07/08/2023 12:45</t>
  </si>
  <si>
    <t>07/08/2023 13:00</t>
  </si>
  <si>
    <t>07/08/2023 13:15</t>
  </si>
  <si>
    <t>07/08/2023 13:30</t>
  </si>
  <si>
    <t>07/08/2023 13:45</t>
  </si>
  <si>
    <t>07/08/2023 14:00</t>
  </si>
  <si>
    <t>07/08/2023 14:15</t>
  </si>
  <si>
    <t>07/08/2023 14:30</t>
  </si>
  <si>
    <t>07/08/2023 14:45</t>
  </si>
  <si>
    <t>07/08/2023 15:00</t>
  </si>
  <si>
    <t>07/08/2023 15:15</t>
  </si>
  <si>
    <t>07/08/2023 15:30</t>
  </si>
  <si>
    <t>07/08/2023 15:45</t>
  </si>
  <si>
    <t>07/08/2023 16:00</t>
  </si>
  <si>
    <t>07/08/2023 16:15</t>
  </si>
  <si>
    <t>07/08/2023 16:30</t>
  </si>
  <si>
    <t>07/08/2023 16:45</t>
  </si>
  <si>
    <t>07/08/2023 17:00</t>
  </si>
  <si>
    <t>07/08/2023 17:15</t>
  </si>
  <si>
    <t>07/08/2023 17:30</t>
  </si>
  <si>
    <t>07/08/2023 17:45</t>
  </si>
  <si>
    <t>07/08/2023 18:00</t>
  </si>
  <si>
    <t>07/08/2023 18:15</t>
  </si>
  <si>
    <t>07/08/2023 18:30</t>
  </si>
  <si>
    <t>07/08/2023 18:45</t>
  </si>
  <si>
    <t>07/08/2023 19:00</t>
  </si>
  <si>
    <t>07/08/2023 19:15</t>
  </si>
  <si>
    <t>07/08/2023 19:30</t>
  </si>
  <si>
    <t>07/08/2023 19:45</t>
  </si>
  <si>
    <t>07/08/2023 20:00</t>
  </si>
  <si>
    <t>07/08/2023 20:15</t>
  </si>
  <si>
    <t>07/08/2023 20:30</t>
  </si>
  <si>
    <t>07/08/2023 20:45</t>
  </si>
  <si>
    <t>07/08/2023 21:00</t>
  </si>
  <si>
    <t>07/08/2023 21:15</t>
  </si>
  <si>
    <t>07/08/2023 21:30</t>
  </si>
  <si>
    <t>07/08/2023 21:45</t>
  </si>
  <si>
    <t>07/08/2023 22:00</t>
  </si>
  <si>
    <t>07/08/2023 22:15</t>
  </si>
  <si>
    <t>07/08/2023 22:30</t>
  </si>
  <si>
    <t>07/08/2023 22:45</t>
  </si>
  <si>
    <t>07/08/2023 23:00</t>
  </si>
  <si>
    <t>07/08/2023 23:15</t>
  </si>
  <si>
    <t>07/08/2023 23:30</t>
  </si>
  <si>
    <t>07/08/2023 23:45</t>
  </si>
  <si>
    <t>07/08/2023 24:00</t>
  </si>
  <si>
    <t>08/08/2023 00:15</t>
  </si>
  <si>
    <t>08/08/2023 00:30</t>
  </si>
  <si>
    <t>08/08/2023 00:45</t>
  </si>
  <si>
    <t>08/08/2023 01:00</t>
  </si>
  <si>
    <t>08/08/2023 01:15</t>
  </si>
  <si>
    <t>08/08/2023 01:30</t>
  </si>
  <si>
    <t>08/08/2023 01:45</t>
  </si>
  <si>
    <t>08/08/2023 02:00</t>
  </si>
  <si>
    <t>08/08/2023 02:15</t>
  </si>
  <si>
    <t>08/08/2023 02:30</t>
  </si>
  <si>
    <t>08/08/2023 02:45</t>
  </si>
  <si>
    <t>08/08/2023 03:00</t>
  </si>
  <si>
    <t>08/08/2023 03:15</t>
  </si>
  <si>
    <t>08/08/2023 03:30</t>
  </si>
  <si>
    <t>08/08/2023 03:45</t>
  </si>
  <si>
    <t>08/08/2023 04:00</t>
  </si>
  <si>
    <t>08/08/2023 04:15</t>
  </si>
  <si>
    <t>08/08/2023 04:30</t>
  </si>
  <si>
    <t>08/08/2023 04:45</t>
  </si>
  <si>
    <t>08/08/2023 05:00</t>
  </si>
  <si>
    <t>08/08/2023 05:15</t>
  </si>
  <si>
    <t>08/08/2023 05:30</t>
  </si>
  <si>
    <t>08/08/2023 05:45</t>
  </si>
  <si>
    <t>08/08/2023 06:00</t>
  </si>
  <si>
    <t>08/08/2023 06:15</t>
  </si>
  <si>
    <t>08/08/2023 06:30</t>
  </si>
  <si>
    <t>08/08/2023 06:45</t>
  </si>
  <si>
    <t>08/08/2023 07:00</t>
  </si>
  <si>
    <t>08/08/2023 07:15</t>
  </si>
  <si>
    <t>08/08/2023 07:30</t>
  </si>
  <si>
    <t>08/08/2023 07:45</t>
  </si>
  <si>
    <t>08/08/2023 08:00</t>
  </si>
  <si>
    <t>08/08/2023 08:15</t>
  </si>
  <si>
    <t>08/08/2023 08:30</t>
  </si>
  <si>
    <t>08/08/2023 08:45</t>
  </si>
  <si>
    <t>08/08/2023 09:00</t>
  </si>
  <si>
    <t>08/08/2023 09:15</t>
  </si>
  <si>
    <t>08/08/2023 09:30</t>
  </si>
  <si>
    <t>08/08/2023 09:45</t>
  </si>
  <si>
    <t>08/08/2023 10:00</t>
  </si>
  <si>
    <t>08/08/2023 10:15</t>
  </si>
  <si>
    <t>08/08/2023 10:30</t>
  </si>
  <si>
    <t>08/08/2023 10:45</t>
  </si>
  <si>
    <t>08/08/2023 11:00</t>
  </si>
  <si>
    <t>08/08/2023 11:15</t>
  </si>
  <si>
    <t>08/08/2023 11:30</t>
  </si>
  <si>
    <t>08/08/2023 11:45</t>
  </si>
  <si>
    <t>08/08/2023 12:00</t>
  </si>
  <si>
    <t>08/08/2023 12:15</t>
  </si>
  <si>
    <t>08/08/2023 12:30</t>
  </si>
  <si>
    <t>08/08/2023 12:45</t>
  </si>
  <si>
    <t>08/08/2023 13:00</t>
  </si>
  <si>
    <t>08/08/2023 13:15</t>
  </si>
  <si>
    <t>08/08/2023 13:30</t>
  </si>
  <si>
    <t>08/08/2023 13:45</t>
  </si>
  <si>
    <t>08/08/2023 14:00</t>
  </si>
  <si>
    <t>08/08/2023 14:15</t>
  </si>
  <si>
    <t>08/08/2023 14:30</t>
  </si>
  <si>
    <t>08/08/2023 14:45</t>
  </si>
  <si>
    <t>08/08/2023 15:00</t>
  </si>
  <si>
    <t>08/08/2023 15:15</t>
  </si>
  <si>
    <t>08/08/2023 15:30</t>
  </si>
  <si>
    <t>08/08/2023 15:45</t>
  </si>
  <si>
    <t>08/08/2023 16:00</t>
  </si>
  <si>
    <t>08/08/2023 16:15</t>
  </si>
  <si>
    <t>08/08/2023 16:30</t>
  </si>
  <si>
    <t>08/08/2023 16:45</t>
  </si>
  <si>
    <t>08/08/2023 17:00</t>
  </si>
  <si>
    <t>08/08/2023 17:15</t>
  </si>
  <si>
    <t>08/08/2023 17:30</t>
  </si>
  <si>
    <t>08/08/2023 17:45</t>
  </si>
  <si>
    <t>08/08/2023 18:00</t>
  </si>
  <si>
    <t>08/08/2023 18:15</t>
  </si>
  <si>
    <t>08/08/2023 18:30</t>
  </si>
  <si>
    <t>08/08/2023 18:45</t>
  </si>
  <si>
    <t>08/08/2023 19:00</t>
  </si>
  <si>
    <t>08/08/2023 19:15</t>
  </si>
  <si>
    <t>08/08/2023 19:30</t>
  </si>
  <si>
    <t>08/08/2023 19:45</t>
  </si>
  <si>
    <t>08/08/2023 20:00</t>
  </si>
  <si>
    <t>08/08/2023 20:15</t>
  </si>
  <si>
    <t>08/08/2023 20:30</t>
  </si>
  <si>
    <t>08/08/2023 20:45</t>
  </si>
  <si>
    <t>08/08/2023 21:00</t>
  </si>
  <si>
    <t>08/08/2023 21:30</t>
  </si>
  <si>
    <t>08/08/2023 21:45</t>
  </si>
  <si>
    <t>08/08/2023 22:00</t>
  </si>
  <si>
    <t>08/08/2023 22:15</t>
  </si>
  <si>
    <t>08/08/2023 22:30</t>
  </si>
  <si>
    <t>08/08/2023 22:45</t>
  </si>
  <si>
    <t>08/08/2023 23:00</t>
  </si>
  <si>
    <t>08/08/2023 23:15</t>
  </si>
  <si>
    <t>08/08/2023 23:30</t>
  </si>
  <si>
    <t>08/08/2023 23:45</t>
  </si>
  <si>
    <t>08/08/2023 24:00</t>
  </si>
  <si>
    <t>09/08/2023 00:15</t>
  </si>
  <si>
    <t>09/08/2023 00:30</t>
  </si>
  <si>
    <t>09/08/2023 00:45</t>
  </si>
  <si>
    <t>09/08/2023 01:00</t>
  </si>
  <si>
    <t>09/08/2023 01:15</t>
  </si>
  <si>
    <t>09/08/2023 01:30</t>
  </si>
  <si>
    <t>09/08/2023 01:45</t>
  </si>
  <si>
    <t>09/08/2023 02:00</t>
  </si>
  <si>
    <t>09/08/2023 02:15</t>
  </si>
  <si>
    <t>09/08/2023 02:30</t>
  </si>
  <si>
    <t>09/08/2023 02:45</t>
  </si>
  <si>
    <t>09/08/2023 03:00</t>
  </si>
  <si>
    <t>09/08/2023 03:15</t>
  </si>
  <si>
    <t>09/08/2023 03:30</t>
  </si>
  <si>
    <t>09/08/2023 03:45</t>
  </si>
  <si>
    <t>09/08/2023 04:00</t>
  </si>
  <si>
    <t>09/08/2023 04:15</t>
  </si>
  <si>
    <t>09/08/2023 04:30</t>
  </si>
  <si>
    <t>09/08/2023 04:45</t>
  </si>
  <si>
    <t>09/08/2023 05:00</t>
  </si>
  <si>
    <t>09/08/2023 05:15</t>
  </si>
  <si>
    <t>09/08/2023 05:30</t>
  </si>
  <si>
    <t>09/08/2023 05:45</t>
  </si>
  <si>
    <t>09/08/2023 06:00</t>
  </si>
  <si>
    <t>09/08/2023 06:15</t>
  </si>
  <si>
    <t>09/08/2023 06:30</t>
  </si>
  <si>
    <t>09/08/2023 06:45</t>
  </si>
  <si>
    <t>09/08/2023 07:00</t>
  </si>
  <si>
    <t>09/08/2023 07:15</t>
  </si>
  <si>
    <t>09/08/2023 07:30</t>
  </si>
  <si>
    <t>09/08/2023 07:45</t>
  </si>
  <si>
    <t>09/08/2023 08:00</t>
  </si>
  <si>
    <t>09/08/2023 08:15</t>
  </si>
  <si>
    <t>09/08/2023 08:30</t>
  </si>
  <si>
    <t>09/08/2023 08:45</t>
  </si>
  <si>
    <t>09/08/2023 09:00</t>
  </si>
  <si>
    <t>09/08/2023 09:15</t>
  </si>
  <si>
    <t>09/08/2023 09:30</t>
  </si>
  <si>
    <t>09/08/2023 09:45</t>
  </si>
  <si>
    <t>09/08/2023 10:00</t>
  </si>
  <si>
    <t>09/08/2023 10:15</t>
  </si>
  <si>
    <t>09/08/2023 10:30</t>
  </si>
  <si>
    <t>09/08/2023 10:45</t>
  </si>
  <si>
    <t>09/08/2023 11:00</t>
  </si>
  <si>
    <t>09/08/2023 11:15</t>
  </si>
  <si>
    <t>09/08/2023 11:30</t>
  </si>
  <si>
    <t>09/08/2023 11:45</t>
  </si>
  <si>
    <t>09/08/2023 12:00</t>
  </si>
  <si>
    <t>09/08/2023 12:15</t>
  </si>
  <si>
    <t>09/08/2023 12:30</t>
  </si>
  <si>
    <t>09/08/2023 12:45</t>
  </si>
  <si>
    <t>09/08/2023 13:00</t>
  </si>
  <si>
    <t>09/08/2023 13:15</t>
  </si>
  <si>
    <t>09/08/2023 13:30</t>
  </si>
  <si>
    <t>09/08/2023 13:45</t>
  </si>
  <si>
    <t>09/08/2023 14:00</t>
  </si>
  <si>
    <t>09/08/2023 14:15</t>
  </si>
  <si>
    <t>09/08/2023 14:30</t>
  </si>
  <si>
    <t>09/08/2023 14:45</t>
  </si>
  <si>
    <t>09/08/2023 15:00</t>
  </si>
  <si>
    <t>09/08/2023 15:15</t>
  </si>
  <si>
    <t>09/08/2023 15:30</t>
  </si>
  <si>
    <t>09/08/2023 15:45</t>
  </si>
  <si>
    <t>09/08/2023 16:00</t>
  </si>
  <si>
    <t>09/08/2023 16:15</t>
  </si>
  <si>
    <t>09/08/2023 16:30</t>
  </si>
  <si>
    <t>09/08/2023 16:45</t>
  </si>
  <si>
    <t>09/08/2023 17:00</t>
  </si>
  <si>
    <t>09/08/2023 17:15</t>
  </si>
  <si>
    <t>09/08/2023 17:30</t>
  </si>
  <si>
    <t>09/08/2023 17:45</t>
  </si>
  <si>
    <t>09/08/2023 18:00</t>
  </si>
  <si>
    <t>09/08/2023 18:15</t>
  </si>
  <si>
    <t>09/08/2023 18:30</t>
  </si>
  <si>
    <t>09/08/2023 18:45</t>
  </si>
  <si>
    <t>09/08/2023 19:00</t>
  </si>
  <si>
    <t>09/08/2023 19:15</t>
  </si>
  <si>
    <t>09/08/2023 19:30</t>
  </si>
  <si>
    <t>09/08/2023 19:45</t>
  </si>
  <si>
    <t>09/08/2023 20:00</t>
  </si>
  <si>
    <t>09/08/2023 20:15</t>
  </si>
  <si>
    <t>09/08/2023 20:30</t>
  </si>
  <si>
    <t>09/08/2023 20:45</t>
  </si>
  <si>
    <t>09/08/2023 21:00</t>
  </si>
  <si>
    <t>09/08/2023 21:15</t>
  </si>
  <si>
    <t>09/08/2023 21:30</t>
  </si>
  <si>
    <t>09/08/2023 21:45</t>
  </si>
  <si>
    <t>09/08/2023 22:00</t>
  </si>
  <si>
    <t>09/08/2023 22:15</t>
  </si>
  <si>
    <t>09/08/2023 22:30</t>
  </si>
  <si>
    <t>09/08/2023 22:45</t>
  </si>
  <si>
    <t>09/08/2023 23:00</t>
  </si>
  <si>
    <t>09/08/2023 23:15</t>
  </si>
  <si>
    <t>09/08/2023 23:30</t>
  </si>
  <si>
    <t>09/08/2023 23:45</t>
  </si>
  <si>
    <t>09/08/2023 24:00</t>
  </si>
  <si>
    <t>10/08/2023 00:15</t>
  </si>
  <si>
    <t>10/08/2023 00:30</t>
  </si>
  <si>
    <t>10/08/2023 00:45</t>
  </si>
  <si>
    <t>10/08/2023 01:00</t>
  </si>
  <si>
    <t>10/08/2023 01:15</t>
  </si>
  <si>
    <t>10/08/2023 01:30</t>
  </si>
  <si>
    <t>10/08/2023 01:45</t>
  </si>
  <si>
    <t>10/08/2023 02:00</t>
  </si>
  <si>
    <t>10/08/2023 02:15</t>
  </si>
  <si>
    <t>10/08/2023 02:30</t>
  </si>
  <si>
    <t>10/08/2023 02:45</t>
  </si>
  <si>
    <t>10/08/2023 03:00</t>
  </si>
  <si>
    <t>10/08/2023 03:15</t>
  </si>
  <si>
    <t>10/08/2023 03:30</t>
  </si>
  <si>
    <t>10/08/2023 03:45</t>
  </si>
  <si>
    <t>10/08/2023 04:00</t>
  </si>
  <si>
    <t>10/08/2023 04:15</t>
  </si>
  <si>
    <t>10/08/2023 04:30</t>
  </si>
  <si>
    <t>10/08/2023 04:45</t>
  </si>
  <si>
    <t>10/08/2023 05:00</t>
  </si>
  <si>
    <t>10/08/2023 05:15</t>
  </si>
  <si>
    <t>10/08/2023 05:30</t>
  </si>
  <si>
    <t>10/08/2023 05:45</t>
  </si>
  <si>
    <t>10/08/2023 06:00</t>
  </si>
  <si>
    <t>10/08/2023 06:15</t>
  </si>
  <si>
    <t>10/08/2023 06:30</t>
  </si>
  <si>
    <t>10/08/2023 06:45</t>
  </si>
  <si>
    <t>10/08/2023 07:00</t>
  </si>
  <si>
    <t>10/08/2023 07:15</t>
  </si>
  <si>
    <t>10/08/2023 07:30</t>
  </si>
  <si>
    <t>10/08/2023 07:45</t>
  </si>
  <si>
    <t>10/08/2023 08:00</t>
  </si>
  <si>
    <t>10/08/2023 08:15</t>
  </si>
  <si>
    <t>10/08/2023 08:30</t>
  </si>
  <si>
    <t>10/08/2023 08:45</t>
  </si>
  <si>
    <t>10/08/2023 09:00</t>
  </si>
  <si>
    <t>10/08/2023 09:15</t>
  </si>
  <si>
    <t>10/08/2023 09:30</t>
  </si>
  <si>
    <t>10/08/2023 09:45</t>
  </si>
  <si>
    <t>10/08/2023 10:00</t>
  </si>
  <si>
    <t>10/08/2023 10:15</t>
  </si>
  <si>
    <t>10/08/2023 10:30</t>
  </si>
  <si>
    <t>10/08/2023 10:45</t>
  </si>
  <si>
    <t>10/08/2023 11:00</t>
  </si>
  <si>
    <t>10/08/2023 11:15</t>
  </si>
  <si>
    <t>10/08/2023 11:30</t>
  </si>
  <si>
    <t>10/08/2023 11:45</t>
  </si>
  <si>
    <t>10/08/2023 12:00</t>
  </si>
  <si>
    <t>10/08/2023 12:15</t>
  </si>
  <si>
    <t>10/08/2023 12:30</t>
  </si>
  <si>
    <t>10/08/2023 12:45</t>
  </si>
  <si>
    <t>10/08/2023 13:00</t>
  </si>
  <si>
    <t>10/08/2023 13:15</t>
  </si>
  <si>
    <t>10/08/2023 13:30</t>
  </si>
  <si>
    <t>10/08/2023 13:45</t>
  </si>
  <si>
    <t>10/08/2023 14:00</t>
  </si>
  <si>
    <t>10/08/2023 14:15</t>
  </si>
  <si>
    <t>10/08/2023 14:30</t>
  </si>
  <si>
    <t>10/08/2023 14:45</t>
  </si>
  <si>
    <t>10/08/2023 15:00</t>
  </si>
  <si>
    <t>10/08/2023 15:15</t>
  </si>
  <si>
    <t>10/08/2023 15:30</t>
  </si>
  <si>
    <t>10/08/2023 15:45</t>
  </si>
  <si>
    <t>10/08/2023 16:00</t>
  </si>
  <si>
    <t>10/08/2023 16:15</t>
  </si>
  <si>
    <t>10/08/2023 16:30</t>
  </si>
  <si>
    <t>10/08/2023 16:45</t>
  </si>
  <si>
    <t>10/08/2023 17:00</t>
  </si>
  <si>
    <t>10/08/2023 17:15</t>
  </si>
  <si>
    <t>10/08/2023 17:30</t>
  </si>
  <si>
    <t>10/08/2023 17:45</t>
  </si>
  <si>
    <t>10/08/2023 18:00</t>
  </si>
  <si>
    <t>10/08/2023 18:15</t>
  </si>
  <si>
    <t>10/08/2023 18:30</t>
  </si>
  <si>
    <t>10/08/2023 18:45</t>
  </si>
  <si>
    <t>10/08/2023 19:00</t>
  </si>
  <si>
    <t>10/08/2023 19:15</t>
  </si>
  <si>
    <t>10/08/2023 19:30</t>
  </si>
  <si>
    <t>10/08/2023 19:45</t>
  </si>
  <si>
    <t>10/08/2023 20:00</t>
  </si>
  <si>
    <t>10/08/2023 20:15</t>
  </si>
  <si>
    <t>10/08/2023 20:30</t>
  </si>
  <si>
    <t>10/08/2023 20:45</t>
  </si>
  <si>
    <t>10/08/2023 21:00</t>
  </si>
  <si>
    <t>10/08/2023 21:15</t>
  </si>
  <si>
    <t>10/08/2023 21:30</t>
  </si>
  <si>
    <t>10/08/2023 21:45</t>
  </si>
  <si>
    <t>10/08/2023 22:00</t>
  </si>
  <si>
    <t>10/08/2023 22:15</t>
  </si>
  <si>
    <t>10/08/2023 22:30</t>
  </si>
  <si>
    <t>10/08/2023 22:45</t>
  </si>
  <si>
    <t>10/08/2023 23:00</t>
  </si>
  <si>
    <t>10/08/2023 23:15</t>
  </si>
  <si>
    <t>10/08/2023 23:30</t>
  </si>
  <si>
    <t>10/08/2023 23:45</t>
  </si>
  <si>
    <t>10/08/2023 24:00</t>
  </si>
  <si>
    <t>11/08/2023 24:00</t>
  </si>
  <si>
    <t>11/08/2023 23:45</t>
  </si>
  <si>
    <t>11/08/2023 23:30</t>
  </si>
  <si>
    <t>11/08/2023 23:15</t>
  </si>
  <si>
    <t>11/08/2023 23:00</t>
  </si>
  <si>
    <t>11/08/2023 22:45</t>
  </si>
  <si>
    <t>11/08/2023 22:30</t>
  </si>
  <si>
    <t>11/08/2023 22:15</t>
  </si>
  <si>
    <t>11/08/2023 22:00</t>
  </si>
  <si>
    <t>11/08/2023 21:45</t>
  </si>
  <si>
    <t>11/08/2023 21:30</t>
  </si>
  <si>
    <t>11/08/2023 21:15</t>
  </si>
  <si>
    <t>11/08/2023 21:00</t>
  </si>
  <si>
    <t>11/08/2023 20:45</t>
  </si>
  <si>
    <t>11/08/2023 20:30</t>
  </si>
  <si>
    <t>11/08/2023 20:15</t>
  </si>
  <si>
    <t>11/08/2023 20:00</t>
  </si>
  <si>
    <t>11/08/2023 19:45</t>
  </si>
  <si>
    <t>11/08/2023 19:30</t>
  </si>
  <si>
    <t>11/08/2023 19:15</t>
  </si>
  <si>
    <t>11/08/2023 19:00</t>
  </si>
  <si>
    <t>11/08/2023 18:45</t>
  </si>
  <si>
    <t>11/08/2023 18:30</t>
  </si>
  <si>
    <t>11/08/2023 18:15</t>
  </si>
  <si>
    <t>11/08/2023 18:00</t>
  </si>
  <si>
    <t>11/08/2023 17:45</t>
  </si>
  <si>
    <t>11/08/2023 17:30</t>
  </si>
  <si>
    <t>11/08/2023 17:15</t>
  </si>
  <si>
    <t>11/08/2023 17:00</t>
  </si>
  <si>
    <t>11/08/2023 16:45</t>
  </si>
  <si>
    <t>11/08/2023 16:30</t>
  </si>
  <si>
    <t>11/08/2023 16:15</t>
  </si>
  <si>
    <t>11/08/2023 16:00</t>
  </si>
  <si>
    <t>11/08/2023 15:45</t>
  </si>
  <si>
    <t>11/08/2023 15:30</t>
  </si>
  <si>
    <t>11/08/2023 15:15</t>
  </si>
  <si>
    <t>11/08/2023 15:00</t>
  </si>
  <si>
    <t>11/08/2023 14:45</t>
  </si>
  <si>
    <t>11/08/2023 14:30</t>
  </si>
  <si>
    <t>11/08/2023 14:15</t>
  </si>
  <si>
    <t>11/08/2023 14:00</t>
  </si>
  <si>
    <t>11/08/2023 13:45</t>
  </si>
  <si>
    <t>11/08/2023 13:30</t>
  </si>
  <si>
    <t>11/08/2023 13:15</t>
  </si>
  <si>
    <t>11/08/2023 13:00</t>
  </si>
  <si>
    <t>11/08/2023 12:45</t>
  </si>
  <si>
    <t>11/08/2023 12:30</t>
  </si>
  <si>
    <t>11/08/2023 12:15</t>
  </si>
  <si>
    <t>11/08/2023 12:00</t>
  </si>
  <si>
    <t>11/08/2023 11:45</t>
  </si>
  <si>
    <t>11/08/2023 11:30</t>
  </si>
  <si>
    <t>11/08/2023 11:15</t>
  </si>
  <si>
    <t>11/08/2023 11:00</t>
  </si>
  <si>
    <t>11/08/2023 10:45</t>
  </si>
  <si>
    <t>11/08/2023 10:30</t>
  </si>
  <si>
    <t>11/08/2023 10:15</t>
  </si>
  <si>
    <t>11/08/2023 10:00</t>
  </si>
  <si>
    <t>11/08/2023 09:45</t>
  </si>
  <si>
    <t>11/08/2023 09:30</t>
  </si>
  <si>
    <t>11/08/2023 09:15</t>
  </si>
  <si>
    <t>11/08/2023 09:00</t>
  </si>
  <si>
    <t>11/08/2023 08:45</t>
  </si>
  <si>
    <t>11/08/2023 08:30</t>
  </si>
  <si>
    <t>11/08/2023 08:15</t>
  </si>
  <si>
    <t>11/08/2023 08:00</t>
  </si>
  <si>
    <t>11/08/2023 07:45</t>
  </si>
  <si>
    <t>11/08/2023 07:30</t>
  </si>
  <si>
    <t>11/08/2023 07:15</t>
  </si>
  <si>
    <t>11/08/2023 07:00</t>
  </si>
  <si>
    <t>11/08/2023 06:45</t>
  </si>
  <si>
    <t>11/08/2023 06:30</t>
  </si>
  <si>
    <t>11/08/2023 06:15</t>
  </si>
  <si>
    <t>11/08/2023 06:00</t>
  </si>
  <si>
    <t>11/08/2023 05:45</t>
  </si>
  <si>
    <t>11/08/2023 05:30</t>
  </si>
  <si>
    <t>11/08/2023 05:15</t>
  </si>
  <si>
    <t>11/08/2023 05:00</t>
  </si>
  <si>
    <t>11/08/2023 04:45</t>
  </si>
  <si>
    <t>11/08/2023 04:30</t>
  </si>
  <si>
    <t>11/08/2023 04:15</t>
  </si>
  <si>
    <t>11/08/2023 04:00</t>
  </si>
  <si>
    <t>11/08/2023 03:45</t>
  </si>
  <si>
    <t>11/08/2023 03:30</t>
  </si>
  <si>
    <t>11/08/2023 03:15</t>
  </si>
  <si>
    <t>11/08/2023 03:00</t>
  </si>
  <si>
    <t>11/08/2023 02:45</t>
  </si>
  <si>
    <t>11/08/2023 02:30</t>
  </si>
  <si>
    <t>11/08/2023 02:15</t>
  </si>
  <si>
    <t>11/08/2023 02:00</t>
  </si>
  <si>
    <t>11/08/2023 01:45</t>
  </si>
  <si>
    <t>11/08/2023 01:30</t>
  </si>
  <si>
    <t>11/08/2023 01:15</t>
  </si>
  <si>
    <t>11/08/2023 01:00</t>
  </si>
  <si>
    <t>11/08/2023 00:45</t>
  </si>
  <si>
    <t>11/08/2023 00:30</t>
  </si>
  <si>
    <t>11/08/2023 00:15</t>
  </si>
  <si>
    <t>12/08/2023 00:15</t>
  </si>
  <si>
    <t>12/08/2023 00:30</t>
  </si>
  <si>
    <t>12/08/2023 00:45</t>
  </si>
  <si>
    <t>12/08/2023 01:00</t>
  </si>
  <si>
    <t>12/08/2023 01:15</t>
  </si>
  <si>
    <t>12/08/2023 01:30</t>
  </si>
  <si>
    <t>12/08/2023 01:45</t>
  </si>
  <si>
    <t>12/08/2023 02:00</t>
  </si>
  <si>
    <t>12/08/2023 02:15</t>
  </si>
  <si>
    <t>12/08/2023 02:30</t>
  </si>
  <si>
    <t>12/08/2023 02:45</t>
  </si>
  <si>
    <t>12/08/2023 03:00</t>
  </si>
  <si>
    <t>12/08/2023 03:15</t>
  </si>
  <si>
    <t>12/08/2023 03:30</t>
  </si>
  <si>
    <t>12/08/2023 03:45</t>
  </si>
  <si>
    <t>12/08/2023 04:00</t>
  </si>
  <si>
    <t>12/08/2023 04:15</t>
  </si>
  <si>
    <t>12/08/2023 04:30</t>
  </si>
  <si>
    <t>12/08/2023 04:45</t>
  </si>
  <si>
    <t>12/08/2023 05:00</t>
  </si>
  <si>
    <t>12/08/2023 05:15</t>
  </si>
  <si>
    <t>12/08/2023 05:30</t>
  </si>
  <si>
    <t>12/08/2023 05:45</t>
  </si>
  <si>
    <t>12/08/2023 06:00</t>
  </si>
  <si>
    <t>12/08/2023 06:15</t>
  </si>
  <si>
    <t>12/08/2023 06:30</t>
  </si>
  <si>
    <t>12/08/2023 06:45</t>
  </si>
  <si>
    <t>12/08/2023 07:00</t>
  </si>
  <si>
    <t>12/08/2023 07:15</t>
  </si>
  <si>
    <t>12/08/2023 07:30</t>
  </si>
  <si>
    <t>12/08/2023 07:45</t>
  </si>
  <si>
    <t>12/08/2023 08:00</t>
  </si>
  <si>
    <t>12/08/2023 08:15</t>
  </si>
  <si>
    <t>12/08/2023 08:30</t>
  </si>
  <si>
    <t>12/08/2023 08:45</t>
  </si>
  <si>
    <t>12/08/2023 09:00</t>
  </si>
  <si>
    <t>12/08/2023 09:15</t>
  </si>
  <si>
    <t>12/08/2023 09:30</t>
  </si>
  <si>
    <t>12/08/2023 09:45</t>
  </si>
  <si>
    <t>12/08/2023 10:00</t>
  </si>
  <si>
    <t>12/08/2023 10:15</t>
  </si>
  <si>
    <t>12/08/2023 10:30</t>
  </si>
  <si>
    <t>12/08/2023 10:45</t>
  </si>
  <si>
    <t>12/08/2023 11:00</t>
  </si>
  <si>
    <t>12/08/2023 11:15</t>
  </si>
  <si>
    <t>12/08/2023 11:30</t>
  </si>
  <si>
    <t>12/08/2023 11:45</t>
  </si>
  <si>
    <t>12/08/2023 12:00</t>
  </si>
  <si>
    <t>12/08/2023 12:15</t>
  </si>
  <si>
    <t>12/08/2023 12:30</t>
  </si>
  <si>
    <t>12/08/2023 12:45</t>
  </si>
  <si>
    <t>12/08/2023 13:00</t>
  </si>
  <si>
    <t>12/08/2023 13:15</t>
  </si>
  <si>
    <t>12/08/2023 13:30</t>
  </si>
  <si>
    <t>12/08/2023 13:45</t>
  </si>
  <si>
    <t>12/08/2023 14:00</t>
  </si>
  <si>
    <t>12/08/2023 14:15</t>
  </si>
  <si>
    <t>12/08/2023 14:30</t>
  </si>
  <si>
    <t>12/08/2023 14:45</t>
  </si>
  <si>
    <t>12/08/2023 15:00</t>
  </si>
  <si>
    <t>12/08/2023 15:15</t>
  </si>
  <si>
    <t>12/08/2023 15:30</t>
  </si>
  <si>
    <t>12/08/2023 15:45</t>
  </si>
  <si>
    <t>12/08/2023 16:00</t>
  </si>
  <si>
    <t>12/08/2023 16:15</t>
  </si>
  <si>
    <t>12/08/2023 16:30</t>
  </si>
  <si>
    <t>12/08/2023 16:45</t>
  </si>
  <si>
    <t>12/08/2023 17:00</t>
  </si>
  <si>
    <t>12/08/2023 17:15</t>
  </si>
  <si>
    <t>12/08/2023 17:30</t>
  </si>
  <si>
    <t>12/08/2023 17:45</t>
  </si>
  <si>
    <t>12/08/2023 18:00</t>
  </si>
  <si>
    <t>12/08/2023 18:15</t>
  </si>
  <si>
    <t>12/08/2023 18:30</t>
  </si>
  <si>
    <t>12/08/2023 18:45</t>
  </si>
  <si>
    <t>12/08/2023 19:00</t>
  </si>
  <si>
    <t>12/08/2023 19:15</t>
  </si>
  <si>
    <t>12/08/2023 19:30</t>
  </si>
  <si>
    <t>12/08/2023 19:45</t>
  </si>
  <si>
    <t>12/08/2023 20:00</t>
  </si>
  <si>
    <t>12/08/2023 20:15</t>
  </si>
  <si>
    <t>12/08/2023 20:30</t>
  </si>
  <si>
    <t>12/08/2023 20:45</t>
  </si>
  <si>
    <t>12/08/2023 21:00</t>
  </si>
  <si>
    <t>12/08/2023 21:15</t>
  </si>
  <si>
    <t>12/08/2023 21:30</t>
  </si>
  <si>
    <t>12/08/2023 21:45</t>
  </si>
  <si>
    <t>12/08/2023 22:00</t>
  </si>
  <si>
    <t>12/08/2023 22:15</t>
  </si>
  <si>
    <t>12/08/2023 22:30</t>
  </si>
  <si>
    <t>12/08/2023 22:45</t>
  </si>
  <si>
    <t>12/08/2023 23:00</t>
  </si>
  <si>
    <t>12/08/2023 23:15</t>
  </si>
  <si>
    <t>12/08/2023 23:30</t>
  </si>
  <si>
    <t>12/08/2023 23:45</t>
  </si>
  <si>
    <t>12/08/2023 24:00</t>
  </si>
  <si>
    <t>13/08/2023 00:15</t>
  </si>
  <si>
    <t>13/08/2023 00:30</t>
  </si>
  <si>
    <t>13/08/2023 00:45</t>
  </si>
  <si>
    <t>13/08/2023 01:00</t>
  </si>
  <si>
    <t>13/08/2023 01:15</t>
  </si>
  <si>
    <t>13/08/2023 01:30</t>
  </si>
  <si>
    <t>13/08/2023 01:45</t>
  </si>
  <si>
    <t>13/08/2023 02:00</t>
  </si>
  <si>
    <t>13/08/2023 02:15</t>
  </si>
  <si>
    <t>13/08/2023 02:30</t>
  </si>
  <si>
    <t>13/08/2023 02:45</t>
  </si>
  <si>
    <t>13/08/2023 03:00</t>
  </si>
  <si>
    <t>13/08/2023 03:15</t>
  </si>
  <si>
    <t>13/08/2023 03:30</t>
  </si>
  <si>
    <t>13/08/2023 03:45</t>
  </si>
  <si>
    <t>13/08/2023 04:00</t>
  </si>
  <si>
    <t>13/08/2023 04:15</t>
  </si>
  <si>
    <t>13/08/2023 04:30</t>
  </si>
  <si>
    <t>13/08/2023 04:45</t>
  </si>
  <si>
    <t>13/08/2023 05:00</t>
  </si>
  <si>
    <t>13/08/2023 05:15</t>
  </si>
  <si>
    <t>13/08/2023 05:30</t>
  </si>
  <si>
    <t>13/08/2023 05:45</t>
  </si>
  <si>
    <t>13/08/2023 06:00</t>
  </si>
  <si>
    <t>13/08/2023 06:15</t>
  </si>
  <si>
    <t>13/08/2023 06:30</t>
  </si>
  <si>
    <t>13/08/2023 06:45</t>
  </si>
  <si>
    <t>13/08/2023 07:00</t>
  </si>
  <si>
    <t>13/08/2023 07:15</t>
  </si>
  <si>
    <t>13/08/2023 07:30</t>
  </si>
  <si>
    <t>13/08/2023 07:45</t>
  </si>
  <si>
    <t>13/08/2023 08:00</t>
  </si>
  <si>
    <t>13/08/2023 08:15</t>
  </si>
  <si>
    <t>13/08/2023 08:30</t>
  </si>
  <si>
    <t>13/08/2023 08:45</t>
  </si>
  <si>
    <t>13/08/2023 09:00</t>
  </si>
  <si>
    <t>13/08/2023 09:15</t>
  </si>
  <si>
    <t>13/08/2023 09:30</t>
  </si>
  <si>
    <t>13/08/2023 09:45</t>
  </si>
  <si>
    <t>13/08/2023 10:00</t>
  </si>
  <si>
    <t>13/08/2023 10:15</t>
  </si>
  <si>
    <t>13/08/2023 10:30</t>
  </si>
  <si>
    <t>13/08/2023 10:45</t>
  </si>
  <si>
    <t>13/08/2023 11:00</t>
  </si>
  <si>
    <t>13/08/2023 11:15</t>
  </si>
  <si>
    <t>13/08/2023 11:30</t>
  </si>
  <si>
    <t>13/08/2023 11:45</t>
  </si>
  <si>
    <t>13/08/2023 12:00</t>
  </si>
  <si>
    <t>13/08/2023 12:15</t>
  </si>
  <si>
    <t>13/08/2023 12:30</t>
  </si>
  <si>
    <t>13/08/2023 12:45</t>
  </si>
  <si>
    <t>13/08/2023 13:00</t>
  </si>
  <si>
    <t>13/08/2023 13:15</t>
  </si>
  <si>
    <t>13/08/2023 13:30</t>
  </si>
  <si>
    <t>13/08/2023 13:45</t>
  </si>
  <si>
    <t>13/08/2023 14:00</t>
  </si>
  <si>
    <t>13/08/2023 14:15</t>
  </si>
  <si>
    <t>13/08/2023 14:30</t>
  </si>
  <si>
    <t>13/08/2023 14:45</t>
  </si>
  <si>
    <t>13/08/2023 15:00</t>
  </si>
  <si>
    <t>13/08/2023 15:15</t>
  </si>
  <si>
    <t>13/08/2023 15:30</t>
  </si>
  <si>
    <t>13/08/2023 15:45</t>
  </si>
  <si>
    <t>13/08/2023 16:00</t>
  </si>
  <si>
    <t>13/08/2023 16:15</t>
  </si>
  <si>
    <t>13/08/2023 16:30</t>
  </si>
  <si>
    <t>13/08/2023 16:45</t>
  </si>
  <si>
    <t>13/08/2023 17:00</t>
  </si>
  <si>
    <t>13/08/2023 17:15</t>
  </si>
  <si>
    <t>13/08/2023 17:30</t>
  </si>
  <si>
    <t>13/08/2023 17:45</t>
  </si>
  <si>
    <t>13/08/2023 18:00</t>
  </si>
  <si>
    <t>13/08/2023 18:15</t>
  </si>
  <si>
    <t>13/08/2023 18:30</t>
  </si>
  <si>
    <t>13/08/2023 18:45</t>
  </si>
  <si>
    <t>13/08/2023 19:00</t>
  </si>
  <si>
    <t>13/08/2023 19:15</t>
  </si>
  <si>
    <t>13/08/2023 19:30</t>
  </si>
  <si>
    <t>13/08/2023 19:45</t>
  </si>
  <si>
    <t>13/08/2023 20:00</t>
  </si>
  <si>
    <t>13/08/2023 20:15</t>
  </si>
  <si>
    <t>13/08/2023 20:30</t>
  </si>
  <si>
    <t>13/08/2023 20:45</t>
  </si>
  <si>
    <t>13/08/2023 21:00</t>
  </si>
  <si>
    <t>13/08/2023 21:15</t>
  </si>
  <si>
    <t>13/08/2023 21:30</t>
  </si>
  <si>
    <t>13/08/2023 21:45</t>
  </si>
  <si>
    <t>13/08/2023 22:00</t>
  </si>
  <si>
    <t>13/08/2023 22:15</t>
  </si>
  <si>
    <t>13/08/2023 22:30</t>
  </si>
  <si>
    <t>13/08/2023 22:45</t>
  </si>
  <si>
    <t>13/08/2023 23:00</t>
  </si>
  <si>
    <t>13/08/2023 23:15</t>
  </si>
  <si>
    <t>13/08/2023 23:30</t>
  </si>
  <si>
    <t>13/08/2023 23:45</t>
  </si>
  <si>
    <t>13/08/2023 24:00</t>
  </si>
  <si>
    <t>14/08/2023 00:15</t>
  </si>
  <si>
    <t>14/08/2023 00:30</t>
  </si>
  <si>
    <t>14/08/2023 00:45</t>
  </si>
  <si>
    <t>14/08/2023 01:00</t>
  </si>
  <si>
    <t>14/08/2023 01:15</t>
  </si>
  <si>
    <t>14/08/2023 01:30</t>
  </si>
  <si>
    <t>14/08/2023 01:45</t>
  </si>
  <si>
    <t>14/08/2023 02:00</t>
  </si>
  <si>
    <t>14/08/2023 02:15</t>
  </si>
  <si>
    <t>14/08/2023 02:30</t>
  </si>
  <si>
    <t>14/08/2023 02:45</t>
  </si>
  <si>
    <t>14/08/2023 03:00</t>
  </si>
  <si>
    <t>14/08/2023 03:15</t>
  </si>
  <si>
    <t>14/08/2023 03:30</t>
  </si>
  <si>
    <t>14/08/2023 03:45</t>
  </si>
  <si>
    <t>14/08/2023 04:00</t>
  </si>
  <si>
    <t>14/08/2023 04:15</t>
  </si>
  <si>
    <t>14/08/2023 04:30</t>
  </si>
  <si>
    <t>14/08/2023 04:45</t>
  </si>
  <si>
    <t>14/08/2023 05:00</t>
  </si>
  <si>
    <t>14/08/2023 05:15</t>
  </si>
  <si>
    <t>14/08/2023 05:30</t>
  </si>
  <si>
    <t>14/08/2023 05:45</t>
  </si>
  <si>
    <t>14/08/2023 06:00</t>
  </si>
  <si>
    <t>14/08/2023 06:15</t>
  </si>
  <si>
    <t>14/08/2023 06:30</t>
  </si>
  <si>
    <t>14/08/2023 06:45</t>
  </si>
  <si>
    <t>14/08/2023 07:00</t>
  </si>
  <si>
    <t>14/08/2023 07:15</t>
  </si>
  <si>
    <t>14/08/2023 07:30</t>
  </si>
  <si>
    <t>14/08/2023 07:45</t>
  </si>
  <si>
    <t>14/08/2023 08:00</t>
  </si>
  <si>
    <t>14/08/2023 08:15</t>
  </si>
  <si>
    <t>14/08/2023 08:30</t>
  </si>
  <si>
    <t>14/08/2023 08:45</t>
  </si>
  <si>
    <t>14/08/2023 09:00</t>
  </si>
  <si>
    <t>14/08/2023 09:15</t>
  </si>
  <si>
    <t>14/08/2023 09:30</t>
  </si>
  <si>
    <t>14/08/2023 09:45</t>
  </si>
  <si>
    <t>14/08/2023 10:00</t>
  </si>
  <si>
    <t>14/08/2023 10:15</t>
  </si>
  <si>
    <t>14/08/2023 10:30</t>
  </si>
  <si>
    <t>14/08/2023 10:45</t>
  </si>
  <si>
    <t>14/08/2023 11:00</t>
  </si>
  <si>
    <t>14/08/2023 11:15</t>
  </si>
  <si>
    <t>14/08/2023 11:30</t>
  </si>
  <si>
    <t>14/08/2023 11:45</t>
  </si>
  <si>
    <t>14/08/2023 12:00</t>
  </si>
  <si>
    <t>14/08/2023 12:15</t>
  </si>
  <si>
    <t>14/08/2023 12:30</t>
  </si>
  <si>
    <t>14/08/2023 12:45</t>
  </si>
  <si>
    <t>14/08/2023 13:00</t>
  </si>
  <si>
    <t>14/08/2023 13:15</t>
  </si>
  <si>
    <t>14/08/2023 13:30</t>
  </si>
  <si>
    <t>14/08/2023 13:45</t>
  </si>
  <si>
    <t>14/08/2023 14:00</t>
  </si>
  <si>
    <t>14/08/2023 14:15</t>
  </si>
  <si>
    <t>14/08/2023 14:30</t>
  </si>
  <si>
    <t>14/08/2023 14:45</t>
  </si>
  <si>
    <t>14/08/2023 15:00</t>
  </si>
  <si>
    <t>14/08/2023 15:15</t>
  </si>
  <si>
    <t>14/08/2023 15:30</t>
  </si>
  <si>
    <t>14/08/2023 15:45</t>
  </si>
  <si>
    <t>14/08/2023 16:00</t>
  </si>
  <si>
    <t>14/08/2023 16:15</t>
  </si>
  <si>
    <t>14/08/2023 16:30</t>
  </si>
  <si>
    <t>14/08/2023 16:45</t>
  </si>
  <si>
    <t>14/08/2023 17:00</t>
  </si>
  <si>
    <t>14/08/2023 17:15</t>
  </si>
  <si>
    <t>14/08/2023 17:30</t>
  </si>
  <si>
    <t>14/08/2023 17:45</t>
  </si>
  <si>
    <t>14/08/2023 18:00</t>
  </si>
  <si>
    <t>14/08/2023 18:15</t>
  </si>
  <si>
    <t>14/08/2023 18:30</t>
  </si>
  <si>
    <t>14/08/2023 18:45</t>
  </si>
  <si>
    <t>14/08/2023 19:00</t>
  </si>
  <si>
    <t>14/08/2023 19:15</t>
  </si>
  <si>
    <t>14/08/2023 19:30</t>
  </si>
  <si>
    <t>14/08/2023 19:45</t>
  </si>
  <si>
    <t>14/08/2023 20:00</t>
  </si>
  <si>
    <t>14/08/2023 20:15</t>
  </si>
  <si>
    <t>14/08/2023 20:30</t>
  </si>
  <si>
    <t>14/08/2023 20:45</t>
  </si>
  <si>
    <t>14/08/2023 21:00</t>
  </si>
  <si>
    <t>14/08/2023 21:15</t>
  </si>
  <si>
    <t>14/08/2023 21:30</t>
  </si>
  <si>
    <t>14/08/2023 21:45</t>
  </si>
  <si>
    <t>14/08/2023 22:00</t>
  </si>
  <si>
    <t>14/08/2023 22:15</t>
  </si>
  <si>
    <t>14/08/2023 22:30</t>
  </si>
  <si>
    <t>14/08/2023 22:45</t>
  </si>
  <si>
    <t>14/08/2023 23:00</t>
  </si>
  <si>
    <t>14/08/2023 23:15</t>
  </si>
  <si>
    <t>14/08/2023 23:30</t>
  </si>
  <si>
    <t>14/08/2023 23:45</t>
  </si>
  <si>
    <t>14/08/2023 24:00</t>
  </si>
  <si>
    <t>15/08/2023 00:15</t>
  </si>
  <si>
    <t>15/08/2023 00:30</t>
  </si>
  <si>
    <t>15/08/2023 00:45</t>
  </si>
  <si>
    <t>15/08/2023 01:00</t>
  </si>
  <si>
    <t>15/08/2023 01:15</t>
  </si>
  <si>
    <t>15/08/2023 01:30</t>
  </si>
  <si>
    <t>15/08/2023 01:45</t>
  </si>
  <si>
    <t>15/08/2023 02:00</t>
  </si>
  <si>
    <t>15/08/2023 02:15</t>
  </si>
  <si>
    <t>15/08/2023 02:30</t>
  </si>
  <si>
    <t>15/08/2023 02:45</t>
  </si>
  <si>
    <t>15/08/2023 03:00</t>
  </si>
  <si>
    <t>15/08/2023 03:15</t>
  </si>
  <si>
    <t>15/08/2023 03:30</t>
  </si>
  <si>
    <t>15/08/2023 03:45</t>
  </si>
  <si>
    <t>15/08/2023 04:00</t>
  </si>
  <si>
    <t>15/08/2023 04:15</t>
  </si>
  <si>
    <t>15/08/2023 04:30</t>
  </si>
  <si>
    <t>15/08/2023 04:45</t>
  </si>
  <si>
    <t>15/08/2023 05:00</t>
  </si>
  <si>
    <t>15/08/2023 05:15</t>
  </si>
  <si>
    <t>15/08/2023 05:30</t>
  </si>
  <si>
    <t>15/08/2023 05:45</t>
  </si>
  <si>
    <t>15/08/2023 06:00</t>
  </si>
  <si>
    <t>15/08/2023 06:15</t>
  </si>
  <si>
    <t>15/08/2023 06:30</t>
  </si>
  <si>
    <t>15/08/2023 06:45</t>
  </si>
  <si>
    <t>15/08/2023 07:00</t>
  </si>
  <si>
    <t>15/08/2023 07:15</t>
  </si>
  <si>
    <t>15/08/2023 07:30</t>
  </si>
  <si>
    <t>15/08/2023 07:45</t>
  </si>
  <si>
    <t>15/08/2023 08:00</t>
  </si>
  <si>
    <t>15/08/2023 08:15</t>
  </si>
  <si>
    <t>15/08/2023 08:30</t>
  </si>
  <si>
    <t>15/08/2023 08:45</t>
  </si>
  <si>
    <t>15/08/2023 09:00</t>
  </si>
  <si>
    <t>15/08/2023 09:15</t>
  </si>
  <si>
    <t>15/08/2023 09:30</t>
  </si>
  <si>
    <t>15/08/2023 09:45</t>
  </si>
  <si>
    <t>15/08/2023 10:00</t>
  </si>
  <si>
    <t>15/08/2023 10:15</t>
  </si>
  <si>
    <t>15/08/2023 10:30</t>
  </si>
  <si>
    <t>15/08/2023 10:45</t>
  </si>
  <si>
    <t>15/08/2023 11:00</t>
  </si>
  <si>
    <t>15/08/2023 11:15</t>
  </si>
  <si>
    <t>15/08/2023 11:30</t>
  </si>
  <si>
    <t>15/08/2023 11:45</t>
  </si>
  <si>
    <t>15/08/2023 12:00</t>
  </si>
  <si>
    <t>15/08/2023 12:15</t>
  </si>
  <si>
    <t>15/08/2023 12:30</t>
  </si>
  <si>
    <t>15/08/2023 12:45</t>
  </si>
  <si>
    <t>15/08/2023 13:00</t>
  </si>
  <si>
    <t>15/08/2023 13:15</t>
  </si>
  <si>
    <t>15/08/2023 13:30</t>
  </si>
  <si>
    <t>15/08/2023 13:45</t>
  </si>
  <si>
    <t>15/08/2023 14:00</t>
  </si>
  <si>
    <t>15/08/2023 14:15</t>
  </si>
  <si>
    <t>15/08/2023 14:30</t>
  </si>
  <si>
    <t>15/08/2023 14:45</t>
  </si>
  <si>
    <t>15/08/2023 15:00</t>
  </si>
  <si>
    <t>15/08/2023 15:15</t>
  </si>
  <si>
    <t>15/08/2023 15:30</t>
  </si>
  <si>
    <t>15/08/2023 15:45</t>
  </si>
  <si>
    <t>15/08/2023 16:00</t>
  </si>
  <si>
    <t>15/08/2023 16:15</t>
  </si>
  <si>
    <t>15/08/2023 16:30</t>
  </si>
  <si>
    <t>15/08/2023 16:45</t>
  </si>
  <si>
    <t>15/08/2023 17:00</t>
  </si>
  <si>
    <t>15/08/2023 17:15</t>
  </si>
  <si>
    <t>15/08/2023 17:30</t>
  </si>
  <si>
    <t>15/08/2023 17:45</t>
  </si>
  <si>
    <t>15/08/2023 18:00</t>
  </si>
  <si>
    <t>15/08/2023 18:15</t>
  </si>
  <si>
    <t>15/08/2023 18:30</t>
  </si>
  <si>
    <t>15/08/2023 18:45</t>
  </si>
  <si>
    <t>15/08/2023 19:00</t>
  </si>
  <si>
    <t>15/08/2023 19:15</t>
  </si>
  <si>
    <t>15/08/2023 19:30</t>
  </si>
  <si>
    <t>15/08/2023 19:45</t>
  </si>
  <si>
    <t>15/08/2023 20:00</t>
  </si>
  <si>
    <t>15/08/2023 20:15</t>
  </si>
  <si>
    <t>15/08/2023 20:30</t>
  </si>
  <si>
    <t>15/08/2023 20:45</t>
  </si>
  <si>
    <t>15/08/2023 21:00</t>
  </si>
  <si>
    <t>15/08/2023 21:15</t>
  </si>
  <si>
    <t>15/08/2023 21:30</t>
  </si>
  <si>
    <t>15/08/2023 21:45</t>
  </si>
  <si>
    <t>15/08/2023 22:00</t>
  </si>
  <si>
    <t>15/08/2023 22:15</t>
  </si>
  <si>
    <t>15/08/2023 22:30</t>
  </si>
  <si>
    <t>15/08/2023 22:45</t>
  </si>
  <si>
    <t>15/08/2023 23:00</t>
  </si>
  <si>
    <t>15/08/2023 23:15</t>
  </si>
  <si>
    <t>15/08/2023 23:30</t>
  </si>
  <si>
    <t>15/08/2023 23:45</t>
  </si>
  <si>
    <t>15/08/2023 24:00</t>
  </si>
  <si>
    <t>16/08/2023 00:15</t>
  </si>
  <si>
    <t>16/08/2023 00:30</t>
  </si>
  <si>
    <t>16/08/2023 00:45</t>
  </si>
  <si>
    <t>16/08/2023 01:00</t>
  </si>
  <si>
    <t>16/08/2023 01:15</t>
  </si>
  <si>
    <t>16/08/2023 01:30</t>
  </si>
  <si>
    <t>16/08/2023 01:45</t>
  </si>
  <si>
    <t>16/08/2023 02:00</t>
  </si>
  <si>
    <t>16/08/2023 02:15</t>
  </si>
  <si>
    <t>16/08/2023 02:30</t>
  </si>
  <si>
    <t>16/08/2023 02:45</t>
  </si>
  <si>
    <t>16/08/2023 03:00</t>
  </si>
  <si>
    <t>16/08/2023 03:15</t>
  </si>
  <si>
    <t>16/08/2023 03:30</t>
  </si>
  <si>
    <t>16/08/2023 03:45</t>
  </si>
  <si>
    <t>16/08/2023 04:00</t>
  </si>
  <si>
    <t>16/08/2023 04:15</t>
  </si>
  <si>
    <t>16/08/2023 04:30</t>
  </si>
  <si>
    <t>16/08/2023 04:45</t>
  </si>
  <si>
    <t>16/08/2023 05:00</t>
  </si>
  <si>
    <t>16/08/2023 05:15</t>
  </si>
  <si>
    <t>16/08/2023 05:30</t>
  </si>
  <si>
    <t>16/08/2023 05:45</t>
  </si>
  <si>
    <t>16/08/2023 06:00</t>
  </si>
  <si>
    <t>16/08/2023 06:15</t>
  </si>
  <si>
    <t>16/08/2023 06:30</t>
  </si>
  <si>
    <t>16/08/2023 06:45</t>
  </si>
  <si>
    <t>16/08/2023 07:00</t>
  </si>
  <si>
    <t>16/08/2023 07:15</t>
  </si>
  <si>
    <t>16/08/2023 07:30</t>
  </si>
  <si>
    <t>16/08/2023 07:45</t>
  </si>
  <si>
    <t>16/08/2023 08:00</t>
  </si>
  <si>
    <t>16/08/2023 08:15</t>
  </si>
  <si>
    <t>16/08/2023 08:30</t>
  </si>
  <si>
    <t>16/08/2023 08:45</t>
  </si>
  <si>
    <t>16/08/2023 09:00</t>
  </si>
  <si>
    <t>16/08/2023 09:15</t>
  </si>
  <si>
    <t>16/08/2023 09:30</t>
  </si>
  <si>
    <t>16/08/2023 09:45</t>
  </si>
  <si>
    <t>16/08/2023 10:00</t>
  </si>
  <si>
    <t>16/08/2023 10:15</t>
  </si>
  <si>
    <t>16/08/2023 10:30</t>
  </si>
  <si>
    <t>16/08/2023 10:45</t>
  </si>
  <si>
    <t>16/08/2023 11:00</t>
  </si>
  <si>
    <t>16/08/2023 11:15</t>
  </si>
  <si>
    <t>16/08/2023 11:30</t>
  </si>
  <si>
    <t>16/08/2023 11:45</t>
  </si>
  <si>
    <t>16/08/2023 12:00</t>
  </si>
  <si>
    <t>16/08/2023 12:15</t>
  </si>
  <si>
    <t>16/08/2023 12:30</t>
  </si>
  <si>
    <t>16/08/2023 12:45</t>
  </si>
  <si>
    <t>16/08/2023 13:00</t>
  </si>
  <si>
    <t>16/08/2023 13:15</t>
  </si>
  <si>
    <t>16/08/2023 13:30</t>
  </si>
  <si>
    <t>16/08/2023 13:45</t>
  </si>
  <si>
    <t>16/08/2023 14:00</t>
  </si>
  <si>
    <t>16/08/2023 14:15</t>
  </si>
  <si>
    <t>16/08/2023 14:30</t>
  </si>
  <si>
    <t>16/08/2023 14:45</t>
  </si>
  <si>
    <t>16/08/2023 15:00</t>
  </si>
  <si>
    <t>16/08/2023 15:15</t>
  </si>
  <si>
    <t>16/08/2023 15:30</t>
  </si>
  <si>
    <t>16/08/2023 15:45</t>
  </si>
  <si>
    <t>16/08/2023 16:00</t>
  </si>
  <si>
    <t>16/08/2023 16:15</t>
  </si>
  <si>
    <t>16/08/2023 16:30</t>
  </si>
  <si>
    <t>16/08/2023 16:45</t>
  </si>
  <si>
    <t>16/08/2023 17:00</t>
  </si>
  <si>
    <t>16/08/2023 17:15</t>
  </si>
  <si>
    <t>16/08/2023 17:30</t>
  </si>
  <si>
    <t>16/08/2023 17:45</t>
  </si>
  <si>
    <t>16/08/2023 18:00</t>
  </si>
  <si>
    <t>16/08/2023 18:15</t>
  </si>
  <si>
    <t>16/08/2023 18:30</t>
  </si>
  <si>
    <t>16/08/2023 18:45</t>
  </si>
  <si>
    <t>16/08/2023 19:00</t>
  </si>
  <si>
    <t>16/08/2023 19:15</t>
  </si>
  <si>
    <t>16/08/2023 19:30</t>
  </si>
  <si>
    <t>16/08/2023 19:45</t>
  </si>
  <si>
    <t>16/08/2023 20:00</t>
  </si>
  <si>
    <t>16/08/2023 20:15</t>
  </si>
  <si>
    <t>16/08/2023 20:30</t>
  </si>
  <si>
    <t>16/08/2023 20:45</t>
  </si>
  <si>
    <t>16/08/2023 21:00</t>
  </si>
  <si>
    <t>16/08/2023 21:15</t>
  </si>
  <si>
    <t>16/08/2023 21:30</t>
  </si>
  <si>
    <t>16/08/2023 21:45</t>
  </si>
  <si>
    <t>16/08/2023 22:00</t>
  </si>
  <si>
    <t>16/08/2023 22:15</t>
  </si>
  <si>
    <t>16/08/2023 22:30</t>
  </si>
  <si>
    <t>16/08/2023 22:45</t>
  </si>
  <si>
    <t>16/08/2023 23:00</t>
  </si>
  <si>
    <t>16/08/2023 23:15</t>
  </si>
  <si>
    <t>16/08/2023 23:30</t>
  </si>
  <si>
    <t>16/08/2023 23:45</t>
  </si>
  <si>
    <t>16/08/2023 24:00</t>
  </si>
  <si>
    <t>17/08/2023 00:15</t>
  </si>
  <si>
    <t>17/08/2023 00:30</t>
  </si>
  <si>
    <t>17/08/2023 00:45</t>
  </si>
  <si>
    <t>17/08/2023 01:00</t>
  </si>
  <si>
    <t>17/08/2023 01:15</t>
  </si>
  <si>
    <t>17/08/2023 01:30</t>
  </si>
  <si>
    <t>17/08/2023 01:45</t>
  </si>
  <si>
    <t>17/08/2023 02:00</t>
  </si>
  <si>
    <t>17/08/2023 02:15</t>
  </si>
  <si>
    <t>17/08/2023 02:30</t>
  </si>
  <si>
    <t>17/08/2023 02:45</t>
  </si>
  <si>
    <t>17/08/2023 03:00</t>
  </si>
  <si>
    <t>17/08/2023 03:15</t>
  </si>
  <si>
    <t>17/08/2023 03:30</t>
  </si>
  <si>
    <t>17/08/2023 03:45</t>
  </si>
  <si>
    <t>17/08/2023 04:00</t>
  </si>
  <si>
    <t>17/08/2023 04:15</t>
  </si>
  <si>
    <t>17/08/2023 04:30</t>
  </si>
  <si>
    <t>17/08/2023 04:45</t>
  </si>
  <si>
    <t>17/08/2023 05:00</t>
  </si>
  <si>
    <t>17/08/2023 05:15</t>
  </si>
  <si>
    <t>17/08/2023 05:30</t>
  </si>
  <si>
    <t>17/08/2023 05:45</t>
  </si>
  <si>
    <t>17/08/2023 06:00</t>
  </si>
  <si>
    <t>17/08/2023 06:15</t>
  </si>
  <si>
    <t>17/08/2023 06:30</t>
  </si>
  <si>
    <t>17/08/2023 06:45</t>
  </si>
  <si>
    <t>17/08/2023 07:00</t>
  </si>
  <si>
    <t>17/08/2023 07:15</t>
  </si>
  <si>
    <t>17/08/2023 07:30</t>
  </si>
  <si>
    <t>17/08/2023 07:45</t>
  </si>
  <si>
    <t>17/08/2023 08:00</t>
  </si>
  <si>
    <t>17/08/2023 08:15</t>
  </si>
  <si>
    <t>17/08/2023 08:30</t>
  </si>
  <si>
    <t>17/08/2023 08:45</t>
  </si>
  <si>
    <t>17/08/2023 09:00</t>
  </si>
  <si>
    <t>17/08/2023 09:15</t>
  </si>
  <si>
    <t>17/08/2023 09:30</t>
  </si>
  <si>
    <t>17/08/2023 09:45</t>
  </si>
  <si>
    <t>17/08/2023 10:00</t>
  </si>
  <si>
    <t>17/08/2023 10:15</t>
  </si>
  <si>
    <t>17/08/2023 10:30</t>
  </si>
  <si>
    <t>17/08/2023 10:45</t>
  </si>
  <si>
    <t>17/08/2023 11:00</t>
  </si>
  <si>
    <t>17/08/2023 11:15</t>
  </si>
  <si>
    <t>17/08/2023 11:30</t>
  </si>
  <si>
    <t>17/08/2023 11:45</t>
  </si>
  <si>
    <t>17/08/2023 12:00</t>
  </si>
  <si>
    <t>17/08/2023 12:15</t>
  </si>
  <si>
    <t>17/08/2023 12:30</t>
  </si>
  <si>
    <t>17/08/2023 12:45</t>
  </si>
  <si>
    <t>17/08/2023 13:00</t>
  </si>
  <si>
    <t>17/08/2023 13:15</t>
  </si>
  <si>
    <t>17/08/2023 13:30</t>
  </si>
  <si>
    <t>17/08/2023 13:45</t>
  </si>
  <si>
    <t>17/08/2023 14:00</t>
  </si>
  <si>
    <t>17/08/2023 14:15</t>
  </si>
  <si>
    <t>17/08/2023 14:30</t>
  </si>
  <si>
    <t>17/08/2023 14:45</t>
  </si>
  <si>
    <t>17/08/2023 15:00</t>
  </si>
  <si>
    <t>17/08/2023 15:15</t>
  </si>
  <si>
    <t>17/08/2023 15:30</t>
  </si>
  <si>
    <t>17/08/2023 15:45</t>
  </si>
  <si>
    <t>17/08/2023 16:00</t>
  </si>
  <si>
    <t>17/08/2023 16:15</t>
  </si>
  <si>
    <t>17/08/2023 16:30</t>
  </si>
  <si>
    <t>17/08/2023 16:45</t>
  </si>
  <si>
    <t>17/08/2023 17:00</t>
  </si>
  <si>
    <t>17/08/2023 17:15</t>
  </si>
  <si>
    <t>17/08/2023 17:30</t>
  </si>
  <si>
    <t>17/08/2023 17:45</t>
  </si>
  <si>
    <t>17/08/2023 18:00</t>
  </si>
  <si>
    <t>17/08/2023 18:15</t>
  </si>
  <si>
    <t>17/08/2023 18:30</t>
  </si>
  <si>
    <t>17/08/2023 18:45</t>
  </si>
  <si>
    <t>17/08/2023 19:00</t>
  </si>
  <si>
    <t>17/08/2023 19:15</t>
  </si>
  <si>
    <t>17/08/2023 19:30</t>
  </si>
  <si>
    <t>17/08/2023 19:45</t>
  </si>
  <si>
    <t>17/08/2023 20:00</t>
  </si>
  <si>
    <t>17/08/2023 20:15</t>
  </si>
  <si>
    <t>17/08/2023 20:30</t>
  </si>
  <si>
    <t>17/08/2023 20:45</t>
  </si>
  <si>
    <t>17/08/2023 21:00</t>
  </si>
  <si>
    <t>17/08/2023 21:15</t>
  </si>
  <si>
    <t>17/08/2023 21:30</t>
  </si>
  <si>
    <t>17/08/2023 21:45</t>
  </si>
  <si>
    <t>17/08/2023 22:00</t>
  </si>
  <si>
    <t>17/08/2023 22:15</t>
  </si>
  <si>
    <t>17/08/2023 22:30</t>
  </si>
  <si>
    <t>17/08/2023 22:45</t>
  </si>
  <si>
    <t>17/08/2023 23:00</t>
  </si>
  <si>
    <t>17/08/2023 23:15</t>
  </si>
  <si>
    <t>17/08/2023 23:30</t>
  </si>
  <si>
    <t>17/08/2023 23:45</t>
  </si>
  <si>
    <t>17/08/2023 24:00</t>
  </si>
  <si>
    <t>18/08/2023 00:15</t>
  </si>
  <si>
    <t>18/08/2023 00:30</t>
  </si>
  <si>
    <t>18/08/2023 00:45</t>
  </si>
  <si>
    <t>18/08/2023 01:00</t>
  </si>
  <si>
    <t>18/08/2023 01:15</t>
  </si>
  <si>
    <t>18/08/2023 01:30</t>
  </si>
  <si>
    <t>18/08/2023 01:45</t>
  </si>
  <si>
    <t>18/08/2023 02:00</t>
  </si>
  <si>
    <t>18/08/2023 02:15</t>
  </si>
  <si>
    <t>18/08/2023 02:30</t>
  </si>
  <si>
    <t>18/08/2023 02:45</t>
  </si>
  <si>
    <t>18/08/2023 03:00</t>
  </si>
  <si>
    <t>18/08/2023 03:15</t>
  </si>
  <si>
    <t>18/08/2023 03:30</t>
  </si>
  <si>
    <t>18/08/2023 03:45</t>
  </si>
  <si>
    <t>18/08/2023 04:00</t>
  </si>
  <si>
    <t>18/08/2023 04:15</t>
  </si>
  <si>
    <t>18/08/2023 04:30</t>
  </si>
  <si>
    <t>18/08/2023 04:45</t>
  </si>
  <si>
    <t>18/08/2023 05:00</t>
  </si>
  <si>
    <t>18/08/2023 05:15</t>
  </si>
  <si>
    <t>18/08/2023 05:30</t>
  </si>
  <si>
    <t>18/08/2023 05:45</t>
  </si>
  <si>
    <t>18/08/2023 06:00</t>
  </si>
  <si>
    <t>18/08/2023 06:15</t>
  </si>
  <si>
    <t>18/08/2023 06:30</t>
  </si>
  <si>
    <t>18/08/2023 06:45</t>
  </si>
  <si>
    <t>18/08/2023 07:00</t>
  </si>
  <si>
    <t>18/08/2023 07:15</t>
  </si>
  <si>
    <t>18/08/2023 07:30</t>
  </si>
  <si>
    <t>18/08/2023 07:45</t>
  </si>
  <si>
    <t>18/08/2023 08:00</t>
  </si>
  <si>
    <t>18/08/2023 08:15</t>
  </si>
  <si>
    <t>18/08/2023 08:30</t>
  </si>
  <si>
    <t>18/08/2023 08:45</t>
  </si>
  <si>
    <t>18/08/2023 09:00</t>
  </si>
  <si>
    <t>18/08/2023 09:15</t>
  </si>
  <si>
    <t>18/08/2023 09:30</t>
  </si>
  <si>
    <t>18/08/2023 09:45</t>
  </si>
  <si>
    <t>18/08/2023 10:00</t>
  </si>
  <si>
    <t>18/08/2023 10:15</t>
  </si>
  <si>
    <t>18/08/2023 10:30</t>
  </si>
  <si>
    <t>18/08/2023 10:45</t>
  </si>
  <si>
    <t>18/08/2023 11:00</t>
  </si>
  <si>
    <t>18/08/2023 11:15</t>
  </si>
  <si>
    <t>18/08/2023 11:30</t>
  </si>
  <si>
    <t>18/08/2023 11:45</t>
  </si>
  <si>
    <t>18/08/2023 12:00</t>
  </si>
  <si>
    <t>18/08/2023 12:15</t>
  </si>
  <si>
    <t>18/08/2023 12:30</t>
  </si>
  <si>
    <t>18/08/2023 12:45</t>
  </si>
  <si>
    <t>18/08/2023 13:00</t>
  </si>
  <si>
    <t>18/08/2023 13:15</t>
  </si>
  <si>
    <t>18/08/2023 13:30</t>
  </si>
  <si>
    <t>18/08/2023 13:45</t>
  </si>
  <si>
    <t>18/08/2023 14:00</t>
  </si>
  <si>
    <t>18/08/2023 14:15</t>
  </si>
  <si>
    <t>18/08/2023 14:30</t>
  </si>
  <si>
    <t>18/08/2023 14:45</t>
  </si>
  <si>
    <t>18/08/2023 15:00</t>
  </si>
  <si>
    <t>18/08/2023 15:15</t>
  </si>
  <si>
    <t>18/08/2023 15:30</t>
  </si>
  <si>
    <t>18/08/2023 15:45</t>
  </si>
  <si>
    <t>18/08/2023 16:00</t>
  </si>
  <si>
    <t>18/08/2023 16:15</t>
  </si>
  <si>
    <t>18/08/2023 16:30</t>
  </si>
  <si>
    <t>18/08/2023 16:45</t>
  </si>
  <si>
    <t>18/08/2023 17:00</t>
  </si>
  <si>
    <t>18/08/2023 17:15</t>
  </si>
  <si>
    <t>18/08/2023 17:30</t>
  </si>
  <si>
    <t>18/08/2023 17:45</t>
  </si>
  <si>
    <t>18/08/2023 18:00</t>
  </si>
  <si>
    <t>18/08/2023 18:15</t>
  </si>
  <si>
    <t>18/08/2023 18:30</t>
  </si>
  <si>
    <t>18/08/2023 18:45</t>
  </si>
  <si>
    <t>18/08/2023 19:00</t>
  </si>
  <si>
    <t>18/08/2023 19:15</t>
  </si>
  <si>
    <t>18/08/2023 19:30</t>
  </si>
  <si>
    <t>18/08/2023 19:45</t>
  </si>
  <si>
    <t>18/08/2023 20:00</t>
  </si>
  <si>
    <t>18/08/2023 20:15</t>
  </si>
  <si>
    <t>18/08/2023 20:30</t>
  </si>
  <si>
    <t>18/08/2023 20:45</t>
  </si>
  <si>
    <t>18/08/2023 21:00</t>
  </si>
  <si>
    <t>18/08/2023 21:15</t>
  </si>
  <si>
    <t>18/08/2023 21:30</t>
  </si>
  <si>
    <t>18/08/2023 21:45</t>
  </si>
  <si>
    <t>18/08/2023 22:00</t>
  </si>
  <si>
    <t>18/08/2023 22:15</t>
  </si>
  <si>
    <t>18/08/2023 22:30</t>
  </si>
  <si>
    <t>18/08/2023 22:45</t>
  </si>
  <si>
    <t>18/08/2023 23:00</t>
  </si>
  <si>
    <t>18/08/2023 23:15</t>
  </si>
  <si>
    <t>18/08/2023 23:30</t>
  </si>
  <si>
    <t>18/08/2023 23:45</t>
  </si>
  <si>
    <t>18/08/2023 24:00</t>
  </si>
  <si>
    <t>19/08/2023 00:15</t>
  </si>
  <si>
    <t>19/08/2023 00:30</t>
  </si>
  <si>
    <t>19/08/2023 00:45</t>
  </si>
  <si>
    <t>19/08/2023 01:00</t>
  </si>
  <si>
    <t>19/08/2023 01:15</t>
  </si>
  <si>
    <t>19/08/2023 01:30</t>
  </si>
  <si>
    <t>19/08/2023 01:45</t>
  </si>
  <si>
    <t>19/08/2023 02:00</t>
  </si>
  <si>
    <t>19/08/2023 02:15</t>
  </si>
  <si>
    <t>19/08/2023 02:30</t>
  </si>
  <si>
    <t>19/08/2023 02:45</t>
  </si>
  <si>
    <t>19/08/2023 03:00</t>
  </si>
  <si>
    <t>19/08/2023 03:15</t>
  </si>
  <si>
    <t>19/08/2023 03:30</t>
  </si>
  <si>
    <t>19/08/2023 03:45</t>
  </si>
  <si>
    <t>19/08/2023 04:00</t>
  </si>
  <si>
    <t>19/08/2023 04:15</t>
  </si>
  <si>
    <t>19/08/2023 04:30</t>
  </si>
  <si>
    <t>19/08/2023 04:45</t>
  </si>
  <si>
    <t>19/08/2023 05:00</t>
  </si>
  <si>
    <t>19/08/2023 05:15</t>
  </si>
  <si>
    <t>19/08/2023 05:30</t>
  </si>
  <si>
    <t>19/08/2023 05:45</t>
  </si>
  <si>
    <t>19/08/2023 06:00</t>
  </si>
  <si>
    <t>19/08/2023 06:15</t>
  </si>
  <si>
    <t>19/08/2023 06:30</t>
  </si>
  <si>
    <t>19/08/2023 06:45</t>
  </si>
  <si>
    <t>19/08/2023 07:00</t>
  </si>
  <si>
    <t>19/08/2023 07:15</t>
  </si>
  <si>
    <t>19/08/2023 07:30</t>
  </si>
  <si>
    <t>19/08/2023 07:45</t>
  </si>
  <si>
    <t>19/08/2023 08:00</t>
  </si>
  <si>
    <t>19/08/2023 08:15</t>
  </si>
  <si>
    <t>19/08/2023 08:30</t>
  </si>
  <si>
    <t>19/08/2023 08:45</t>
  </si>
  <si>
    <t>19/08/2023 09:00</t>
  </si>
  <si>
    <t>19/08/2023 09:15</t>
  </si>
  <si>
    <t>19/08/2023 09:30</t>
  </si>
  <si>
    <t>19/08/2023 09:45</t>
  </si>
  <si>
    <t>19/08/2023 10:00</t>
  </si>
  <si>
    <t>19/08/2023 10:15</t>
  </si>
  <si>
    <t>19/08/2023 10:30</t>
  </si>
  <si>
    <t>19/08/2023 10:45</t>
  </si>
  <si>
    <t>19/08/2023 11:00</t>
  </si>
  <si>
    <t>19/08/2023 11:15</t>
  </si>
  <si>
    <t>19/08/2023 11:30</t>
  </si>
  <si>
    <t>19/08/2023 11:45</t>
  </si>
  <si>
    <t>19/08/2023 12:00</t>
  </si>
  <si>
    <t>19/08/2023 12:15</t>
  </si>
  <si>
    <t>19/08/2023 12:30</t>
  </si>
  <si>
    <t>19/08/2023 12:45</t>
  </si>
  <si>
    <t>19/08/2023 13:00</t>
  </si>
  <si>
    <t>19/08/2023 13:15</t>
  </si>
  <si>
    <t>19/08/2023 13:30</t>
  </si>
  <si>
    <t>19/08/2023 13:45</t>
  </si>
  <si>
    <t>19/08/2023 14:00</t>
  </si>
  <si>
    <t>19/08/2023 14:15</t>
  </si>
  <si>
    <t>19/08/2023 14:30</t>
  </si>
  <si>
    <t>19/08/2023 14:45</t>
  </si>
  <si>
    <t>19/08/2023 15:00</t>
  </si>
  <si>
    <t>19/08/2023 15:15</t>
  </si>
  <si>
    <t>19/08/2023 15:30</t>
  </si>
  <si>
    <t>19/08/2023 15:45</t>
  </si>
  <si>
    <t>19/08/2023 16:00</t>
  </si>
  <si>
    <t>19/08/2023 16:15</t>
  </si>
  <si>
    <t>19/08/2023 16:30</t>
  </si>
  <si>
    <t>19/08/2023 16:45</t>
  </si>
  <si>
    <t>19/08/2023 17:00</t>
  </si>
  <si>
    <t>19/08/2023 17:15</t>
  </si>
  <si>
    <t>19/08/2023 17:30</t>
  </si>
  <si>
    <t>19/08/2023 17:45</t>
  </si>
  <si>
    <t>19/08/2023 18:00</t>
  </si>
  <si>
    <t>19/08/2023 18:15</t>
  </si>
  <si>
    <t>19/08/2023 18:30</t>
  </si>
  <si>
    <t>19/08/2023 18:45</t>
  </si>
  <si>
    <t>19/08/2023 19:00</t>
  </si>
  <si>
    <t>19/08/2023 19:15</t>
  </si>
  <si>
    <t>19/08/2023 19:30</t>
  </si>
  <si>
    <t>19/08/2023 19:45</t>
  </si>
  <si>
    <t>19/08/2023 20:00</t>
  </si>
  <si>
    <t>19/08/2023 20:15</t>
  </si>
  <si>
    <t>19/08/2023 20:30</t>
  </si>
  <si>
    <t>19/08/2023 20:45</t>
  </si>
  <si>
    <t>19/08/2023 21:00</t>
  </si>
  <si>
    <t>19/08/2023 21:15</t>
  </si>
  <si>
    <t>19/08/2023 21:30</t>
  </si>
  <si>
    <t>19/08/2023 21:45</t>
  </si>
  <si>
    <t>19/08/2023 22:00</t>
  </si>
  <si>
    <t>19/08/2023 22:15</t>
  </si>
  <si>
    <t>19/08/2023 22:30</t>
  </si>
  <si>
    <t>19/08/2023 22:45</t>
  </si>
  <si>
    <t>19/08/2023 23:00</t>
  </si>
  <si>
    <t>19/08/2023 23:15</t>
  </si>
  <si>
    <t>19/08/2023 23:30</t>
  </si>
  <si>
    <t>19/08/2023 23:45</t>
  </si>
  <si>
    <t>19/08/2023 24:00</t>
  </si>
  <si>
    <t>20/08/2023 00:15</t>
  </si>
  <si>
    <t>20/08/2023 00:30</t>
  </si>
  <si>
    <t>20/08/2023 00:45</t>
  </si>
  <si>
    <t>20/08/2023 01:00</t>
  </si>
  <si>
    <t>20/08/2023 01:15</t>
  </si>
  <si>
    <t>20/08/2023 01:30</t>
  </si>
  <si>
    <t>20/08/2023 01:45</t>
  </si>
  <si>
    <t>20/08/2023 02:00</t>
  </si>
  <si>
    <t>20/08/2023 02:15</t>
  </si>
  <si>
    <t>20/08/2023 02:30</t>
  </si>
  <si>
    <t>20/08/2023 02:45</t>
  </si>
  <si>
    <t>20/08/2023 03:00</t>
  </si>
  <si>
    <t>20/08/2023 03:15</t>
  </si>
  <si>
    <t>20/08/2023 03:30</t>
  </si>
  <si>
    <t>20/08/2023 03:45</t>
  </si>
  <si>
    <t>20/08/2023 04:00</t>
  </si>
  <si>
    <t>20/08/2023 04:15</t>
  </si>
  <si>
    <t>20/08/2023 04:30</t>
  </si>
  <si>
    <t>20/08/2023 04:45</t>
  </si>
  <si>
    <t>20/08/2023 05:00</t>
  </si>
  <si>
    <t>20/08/2023 05:15</t>
  </si>
  <si>
    <t>20/08/2023 05:30</t>
  </si>
  <si>
    <t>20/08/2023 05:45</t>
  </si>
  <si>
    <t>20/08/2023 06:00</t>
  </si>
  <si>
    <t>20/08/2023 06:15</t>
  </si>
  <si>
    <t>20/08/2023 06:30</t>
  </si>
  <si>
    <t>20/08/2023 06:45</t>
  </si>
  <si>
    <t>20/08/2023 07:00</t>
  </si>
  <si>
    <t>20/08/2023 07:15</t>
  </si>
  <si>
    <t>20/08/2023 07:30</t>
  </si>
  <si>
    <t>20/08/2023 07:45</t>
  </si>
  <si>
    <t>20/08/2023 08:00</t>
  </si>
  <si>
    <t>20/08/2023 08:15</t>
  </si>
  <si>
    <t>20/08/2023 08:30</t>
  </si>
  <si>
    <t>20/08/2023 08:45</t>
  </si>
  <si>
    <t>20/08/2023 09:00</t>
  </si>
  <si>
    <t>20/08/2023 09:15</t>
  </si>
  <si>
    <t>20/08/2023 09:30</t>
  </si>
  <si>
    <t>20/08/2023 09:45</t>
  </si>
  <si>
    <t>20/08/2023 10:00</t>
  </si>
  <si>
    <t>20/08/2023 10:15</t>
  </si>
  <si>
    <t>20/08/2023 10:30</t>
  </si>
  <si>
    <t>20/08/2023 10:45</t>
  </si>
  <si>
    <t>20/08/2023 11:00</t>
  </si>
  <si>
    <t>20/08/2023 11:15</t>
  </si>
  <si>
    <t>20/08/2023 11:30</t>
  </si>
  <si>
    <t>20/08/2023 11:45</t>
  </si>
  <si>
    <t>20/08/2023 12:00</t>
  </si>
  <si>
    <t>20/08/2023 12:15</t>
  </si>
  <si>
    <t>20/08/2023 12:30</t>
  </si>
  <si>
    <t>20/08/2023 12:45</t>
  </si>
  <si>
    <t>20/08/2023 13:00</t>
  </si>
  <si>
    <t>20/08/2023 13:15</t>
  </si>
  <si>
    <t>20/08/2023 13:30</t>
  </si>
  <si>
    <t>20/08/2023 13:45</t>
  </si>
  <si>
    <t>20/08/2023 14:00</t>
  </si>
  <si>
    <t>20/08/2023 14:15</t>
  </si>
  <si>
    <t>20/08/2023 14:30</t>
  </si>
  <si>
    <t>20/08/2023 14:45</t>
  </si>
  <si>
    <t>20/08/2023 15:00</t>
  </si>
  <si>
    <t>20/08/2023 15:15</t>
  </si>
  <si>
    <t>20/08/2023 15:30</t>
  </si>
  <si>
    <t>20/08/2023 15:45</t>
  </si>
  <si>
    <t>20/08/2023 16:00</t>
  </si>
  <si>
    <t>20/08/2023 16:15</t>
  </si>
  <si>
    <t>20/08/2023 16:30</t>
  </si>
  <si>
    <t>20/08/2023 16:45</t>
  </si>
  <si>
    <t>20/08/2023 17:00</t>
  </si>
  <si>
    <t>20/08/2023 17:15</t>
  </si>
  <si>
    <t>20/08/2023 17:30</t>
  </si>
  <si>
    <t>20/08/2023 17:45</t>
  </si>
  <si>
    <t>20/08/2023 18:00</t>
  </si>
  <si>
    <t>20/08/2023 18:15</t>
  </si>
  <si>
    <t>20/08/2023 18:30</t>
  </si>
  <si>
    <t>20/08/2023 18:45</t>
  </si>
  <si>
    <t>20/08/2023 19:00</t>
  </si>
  <si>
    <t>20/08/2023 19:15</t>
  </si>
  <si>
    <t>20/08/2023 19:30</t>
  </si>
  <si>
    <t>20/08/2023 19:45</t>
  </si>
  <si>
    <t>20/08/2023 20:00</t>
  </si>
  <si>
    <t>20/08/2023 20:15</t>
  </si>
  <si>
    <t>20/08/2023 20:30</t>
  </si>
  <si>
    <t>20/08/2023 20:45</t>
  </si>
  <si>
    <t>20/08/2023 21:00</t>
  </si>
  <si>
    <t>20/08/2023 21:15</t>
  </si>
  <si>
    <t>20/08/2023 21:30</t>
  </si>
  <si>
    <t>20/08/2023 21:45</t>
  </si>
  <si>
    <t>20/08/2023 22:00</t>
  </si>
  <si>
    <t>20/08/2023 22:15</t>
  </si>
  <si>
    <t>20/08/2023 22:30</t>
  </si>
  <si>
    <t>20/08/2023 22:45</t>
  </si>
  <si>
    <t>20/08/2023 23:00</t>
  </si>
  <si>
    <t>20/08/2023 23:15</t>
  </si>
  <si>
    <t>20/08/2023 23:30</t>
  </si>
  <si>
    <t>20/08/2023 23:45</t>
  </si>
  <si>
    <t>20/08/2023 24:00</t>
  </si>
  <si>
    <t>21/08/2023 00:15</t>
  </si>
  <si>
    <t>21/08/2023 00:30</t>
  </si>
  <si>
    <t>21/08/2023 00:45</t>
  </si>
  <si>
    <t>21/08/2023 01:00</t>
  </si>
  <si>
    <t>21/08/2023 01:15</t>
  </si>
  <si>
    <t>21/08/2023 01:30</t>
  </si>
  <si>
    <t>21/08/2023 01:45</t>
  </si>
  <si>
    <t>21/08/2023 02:00</t>
  </si>
  <si>
    <t>21/08/2023 02:15</t>
  </si>
  <si>
    <t>21/08/2023 02:30</t>
  </si>
  <si>
    <t>21/08/2023 02:45</t>
  </si>
  <si>
    <t>21/08/2023 03:00</t>
  </si>
  <si>
    <t>21/08/2023 03:15</t>
  </si>
  <si>
    <t>21/08/2023 03:30</t>
  </si>
  <si>
    <t>21/08/2023 03:45</t>
  </si>
  <si>
    <t>21/08/2023 04:00</t>
  </si>
  <si>
    <t>21/08/2023 04:15</t>
  </si>
  <si>
    <t>21/08/2023 04:30</t>
  </si>
  <si>
    <t>21/08/2023 04:45</t>
  </si>
  <si>
    <t>21/08/2023 05:00</t>
  </si>
  <si>
    <t>21/08/2023 05:15</t>
  </si>
  <si>
    <t>21/08/2023 05:30</t>
  </si>
  <si>
    <t>21/08/2023 05:45</t>
  </si>
  <si>
    <t>21/08/2023 06:00</t>
  </si>
  <si>
    <t>21/08/2023 06:15</t>
  </si>
  <si>
    <t>21/08/2023 06:30</t>
  </si>
  <si>
    <t>21/08/2023 06:45</t>
  </si>
  <si>
    <t>21/08/2023 07:00</t>
  </si>
  <si>
    <t>21/08/2023 07:15</t>
  </si>
  <si>
    <t>21/08/2023 07:30</t>
  </si>
  <si>
    <t>21/08/2023 07:45</t>
  </si>
  <si>
    <t>21/08/2023 08:00</t>
  </si>
  <si>
    <t>21/08/2023 08:15</t>
  </si>
  <si>
    <t>21/08/2023 08:30</t>
  </si>
  <si>
    <t>21/08/2023 08:45</t>
  </si>
  <si>
    <t>21/08/2023 09:00</t>
  </si>
  <si>
    <t>21/08/2023 09:15</t>
  </si>
  <si>
    <t>21/08/2023 09:30</t>
  </si>
  <si>
    <t>21/08/2023 09:45</t>
  </si>
  <si>
    <t>21/08/2023 10:00</t>
  </si>
  <si>
    <t>21/08/2023 10:15</t>
  </si>
  <si>
    <t>21/08/2023 10:30</t>
  </si>
  <si>
    <t>21/08/2023 10:45</t>
  </si>
  <si>
    <t>21/08/2023 11:00</t>
  </si>
  <si>
    <t>21/08/2023 11:15</t>
  </si>
  <si>
    <t>21/08/2023 11:30</t>
  </si>
  <si>
    <t>21/08/2023 11:45</t>
  </si>
  <si>
    <t>21/08/2023 12:00</t>
  </si>
  <si>
    <t>21/08/2023 12:15</t>
  </si>
  <si>
    <t>21/08/2023 12:30</t>
  </si>
  <si>
    <t>21/08/2023 12:45</t>
  </si>
  <si>
    <t>21/08/2023 13:00</t>
  </si>
  <si>
    <t>21/08/2023 13:15</t>
  </si>
  <si>
    <t>21/08/2023 13:30</t>
  </si>
  <si>
    <t>21/08/2023 13:45</t>
  </si>
  <si>
    <t>21/08/2023 14:00</t>
  </si>
  <si>
    <t>21/08/2023 14:15</t>
  </si>
  <si>
    <t>21/08/2023 14:30</t>
  </si>
  <si>
    <t>21/08/2023 14:45</t>
  </si>
  <si>
    <t>21/08/2023 15:00</t>
  </si>
  <si>
    <t>21/08/2023 15:15</t>
  </si>
  <si>
    <t>21/08/2023 15:30</t>
  </si>
  <si>
    <t>21/08/2023 15:45</t>
  </si>
  <si>
    <t>21/08/2023 16:00</t>
  </si>
  <si>
    <t>21/08/2023 16:15</t>
  </si>
  <si>
    <t>21/08/2023 16:30</t>
  </si>
  <si>
    <t>21/08/2023 16:45</t>
  </si>
  <si>
    <t>21/08/2023 17:00</t>
  </si>
  <si>
    <t>21/08/2023 17:15</t>
  </si>
  <si>
    <t>21/08/2023 17:30</t>
  </si>
  <si>
    <t>21/08/2023 17:45</t>
  </si>
  <si>
    <t>21/08/2023 18:00</t>
  </si>
  <si>
    <t>21/08/2023 18:15</t>
  </si>
  <si>
    <t>21/08/2023 18:30</t>
  </si>
  <si>
    <t>21/08/2023 18:45</t>
  </si>
  <si>
    <t>21/08/2023 19:00</t>
  </si>
  <si>
    <t>21/08/2023 19:15</t>
  </si>
  <si>
    <t>21/08/2023 19:30</t>
  </si>
  <si>
    <t>21/08/2023 19:45</t>
  </si>
  <si>
    <t>21/08/2023 20:00</t>
  </si>
  <si>
    <t>21/08/2023 20:15</t>
  </si>
  <si>
    <t>21/08/2023 20:30</t>
  </si>
  <si>
    <t>21/08/2023 20:45</t>
  </si>
  <si>
    <t>21/08/2023 21:00</t>
  </si>
  <si>
    <t>21/08/2023 21:15</t>
  </si>
  <si>
    <t>21/08/2023 21:30</t>
  </si>
  <si>
    <t>21/08/2023 21:45</t>
  </si>
  <si>
    <t>21/08/2023 22:00</t>
  </si>
  <si>
    <t>21/08/2023 22:15</t>
  </si>
  <si>
    <t>21/08/2023 22:30</t>
  </si>
  <si>
    <t>21/08/2023 22:45</t>
  </si>
  <si>
    <t>21/08/2023 23:00</t>
  </si>
  <si>
    <t>21/08/2023 23:15</t>
  </si>
  <si>
    <t>21/08/2023 23:30</t>
  </si>
  <si>
    <t>21/08/2023 23:45</t>
  </si>
  <si>
    <t>21/08/2023 24:00</t>
  </si>
  <si>
    <t>22/08/2023 00:15</t>
  </si>
  <si>
    <t>22/08/2023 00:30</t>
  </si>
  <si>
    <t>22/08/2023 00:45</t>
  </si>
  <si>
    <t>22/08/2023 01:00</t>
  </si>
  <si>
    <t>22/08/2023 01:15</t>
  </si>
  <si>
    <t>22/08/2023 01:30</t>
  </si>
  <si>
    <t>22/08/2023 01:45</t>
  </si>
  <si>
    <t>22/08/2023 02:00</t>
  </si>
  <si>
    <t>22/08/2023 02:15</t>
  </si>
  <si>
    <t>22/08/2023 02:30</t>
  </si>
  <si>
    <t>22/08/2023 02:45</t>
  </si>
  <si>
    <t>22/08/2023 03:00</t>
  </si>
  <si>
    <t>22/08/2023 03:15</t>
  </si>
  <si>
    <t>22/08/2023 03:30</t>
  </si>
  <si>
    <t>22/08/2023 03:45</t>
  </si>
  <si>
    <t>22/08/2023 04:00</t>
  </si>
  <si>
    <t>22/08/2023 04:15</t>
  </si>
  <si>
    <t>22/08/2023 04:30</t>
  </si>
  <si>
    <t>22/08/2023 04:45</t>
  </si>
  <si>
    <t>22/08/2023 05:00</t>
  </si>
  <si>
    <t>22/08/2023 05:15</t>
  </si>
  <si>
    <t>22/08/2023 05:30</t>
  </si>
  <si>
    <t>22/08/2023 05:45</t>
  </si>
  <si>
    <t>22/08/2023 06:00</t>
  </si>
  <si>
    <t>22/08/2023 06:15</t>
  </si>
  <si>
    <t>22/08/2023 06:30</t>
  </si>
  <si>
    <t>22/08/2023 06:45</t>
  </si>
  <si>
    <t>22/08/2023 07:00</t>
  </si>
  <si>
    <t>22/08/2023 07:15</t>
  </si>
  <si>
    <t>22/08/2023 07:30</t>
  </si>
  <si>
    <t>22/08/2023 07:45</t>
  </si>
  <si>
    <t>22/08/2023 08:00</t>
  </si>
  <si>
    <t>22/08/2023 08:15</t>
  </si>
  <si>
    <t>22/08/2023 08:30</t>
  </si>
  <si>
    <t>22/08/2023 08:45</t>
  </si>
  <si>
    <t>22/08/2023 09:00</t>
  </si>
  <si>
    <t>22/08/2023 09:15</t>
  </si>
  <si>
    <t>22/08/2023 09:30</t>
  </si>
  <si>
    <t>22/08/2023 09:45</t>
  </si>
  <si>
    <t>22/08/2023 10:00</t>
  </si>
  <si>
    <t>22/08/2023 10:15</t>
  </si>
  <si>
    <t>22/08/2023 10:30</t>
  </si>
  <si>
    <t>22/08/2023 10:45</t>
  </si>
  <si>
    <t>22/08/2023 11:00</t>
  </si>
  <si>
    <t>22/08/2023 11:15</t>
  </si>
  <si>
    <t>22/08/2023 11:30</t>
  </si>
  <si>
    <t>22/08/2023 11:45</t>
  </si>
  <si>
    <t>22/08/2023 12:00</t>
  </si>
  <si>
    <t>22/08/2023 12:15</t>
  </si>
  <si>
    <t>22/08/2023 12:30</t>
  </si>
  <si>
    <t>22/08/2023 12:45</t>
  </si>
  <si>
    <t>22/08/2023 13:00</t>
  </si>
  <si>
    <t>22/08/2023 13:15</t>
  </si>
  <si>
    <t>22/08/2023 13:30</t>
  </si>
  <si>
    <t>22/08/2023 13:45</t>
  </si>
  <si>
    <t>22/08/2023 14:00</t>
  </si>
  <si>
    <t>22/08/2023 14:15</t>
  </si>
  <si>
    <t>22/08/2023 14:30</t>
  </si>
  <si>
    <t>22/08/2023 14:45</t>
  </si>
  <si>
    <t>22/08/2023 15:00</t>
  </si>
  <si>
    <t>22/08/2023 15:15</t>
  </si>
  <si>
    <t>22/08/2023 15:30</t>
  </si>
  <si>
    <t>22/08/2023 15:45</t>
  </si>
  <si>
    <t>22/08/2023 16:00</t>
  </si>
  <si>
    <t>22/08/2023 16:15</t>
  </si>
  <si>
    <t>22/08/2023 16:30</t>
  </si>
  <si>
    <t>22/08/2023 16:45</t>
  </si>
  <si>
    <t>22/08/2023 17:00</t>
  </si>
  <si>
    <t>22/08/2023 17:15</t>
  </si>
  <si>
    <t>22/08/2023 17:30</t>
  </si>
  <si>
    <t>22/08/2023 17:45</t>
  </si>
  <si>
    <t>22/08/2023 18:00</t>
  </si>
  <si>
    <t>22/08/2023 18:15</t>
  </si>
  <si>
    <t>22/08/2023 18:30</t>
  </si>
  <si>
    <t>22/08/2023 18:45</t>
  </si>
  <si>
    <t>22/08/2023 19:00</t>
  </si>
  <si>
    <t>22/08/2023 19:15</t>
  </si>
  <si>
    <t>22/08/2023 19:30</t>
  </si>
  <si>
    <t>22/08/2023 19:45</t>
  </si>
  <si>
    <t>22/08/2023 20:00</t>
  </si>
  <si>
    <t>22/08/2023 20:15</t>
  </si>
  <si>
    <t>22/08/2023 20:30</t>
  </si>
  <si>
    <t>22/08/2023 20:45</t>
  </si>
  <si>
    <t>22/08/2023 21:00</t>
  </si>
  <si>
    <t>22/08/2023 21:15</t>
  </si>
  <si>
    <t>22/08/2023 21:30</t>
  </si>
  <si>
    <t>22/08/2023 21:45</t>
  </si>
  <si>
    <t>22/08/2023 22:00</t>
  </si>
  <si>
    <t>22/08/2023 22:15</t>
  </si>
  <si>
    <t>22/08/2023 22:30</t>
  </si>
  <si>
    <t>22/08/2023 22:45</t>
  </si>
  <si>
    <t>22/08/2023 23:00</t>
  </si>
  <si>
    <t>22/08/2023 23:15</t>
  </si>
  <si>
    <t>22/08/2023 23:30</t>
  </si>
  <si>
    <t>22/08/2023 23:45</t>
  </si>
  <si>
    <t>22/08/2023 24:00</t>
  </si>
  <si>
    <t>23/08/2023 00:15</t>
  </si>
  <si>
    <t>23/08/2023 00:30</t>
  </si>
  <si>
    <t>23/08/2023 00:45</t>
  </si>
  <si>
    <t>23/08/2023 01:00</t>
  </si>
  <si>
    <t>23/08/2023 01:15</t>
  </si>
  <si>
    <t>23/08/2023 01:30</t>
  </si>
  <si>
    <t>23/08/2023 01:45</t>
  </si>
  <si>
    <t>23/08/2023 02:00</t>
  </si>
  <si>
    <t>23/08/2023 02:15</t>
  </si>
  <si>
    <t>23/08/2023 02:30</t>
  </si>
  <si>
    <t>23/08/2023 02:45</t>
  </si>
  <si>
    <t>23/08/2023 03:00</t>
  </si>
  <si>
    <t>23/08/2023 03:15</t>
  </si>
  <si>
    <t>23/08/2023 03:30</t>
  </si>
  <si>
    <t>23/08/2023 03:45</t>
  </si>
  <si>
    <t>23/08/2023 04:00</t>
  </si>
  <si>
    <t>23/08/2023 04:15</t>
  </si>
  <si>
    <t>23/08/2023 04:30</t>
  </si>
  <si>
    <t>23/08/2023 04:45</t>
  </si>
  <si>
    <t>23/08/2023 05:00</t>
  </si>
  <si>
    <t>23/08/2023 05:15</t>
  </si>
  <si>
    <t>23/08/2023 05:30</t>
  </si>
  <si>
    <t>23/08/2023 05:45</t>
  </si>
  <si>
    <t>23/08/2023 06:00</t>
  </si>
  <si>
    <t>23/08/2023 06:15</t>
  </si>
  <si>
    <t>23/08/2023 06:30</t>
  </si>
  <si>
    <t>23/08/2023 06:45</t>
  </si>
  <si>
    <t>23/08/2023 07:00</t>
  </si>
  <si>
    <t>23/08/2023 07:15</t>
  </si>
  <si>
    <t>23/08/2023 07:30</t>
  </si>
  <si>
    <t>23/08/2023 07:45</t>
  </si>
  <si>
    <t>23/08/2023 08:00</t>
  </si>
  <si>
    <t>23/08/2023 08:15</t>
  </si>
  <si>
    <t>23/08/2023 08:30</t>
  </si>
  <si>
    <t>23/08/2023 08:45</t>
  </si>
  <si>
    <t>23/08/2023 09:00</t>
  </si>
  <si>
    <t>23/08/2023 09:15</t>
  </si>
  <si>
    <t>23/08/2023 09:30</t>
  </si>
  <si>
    <t>23/08/2023 09:45</t>
  </si>
  <si>
    <t>23/08/2023 10:00</t>
  </si>
  <si>
    <t>23/08/2023 10:15</t>
  </si>
  <si>
    <t>23/08/2023 10:30</t>
  </si>
  <si>
    <t>23/08/2023 10:45</t>
  </si>
  <si>
    <t>23/08/2023 11:00</t>
  </si>
  <si>
    <t>23/08/2023 11:15</t>
  </si>
  <si>
    <t>23/08/2023 11:30</t>
  </si>
  <si>
    <t>23/08/2023 11:45</t>
  </si>
  <si>
    <t>23/08/2023 12:00</t>
  </si>
  <si>
    <t>23/08/2023 12:15</t>
  </si>
  <si>
    <t>23/08/2023 12:30</t>
  </si>
  <si>
    <t>23/08/2023 12:45</t>
  </si>
  <si>
    <t>23/08/2023 13:00</t>
  </si>
  <si>
    <t>23/08/2023 13:15</t>
  </si>
  <si>
    <t>23/08/2023 13:30</t>
  </si>
  <si>
    <t>23/08/2023 13:45</t>
  </si>
  <si>
    <t>23/08/2023 14:00</t>
  </si>
  <si>
    <t>23/08/2023 14:15</t>
  </si>
  <si>
    <t>23/08/2023 14:30</t>
  </si>
  <si>
    <t>23/08/2023 14:45</t>
  </si>
  <si>
    <t>23/08/2023 15:00</t>
  </si>
  <si>
    <t>23/08/2023 15:15</t>
  </si>
  <si>
    <t>23/08/2023 15:30</t>
  </si>
  <si>
    <t>23/08/2023 15:45</t>
  </si>
  <si>
    <t>23/08/2023 16:00</t>
  </si>
  <si>
    <t>23/08/2023 16:15</t>
  </si>
  <si>
    <t>23/08/2023 16:30</t>
  </si>
  <si>
    <t>23/08/2023 16:45</t>
  </si>
  <si>
    <t>23/08/2023 17:00</t>
  </si>
  <si>
    <t>23/08/2023 17:15</t>
  </si>
  <si>
    <t>23/08/2023 17:30</t>
  </si>
  <si>
    <t>23/08/2023 17:45</t>
  </si>
  <si>
    <t>23/08/2023 18:00</t>
  </si>
  <si>
    <t>23/08/2023 18:15</t>
  </si>
  <si>
    <t>23/08/2023 18:30</t>
  </si>
  <si>
    <t>23/08/2023 18:45</t>
  </si>
  <si>
    <t>23/08/2023 19:00</t>
  </si>
  <si>
    <t>23/08/2023 19:15</t>
  </si>
  <si>
    <t>23/08/2023 19:30</t>
  </si>
  <si>
    <t>23/08/2023 19:45</t>
  </si>
  <si>
    <t>23/08/2023 20:00</t>
  </si>
  <si>
    <t>23/08/2023 20:15</t>
  </si>
  <si>
    <t>23/08/2023 20:30</t>
  </si>
  <si>
    <t>23/08/2023 20:45</t>
  </si>
  <si>
    <t>23/08/2023 21:00</t>
  </si>
  <si>
    <t>23/08/2023 21:15</t>
  </si>
  <si>
    <t>23/08/2023 21:30</t>
  </si>
  <si>
    <t>23/08/2023 21:45</t>
  </si>
  <si>
    <t>23/08/2023 22:00</t>
  </si>
  <si>
    <t>23/08/2023 22:15</t>
  </si>
  <si>
    <t>23/08/2023 22:30</t>
  </si>
  <si>
    <t>23/08/2023 22:45</t>
  </si>
  <si>
    <t>23/08/2023 23:00</t>
  </si>
  <si>
    <t>23/08/2023 23:15</t>
  </si>
  <si>
    <t>23/08/2023 23:30</t>
  </si>
  <si>
    <t>23/08/2023 23:45</t>
  </si>
  <si>
    <t>23/08/2023 24:00</t>
  </si>
  <si>
    <t>24/08/2023 00:15</t>
  </si>
  <si>
    <t>24/08/2023 00:30</t>
  </si>
  <si>
    <t>24/08/2023 00:45</t>
  </si>
  <si>
    <t>24/08/2023 01:00</t>
  </si>
  <si>
    <t>24/08/2023 01:15</t>
  </si>
  <si>
    <t>24/08/2023 01:30</t>
  </si>
  <si>
    <t>24/08/2023 01:45</t>
  </si>
  <si>
    <t>24/08/2023 02:00</t>
  </si>
  <si>
    <t>24/08/2023 02:15</t>
  </si>
  <si>
    <t>24/08/2023 02:30</t>
  </si>
  <si>
    <t>24/08/2023 02:45</t>
  </si>
  <si>
    <t>24/08/2023 03:00</t>
  </si>
  <si>
    <t>24/08/2023 03:15</t>
  </si>
  <si>
    <t>24/08/2023 03:30</t>
  </si>
  <si>
    <t>24/08/2023 03:45</t>
  </si>
  <si>
    <t>24/08/2023 04:00</t>
  </si>
  <si>
    <t>24/08/2023 04:15</t>
  </si>
  <si>
    <t>24/08/2023 04:30</t>
  </si>
  <si>
    <t>24/08/2023 04:45</t>
  </si>
  <si>
    <t>24/08/2023 05:00</t>
  </si>
  <si>
    <t>24/08/2023 05:15</t>
  </si>
  <si>
    <t>24/08/2023 05:30</t>
  </si>
  <si>
    <t>24/08/2023 05:45</t>
  </si>
  <si>
    <t>24/08/2023 06:00</t>
  </si>
  <si>
    <t>24/08/2023 06:15</t>
  </si>
  <si>
    <t>24/08/2023 06:30</t>
  </si>
  <si>
    <t>24/08/2023 06:45</t>
  </si>
  <si>
    <t>24/08/2023 07:00</t>
  </si>
  <si>
    <t>24/08/2023 07:15</t>
  </si>
  <si>
    <t>24/08/2023 07:30</t>
  </si>
  <si>
    <t>24/08/2023 07:45</t>
  </si>
  <si>
    <t>24/08/2023 08:00</t>
  </si>
  <si>
    <t>24/08/2023 08:15</t>
  </si>
  <si>
    <t>24/08/2023 08:30</t>
  </si>
  <si>
    <t>24/08/2023 08:45</t>
  </si>
  <si>
    <t>24/08/2023 09:00</t>
  </si>
  <si>
    <t>24/08/2023 09:15</t>
  </si>
  <si>
    <t>24/08/2023 09:30</t>
  </si>
  <si>
    <t>24/08/2023 09:45</t>
  </si>
  <si>
    <t>24/08/2023 10:00</t>
  </si>
  <si>
    <t>24/08/2023 10:15</t>
  </si>
  <si>
    <t>24/08/2023 10:30</t>
  </si>
  <si>
    <t>24/08/2023 10:45</t>
  </si>
  <si>
    <t>24/08/2023 11:00</t>
  </si>
  <si>
    <t>24/08/2023 11:15</t>
  </si>
  <si>
    <t>24/08/2023 11:30</t>
  </si>
  <si>
    <t>24/08/2023 11:45</t>
  </si>
  <si>
    <t>24/08/2023 12:00</t>
  </si>
  <si>
    <t>24/08/2023 12:15</t>
  </si>
  <si>
    <t>24/08/2023 12:30</t>
  </si>
  <si>
    <t>24/08/2023 12:45</t>
  </si>
  <si>
    <t>24/08/2023 13:00</t>
  </si>
  <si>
    <t>24/08/2023 13:15</t>
  </si>
  <si>
    <t>24/08/2023 13:30</t>
  </si>
  <si>
    <t>24/08/2023 13:45</t>
  </si>
  <si>
    <t>24/08/2023 14:00</t>
  </si>
  <si>
    <t>24/08/2023 14:15</t>
  </si>
  <si>
    <t>24/08/2023 14:30</t>
  </si>
  <si>
    <t>24/08/2023 14:45</t>
  </si>
  <si>
    <t>24/08/2023 15:00</t>
  </si>
  <si>
    <t>24/08/2023 15:15</t>
  </si>
  <si>
    <t>24/08/2023 15:30</t>
  </si>
  <si>
    <t>24/08/2023 15:45</t>
  </si>
  <si>
    <t>24/08/2023 16:00</t>
  </si>
  <si>
    <t>24/08/2023 16:15</t>
  </si>
  <si>
    <t>24/08/2023 16:30</t>
  </si>
  <si>
    <t>24/08/2023 16:45</t>
  </si>
  <si>
    <t>24/08/2023 17:00</t>
  </si>
  <si>
    <t>24/08/2023 17:15</t>
  </si>
  <si>
    <t>24/08/2023 17:30</t>
  </si>
  <si>
    <t>24/08/2023 17:45</t>
  </si>
  <si>
    <t>24/08/2023 18:00</t>
  </si>
  <si>
    <t>24/08/2023 18:15</t>
  </si>
  <si>
    <t>24/08/2023 18:30</t>
  </si>
  <si>
    <t>24/08/2023 18:45</t>
  </si>
  <si>
    <t>24/08/2023 19:00</t>
  </si>
  <si>
    <t>24/08/2023 19:15</t>
  </si>
  <si>
    <t>24/08/2023 19:30</t>
  </si>
  <si>
    <t>24/08/2023 19:45</t>
  </si>
  <si>
    <t>24/08/2023 20:00</t>
  </si>
  <si>
    <t>24/08/2023 20:15</t>
  </si>
  <si>
    <t>24/08/2023 20:30</t>
  </si>
  <si>
    <t>24/08/2023 20:45</t>
  </si>
  <si>
    <t>24/08/2023 21:00</t>
  </si>
  <si>
    <t>24/08/2023 21:15</t>
  </si>
  <si>
    <t>24/08/2023 21:30</t>
  </si>
  <si>
    <t>24/08/2023 21:45</t>
  </si>
  <si>
    <t>24/08/2023 22:00</t>
  </si>
  <si>
    <t>24/08/2023 22:15</t>
  </si>
  <si>
    <t>24/08/2023 22:30</t>
  </si>
  <si>
    <t>24/08/2023 22:45</t>
  </si>
  <si>
    <t>24/08/2023 23:00</t>
  </si>
  <si>
    <t>24/08/2023 23:15</t>
  </si>
  <si>
    <t>24/08/2023 23:30</t>
  </si>
  <si>
    <t>24/08/2023 23:45</t>
  </si>
  <si>
    <t>24/08/2023 24:00</t>
  </si>
  <si>
    <t>25/08/2023 00:15</t>
  </si>
  <si>
    <t>25/08/2023 00:30</t>
  </si>
  <si>
    <t>25/08/2023 00:45</t>
  </si>
  <si>
    <t>25/08/2023 01:00</t>
  </si>
  <si>
    <t>25/08/2023 01:15</t>
  </si>
  <si>
    <t>25/08/2023 01:30</t>
  </si>
  <si>
    <t>25/08/2023 01:45</t>
  </si>
  <si>
    <t>25/08/2023 02:00</t>
  </si>
  <si>
    <t>25/08/2023 02:15</t>
  </si>
  <si>
    <t>25/08/2023 02:30</t>
  </si>
  <si>
    <t>25/08/2023 02:45</t>
  </si>
  <si>
    <t>25/08/2023 03:00</t>
  </si>
  <si>
    <t>25/08/2023 03:15</t>
  </si>
  <si>
    <t>25/08/2023 03:30</t>
  </si>
  <si>
    <t>25/08/2023 03:45</t>
  </si>
  <si>
    <t>25/08/2023 04:00</t>
  </si>
  <si>
    <t>25/08/2023 04:15</t>
  </si>
  <si>
    <t>25/08/2023 04:30</t>
  </si>
  <si>
    <t>25/08/2023 04:45</t>
  </si>
  <si>
    <t>25/08/2023 05:00</t>
  </si>
  <si>
    <t>25/08/2023 05:15</t>
  </si>
  <si>
    <t>25/08/2023 05:30</t>
  </si>
  <si>
    <t>25/08/2023 05:45</t>
  </si>
  <si>
    <t>25/08/2023 06:00</t>
  </si>
  <si>
    <t>25/08/2023 06:15</t>
  </si>
  <si>
    <t>25/08/2023 06:30</t>
  </si>
  <si>
    <t>25/08/2023 06:45</t>
  </si>
  <si>
    <t>25/08/2023 07:00</t>
  </si>
  <si>
    <t>25/08/2023 07:15</t>
  </si>
  <si>
    <t>25/08/2023 07:30</t>
  </si>
  <si>
    <t>25/08/2023 07:45</t>
  </si>
  <si>
    <t>25/08/2023 08:00</t>
  </si>
  <si>
    <t>25/08/2023 08:15</t>
  </si>
  <si>
    <t>25/08/2023 08:30</t>
  </si>
  <si>
    <t>25/08/2023 08:45</t>
  </si>
  <si>
    <t>25/08/2023 09:00</t>
  </si>
  <si>
    <t>25/08/2023 09:15</t>
  </si>
  <si>
    <t>25/08/2023 09:30</t>
  </si>
  <si>
    <t>25/08/2023 09:45</t>
  </si>
  <si>
    <t>25/08/2023 10:00</t>
  </si>
  <si>
    <t>25/08/2023 10:15</t>
  </si>
  <si>
    <t>25/08/2023 10:30</t>
  </si>
  <si>
    <t>25/08/2023 10:45</t>
  </si>
  <si>
    <t>25/08/2023 11:00</t>
  </si>
  <si>
    <t>25/08/2023 11:15</t>
  </si>
  <si>
    <t>25/08/2023 11:30</t>
  </si>
  <si>
    <t>25/08/2023 11:45</t>
  </si>
  <si>
    <t>25/08/2023 12:00</t>
  </si>
  <si>
    <t>25/08/2023 12:15</t>
  </si>
  <si>
    <t>25/08/2023 12:30</t>
  </si>
  <si>
    <t>25/08/2023 12:45</t>
  </si>
  <si>
    <t>25/08/2023 13:00</t>
  </si>
  <si>
    <t>25/08/2023 13:15</t>
  </si>
  <si>
    <t>25/08/2023 13:30</t>
  </si>
  <si>
    <t>25/08/2023 13:45</t>
  </si>
  <si>
    <t>25/08/2023 14:00</t>
  </si>
  <si>
    <t>25/08/2023 14:15</t>
  </si>
  <si>
    <t>25/08/2023 14:30</t>
  </si>
  <si>
    <t>25/08/2023 14:45</t>
  </si>
  <si>
    <t>25/08/2023 15:00</t>
  </si>
  <si>
    <t>25/08/2023 15:15</t>
  </si>
  <si>
    <t>25/08/2023 15:30</t>
  </si>
  <si>
    <t>25/08/2023 15:45</t>
  </si>
  <si>
    <t>25/08/2023 16:00</t>
  </si>
  <si>
    <t>25/08/2023 16:15</t>
  </si>
  <si>
    <t>25/08/2023 16:30</t>
  </si>
  <si>
    <t>25/08/2023 16:45</t>
  </si>
  <si>
    <t>25/08/2023 17:00</t>
  </si>
  <si>
    <t>25/08/2023 17:15</t>
  </si>
  <si>
    <t>25/08/2023 17:30</t>
  </si>
  <si>
    <t>25/08/2023 17:45</t>
  </si>
  <si>
    <t>25/08/2023 18:00</t>
  </si>
  <si>
    <t>25/08/2023 18:15</t>
  </si>
  <si>
    <t>25/08/2023 18:30</t>
  </si>
  <si>
    <t>25/08/2023 18:45</t>
  </si>
  <si>
    <t>25/08/2023 19:00</t>
  </si>
  <si>
    <t>25/08/2023 19:15</t>
  </si>
  <si>
    <t>25/08/2023 19:30</t>
  </si>
  <si>
    <t>25/08/2023 19:45</t>
  </si>
  <si>
    <t>25/08/2023 20:00</t>
  </si>
  <si>
    <t>25/08/2023 20:15</t>
  </si>
  <si>
    <t>25/08/2023 20:30</t>
  </si>
  <si>
    <t>25/08/2023 20:45</t>
  </si>
  <si>
    <t>25/08/2023 21:00</t>
  </si>
  <si>
    <t>25/08/2023 21:15</t>
  </si>
  <si>
    <t>25/08/2023 21:30</t>
  </si>
  <si>
    <t>25/08/2023 21:45</t>
  </si>
  <si>
    <t>25/08/2023 22:00</t>
  </si>
  <si>
    <t>25/08/2023 22:15</t>
  </si>
  <si>
    <t>25/08/2023 22:30</t>
  </si>
  <si>
    <t>25/08/2023 22:45</t>
  </si>
  <si>
    <t>25/08/2023 23:00</t>
  </si>
  <si>
    <t>25/08/2023 23:15</t>
  </si>
  <si>
    <t>25/08/2023 23:30</t>
  </si>
  <si>
    <t>25/08/2023 23:45</t>
  </si>
  <si>
    <t>25/08/2023 24:00</t>
  </si>
  <si>
    <t>26/08/2023 00:15</t>
  </si>
  <si>
    <t>26/08/2023 00:30</t>
  </si>
  <si>
    <t>26/08/2023 00:45</t>
  </si>
  <si>
    <t>26/08/2023 01:00</t>
  </si>
  <si>
    <t>26/08/2023 01:15</t>
  </si>
  <si>
    <t>26/08/2023 01:30</t>
  </si>
  <si>
    <t>26/08/2023 01:45</t>
  </si>
  <si>
    <t>26/08/2023 02:00</t>
  </si>
  <si>
    <t>26/08/2023 02:15</t>
  </si>
  <si>
    <t>26/08/2023 02:30</t>
  </si>
  <si>
    <t>26/08/2023 02:45</t>
  </si>
  <si>
    <t>26/08/2023 03:00</t>
  </si>
  <si>
    <t>26/08/2023 03:15</t>
  </si>
  <si>
    <t>26/08/2023 03:30</t>
  </si>
  <si>
    <t>26/08/2023 03:45</t>
  </si>
  <si>
    <t>26/08/2023 04:00</t>
  </si>
  <si>
    <t>26/08/2023 04:15</t>
  </si>
  <si>
    <t>26/08/2023 04:30</t>
  </si>
  <si>
    <t>26/08/2023 04:45</t>
  </si>
  <si>
    <t>26/08/2023 05:00</t>
  </si>
  <si>
    <t>26/08/2023 05:15</t>
  </si>
  <si>
    <t>26/08/2023 05:30</t>
  </si>
  <si>
    <t>26/08/2023 05:45</t>
  </si>
  <si>
    <t>26/08/2023 06:00</t>
  </si>
  <si>
    <t>26/08/2023 06:15</t>
  </si>
  <si>
    <t>26/08/2023 06:30</t>
  </si>
  <si>
    <t>26/08/2023 06:45</t>
  </si>
  <si>
    <t>26/08/2023 07:00</t>
  </si>
  <si>
    <t>26/08/2023 07:15</t>
  </si>
  <si>
    <t>26/08/2023 07:30</t>
  </si>
  <si>
    <t>26/08/2023 07:45</t>
  </si>
  <si>
    <t>26/08/2023 08:00</t>
  </si>
  <si>
    <t>26/08/2023 08:15</t>
  </si>
  <si>
    <t>26/08/2023 08:30</t>
  </si>
  <si>
    <t>26/08/2023 08:45</t>
  </si>
  <si>
    <t>26/08/2023 09:00</t>
  </si>
  <si>
    <t>26/08/2023 09:15</t>
  </si>
  <si>
    <t>26/08/2023 09:30</t>
  </si>
  <si>
    <t>26/08/2023 09:45</t>
  </si>
  <si>
    <t>26/08/2023 10:00</t>
  </si>
  <si>
    <t>26/08/2023 10:15</t>
  </si>
  <si>
    <t>26/08/2023 10:30</t>
  </si>
  <si>
    <t>26/08/2023 10:45</t>
  </si>
  <si>
    <t>26/08/2023 11:00</t>
  </si>
  <si>
    <t>26/08/2023 11:15</t>
  </si>
  <si>
    <t>26/08/2023 11:30</t>
  </si>
  <si>
    <t>26/08/2023 11:45</t>
  </si>
  <si>
    <t>26/08/2023 12:00</t>
  </si>
  <si>
    <t>26/08/2023 12:15</t>
  </si>
  <si>
    <t>26/08/2023 12:30</t>
  </si>
  <si>
    <t>26/08/2023 12:45</t>
  </si>
  <si>
    <t>26/08/2023 13:00</t>
  </si>
  <si>
    <t>26/08/2023 13:15</t>
  </si>
  <si>
    <t>26/08/2023 13:30</t>
  </si>
  <si>
    <t>26/08/2023 13:45</t>
  </si>
  <si>
    <t>26/08/2023 14:00</t>
  </si>
  <si>
    <t>26/08/2023 14:15</t>
  </si>
  <si>
    <t>26/08/2023 14:30</t>
  </si>
  <si>
    <t>26/08/2023 14:45</t>
  </si>
  <si>
    <t>26/08/2023 15:00</t>
  </si>
  <si>
    <t>26/08/2023 15:15</t>
  </si>
  <si>
    <t>26/08/2023 15:30</t>
  </si>
  <si>
    <t>26/08/2023 15:45</t>
  </si>
  <si>
    <t>26/08/2023 16:00</t>
  </si>
  <si>
    <t>26/08/2023 16:15</t>
  </si>
  <si>
    <t>26/08/2023 16:30</t>
  </si>
  <si>
    <t>26/08/2023 16:45</t>
  </si>
  <si>
    <t>26/08/2023 17:00</t>
  </si>
  <si>
    <t>26/08/2023 17:15</t>
  </si>
  <si>
    <t>26/08/2023 17:30</t>
  </si>
  <si>
    <t>26/08/2023 17:45</t>
  </si>
  <si>
    <t>26/08/2023 18:00</t>
  </si>
  <si>
    <t>26/08/2023 18:15</t>
  </si>
  <si>
    <t>26/08/2023 18:30</t>
  </si>
  <si>
    <t>26/08/2023 18:45</t>
  </si>
  <si>
    <t>26/08/2023 19:00</t>
  </si>
  <si>
    <t>26/08/2023 19:15</t>
  </si>
  <si>
    <t>26/08/2023 19:30</t>
  </si>
  <si>
    <t>26/08/2023 19:45</t>
  </si>
  <si>
    <t>26/08/2023 20:00</t>
  </si>
  <si>
    <t>26/08/2023 20:15</t>
  </si>
  <si>
    <t>26/08/2023 20:30</t>
  </si>
  <si>
    <t>26/08/2023 20:45</t>
  </si>
  <si>
    <t>26/08/2023 21:00</t>
  </si>
  <si>
    <t>26/08/2023 21:15</t>
  </si>
  <si>
    <t>26/08/2023 21:30</t>
  </si>
  <si>
    <t>26/08/2023 21:45</t>
  </si>
  <si>
    <t>26/08/2023 22:00</t>
  </si>
  <si>
    <t>26/08/2023 22:15</t>
  </si>
  <si>
    <t>26/08/2023 22:30</t>
  </si>
  <si>
    <t>26/08/2023 22:45</t>
  </si>
  <si>
    <t>26/08/2023 23:00</t>
  </si>
  <si>
    <t>26/08/2023 23:15</t>
  </si>
  <si>
    <t>26/08/2023 23:30</t>
  </si>
  <si>
    <t>26/08/2023 23:45</t>
  </si>
  <si>
    <t>26/08/2023 24:00</t>
  </si>
  <si>
    <t>27/08/2023 00:15</t>
  </si>
  <si>
    <t>27/08/2023 00:30</t>
  </si>
  <si>
    <t>27/08/2023 00:45</t>
  </si>
  <si>
    <t>27/08/2023 01:00</t>
  </si>
  <si>
    <t>27/08/2023 01:15</t>
  </si>
  <si>
    <t>27/08/2023 01:30</t>
  </si>
  <si>
    <t>27/08/2023 01:45</t>
  </si>
  <si>
    <t>27/08/2023 02:00</t>
  </si>
  <si>
    <t>27/08/2023 02:15</t>
  </si>
  <si>
    <t>27/08/2023 02:30</t>
  </si>
  <si>
    <t>27/08/2023 02:45</t>
  </si>
  <si>
    <t>27/08/2023 03:00</t>
  </si>
  <si>
    <t>27/08/2023 03:15</t>
  </si>
  <si>
    <t>27/08/2023 03:30</t>
  </si>
  <si>
    <t>27/08/2023 03:45</t>
  </si>
  <si>
    <t>27/08/2023 04:00</t>
  </si>
  <si>
    <t>27/08/2023 04:15</t>
  </si>
  <si>
    <t>27/08/2023 04:30</t>
  </si>
  <si>
    <t>27/08/2023 04:45</t>
  </si>
  <si>
    <t>27/08/2023 05:00</t>
  </si>
  <si>
    <t>27/08/2023 05:15</t>
  </si>
  <si>
    <t>27/08/2023 05:30</t>
  </si>
  <si>
    <t>27/08/2023 05:45</t>
  </si>
  <si>
    <t>27/08/2023 06:00</t>
  </si>
  <si>
    <t>27/08/2023 06:15</t>
  </si>
  <si>
    <t>27/08/2023 06:30</t>
  </si>
  <si>
    <t>27/08/2023 06:45</t>
  </si>
  <si>
    <t>27/08/2023 07:00</t>
  </si>
  <si>
    <t>27/08/2023 07:15</t>
  </si>
  <si>
    <t>27/08/2023 07:30</t>
  </si>
  <si>
    <t>27/08/2023 07:45</t>
  </si>
  <si>
    <t>27/08/2023 08:00</t>
  </si>
  <si>
    <t>27/08/2023 08:15</t>
  </si>
  <si>
    <t>27/08/2023 08:30</t>
  </si>
  <si>
    <t>27/08/2023 08:45</t>
  </si>
  <si>
    <t>27/08/2023 09:00</t>
  </si>
  <si>
    <t>27/08/2023 09:15</t>
  </si>
  <si>
    <t>27/08/2023 09:30</t>
  </si>
  <si>
    <t>27/08/2023 09:45</t>
  </si>
  <si>
    <t>27/08/2023 10:00</t>
  </si>
  <si>
    <t>27/08/2023 10:15</t>
  </si>
  <si>
    <t>27/08/2023 10:30</t>
  </si>
  <si>
    <t>27/08/2023 10:45</t>
  </si>
  <si>
    <t>27/08/2023 11:00</t>
  </si>
  <si>
    <t>27/08/2023 11:15</t>
  </si>
  <si>
    <t>27/08/2023 11:30</t>
  </si>
  <si>
    <t>27/08/2023 11:45</t>
  </si>
  <si>
    <t>27/08/2023 12:00</t>
  </si>
  <si>
    <t>27/08/2023 12:15</t>
  </si>
  <si>
    <t>27/08/2023 12:30</t>
  </si>
  <si>
    <t>27/08/2023 12:45</t>
  </si>
  <si>
    <t>27/08/2023 13:00</t>
  </si>
  <si>
    <t>27/08/2023 13:15</t>
  </si>
  <si>
    <t>27/08/2023 13:30</t>
  </si>
  <si>
    <t>27/08/2023 13:45</t>
  </si>
  <si>
    <t>27/08/2023 14:00</t>
  </si>
  <si>
    <t>27/08/2023 14:15</t>
  </si>
  <si>
    <t>27/08/2023 14:30</t>
  </si>
  <si>
    <t>27/08/2023 14:45</t>
  </si>
  <si>
    <t>27/08/2023 15:00</t>
  </si>
  <si>
    <t>27/08/2023 15:15</t>
  </si>
  <si>
    <t>27/08/2023 15:30</t>
  </si>
  <si>
    <t>27/08/2023 15:45</t>
  </si>
  <si>
    <t>27/08/2023 16:00</t>
  </si>
  <si>
    <t>27/08/2023 16:15</t>
  </si>
  <si>
    <t>27/08/2023 16:30</t>
  </si>
  <si>
    <t>27/08/2023 16:45</t>
  </si>
  <si>
    <t>27/08/2023 17:00</t>
  </si>
  <si>
    <t>27/08/2023 17:15</t>
  </si>
  <si>
    <t>27/08/2023 17:30</t>
  </si>
  <si>
    <t>27/08/2023 17:45</t>
  </si>
  <si>
    <t>27/08/2023 18:00</t>
  </si>
  <si>
    <t>27/08/2023 18:15</t>
  </si>
  <si>
    <t>27/08/2023 18:30</t>
  </si>
  <si>
    <t>27/08/2023 18:45</t>
  </si>
  <si>
    <t>27/08/2023 19:00</t>
  </si>
  <si>
    <t>27/08/2023 19:15</t>
  </si>
  <si>
    <t>27/08/2023 19:30</t>
  </si>
  <si>
    <t>27/08/2023 19:45</t>
  </si>
  <si>
    <t>27/08/2023 20:00</t>
  </si>
  <si>
    <t>27/08/2023 20:15</t>
  </si>
  <si>
    <t>27/08/2023 20:30</t>
  </si>
  <si>
    <t>27/08/2023 20:45</t>
  </si>
  <si>
    <t>27/08/2023 21:00</t>
  </si>
  <si>
    <t>27/08/2023 21:15</t>
  </si>
  <si>
    <t>27/08/2023 21:30</t>
  </si>
  <si>
    <t>27/08/2023 21:45</t>
  </si>
  <si>
    <t>27/08/2023 22:00</t>
  </si>
  <si>
    <t>27/08/2023 22:15</t>
  </si>
  <si>
    <t>27/08/2023 22:30</t>
  </si>
  <si>
    <t>27/08/2023 22:45</t>
  </si>
  <si>
    <t>27/08/2023 23:00</t>
  </si>
  <si>
    <t>27/08/2023 23:15</t>
  </si>
  <si>
    <t>27/08/2023 23:30</t>
  </si>
  <si>
    <t>27/08/2023 23:45</t>
  </si>
  <si>
    <t>27/08/2023 24:00</t>
  </si>
  <si>
    <t>28/08/2023 00:15</t>
  </si>
  <si>
    <t>28/08/2023 00:30</t>
  </si>
  <si>
    <t>28/08/2023 00:45</t>
  </si>
  <si>
    <t>28/08/2023 01:00</t>
  </si>
  <si>
    <t>28/08/2023 01:15</t>
  </si>
  <si>
    <t>28/08/2023 01:30</t>
  </si>
  <si>
    <t>28/08/2023 01:45</t>
  </si>
  <si>
    <t>28/08/2023 02:00</t>
  </si>
  <si>
    <t>28/08/2023 02:15</t>
  </si>
  <si>
    <t>28/08/2023 02:30</t>
  </si>
  <si>
    <t>28/08/2023 02:45</t>
  </si>
  <si>
    <t>28/08/2023 03:00</t>
  </si>
  <si>
    <t>28/08/2023 03:15</t>
  </si>
  <si>
    <t>28/08/2023 03:30</t>
  </si>
  <si>
    <t>28/08/2023 03:45</t>
  </si>
  <si>
    <t>28/08/2023 04:00</t>
  </si>
  <si>
    <t>28/08/2023 04:15</t>
  </si>
  <si>
    <t>28/08/2023 04:30</t>
  </si>
  <si>
    <t>28/08/2023 04:45</t>
  </si>
  <si>
    <t>28/08/2023 05:00</t>
  </si>
  <si>
    <t>28/08/2023 05:15</t>
  </si>
  <si>
    <t>28/08/2023 05:30</t>
  </si>
  <si>
    <t>28/08/2023 05:45</t>
  </si>
  <si>
    <t>28/08/2023 06:00</t>
  </si>
  <si>
    <t>28/08/2023 06:15</t>
  </si>
  <si>
    <t>28/08/2023 06:30</t>
  </si>
  <si>
    <t>28/08/2023 06:45</t>
  </si>
  <si>
    <t>28/08/2023 07:00</t>
  </si>
  <si>
    <t>28/08/2023 07:15</t>
  </si>
  <si>
    <t>28/08/2023 07:30</t>
  </si>
  <si>
    <t>28/08/2023 07:45</t>
  </si>
  <si>
    <t>28/08/2023 08:00</t>
  </si>
  <si>
    <t>28/08/2023 08:15</t>
  </si>
  <si>
    <t>28/08/2023 08:30</t>
  </si>
  <si>
    <t>28/08/2023 08:45</t>
  </si>
  <si>
    <t>28/08/2023 09:00</t>
  </si>
  <si>
    <t>28/08/2023 09:15</t>
  </si>
  <si>
    <t>28/08/2023 09:30</t>
  </si>
  <si>
    <t>28/08/2023 09:45</t>
  </si>
  <si>
    <t>28/08/2023 10:00</t>
  </si>
  <si>
    <t>28/08/2023 10:15</t>
  </si>
  <si>
    <t>28/08/2023 10:30</t>
  </si>
  <si>
    <t>28/08/2023 10:45</t>
  </si>
  <si>
    <t>28/08/2023 11:00</t>
  </si>
  <si>
    <t>28/08/2023 11:15</t>
  </si>
  <si>
    <t>28/08/2023 11:30</t>
  </si>
  <si>
    <t>28/08/2023 11:45</t>
  </si>
  <si>
    <t>28/08/2023 12:00</t>
  </si>
  <si>
    <t>28/08/2023 12:15</t>
  </si>
  <si>
    <t>28/08/2023 12:30</t>
  </si>
  <si>
    <t>28/08/2023 12:45</t>
  </si>
  <si>
    <t>28/08/2023 13:00</t>
  </si>
  <si>
    <t>28/08/2023 13:15</t>
  </si>
  <si>
    <t>28/08/2023 13:30</t>
  </si>
  <si>
    <t>28/08/2023 13:45</t>
  </si>
  <si>
    <t>28/08/2023 14:00</t>
  </si>
  <si>
    <t>28/08/2023 14:15</t>
  </si>
  <si>
    <t>28/08/2023 14:30</t>
  </si>
  <si>
    <t>28/08/2023 14:45</t>
  </si>
  <si>
    <t>28/08/2023 15:00</t>
  </si>
  <si>
    <t>28/08/2023 15:15</t>
  </si>
  <si>
    <t>28/08/2023 15:30</t>
  </si>
  <si>
    <t>28/08/2023 15:45</t>
  </si>
  <si>
    <t>28/08/2023 16:00</t>
  </si>
  <si>
    <t>28/08/2023 16:15</t>
  </si>
  <si>
    <t>28/08/2023 16:30</t>
  </si>
  <si>
    <t>28/08/2023 16:45</t>
  </si>
  <si>
    <t>28/08/2023 17:00</t>
  </si>
  <si>
    <t>28/08/2023 17:15</t>
  </si>
  <si>
    <t>28/08/2023 17:30</t>
  </si>
  <si>
    <t>28/08/2023 17:45</t>
  </si>
  <si>
    <t>28/08/2023 18:00</t>
  </si>
  <si>
    <t>28/08/2023 18:15</t>
  </si>
  <si>
    <t>28/08/2023 18:30</t>
  </si>
  <si>
    <t>28/08/2023 18:45</t>
  </si>
  <si>
    <t>28/08/2023 19:00</t>
  </si>
  <si>
    <t>28/08/2023 19:15</t>
  </si>
  <si>
    <t>28/08/2023 19:30</t>
  </si>
  <si>
    <t>28/08/2023 19:45</t>
  </si>
  <si>
    <t>28/08/2023 20:00</t>
  </si>
  <si>
    <t>28/08/2023 20:15</t>
  </si>
  <si>
    <t>28/08/2023 20:30</t>
  </si>
  <si>
    <t>28/08/2023 20:45</t>
  </si>
  <si>
    <t>28/08/2023 21:00</t>
  </si>
  <si>
    <t>28/08/2023 21:15</t>
  </si>
  <si>
    <t>28/08/2023 21:30</t>
  </si>
  <si>
    <t>28/08/2023 21:45</t>
  </si>
  <si>
    <t>28/08/2023 22:00</t>
  </si>
  <si>
    <t>28/08/2023 22:15</t>
  </si>
  <si>
    <t>28/08/2023 22:30</t>
  </si>
  <si>
    <t>28/08/2023 22:45</t>
  </si>
  <si>
    <t>28/08/2023 23:00</t>
  </si>
  <si>
    <t>28/08/2023 23:15</t>
  </si>
  <si>
    <t>28/08/2023 23:30</t>
  </si>
  <si>
    <t>28/08/2023 23:45</t>
  </si>
  <si>
    <t>28/08/2023 24:00</t>
  </si>
  <si>
    <t>29/08/2023 00:15</t>
  </si>
  <si>
    <t>29/08/2023 00:30</t>
  </si>
  <si>
    <t>29/08/2023 00:45</t>
  </si>
  <si>
    <t>29/08/2023 01:00</t>
  </si>
  <si>
    <t>29/08/2023 01:15</t>
  </si>
  <si>
    <t>29/08/2023 01:30</t>
  </si>
  <si>
    <t>29/08/2023 01:45</t>
  </si>
  <si>
    <t>29/08/2023 02:00</t>
  </si>
  <si>
    <t>29/08/2023 02:15</t>
  </si>
  <si>
    <t>29/08/2023 02:30</t>
  </si>
  <si>
    <t>29/08/2023 02:45</t>
  </si>
  <si>
    <t>29/08/2023 03:00</t>
  </si>
  <si>
    <t>29/08/2023 03:15</t>
  </si>
  <si>
    <t>29/08/2023 03:30</t>
  </si>
  <si>
    <t>29/08/2023 03:45</t>
  </si>
  <si>
    <t>29/08/2023 04:00</t>
  </si>
  <si>
    <t>29/08/2023 04:15</t>
  </si>
  <si>
    <t>29/08/2023 04:30</t>
  </si>
  <si>
    <t>29/08/2023 04:45</t>
  </si>
  <si>
    <t>29/08/2023 05:00</t>
  </si>
  <si>
    <t>29/08/2023 05:15</t>
  </si>
  <si>
    <t>29/08/2023 05:30</t>
  </si>
  <si>
    <t>29/08/2023 05:45</t>
  </si>
  <si>
    <t>29/08/2023 06:00</t>
  </si>
  <si>
    <t>29/08/2023 06:15</t>
  </si>
  <si>
    <t>29/08/2023 06:30</t>
  </si>
  <si>
    <t>29/08/2023 06:45</t>
  </si>
  <si>
    <t>29/08/2023 07:00</t>
  </si>
  <si>
    <t>29/08/2023 07:15</t>
  </si>
  <si>
    <t>29/08/2023 07:30</t>
  </si>
  <si>
    <t>29/08/2023 07:45</t>
  </si>
  <si>
    <t>29/08/2023 08:00</t>
  </si>
  <si>
    <t>29/08/2023 08:15</t>
  </si>
  <si>
    <t>29/08/2023 08:30</t>
  </si>
  <si>
    <t>29/08/2023 08:45</t>
  </si>
  <si>
    <t>29/08/2023 09:00</t>
  </si>
  <si>
    <t>29/08/2023 09:15</t>
  </si>
  <si>
    <t>29/08/2023 09:30</t>
  </si>
  <si>
    <t>29/08/2023 09:45</t>
  </si>
  <si>
    <t>29/08/2023 10:00</t>
  </si>
  <si>
    <t>29/08/2023 10:15</t>
  </si>
  <si>
    <t>29/08/2023 10:30</t>
  </si>
  <si>
    <t>29/08/2023 10:45</t>
  </si>
  <si>
    <t>29/08/2023 11:00</t>
  </si>
  <si>
    <t>29/08/2023 11:15</t>
  </si>
  <si>
    <t>29/08/2023 11:30</t>
  </si>
  <si>
    <t>29/08/2023 11:45</t>
  </si>
  <si>
    <t>29/08/2023 12:00</t>
  </si>
  <si>
    <t>29/08/2023 12:15</t>
  </si>
  <si>
    <t>29/08/2023 12:30</t>
  </si>
  <si>
    <t>29/08/2023 12:45</t>
  </si>
  <si>
    <t>29/08/2023 13:00</t>
  </si>
  <si>
    <t>29/08/2023 13:15</t>
  </si>
  <si>
    <t>29/08/2023 13:30</t>
  </si>
  <si>
    <t>29/08/2023 13:45</t>
  </si>
  <si>
    <t>29/08/2023 14:00</t>
  </si>
  <si>
    <t>29/08/2023 14:15</t>
  </si>
  <si>
    <t>29/08/2023 14:30</t>
  </si>
  <si>
    <t>29/08/2023 14:45</t>
  </si>
  <si>
    <t>29/08/2023 15:00</t>
  </si>
  <si>
    <t>29/08/2023 15:15</t>
  </si>
  <si>
    <t>29/08/2023 15:30</t>
  </si>
  <si>
    <t>29/08/2023 15:45</t>
  </si>
  <si>
    <t>29/08/2023 16:00</t>
  </si>
  <si>
    <t>29/08/2023 16:15</t>
  </si>
  <si>
    <t>29/08/2023 16:30</t>
  </si>
  <si>
    <t>29/08/2023 16:45</t>
  </si>
  <si>
    <t>29/08/2023 17:00</t>
  </si>
  <si>
    <t>29/08/2023 17:15</t>
  </si>
  <si>
    <t>29/08/2023 17:30</t>
  </si>
  <si>
    <t>29/08/2023 17:45</t>
  </si>
  <si>
    <t>29/08/2023 18:00</t>
  </si>
  <si>
    <t>29/08/2023 18:15</t>
  </si>
  <si>
    <t>29/08/2023 18:30</t>
  </si>
  <si>
    <t>29/08/2023 18:45</t>
  </si>
  <si>
    <t>29/08/2023 19:00</t>
  </si>
  <si>
    <t>29/08/2023 19:15</t>
  </si>
  <si>
    <t>29/08/2023 19:30</t>
  </si>
  <si>
    <t>29/08/2023 19:45</t>
  </si>
  <si>
    <t>29/08/2023 20:00</t>
  </si>
  <si>
    <t>29/08/2023 20:15</t>
  </si>
  <si>
    <t>29/08/2023 20:30</t>
  </si>
  <si>
    <t>29/08/2023 20:45</t>
  </si>
  <si>
    <t>29/08/2023 21:00</t>
  </si>
  <si>
    <t>29/08/2023 21:15</t>
  </si>
  <si>
    <t>29/08/2023 21:30</t>
  </si>
  <si>
    <t>29/08/2023 21:45</t>
  </si>
  <si>
    <t>29/08/2023 22:00</t>
  </si>
  <si>
    <t>29/08/2023 22:15</t>
  </si>
  <si>
    <t>29/08/2023 22:30</t>
  </si>
  <si>
    <t>29/08/2023 22:45</t>
  </si>
  <si>
    <t>29/08/2023 23:00</t>
  </si>
  <si>
    <t>29/08/2023 23:15</t>
  </si>
  <si>
    <t>29/08/2023 23:30</t>
  </si>
  <si>
    <t>29/08/2023 23:45</t>
  </si>
  <si>
    <t>29/08/2023 24:00</t>
  </si>
  <si>
    <t>30/08/2023 00:15</t>
  </si>
  <si>
    <t>30/08/2023 00:30</t>
  </si>
  <si>
    <t>30/08/2023 00:45</t>
  </si>
  <si>
    <t>30/08/2023 01:00</t>
  </si>
  <si>
    <t>30/08/2023 01:15</t>
  </si>
  <si>
    <t>30/08/2023 01:30</t>
  </si>
  <si>
    <t>30/08/2023 01:45</t>
  </si>
  <si>
    <t>30/08/2023 02:00</t>
  </si>
  <si>
    <t>30/08/2023 02:15</t>
  </si>
  <si>
    <t>30/08/2023 02:30</t>
  </si>
  <si>
    <t>30/08/2023 02:45</t>
  </si>
  <si>
    <t>30/08/2023 03:00</t>
  </si>
  <si>
    <t>30/08/2023 03:15</t>
  </si>
  <si>
    <t>30/08/2023 03:30</t>
  </si>
  <si>
    <t>30/08/2023 03:45</t>
  </si>
  <si>
    <t>30/08/2023 04:00</t>
  </si>
  <si>
    <t>30/08/2023 04:15</t>
  </si>
  <si>
    <t>30/08/2023 04:30</t>
  </si>
  <si>
    <t>30/08/2023 04:45</t>
  </si>
  <si>
    <t>30/08/2023 05:00</t>
  </si>
  <si>
    <t>30/08/2023 05:15</t>
  </si>
  <si>
    <t>30/08/2023 05:30</t>
  </si>
  <si>
    <t>30/08/2023 05:45</t>
  </si>
  <si>
    <t>30/08/2023 06:00</t>
  </si>
  <si>
    <t>30/08/2023 06:15</t>
  </si>
  <si>
    <t>30/08/2023 06:30</t>
  </si>
  <si>
    <t>30/08/2023 06:45</t>
  </si>
  <si>
    <t>30/08/2023 07:00</t>
  </si>
  <si>
    <t>30/08/2023 07:15</t>
  </si>
  <si>
    <t>30/08/2023 07:30</t>
  </si>
  <si>
    <t>30/08/2023 07:45</t>
  </si>
  <si>
    <t>30/08/2023 08:00</t>
  </si>
  <si>
    <t>30/08/2023 08:15</t>
  </si>
  <si>
    <t>30/08/2023 08:30</t>
  </si>
  <si>
    <t>30/08/2023 08:45</t>
  </si>
  <si>
    <t>30/08/2023 09:00</t>
  </si>
  <si>
    <t>30/08/2023 09:15</t>
  </si>
  <si>
    <t>30/08/2023 09:30</t>
  </si>
  <si>
    <t>30/08/2023 09:45</t>
  </si>
  <si>
    <t>30/08/2023 10:00</t>
  </si>
  <si>
    <t>30/08/2023 10:15</t>
  </si>
  <si>
    <t>30/08/2023 10:30</t>
  </si>
  <si>
    <t>30/08/2023 10:45</t>
  </si>
  <si>
    <t>30/08/2023 11:00</t>
  </si>
  <si>
    <t>30/08/2023 11:15</t>
  </si>
  <si>
    <t>30/08/2023 11:30</t>
  </si>
  <si>
    <t>30/08/2023 11:45</t>
  </si>
  <si>
    <t>30/08/2023 12:00</t>
  </si>
  <si>
    <t>30/08/2023 12:15</t>
  </si>
  <si>
    <t>30/08/2023 12:30</t>
  </si>
  <si>
    <t>30/08/2023 12:45</t>
  </si>
  <si>
    <t>30/08/2023 13:00</t>
  </si>
  <si>
    <t>30/08/2023 13:15</t>
  </si>
  <si>
    <t>30/08/2023 13:30</t>
  </si>
  <si>
    <t>30/08/2023 13:45</t>
  </si>
  <si>
    <t>30/08/2023 14:00</t>
  </si>
  <si>
    <t>30/08/2023 14:15</t>
  </si>
  <si>
    <t>30/08/2023 14:30</t>
  </si>
  <si>
    <t>30/08/2023 14:45</t>
  </si>
  <si>
    <t>30/08/2023 15:00</t>
  </si>
  <si>
    <t>30/08/2023 15:15</t>
  </si>
  <si>
    <t>30/08/2023 15:30</t>
  </si>
  <si>
    <t>30/08/2023 15:45</t>
  </si>
  <si>
    <t>30/08/2023 16:00</t>
  </si>
  <si>
    <t>30/08/2023 16:15</t>
  </si>
  <si>
    <t>30/08/2023 16:30</t>
  </si>
  <si>
    <t>30/08/2023 16:45</t>
  </si>
  <si>
    <t>30/08/2023 17:00</t>
  </si>
  <si>
    <t>30/08/2023 17:15</t>
  </si>
  <si>
    <t>30/08/2023 17:30</t>
  </si>
  <si>
    <t>30/08/2023 17:45</t>
  </si>
  <si>
    <t>30/08/2023 18:00</t>
  </si>
  <si>
    <t>30/08/2023 18:15</t>
  </si>
  <si>
    <t>30/08/2023 18:30</t>
  </si>
  <si>
    <t>30/08/2023 18:45</t>
  </si>
  <si>
    <t>30/08/2023 19:00</t>
  </si>
  <si>
    <t>30/08/2023 19:15</t>
  </si>
  <si>
    <t>30/08/2023 19:30</t>
  </si>
  <si>
    <t>30/08/2023 19:45</t>
  </si>
  <si>
    <t>30/08/2023 20:00</t>
  </si>
  <si>
    <t>30/08/2023 20:15</t>
  </si>
  <si>
    <t>30/08/2023 20:30</t>
  </si>
  <si>
    <t>30/08/2023 20:45</t>
  </si>
  <si>
    <t>30/08/2023 21:00</t>
  </si>
  <si>
    <t>30/08/2023 21:15</t>
  </si>
  <si>
    <t>30/08/2023 21:30</t>
  </si>
  <si>
    <t>30/08/2023 21:45</t>
  </si>
  <si>
    <t>30/08/2023 22:00</t>
  </si>
  <si>
    <t>30/08/2023 22:15</t>
  </si>
  <si>
    <t>30/08/2023 22:30</t>
  </si>
  <si>
    <t>30/08/2023 22:45</t>
  </si>
  <si>
    <t>30/08/2023 23:00</t>
  </si>
  <si>
    <t>30/08/2023 23:15</t>
  </si>
  <si>
    <t>30/08/2023 23:30</t>
  </si>
  <si>
    <t>30/08/2023 23:45</t>
  </si>
  <si>
    <t>30/08/2023 24:00</t>
  </si>
  <si>
    <t>31/08/2023 00:15</t>
  </si>
  <si>
    <t>31/08/2023 00:30</t>
  </si>
  <si>
    <t>31/08/2023 00:45</t>
  </si>
  <si>
    <t>31/08/2023 01:00</t>
  </si>
  <si>
    <t>31/08/2023 01:15</t>
  </si>
  <si>
    <t>31/08/2023 01:30</t>
  </si>
  <si>
    <t>31/08/2023 01:45</t>
  </si>
  <si>
    <t>31/08/2023 02:00</t>
  </si>
  <si>
    <t>31/08/2023 02:15</t>
  </si>
  <si>
    <t>31/08/2023 02:30</t>
  </si>
  <si>
    <t>31/08/2023 02:45</t>
  </si>
  <si>
    <t>31/08/2023 03:00</t>
  </si>
  <si>
    <t>31/08/2023 03:15</t>
  </si>
  <si>
    <t>31/08/2023 03:30</t>
  </si>
  <si>
    <t>31/08/2023 03:45</t>
  </si>
  <si>
    <t>31/08/2023 04:00</t>
  </si>
  <si>
    <t>31/08/2023 04:15</t>
  </si>
  <si>
    <t>31/08/2023 04:30</t>
  </si>
  <si>
    <t>31/08/2023 04:45</t>
  </si>
  <si>
    <t>31/08/2023 05:00</t>
  </si>
  <si>
    <t>31/08/2023 05:15</t>
  </si>
  <si>
    <t>31/08/2023 05:30</t>
  </si>
  <si>
    <t>31/08/2023 05:45</t>
  </si>
  <si>
    <t>31/08/2023 06:00</t>
  </si>
  <si>
    <t>31/08/2023 06:15</t>
  </si>
  <si>
    <t>31/08/2023 06:30</t>
  </si>
  <si>
    <t>31/08/2023 06:45</t>
  </si>
  <si>
    <t>31/08/2023 07:00</t>
  </si>
  <si>
    <t>31/08/2023 07:15</t>
  </si>
  <si>
    <t>31/08/2023 07:30</t>
  </si>
  <si>
    <t>31/08/2023 07:45</t>
  </si>
  <si>
    <t>31/08/2023 08:00</t>
  </si>
  <si>
    <t>31/08/2023 08:15</t>
  </si>
  <si>
    <t>31/08/2023 08:30</t>
  </si>
  <si>
    <t>31/08/2023 08:45</t>
  </si>
  <si>
    <t>31/08/2023 09:00</t>
  </si>
  <si>
    <t>31/08/2023 09:15</t>
  </si>
  <si>
    <t>31/08/2023 09:30</t>
  </si>
  <si>
    <t>31/08/2023 09:45</t>
  </si>
  <si>
    <t>31/08/2023 10:00</t>
  </si>
  <si>
    <t>31/08/2023 10:15</t>
  </si>
  <si>
    <t>31/08/2023 10:30</t>
  </si>
  <si>
    <t>31/08/2023 10:45</t>
  </si>
  <si>
    <t>31/08/2023 11:00</t>
  </si>
  <si>
    <t>31/08/2023 11:15</t>
  </si>
  <si>
    <t>31/08/2023 11:30</t>
  </si>
  <si>
    <t>31/08/2023 11:45</t>
  </si>
  <si>
    <t>31/08/2023 12:00</t>
  </si>
  <si>
    <t>31/08/2023 12:15</t>
  </si>
  <si>
    <t>31/08/2023 12:30</t>
  </si>
  <si>
    <t>31/08/2023 12:45</t>
  </si>
  <si>
    <t>31/08/2023 13:00</t>
  </si>
  <si>
    <t>31/08/2023 13:15</t>
  </si>
  <si>
    <t>31/08/2023 13:30</t>
  </si>
  <si>
    <t>31/08/2023 13:45</t>
  </si>
  <si>
    <t>31/08/2023 14:00</t>
  </si>
  <si>
    <t>31/08/2023 14:15</t>
  </si>
  <si>
    <t>31/08/2023 14:30</t>
  </si>
  <si>
    <t>31/08/2023 14:45</t>
  </si>
  <si>
    <t>31/08/2023 15:00</t>
  </si>
  <si>
    <t>31/08/2023 15:15</t>
  </si>
  <si>
    <t>31/08/2023 15:30</t>
  </si>
  <si>
    <t>31/08/2023 15:45</t>
  </si>
  <si>
    <t>31/08/2023 16:00</t>
  </si>
  <si>
    <t>31/08/2023 16:15</t>
  </si>
  <si>
    <t>31/08/2023 16:30</t>
  </si>
  <si>
    <t>31/08/2023 16:45</t>
  </si>
  <si>
    <t>31/08/2023 17:00</t>
  </si>
  <si>
    <t>31/08/2023 17:15</t>
  </si>
  <si>
    <t>31/08/2023 17:30</t>
  </si>
  <si>
    <t>31/08/2023 17:45</t>
  </si>
  <si>
    <t>31/08/2023 18:00</t>
  </si>
  <si>
    <t>31/08/2023 18:15</t>
  </si>
  <si>
    <t>31/08/2023 18:30</t>
  </si>
  <si>
    <t>31/08/2023 18:45</t>
  </si>
  <si>
    <t>31/08/2023 19:00</t>
  </si>
  <si>
    <t>31/08/2023 19:15</t>
  </si>
  <si>
    <t>31/08/2023 19:30</t>
  </si>
  <si>
    <t>31/08/2023 19:45</t>
  </si>
  <si>
    <t>31/08/2023 20:00</t>
  </si>
  <si>
    <t>31/08/2023 20:15</t>
  </si>
  <si>
    <t>31/08/2023 20:30</t>
  </si>
  <si>
    <t>31/08/2023 20:45</t>
  </si>
  <si>
    <t>31/08/2023 21:00</t>
  </si>
  <si>
    <t>31/08/2023 21:15</t>
  </si>
  <si>
    <t>31/08/2023 21:30</t>
  </si>
  <si>
    <t>31/08/2023 21:45</t>
  </si>
  <si>
    <t>31/08/2023 22:00</t>
  </si>
  <si>
    <t>31/08/2023 22:15</t>
  </si>
  <si>
    <t>31/08/2023 22:30</t>
  </si>
  <si>
    <t>31/08/2023 22:45</t>
  </si>
  <si>
    <t>31/08/2023 23:00</t>
  </si>
  <si>
    <t>31/08/2023 23:15</t>
  </si>
  <si>
    <t>31/08/2023 23:30</t>
  </si>
  <si>
    <t>31/08/2023 23:45</t>
  </si>
  <si>
    <t>31/08/2023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</si>
</sst>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101" activePane="bottomRight" state="frozen"/>
      <selection pane="topRight"/>
      <selection pane="bottomLeft"/>
      <selection pane="bottomRight" activeCell="E111" sqref="E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01/08/2023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239</v>
      </c>
      <c r="B9" s="134">
        <v>11.79</v>
      </c>
      <c r="C9" s="134">
        <v>19.670000000000002</v>
      </c>
      <c r="D9" s="134">
        <v>18.690000000000001</v>
      </c>
      <c r="E9" s="172" t="s">
        <v>8</v>
      </c>
      <c r="F9" s="134">
        <v>3.82</v>
      </c>
      <c r="G9" s="134">
        <v>25.14</v>
      </c>
      <c r="H9" s="134">
        <v>8.57</v>
      </c>
      <c r="I9" s="134">
        <v>5.31</v>
      </c>
      <c r="J9" s="134">
        <v>0.72</v>
      </c>
      <c r="K9" s="134">
        <v>257.44</v>
      </c>
      <c r="L9" s="134">
        <v>26.93</v>
      </c>
      <c r="M9" s="134">
        <v>86.93</v>
      </c>
      <c r="N9" s="134">
        <v>0</v>
      </c>
      <c r="O9" s="134">
        <v>0</v>
      </c>
      <c r="P9" s="134">
        <v>0.47</v>
      </c>
      <c r="Q9" s="134">
        <v>3.77</v>
      </c>
    </row>
    <row r="10" spans="1:21" customFormat="1">
      <c r="A10" s="112" t="s">
        <v>240</v>
      </c>
      <c r="B10" s="134">
        <v>12.02</v>
      </c>
      <c r="C10" s="134">
        <v>18.95</v>
      </c>
      <c r="D10" s="134">
        <v>18.489999999999998</v>
      </c>
      <c r="E10" s="172" t="s">
        <v>8</v>
      </c>
      <c r="F10" s="134">
        <v>3.44</v>
      </c>
      <c r="G10" s="134">
        <v>25.14</v>
      </c>
      <c r="H10" s="134">
        <v>8.57</v>
      </c>
      <c r="I10" s="134">
        <v>5.05</v>
      </c>
      <c r="J10" s="134">
        <v>0.72</v>
      </c>
      <c r="K10" s="134">
        <v>259.04000000000002</v>
      </c>
      <c r="L10" s="134">
        <v>27.02</v>
      </c>
      <c r="M10" s="134">
        <v>87.78</v>
      </c>
      <c r="N10" s="134">
        <v>0</v>
      </c>
      <c r="O10" s="134">
        <v>0</v>
      </c>
      <c r="P10" s="134">
        <v>0.46</v>
      </c>
      <c r="Q10" s="134">
        <v>3.88</v>
      </c>
    </row>
    <row r="11" spans="1:21" customFormat="1">
      <c r="A11" s="112" t="s">
        <v>241</v>
      </c>
      <c r="B11" s="134">
        <v>11.94</v>
      </c>
      <c r="C11" s="134">
        <v>16.84</v>
      </c>
      <c r="D11" s="134">
        <v>17.329999999999998</v>
      </c>
      <c r="E11" s="172" t="s">
        <v>8</v>
      </c>
      <c r="F11" s="134">
        <v>5.12</v>
      </c>
      <c r="G11" s="134">
        <v>24.98</v>
      </c>
      <c r="H11" s="134">
        <v>8.42</v>
      </c>
      <c r="I11" s="134">
        <v>5.19</v>
      </c>
      <c r="J11" s="134">
        <v>0.85</v>
      </c>
      <c r="K11" s="134">
        <v>258.86</v>
      </c>
      <c r="L11" s="134">
        <v>26.93</v>
      </c>
      <c r="M11" s="134">
        <v>88.44</v>
      </c>
      <c r="N11" s="134">
        <v>0</v>
      </c>
      <c r="O11" s="134">
        <v>0</v>
      </c>
      <c r="P11" s="134">
        <v>0.43</v>
      </c>
      <c r="Q11" s="134">
        <v>3.78</v>
      </c>
    </row>
    <row r="12" spans="1:21" customFormat="1">
      <c r="A12" s="112" t="s">
        <v>242</v>
      </c>
      <c r="B12" s="134">
        <v>12.25</v>
      </c>
      <c r="C12" s="134">
        <v>17.86</v>
      </c>
      <c r="D12" s="134">
        <v>18.11</v>
      </c>
      <c r="E12" s="172" t="s">
        <v>8</v>
      </c>
      <c r="F12" s="134">
        <v>3.76</v>
      </c>
      <c r="G12" s="134">
        <v>21.68</v>
      </c>
      <c r="H12" s="134">
        <v>6.07</v>
      </c>
      <c r="I12" s="134">
        <v>5.0199999999999996</v>
      </c>
      <c r="J12" s="134">
        <v>0.77</v>
      </c>
      <c r="K12" s="134">
        <v>259.45</v>
      </c>
      <c r="L12" s="134">
        <v>26.93</v>
      </c>
      <c r="M12" s="134">
        <v>88.87</v>
      </c>
      <c r="N12" s="134">
        <v>0</v>
      </c>
      <c r="O12" s="134">
        <v>0</v>
      </c>
      <c r="P12" s="134">
        <v>0.46</v>
      </c>
      <c r="Q12" s="134">
        <v>3.75</v>
      </c>
    </row>
    <row r="13" spans="1:21" customFormat="1">
      <c r="A13" s="112" t="s">
        <v>243</v>
      </c>
      <c r="B13" s="134">
        <v>12.26</v>
      </c>
      <c r="C13" s="134">
        <v>18.12</v>
      </c>
      <c r="D13" s="134">
        <v>18.260000000000002</v>
      </c>
      <c r="E13" s="172" t="s">
        <v>8</v>
      </c>
      <c r="F13" s="134">
        <v>3.39</v>
      </c>
      <c r="G13" s="134">
        <v>21.68</v>
      </c>
      <c r="H13" s="134">
        <v>6.07</v>
      </c>
      <c r="I13" s="134">
        <v>4.8899999999999997</v>
      </c>
      <c r="J13" s="134">
        <v>0.55000000000000004</v>
      </c>
      <c r="K13" s="134">
        <v>254.04</v>
      </c>
      <c r="L13" s="134">
        <v>27.01</v>
      </c>
      <c r="M13" s="134">
        <v>89.3</v>
      </c>
      <c r="N13" s="134">
        <v>0</v>
      </c>
      <c r="O13" s="134">
        <v>0</v>
      </c>
      <c r="P13" s="134">
        <v>0.44</v>
      </c>
      <c r="Q13" s="134">
        <v>3.88</v>
      </c>
    </row>
    <row r="14" spans="1:21" customFormat="1">
      <c r="A14" s="112" t="s">
        <v>244</v>
      </c>
      <c r="B14" s="134">
        <v>12.08</v>
      </c>
      <c r="C14" s="134">
        <v>15.72</v>
      </c>
      <c r="D14" s="134">
        <v>16.86</v>
      </c>
      <c r="E14" s="172" t="s">
        <v>8</v>
      </c>
      <c r="F14" s="134">
        <v>5.1100000000000003</v>
      </c>
      <c r="G14" s="134">
        <v>21.68</v>
      </c>
      <c r="H14" s="134">
        <v>6.07</v>
      </c>
      <c r="I14" s="134">
        <v>4.92</v>
      </c>
      <c r="J14" s="134">
        <v>0.64</v>
      </c>
      <c r="K14" s="134">
        <v>254.95</v>
      </c>
      <c r="L14" s="134">
        <v>27.02</v>
      </c>
      <c r="M14" s="134">
        <v>89.57</v>
      </c>
      <c r="N14" s="134">
        <v>0</v>
      </c>
      <c r="O14" s="134">
        <v>0</v>
      </c>
      <c r="P14" s="134">
        <v>0.4</v>
      </c>
      <c r="Q14" s="134">
        <v>3.82</v>
      </c>
    </row>
    <row r="15" spans="1:21" customFormat="1">
      <c r="A15" s="112" t="s">
        <v>245</v>
      </c>
      <c r="B15" s="134">
        <v>12.66</v>
      </c>
      <c r="C15" s="134">
        <v>16.899999999999999</v>
      </c>
      <c r="D15" s="134">
        <v>17.940000000000001</v>
      </c>
      <c r="E15" s="172" t="s">
        <v>8</v>
      </c>
      <c r="F15" s="134">
        <v>3.6</v>
      </c>
      <c r="G15" s="134">
        <v>21.42</v>
      </c>
      <c r="H15" s="134">
        <v>6.02</v>
      </c>
      <c r="I15" s="134">
        <v>4.71</v>
      </c>
      <c r="J15" s="134">
        <v>0.7</v>
      </c>
      <c r="K15" s="134">
        <v>260.16000000000003</v>
      </c>
      <c r="L15" s="134">
        <v>27.04</v>
      </c>
      <c r="M15" s="134">
        <v>89.52</v>
      </c>
      <c r="N15" s="134">
        <v>0</v>
      </c>
      <c r="O15" s="134">
        <v>0</v>
      </c>
      <c r="P15" s="134">
        <v>0.43</v>
      </c>
      <c r="Q15" s="134">
        <v>3.76</v>
      </c>
    </row>
    <row r="16" spans="1:21" customFormat="1">
      <c r="A16" s="112" t="s">
        <v>246</v>
      </c>
      <c r="B16" s="134">
        <v>12.59</v>
      </c>
      <c r="C16" s="134">
        <v>17.420000000000002</v>
      </c>
      <c r="D16" s="134">
        <v>18.149999999999999</v>
      </c>
      <c r="E16" s="172" t="s">
        <v>8</v>
      </c>
      <c r="F16" s="134">
        <v>3.6</v>
      </c>
      <c r="G16" s="134">
        <v>15.87</v>
      </c>
      <c r="H16" s="134">
        <v>5.0199999999999996</v>
      </c>
      <c r="I16" s="134">
        <v>4.5</v>
      </c>
      <c r="J16" s="134">
        <v>0.59</v>
      </c>
      <c r="K16" s="134">
        <v>256.89999999999998</v>
      </c>
      <c r="L16" s="134">
        <v>27.07</v>
      </c>
      <c r="M16" s="134">
        <v>89.63</v>
      </c>
      <c r="N16" s="134">
        <v>0</v>
      </c>
      <c r="O16" s="134">
        <v>0</v>
      </c>
      <c r="P16" s="134">
        <v>0.42</v>
      </c>
      <c r="Q16" s="134">
        <v>3.87</v>
      </c>
    </row>
    <row r="17" spans="1:17" customFormat="1">
      <c r="A17" s="112" t="s">
        <v>247</v>
      </c>
      <c r="B17" s="134">
        <v>12.24</v>
      </c>
      <c r="C17" s="134">
        <v>15.86</v>
      </c>
      <c r="D17" s="134">
        <v>17.059999999999999</v>
      </c>
      <c r="E17" s="172" t="s">
        <v>8</v>
      </c>
      <c r="F17" s="134">
        <v>4.6900000000000004</v>
      </c>
      <c r="G17" s="134">
        <v>15.87</v>
      </c>
      <c r="H17" s="134">
        <v>5.0199999999999996</v>
      </c>
      <c r="I17" s="134">
        <v>4.72</v>
      </c>
      <c r="J17" s="134">
        <v>0.46</v>
      </c>
      <c r="K17" s="134">
        <v>254.68</v>
      </c>
      <c r="L17" s="134">
        <v>27.05</v>
      </c>
      <c r="M17" s="134">
        <v>89.88</v>
      </c>
      <c r="N17" s="134">
        <v>0</v>
      </c>
      <c r="O17" s="134">
        <v>0</v>
      </c>
      <c r="P17" s="134">
        <v>0.38</v>
      </c>
      <c r="Q17" s="134">
        <v>3.8</v>
      </c>
    </row>
    <row r="18" spans="1:17" customFormat="1">
      <c r="A18" s="112" t="s">
        <v>248</v>
      </c>
      <c r="B18" s="134">
        <v>12.82</v>
      </c>
      <c r="C18" s="134">
        <v>16.260000000000002</v>
      </c>
      <c r="D18" s="134">
        <v>17.73</v>
      </c>
      <c r="E18" s="172" t="s">
        <v>8</v>
      </c>
      <c r="F18" s="134">
        <v>3.82</v>
      </c>
      <c r="G18" s="134">
        <v>15.87</v>
      </c>
      <c r="H18" s="134">
        <v>5.0199999999999996</v>
      </c>
      <c r="I18" s="134">
        <v>4.51</v>
      </c>
      <c r="J18" s="134">
        <v>0.49</v>
      </c>
      <c r="K18" s="134">
        <v>257.06</v>
      </c>
      <c r="L18" s="134">
        <v>27.03</v>
      </c>
      <c r="M18" s="134">
        <v>90.27</v>
      </c>
      <c r="N18" s="134">
        <v>0</v>
      </c>
      <c r="O18" s="134">
        <v>0</v>
      </c>
      <c r="P18" s="134">
        <v>0.39</v>
      </c>
      <c r="Q18" s="134">
        <v>3.73</v>
      </c>
    </row>
    <row r="19" spans="1:17" customFormat="1">
      <c r="A19" s="112" t="s">
        <v>249</v>
      </c>
      <c r="B19" s="134">
        <v>13.21</v>
      </c>
      <c r="C19" s="134">
        <v>18.920000000000002</v>
      </c>
      <c r="D19" s="134">
        <v>19.43</v>
      </c>
      <c r="E19" s="172" t="s">
        <v>8</v>
      </c>
      <c r="F19" s="134">
        <v>2.6</v>
      </c>
      <c r="G19" s="134">
        <v>15.87</v>
      </c>
      <c r="H19" s="134">
        <v>5</v>
      </c>
      <c r="I19" s="134">
        <v>4.3600000000000003</v>
      </c>
      <c r="J19" s="134">
        <v>0.61</v>
      </c>
      <c r="K19" s="134">
        <v>256.29000000000002</v>
      </c>
      <c r="L19" s="134">
        <v>27.11</v>
      </c>
      <c r="M19" s="134">
        <v>89.24</v>
      </c>
      <c r="N19" s="134">
        <v>0</v>
      </c>
      <c r="O19" s="134">
        <v>0</v>
      </c>
      <c r="P19" s="134">
        <v>0.44</v>
      </c>
      <c r="Q19" s="134">
        <v>3.77</v>
      </c>
    </row>
    <row r="20" spans="1:17" customFormat="1">
      <c r="A20" s="112" t="s">
        <v>250</v>
      </c>
      <c r="B20" s="134">
        <v>12.98</v>
      </c>
      <c r="C20" s="134">
        <v>20.29</v>
      </c>
      <c r="D20" s="134">
        <v>19.96</v>
      </c>
      <c r="E20" s="172" t="s">
        <v>8</v>
      </c>
      <c r="F20" s="134">
        <v>2.6</v>
      </c>
      <c r="G20" s="134">
        <v>15.83</v>
      </c>
      <c r="H20" s="134">
        <v>4.59</v>
      </c>
      <c r="I20" s="134">
        <v>4.54</v>
      </c>
      <c r="J20" s="134">
        <v>0.62</v>
      </c>
      <c r="K20" s="134">
        <v>256.91000000000003</v>
      </c>
      <c r="L20" s="134">
        <v>26.92</v>
      </c>
      <c r="M20" s="134">
        <v>90.69</v>
      </c>
      <c r="N20" s="134">
        <v>0</v>
      </c>
      <c r="O20" s="134">
        <v>0.2</v>
      </c>
      <c r="P20" s="134">
        <v>0.47</v>
      </c>
      <c r="Q20" s="134">
        <v>3.91</v>
      </c>
    </row>
    <row r="21" spans="1:17" customFormat="1">
      <c r="A21" s="112" t="s">
        <v>251</v>
      </c>
      <c r="B21" s="134">
        <v>13</v>
      </c>
      <c r="C21" s="134">
        <v>17.96</v>
      </c>
      <c r="D21" s="134">
        <v>18.760000000000002</v>
      </c>
      <c r="E21" s="172" t="s">
        <v>8</v>
      </c>
      <c r="F21" s="134">
        <v>3.6</v>
      </c>
      <c r="G21" s="134">
        <v>15.83</v>
      </c>
      <c r="H21" s="134">
        <v>4.59</v>
      </c>
      <c r="I21" s="134">
        <v>4.71</v>
      </c>
      <c r="J21" s="134">
        <v>0.94</v>
      </c>
      <c r="K21" s="134">
        <v>258.52</v>
      </c>
      <c r="L21" s="134">
        <v>26.91</v>
      </c>
      <c r="M21" s="134">
        <v>90.02</v>
      </c>
      <c r="N21" s="134">
        <v>0</v>
      </c>
      <c r="O21" s="134">
        <v>0</v>
      </c>
      <c r="P21" s="134">
        <v>0.43</v>
      </c>
      <c r="Q21" s="134">
        <v>3.85</v>
      </c>
    </row>
    <row r="22" spans="1:17" customFormat="1">
      <c r="A22" s="112" t="s">
        <v>252</v>
      </c>
      <c r="B22" s="134">
        <v>13</v>
      </c>
      <c r="C22" s="134">
        <v>16.78</v>
      </c>
      <c r="D22" s="134">
        <v>18.149999999999999</v>
      </c>
      <c r="E22" s="172" t="s">
        <v>8</v>
      </c>
      <c r="F22" s="134">
        <v>3.61</v>
      </c>
      <c r="G22" s="134">
        <v>15.83</v>
      </c>
      <c r="H22" s="134">
        <v>4.59</v>
      </c>
      <c r="I22" s="134">
        <v>4.6399999999999997</v>
      </c>
      <c r="J22" s="134">
        <v>0.91</v>
      </c>
      <c r="K22" s="134">
        <v>254.53</v>
      </c>
      <c r="L22" s="134">
        <v>26.88</v>
      </c>
      <c r="M22" s="134">
        <v>89.9</v>
      </c>
      <c r="N22" s="134">
        <v>0</v>
      </c>
      <c r="O22" s="134">
        <v>0</v>
      </c>
      <c r="P22" s="134">
        <v>0.4</v>
      </c>
      <c r="Q22" s="134">
        <v>3.72</v>
      </c>
    </row>
    <row r="23" spans="1:17" customFormat="1">
      <c r="A23" s="112" t="s">
        <v>253</v>
      </c>
      <c r="B23" s="134">
        <v>12.98</v>
      </c>
      <c r="C23" s="134">
        <v>16.98</v>
      </c>
      <c r="D23" s="134">
        <v>18.239999999999998</v>
      </c>
      <c r="E23" s="172" t="s">
        <v>8</v>
      </c>
      <c r="F23" s="134">
        <v>3.14</v>
      </c>
      <c r="G23" s="134">
        <v>15.87</v>
      </c>
      <c r="H23" s="134">
        <v>4.63</v>
      </c>
      <c r="I23" s="134">
        <v>4.5999999999999996</v>
      </c>
      <c r="J23" s="134">
        <v>0.6</v>
      </c>
      <c r="K23" s="134">
        <v>256.64</v>
      </c>
      <c r="L23" s="134">
        <v>26.66</v>
      </c>
      <c r="M23" s="134">
        <v>91.61</v>
      </c>
      <c r="N23" s="134">
        <v>0</v>
      </c>
      <c r="O23" s="134">
        <v>0</v>
      </c>
      <c r="P23" s="134">
        <v>0.39</v>
      </c>
      <c r="Q23" s="134">
        <v>3.68</v>
      </c>
    </row>
    <row r="24" spans="1:17" customFormat="1">
      <c r="A24" s="112" t="s">
        <v>254</v>
      </c>
      <c r="B24" s="134">
        <v>13.47</v>
      </c>
      <c r="C24" s="134">
        <v>19.2</v>
      </c>
      <c r="D24" s="134">
        <v>19.79</v>
      </c>
      <c r="E24" s="172" t="s">
        <v>8</v>
      </c>
      <c r="F24" s="134">
        <v>1.84</v>
      </c>
      <c r="G24" s="134">
        <v>16.91</v>
      </c>
      <c r="H24" s="134">
        <v>5.45</v>
      </c>
      <c r="I24" s="134">
        <v>4.55</v>
      </c>
      <c r="J24" s="134">
        <v>0.71</v>
      </c>
      <c r="K24" s="134">
        <v>264.22000000000003</v>
      </c>
      <c r="L24" s="134">
        <v>26.62</v>
      </c>
      <c r="M24" s="134">
        <v>91.98</v>
      </c>
      <c r="N24" s="134">
        <v>0</v>
      </c>
      <c r="O24" s="134">
        <v>0</v>
      </c>
      <c r="P24" s="134">
        <v>0.43</v>
      </c>
      <c r="Q24" s="134">
        <v>3.8</v>
      </c>
    </row>
    <row r="25" spans="1:17" customFormat="1">
      <c r="A25" s="112" t="s">
        <v>255</v>
      </c>
      <c r="B25" s="134">
        <v>13.81</v>
      </c>
      <c r="C25" s="134">
        <v>17.97</v>
      </c>
      <c r="D25" s="134">
        <v>19.420000000000002</v>
      </c>
      <c r="E25" s="172" t="s">
        <v>8</v>
      </c>
      <c r="F25" s="134">
        <v>2.67</v>
      </c>
      <c r="G25" s="134">
        <v>16.91</v>
      </c>
      <c r="H25" s="134">
        <v>5.45</v>
      </c>
      <c r="I25" s="134">
        <v>4.6399999999999997</v>
      </c>
      <c r="J25" s="134">
        <v>0.72</v>
      </c>
      <c r="K25" s="134">
        <v>274.58999999999997</v>
      </c>
      <c r="L25" s="134">
        <v>26.6</v>
      </c>
      <c r="M25" s="134">
        <v>91.17</v>
      </c>
      <c r="N25" s="134">
        <v>0</v>
      </c>
      <c r="O25" s="134">
        <v>0.2</v>
      </c>
      <c r="P25" s="134">
        <v>0.41</v>
      </c>
      <c r="Q25" s="134">
        <v>3.8</v>
      </c>
    </row>
    <row r="26" spans="1:17" customFormat="1">
      <c r="A26" s="112" t="s">
        <v>256</v>
      </c>
      <c r="B26" s="134">
        <v>14.06</v>
      </c>
      <c r="C26" s="134">
        <v>17.100000000000001</v>
      </c>
      <c r="D26" s="134">
        <v>19.170000000000002</v>
      </c>
      <c r="E26" s="172" t="s">
        <v>8</v>
      </c>
      <c r="F26" s="134">
        <v>3.08</v>
      </c>
      <c r="G26" s="134">
        <v>16.91</v>
      </c>
      <c r="H26" s="134">
        <v>5.45</v>
      </c>
      <c r="I26" s="134">
        <v>4.8600000000000003</v>
      </c>
      <c r="J26" s="134">
        <v>0.65</v>
      </c>
      <c r="K26" s="134">
        <v>281.33999999999997</v>
      </c>
      <c r="L26" s="134">
        <v>26.25</v>
      </c>
      <c r="M26" s="134">
        <v>93.61</v>
      </c>
      <c r="N26" s="134">
        <v>0</v>
      </c>
      <c r="O26" s="134">
        <v>0.6</v>
      </c>
      <c r="P26" s="134">
        <v>0.39</v>
      </c>
      <c r="Q26" s="134">
        <v>3.74</v>
      </c>
    </row>
    <row r="27" spans="1:17" customFormat="1">
      <c r="A27" s="112" t="s">
        <v>257</v>
      </c>
      <c r="B27" s="134">
        <v>14.69</v>
      </c>
      <c r="C27" s="134">
        <v>19.02</v>
      </c>
      <c r="D27" s="134">
        <v>20.67</v>
      </c>
      <c r="E27" s="172" t="s">
        <v>8</v>
      </c>
      <c r="F27" s="134">
        <v>1.93</v>
      </c>
      <c r="G27" s="134">
        <v>17.010000000000002</v>
      </c>
      <c r="H27" s="134">
        <v>5.42</v>
      </c>
      <c r="I27" s="134">
        <v>4.71</v>
      </c>
      <c r="J27" s="134">
        <v>0.91</v>
      </c>
      <c r="K27" s="134">
        <v>280.52</v>
      </c>
      <c r="L27" s="134">
        <v>25.97</v>
      </c>
      <c r="M27" s="134">
        <v>95.65</v>
      </c>
      <c r="N27" s="134">
        <v>0</v>
      </c>
      <c r="O27" s="134">
        <v>0.2</v>
      </c>
      <c r="P27" s="134">
        <v>0.41</v>
      </c>
      <c r="Q27" s="134">
        <v>3.83</v>
      </c>
    </row>
    <row r="28" spans="1:17" customFormat="1">
      <c r="A28" s="112" t="s">
        <v>258</v>
      </c>
      <c r="B28" s="134">
        <v>15.19</v>
      </c>
      <c r="C28" s="134">
        <v>18.11</v>
      </c>
      <c r="D28" s="134">
        <v>20.59</v>
      </c>
      <c r="E28" s="172" t="s">
        <v>8</v>
      </c>
      <c r="F28" s="134">
        <v>2.5099999999999998</v>
      </c>
      <c r="G28" s="134">
        <v>19.329999999999998</v>
      </c>
      <c r="H28" s="134">
        <v>4.96</v>
      </c>
      <c r="I28" s="134">
        <v>4.59</v>
      </c>
      <c r="J28" s="134">
        <v>0.95</v>
      </c>
      <c r="K28" s="134">
        <v>278.01</v>
      </c>
      <c r="L28" s="134">
        <v>25.81</v>
      </c>
      <c r="M28" s="134">
        <v>96.84</v>
      </c>
      <c r="N28" s="134">
        <v>0</v>
      </c>
      <c r="O28" s="134">
        <v>0.2</v>
      </c>
      <c r="P28" s="134">
        <v>0.39</v>
      </c>
      <c r="Q28" s="134">
        <v>3.85</v>
      </c>
    </row>
    <row r="29" spans="1:17" customFormat="1">
      <c r="A29" s="112" t="s">
        <v>259</v>
      </c>
      <c r="B29" s="134">
        <v>15.42</v>
      </c>
      <c r="C29" s="134">
        <v>18.13</v>
      </c>
      <c r="D29" s="134">
        <v>20.79</v>
      </c>
      <c r="E29" s="172" t="s">
        <v>8</v>
      </c>
      <c r="F29" s="134">
        <v>2.54</v>
      </c>
      <c r="G29" s="134">
        <v>19.329999999999998</v>
      </c>
      <c r="H29" s="134">
        <v>4.96</v>
      </c>
      <c r="I29" s="134">
        <v>4.74</v>
      </c>
      <c r="J29" s="134">
        <v>1.21</v>
      </c>
      <c r="K29" s="134">
        <v>265.2</v>
      </c>
      <c r="L29" s="134">
        <v>25.69</v>
      </c>
      <c r="M29" s="134">
        <v>97.08</v>
      </c>
      <c r="N29" s="134">
        <v>0</v>
      </c>
      <c r="O29" s="134">
        <v>0.2</v>
      </c>
      <c r="P29" s="134">
        <v>0.39</v>
      </c>
      <c r="Q29" s="134">
        <v>3.79</v>
      </c>
    </row>
    <row r="30" spans="1:17" customFormat="1">
      <c r="A30" s="112" t="s">
        <v>260</v>
      </c>
      <c r="B30" s="134">
        <v>15.55</v>
      </c>
      <c r="C30" s="134">
        <v>19.239999999999998</v>
      </c>
      <c r="D30" s="134">
        <v>21.48</v>
      </c>
      <c r="E30" s="172" t="s">
        <v>8</v>
      </c>
      <c r="F30" s="134">
        <v>2.2200000000000002</v>
      </c>
      <c r="G30" s="134">
        <v>19.329999999999998</v>
      </c>
      <c r="H30" s="134">
        <v>4.96</v>
      </c>
      <c r="I30" s="134">
        <v>4.58</v>
      </c>
      <c r="J30" s="134">
        <v>0.93</v>
      </c>
      <c r="K30" s="134">
        <v>262.76</v>
      </c>
      <c r="L30" s="134">
        <v>25.53</v>
      </c>
      <c r="M30" s="134">
        <v>96.89</v>
      </c>
      <c r="N30" s="134">
        <v>0</v>
      </c>
      <c r="O30" s="134">
        <v>0.2</v>
      </c>
      <c r="P30" s="134">
        <v>0.4</v>
      </c>
      <c r="Q30" s="134">
        <v>3.88</v>
      </c>
    </row>
    <row r="31" spans="1:17" customFormat="1">
      <c r="A31" s="112" t="s">
        <v>261</v>
      </c>
      <c r="B31" s="134">
        <v>15.66</v>
      </c>
      <c r="C31" s="134">
        <v>17.45</v>
      </c>
      <c r="D31" s="134">
        <v>20.63</v>
      </c>
      <c r="E31" s="172" t="s">
        <v>8</v>
      </c>
      <c r="F31" s="134">
        <v>3.13</v>
      </c>
      <c r="G31" s="134">
        <v>19.21</v>
      </c>
      <c r="H31" s="134">
        <v>4.9000000000000004</v>
      </c>
      <c r="I31" s="134">
        <v>4.57</v>
      </c>
      <c r="J31" s="134">
        <v>0.91</v>
      </c>
      <c r="K31" s="134">
        <v>255.52</v>
      </c>
      <c r="L31" s="134">
        <v>25.63</v>
      </c>
      <c r="M31" s="134">
        <v>96.97</v>
      </c>
      <c r="N31" s="134">
        <v>0</v>
      </c>
      <c r="O31" s="134">
        <v>0</v>
      </c>
      <c r="P31" s="134">
        <v>0.37</v>
      </c>
      <c r="Q31" s="134">
        <v>3.84</v>
      </c>
    </row>
    <row r="32" spans="1:17" customFormat="1">
      <c r="A32" s="112" t="s">
        <v>262</v>
      </c>
      <c r="B32" s="134">
        <v>15.74</v>
      </c>
      <c r="C32" s="134">
        <v>18.18</v>
      </c>
      <c r="D32" s="134">
        <v>21.08</v>
      </c>
      <c r="E32" s="172" t="s">
        <v>8</v>
      </c>
      <c r="F32" s="134">
        <v>2.5</v>
      </c>
      <c r="G32" s="134">
        <v>16.78</v>
      </c>
      <c r="H32" s="134">
        <v>3.64</v>
      </c>
      <c r="I32" s="134">
        <v>4.53</v>
      </c>
      <c r="J32" s="134">
        <v>0.56999999999999995</v>
      </c>
      <c r="K32" s="134">
        <v>259.69</v>
      </c>
      <c r="L32" s="134">
        <v>25.7</v>
      </c>
      <c r="M32" s="134">
        <v>97.52</v>
      </c>
      <c r="N32" s="134">
        <v>0</v>
      </c>
      <c r="O32" s="134">
        <v>0</v>
      </c>
      <c r="P32" s="134">
        <v>0.39</v>
      </c>
      <c r="Q32" s="134">
        <v>3.85</v>
      </c>
    </row>
    <row r="33" spans="1:17" customFormat="1">
      <c r="A33" s="112" t="s">
        <v>263</v>
      </c>
      <c r="B33" s="134">
        <v>16.22</v>
      </c>
      <c r="C33" s="134">
        <v>19.72</v>
      </c>
      <c r="D33" s="134">
        <v>22.27</v>
      </c>
      <c r="E33" s="172" t="s">
        <v>8</v>
      </c>
      <c r="F33" s="134">
        <v>1.89</v>
      </c>
      <c r="G33" s="134">
        <v>16.78</v>
      </c>
      <c r="H33" s="134">
        <v>3.64</v>
      </c>
      <c r="I33" s="134">
        <v>4.3899999999999997</v>
      </c>
      <c r="J33" s="134">
        <v>0.63</v>
      </c>
      <c r="K33" s="134">
        <v>268.33999999999997</v>
      </c>
      <c r="L33" s="134">
        <v>25.76</v>
      </c>
      <c r="M33" s="134">
        <v>97.8</v>
      </c>
      <c r="N33" s="134">
        <v>0.5</v>
      </c>
      <c r="O33" s="134">
        <v>0.6</v>
      </c>
      <c r="P33" s="134">
        <v>0.38</v>
      </c>
      <c r="Q33" s="134">
        <v>3.97</v>
      </c>
    </row>
    <row r="34" spans="1:17" customFormat="1">
      <c r="A34" s="112" t="s">
        <v>264</v>
      </c>
      <c r="B34" s="134">
        <v>16.55</v>
      </c>
      <c r="C34" s="134">
        <v>17.77</v>
      </c>
      <c r="D34" s="134">
        <v>21.51</v>
      </c>
      <c r="E34" s="172" t="s">
        <v>8</v>
      </c>
      <c r="F34" s="134">
        <v>2.8</v>
      </c>
      <c r="G34" s="134">
        <v>16.78</v>
      </c>
      <c r="H34" s="134">
        <v>3.64</v>
      </c>
      <c r="I34" s="134">
        <v>4.4400000000000004</v>
      </c>
      <c r="J34" s="134">
        <v>0.74</v>
      </c>
      <c r="K34" s="134">
        <v>257.11</v>
      </c>
      <c r="L34" s="134">
        <v>25.76</v>
      </c>
      <c r="M34" s="134">
        <v>98.09</v>
      </c>
      <c r="N34" s="134">
        <v>10.9</v>
      </c>
      <c r="O34" s="134">
        <v>0</v>
      </c>
      <c r="P34" s="134">
        <v>0.36</v>
      </c>
      <c r="Q34" s="134">
        <v>3.9</v>
      </c>
    </row>
    <row r="35" spans="1:17" customFormat="1">
      <c r="A35" s="112" t="s">
        <v>265</v>
      </c>
      <c r="B35" s="134">
        <v>16.86</v>
      </c>
      <c r="C35" s="134">
        <v>17.760000000000002</v>
      </c>
      <c r="D35" s="134">
        <v>21.75</v>
      </c>
      <c r="E35" s="172" t="s">
        <v>8</v>
      </c>
      <c r="F35" s="134">
        <v>2.5499999999999998</v>
      </c>
      <c r="G35" s="134">
        <v>16.66</v>
      </c>
      <c r="H35" s="134">
        <v>3.59</v>
      </c>
      <c r="I35" s="134">
        <v>4.41</v>
      </c>
      <c r="J35" s="134">
        <v>0.68</v>
      </c>
      <c r="K35" s="134">
        <v>258.85000000000002</v>
      </c>
      <c r="L35" s="134">
        <v>25.89</v>
      </c>
      <c r="M35" s="134">
        <v>97.85</v>
      </c>
      <c r="N35" s="134">
        <v>28.2</v>
      </c>
      <c r="O35" s="134">
        <v>0</v>
      </c>
      <c r="P35" s="134">
        <v>0.36</v>
      </c>
      <c r="Q35" s="134">
        <v>3.86</v>
      </c>
    </row>
    <row r="36" spans="1:17" customFormat="1">
      <c r="A36" s="112" t="s">
        <v>266</v>
      </c>
      <c r="B36" s="134">
        <v>17.170000000000002</v>
      </c>
      <c r="C36" s="134">
        <v>19.98</v>
      </c>
      <c r="D36" s="134">
        <v>23.16</v>
      </c>
      <c r="E36" s="172" t="s">
        <v>8</v>
      </c>
      <c r="F36" s="134">
        <v>1.87</v>
      </c>
      <c r="G36" s="134">
        <v>14.2</v>
      </c>
      <c r="H36" s="134">
        <v>2.68</v>
      </c>
      <c r="I36" s="134">
        <v>4.29</v>
      </c>
      <c r="J36" s="134">
        <v>0.7</v>
      </c>
      <c r="K36" s="134">
        <v>261.47000000000003</v>
      </c>
      <c r="L36" s="134">
        <v>26.04</v>
      </c>
      <c r="M36" s="134">
        <v>97.34</v>
      </c>
      <c r="N36" s="134">
        <v>40.299999999999997</v>
      </c>
      <c r="O36" s="134">
        <v>0</v>
      </c>
      <c r="P36" s="134">
        <v>0.39</v>
      </c>
      <c r="Q36" s="134">
        <v>3.98</v>
      </c>
    </row>
    <row r="37" spans="1:17" customFormat="1">
      <c r="A37" s="112" t="s">
        <v>267</v>
      </c>
      <c r="B37" s="134">
        <v>17.71</v>
      </c>
      <c r="C37" s="134">
        <v>18.45</v>
      </c>
      <c r="D37" s="134">
        <v>22.8</v>
      </c>
      <c r="E37" s="172" t="s">
        <v>8</v>
      </c>
      <c r="F37" s="134">
        <v>2.82</v>
      </c>
      <c r="G37" s="134">
        <v>14.2</v>
      </c>
      <c r="H37" s="134">
        <v>2.68</v>
      </c>
      <c r="I37" s="134">
        <v>4.33</v>
      </c>
      <c r="J37" s="134">
        <v>0.92</v>
      </c>
      <c r="K37" s="134">
        <v>255.81</v>
      </c>
      <c r="L37" s="134">
        <v>26.17</v>
      </c>
      <c r="M37" s="134">
        <v>95.89</v>
      </c>
      <c r="N37" s="134">
        <v>49.3</v>
      </c>
      <c r="O37" s="134">
        <v>0</v>
      </c>
      <c r="P37" s="134">
        <v>0.36</v>
      </c>
      <c r="Q37" s="134">
        <v>3.97</v>
      </c>
    </row>
    <row r="38" spans="1:17" customFormat="1">
      <c r="A38" s="112" t="s">
        <v>268</v>
      </c>
      <c r="B38" s="134">
        <v>17.850000000000001</v>
      </c>
      <c r="C38" s="134">
        <v>17.82</v>
      </c>
      <c r="D38" s="134">
        <v>22.58</v>
      </c>
      <c r="E38" s="172" t="s">
        <v>8</v>
      </c>
      <c r="F38" s="134">
        <v>2.78</v>
      </c>
      <c r="G38" s="134">
        <v>14.2</v>
      </c>
      <c r="H38" s="134">
        <v>2.68</v>
      </c>
      <c r="I38" s="134">
        <v>4.42</v>
      </c>
      <c r="J38" s="134">
        <v>0.9</v>
      </c>
      <c r="K38" s="134">
        <v>259.38</v>
      </c>
      <c r="L38" s="134">
        <v>26.3</v>
      </c>
      <c r="M38" s="134">
        <v>95.34</v>
      </c>
      <c r="N38" s="134">
        <v>56.9</v>
      </c>
      <c r="O38" s="134">
        <v>0</v>
      </c>
      <c r="P38" s="134">
        <v>0.36</v>
      </c>
      <c r="Q38" s="134">
        <v>3.88</v>
      </c>
    </row>
    <row r="39" spans="1:17" customFormat="1">
      <c r="A39" s="112" t="s">
        <v>269</v>
      </c>
      <c r="B39" s="134">
        <v>17.87</v>
      </c>
      <c r="C39" s="134">
        <v>20.64</v>
      </c>
      <c r="D39" s="134">
        <v>24.07</v>
      </c>
      <c r="E39" s="172" t="s">
        <v>8</v>
      </c>
      <c r="F39" s="134">
        <v>1.49</v>
      </c>
      <c r="G39" s="134">
        <v>14.3</v>
      </c>
      <c r="H39" s="134">
        <v>2.65</v>
      </c>
      <c r="I39" s="134">
        <v>4.32</v>
      </c>
      <c r="J39" s="134">
        <v>0.73</v>
      </c>
      <c r="K39" s="134">
        <v>267.19</v>
      </c>
      <c r="L39" s="134">
        <v>26.47</v>
      </c>
      <c r="M39" s="134">
        <v>94.31</v>
      </c>
      <c r="N39" s="134">
        <v>80.7</v>
      </c>
      <c r="O39" s="134">
        <v>0</v>
      </c>
      <c r="P39" s="134">
        <v>0.4</v>
      </c>
      <c r="Q39" s="134">
        <v>3.97</v>
      </c>
    </row>
    <row r="40" spans="1:17" customFormat="1">
      <c r="A40" s="112" t="s">
        <v>270</v>
      </c>
      <c r="B40" s="134">
        <v>17.71</v>
      </c>
      <c r="C40" s="134">
        <v>23.01</v>
      </c>
      <c r="D40" s="134">
        <v>25.19</v>
      </c>
      <c r="E40" s="172" t="s">
        <v>8</v>
      </c>
      <c r="F40" s="134">
        <v>1.56</v>
      </c>
      <c r="G40" s="134">
        <v>16.5</v>
      </c>
      <c r="H40" s="134">
        <v>2.15</v>
      </c>
      <c r="I40" s="134">
        <v>4.3499999999999996</v>
      </c>
      <c r="J40" s="134">
        <v>0.72</v>
      </c>
      <c r="K40" s="134">
        <v>265.99</v>
      </c>
      <c r="L40" s="134">
        <v>26.7</v>
      </c>
      <c r="M40" s="134">
        <v>92.87</v>
      </c>
      <c r="N40" s="134">
        <v>92.1</v>
      </c>
      <c r="O40" s="134">
        <v>0</v>
      </c>
      <c r="P40" s="134">
        <v>0.43</v>
      </c>
      <c r="Q40" s="134">
        <v>4.09</v>
      </c>
    </row>
    <row r="41" spans="1:17" customFormat="1">
      <c r="A41" s="112" t="s">
        <v>271</v>
      </c>
      <c r="B41" s="134">
        <v>18.190000000000001</v>
      </c>
      <c r="C41" s="134">
        <v>23.23</v>
      </c>
      <c r="D41" s="134">
        <v>25.68</v>
      </c>
      <c r="E41" s="172" t="s">
        <v>8</v>
      </c>
      <c r="F41" s="134">
        <v>2.2599999999999998</v>
      </c>
      <c r="G41" s="134">
        <v>16.5</v>
      </c>
      <c r="H41" s="134">
        <v>2.15</v>
      </c>
      <c r="I41" s="134">
        <v>4.5</v>
      </c>
      <c r="J41" s="134">
        <v>0.77</v>
      </c>
      <c r="K41" s="134">
        <v>271.52</v>
      </c>
      <c r="L41" s="134">
        <v>26.8</v>
      </c>
      <c r="M41" s="134">
        <v>91.37</v>
      </c>
      <c r="N41" s="134">
        <v>82</v>
      </c>
      <c r="O41" s="134">
        <v>0</v>
      </c>
      <c r="P41" s="134">
        <v>0.44</v>
      </c>
      <c r="Q41" s="134">
        <v>4.22</v>
      </c>
    </row>
    <row r="42" spans="1:17" customFormat="1">
      <c r="A42" s="112" t="s">
        <v>272</v>
      </c>
      <c r="B42" s="134">
        <v>19.2</v>
      </c>
      <c r="C42" s="134">
        <v>19.829999999999998</v>
      </c>
      <c r="D42" s="134">
        <v>24.72</v>
      </c>
      <c r="E42" s="172" t="s">
        <v>8</v>
      </c>
      <c r="F42" s="134">
        <v>3.39</v>
      </c>
      <c r="G42" s="134">
        <v>16.5</v>
      </c>
      <c r="H42" s="134">
        <v>2.15</v>
      </c>
      <c r="I42" s="134">
        <v>4.53</v>
      </c>
      <c r="J42" s="134">
        <v>0.78</v>
      </c>
      <c r="K42" s="134">
        <v>283.11</v>
      </c>
      <c r="L42" s="134">
        <v>26.84</v>
      </c>
      <c r="M42" s="134">
        <v>90.63</v>
      </c>
      <c r="N42" s="134">
        <v>61.1</v>
      </c>
      <c r="O42" s="134">
        <v>0</v>
      </c>
      <c r="P42" s="134">
        <v>0.38</v>
      </c>
      <c r="Q42" s="134">
        <v>4.0999999999999996</v>
      </c>
    </row>
    <row r="43" spans="1:17" customFormat="1">
      <c r="A43" s="112" t="s">
        <v>273</v>
      </c>
      <c r="B43" s="134">
        <v>19.2</v>
      </c>
      <c r="C43" s="134">
        <v>19.28</v>
      </c>
      <c r="D43" s="134">
        <v>24.42</v>
      </c>
      <c r="E43" s="172" t="s">
        <v>8</v>
      </c>
      <c r="F43" s="134">
        <v>3.48</v>
      </c>
      <c r="G43" s="134">
        <v>17.21</v>
      </c>
      <c r="H43" s="134">
        <v>2.21</v>
      </c>
      <c r="I43" s="134">
        <v>4.42</v>
      </c>
      <c r="J43" s="134">
        <v>0.72</v>
      </c>
      <c r="K43" s="134">
        <v>266.05</v>
      </c>
      <c r="L43" s="134">
        <v>26.88</v>
      </c>
      <c r="M43" s="134">
        <v>90.13</v>
      </c>
      <c r="N43" s="134">
        <v>80.3</v>
      </c>
      <c r="O43" s="134">
        <v>0</v>
      </c>
      <c r="P43" s="134">
        <v>0.36</v>
      </c>
      <c r="Q43" s="134">
        <v>4.01</v>
      </c>
    </row>
    <row r="44" spans="1:17" customFormat="1">
      <c r="A44" s="112" t="s">
        <v>274</v>
      </c>
      <c r="B44" s="134">
        <v>19.22</v>
      </c>
      <c r="C44" s="134">
        <v>19.2</v>
      </c>
      <c r="D44" s="134">
        <v>24.4</v>
      </c>
      <c r="E44" s="172" t="s">
        <v>8</v>
      </c>
      <c r="F44" s="134">
        <v>3.2</v>
      </c>
      <c r="G44" s="134">
        <v>29.27</v>
      </c>
      <c r="H44" s="134">
        <v>3.56</v>
      </c>
      <c r="I44" s="134">
        <v>4.26</v>
      </c>
      <c r="J44" s="134">
        <v>0.74</v>
      </c>
      <c r="K44" s="134">
        <v>277.61</v>
      </c>
      <c r="L44" s="134">
        <v>27.03</v>
      </c>
      <c r="M44" s="134">
        <v>89.39</v>
      </c>
      <c r="N44" s="134">
        <v>107</v>
      </c>
      <c r="O44" s="134">
        <v>0</v>
      </c>
      <c r="P44" s="134">
        <v>0.35</v>
      </c>
      <c r="Q44" s="134">
        <v>4.0199999999999996</v>
      </c>
    </row>
    <row r="45" spans="1:17" customFormat="1">
      <c r="A45" s="112" t="s">
        <v>275</v>
      </c>
      <c r="B45" s="134">
        <v>19.52</v>
      </c>
      <c r="C45" s="134">
        <v>21.67</v>
      </c>
      <c r="D45" s="134">
        <v>25.93</v>
      </c>
      <c r="E45" s="172" t="s">
        <v>8</v>
      </c>
      <c r="F45" s="134">
        <v>1.98</v>
      </c>
      <c r="G45" s="134">
        <v>29.27</v>
      </c>
      <c r="H45" s="134">
        <v>3.56</v>
      </c>
      <c r="I45" s="134">
        <v>4.25</v>
      </c>
      <c r="J45" s="134">
        <v>0.8</v>
      </c>
      <c r="K45" s="134">
        <v>269.52999999999997</v>
      </c>
      <c r="L45" s="134">
        <v>27.04</v>
      </c>
      <c r="M45" s="134">
        <v>88.89</v>
      </c>
      <c r="N45" s="134">
        <v>85.6</v>
      </c>
      <c r="O45" s="134">
        <v>0</v>
      </c>
      <c r="P45" s="134">
        <v>0.38</v>
      </c>
      <c r="Q45" s="134">
        <v>4.07</v>
      </c>
    </row>
    <row r="46" spans="1:17" customFormat="1">
      <c r="A46" s="112" t="s">
        <v>276</v>
      </c>
      <c r="B46" s="134">
        <v>19.920000000000002</v>
      </c>
      <c r="C46" s="134">
        <v>20.96</v>
      </c>
      <c r="D46" s="134">
        <v>25.88</v>
      </c>
      <c r="E46" s="172" t="s">
        <v>8</v>
      </c>
      <c r="F46" s="134">
        <v>2.64</v>
      </c>
      <c r="G46" s="134">
        <v>29.27</v>
      </c>
      <c r="H46" s="134">
        <v>3.56</v>
      </c>
      <c r="I46" s="134">
        <v>4.2699999999999996</v>
      </c>
      <c r="J46" s="134">
        <v>0.78</v>
      </c>
      <c r="K46" s="134">
        <v>274.73</v>
      </c>
      <c r="L46" s="134">
        <v>27.02</v>
      </c>
      <c r="M46" s="134">
        <v>89.14</v>
      </c>
      <c r="N46" s="134">
        <v>77.3</v>
      </c>
      <c r="O46" s="134">
        <v>0</v>
      </c>
      <c r="P46" s="134">
        <v>0.39</v>
      </c>
      <c r="Q46" s="134">
        <v>4.0999999999999996</v>
      </c>
    </row>
    <row r="47" spans="1:17" customFormat="1">
      <c r="A47" s="112" t="s">
        <v>277</v>
      </c>
      <c r="B47" s="134">
        <v>20.13</v>
      </c>
      <c r="C47" s="134">
        <v>19.850000000000001</v>
      </c>
      <c r="D47" s="134">
        <v>25.47</v>
      </c>
      <c r="E47" s="172" t="s">
        <v>8</v>
      </c>
      <c r="F47" s="134">
        <v>3.18</v>
      </c>
      <c r="G47" s="134">
        <v>29.39</v>
      </c>
      <c r="H47" s="134">
        <v>3.65</v>
      </c>
      <c r="I47" s="134">
        <v>4.41</v>
      </c>
      <c r="J47" s="134">
        <v>0.7</v>
      </c>
      <c r="K47" s="134">
        <v>268.98</v>
      </c>
      <c r="L47" s="134">
        <v>27.06</v>
      </c>
      <c r="M47" s="134">
        <v>89.51</v>
      </c>
      <c r="N47" s="134">
        <v>98.3</v>
      </c>
      <c r="O47" s="134">
        <v>0</v>
      </c>
      <c r="P47" s="134">
        <v>0.38</v>
      </c>
      <c r="Q47" s="134">
        <v>4.05</v>
      </c>
    </row>
    <row r="48" spans="1:17" customFormat="1">
      <c r="A48" s="112" t="s">
        <v>278</v>
      </c>
      <c r="B48" s="134">
        <v>20.440000000000001</v>
      </c>
      <c r="C48" s="134">
        <v>20.54</v>
      </c>
      <c r="D48" s="134">
        <v>26.08</v>
      </c>
      <c r="E48" s="172" t="s">
        <v>8</v>
      </c>
      <c r="F48" s="134">
        <v>2.58</v>
      </c>
      <c r="G48" s="134">
        <v>31.89</v>
      </c>
      <c r="H48" s="134">
        <v>5.59</v>
      </c>
      <c r="I48" s="134">
        <v>4.33</v>
      </c>
      <c r="J48" s="134">
        <v>0.74</v>
      </c>
      <c r="K48" s="134">
        <v>277.14999999999998</v>
      </c>
      <c r="L48" s="134">
        <v>27.21</v>
      </c>
      <c r="M48" s="134">
        <v>88.02</v>
      </c>
      <c r="N48" s="134">
        <v>94.3</v>
      </c>
      <c r="O48" s="134">
        <v>0</v>
      </c>
      <c r="P48" s="134">
        <v>0.39</v>
      </c>
      <c r="Q48" s="134">
        <v>4.07</v>
      </c>
    </row>
    <row r="49" spans="1:17" customFormat="1">
      <c r="A49" s="112" t="s">
        <v>279</v>
      </c>
      <c r="B49" s="134">
        <v>20.51</v>
      </c>
      <c r="C49" s="134">
        <v>21.67</v>
      </c>
      <c r="D49" s="134">
        <v>26.72</v>
      </c>
      <c r="E49" s="172" t="s">
        <v>8</v>
      </c>
      <c r="F49" s="134">
        <v>2.52</v>
      </c>
      <c r="G49" s="134">
        <v>31.89</v>
      </c>
      <c r="H49" s="134">
        <v>5.59</v>
      </c>
      <c r="I49" s="134">
        <v>4.32</v>
      </c>
      <c r="J49" s="134">
        <v>0.54</v>
      </c>
      <c r="K49" s="134">
        <v>283.66000000000003</v>
      </c>
      <c r="L49" s="134">
        <v>27.31</v>
      </c>
      <c r="M49" s="134">
        <v>87.9</v>
      </c>
      <c r="N49" s="134">
        <v>103.2</v>
      </c>
      <c r="O49" s="134">
        <v>0</v>
      </c>
      <c r="P49" s="134">
        <v>0.42</v>
      </c>
      <c r="Q49" s="134">
        <v>4.1399999999999997</v>
      </c>
    </row>
    <row r="50" spans="1:17" customFormat="1">
      <c r="A50" s="112" t="s">
        <v>280</v>
      </c>
      <c r="B50" s="134">
        <v>21.15</v>
      </c>
      <c r="C50" s="134">
        <v>20.239999999999998</v>
      </c>
      <c r="D50" s="134">
        <v>26.49</v>
      </c>
      <c r="E50" s="172" t="s">
        <v>8</v>
      </c>
      <c r="F50" s="134">
        <v>3.59</v>
      </c>
      <c r="G50" s="134">
        <v>31.89</v>
      </c>
      <c r="H50" s="134">
        <v>5.59</v>
      </c>
      <c r="I50" s="134">
        <v>4.4000000000000004</v>
      </c>
      <c r="J50" s="134">
        <v>0.73</v>
      </c>
      <c r="K50" s="134">
        <v>267.99</v>
      </c>
      <c r="L50" s="134">
        <v>27.45</v>
      </c>
      <c r="M50" s="134">
        <v>86.17</v>
      </c>
      <c r="N50" s="134">
        <v>116.3</v>
      </c>
      <c r="O50" s="134">
        <v>0</v>
      </c>
      <c r="P50" s="134">
        <v>0.42</v>
      </c>
      <c r="Q50" s="134">
        <v>4.1100000000000003</v>
      </c>
    </row>
    <row r="51" spans="1:17" customFormat="1">
      <c r="A51" s="112" t="s">
        <v>281</v>
      </c>
      <c r="B51" s="134">
        <v>20.94</v>
      </c>
      <c r="C51" s="134">
        <v>19.420000000000002</v>
      </c>
      <c r="D51" s="134">
        <v>25.9</v>
      </c>
      <c r="E51" s="172" t="s">
        <v>8</v>
      </c>
      <c r="F51" s="134">
        <v>3.71</v>
      </c>
      <c r="G51" s="134">
        <v>31.86</v>
      </c>
      <c r="H51" s="134">
        <v>5.75</v>
      </c>
      <c r="I51" s="134">
        <v>4.47</v>
      </c>
      <c r="J51" s="134">
        <v>0.54</v>
      </c>
      <c r="K51" s="134">
        <v>280.55</v>
      </c>
      <c r="L51" s="134">
        <v>27.46</v>
      </c>
      <c r="M51" s="134">
        <v>86.49</v>
      </c>
      <c r="N51" s="134">
        <v>88.4</v>
      </c>
      <c r="O51" s="134">
        <v>0.2</v>
      </c>
      <c r="P51" s="134">
        <v>0.4</v>
      </c>
      <c r="Q51" s="134">
        <v>4.0599999999999996</v>
      </c>
    </row>
    <row r="52" spans="1:17" customFormat="1">
      <c r="A52" s="112" t="s">
        <v>282</v>
      </c>
      <c r="B52" s="134">
        <v>21.33</v>
      </c>
      <c r="C52" s="134">
        <v>21.81</v>
      </c>
      <c r="D52" s="134">
        <v>27.46</v>
      </c>
      <c r="E52" s="172" t="s">
        <v>8</v>
      </c>
      <c r="F52" s="134">
        <v>2.29</v>
      </c>
      <c r="G52" s="134">
        <v>31.41</v>
      </c>
      <c r="H52" s="134">
        <v>9.17</v>
      </c>
      <c r="I52" s="134">
        <v>4.46</v>
      </c>
      <c r="J52" s="134">
        <v>0.47</v>
      </c>
      <c r="K52" s="134">
        <v>271.39</v>
      </c>
      <c r="L52" s="134">
        <v>27.03</v>
      </c>
      <c r="M52" s="134">
        <v>90.91</v>
      </c>
      <c r="N52" s="134">
        <v>82.9</v>
      </c>
      <c r="O52" s="134">
        <v>0.8</v>
      </c>
      <c r="P52" s="134">
        <v>0.43</v>
      </c>
      <c r="Q52" s="134">
        <v>4.12</v>
      </c>
    </row>
    <row r="53" spans="1:17" customFormat="1">
      <c r="A53" s="112" t="s">
        <v>283</v>
      </c>
      <c r="B53" s="134">
        <v>21.22</v>
      </c>
      <c r="C53" s="134">
        <v>21.39</v>
      </c>
      <c r="D53" s="134">
        <v>27.14</v>
      </c>
      <c r="E53" s="172" t="s">
        <v>8</v>
      </c>
      <c r="F53" s="134">
        <v>2.67</v>
      </c>
      <c r="G53" s="134">
        <v>31.41</v>
      </c>
      <c r="H53" s="134">
        <v>9.17</v>
      </c>
      <c r="I53" s="134">
        <v>4.47</v>
      </c>
      <c r="J53" s="134">
        <v>0.56999999999999995</v>
      </c>
      <c r="K53" s="134">
        <v>251.06</v>
      </c>
      <c r="L53" s="134">
        <v>26.72</v>
      </c>
      <c r="M53" s="134">
        <v>93.93</v>
      </c>
      <c r="N53" s="134">
        <v>95.6</v>
      </c>
      <c r="O53" s="134">
        <v>0.4</v>
      </c>
      <c r="P53" s="134">
        <v>0.42</v>
      </c>
      <c r="Q53" s="134">
        <v>4.16</v>
      </c>
    </row>
    <row r="54" spans="1:17" customFormat="1">
      <c r="A54" s="112" t="s">
        <v>284</v>
      </c>
      <c r="B54" s="134">
        <v>21.2</v>
      </c>
      <c r="C54" s="134">
        <v>19.690000000000001</v>
      </c>
      <c r="D54" s="134">
        <v>26.24</v>
      </c>
      <c r="E54" s="172" t="s">
        <v>8</v>
      </c>
      <c r="F54" s="134">
        <v>3.64</v>
      </c>
      <c r="G54" s="134">
        <v>31.41</v>
      </c>
      <c r="H54" s="134">
        <v>9.17</v>
      </c>
      <c r="I54" s="134">
        <v>4.57</v>
      </c>
      <c r="J54" s="134">
        <v>0.91</v>
      </c>
      <c r="K54" s="134">
        <v>254.74</v>
      </c>
      <c r="L54" s="134">
        <v>26.53</v>
      </c>
      <c r="M54" s="134">
        <v>93.78</v>
      </c>
      <c r="N54" s="134">
        <v>87.8</v>
      </c>
      <c r="O54" s="134">
        <v>0.4</v>
      </c>
      <c r="P54" s="134">
        <v>0.41</v>
      </c>
      <c r="Q54" s="134">
        <v>4.07</v>
      </c>
    </row>
    <row r="55" spans="1:17" customFormat="1">
      <c r="A55" s="112" t="s">
        <v>285</v>
      </c>
      <c r="B55" s="134">
        <v>21.17</v>
      </c>
      <c r="C55" s="134">
        <v>21.19</v>
      </c>
      <c r="D55" s="134">
        <v>27.01</v>
      </c>
      <c r="E55" s="172" t="s">
        <v>8</v>
      </c>
      <c r="F55" s="134">
        <v>2.6</v>
      </c>
      <c r="G55" s="134">
        <v>31.47</v>
      </c>
      <c r="H55" s="134">
        <v>9.08</v>
      </c>
      <c r="I55" s="134">
        <v>4.4800000000000004</v>
      </c>
      <c r="J55" s="134">
        <v>0.65</v>
      </c>
      <c r="K55" s="134">
        <v>256.64999999999998</v>
      </c>
      <c r="L55" s="134">
        <v>26.41</v>
      </c>
      <c r="M55" s="134">
        <v>93.84</v>
      </c>
      <c r="N55" s="134">
        <v>119</v>
      </c>
      <c r="O55" s="134">
        <v>0</v>
      </c>
      <c r="P55" s="134">
        <v>0.42</v>
      </c>
      <c r="Q55" s="134">
        <v>4.0999999999999996</v>
      </c>
    </row>
    <row r="56" spans="1:17" customFormat="1">
      <c r="A56" s="112" t="s">
        <v>286</v>
      </c>
      <c r="B56" s="134">
        <v>20.69</v>
      </c>
      <c r="C56" s="134">
        <v>20.57</v>
      </c>
      <c r="D56" s="134">
        <v>26.29</v>
      </c>
      <c r="E56" s="172" t="s">
        <v>8</v>
      </c>
      <c r="F56" s="134">
        <v>3.17</v>
      </c>
      <c r="G56" s="134">
        <v>32.770000000000003</v>
      </c>
      <c r="H56" s="134">
        <v>7.32</v>
      </c>
      <c r="I56" s="134">
        <v>4.5</v>
      </c>
      <c r="J56" s="134">
        <v>0.77</v>
      </c>
      <c r="K56" s="134">
        <v>254.54</v>
      </c>
      <c r="L56" s="134">
        <v>26.56</v>
      </c>
      <c r="M56" s="134">
        <v>93</v>
      </c>
      <c r="N56" s="134">
        <v>163.30000000000001</v>
      </c>
      <c r="O56" s="134">
        <v>0.2</v>
      </c>
      <c r="P56" s="134">
        <v>0.41</v>
      </c>
      <c r="Q56" s="134">
        <v>4.1399999999999997</v>
      </c>
    </row>
    <row r="57" spans="1:17" customFormat="1">
      <c r="A57" s="112" t="s">
        <v>287</v>
      </c>
      <c r="B57" s="134">
        <v>20.77</v>
      </c>
      <c r="C57" s="134">
        <v>19.46</v>
      </c>
      <c r="D57" s="134">
        <v>25.78</v>
      </c>
      <c r="E57" s="172" t="s">
        <v>8</v>
      </c>
      <c r="F57" s="134">
        <v>3.57</v>
      </c>
      <c r="G57" s="134">
        <v>32.770000000000003</v>
      </c>
      <c r="H57" s="134">
        <v>7.32</v>
      </c>
      <c r="I57" s="134">
        <v>4.58</v>
      </c>
      <c r="J57" s="134">
        <v>0.79</v>
      </c>
      <c r="K57" s="134">
        <v>257.56</v>
      </c>
      <c r="L57" s="134">
        <v>26.77</v>
      </c>
      <c r="M57" s="134">
        <v>91.7</v>
      </c>
      <c r="N57" s="134">
        <v>179.2</v>
      </c>
      <c r="O57" s="134">
        <v>0</v>
      </c>
      <c r="P57" s="134">
        <v>0.39</v>
      </c>
      <c r="Q57" s="134">
        <v>4.04</v>
      </c>
    </row>
    <row r="58" spans="1:17" customFormat="1">
      <c r="A58" s="112" t="s">
        <v>288</v>
      </c>
      <c r="B58" s="134">
        <v>20.78</v>
      </c>
      <c r="C58" s="134">
        <v>20.75</v>
      </c>
      <c r="D58" s="134">
        <v>26.46</v>
      </c>
      <c r="E58" s="172" t="s">
        <v>8</v>
      </c>
      <c r="F58" s="134">
        <v>2.33</v>
      </c>
      <c r="G58" s="134">
        <v>32.770000000000003</v>
      </c>
      <c r="H58" s="134">
        <v>7.32</v>
      </c>
      <c r="I58" s="134">
        <v>4.45</v>
      </c>
      <c r="J58" s="134">
        <v>0.68</v>
      </c>
      <c r="K58" s="134">
        <v>255.58</v>
      </c>
      <c r="L58" s="134">
        <v>27.01</v>
      </c>
      <c r="M58" s="134">
        <v>90.22</v>
      </c>
      <c r="N58" s="134">
        <v>150.69999999999999</v>
      </c>
      <c r="O58" s="134">
        <v>0</v>
      </c>
      <c r="P58" s="134">
        <v>0.41</v>
      </c>
      <c r="Q58" s="134">
        <v>4.04</v>
      </c>
    </row>
    <row r="59" spans="1:17" customFormat="1">
      <c r="A59" s="112" t="s">
        <v>289</v>
      </c>
      <c r="B59" s="134">
        <v>20.52</v>
      </c>
      <c r="C59" s="134">
        <v>20.79</v>
      </c>
      <c r="D59" s="134">
        <v>26.28</v>
      </c>
      <c r="E59" s="172" t="s">
        <v>8</v>
      </c>
      <c r="F59" s="134">
        <v>2.85</v>
      </c>
      <c r="G59" s="134">
        <v>32.54</v>
      </c>
      <c r="H59" s="134">
        <v>7.2</v>
      </c>
      <c r="I59" s="134">
        <v>4.49</v>
      </c>
      <c r="J59" s="134">
        <v>0.71</v>
      </c>
      <c r="K59" s="134">
        <v>252.9</v>
      </c>
      <c r="L59" s="134">
        <v>27.13</v>
      </c>
      <c r="M59" s="134">
        <v>89.16</v>
      </c>
      <c r="N59" s="134">
        <v>118</v>
      </c>
      <c r="O59" s="134">
        <v>0</v>
      </c>
      <c r="P59" s="134">
        <v>0.41</v>
      </c>
      <c r="Q59" s="134">
        <v>4.05</v>
      </c>
    </row>
    <row r="60" spans="1:17" customFormat="1">
      <c r="A60" s="112" t="s">
        <v>290</v>
      </c>
      <c r="B60" s="134">
        <v>20.46</v>
      </c>
      <c r="C60" s="134">
        <v>20.440000000000001</v>
      </c>
      <c r="D60" s="134">
        <v>26.04</v>
      </c>
      <c r="E60" s="172" t="s">
        <v>8</v>
      </c>
      <c r="F60" s="134">
        <v>3.08</v>
      </c>
      <c r="G60" s="134">
        <v>28.51</v>
      </c>
      <c r="H60" s="134">
        <v>5.21</v>
      </c>
      <c r="I60" s="134">
        <v>4.5599999999999996</v>
      </c>
      <c r="J60" s="134">
        <v>0.73</v>
      </c>
      <c r="K60" s="134">
        <v>257.11</v>
      </c>
      <c r="L60" s="134">
        <v>27.14</v>
      </c>
      <c r="M60" s="134">
        <v>89.12</v>
      </c>
      <c r="N60" s="134">
        <v>89.3</v>
      </c>
      <c r="O60" s="134">
        <v>0</v>
      </c>
      <c r="P60" s="134">
        <v>0.42</v>
      </c>
      <c r="Q60" s="134">
        <v>3.96</v>
      </c>
    </row>
    <row r="61" spans="1:17" customFormat="1">
      <c r="A61" s="112" t="s">
        <v>291</v>
      </c>
      <c r="B61" s="134">
        <v>19.399999999999999</v>
      </c>
      <c r="C61" s="134">
        <v>22.24</v>
      </c>
      <c r="D61" s="134">
        <v>26.13</v>
      </c>
      <c r="E61" s="172" t="s">
        <v>8</v>
      </c>
      <c r="F61" s="134">
        <v>2.85</v>
      </c>
      <c r="G61" s="134">
        <v>28.51</v>
      </c>
      <c r="H61" s="134">
        <v>5.21</v>
      </c>
      <c r="I61" s="134">
        <v>4.5199999999999996</v>
      </c>
      <c r="J61" s="134">
        <v>0.84</v>
      </c>
      <c r="K61" s="134">
        <v>254.85</v>
      </c>
      <c r="L61" s="134">
        <v>27.25</v>
      </c>
      <c r="M61" s="134">
        <v>88.43</v>
      </c>
      <c r="N61" s="134">
        <v>129</v>
      </c>
      <c r="O61" s="134">
        <v>0</v>
      </c>
      <c r="P61" s="134">
        <v>0.45</v>
      </c>
      <c r="Q61" s="134">
        <v>3.95</v>
      </c>
    </row>
    <row r="62" spans="1:17" customFormat="1">
      <c r="A62" s="112" t="s">
        <v>292</v>
      </c>
      <c r="B62" s="134">
        <v>18.239999999999998</v>
      </c>
      <c r="C62" s="134">
        <v>22.29</v>
      </c>
      <c r="D62" s="134">
        <v>25.23</v>
      </c>
      <c r="E62" s="172" t="s">
        <v>8</v>
      </c>
      <c r="F62" s="134">
        <v>3.35</v>
      </c>
      <c r="G62" s="134">
        <v>28.51</v>
      </c>
      <c r="H62" s="134">
        <v>5.21</v>
      </c>
      <c r="I62" s="134">
        <v>4.5599999999999996</v>
      </c>
      <c r="J62" s="134">
        <v>0.78</v>
      </c>
      <c r="K62" s="134">
        <v>255.42</v>
      </c>
      <c r="L62" s="134">
        <v>27.61</v>
      </c>
      <c r="M62" s="134">
        <v>87.61</v>
      </c>
      <c r="N62" s="134">
        <v>181.6</v>
      </c>
      <c r="O62" s="134">
        <v>0</v>
      </c>
      <c r="P62" s="134">
        <v>0.44</v>
      </c>
      <c r="Q62" s="134">
        <v>4.0199999999999996</v>
      </c>
    </row>
    <row r="63" spans="1:17" customFormat="1">
      <c r="A63" s="112" t="s">
        <v>293</v>
      </c>
      <c r="B63" s="134">
        <v>17.68</v>
      </c>
      <c r="C63" s="134">
        <v>19.34</v>
      </c>
      <c r="D63" s="134">
        <v>23.24</v>
      </c>
      <c r="E63" s="172" t="s">
        <v>8</v>
      </c>
      <c r="F63" s="134">
        <v>4.87</v>
      </c>
      <c r="G63" s="134">
        <v>28.33</v>
      </c>
      <c r="H63" s="134">
        <v>5.23</v>
      </c>
      <c r="I63" s="134">
        <v>4.58</v>
      </c>
      <c r="J63" s="134">
        <v>1.01</v>
      </c>
      <c r="K63" s="134">
        <v>258.12</v>
      </c>
      <c r="L63" s="134">
        <v>27.89</v>
      </c>
      <c r="M63" s="134">
        <v>85.35</v>
      </c>
      <c r="N63" s="134">
        <v>201</v>
      </c>
      <c r="O63" s="134">
        <v>0</v>
      </c>
      <c r="P63" s="134">
        <v>0.41</v>
      </c>
      <c r="Q63" s="134">
        <v>3.9</v>
      </c>
    </row>
    <row r="64" spans="1:17" customFormat="1">
      <c r="A64" s="112" t="s">
        <v>294</v>
      </c>
      <c r="B64" s="134">
        <v>17.03</v>
      </c>
      <c r="C64" s="134">
        <v>18.52</v>
      </c>
      <c r="D64" s="134">
        <v>22.28</v>
      </c>
      <c r="E64" s="172" t="s">
        <v>8</v>
      </c>
      <c r="F64" s="134">
        <v>4.8899999999999997</v>
      </c>
      <c r="G64" s="134">
        <v>24.47</v>
      </c>
      <c r="H64" s="134">
        <v>5.72</v>
      </c>
      <c r="I64" s="134">
        <v>4.46</v>
      </c>
      <c r="J64" s="134">
        <v>0.87</v>
      </c>
      <c r="K64" s="134">
        <v>258.95999999999998</v>
      </c>
      <c r="L64" s="134">
        <v>27.93</v>
      </c>
      <c r="M64" s="134">
        <v>85.6</v>
      </c>
      <c r="N64" s="134">
        <v>177.3</v>
      </c>
      <c r="O64" s="134">
        <v>0</v>
      </c>
      <c r="P64" s="134">
        <v>0.38</v>
      </c>
      <c r="Q64" s="134">
        <v>3.82</v>
      </c>
    </row>
    <row r="65" spans="1:17" customFormat="1">
      <c r="A65" s="112" t="s">
        <v>295</v>
      </c>
      <c r="B65" s="134">
        <v>16.53</v>
      </c>
      <c r="C65" s="134">
        <v>19.04</v>
      </c>
      <c r="D65" s="134">
        <v>22.15</v>
      </c>
      <c r="E65" s="172" t="s">
        <v>8</v>
      </c>
      <c r="F65" s="134">
        <v>5.22</v>
      </c>
      <c r="G65" s="134">
        <v>24.47</v>
      </c>
      <c r="H65" s="134">
        <v>5.72</v>
      </c>
      <c r="I65" s="134">
        <v>4.34</v>
      </c>
      <c r="J65" s="134">
        <v>0.87</v>
      </c>
      <c r="K65" s="134">
        <v>262.5</v>
      </c>
      <c r="L65" s="134">
        <v>28.03</v>
      </c>
      <c r="M65" s="134">
        <v>85.18</v>
      </c>
      <c r="N65" s="134">
        <v>172.8</v>
      </c>
      <c r="O65" s="134">
        <v>0</v>
      </c>
      <c r="P65" s="134">
        <v>0.45</v>
      </c>
      <c r="Q65" s="134">
        <v>3.78</v>
      </c>
    </row>
    <row r="66" spans="1:17" customFormat="1">
      <c r="A66" s="112" t="s">
        <v>296</v>
      </c>
      <c r="B66" s="134">
        <v>15.85</v>
      </c>
      <c r="C66" s="134">
        <v>19.010000000000002</v>
      </c>
      <c r="D66" s="134">
        <v>21.6</v>
      </c>
      <c r="E66" s="172" t="s">
        <v>8</v>
      </c>
      <c r="F66" s="134">
        <v>5.31</v>
      </c>
      <c r="G66" s="134">
        <v>24.47</v>
      </c>
      <c r="H66" s="134">
        <v>5.72</v>
      </c>
      <c r="I66" s="134">
        <v>4.3099999999999996</v>
      </c>
      <c r="J66" s="134">
        <v>0.8</v>
      </c>
      <c r="K66" s="134">
        <v>262.83</v>
      </c>
      <c r="L66" s="134">
        <v>28.18</v>
      </c>
      <c r="M66" s="134">
        <v>84.59</v>
      </c>
      <c r="N66" s="134">
        <v>158.6</v>
      </c>
      <c r="O66" s="134">
        <v>0</v>
      </c>
      <c r="P66" s="134">
        <v>0.48</v>
      </c>
      <c r="Q66" s="134">
        <v>3.74</v>
      </c>
    </row>
    <row r="67" spans="1:17" customFormat="1">
      <c r="A67" s="112" t="s">
        <v>297</v>
      </c>
      <c r="B67" s="134">
        <v>15.69</v>
      </c>
      <c r="C67" s="134">
        <v>19.68</v>
      </c>
      <c r="D67" s="134">
        <v>21.82</v>
      </c>
      <c r="E67" s="172" t="s">
        <v>8</v>
      </c>
      <c r="F67" s="134">
        <v>4.5599999999999996</v>
      </c>
      <c r="G67" s="134">
        <v>24.68</v>
      </c>
      <c r="H67" s="134">
        <v>5.73</v>
      </c>
      <c r="I67" s="134">
        <v>4.4400000000000004</v>
      </c>
      <c r="J67" s="134">
        <v>0.9</v>
      </c>
      <c r="K67" s="134">
        <v>262.17</v>
      </c>
      <c r="L67" s="134">
        <v>28.28</v>
      </c>
      <c r="M67" s="134">
        <v>82.71</v>
      </c>
      <c r="N67" s="134">
        <v>160.30000000000001</v>
      </c>
      <c r="O67" s="134">
        <v>0</v>
      </c>
      <c r="P67" s="134">
        <v>0.48</v>
      </c>
      <c r="Q67" s="134">
        <v>3.72</v>
      </c>
    </row>
    <row r="68" spans="1:17" customFormat="1">
      <c r="A68" s="112" t="s">
        <v>298</v>
      </c>
      <c r="B68" s="134">
        <v>15.88</v>
      </c>
      <c r="C68" s="134">
        <v>21.6</v>
      </c>
      <c r="D68" s="134">
        <v>22.98</v>
      </c>
      <c r="E68" s="172" t="s">
        <v>8</v>
      </c>
      <c r="F68" s="134">
        <v>2.71</v>
      </c>
      <c r="G68" s="134">
        <v>29.12</v>
      </c>
      <c r="H68" s="134">
        <v>6.03</v>
      </c>
      <c r="I68" s="134">
        <v>4.6500000000000004</v>
      </c>
      <c r="J68" s="134">
        <v>0.73</v>
      </c>
      <c r="K68" s="134">
        <v>264.70999999999998</v>
      </c>
      <c r="L68" s="134">
        <v>28.33</v>
      </c>
      <c r="M68" s="134">
        <v>82.71</v>
      </c>
      <c r="N68" s="134">
        <v>124.9</v>
      </c>
      <c r="O68" s="134">
        <v>0</v>
      </c>
      <c r="P68" s="134">
        <v>0.52</v>
      </c>
      <c r="Q68" s="134">
        <v>3.79</v>
      </c>
    </row>
    <row r="69" spans="1:17" customFormat="1">
      <c r="A69" s="112" t="s">
        <v>299</v>
      </c>
      <c r="B69" s="134">
        <v>15.67</v>
      </c>
      <c r="C69" s="134">
        <v>20.73</v>
      </c>
      <c r="D69" s="134">
        <v>22.35</v>
      </c>
      <c r="E69" s="172" t="s">
        <v>8</v>
      </c>
      <c r="F69" s="134">
        <v>3.98</v>
      </c>
      <c r="G69" s="134">
        <v>29.12</v>
      </c>
      <c r="H69" s="134">
        <v>6.03</v>
      </c>
      <c r="I69" s="134">
        <v>4.6100000000000003</v>
      </c>
      <c r="J69" s="134">
        <v>0.83</v>
      </c>
      <c r="K69" s="134">
        <v>261.04000000000002</v>
      </c>
      <c r="L69" s="134">
        <v>28.36</v>
      </c>
      <c r="M69" s="134">
        <v>82.33</v>
      </c>
      <c r="N69" s="134">
        <v>129.5</v>
      </c>
      <c r="O69" s="134">
        <v>0</v>
      </c>
      <c r="P69" s="134">
        <v>0.51</v>
      </c>
      <c r="Q69" s="134">
        <v>3.81</v>
      </c>
    </row>
    <row r="70" spans="1:17" customFormat="1">
      <c r="A70" s="112" t="s">
        <v>300</v>
      </c>
      <c r="B70" s="134">
        <v>15.34</v>
      </c>
      <c r="C70" s="134">
        <v>19.45</v>
      </c>
      <c r="D70" s="134">
        <v>21.43</v>
      </c>
      <c r="E70" s="172" t="s">
        <v>8</v>
      </c>
      <c r="F70" s="134">
        <v>5.24</v>
      </c>
      <c r="G70" s="134">
        <v>29.12</v>
      </c>
      <c r="H70" s="134">
        <v>6.03</v>
      </c>
      <c r="I70" s="134">
        <v>4.66</v>
      </c>
      <c r="J70" s="134">
        <v>1.01</v>
      </c>
      <c r="K70" s="134">
        <v>253.11</v>
      </c>
      <c r="L70" s="134">
        <v>28.5</v>
      </c>
      <c r="M70" s="134">
        <v>81.73</v>
      </c>
      <c r="N70" s="134">
        <v>162.19999999999999</v>
      </c>
      <c r="O70" s="134">
        <v>0</v>
      </c>
      <c r="P70" s="134">
        <v>0.51</v>
      </c>
      <c r="Q70" s="134">
        <v>3.72</v>
      </c>
    </row>
    <row r="71" spans="1:17" customFormat="1">
      <c r="A71" s="112" t="s">
        <v>301</v>
      </c>
      <c r="B71" s="134">
        <v>14.51</v>
      </c>
      <c r="C71" s="134">
        <v>18.239999999999998</v>
      </c>
      <c r="D71" s="134">
        <v>20.12</v>
      </c>
      <c r="E71" s="172" t="s">
        <v>8</v>
      </c>
      <c r="F71" s="134">
        <v>6.49</v>
      </c>
      <c r="G71" s="134">
        <v>29.18</v>
      </c>
      <c r="H71" s="134">
        <v>6.23</v>
      </c>
      <c r="I71" s="134">
        <v>4.6399999999999997</v>
      </c>
      <c r="J71" s="134">
        <v>0.71</v>
      </c>
      <c r="K71" s="134">
        <v>255.71</v>
      </c>
      <c r="L71" s="134">
        <v>28.76</v>
      </c>
      <c r="M71" s="134">
        <v>81.93</v>
      </c>
      <c r="N71" s="134">
        <v>220.9</v>
      </c>
      <c r="O71" s="134">
        <v>0</v>
      </c>
      <c r="P71" s="134">
        <v>0.55000000000000004</v>
      </c>
      <c r="Q71" s="134">
        <v>3.68</v>
      </c>
    </row>
    <row r="72" spans="1:17" customFormat="1">
      <c r="A72" s="112" t="s">
        <v>302</v>
      </c>
      <c r="B72" s="134">
        <v>14.13</v>
      </c>
      <c r="C72" s="134">
        <v>18.54</v>
      </c>
      <c r="D72" s="134">
        <v>19.97</v>
      </c>
      <c r="E72" s="172" t="s">
        <v>8</v>
      </c>
      <c r="F72" s="134">
        <v>5.88</v>
      </c>
      <c r="G72" s="134">
        <v>30.37</v>
      </c>
      <c r="H72" s="134">
        <v>9.34</v>
      </c>
      <c r="I72" s="134">
        <v>4.7300000000000004</v>
      </c>
      <c r="J72" s="134">
        <v>0.76</v>
      </c>
      <c r="K72" s="134">
        <v>258.81</v>
      </c>
      <c r="L72" s="134">
        <v>29.05</v>
      </c>
      <c r="M72" s="134">
        <v>81.849999999999994</v>
      </c>
      <c r="N72" s="134">
        <v>241.3</v>
      </c>
      <c r="O72" s="134">
        <v>0</v>
      </c>
      <c r="P72" s="134">
        <v>0.53</v>
      </c>
      <c r="Q72" s="134">
        <v>3.66</v>
      </c>
    </row>
    <row r="73" spans="1:17" customFormat="1">
      <c r="A73" s="112" t="s">
        <v>303</v>
      </c>
      <c r="B73" s="134">
        <v>14.51</v>
      </c>
      <c r="C73" s="134">
        <v>21.04</v>
      </c>
      <c r="D73" s="134">
        <v>21.59</v>
      </c>
      <c r="E73" s="172" t="s">
        <v>8</v>
      </c>
      <c r="F73" s="134">
        <v>3.05</v>
      </c>
      <c r="G73" s="134">
        <v>30.37</v>
      </c>
      <c r="H73" s="134">
        <v>9.34</v>
      </c>
      <c r="I73" s="134">
        <v>5.04</v>
      </c>
      <c r="J73" s="134">
        <v>0.9</v>
      </c>
      <c r="K73" s="134">
        <v>256.57</v>
      </c>
      <c r="L73" s="134">
        <v>28.82</v>
      </c>
      <c r="M73" s="134">
        <v>82.02</v>
      </c>
      <c r="N73" s="134">
        <v>168.7</v>
      </c>
      <c r="O73" s="134">
        <v>0</v>
      </c>
      <c r="P73" s="134">
        <v>0.54</v>
      </c>
      <c r="Q73" s="134">
        <v>3.69</v>
      </c>
    </row>
    <row r="74" spans="1:17" customFormat="1">
      <c r="A74" s="112" t="s">
        <v>304</v>
      </c>
      <c r="B74" s="134">
        <v>14.14</v>
      </c>
      <c r="C74" s="134">
        <v>20.51</v>
      </c>
      <c r="D74" s="134">
        <v>21.01</v>
      </c>
      <c r="E74" s="172" t="s">
        <v>8</v>
      </c>
      <c r="F74" s="134">
        <v>4.34</v>
      </c>
      <c r="G74" s="134">
        <v>30.37</v>
      </c>
      <c r="H74" s="134">
        <v>9.34</v>
      </c>
      <c r="I74" s="134">
        <v>5.46</v>
      </c>
      <c r="J74" s="134">
        <v>1.03</v>
      </c>
      <c r="K74" s="134">
        <v>255.82</v>
      </c>
      <c r="L74" s="134">
        <v>28.65</v>
      </c>
      <c r="M74" s="134">
        <v>82.6</v>
      </c>
      <c r="N74" s="134">
        <v>127.6</v>
      </c>
      <c r="O74" s="134">
        <v>0</v>
      </c>
      <c r="P74" s="134">
        <v>0.54</v>
      </c>
      <c r="Q74" s="134">
        <v>3.7</v>
      </c>
    </row>
    <row r="75" spans="1:17" customFormat="1">
      <c r="A75" s="112" t="s">
        <v>305</v>
      </c>
      <c r="B75" s="134">
        <v>13.41</v>
      </c>
      <c r="C75" s="134">
        <v>18.989999999999998</v>
      </c>
      <c r="D75" s="134">
        <v>19.63</v>
      </c>
      <c r="E75" s="172" t="s">
        <v>8</v>
      </c>
      <c r="F75" s="134">
        <v>6.01</v>
      </c>
      <c r="G75" s="134">
        <v>30.38</v>
      </c>
      <c r="H75" s="134">
        <v>9.27</v>
      </c>
      <c r="I75" s="134">
        <v>5.19</v>
      </c>
      <c r="J75" s="134">
        <v>0.83</v>
      </c>
      <c r="K75" s="134">
        <v>262.06</v>
      </c>
      <c r="L75" s="134">
        <v>28.61</v>
      </c>
      <c r="M75" s="134">
        <v>83.28</v>
      </c>
      <c r="N75" s="134">
        <v>92.8</v>
      </c>
      <c r="O75" s="134">
        <v>0</v>
      </c>
      <c r="P75" s="134">
        <v>0.54</v>
      </c>
      <c r="Q75" s="134">
        <v>3.62</v>
      </c>
    </row>
    <row r="76" spans="1:17" customFormat="1">
      <c r="A76" s="112" t="s">
        <v>306</v>
      </c>
      <c r="B76" s="134">
        <v>12.87</v>
      </c>
      <c r="C76" s="134">
        <v>18.53</v>
      </c>
      <c r="D76" s="134">
        <v>18.96</v>
      </c>
      <c r="E76" s="172" t="s">
        <v>8</v>
      </c>
      <c r="F76" s="134">
        <v>6.25</v>
      </c>
      <c r="G76" s="134">
        <v>30.49</v>
      </c>
      <c r="H76" s="134">
        <v>8.17</v>
      </c>
      <c r="I76" s="134">
        <v>5.23</v>
      </c>
      <c r="J76" s="134">
        <v>0.84</v>
      </c>
      <c r="K76" s="134">
        <v>253.56</v>
      </c>
      <c r="L76" s="134">
        <v>28.51</v>
      </c>
      <c r="M76" s="134">
        <v>82.91</v>
      </c>
      <c r="N76" s="134">
        <v>64.8</v>
      </c>
      <c r="O76" s="134">
        <v>0</v>
      </c>
      <c r="P76" s="134">
        <v>0.56000000000000005</v>
      </c>
      <c r="Q76" s="134">
        <v>3.56</v>
      </c>
    </row>
    <row r="77" spans="1:17" customFormat="1">
      <c r="A77" s="112" t="s">
        <v>307</v>
      </c>
      <c r="B77" s="134">
        <v>12.6</v>
      </c>
      <c r="C77" s="134">
        <v>18.3</v>
      </c>
      <c r="D77" s="134">
        <v>18.62</v>
      </c>
      <c r="E77" s="172" t="s">
        <v>8</v>
      </c>
      <c r="F77" s="134">
        <v>5.9</v>
      </c>
      <c r="G77" s="134">
        <v>30.49</v>
      </c>
      <c r="H77" s="134">
        <v>8.17</v>
      </c>
      <c r="I77" s="134">
        <v>5.48</v>
      </c>
      <c r="J77" s="134">
        <v>0.84</v>
      </c>
      <c r="K77" s="134">
        <v>257.81</v>
      </c>
      <c r="L77" s="134">
        <v>28.36</v>
      </c>
      <c r="M77" s="134">
        <v>83.08</v>
      </c>
      <c r="N77" s="134">
        <v>48</v>
      </c>
      <c r="O77" s="134">
        <v>0</v>
      </c>
      <c r="P77" s="134">
        <v>0.52</v>
      </c>
      <c r="Q77" s="134">
        <v>3.53</v>
      </c>
    </row>
    <row r="78" spans="1:17" customFormat="1">
      <c r="A78" s="112" t="s">
        <v>308</v>
      </c>
      <c r="B78" s="134">
        <v>13.02</v>
      </c>
      <c r="C78" s="134">
        <v>20.170000000000002</v>
      </c>
      <c r="D78" s="134">
        <v>19.93</v>
      </c>
      <c r="E78" s="172" t="s">
        <v>8</v>
      </c>
      <c r="F78" s="134">
        <v>3.61</v>
      </c>
      <c r="G78" s="134">
        <v>30.49</v>
      </c>
      <c r="H78" s="134">
        <v>8.17</v>
      </c>
      <c r="I78" s="134">
        <v>5.8</v>
      </c>
      <c r="J78" s="134">
        <v>0.78</v>
      </c>
      <c r="K78" s="134">
        <v>259.02</v>
      </c>
      <c r="L78" s="134">
        <v>28.23</v>
      </c>
      <c r="M78" s="134">
        <v>83.39</v>
      </c>
      <c r="N78" s="134">
        <v>28.7</v>
      </c>
      <c r="O78" s="134">
        <v>0</v>
      </c>
      <c r="P78" s="134">
        <v>0.55000000000000004</v>
      </c>
      <c r="Q78" s="134">
        <v>3.59</v>
      </c>
    </row>
    <row r="79" spans="1:17" customFormat="1">
      <c r="A79" s="112" t="s">
        <v>309</v>
      </c>
      <c r="B79" s="134">
        <v>12.69</v>
      </c>
      <c r="C79" s="134">
        <v>19</v>
      </c>
      <c r="D79" s="134">
        <v>19.059999999999999</v>
      </c>
      <c r="E79" s="172" t="s">
        <v>8</v>
      </c>
      <c r="F79" s="134">
        <v>5.48</v>
      </c>
      <c r="G79" s="134">
        <v>30.63</v>
      </c>
      <c r="H79" s="134">
        <v>8.2100000000000009</v>
      </c>
      <c r="I79" s="134">
        <v>5.56</v>
      </c>
      <c r="J79" s="134">
        <v>0.89</v>
      </c>
      <c r="K79" s="134">
        <v>257.14999999999998</v>
      </c>
      <c r="L79" s="134">
        <v>28.12</v>
      </c>
      <c r="M79" s="134">
        <v>84.15</v>
      </c>
      <c r="N79" s="134">
        <v>12.8</v>
      </c>
      <c r="O79" s="134">
        <v>0</v>
      </c>
      <c r="P79" s="134">
        <v>0.53</v>
      </c>
      <c r="Q79" s="134">
        <v>3.6</v>
      </c>
    </row>
    <row r="80" spans="1:17" customFormat="1">
      <c r="A80" s="112" t="s">
        <v>310</v>
      </c>
      <c r="B80" s="134">
        <v>11.74</v>
      </c>
      <c r="C80" s="134">
        <v>16.34</v>
      </c>
      <c r="D80" s="134">
        <v>16.91</v>
      </c>
      <c r="E80" s="172" t="s">
        <v>8</v>
      </c>
      <c r="F80" s="134">
        <v>8.2100000000000009</v>
      </c>
      <c r="G80" s="134">
        <v>33.56</v>
      </c>
      <c r="H80" s="134">
        <v>8.84</v>
      </c>
      <c r="I80" s="134">
        <v>5.45</v>
      </c>
      <c r="J80" s="134">
        <v>0.69</v>
      </c>
      <c r="K80" s="134">
        <v>257.16000000000003</v>
      </c>
      <c r="L80" s="134">
        <v>28.04</v>
      </c>
      <c r="M80" s="134">
        <v>85.16</v>
      </c>
      <c r="N80" s="134">
        <v>5.4</v>
      </c>
      <c r="O80" s="134">
        <v>0</v>
      </c>
      <c r="P80" s="134">
        <v>0.49</v>
      </c>
      <c r="Q80" s="134">
        <v>3.53</v>
      </c>
    </row>
    <row r="81" spans="1:17" customFormat="1">
      <c r="A81" s="112" t="s">
        <v>311</v>
      </c>
      <c r="B81" s="134">
        <v>12.51</v>
      </c>
      <c r="C81" s="134">
        <v>18.920000000000002</v>
      </c>
      <c r="D81" s="134">
        <v>18.87</v>
      </c>
      <c r="E81" s="172" t="s">
        <v>8</v>
      </c>
      <c r="F81" s="134">
        <v>3.7</v>
      </c>
      <c r="G81" s="134">
        <v>33.56</v>
      </c>
      <c r="H81" s="134">
        <v>8.84</v>
      </c>
      <c r="I81" s="134">
        <v>5.0599999999999996</v>
      </c>
      <c r="J81" s="134">
        <v>0.64</v>
      </c>
      <c r="K81" s="134">
        <v>256.77</v>
      </c>
      <c r="L81" s="134">
        <v>27.95</v>
      </c>
      <c r="M81" s="134">
        <v>86.03</v>
      </c>
      <c r="N81" s="134">
        <v>0.9</v>
      </c>
      <c r="O81" s="134">
        <v>0</v>
      </c>
      <c r="P81" s="134">
        <v>0.53</v>
      </c>
      <c r="Q81" s="134">
        <v>3.48</v>
      </c>
    </row>
    <row r="82" spans="1:17" customFormat="1">
      <c r="A82" s="112" t="s">
        <v>312</v>
      </c>
      <c r="B82" s="134">
        <v>11.78</v>
      </c>
      <c r="C82" s="134">
        <v>21.08</v>
      </c>
      <c r="D82" s="134">
        <v>19.420000000000002</v>
      </c>
      <c r="E82" s="172" t="s">
        <v>8</v>
      </c>
      <c r="F82" s="134">
        <v>3.73</v>
      </c>
      <c r="G82" s="134">
        <v>33.56</v>
      </c>
      <c r="H82" s="134">
        <v>8.84</v>
      </c>
      <c r="I82" s="134">
        <v>4.8099999999999996</v>
      </c>
      <c r="J82" s="134">
        <v>0.67</v>
      </c>
      <c r="K82" s="134">
        <v>256.25</v>
      </c>
      <c r="L82" s="134">
        <v>27.9</v>
      </c>
      <c r="M82" s="134">
        <v>86.26</v>
      </c>
      <c r="N82" s="134">
        <v>0</v>
      </c>
      <c r="O82" s="134">
        <v>0</v>
      </c>
      <c r="P82" s="134">
        <v>0.56000000000000005</v>
      </c>
      <c r="Q82" s="134">
        <v>3.5</v>
      </c>
    </row>
    <row r="83" spans="1:17" customFormat="1">
      <c r="A83" s="112" t="s">
        <v>313</v>
      </c>
      <c r="B83" s="134">
        <v>10.76</v>
      </c>
      <c r="C83" s="134">
        <v>19.5</v>
      </c>
      <c r="D83" s="134">
        <v>17.78</v>
      </c>
      <c r="E83" s="172" t="s">
        <v>8</v>
      </c>
      <c r="F83" s="134">
        <v>6.15</v>
      </c>
      <c r="G83" s="134">
        <v>33.29</v>
      </c>
      <c r="H83" s="134">
        <v>8.74</v>
      </c>
      <c r="I83" s="134">
        <v>5.26</v>
      </c>
      <c r="J83" s="134">
        <v>0.83</v>
      </c>
      <c r="K83" s="134">
        <v>255.89</v>
      </c>
      <c r="L83" s="134">
        <v>27.91</v>
      </c>
      <c r="M83" s="134">
        <v>85.46</v>
      </c>
      <c r="N83" s="134">
        <v>0</v>
      </c>
      <c r="O83" s="134">
        <v>0</v>
      </c>
      <c r="P83" s="134">
        <v>0.52</v>
      </c>
      <c r="Q83" s="134">
        <v>3.51</v>
      </c>
    </row>
    <row r="84" spans="1:17" customFormat="1">
      <c r="A84" s="112" t="s">
        <v>314</v>
      </c>
      <c r="B84" s="134">
        <v>10.3</v>
      </c>
      <c r="C84" s="134">
        <v>17.760000000000002</v>
      </c>
      <c r="D84" s="134">
        <v>16.489999999999998</v>
      </c>
      <c r="E84" s="172" t="s">
        <v>8</v>
      </c>
      <c r="F84" s="134">
        <v>7.28</v>
      </c>
      <c r="G84" s="134">
        <v>27.62</v>
      </c>
      <c r="H84" s="134">
        <v>7.16</v>
      </c>
      <c r="I84" s="134">
        <v>5.0199999999999996</v>
      </c>
      <c r="J84" s="134">
        <v>0.66</v>
      </c>
      <c r="K84" s="134">
        <v>256.39999999999998</v>
      </c>
      <c r="L84" s="134">
        <v>27.86</v>
      </c>
      <c r="M84" s="134">
        <v>85.37</v>
      </c>
      <c r="N84" s="134">
        <v>0</v>
      </c>
      <c r="O84" s="134">
        <v>0</v>
      </c>
      <c r="P84" s="134">
        <v>0.48</v>
      </c>
      <c r="Q84" s="134">
        <v>3.44</v>
      </c>
    </row>
    <row r="85" spans="1:17" customFormat="1">
      <c r="A85" s="112" t="s">
        <v>315</v>
      </c>
      <c r="B85" s="134">
        <v>9.89</v>
      </c>
      <c r="C85" s="134">
        <v>16.760000000000002</v>
      </c>
      <c r="D85" s="134">
        <v>15.64</v>
      </c>
      <c r="E85" s="172" t="s">
        <v>8</v>
      </c>
      <c r="F85" s="134">
        <v>8.36</v>
      </c>
      <c r="G85" s="134">
        <v>27.62</v>
      </c>
      <c r="H85" s="134">
        <v>7.16</v>
      </c>
      <c r="I85" s="134">
        <v>4.62</v>
      </c>
      <c r="J85" s="134">
        <v>0.7</v>
      </c>
      <c r="K85" s="134">
        <v>255.93</v>
      </c>
      <c r="L85" s="134">
        <v>27.84</v>
      </c>
      <c r="M85" s="134">
        <v>85.36</v>
      </c>
      <c r="N85" s="134">
        <v>0</v>
      </c>
      <c r="O85" s="134">
        <v>0</v>
      </c>
      <c r="P85" s="134">
        <v>0.45</v>
      </c>
      <c r="Q85" s="134">
        <v>3.38</v>
      </c>
    </row>
    <row r="86" spans="1:17" customFormat="1">
      <c r="A86" s="112" t="s">
        <v>316</v>
      </c>
      <c r="B86" s="134">
        <v>9.5</v>
      </c>
      <c r="C86" s="134">
        <v>16.32</v>
      </c>
      <c r="D86" s="134">
        <v>15.1</v>
      </c>
      <c r="E86" s="172" t="s">
        <v>8</v>
      </c>
      <c r="F86" s="134">
        <v>8.39</v>
      </c>
      <c r="G86" s="134">
        <v>27.62</v>
      </c>
      <c r="H86" s="134">
        <v>7.16</v>
      </c>
      <c r="I86" s="134">
        <v>4.43</v>
      </c>
      <c r="J86" s="134">
        <v>0.62</v>
      </c>
      <c r="K86" s="134">
        <v>252.47</v>
      </c>
      <c r="L86" s="134">
        <v>27.8</v>
      </c>
      <c r="M86" s="134">
        <v>85.87</v>
      </c>
      <c r="N86" s="134">
        <v>0</v>
      </c>
      <c r="O86" s="134">
        <v>0</v>
      </c>
      <c r="P86" s="134">
        <v>0.43</v>
      </c>
      <c r="Q86" s="134">
        <v>3.37</v>
      </c>
    </row>
    <row r="87" spans="1:17" customFormat="1">
      <c r="A87" s="112" t="s">
        <v>317</v>
      </c>
      <c r="B87" s="134">
        <v>9.1199999999999992</v>
      </c>
      <c r="C87" s="134">
        <v>16.149999999999999</v>
      </c>
      <c r="D87" s="134">
        <v>14.7</v>
      </c>
      <c r="E87" s="172" t="s">
        <v>8</v>
      </c>
      <c r="F87" s="134">
        <v>8.2799999999999994</v>
      </c>
      <c r="G87" s="134">
        <v>27.57</v>
      </c>
      <c r="H87" s="134">
        <v>7.18</v>
      </c>
      <c r="I87" s="134">
        <v>4.32</v>
      </c>
      <c r="J87" s="134">
        <v>0.55000000000000004</v>
      </c>
      <c r="K87" s="134">
        <v>256.79000000000002</v>
      </c>
      <c r="L87" s="134">
        <v>27.71</v>
      </c>
      <c r="M87" s="134">
        <v>86.63</v>
      </c>
      <c r="N87" s="134">
        <v>0</v>
      </c>
      <c r="O87" s="134">
        <v>0</v>
      </c>
      <c r="P87" s="134">
        <v>0.42</v>
      </c>
      <c r="Q87" s="134">
        <v>3.33</v>
      </c>
    </row>
    <row r="88" spans="1:17" customFormat="1">
      <c r="A88" s="112" t="s">
        <v>318</v>
      </c>
      <c r="B88" s="134">
        <v>10.039999999999999</v>
      </c>
      <c r="C88" s="134">
        <v>19.489999999999998</v>
      </c>
      <c r="D88" s="134">
        <v>17.190000000000001</v>
      </c>
      <c r="E88" s="172" t="s">
        <v>8</v>
      </c>
      <c r="F88" s="134">
        <v>4.37</v>
      </c>
      <c r="G88" s="134">
        <v>26.74</v>
      </c>
      <c r="H88" s="134">
        <v>7.45</v>
      </c>
      <c r="I88" s="134">
        <v>4.22</v>
      </c>
      <c r="J88" s="134">
        <v>0.71</v>
      </c>
      <c r="K88" s="134">
        <v>254.07</v>
      </c>
      <c r="L88" s="134">
        <v>27.72</v>
      </c>
      <c r="M88" s="134">
        <v>86.02</v>
      </c>
      <c r="N88" s="134">
        <v>0</v>
      </c>
      <c r="O88" s="134">
        <v>0</v>
      </c>
      <c r="P88" s="134">
        <v>0.47</v>
      </c>
      <c r="Q88" s="134">
        <v>3.37</v>
      </c>
    </row>
    <row r="89" spans="1:17" customFormat="1">
      <c r="A89" s="112" t="s">
        <v>319</v>
      </c>
      <c r="B89" s="134">
        <v>9.98</v>
      </c>
      <c r="C89" s="134">
        <v>18.88</v>
      </c>
      <c r="D89" s="134">
        <v>16.82</v>
      </c>
      <c r="E89" s="172" t="s">
        <v>8</v>
      </c>
      <c r="F89" s="134">
        <v>5.62</v>
      </c>
      <c r="G89" s="134">
        <v>26.74</v>
      </c>
      <c r="H89" s="134">
        <v>7.45</v>
      </c>
      <c r="I89" s="134">
        <v>4.2</v>
      </c>
      <c r="J89" s="134">
        <v>0.6</v>
      </c>
      <c r="K89" s="134">
        <v>252.68</v>
      </c>
      <c r="L89" s="134">
        <v>27.69</v>
      </c>
      <c r="M89" s="134">
        <v>86.14</v>
      </c>
      <c r="N89" s="134">
        <v>0</v>
      </c>
      <c r="O89" s="134">
        <v>0</v>
      </c>
      <c r="P89" s="134">
        <v>0.46</v>
      </c>
      <c r="Q89" s="134">
        <v>3.42</v>
      </c>
    </row>
    <row r="90" spans="1:17" customFormat="1">
      <c r="A90" s="112" t="s">
        <v>320</v>
      </c>
      <c r="B90" s="134">
        <v>9.35</v>
      </c>
      <c r="C90" s="134">
        <v>16.61</v>
      </c>
      <c r="D90" s="134">
        <v>15.13</v>
      </c>
      <c r="E90" s="172" t="s">
        <v>8</v>
      </c>
      <c r="F90" s="134">
        <v>7.6</v>
      </c>
      <c r="G90" s="134">
        <v>26.74</v>
      </c>
      <c r="H90" s="134">
        <v>7.45</v>
      </c>
      <c r="I90" s="134">
        <v>4.54</v>
      </c>
      <c r="J90" s="134">
        <v>0.42</v>
      </c>
      <c r="K90" s="134">
        <v>251.29</v>
      </c>
      <c r="L90" s="134">
        <v>27.6</v>
      </c>
      <c r="M90" s="134">
        <v>86.58</v>
      </c>
      <c r="N90" s="134">
        <v>0</v>
      </c>
      <c r="O90" s="134">
        <v>0</v>
      </c>
      <c r="P90" s="134">
        <v>0.44</v>
      </c>
      <c r="Q90" s="134">
        <v>3.36</v>
      </c>
    </row>
    <row r="91" spans="1:17" customFormat="1">
      <c r="A91" s="112" t="s">
        <v>321</v>
      </c>
      <c r="B91" s="134">
        <v>9.3000000000000007</v>
      </c>
      <c r="C91" s="134">
        <v>16.07</v>
      </c>
      <c r="D91" s="134">
        <v>14.81</v>
      </c>
      <c r="E91" s="172" t="s">
        <v>8</v>
      </c>
      <c r="F91" s="134">
        <v>7.09</v>
      </c>
      <c r="G91" s="134">
        <v>26.6</v>
      </c>
      <c r="H91" s="134">
        <v>7.33</v>
      </c>
      <c r="I91" s="134">
        <v>4.22</v>
      </c>
      <c r="J91" s="134">
        <v>0.59</v>
      </c>
      <c r="K91" s="134">
        <v>254.03</v>
      </c>
      <c r="L91" s="134">
        <v>27.49</v>
      </c>
      <c r="M91" s="134">
        <v>87.46</v>
      </c>
      <c r="N91" s="134">
        <v>0</v>
      </c>
      <c r="O91" s="134">
        <v>0</v>
      </c>
      <c r="P91" s="134">
        <v>0.42</v>
      </c>
      <c r="Q91" s="134">
        <v>3.35</v>
      </c>
    </row>
    <row r="92" spans="1:17" customFormat="1">
      <c r="A92" s="112" t="s">
        <v>322</v>
      </c>
      <c r="B92" s="134">
        <v>10.15</v>
      </c>
      <c r="C92" s="134">
        <v>19.27</v>
      </c>
      <c r="D92" s="134">
        <v>17.16</v>
      </c>
      <c r="E92" s="172" t="s">
        <v>8</v>
      </c>
      <c r="F92" s="134">
        <v>4.09</v>
      </c>
      <c r="G92" s="134">
        <v>23.76</v>
      </c>
      <c r="H92" s="134">
        <v>5.45</v>
      </c>
      <c r="I92" s="134">
        <v>4.04</v>
      </c>
      <c r="J92" s="134">
        <v>0.77</v>
      </c>
      <c r="K92" s="134">
        <v>255.74</v>
      </c>
      <c r="L92" s="134">
        <v>27.51</v>
      </c>
      <c r="M92" s="134">
        <v>87.46</v>
      </c>
      <c r="N92" s="134">
        <v>0</v>
      </c>
      <c r="O92" s="134">
        <v>0</v>
      </c>
      <c r="P92" s="134">
        <v>0.46</v>
      </c>
      <c r="Q92" s="134">
        <v>3.39</v>
      </c>
    </row>
    <row r="93" spans="1:17" customFormat="1">
      <c r="A93" s="112" t="s">
        <v>323</v>
      </c>
      <c r="B93" s="134">
        <v>10.23</v>
      </c>
      <c r="C93" s="134">
        <v>18.12</v>
      </c>
      <c r="D93" s="134">
        <v>16.63</v>
      </c>
      <c r="E93" s="172" t="s">
        <v>8</v>
      </c>
      <c r="F93" s="134">
        <v>5.17</v>
      </c>
      <c r="G93" s="134">
        <v>23.76</v>
      </c>
      <c r="H93" s="134">
        <v>5.45</v>
      </c>
      <c r="I93" s="134">
        <v>4.12</v>
      </c>
      <c r="J93" s="134">
        <v>0.83</v>
      </c>
      <c r="K93" s="134">
        <v>255.05</v>
      </c>
      <c r="L93" s="134">
        <v>27.47</v>
      </c>
      <c r="M93" s="134">
        <v>87.84</v>
      </c>
      <c r="N93" s="134">
        <v>0</v>
      </c>
      <c r="O93" s="134">
        <v>0</v>
      </c>
      <c r="P93" s="134">
        <v>0.44</v>
      </c>
      <c r="Q93" s="134">
        <v>3.38</v>
      </c>
    </row>
    <row r="94" spans="1:17" customFormat="1">
      <c r="A94" s="112" t="s">
        <v>324</v>
      </c>
      <c r="B94" s="134">
        <v>9.91</v>
      </c>
      <c r="C94" s="134">
        <v>16.559999999999999</v>
      </c>
      <c r="D94" s="134">
        <v>15.55</v>
      </c>
      <c r="E94" s="172" t="s">
        <v>8</v>
      </c>
      <c r="F94" s="134">
        <v>6.62</v>
      </c>
      <c r="G94" s="134">
        <v>23.76</v>
      </c>
      <c r="H94" s="134">
        <v>5.45</v>
      </c>
      <c r="I94" s="134">
        <v>4.3899999999999997</v>
      </c>
      <c r="J94" s="134">
        <v>0.76</v>
      </c>
      <c r="K94" s="134">
        <v>255.3</v>
      </c>
      <c r="L94" s="134">
        <v>27.34</v>
      </c>
      <c r="M94" s="134">
        <v>88.27</v>
      </c>
      <c r="N94" s="134">
        <v>0</v>
      </c>
      <c r="O94" s="134">
        <v>0</v>
      </c>
      <c r="P94" s="134">
        <v>0.41</v>
      </c>
      <c r="Q94" s="134">
        <v>3.32</v>
      </c>
    </row>
    <row r="95" spans="1:17" customFormat="1">
      <c r="A95" s="112" t="s">
        <v>325</v>
      </c>
      <c r="B95" s="134">
        <v>10.39</v>
      </c>
      <c r="C95" s="134">
        <v>19.149999999999999</v>
      </c>
      <c r="D95" s="134">
        <v>17.29</v>
      </c>
      <c r="E95" s="172" t="s">
        <v>8</v>
      </c>
      <c r="F95" s="134">
        <v>3.95</v>
      </c>
      <c r="G95" s="134">
        <v>23.66</v>
      </c>
      <c r="H95" s="134">
        <v>5.53</v>
      </c>
      <c r="I95" s="134">
        <v>4.17</v>
      </c>
      <c r="J95" s="134">
        <v>0.75</v>
      </c>
      <c r="K95" s="134">
        <v>256</v>
      </c>
      <c r="L95" s="134">
        <v>27.26</v>
      </c>
      <c r="M95" s="134">
        <v>88.59</v>
      </c>
      <c r="N95" s="134">
        <v>0</v>
      </c>
      <c r="O95" s="134">
        <v>0</v>
      </c>
      <c r="P95" s="134">
        <v>0.44</v>
      </c>
      <c r="Q95" s="134">
        <v>3.35</v>
      </c>
    </row>
    <row r="96" spans="1:17" customFormat="1">
      <c r="A96" s="112" t="s">
        <v>326</v>
      </c>
      <c r="B96" s="134">
        <v>10.26</v>
      </c>
      <c r="C96" s="134">
        <v>17.88</v>
      </c>
      <c r="D96" s="134">
        <v>16.52</v>
      </c>
      <c r="E96" s="172" t="s">
        <v>8</v>
      </c>
      <c r="F96" s="134">
        <v>5.05</v>
      </c>
      <c r="G96" s="134">
        <v>21.94</v>
      </c>
      <c r="H96" s="134">
        <v>6.71</v>
      </c>
      <c r="I96" s="134">
        <v>4.0199999999999996</v>
      </c>
      <c r="J96" s="134">
        <v>0.83</v>
      </c>
      <c r="K96" s="134">
        <v>253.19</v>
      </c>
      <c r="L96" s="134">
        <v>27.16</v>
      </c>
      <c r="M96" s="134">
        <v>88.81</v>
      </c>
      <c r="N96" s="134">
        <v>0</v>
      </c>
      <c r="O96" s="134">
        <v>0</v>
      </c>
      <c r="P96" s="134">
        <v>0.42</v>
      </c>
      <c r="Q96" s="134">
        <v>3.37</v>
      </c>
    </row>
    <row r="97" spans="1:22" customFormat="1">
      <c r="A97" s="112" t="s">
        <v>327</v>
      </c>
      <c r="B97" s="134">
        <v>10.15</v>
      </c>
      <c r="C97" s="134">
        <v>16.29</v>
      </c>
      <c r="D97" s="134">
        <v>15.61</v>
      </c>
      <c r="E97" s="172" t="s">
        <v>8</v>
      </c>
      <c r="F97" s="134">
        <v>5.47</v>
      </c>
      <c r="G97" s="134">
        <v>21.94</v>
      </c>
      <c r="H97" s="134">
        <v>6.71</v>
      </c>
      <c r="I97" s="134">
        <v>4.24</v>
      </c>
      <c r="J97" s="134">
        <v>1.02</v>
      </c>
      <c r="K97" s="134">
        <v>256.58</v>
      </c>
      <c r="L97" s="134">
        <v>27.01</v>
      </c>
      <c r="M97" s="134">
        <v>89.33</v>
      </c>
      <c r="N97" s="134">
        <v>0</v>
      </c>
      <c r="O97" s="134">
        <v>0</v>
      </c>
      <c r="P97" s="134">
        <v>0.4</v>
      </c>
      <c r="Q97" s="134">
        <v>3.32</v>
      </c>
    </row>
    <row r="98" spans="1:22" customFormat="1">
      <c r="A98" s="112" t="s">
        <v>328</v>
      </c>
      <c r="B98" s="134">
        <v>10.51</v>
      </c>
      <c r="C98" s="134">
        <v>19.04</v>
      </c>
      <c r="D98" s="134">
        <v>17.329999999999998</v>
      </c>
      <c r="E98" s="172" t="s">
        <v>8</v>
      </c>
      <c r="F98" s="134">
        <v>3.03</v>
      </c>
      <c r="G98" s="134">
        <v>21.94</v>
      </c>
      <c r="H98" s="134">
        <v>6.71</v>
      </c>
      <c r="I98" s="134">
        <v>3.96</v>
      </c>
      <c r="J98" s="134">
        <v>1.1499999999999999</v>
      </c>
      <c r="K98" s="134">
        <v>257.81</v>
      </c>
      <c r="L98" s="134">
        <v>26.93</v>
      </c>
      <c r="M98" s="134">
        <v>88.64</v>
      </c>
      <c r="N98" s="134">
        <v>0</v>
      </c>
      <c r="O98" s="134">
        <v>0</v>
      </c>
      <c r="P98" s="134">
        <v>0.43</v>
      </c>
      <c r="Q98" s="134">
        <v>3.32</v>
      </c>
    </row>
    <row r="99" spans="1:22" customFormat="1">
      <c r="A99" s="112" t="s">
        <v>329</v>
      </c>
      <c r="B99" s="134">
        <v>10.5</v>
      </c>
      <c r="C99" s="134">
        <v>17.760000000000002</v>
      </c>
      <c r="D99" s="134">
        <v>16.649999999999999</v>
      </c>
      <c r="E99" s="172" t="s">
        <v>8</v>
      </c>
      <c r="F99" s="134">
        <v>4.33</v>
      </c>
      <c r="G99" s="134">
        <v>21.68</v>
      </c>
      <c r="H99" s="134">
        <v>6.68</v>
      </c>
      <c r="I99" s="134">
        <v>3.93</v>
      </c>
      <c r="J99" s="134">
        <v>1.02</v>
      </c>
      <c r="K99" s="134">
        <v>258.54000000000002</v>
      </c>
      <c r="L99" s="134">
        <v>26.82</v>
      </c>
      <c r="M99" s="134">
        <v>88.67</v>
      </c>
      <c r="N99" s="134">
        <v>0</v>
      </c>
      <c r="O99" s="134">
        <v>0</v>
      </c>
      <c r="P99" s="134">
        <v>0.41</v>
      </c>
      <c r="Q99" s="134">
        <v>3.33</v>
      </c>
    </row>
    <row r="100" spans="1:22" customFormat="1">
      <c r="A100" s="112" t="s">
        <v>330</v>
      </c>
      <c r="B100" s="134">
        <v>10.37</v>
      </c>
      <c r="C100" s="134">
        <v>16.23</v>
      </c>
      <c r="D100" s="134">
        <v>15.75</v>
      </c>
      <c r="E100" s="172" t="s">
        <v>8</v>
      </c>
      <c r="F100" s="134">
        <v>5.08</v>
      </c>
      <c r="G100" s="134">
        <v>17.25</v>
      </c>
      <c r="H100" s="134">
        <v>6.31</v>
      </c>
      <c r="I100" s="134">
        <v>4.12</v>
      </c>
      <c r="J100" s="134">
        <v>0.94</v>
      </c>
      <c r="K100" s="134">
        <v>257.83</v>
      </c>
      <c r="L100" s="134">
        <v>26.62</v>
      </c>
      <c r="M100" s="134">
        <v>88.99</v>
      </c>
      <c r="N100" s="134">
        <v>0</v>
      </c>
      <c r="O100" s="134">
        <v>0</v>
      </c>
      <c r="P100" s="134">
        <v>0.38</v>
      </c>
      <c r="Q100" s="134">
        <v>3.28</v>
      </c>
    </row>
    <row r="101" spans="1:22" customFormat="1">
      <c r="A101" s="112" t="s">
        <v>331</v>
      </c>
      <c r="B101" s="134">
        <v>10.7</v>
      </c>
      <c r="C101" s="134">
        <v>18.98</v>
      </c>
      <c r="D101" s="134">
        <v>17.45</v>
      </c>
      <c r="E101" s="172" t="s">
        <v>8</v>
      </c>
      <c r="F101" s="134">
        <v>2.58</v>
      </c>
      <c r="G101" s="134">
        <v>17.25</v>
      </c>
      <c r="H101" s="134">
        <v>6.31</v>
      </c>
      <c r="I101" s="134">
        <v>3.86</v>
      </c>
      <c r="J101" s="134">
        <v>0.95</v>
      </c>
      <c r="K101" s="134">
        <v>258.83999999999997</v>
      </c>
      <c r="L101" s="134">
        <v>26.44</v>
      </c>
      <c r="M101" s="134">
        <v>89.22</v>
      </c>
      <c r="N101" s="134">
        <v>0</v>
      </c>
      <c r="O101" s="134">
        <v>0</v>
      </c>
      <c r="P101" s="134">
        <v>0.42</v>
      </c>
      <c r="Q101" s="134">
        <v>3.3</v>
      </c>
    </row>
    <row r="102" spans="1:22" customFormat="1">
      <c r="A102" s="112" t="s">
        <v>332</v>
      </c>
      <c r="B102" s="134">
        <v>10.4</v>
      </c>
      <c r="C102" s="134">
        <v>21.83</v>
      </c>
      <c r="D102" s="134">
        <v>18.7</v>
      </c>
      <c r="E102" s="172" t="s">
        <v>8</v>
      </c>
      <c r="F102" s="134">
        <v>1.94</v>
      </c>
      <c r="G102" s="134">
        <v>17.25</v>
      </c>
      <c r="H102" s="134">
        <v>6.31</v>
      </c>
      <c r="I102" s="134">
        <v>3.77</v>
      </c>
      <c r="J102" s="134">
        <v>1.1100000000000001</v>
      </c>
      <c r="K102" s="134">
        <v>254.82</v>
      </c>
      <c r="L102" s="134">
        <v>26.28</v>
      </c>
      <c r="M102" s="134">
        <v>89.64</v>
      </c>
      <c r="N102" s="134">
        <v>0</v>
      </c>
      <c r="O102" s="134">
        <v>0</v>
      </c>
      <c r="P102" s="134">
        <v>0.45</v>
      </c>
      <c r="Q102" s="134">
        <v>3.35</v>
      </c>
    </row>
    <row r="103" spans="1:22" customFormat="1">
      <c r="A103" s="112" t="s">
        <v>333</v>
      </c>
      <c r="B103" s="134">
        <v>10.119999999999999</v>
      </c>
      <c r="C103" s="134">
        <v>22.62</v>
      </c>
      <c r="D103" s="134">
        <v>18.89</v>
      </c>
      <c r="E103" s="172" t="s">
        <v>8</v>
      </c>
      <c r="F103" s="134">
        <v>2.4500000000000002</v>
      </c>
      <c r="G103" s="134">
        <v>17.28</v>
      </c>
      <c r="H103" s="134">
        <v>6.28</v>
      </c>
      <c r="I103" s="134">
        <v>4.0199999999999996</v>
      </c>
      <c r="J103" s="134">
        <v>1.27</v>
      </c>
      <c r="K103" s="134">
        <v>258.32</v>
      </c>
      <c r="L103" s="134">
        <v>26.23</v>
      </c>
      <c r="M103" s="134">
        <v>88.64</v>
      </c>
      <c r="N103" s="134">
        <v>0</v>
      </c>
      <c r="O103" s="134">
        <v>0</v>
      </c>
      <c r="P103" s="134">
        <v>0.47</v>
      </c>
      <c r="Q103" s="134">
        <v>3.44</v>
      </c>
    </row>
    <row r="104" spans="1:22" customFormat="1">
      <c r="A104" s="112" t="s">
        <v>334</v>
      </c>
      <c r="B104" s="134">
        <v>10.07</v>
      </c>
      <c r="C104" s="134">
        <v>18.66</v>
      </c>
      <c r="D104" s="134">
        <v>16.78</v>
      </c>
      <c r="E104" s="172" t="s">
        <v>8</v>
      </c>
      <c r="F104" s="134">
        <v>4.43</v>
      </c>
      <c r="G104" s="134">
        <v>17.75</v>
      </c>
      <c r="H104" s="134">
        <v>5.73</v>
      </c>
      <c r="I104" s="134">
        <v>4</v>
      </c>
      <c r="J104" s="134">
        <v>1.1399999999999999</v>
      </c>
      <c r="K104" s="134">
        <v>260.14999999999998</v>
      </c>
      <c r="L104" s="134">
        <v>26.27</v>
      </c>
      <c r="M104" s="134">
        <v>87.2</v>
      </c>
      <c r="N104" s="134">
        <v>0</v>
      </c>
      <c r="O104" s="134">
        <v>0</v>
      </c>
      <c r="P104" s="134">
        <v>0.4</v>
      </c>
      <c r="Q104" s="134">
        <v>3.41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15.72</v>
      </c>
      <c r="D106" s="183">
        <f t="shared" ref="D106:Q106" si="0">MIN(D9:D104)</f>
        <v>14.7</v>
      </c>
      <c r="E106" s="172" t="s">
        <v>8</v>
      </c>
      <c r="F106" s="183">
        <f t="shared" si="0"/>
        <v>1.49</v>
      </c>
      <c r="G106" s="183">
        <f t="shared" si="0"/>
        <v>14.2</v>
      </c>
      <c r="H106" s="183">
        <f t="shared" si="0"/>
        <v>2.15</v>
      </c>
      <c r="I106" s="183">
        <f t="shared" si="0"/>
        <v>3.77</v>
      </c>
      <c r="J106" s="183">
        <f t="shared" si="0"/>
        <v>0.42</v>
      </c>
      <c r="K106" s="183">
        <f t="shared" si="0"/>
        <v>251.06</v>
      </c>
      <c r="L106" s="183">
        <f t="shared" si="0"/>
        <v>25.53</v>
      </c>
      <c r="M106" s="183">
        <f t="shared" si="0"/>
        <v>81.73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3.28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21.33</v>
      </c>
      <c r="C107" s="184">
        <f t="shared" ref="C107:Q107" si="1">MAX(C9:C104)</f>
        <v>23.23</v>
      </c>
      <c r="D107" s="184">
        <f t="shared" si="1"/>
        <v>27.46</v>
      </c>
      <c r="E107" s="172" t="s">
        <v>8</v>
      </c>
      <c r="F107" s="184">
        <f t="shared" si="1"/>
        <v>8.39</v>
      </c>
      <c r="G107" s="184">
        <f t="shared" si="1"/>
        <v>33.56</v>
      </c>
      <c r="H107" s="184">
        <f t="shared" si="1"/>
        <v>9.34</v>
      </c>
      <c r="I107" s="184">
        <f t="shared" si="1"/>
        <v>5.8</v>
      </c>
      <c r="J107" s="184">
        <f t="shared" si="1"/>
        <v>1.27</v>
      </c>
      <c r="K107" s="184">
        <f t="shared" si="1"/>
        <v>283.66000000000003</v>
      </c>
      <c r="L107" s="184">
        <f t="shared" si="1"/>
        <v>29.05</v>
      </c>
      <c r="M107" s="184">
        <f t="shared" si="1"/>
        <v>98.09</v>
      </c>
      <c r="N107" s="184">
        <f t="shared" si="1"/>
        <v>241.3</v>
      </c>
      <c r="O107" s="184">
        <f t="shared" si="1"/>
        <v>0.8</v>
      </c>
      <c r="P107" s="184">
        <f t="shared" si="1"/>
        <v>0.56000000000000005</v>
      </c>
      <c r="Q107" s="184">
        <f t="shared" si="1"/>
        <v>4.22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14.720104166666671</v>
      </c>
      <c r="C108" s="183">
        <f t="shared" ref="C108:Q108" si="2">AVERAGE(C9:C104)</f>
        <v>19.036979166666665</v>
      </c>
      <c r="D108" s="183">
        <f t="shared" si="2"/>
        <v>20.705937500000001</v>
      </c>
      <c r="E108" s="172" t="s">
        <v>8</v>
      </c>
      <c r="F108" s="183">
        <f t="shared" si="2"/>
        <v>3.9351041666666657</v>
      </c>
      <c r="G108" s="183">
        <f t="shared" si="2"/>
        <v>24.144895833333333</v>
      </c>
      <c r="H108" s="183">
        <f t="shared" si="2"/>
        <v>6.0163541666666633</v>
      </c>
      <c r="I108" s="183">
        <f t="shared" si="2"/>
        <v>4.5641666666666678</v>
      </c>
      <c r="J108" s="183">
        <f t="shared" si="2"/>
        <v>0.77406249999999976</v>
      </c>
      <c r="K108" s="183">
        <f t="shared" si="2"/>
        <v>260.54156250000017</v>
      </c>
      <c r="L108" s="183">
        <f t="shared" si="2"/>
        <v>27.157500000000002</v>
      </c>
      <c r="M108" s="183">
        <f t="shared" si="2"/>
        <v>89.033750000000012</v>
      </c>
      <c r="N108" s="183">
        <f t="shared" si="2"/>
        <v>52.579166666666673</v>
      </c>
      <c r="O108" s="183">
        <f t="shared" si="2"/>
        <v>4.5833333333333337E-2</v>
      </c>
      <c r="P108" s="183">
        <f t="shared" si="2"/>
        <v>0.43489583333333343</v>
      </c>
      <c r="Q108" s="183">
        <f t="shared" si="2"/>
        <v>3.750833333333333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3.770302373687699</v>
      </c>
      <c r="C109" s="183">
        <f t="shared" ref="C109:Q109" si="3">STDEV(C9:C104)</f>
        <v>1.7624009459536494</v>
      </c>
      <c r="D109" s="183">
        <f t="shared" si="3"/>
        <v>3.626337452908738</v>
      </c>
      <c r="E109" s="172" t="s">
        <v>8</v>
      </c>
      <c r="F109" s="183">
        <f t="shared" si="3"/>
        <v>1.6541265749262355</v>
      </c>
      <c r="G109" s="183">
        <f t="shared" si="3"/>
        <v>6.2709012186685236</v>
      </c>
      <c r="H109" s="183">
        <f t="shared" si="3"/>
        <v>1.9115092520346493</v>
      </c>
      <c r="I109" s="183">
        <f t="shared" si="3"/>
        <v>0.38612696757375259</v>
      </c>
      <c r="J109" s="183">
        <f t="shared" si="3"/>
        <v>0.16442933612633592</v>
      </c>
      <c r="K109" s="183">
        <f t="shared" si="3"/>
        <v>7.7536123096645051</v>
      </c>
      <c r="L109" s="183">
        <f t="shared" si="3"/>
        <v>0.81078779104329546</v>
      </c>
      <c r="M109" s="183">
        <f t="shared" si="3"/>
        <v>4.2267001562122175</v>
      </c>
      <c r="N109" s="183">
        <f t="shared" si="3"/>
        <v>66.492334210583479</v>
      </c>
      <c r="O109" s="183">
        <f t="shared" si="3"/>
        <v>0.13758569897123579</v>
      </c>
      <c r="P109" s="183">
        <f t="shared" si="3"/>
        <v>5.2914922612507818E-2</v>
      </c>
      <c r="Q109" s="183">
        <f t="shared" si="3"/>
        <v>0.26278535033536349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E111" sqref="E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02/08/2023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335</v>
      </c>
      <c r="B9" s="134">
        <v>9.92</v>
      </c>
      <c r="C9" s="134">
        <v>16.489999999999998</v>
      </c>
      <c r="D9" s="134">
        <v>15.53</v>
      </c>
      <c r="E9" s="172" t="s">
        <v>8</v>
      </c>
      <c r="F9" s="134">
        <v>4.0199999999999996</v>
      </c>
      <c r="G9" s="134">
        <v>17.75</v>
      </c>
      <c r="H9" s="134">
        <v>5.73</v>
      </c>
      <c r="I9" s="134">
        <v>3.99</v>
      </c>
      <c r="J9" s="134">
        <v>1.32</v>
      </c>
      <c r="K9" s="134">
        <v>257.22000000000003</v>
      </c>
      <c r="L9" s="134">
        <v>26.3</v>
      </c>
      <c r="M9" s="134">
        <v>86.28</v>
      </c>
      <c r="N9" s="134">
        <v>0</v>
      </c>
      <c r="O9" s="134">
        <v>0</v>
      </c>
      <c r="P9" s="134">
        <v>0.37</v>
      </c>
      <c r="Q9" s="134">
        <v>3.3</v>
      </c>
    </row>
    <row r="10" spans="1:21" customFormat="1">
      <c r="A10" s="112" t="s">
        <v>336</v>
      </c>
      <c r="B10" s="134">
        <v>9.6300000000000008</v>
      </c>
      <c r="C10" s="134">
        <v>17.66</v>
      </c>
      <c r="D10" s="134">
        <v>15.9</v>
      </c>
      <c r="E10" s="172" t="s">
        <v>8</v>
      </c>
      <c r="F10" s="134">
        <v>3.68</v>
      </c>
      <c r="G10" s="134">
        <v>17.75</v>
      </c>
      <c r="H10" s="134">
        <v>5.73</v>
      </c>
      <c r="I10" s="134">
        <v>3.98</v>
      </c>
      <c r="J10" s="134">
        <v>1.2</v>
      </c>
      <c r="K10" s="134">
        <v>262.95</v>
      </c>
      <c r="L10" s="134">
        <v>26.33</v>
      </c>
      <c r="M10" s="134">
        <v>85.81</v>
      </c>
      <c r="N10" s="134">
        <v>0</v>
      </c>
      <c r="O10" s="134">
        <v>0.2</v>
      </c>
      <c r="P10" s="134">
        <v>0.37</v>
      </c>
      <c r="Q10" s="134">
        <v>3.26</v>
      </c>
    </row>
    <row r="11" spans="1:21" customFormat="1">
      <c r="A11" s="112" t="s">
        <v>337</v>
      </c>
      <c r="B11" s="134">
        <v>9.8800000000000008</v>
      </c>
      <c r="C11" s="134">
        <v>20.38</v>
      </c>
      <c r="D11" s="134">
        <v>17.53</v>
      </c>
      <c r="E11" s="172" t="s">
        <v>8</v>
      </c>
      <c r="F11" s="134">
        <v>2.19</v>
      </c>
      <c r="G11" s="134">
        <v>17.52</v>
      </c>
      <c r="H11" s="134">
        <v>5.72</v>
      </c>
      <c r="I11" s="134">
        <v>4.1100000000000003</v>
      </c>
      <c r="J11" s="134">
        <v>0.95</v>
      </c>
      <c r="K11" s="134">
        <v>264.94</v>
      </c>
      <c r="L11" s="134">
        <v>25.75</v>
      </c>
      <c r="M11" s="134">
        <v>89.95</v>
      </c>
      <c r="N11" s="134">
        <v>0</v>
      </c>
      <c r="O11" s="134">
        <v>0.8</v>
      </c>
      <c r="P11" s="134">
        <v>0.41</v>
      </c>
      <c r="Q11" s="134">
        <v>3.31</v>
      </c>
    </row>
    <row r="12" spans="1:21" customFormat="1">
      <c r="A12" s="112" t="s">
        <v>338</v>
      </c>
      <c r="B12" s="134">
        <v>10.17</v>
      </c>
      <c r="C12" s="134">
        <v>20.260000000000002</v>
      </c>
      <c r="D12" s="134">
        <v>17.690000000000001</v>
      </c>
      <c r="E12" s="172" t="s">
        <v>8</v>
      </c>
      <c r="F12" s="134">
        <v>2.61</v>
      </c>
      <c r="G12" s="134">
        <v>12.63</v>
      </c>
      <c r="H12" s="134">
        <v>5.57</v>
      </c>
      <c r="I12" s="134">
        <v>4.26</v>
      </c>
      <c r="J12" s="134">
        <v>0.99</v>
      </c>
      <c r="K12" s="134">
        <v>260.24</v>
      </c>
      <c r="L12" s="134">
        <v>25.15</v>
      </c>
      <c r="M12" s="134">
        <v>94.25</v>
      </c>
      <c r="N12" s="134">
        <v>0</v>
      </c>
      <c r="O12" s="134">
        <v>0.8</v>
      </c>
      <c r="P12" s="134">
        <v>0.41</v>
      </c>
      <c r="Q12" s="134">
        <v>3.37</v>
      </c>
    </row>
    <row r="13" spans="1:21" customFormat="1">
      <c r="A13" s="112" t="s">
        <v>339</v>
      </c>
      <c r="B13" s="134">
        <v>10.59</v>
      </c>
      <c r="C13" s="134">
        <v>18.61</v>
      </c>
      <c r="D13" s="134">
        <v>17.170000000000002</v>
      </c>
      <c r="E13" s="172" t="s">
        <v>8</v>
      </c>
      <c r="F13" s="134">
        <v>3.25</v>
      </c>
      <c r="G13" s="134">
        <v>12.63</v>
      </c>
      <c r="H13" s="134">
        <v>5.57</v>
      </c>
      <c r="I13" s="134">
        <v>4.42</v>
      </c>
      <c r="J13" s="134">
        <v>1.1000000000000001</v>
      </c>
      <c r="K13" s="134">
        <v>257.86</v>
      </c>
      <c r="L13" s="134">
        <v>25.05</v>
      </c>
      <c r="M13" s="134">
        <v>95.45</v>
      </c>
      <c r="N13" s="134">
        <v>0</v>
      </c>
      <c r="O13" s="134">
        <v>0.4</v>
      </c>
      <c r="P13" s="134">
        <v>0.38</v>
      </c>
      <c r="Q13" s="134">
        <v>3.33</v>
      </c>
    </row>
    <row r="14" spans="1:21" customFormat="1">
      <c r="A14" s="112" t="s">
        <v>340</v>
      </c>
      <c r="B14" s="134">
        <v>10.7</v>
      </c>
      <c r="C14" s="134">
        <v>20.36</v>
      </c>
      <c r="D14" s="134">
        <v>18.170000000000002</v>
      </c>
      <c r="E14" s="172" t="s">
        <v>8</v>
      </c>
      <c r="F14" s="134">
        <v>1.91</v>
      </c>
      <c r="G14" s="134">
        <v>12.63</v>
      </c>
      <c r="H14" s="134">
        <v>5.57</v>
      </c>
      <c r="I14" s="134">
        <v>4.43</v>
      </c>
      <c r="J14" s="134">
        <v>1.02</v>
      </c>
      <c r="K14" s="134">
        <v>255.85</v>
      </c>
      <c r="L14" s="134">
        <v>25.04</v>
      </c>
      <c r="M14" s="134">
        <v>95.89</v>
      </c>
      <c r="N14" s="134">
        <v>0</v>
      </c>
      <c r="O14" s="134">
        <v>0.2</v>
      </c>
      <c r="P14" s="134">
        <v>0.41</v>
      </c>
      <c r="Q14" s="134">
        <v>3.33</v>
      </c>
    </row>
    <row r="15" spans="1:21" customFormat="1">
      <c r="A15" s="112" t="s">
        <v>341</v>
      </c>
      <c r="B15" s="134">
        <v>10.87</v>
      </c>
      <c r="C15" s="134">
        <v>19.48</v>
      </c>
      <c r="D15" s="134">
        <v>17.850000000000001</v>
      </c>
      <c r="E15" s="172" t="s">
        <v>8</v>
      </c>
      <c r="F15" s="134">
        <v>2.76</v>
      </c>
      <c r="G15" s="134">
        <v>12.81</v>
      </c>
      <c r="H15" s="134">
        <v>5.57</v>
      </c>
      <c r="I15" s="134">
        <v>4.34</v>
      </c>
      <c r="J15" s="134">
        <v>0.72</v>
      </c>
      <c r="K15" s="134">
        <v>257.14</v>
      </c>
      <c r="L15" s="134">
        <v>25.07</v>
      </c>
      <c r="M15" s="134">
        <v>95.94</v>
      </c>
      <c r="N15" s="134">
        <v>0</v>
      </c>
      <c r="O15" s="134">
        <v>0</v>
      </c>
      <c r="P15" s="134">
        <v>0.39</v>
      </c>
      <c r="Q15" s="134">
        <v>3.38</v>
      </c>
    </row>
    <row r="16" spans="1:21" customFormat="1">
      <c r="A16" s="112" t="s">
        <v>342</v>
      </c>
      <c r="B16" s="134">
        <v>10.8</v>
      </c>
      <c r="C16" s="134">
        <v>17.62</v>
      </c>
      <c r="D16" s="134">
        <v>16.829999999999998</v>
      </c>
      <c r="E16" s="172" t="s">
        <v>8</v>
      </c>
      <c r="F16" s="134">
        <v>3.45</v>
      </c>
      <c r="G16" s="134">
        <v>16.52</v>
      </c>
      <c r="H16" s="134">
        <v>5.61</v>
      </c>
      <c r="I16" s="134">
        <v>4.38</v>
      </c>
      <c r="J16" s="134">
        <v>0.61</v>
      </c>
      <c r="K16" s="134">
        <v>254.33</v>
      </c>
      <c r="L16" s="134">
        <v>25.1</v>
      </c>
      <c r="M16" s="134">
        <v>95.51</v>
      </c>
      <c r="N16" s="134">
        <v>0</v>
      </c>
      <c r="O16" s="134">
        <v>0</v>
      </c>
      <c r="P16" s="134">
        <v>0.37</v>
      </c>
      <c r="Q16" s="134">
        <v>3.33</v>
      </c>
    </row>
    <row r="17" spans="1:17" customFormat="1">
      <c r="A17" s="112" t="s">
        <v>343</v>
      </c>
      <c r="B17" s="134">
        <v>11.25</v>
      </c>
      <c r="C17" s="134">
        <v>20.190000000000001</v>
      </c>
      <c r="D17" s="134">
        <v>18.53</v>
      </c>
      <c r="E17" s="172" t="s">
        <v>8</v>
      </c>
      <c r="F17" s="134">
        <v>1.86</v>
      </c>
      <c r="G17" s="134">
        <v>16.52</v>
      </c>
      <c r="H17" s="134">
        <v>5.61</v>
      </c>
      <c r="I17" s="134">
        <v>4.24</v>
      </c>
      <c r="J17" s="134">
        <v>0.57999999999999996</v>
      </c>
      <c r="K17" s="134">
        <v>253.45</v>
      </c>
      <c r="L17" s="134">
        <v>25.1</v>
      </c>
      <c r="M17" s="134">
        <v>95.59</v>
      </c>
      <c r="N17" s="134">
        <v>0</v>
      </c>
      <c r="O17" s="134">
        <v>0</v>
      </c>
      <c r="P17" s="134">
        <v>0.42</v>
      </c>
      <c r="Q17" s="134">
        <v>3.4</v>
      </c>
    </row>
    <row r="18" spans="1:17" customFormat="1">
      <c r="A18" s="112" t="s">
        <v>344</v>
      </c>
      <c r="B18" s="134">
        <v>11.66</v>
      </c>
      <c r="C18" s="134">
        <v>19.48</v>
      </c>
      <c r="D18" s="134">
        <v>18.48</v>
      </c>
      <c r="E18" s="172" t="s">
        <v>8</v>
      </c>
      <c r="F18" s="134">
        <v>2.37</v>
      </c>
      <c r="G18" s="134">
        <v>16.52</v>
      </c>
      <c r="H18" s="134">
        <v>5.61</v>
      </c>
      <c r="I18" s="134">
        <v>4.1399999999999997</v>
      </c>
      <c r="J18" s="134">
        <v>0.64</v>
      </c>
      <c r="K18" s="134">
        <v>258.64</v>
      </c>
      <c r="L18" s="134">
        <v>25.15</v>
      </c>
      <c r="M18" s="134">
        <v>95.29</v>
      </c>
      <c r="N18" s="134">
        <v>0</v>
      </c>
      <c r="O18" s="134">
        <v>0</v>
      </c>
      <c r="P18" s="134">
        <v>0.45</v>
      </c>
      <c r="Q18" s="134">
        <v>3.43</v>
      </c>
    </row>
    <row r="19" spans="1:17" customFormat="1">
      <c r="A19" s="112" t="s">
        <v>345</v>
      </c>
      <c r="B19" s="134">
        <v>11.61</v>
      </c>
      <c r="C19" s="134">
        <v>18.29</v>
      </c>
      <c r="D19" s="134">
        <v>17.829999999999998</v>
      </c>
      <c r="E19" s="172" t="s">
        <v>8</v>
      </c>
      <c r="F19" s="134">
        <v>2.89</v>
      </c>
      <c r="G19" s="134">
        <v>16.47</v>
      </c>
      <c r="H19" s="134">
        <v>5.55</v>
      </c>
      <c r="I19" s="134">
        <v>4.5599999999999996</v>
      </c>
      <c r="J19" s="134">
        <v>0.69</v>
      </c>
      <c r="K19" s="134">
        <v>260.64999999999998</v>
      </c>
      <c r="L19" s="134">
        <v>25.16</v>
      </c>
      <c r="M19" s="134">
        <v>94.42</v>
      </c>
      <c r="N19" s="134">
        <v>0</v>
      </c>
      <c r="O19" s="134">
        <v>0</v>
      </c>
      <c r="P19" s="134">
        <v>0.46</v>
      </c>
      <c r="Q19" s="134">
        <v>3.38</v>
      </c>
    </row>
    <row r="20" spans="1:17" customFormat="1">
      <c r="A20" s="112" t="s">
        <v>346</v>
      </c>
      <c r="B20" s="134">
        <v>12.02</v>
      </c>
      <c r="C20" s="134">
        <v>20.46</v>
      </c>
      <c r="D20" s="134">
        <v>19.28</v>
      </c>
      <c r="E20" s="172" t="s">
        <v>8</v>
      </c>
      <c r="F20" s="134">
        <v>1.85</v>
      </c>
      <c r="G20" s="134">
        <v>15.5</v>
      </c>
      <c r="H20" s="134">
        <v>4.26</v>
      </c>
      <c r="I20" s="134">
        <v>5.17</v>
      </c>
      <c r="J20" s="134">
        <v>1.04</v>
      </c>
      <c r="K20" s="134">
        <v>260.48</v>
      </c>
      <c r="L20" s="134">
        <v>25.21</v>
      </c>
      <c r="M20" s="134">
        <v>93.78</v>
      </c>
      <c r="N20" s="134">
        <v>0</v>
      </c>
      <c r="O20" s="134">
        <v>0.2</v>
      </c>
      <c r="P20" s="134">
        <v>0.49</v>
      </c>
      <c r="Q20" s="134">
        <v>3.43</v>
      </c>
    </row>
    <row r="21" spans="1:17" customFormat="1">
      <c r="A21" s="112" t="s">
        <v>347</v>
      </c>
      <c r="B21" s="134">
        <v>12.38</v>
      </c>
      <c r="C21" s="134">
        <v>20.03</v>
      </c>
      <c r="D21" s="134">
        <v>19.350000000000001</v>
      </c>
      <c r="E21" s="172" t="s">
        <v>8</v>
      </c>
      <c r="F21" s="134">
        <v>2.41</v>
      </c>
      <c r="G21" s="134">
        <v>15.5</v>
      </c>
      <c r="H21" s="134">
        <v>4.26</v>
      </c>
      <c r="I21" s="134">
        <v>5.71</v>
      </c>
      <c r="J21" s="134">
        <v>0.85</v>
      </c>
      <c r="K21" s="134">
        <v>259.02</v>
      </c>
      <c r="L21" s="134">
        <v>25.05</v>
      </c>
      <c r="M21" s="134">
        <v>94.63</v>
      </c>
      <c r="N21" s="134">
        <v>0</v>
      </c>
      <c r="O21" s="134">
        <v>0.4</v>
      </c>
      <c r="P21" s="134">
        <v>0.5</v>
      </c>
      <c r="Q21" s="134">
        <v>3.48</v>
      </c>
    </row>
    <row r="22" spans="1:17" customFormat="1">
      <c r="A22" s="112" t="s">
        <v>348</v>
      </c>
      <c r="B22" s="134">
        <v>12.67</v>
      </c>
      <c r="C22" s="134">
        <v>18.37</v>
      </c>
      <c r="D22" s="134">
        <v>18.71</v>
      </c>
      <c r="E22" s="172" t="s">
        <v>8</v>
      </c>
      <c r="F22" s="134">
        <v>3.08</v>
      </c>
      <c r="G22" s="134">
        <v>15.5</v>
      </c>
      <c r="H22" s="134">
        <v>4.26</v>
      </c>
      <c r="I22" s="134">
        <v>5.76</v>
      </c>
      <c r="J22" s="134">
        <v>0.9</v>
      </c>
      <c r="K22" s="134">
        <v>264.67</v>
      </c>
      <c r="L22" s="134">
        <v>24.88</v>
      </c>
      <c r="M22" s="134">
        <v>95.73</v>
      </c>
      <c r="N22" s="134">
        <v>0</v>
      </c>
      <c r="O22" s="134">
        <v>0.6</v>
      </c>
      <c r="P22" s="134">
        <v>0.47</v>
      </c>
      <c r="Q22" s="134">
        <v>3.41</v>
      </c>
    </row>
    <row r="23" spans="1:17" customFormat="1">
      <c r="A23" s="112" t="s">
        <v>349</v>
      </c>
      <c r="B23" s="134">
        <v>12.9</v>
      </c>
      <c r="C23" s="134">
        <v>20.32</v>
      </c>
      <c r="D23" s="134">
        <v>19.91</v>
      </c>
      <c r="E23" s="172" t="s">
        <v>8</v>
      </c>
      <c r="F23" s="134">
        <v>1.65</v>
      </c>
      <c r="G23" s="134">
        <v>15.62</v>
      </c>
      <c r="H23" s="134">
        <v>4.34</v>
      </c>
      <c r="I23" s="134">
        <v>5.95</v>
      </c>
      <c r="J23" s="134">
        <v>1.04</v>
      </c>
      <c r="K23" s="134">
        <v>255.38</v>
      </c>
      <c r="L23" s="134">
        <v>24.92</v>
      </c>
      <c r="M23" s="134">
        <v>95.53</v>
      </c>
      <c r="N23" s="134">
        <v>0</v>
      </c>
      <c r="O23" s="134">
        <v>0.2</v>
      </c>
      <c r="P23" s="134">
        <v>0.5</v>
      </c>
      <c r="Q23" s="134">
        <v>3.45</v>
      </c>
    </row>
    <row r="24" spans="1:17" customFormat="1">
      <c r="A24" s="112" t="s">
        <v>350</v>
      </c>
      <c r="B24" s="134">
        <v>13.09</v>
      </c>
      <c r="C24" s="134">
        <v>19.97</v>
      </c>
      <c r="D24" s="134">
        <v>19.89</v>
      </c>
      <c r="E24" s="172" t="s">
        <v>8</v>
      </c>
      <c r="F24" s="134">
        <v>2.31</v>
      </c>
      <c r="G24" s="134">
        <v>18.260000000000002</v>
      </c>
      <c r="H24" s="134">
        <v>5.61</v>
      </c>
      <c r="I24" s="134">
        <v>5.84</v>
      </c>
      <c r="J24" s="134">
        <v>0.83</v>
      </c>
      <c r="K24" s="134">
        <v>262.82</v>
      </c>
      <c r="L24" s="134">
        <v>24.91</v>
      </c>
      <c r="M24" s="134">
        <v>95.76</v>
      </c>
      <c r="N24" s="134">
        <v>0</v>
      </c>
      <c r="O24" s="134">
        <v>1</v>
      </c>
      <c r="P24" s="134">
        <v>0.48</v>
      </c>
      <c r="Q24" s="134">
        <v>3.49</v>
      </c>
    </row>
    <row r="25" spans="1:17" customFormat="1">
      <c r="A25" s="112" t="s">
        <v>351</v>
      </c>
      <c r="B25" s="134">
        <v>13.18</v>
      </c>
      <c r="C25" s="134">
        <v>18.37</v>
      </c>
      <c r="D25" s="134">
        <v>19.12</v>
      </c>
      <c r="E25" s="172" t="s">
        <v>8</v>
      </c>
      <c r="F25" s="134">
        <v>3.14</v>
      </c>
      <c r="G25" s="134">
        <v>18.260000000000002</v>
      </c>
      <c r="H25" s="134">
        <v>5.61</v>
      </c>
      <c r="I25" s="134">
        <v>5.85</v>
      </c>
      <c r="J25" s="134">
        <v>1</v>
      </c>
      <c r="K25" s="134">
        <v>256.88</v>
      </c>
      <c r="L25" s="134">
        <v>24.85</v>
      </c>
      <c r="M25" s="134">
        <v>96.51</v>
      </c>
      <c r="N25" s="134">
        <v>0</v>
      </c>
      <c r="O25" s="134">
        <v>0.4</v>
      </c>
      <c r="P25" s="134">
        <v>0.46</v>
      </c>
      <c r="Q25" s="134">
        <v>3.45</v>
      </c>
    </row>
    <row r="26" spans="1:17" customFormat="1">
      <c r="A26" s="112" t="s">
        <v>352</v>
      </c>
      <c r="B26" s="134">
        <v>13.22</v>
      </c>
      <c r="C26" s="134">
        <v>20</v>
      </c>
      <c r="D26" s="134">
        <v>20.010000000000002</v>
      </c>
      <c r="E26" s="172" t="s">
        <v>8</v>
      </c>
      <c r="F26" s="134">
        <v>2.21</v>
      </c>
      <c r="G26" s="134">
        <v>18.260000000000002</v>
      </c>
      <c r="H26" s="134">
        <v>5.61</v>
      </c>
      <c r="I26" s="134">
        <v>5.66</v>
      </c>
      <c r="J26" s="134">
        <v>1.1200000000000001</v>
      </c>
      <c r="K26" s="134">
        <v>261.19</v>
      </c>
      <c r="L26" s="134">
        <v>24.83</v>
      </c>
      <c r="M26" s="134">
        <v>97.11</v>
      </c>
      <c r="N26" s="134">
        <v>0</v>
      </c>
      <c r="O26" s="134">
        <v>0.4</v>
      </c>
      <c r="P26" s="134">
        <v>0.47</v>
      </c>
      <c r="Q26" s="134">
        <v>3.45</v>
      </c>
    </row>
    <row r="27" spans="1:17" customFormat="1">
      <c r="A27" s="112" t="s">
        <v>353</v>
      </c>
      <c r="B27" s="134">
        <v>12.87</v>
      </c>
      <c r="C27" s="134">
        <v>21.98</v>
      </c>
      <c r="D27" s="134">
        <v>20.76</v>
      </c>
      <c r="E27" s="172" t="s">
        <v>8</v>
      </c>
      <c r="F27" s="134">
        <v>1.98</v>
      </c>
      <c r="G27" s="134">
        <v>18.059999999999999</v>
      </c>
      <c r="H27" s="134">
        <v>5.55</v>
      </c>
      <c r="I27" s="134">
        <v>5.54</v>
      </c>
      <c r="J27" s="134">
        <v>1.1000000000000001</v>
      </c>
      <c r="K27" s="134">
        <v>260.13</v>
      </c>
      <c r="L27" s="134">
        <v>24.92</v>
      </c>
      <c r="M27" s="134">
        <v>97.44</v>
      </c>
      <c r="N27" s="134">
        <v>0</v>
      </c>
      <c r="O27" s="134">
        <v>0.4</v>
      </c>
      <c r="P27" s="134">
        <v>0.51</v>
      </c>
      <c r="Q27" s="134">
        <v>3.48</v>
      </c>
    </row>
    <row r="28" spans="1:17" customFormat="1">
      <c r="A28" s="112" t="s">
        <v>354</v>
      </c>
      <c r="B28" s="134">
        <v>12.75</v>
      </c>
      <c r="C28" s="134">
        <v>22.45</v>
      </c>
      <c r="D28" s="134">
        <v>20.91</v>
      </c>
      <c r="E28" s="172" t="s">
        <v>8</v>
      </c>
      <c r="F28" s="134">
        <v>2.33</v>
      </c>
      <c r="G28" s="134">
        <v>13.78</v>
      </c>
      <c r="H28" s="134">
        <v>4.1399999999999997</v>
      </c>
      <c r="I28" s="134">
        <v>5.56</v>
      </c>
      <c r="J28" s="134">
        <v>0.97</v>
      </c>
      <c r="K28" s="134">
        <v>259.75</v>
      </c>
      <c r="L28" s="134">
        <v>24.98</v>
      </c>
      <c r="M28" s="134">
        <v>97.4</v>
      </c>
      <c r="N28" s="134">
        <v>0</v>
      </c>
      <c r="O28" s="134">
        <v>0.4</v>
      </c>
      <c r="P28" s="134">
        <v>0.5</v>
      </c>
      <c r="Q28" s="134">
        <v>3.56</v>
      </c>
    </row>
    <row r="29" spans="1:17" customFormat="1">
      <c r="A29" s="112" t="s">
        <v>355</v>
      </c>
      <c r="B29" s="134">
        <v>13.13</v>
      </c>
      <c r="C29" s="134">
        <v>19.559999999999999</v>
      </c>
      <c r="D29" s="134">
        <v>19.7</v>
      </c>
      <c r="E29" s="172" t="s">
        <v>8</v>
      </c>
      <c r="F29" s="134">
        <v>3.24</v>
      </c>
      <c r="G29" s="134">
        <v>13.78</v>
      </c>
      <c r="H29" s="134">
        <v>4.1399999999999997</v>
      </c>
      <c r="I29" s="134">
        <v>5.4</v>
      </c>
      <c r="J29" s="134">
        <v>0.82</v>
      </c>
      <c r="K29" s="134">
        <v>271.07</v>
      </c>
      <c r="L29" s="134">
        <v>25.02</v>
      </c>
      <c r="M29" s="134">
        <v>97.11</v>
      </c>
      <c r="N29" s="134">
        <v>0</v>
      </c>
      <c r="O29" s="134">
        <v>0.4</v>
      </c>
      <c r="P29" s="134">
        <v>0.46</v>
      </c>
      <c r="Q29" s="134">
        <v>3.47</v>
      </c>
    </row>
    <row r="30" spans="1:17" customFormat="1">
      <c r="A30" s="112" t="s">
        <v>356</v>
      </c>
      <c r="B30" s="134">
        <v>13.21</v>
      </c>
      <c r="C30" s="134">
        <v>18.77</v>
      </c>
      <c r="D30" s="134">
        <v>19.36</v>
      </c>
      <c r="E30" s="172" t="s">
        <v>8</v>
      </c>
      <c r="F30" s="134">
        <v>3.02</v>
      </c>
      <c r="G30" s="134">
        <v>13.78</v>
      </c>
      <c r="H30" s="134">
        <v>4.1399999999999997</v>
      </c>
      <c r="I30" s="134">
        <v>5.26</v>
      </c>
      <c r="J30" s="134">
        <v>0.85</v>
      </c>
      <c r="K30" s="134">
        <v>256.72000000000003</v>
      </c>
      <c r="L30" s="134">
        <v>25.02</v>
      </c>
      <c r="M30" s="134">
        <v>97.01</v>
      </c>
      <c r="N30" s="134">
        <v>0</v>
      </c>
      <c r="O30" s="134">
        <v>0.2</v>
      </c>
      <c r="P30" s="134">
        <v>0.49</v>
      </c>
      <c r="Q30" s="134">
        <v>3.43</v>
      </c>
    </row>
    <row r="31" spans="1:17" customFormat="1">
      <c r="A31" s="112" t="s">
        <v>357</v>
      </c>
      <c r="B31" s="134">
        <v>13.34</v>
      </c>
      <c r="C31" s="134">
        <v>19.87</v>
      </c>
      <c r="D31" s="134">
        <v>20.03</v>
      </c>
      <c r="E31" s="172" t="s">
        <v>8</v>
      </c>
      <c r="F31" s="134">
        <v>2.36</v>
      </c>
      <c r="G31" s="134">
        <v>13.96</v>
      </c>
      <c r="H31" s="134">
        <v>4.16</v>
      </c>
      <c r="I31" s="134">
        <v>5.18</v>
      </c>
      <c r="J31" s="134">
        <v>0.95</v>
      </c>
      <c r="K31" s="134">
        <v>258.8</v>
      </c>
      <c r="L31" s="134">
        <v>25.03</v>
      </c>
      <c r="M31" s="134">
        <v>97.19</v>
      </c>
      <c r="N31" s="134">
        <v>0</v>
      </c>
      <c r="O31" s="134">
        <v>0.6</v>
      </c>
      <c r="P31" s="134">
        <v>0.5</v>
      </c>
      <c r="Q31" s="134">
        <v>3.44</v>
      </c>
    </row>
    <row r="32" spans="1:17" customFormat="1">
      <c r="A32" s="112" t="s">
        <v>358</v>
      </c>
      <c r="B32" s="134">
        <v>13.69</v>
      </c>
      <c r="C32" s="134">
        <v>21.96</v>
      </c>
      <c r="D32" s="134">
        <v>21.41</v>
      </c>
      <c r="E32" s="172" t="s">
        <v>8</v>
      </c>
      <c r="F32" s="134">
        <v>1.64</v>
      </c>
      <c r="G32" s="134">
        <v>17.87</v>
      </c>
      <c r="H32" s="134">
        <v>4.75</v>
      </c>
      <c r="I32" s="134">
        <v>5.36</v>
      </c>
      <c r="J32" s="134">
        <v>0.62</v>
      </c>
      <c r="K32" s="134">
        <v>259.25</v>
      </c>
      <c r="L32" s="134">
        <v>25.03</v>
      </c>
      <c r="M32" s="134">
        <v>97.25</v>
      </c>
      <c r="N32" s="134">
        <v>0</v>
      </c>
      <c r="O32" s="134">
        <v>1.2</v>
      </c>
      <c r="P32" s="134">
        <v>0.56000000000000005</v>
      </c>
      <c r="Q32" s="134">
        <v>3.55</v>
      </c>
    </row>
    <row r="33" spans="1:17" customFormat="1">
      <c r="A33" s="112" t="s">
        <v>359</v>
      </c>
      <c r="B33" s="134">
        <v>14.16</v>
      </c>
      <c r="C33" s="134">
        <v>20.350000000000001</v>
      </c>
      <c r="D33" s="134">
        <v>20.94</v>
      </c>
      <c r="E33" s="172" t="s">
        <v>8</v>
      </c>
      <c r="F33" s="134">
        <v>2.5499999999999998</v>
      </c>
      <c r="G33" s="134">
        <v>17.87</v>
      </c>
      <c r="H33" s="134">
        <v>4.75</v>
      </c>
      <c r="I33" s="134">
        <v>5.71</v>
      </c>
      <c r="J33" s="134">
        <v>0.59</v>
      </c>
      <c r="K33" s="134">
        <v>255.12</v>
      </c>
      <c r="L33" s="134">
        <v>25.02</v>
      </c>
      <c r="M33" s="134">
        <v>97.26</v>
      </c>
      <c r="N33" s="134">
        <v>0</v>
      </c>
      <c r="O33" s="134">
        <v>0.8</v>
      </c>
      <c r="P33" s="134">
        <v>0.55000000000000004</v>
      </c>
      <c r="Q33" s="134">
        <v>3.53</v>
      </c>
    </row>
    <row r="34" spans="1:17" customFormat="1">
      <c r="A34" s="112" t="s">
        <v>360</v>
      </c>
      <c r="B34" s="134">
        <v>14.53</v>
      </c>
      <c r="C34" s="134">
        <v>21.87</v>
      </c>
      <c r="D34" s="134">
        <v>22.03</v>
      </c>
      <c r="E34" s="172" t="s">
        <v>8</v>
      </c>
      <c r="F34" s="134">
        <v>1.71</v>
      </c>
      <c r="G34" s="134">
        <v>17.87</v>
      </c>
      <c r="H34" s="134">
        <v>4.75</v>
      </c>
      <c r="I34" s="134">
        <v>5.87</v>
      </c>
      <c r="J34" s="134">
        <v>0.56000000000000005</v>
      </c>
      <c r="K34" s="134">
        <v>258.63</v>
      </c>
      <c r="L34" s="134">
        <v>25.02</v>
      </c>
      <c r="M34" s="134">
        <v>97.51</v>
      </c>
      <c r="N34" s="134">
        <v>0</v>
      </c>
      <c r="O34" s="134">
        <v>1.2</v>
      </c>
      <c r="P34" s="134">
        <v>0.57999999999999996</v>
      </c>
      <c r="Q34" s="134">
        <v>3.54</v>
      </c>
    </row>
    <row r="35" spans="1:17" customFormat="1">
      <c r="A35" s="112" t="s">
        <v>361</v>
      </c>
      <c r="B35" s="134">
        <v>14.97</v>
      </c>
      <c r="C35" s="134">
        <v>21.16</v>
      </c>
      <c r="D35" s="134">
        <v>22.01</v>
      </c>
      <c r="E35" s="172" t="s">
        <v>8</v>
      </c>
      <c r="F35" s="134">
        <v>2.16</v>
      </c>
      <c r="G35" s="134">
        <v>17.77</v>
      </c>
      <c r="H35" s="134">
        <v>4.71</v>
      </c>
      <c r="I35" s="134">
        <v>5.86</v>
      </c>
      <c r="J35" s="134">
        <v>0.57999999999999996</v>
      </c>
      <c r="K35" s="134">
        <v>259.04000000000002</v>
      </c>
      <c r="L35" s="134">
        <v>25</v>
      </c>
      <c r="M35" s="134">
        <v>97.73</v>
      </c>
      <c r="N35" s="134">
        <v>2.2999999999999998</v>
      </c>
      <c r="O35" s="134">
        <v>1.2</v>
      </c>
      <c r="P35" s="134">
        <v>0.57999999999999996</v>
      </c>
      <c r="Q35" s="134">
        <v>3.59</v>
      </c>
    </row>
    <row r="36" spans="1:17" customFormat="1">
      <c r="A36" s="112" t="s">
        <v>362</v>
      </c>
      <c r="B36" s="134">
        <v>15.35</v>
      </c>
      <c r="C36" s="134">
        <v>20.37</v>
      </c>
      <c r="D36" s="134">
        <v>21.91</v>
      </c>
      <c r="E36" s="172" t="s">
        <v>8</v>
      </c>
      <c r="F36" s="134">
        <v>2.39</v>
      </c>
      <c r="G36" s="134">
        <v>15.46</v>
      </c>
      <c r="H36" s="134">
        <v>4.1900000000000004</v>
      </c>
      <c r="I36" s="134">
        <v>5.95</v>
      </c>
      <c r="J36" s="134">
        <v>0.59</v>
      </c>
      <c r="K36" s="134">
        <v>284.66000000000003</v>
      </c>
      <c r="L36" s="134">
        <v>24.99</v>
      </c>
      <c r="M36" s="134">
        <v>97.93</v>
      </c>
      <c r="N36" s="134">
        <v>2.5</v>
      </c>
      <c r="O36" s="134">
        <v>1.2</v>
      </c>
      <c r="P36" s="134">
        <v>0.56999999999999995</v>
      </c>
      <c r="Q36" s="134">
        <v>3.56</v>
      </c>
    </row>
    <row r="37" spans="1:17" customFormat="1">
      <c r="A37" s="112" t="s">
        <v>363</v>
      </c>
      <c r="B37" s="134">
        <v>15.99</v>
      </c>
      <c r="C37" s="134">
        <v>22.24</v>
      </c>
      <c r="D37" s="134">
        <v>23.4</v>
      </c>
      <c r="E37" s="172" t="s">
        <v>8</v>
      </c>
      <c r="F37" s="134">
        <v>1.61</v>
      </c>
      <c r="G37" s="134">
        <v>15.46</v>
      </c>
      <c r="H37" s="134">
        <v>4.1900000000000004</v>
      </c>
      <c r="I37" s="134">
        <v>5.9</v>
      </c>
      <c r="J37" s="134">
        <v>0.75</v>
      </c>
      <c r="K37" s="134">
        <v>270.77</v>
      </c>
      <c r="L37" s="134">
        <v>25.02</v>
      </c>
      <c r="M37" s="134">
        <v>97.81</v>
      </c>
      <c r="N37" s="134">
        <v>12.3</v>
      </c>
      <c r="O37" s="134">
        <v>0.4</v>
      </c>
      <c r="P37" s="134">
        <v>0.59</v>
      </c>
      <c r="Q37" s="134">
        <v>3.65</v>
      </c>
    </row>
    <row r="38" spans="1:17" customFormat="1">
      <c r="A38" s="112" t="s">
        <v>364</v>
      </c>
      <c r="B38" s="134">
        <v>16.739999999999998</v>
      </c>
      <c r="C38" s="134">
        <v>20.5</v>
      </c>
      <c r="D38" s="134">
        <v>23.09</v>
      </c>
      <c r="E38" s="172" t="s">
        <v>8</v>
      </c>
      <c r="F38" s="134">
        <v>2.75</v>
      </c>
      <c r="G38" s="134">
        <v>15.46</v>
      </c>
      <c r="H38" s="134">
        <v>4.1900000000000004</v>
      </c>
      <c r="I38" s="134">
        <v>5.89</v>
      </c>
      <c r="J38" s="134">
        <v>0.8</v>
      </c>
      <c r="K38" s="134">
        <v>278.47000000000003</v>
      </c>
      <c r="L38" s="134">
        <v>25</v>
      </c>
      <c r="M38" s="134">
        <v>97.74</v>
      </c>
      <c r="N38" s="134">
        <v>16.600000000000001</v>
      </c>
      <c r="O38" s="134">
        <v>1</v>
      </c>
      <c r="P38" s="134">
        <v>0.55000000000000004</v>
      </c>
      <c r="Q38" s="134">
        <v>3.68</v>
      </c>
    </row>
    <row r="39" spans="1:17" customFormat="1">
      <c r="A39" s="112" t="s">
        <v>365</v>
      </c>
      <c r="B39" s="134">
        <v>17.2</v>
      </c>
      <c r="C39" s="134">
        <v>19.64</v>
      </c>
      <c r="D39" s="134">
        <v>23.01</v>
      </c>
      <c r="E39" s="172" t="s">
        <v>8</v>
      </c>
      <c r="F39" s="134">
        <v>2.9</v>
      </c>
      <c r="G39" s="134">
        <v>15.56</v>
      </c>
      <c r="H39" s="134">
        <v>4.3</v>
      </c>
      <c r="I39" s="134">
        <v>5.96</v>
      </c>
      <c r="J39" s="134">
        <v>0.76</v>
      </c>
      <c r="K39" s="134">
        <v>275.79000000000002</v>
      </c>
      <c r="L39" s="134">
        <v>25</v>
      </c>
      <c r="M39" s="134">
        <v>97.66</v>
      </c>
      <c r="N39" s="134">
        <v>23.6</v>
      </c>
      <c r="O39" s="134">
        <v>0.4</v>
      </c>
      <c r="P39" s="134">
        <v>0.54</v>
      </c>
      <c r="Q39" s="134">
        <v>3.63</v>
      </c>
    </row>
    <row r="40" spans="1:17" customFormat="1">
      <c r="A40" s="112" t="s">
        <v>366</v>
      </c>
      <c r="B40" s="134">
        <v>17.54</v>
      </c>
      <c r="C40" s="134">
        <v>22.11</v>
      </c>
      <c r="D40" s="134">
        <v>24.57</v>
      </c>
      <c r="E40" s="172" t="s">
        <v>8</v>
      </c>
      <c r="F40" s="134">
        <v>1.63</v>
      </c>
      <c r="G40" s="134">
        <v>17.7</v>
      </c>
      <c r="H40" s="134">
        <v>6.29</v>
      </c>
      <c r="I40" s="134">
        <v>5.78</v>
      </c>
      <c r="J40" s="134">
        <v>0.82</v>
      </c>
      <c r="K40" s="134">
        <v>281.56</v>
      </c>
      <c r="L40" s="134">
        <v>25.06</v>
      </c>
      <c r="M40" s="134">
        <v>97.59</v>
      </c>
      <c r="N40" s="134">
        <v>24.2</v>
      </c>
      <c r="O40" s="134">
        <v>0</v>
      </c>
      <c r="P40" s="134">
        <v>0.56000000000000005</v>
      </c>
      <c r="Q40" s="134">
        <v>3.72</v>
      </c>
    </row>
    <row r="41" spans="1:17" customFormat="1">
      <c r="A41" s="112" t="s">
        <v>367</v>
      </c>
      <c r="B41" s="134">
        <v>18.09</v>
      </c>
      <c r="C41" s="134">
        <v>21.08</v>
      </c>
      <c r="D41" s="134">
        <v>24.47</v>
      </c>
      <c r="E41" s="172" t="s">
        <v>8</v>
      </c>
      <c r="F41" s="134">
        <v>2.36</v>
      </c>
      <c r="G41" s="134">
        <v>17.7</v>
      </c>
      <c r="H41" s="134">
        <v>6.29</v>
      </c>
      <c r="I41" s="134">
        <v>5.73</v>
      </c>
      <c r="J41" s="134">
        <v>1.01</v>
      </c>
      <c r="K41" s="134">
        <v>266.14999999999998</v>
      </c>
      <c r="L41" s="134">
        <v>25.11</v>
      </c>
      <c r="M41" s="134">
        <v>97.29</v>
      </c>
      <c r="N41" s="134">
        <v>31</v>
      </c>
      <c r="O41" s="134">
        <v>0.6</v>
      </c>
      <c r="P41" s="134">
        <v>0.54</v>
      </c>
      <c r="Q41" s="134">
        <v>3.74</v>
      </c>
    </row>
    <row r="42" spans="1:17" customFormat="1">
      <c r="A42" s="112" t="s">
        <v>368</v>
      </c>
      <c r="B42" s="134">
        <v>18.16</v>
      </c>
      <c r="C42" s="134">
        <v>19.82</v>
      </c>
      <c r="D42" s="134">
        <v>23.88</v>
      </c>
      <c r="E42" s="172" t="s">
        <v>8</v>
      </c>
      <c r="F42" s="134">
        <v>2.92</v>
      </c>
      <c r="G42" s="134">
        <v>17.7</v>
      </c>
      <c r="H42" s="134">
        <v>6.29</v>
      </c>
      <c r="I42" s="134">
        <v>5.81</v>
      </c>
      <c r="J42" s="134">
        <v>1.1100000000000001</v>
      </c>
      <c r="K42" s="134">
        <v>256.24</v>
      </c>
      <c r="L42" s="134">
        <v>25.22</v>
      </c>
      <c r="M42" s="134">
        <v>97.11</v>
      </c>
      <c r="N42" s="134">
        <v>43.9</v>
      </c>
      <c r="O42" s="134">
        <v>0.2</v>
      </c>
      <c r="P42" s="134">
        <v>0.52</v>
      </c>
      <c r="Q42" s="134">
        <v>3.69</v>
      </c>
    </row>
    <row r="43" spans="1:17" customFormat="1">
      <c r="A43" s="112" t="s">
        <v>369</v>
      </c>
      <c r="B43" s="134">
        <v>18.11</v>
      </c>
      <c r="C43" s="134">
        <v>21.77</v>
      </c>
      <c r="D43" s="134">
        <v>24.85</v>
      </c>
      <c r="E43" s="172" t="s">
        <v>8</v>
      </c>
      <c r="F43" s="134">
        <v>1.99</v>
      </c>
      <c r="G43" s="134">
        <v>17.63</v>
      </c>
      <c r="H43" s="134">
        <v>6.34</v>
      </c>
      <c r="I43" s="134">
        <v>5.58</v>
      </c>
      <c r="J43" s="134">
        <v>1.1599999999999999</v>
      </c>
      <c r="K43" s="134">
        <v>258.19</v>
      </c>
      <c r="L43" s="134">
        <v>25.31</v>
      </c>
      <c r="M43" s="134">
        <v>96.94</v>
      </c>
      <c r="N43" s="134">
        <v>41</v>
      </c>
      <c r="O43" s="134">
        <v>0.2</v>
      </c>
      <c r="P43" s="134">
        <v>0.55000000000000004</v>
      </c>
      <c r="Q43" s="134">
        <v>3.72</v>
      </c>
    </row>
    <row r="44" spans="1:17" customFormat="1">
      <c r="A44" s="112" t="s">
        <v>370</v>
      </c>
      <c r="B44" s="134">
        <v>18.04</v>
      </c>
      <c r="C44" s="134">
        <v>21.59</v>
      </c>
      <c r="D44" s="134">
        <v>24.7</v>
      </c>
      <c r="E44" s="172" t="s">
        <v>8</v>
      </c>
      <c r="F44" s="134">
        <v>2.39</v>
      </c>
      <c r="G44" s="134">
        <v>16.11</v>
      </c>
      <c r="H44" s="134">
        <v>7.3</v>
      </c>
      <c r="I44" s="134">
        <v>5.57</v>
      </c>
      <c r="J44" s="134">
        <v>0.94</v>
      </c>
      <c r="K44" s="134">
        <v>266.27</v>
      </c>
      <c r="L44" s="134">
        <v>25.36</v>
      </c>
      <c r="M44" s="134">
        <v>96.84</v>
      </c>
      <c r="N44" s="134">
        <v>42.9</v>
      </c>
      <c r="O44" s="134">
        <v>0.2</v>
      </c>
      <c r="P44" s="134">
        <v>0.53</v>
      </c>
      <c r="Q44" s="134">
        <v>3.8</v>
      </c>
    </row>
    <row r="45" spans="1:17" customFormat="1">
      <c r="A45" s="112" t="s">
        <v>371</v>
      </c>
      <c r="B45" s="134">
        <v>18.46</v>
      </c>
      <c r="C45" s="134">
        <v>19.97</v>
      </c>
      <c r="D45" s="134">
        <v>24.19</v>
      </c>
      <c r="E45" s="172" t="s">
        <v>8</v>
      </c>
      <c r="F45" s="134">
        <v>2.87</v>
      </c>
      <c r="G45" s="134">
        <v>16.11</v>
      </c>
      <c r="H45" s="134">
        <v>7.3</v>
      </c>
      <c r="I45" s="134">
        <v>5.79</v>
      </c>
      <c r="J45" s="134">
        <v>1.1499999999999999</v>
      </c>
      <c r="K45" s="134">
        <v>258.2</v>
      </c>
      <c r="L45" s="134">
        <v>25.3</v>
      </c>
      <c r="M45" s="134">
        <v>96.84</v>
      </c>
      <c r="N45" s="134">
        <v>50.6</v>
      </c>
      <c r="O45" s="134">
        <v>0.6</v>
      </c>
      <c r="P45" s="134">
        <v>0.51</v>
      </c>
      <c r="Q45" s="134">
        <v>3.72</v>
      </c>
    </row>
    <row r="46" spans="1:17" customFormat="1">
      <c r="A46" s="112" t="s">
        <v>372</v>
      </c>
      <c r="B46" s="134">
        <v>18.3</v>
      </c>
      <c r="C46" s="134">
        <v>21.66</v>
      </c>
      <c r="D46" s="134">
        <v>24.95</v>
      </c>
      <c r="E46" s="172" t="s">
        <v>8</v>
      </c>
      <c r="F46" s="134">
        <v>1.86</v>
      </c>
      <c r="G46" s="134">
        <v>16.11</v>
      </c>
      <c r="H46" s="134">
        <v>7.3</v>
      </c>
      <c r="I46" s="134">
        <v>5.77</v>
      </c>
      <c r="J46" s="134">
        <v>1.25</v>
      </c>
      <c r="K46" s="134">
        <v>255.91</v>
      </c>
      <c r="L46" s="134">
        <v>25.29</v>
      </c>
      <c r="M46" s="134">
        <v>96.68</v>
      </c>
      <c r="N46" s="134">
        <v>60.1</v>
      </c>
      <c r="O46" s="134">
        <v>0.2</v>
      </c>
      <c r="P46" s="134">
        <v>0.54</v>
      </c>
      <c r="Q46" s="134">
        <v>3.76</v>
      </c>
    </row>
    <row r="47" spans="1:17" customFormat="1">
      <c r="A47" s="112" t="s">
        <v>373</v>
      </c>
      <c r="B47" s="134">
        <v>18.420000000000002</v>
      </c>
      <c r="C47" s="134">
        <v>21.85</v>
      </c>
      <c r="D47" s="134">
        <v>25.15</v>
      </c>
      <c r="E47" s="172" t="s">
        <v>8</v>
      </c>
      <c r="F47" s="134">
        <v>2.3199999999999998</v>
      </c>
      <c r="G47" s="134">
        <v>16.07</v>
      </c>
      <c r="H47" s="134">
        <v>7.19</v>
      </c>
      <c r="I47" s="134">
        <v>5.72</v>
      </c>
      <c r="J47" s="134">
        <v>1.23</v>
      </c>
      <c r="K47" s="134">
        <v>258.67</v>
      </c>
      <c r="L47" s="134">
        <v>25.35</v>
      </c>
      <c r="M47" s="134">
        <v>96.42</v>
      </c>
      <c r="N47" s="134">
        <v>89.5</v>
      </c>
      <c r="O47" s="134">
        <v>0</v>
      </c>
      <c r="P47" s="134">
        <v>0.56000000000000005</v>
      </c>
      <c r="Q47" s="134">
        <v>3.73</v>
      </c>
    </row>
    <row r="48" spans="1:17" customFormat="1">
      <c r="A48" s="112" t="s">
        <v>374</v>
      </c>
      <c r="B48" s="134">
        <v>18.239999999999998</v>
      </c>
      <c r="C48" s="134">
        <v>23.23</v>
      </c>
      <c r="D48" s="134">
        <v>25.72</v>
      </c>
      <c r="E48" s="172" t="s">
        <v>8</v>
      </c>
      <c r="F48" s="134">
        <v>2.4</v>
      </c>
      <c r="G48" s="134">
        <v>15.1</v>
      </c>
      <c r="H48" s="134">
        <v>5.47</v>
      </c>
      <c r="I48" s="134">
        <v>5.79</v>
      </c>
      <c r="J48" s="134">
        <v>1.31</v>
      </c>
      <c r="K48" s="134">
        <v>263.75</v>
      </c>
      <c r="L48" s="134">
        <v>25.49</v>
      </c>
      <c r="M48" s="134">
        <v>95.77</v>
      </c>
      <c r="N48" s="134">
        <v>122.4</v>
      </c>
      <c r="O48" s="134">
        <v>0</v>
      </c>
      <c r="P48" s="134">
        <v>0.63</v>
      </c>
      <c r="Q48" s="134">
        <v>3.75</v>
      </c>
    </row>
    <row r="49" spans="1:17" customFormat="1">
      <c r="A49" s="112" t="s">
        <v>375</v>
      </c>
      <c r="B49" s="134">
        <v>18.5</v>
      </c>
      <c r="C49" s="134">
        <v>22.08</v>
      </c>
      <c r="D49" s="134">
        <v>25.33</v>
      </c>
      <c r="E49" s="172" t="s">
        <v>8</v>
      </c>
      <c r="F49" s="134">
        <v>2.86</v>
      </c>
      <c r="G49" s="134">
        <v>15.1</v>
      </c>
      <c r="H49" s="134">
        <v>5.47</v>
      </c>
      <c r="I49" s="134">
        <v>6</v>
      </c>
      <c r="J49" s="134">
        <v>1.38</v>
      </c>
      <c r="K49" s="134">
        <v>260.14</v>
      </c>
      <c r="L49" s="134">
        <v>25.54</v>
      </c>
      <c r="M49" s="134">
        <v>95.12</v>
      </c>
      <c r="N49" s="134">
        <v>158.30000000000001</v>
      </c>
      <c r="O49" s="134">
        <v>0.2</v>
      </c>
      <c r="P49" s="134">
        <v>0.63</v>
      </c>
      <c r="Q49" s="134">
        <v>3.8</v>
      </c>
    </row>
    <row r="50" spans="1:17" customFormat="1">
      <c r="A50" s="112" t="s">
        <v>376</v>
      </c>
      <c r="B50" s="134">
        <v>18.57</v>
      </c>
      <c r="C50" s="134">
        <v>20.04</v>
      </c>
      <c r="D50" s="134">
        <v>24.32</v>
      </c>
      <c r="E50" s="172" t="s">
        <v>8</v>
      </c>
      <c r="F50" s="134">
        <v>3.25</v>
      </c>
      <c r="G50" s="134">
        <v>15.1</v>
      </c>
      <c r="H50" s="134">
        <v>5.47</v>
      </c>
      <c r="I50" s="134">
        <v>6.47</v>
      </c>
      <c r="J50" s="134">
        <v>1.23</v>
      </c>
      <c r="K50" s="134">
        <v>261.68</v>
      </c>
      <c r="L50" s="134">
        <v>25.76</v>
      </c>
      <c r="M50" s="134">
        <v>94.58</v>
      </c>
      <c r="N50" s="134">
        <v>188.6</v>
      </c>
      <c r="O50" s="134">
        <v>0</v>
      </c>
      <c r="P50" s="134">
        <v>0.61</v>
      </c>
      <c r="Q50" s="134">
        <v>3.75</v>
      </c>
    </row>
    <row r="51" spans="1:17" customFormat="1">
      <c r="A51" s="112" t="s">
        <v>377</v>
      </c>
      <c r="B51" s="134">
        <v>18.32</v>
      </c>
      <c r="C51" s="134">
        <v>19.940000000000001</v>
      </c>
      <c r="D51" s="134">
        <v>24.06</v>
      </c>
      <c r="E51" s="172" t="s">
        <v>8</v>
      </c>
      <c r="F51" s="134">
        <v>2.85</v>
      </c>
      <c r="G51" s="134">
        <v>15.37</v>
      </c>
      <c r="H51" s="134">
        <v>5.61</v>
      </c>
      <c r="I51" s="134">
        <v>6.66</v>
      </c>
      <c r="J51" s="134">
        <v>1.1599999999999999</v>
      </c>
      <c r="K51" s="134">
        <v>264.99</v>
      </c>
      <c r="L51" s="134">
        <v>25.86</v>
      </c>
      <c r="M51" s="134">
        <v>93.68</v>
      </c>
      <c r="N51" s="134">
        <v>154.69999999999999</v>
      </c>
      <c r="O51" s="134">
        <v>0</v>
      </c>
      <c r="P51" s="134">
        <v>0.61</v>
      </c>
      <c r="Q51" s="134">
        <v>3.7</v>
      </c>
    </row>
    <row r="52" spans="1:17" customFormat="1">
      <c r="A52" s="112" t="s">
        <v>378</v>
      </c>
      <c r="B52" s="134">
        <v>18.52</v>
      </c>
      <c r="C52" s="134">
        <v>21.93</v>
      </c>
      <c r="D52" s="134">
        <v>25.27</v>
      </c>
      <c r="E52" s="172" t="s">
        <v>8</v>
      </c>
      <c r="F52" s="134">
        <v>2.04</v>
      </c>
      <c r="G52" s="134">
        <v>21.16</v>
      </c>
      <c r="H52" s="134">
        <v>7.74</v>
      </c>
      <c r="I52" s="134">
        <v>6.69</v>
      </c>
      <c r="J52" s="134">
        <v>1.04</v>
      </c>
      <c r="K52" s="134">
        <v>268</v>
      </c>
      <c r="L52" s="134">
        <v>25.88</v>
      </c>
      <c r="M52" s="134">
        <v>93.84</v>
      </c>
      <c r="N52" s="134">
        <v>162.1</v>
      </c>
      <c r="O52" s="134">
        <v>0</v>
      </c>
      <c r="P52" s="134">
        <v>0.64</v>
      </c>
      <c r="Q52" s="134">
        <v>3.75</v>
      </c>
    </row>
    <row r="53" spans="1:17" customFormat="1">
      <c r="A53" s="112" t="s">
        <v>379</v>
      </c>
      <c r="B53" s="134">
        <v>18.89</v>
      </c>
      <c r="C53" s="134">
        <v>22.71</v>
      </c>
      <c r="D53" s="134">
        <v>25.97</v>
      </c>
      <c r="E53" s="172" t="s">
        <v>8</v>
      </c>
      <c r="F53" s="134">
        <v>1.94</v>
      </c>
      <c r="G53" s="134">
        <v>21.16</v>
      </c>
      <c r="H53" s="134">
        <v>7.74</v>
      </c>
      <c r="I53" s="134">
        <v>6.72</v>
      </c>
      <c r="J53" s="134">
        <v>1.1299999999999999</v>
      </c>
      <c r="K53" s="134">
        <v>268.02</v>
      </c>
      <c r="L53" s="134">
        <v>25.94</v>
      </c>
      <c r="M53" s="134">
        <v>93.97</v>
      </c>
      <c r="N53" s="134">
        <v>131.5</v>
      </c>
      <c r="O53" s="134">
        <v>0.2</v>
      </c>
      <c r="P53" s="134">
        <v>0.67</v>
      </c>
      <c r="Q53" s="134">
        <v>3.82</v>
      </c>
    </row>
    <row r="54" spans="1:17" customFormat="1">
      <c r="A54" s="112" t="s">
        <v>380</v>
      </c>
      <c r="B54" s="134">
        <v>19.05</v>
      </c>
      <c r="C54" s="134">
        <v>20.95</v>
      </c>
      <c r="D54" s="134">
        <v>25.18</v>
      </c>
      <c r="E54" s="172" t="s">
        <v>8</v>
      </c>
      <c r="F54" s="134">
        <v>2.74</v>
      </c>
      <c r="G54" s="134">
        <v>21.16</v>
      </c>
      <c r="H54" s="134">
        <v>7.74</v>
      </c>
      <c r="I54" s="134">
        <v>6.89</v>
      </c>
      <c r="J54" s="134">
        <v>1.08</v>
      </c>
      <c r="K54" s="134">
        <v>260.31</v>
      </c>
      <c r="L54" s="134">
        <v>25.52</v>
      </c>
      <c r="M54" s="134">
        <v>94.77</v>
      </c>
      <c r="N54" s="134">
        <v>63.6</v>
      </c>
      <c r="O54" s="134">
        <v>0.6</v>
      </c>
      <c r="P54" s="134">
        <v>0.67</v>
      </c>
      <c r="Q54" s="134">
        <v>3.79</v>
      </c>
    </row>
    <row r="55" spans="1:17" customFormat="1">
      <c r="A55" s="112" t="s">
        <v>381</v>
      </c>
      <c r="B55" s="134">
        <v>18.55</v>
      </c>
      <c r="C55" s="134">
        <v>21.42</v>
      </c>
      <c r="D55" s="134">
        <v>25.02</v>
      </c>
      <c r="E55" s="172" t="s">
        <v>8</v>
      </c>
      <c r="F55" s="134">
        <v>2.04</v>
      </c>
      <c r="G55" s="134">
        <v>21.35</v>
      </c>
      <c r="H55" s="134">
        <v>7.67</v>
      </c>
      <c r="I55" s="134">
        <v>7.18</v>
      </c>
      <c r="J55" s="134">
        <v>1.07</v>
      </c>
      <c r="K55" s="134">
        <v>269.27999999999997</v>
      </c>
      <c r="L55" s="134">
        <v>25.4</v>
      </c>
      <c r="M55" s="134">
        <v>95.81</v>
      </c>
      <c r="N55" s="134">
        <v>64.2</v>
      </c>
      <c r="O55" s="134">
        <v>0.2</v>
      </c>
      <c r="P55" s="134">
        <v>0.7</v>
      </c>
      <c r="Q55" s="134">
        <v>3.76</v>
      </c>
    </row>
    <row r="56" spans="1:17" customFormat="1">
      <c r="A56" s="112" t="s">
        <v>382</v>
      </c>
      <c r="B56" s="134">
        <v>18.61</v>
      </c>
      <c r="C56" s="134">
        <v>21.62</v>
      </c>
      <c r="D56" s="134">
        <v>25.17</v>
      </c>
      <c r="E56" s="172" t="s">
        <v>8</v>
      </c>
      <c r="F56" s="134">
        <v>2.09</v>
      </c>
      <c r="G56" s="134">
        <v>24.7</v>
      </c>
      <c r="H56" s="134">
        <v>6.63</v>
      </c>
      <c r="I56" s="134">
        <v>7.23</v>
      </c>
      <c r="J56" s="134">
        <v>1.31</v>
      </c>
      <c r="K56" s="134">
        <v>257.31</v>
      </c>
      <c r="L56" s="134">
        <v>25.41</v>
      </c>
      <c r="M56" s="134">
        <v>95.04</v>
      </c>
      <c r="N56" s="134">
        <v>64.099999999999994</v>
      </c>
      <c r="O56" s="134">
        <v>0.4</v>
      </c>
      <c r="P56" s="134">
        <v>0.71</v>
      </c>
      <c r="Q56" s="134">
        <v>3.83</v>
      </c>
    </row>
    <row r="57" spans="1:17" customFormat="1">
      <c r="A57" s="112" t="s">
        <v>383</v>
      </c>
      <c r="B57" s="134">
        <v>18.59</v>
      </c>
      <c r="C57" s="134">
        <v>20.61</v>
      </c>
      <c r="D57" s="134">
        <v>24.63</v>
      </c>
      <c r="E57" s="172" t="s">
        <v>8</v>
      </c>
      <c r="F57" s="134">
        <v>2.99</v>
      </c>
      <c r="G57" s="134">
        <v>24.7</v>
      </c>
      <c r="H57" s="134">
        <v>6.63</v>
      </c>
      <c r="I57" s="134">
        <v>7.25</v>
      </c>
      <c r="J57" s="134">
        <v>1.26</v>
      </c>
      <c r="K57" s="134">
        <v>258.99</v>
      </c>
      <c r="L57" s="134">
        <v>25.41</v>
      </c>
      <c r="M57" s="134">
        <v>95.15</v>
      </c>
      <c r="N57" s="134">
        <v>84.4</v>
      </c>
      <c r="O57" s="134">
        <v>0.2</v>
      </c>
      <c r="P57" s="134">
        <v>0.67</v>
      </c>
      <c r="Q57" s="134">
        <v>3.78</v>
      </c>
    </row>
    <row r="58" spans="1:17" customFormat="1">
      <c r="A58" s="112" t="s">
        <v>384</v>
      </c>
      <c r="B58" s="134">
        <v>18.399999999999999</v>
      </c>
      <c r="C58" s="134">
        <v>19.63</v>
      </c>
      <c r="D58" s="134">
        <v>23.96</v>
      </c>
      <c r="E58" s="172" t="s">
        <v>8</v>
      </c>
      <c r="F58" s="134">
        <v>3.15</v>
      </c>
      <c r="G58" s="134">
        <v>24.7</v>
      </c>
      <c r="H58" s="134">
        <v>6.63</v>
      </c>
      <c r="I58" s="134">
        <v>7.28</v>
      </c>
      <c r="J58" s="134">
        <v>1.1200000000000001</v>
      </c>
      <c r="K58" s="134">
        <v>260.8</v>
      </c>
      <c r="L58" s="134">
        <v>25.39</v>
      </c>
      <c r="M58" s="134">
        <v>95.62</v>
      </c>
      <c r="N58" s="134">
        <v>76.3</v>
      </c>
      <c r="O58" s="134">
        <v>0.4</v>
      </c>
      <c r="P58" s="134">
        <v>0.64</v>
      </c>
      <c r="Q58" s="134">
        <v>3.72</v>
      </c>
    </row>
    <row r="59" spans="1:17" customFormat="1">
      <c r="A59" s="112" t="s">
        <v>385</v>
      </c>
      <c r="B59" s="134">
        <v>17.89</v>
      </c>
      <c r="C59" s="134">
        <v>19.82</v>
      </c>
      <c r="D59" s="134">
        <v>23.66</v>
      </c>
      <c r="E59" s="134">
        <v>9.49</v>
      </c>
      <c r="F59" s="134">
        <v>2.9</v>
      </c>
      <c r="G59" s="134">
        <v>24.33</v>
      </c>
      <c r="H59" s="134">
        <v>6.61</v>
      </c>
      <c r="I59" s="134">
        <v>7.11</v>
      </c>
      <c r="J59" s="134">
        <v>1.26</v>
      </c>
      <c r="K59" s="134">
        <v>257.81</v>
      </c>
      <c r="L59" s="134">
        <v>25.36</v>
      </c>
      <c r="M59" s="134">
        <v>95.84</v>
      </c>
      <c r="N59" s="134">
        <v>87.3</v>
      </c>
      <c r="O59" s="134">
        <v>0.6</v>
      </c>
      <c r="P59" s="134">
        <v>0.63</v>
      </c>
      <c r="Q59" s="134">
        <v>3.7</v>
      </c>
    </row>
    <row r="60" spans="1:17" customFormat="1">
      <c r="A60" s="112" t="s">
        <v>386</v>
      </c>
      <c r="B60" s="134">
        <v>17.62</v>
      </c>
      <c r="C60" s="134">
        <v>21.87</v>
      </c>
      <c r="D60" s="134">
        <v>24.51</v>
      </c>
      <c r="E60" s="134">
        <v>9.6999999999999993</v>
      </c>
      <c r="F60" s="134">
        <v>1.99</v>
      </c>
      <c r="G60" s="134">
        <v>16.37</v>
      </c>
      <c r="H60" s="134">
        <v>6.39</v>
      </c>
      <c r="I60" s="134">
        <v>6.94</v>
      </c>
      <c r="J60" s="134">
        <v>1.19</v>
      </c>
      <c r="K60" s="134">
        <v>258.97000000000003</v>
      </c>
      <c r="L60" s="134">
        <v>25.46</v>
      </c>
      <c r="M60" s="134">
        <v>96.24</v>
      </c>
      <c r="N60" s="134">
        <v>110.6</v>
      </c>
      <c r="O60" s="134">
        <v>0.2</v>
      </c>
      <c r="P60" s="134">
        <v>0.66</v>
      </c>
      <c r="Q60" s="134">
        <v>3.72</v>
      </c>
    </row>
    <row r="61" spans="1:17" customFormat="1">
      <c r="A61" s="112" t="s">
        <v>387</v>
      </c>
      <c r="B61" s="134">
        <v>17.77</v>
      </c>
      <c r="C61" s="134">
        <v>21.29</v>
      </c>
      <c r="D61" s="134">
        <v>24.33</v>
      </c>
      <c r="E61" s="134">
        <v>8.7899999999999991</v>
      </c>
      <c r="F61" s="134">
        <v>3.19</v>
      </c>
      <c r="G61" s="134">
        <v>16.37</v>
      </c>
      <c r="H61" s="134">
        <v>6.39</v>
      </c>
      <c r="I61" s="134">
        <v>6.86</v>
      </c>
      <c r="J61" s="134">
        <v>1.27</v>
      </c>
      <c r="K61" s="134">
        <v>257.99</v>
      </c>
      <c r="L61" s="134">
        <v>25.52</v>
      </c>
      <c r="M61" s="134">
        <v>95.77</v>
      </c>
      <c r="N61" s="134">
        <v>59.7</v>
      </c>
      <c r="O61" s="134">
        <v>0</v>
      </c>
      <c r="P61" s="134">
        <v>0.68</v>
      </c>
      <c r="Q61" s="134">
        <v>3.73</v>
      </c>
    </row>
    <row r="62" spans="1:17" customFormat="1">
      <c r="A62" s="112" t="s">
        <v>388</v>
      </c>
      <c r="B62" s="134">
        <v>17.61</v>
      </c>
      <c r="C62" s="134">
        <v>20.23</v>
      </c>
      <c r="D62" s="134">
        <v>23.65</v>
      </c>
      <c r="E62" s="134">
        <v>6.68</v>
      </c>
      <c r="F62" s="134">
        <v>3.2</v>
      </c>
      <c r="G62" s="134">
        <v>16.37</v>
      </c>
      <c r="H62" s="134">
        <v>6.39</v>
      </c>
      <c r="I62" s="134">
        <v>7.02</v>
      </c>
      <c r="J62" s="134">
        <v>1.1000000000000001</v>
      </c>
      <c r="K62" s="134">
        <v>256.81</v>
      </c>
      <c r="L62" s="134">
        <v>25.53</v>
      </c>
      <c r="M62" s="134">
        <v>94.98</v>
      </c>
      <c r="N62" s="134">
        <v>48.2</v>
      </c>
      <c r="O62" s="134">
        <v>0</v>
      </c>
      <c r="P62" s="134">
        <v>0.68</v>
      </c>
      <c r="Q62" s="134">
        <v>3.68</v>
      </c>
    </row>
    <row r="63" spans="1:17" customFormat="1">
      <c r="A63" s="112" t="s">
        <v>389</v>
      </c>
      <c r="B63" s="134">
        <v>17.34</v>
      </c>
      <c r="C63" s="134">
        <v>21.54</v>
      </c>
      <c r="D63" s="134">
        <v>24.12</v>
      </c>
      <c r="E63" s="134">
        <v>6.82</v>
      </c>
      <c r="F63" s="134">
        <v>2.35</v>
      </c>
      <c r="G63" s="134">
        <v>16.559999999999999</v>
      </c>
      <c r="H63" s="134">
        <v>6.31</v>
      </c>
      <c r="I63" s="134">
        <v>7.25</v>
      </c>
      <c r="J63" s="134">
        <v>1.22</v>
      </c>
      <c r="K63" s="134">
        <v>264.98</v>
      </c>
      <c r="L63" s="134">
        <v>25.54</v>
      </c>
      <c r="M63" s="134">
        <v>94.89</v>
      </c>
      <c r="N63" s="134">
        <v>68.2</v>
      </c>
      <c r="O63" s="134">
        <v>0.4</v>
      </c>
      <c r="P63" s="134">
        <v>0.71</v>
      </c>
      <c r="Q63" s="134">
        <v>3.69</v>
      </c>
    </row>
    <row r="64" spans="1:17" customFormat="1">
      <c r="A64" s="112" t="s">
        <v>390</v>
      </c>
      <c r="B64" s="134">
        <v>17.489999999999998</v>
      </c>
      <c r="C64" s="134">
        <v>20.73</v>
      </c>
      <c r="D64" s="134">
        <v>23.81</v>
      </c>
      <c r="E64" s="134">
        <v>6.16</v>
      </c>
      <c r="F64" s="134">
        <v>2.8</v>
      </c>
      <c r="G64" s="134">
        <v>20.5</v>
      </c>
      <c r="H64" s="134">
        <v>5.0599999999999996</v>
      </c>
      <c r="I64" s="134">
        <v>7.47</v>
      </c>
      <c r="J64" s="134">
        <v>1.24</v>
      </c>
      <c r="K64" s="134">
        <v>259.58999999999997</v>
      </c>
      <c r="L64" s="134">
        <v>25.32</v>
      </c>
      <c r="M64" s="134">
        <v>95.73</v>
      </c>
      <c r="N64" s="134">
        <v>68.2</v>
      </c>
      <c r="O64" s="134">
        <v>1</v>
      </c>
      <c r="P64" s="134">
        <v>0.7</v>
      </c>
      <c r="Q64" s="134">
        <v>3.7</v>
      </c>
    </row>
    <row r="65" spans="1:17" customFormat="1">
      <c r="A65" s="112" t="s">
        <v>391</v>
      </c>
      <c r="B65" s="134">
        <v>17.809999999999999</v>
      </c>
      <c r="C65" s="134">
        <v>20.059999999999999</v>
      </c>
      <c r="D65" s="134">
        <v>23.72</v>
      </c>
      <c r="E65" s="134">
        <v>5.65</v>
      </c>
      <c r="F65" s="134">
        <v>3.04</v>
      </c>
      <c r="G65" s="134">
        <v>20.5</v>
      </c>
      <c r="H65" s="134">
        <v>5.0599999999999996</v>
      </c>
      <c r="I65" s="134">
        <v>7.57</v>
      </c>
      <c r="J65" s="134">
        <v>1.1499999999999999</v>
      </c>
      <c r="K65" s="134">
        <v>259.98</v>
      </c>
      <c r="L65" s="134">
        <v>25.28</v>
      </c>
      <c r="M65" s="134">
        <v>96.23</v>
      </c>
      <c r="N65" s="134">
        <v>68.400000000000006</v>
      </c>
      <c r="O65" s="134">
        <v>0.6</v>
      </c>
      <c r="P65" s="134">
        <v>0.67</v>
      </c>
      <c r="Q65" s="134">
        <v>3.68</v>
      </c>
    </row>
    <row r="66" spans="1:17" customFormat="1">
      <c r="A66" s="112" t="s">
        <v>392</v>
      </c>
      <c r="B66" s="134">
        <v>16.88</v>
      </c>
      <c r="C66" s="134">
        <v>19.71</v>
      </c>
      <c r="D66" s="134">
        <v>22.79</v>
      </c>
      <c r="E66" s="134">
        <v>5.67</v>
      </c>
      <c r="F66" s="134">
        <v>3.04</v>
      </c>
      <c r="G66" s="134">
        <v>20.5</v>
      </c>
      <c r="H66" s="134">
        <v>5.0599999999999996</v>
      </c>
      <c r="I66" s="134">
        <v>7.51</v>
      </c>
      <c r="J66" s="134">
        <v>1.39</v>
      </c>
      <c r="K66" s="134">
        <v>257.74</v>
      </c>
      <c r="L66" s="134">
        <v>25.2</v>
      </c>
      <c r="M66" s="134">
        <v>96.49</v>
      </c>
      <c r="N66" s="134">
        <v>65.599999999999994</v>
      </c>
      <c r="O66" s="134">
        <v>1.8</v>
      </c>
      <c r="P66" s="134">
        <v>0.68</v>
      </c>
      <c r="Q66" s="134">
        <v>3.67</v>
      </c>
    </row>
    <row r="67" spans="1:17" customFormat="1">
      <c r="A67" s="112" t="s">
        <v>393</v>
      </c>
      <c r="B67" s="134">
        <v>16.010000000000002</v>
      </c>
      <c r="C67" s="134">
        <v>22.39</v>
      </c>
      <c r="D67" s="134">
        <v>23.5</v>
      </c>
      <c r="E67" s="134">
        <v>5.34</v>
      </c>
      <c r="F67" s="134">
        <v>2.73</v>
      </c>
      <c r="G67" s="134">
        <v>20.51</v>
      </c>
      <c r="H67" s="134">
        <v>5.22</v>
      </c>
      <c r="I67" s="134">
        <v>7.4</v>
      </c>
      <c r="J67" s="134">
        <v>1.18</v>
      </c>
      <c r="K67" s="134">
        <v>260.72000000000003</v>
      </c>
      <c r="L67" s="134">
        <v>25.03</v>
      </c>
      <c r="M67" s="134">
        <v>97.14</v>
      </c>
      <c r="N67" s="134">
        <v>42.9</v>
      </c>
      <c r="O67" s="134">
        <v>0.6</v>
      </c>
      <c r="P67" s="134">
        <v>0.72</v>
      </c>
      <c r="Q67" s="134">
        <v>3.67</v>
      </c>
    </row>
    <row r="68" spans="1:17" customFormat="1">
      <c r="A68" s="112" t="s">
        <v>394</v>
      </c>
      <c r="B68" s="134">
        <v>16.010000000000002</v>
      </c>
      <c r="C68" s="134">
        <v>25.32</v>
      </c>
      <c r="D68" s="134">
        <v>25.02</v>
      </c>
      <c r="E68" s="134">
        <v>5.54</v>
      </c>
      <c r="F68" s="134">
        <v>2.62</v>
      </c>
      <c r="G68" s="134">
        <v>20.69</v>
      </c>
      <c r="H68" s="134">
        <v>7.74</v>
      </c>
      <c r="I68" s="134">
        <v>7.3</v>
      </c>
      <c r="J68" s="134">
        <v>1.18</v>
      </c>
      <c r="K68" s="134">
        <v>260.04000000000002</v>
      </c>
      <c r="L68" s="134">
        <v>25.13</v>
      </c>
      <c r="M68" s="134">
        <v>97.29</v>
      </c>
      <c r="N68" s="134">
        <v>96</v>
      </c>
      <c r="O68" s="134">
        <v>0.2</v>
      </c>
      <c r="P68" s="134">
        <v>0.77</v>
      </c>
      <c r="Q68" s="134">
        <v>3.75</v>
      </c>
    </row>
    <row r="69" spans="1:17" customFormat="1">
      <c r="A69" s="112" t="s">
        <v>395</v>
      </c>
      <c r="B69" s="134">
        <v>16.149999999999999</v>
      </c>
      <c r="C69" s="134">
        <v>27.18</v>
      </c>
      <c r="D69" s="134">
        <v>26.1</v>
      </c>
      <c r="E69" s="134">
        <v>5.55</v>
      </c>
      <c r="F69" s="134">
        <v>2.11</v>
      </c>
      <c r="G69" s="134">
        <v>20.69</v>
      </c>
      <c r="H69" s="134">
        <v>7.74</v>
      </c>
      <c r="I69" s="134">
        <v>7.33</v>
      </c>
      <c r="J69" s="134">
        <v>1.38</v>
      </c>
      <c r="K69" s="134">
        <v>268.68</v>
      </c>
      <c r="L69" s="134">
        <v>25.15</v>
      </c>
      <c r="M69" s="134">
        <v>96.65</v>
      </c>
      <c r="N69" s="134">
        <v>66.099999999999994</v>
      </c>
      <c r="O69" s="134">
        <v>0.2</v>
      </c>
      <c r="P69" s="134">
        <v>0.81</v>
      </c>
      <c r="Q69" s="134">
        <v>3.87</v>
      </c>
    </row>
    <row r="70" spans="1:17" customFormat="1">
      <c r="A70" s="112" t="s">
        <v>396</v>
      </c>
      <c r="B70" s="134">
        <v>16.77</v>
      </c>
      <c r="C70" s="134">
        <v>24.08</v>
      </c>
      <c r="D70" s="134">
        <v>24.99</v>
      </c>
      <c r="E70" s="134">
        <v>5.62</v>
      </c>
      <c r="F70" s="134">
        <v>3.07</v>
      </c>
      <c r="G70" s="134">
        <v>20.69</v>
      </c>
      <c r="H70" s="134">
        <v>7.74</v>
      </c>
      <c r="I70" s="134">
        <v>7.69</v>
      </c>
      <c r="J70" s="134">
        <v>1.43</v>
      </c>
      <c r="K70" s="134">
        <v>266.81</v>
      </c>
      <c r="L70" s="134">
        <v>25.03</v>
      </c>
      <c r="M70" s="134">
        <v>95.95</v>
      </c>
      <c r="N70" s="134">
        <v>62.3</v>
      </c>
      <c r="O70" s="134">
        <v>0</v>
      </c>
      <c r="P70" s="134">
        <v>0.74</v>
      </c>
      <c r="Q70" s="134">
        <v>3.84</v>
      </c>
    </row>
    <row r="71" spans="1:17" customFormat="1">
      <c r="A71" s="112" t="s">
        <v>397</v>
      </c>
      <c r="B71" s="134">
        <v>16.18</v>
      </c>
      <c r="C71" s="134">
        <v>21.24</v>
      </c>
      <c r="D71" s="134">
        <v>23.03</v>
      </c>
      <c r="E71" s="134">
        <v>4.2300000000000004</v>
      </c>
      <c r="F71" s="134">
        <v>3.75</v>
      </c>
      <c r="G71" s="134">
        <v>20.350000000000001</v>
      </c>
      <c r="H71" s="134">
        <v>7.68</v>
      </c>
      <c r="I71" s="134">
        <v>7.68</v>
      </c>
      <c r="J71" s="134">
        <v>1.52</v>
      </c>
      <c r="K71" s="134">
        <v>265.11</v>
      </c>
      <c r="L71" s="134">
        <v>25</v>
      </c>
      <c r="M71" s="134">
        <v>95.33</v>
      </c>
      <c r="N71" s="134">
        <v>50.3</v>
      </c>
      <c r="O71" s="134">
        <v>0</v>
      </c>
      <c r="P71" s="134">
        <v>0.64</v>
      </c>
      <c r="Q71" s="134">
        <v>3.67</v>
      </c>
    </row>
    <row r="72" spans="1:17" customFormat="1">
      <c r="A72" s="112" t="s">
        <v>398</v>
      </c>
      <c r="B72" s="134">
        <v>15.54</v>
      </c>
      <c r="C72" s="134">
        <v>21.38</v>
      </c>
      <c r="D72" s="134">
        <v>22.59</v>
      </c>
      <c r="E72" s="134">
        <v>4.4400000000000004</v>
      </c>
      <c r="F72" s="134">
        <v>2.93</v>
      </c>
      <c r="G72" s="134">
        <v>14.64</v>
      </c>
      <c r="H72" s="134">
        <v>6.71</v>
      </c>
      <c r="I72" s="134">
        <v>7.19</v>
      </c>
      <c r="J72" s="134">
        <v>1.48</v>
      </c>
      <c r="K72" s="134">
        <v>270.60000000000002</v>
      </c>
      <c r="L72" s="134">
        <v>25.02</v>
      </c>
      <c r="M72" s="134">
        <v>94.76</v>
      </c>
      <c r="N72" s="134">
        <v>69.3</v>
      </c>
      <c r="O72" s="134">
        <v>0</v>
      </c>
      <c r="P72" s="134">
        <v>0.6</v>
      </c>
      <c r="Q72" s="134">
        <v>3.62</v>
      </c>
    </row>
    <row r="73" spans="1:17" customFormat="1">
      <c r="A73" s="112" t="s">
        <v>399</v>
      </c>
      <c r="B73" s="134">
        <v>14.79</v>
      </c>
      <c r="C73" s="134">
        <v>21.55</v>
      </c>
      <c r="D73" s="134">
        <v>22.08</v>
      </c>
      <c r="E73" s="134">
        <v>4.8</v>
      </c>
      <c r="F73" s="134">
        <v>2.17</v>
      </c>
      <c r="G73" s="134">
        <v>14.64</v>
      </c>
      <c r="H73" s="134">
        <v>6.71</v>
      </c>
      <c r="I73" s="134">
        <v>6.69</v>
      </c>
      <c r="J73" s="134">
        <v>1.37</v>
      </c>
      <c r="K73" s="134">
        <v>268.49</v>
      </c>
      <c r="L73" s="134">
        <v>25.09</v>
      </c>
      <c r="M73" s="134">
        <v>94.24</v>
      </c>
      <c r="N73" s="134">
        <v>43.6</v>
      </c>
      <c r="O73" s="134">
        <v>0</v>
      </c>
      <c r="P73" s="134">
        <v>0.59</v>
      </c>
      <c r="Q73" s="134">
        <v>3.65</v>
      </c>
    </row>
    <row r="74" spans="1:17" customFormat="1">
      <c r="A74" s="112" t="s">
        <v>400</v>
      </c>
      <c r="B74" s="134">
        <v>13.67</v>
      </c>
      <c r="C74" s="134">
        <v>21.69</v>
      </c>
      <c r="D74" s="134">
        <v>21.25</v>
      </c>
      <c r="E74" s="134">
        <v>4.5</v>
      </c>
      <c r="F74" s="134">
        <v>2.59</v>
      </c>
      <c r="G74" s="134">
        <v>14.64</v>
      </c>
      <c r="H74" s="134">
        <v>6.71</v>
      </c>
      <c r="I74" s="134">
        <v>6.59</v>
      </c>
      <c r="J74" s="134">
        <v>1.27</v>
      </c>
      <c r="K74" s="134">
        <v>266.92</v>
      </c>
      <c r="L74" s="134">
        <v>25.09</v>
      </c>
      <c r="M74" s="134">
        <v>93.8</v>
      </c>
      <c r="N74" s="134">
        <v>30</v>
      </c>
      <c r="O74" s="134">
        <v>0</v>
      </c>
      <c r="P74" s="134">
        <v>0.56999999999999995</v>
      </c>
      <c r="Q74" s="134">
        <v>3.57</v>
      </c>
    </row>
    <row r="75" spans="1:17" customFormat="1">
      <c r="A75" s="112" t="s">
        <v>401</v>
      </c>
      <c r="B75" s="134">
        <v>13.43</v>
      </c>
      <c r="C75" s="134">
        <v>21.63</v>
      </c>
      <c r="D75" s="134">
        <v>21.03</v>
      </c>
      <c r="E75" s="134">
        <v>5.07</v>
      </c>
      <c r="F75" s="134">
        <v>2.67</v>
      </c>
      <c r="G75" s="134">
        <v>14.57</v>
      </c>
      <c r="H75" s="134">
        <v>6.72</v>
      </c>
      <c r="I75" s="134">
        <v>6.5</v>
      </c>
      <c r="J75" s="134">
        <v>1.3</v>
      </c>
      <c r="K75" s="134">
        <v>268.26</v>
      </c>
      <c r="L75" s="134">
        <v>25.15</v>
      </c>
      <c r="M75" s="134">
        <v>93.25</v>
      </c>
      <c r="N75" s="134">
        <v>16.100000000000001</v>
      </c>
      <c r="O75" s="134">
        <v>0</v>
      </c>
      <c r="P75" s="134">
        <v>0.55000000000000004</v>
      </c>
      <c r="Q75" s="134">
        <v>3.51</v>
      </c>
    </row>
    <row r="76" spans="1:17" customFormat="1">
      <c r="A76" s="112" t="s">
        <v>402</v>
      </c>
      <c r="B76" s="134">
        <v>13.24</v>
      </c>
      <c r="C76" s="134">
        <v>22.53</v>
      </c>
      <c r="D76" s="134">
        <v>21.34</v>
      </c>
      <c r="E76" s="134">
        <v>5.1100000000000003</v>
      </c>
      <c r="F76" s="134">
        <v>2.2400000000000002</v>
      </c>
      <c r="G76" s="134">
        <v>13.35</v>
      </c>
      <c r="H76" s="134">
        <v>6.9</v>
      </c>
      <c r="I76" s="134">
        <v>6.27</v>
      </c>
      <c r="J76" s="134">
        <v>1.47</v>
      </c>
      <c r="K76" s="134">
        <v>268.06</v>
      </c>
      <c r="L76" s="134">
        <v>25.15</v>
      </c>
      <c r="M76" s="134">
        <v>92.41</v>
      </c>
      <c r="N76" s="134">
        <v>12.7</v>
      </c>
      <c r="O76" s="134">
        <v>0</v>
      </c>
      <c r="P76" s="134">
        <v>0.56000000000000005</v>
      </c>
      <c r="Q76" s="134">
        <v>3.53</v>
      </c>
    </row>
    <row r="77" spans="1:17" customFormat="1">
      <c r="A77" s="112" t="s">
        <v>403</v>
      </c>
      <c r="B77" s="134">
        <v>13.31</v>
      </c>
      <c r="C77" s="134">
        <v>23.35</v>
      </c>
      <c r="D77" s="134">
        <v>21.83</v>
      </c>
      <c r="E77" s="134">
        <v>5.28</v>
      </c>
      <c r="F77" s="134">
        <v>1.84</v>
      </c>
      <c r="G77" s="134">
        <v>13.35</v>
      </c>
      <c r="H77" s="134">
        <v>6.9</v>
      </c>
      <c r="I77" s="134">
        <v>6.24</v>
      </c>
      <c r="J77" s="134">
        <v>1.48</v>
      </c>
      <c r="K77" s="134">
        <v>271.16000000000003</v>
      </c>
      <c r="L77" s="134">
        <v>25.09</v>
      </c>
      <c r="M77" s="134">
        <v>92.16</v>
      </c>
      <c r="N77" s="134">
        <v>12</v>
      </c>
      <c r="O77" s="134">
        <v>0</v>
      </c>
      <c r="P77" s="134">
        <v>0.56999999999999995</v>
      </c>
      <c r="Q77" s="134">
        <v>3.58</v>
      </c>
    </row>
    <row r="78" spans="1:17" customFormat="1">
      <c r="A78" s="112" t="s">
        <v>404</v>
      </c>
      <c r="B78" s="134">
        <v>13.44</v>
      </c>
      <c r="C78" s="134">
        <v>21.92</v>
      </c>
      <c r="D78" s="134">
        <v>21.19</v>
      </c>
      <c r="E78" s="134">
        <v>5.27</v>
      </c>
      <c r="F78" s="134">
        <v>2.85</v>
      </c>
      <c r="G78" s="134">
        <v>13.35</v>
      </c>
      <c r="H78" s="134">
        <v>6.9</v>
      </c>
      <c r="I78" s="134">
        <v>6.27</v>
      </c>
      <c r="J78" s="134">
        <v>1.56</v>
      </c>
      <c r="K78" s="134">
        <v>267.44</v>
      </c>
      <c r="L78" s="134">
        <v>24.94</v>
      </c>
      <c r="M78" s="134">
        <v>92.74</v>
      </c>
      <c r="N78" s="134">
        <v>11.1</v>
      </c>
      <c r="O78" s="134">
        <v>0.2</v>
      </c>
      <c r="P78" s="134">
        <v>0.55000000000000004</v>
      </c>
      <c r="Q78" s="134">
        <v>3.53</v>
      </c>
    </row>
    <row r="79" spans="1:17" customFormat="1">
      <c r="A79" s="112" t="s">
        <v>405</v>
      </c>
      <c r="B79" s="134">
        <v>13.38</v>
      </c>
      <c r="C79" s="134">
        <v>21.68</v>
      </c>
      <c r="D79" s="134">
        <v>21.01</v>
      </c>
      <c r="E79" s="134">
        <v>5.07</v>
      </c>
      <c r="F79" s="134">
        <v>2.6</v>
      </c>
      <c r="G79" s="134">
        <v>13.3</v>
      </c>
      <c r="H79" s="134">
        <v>6.79</v>
      </c>
      <c r="I79" s="134">
        <v>6.23</v>
      </c>
      <c r="J79" s="134">
        <v>1.28</v>
      </c>
      <c r="K79" s="134">
        <v>270.64</v>
      </c>
      <c r="L79" s="134">
        <v>24.76</v>
      </c>
      <c r="M79" s="134">
        <v>93.8</v>
      </c>
      <c r="N79" s="134">
        <v>3.3</v>
      </c>
      <c r="O79" s="134">
        <v>0.2</v>
      </c>
      <c r="P79" s="134">
        <v>0.54</v>
      </c>
      <c r="Q79" s="134">
        <v>3.5</v>
      </c>
    </row>
    <row r="80" spans="1:17" customFormat="1">
      <c r="A80" s="112" t="s">
        <v>406</v>
      </c>
      <c r="B80" s="134">
        <v>13.14</v>
      </c>
      <c r="C80" s="134">
        <v>23.48</v>
      </c>
      <c r="D80" s="134">
        <v>21.76</v>
      </c>
      <c r="E80" s="134">
        <v>5.21</v>
      </c>
      <c r="F80" s="134">
        <v>1.4</v>
      </c>
      <c r="G80" s="134">
        <v>12.52</v>
      </c>
      <c r="H80" s="134">
        <v>4.96</v>
      </c>
      <c r="I80" s="134">
        <v>6.04</v>
      </c>
      <c r="J80" s="134">
        <v>1.46</v>
      </c>
      <c r="K80" s="134">
        <v>269.20999999999998</v>
      </c>
      <c r="L80" s="134">
        <v>24.73</v>
      </c>
      <c r="M80" s="134">
        <v>93.62</v>
      </c>
      <c r="N80" s="134">
        <v>2.5</v>
      </c>
      <c r="O80" s="134">
        <v>0</v>
      </c>
      <c r="P80" s="134">
        <v>0.56000000000000005</v>
      </c>
      <c r="Q80" s="134">
        <v>3.58</v>
      </c>
    </row>
    <row r="81" spans="1:17" customFormat="1">
      <c r="A81" s="112" t="s">
        <v>407</v>
      </c>
      <c r="B81" s="134">
        <v>13.14</v>
      </c>
      <c r="C81" s="134">
        <v>22.08</v>
      </c>
      <c r="D81" s="134">
        <v>21.03</v>
      </c>
      <c r="E81" s="134">
        <v>7.13</v>
      </c>
      <c r="F81" s="134">
        <v>2.58</v>
      </c>
      <c r="G81" s="134">
        <v>12.52</v>
      </c>
      <c r="H81" s="134">
        <v>4.96</v>
      </c>
      <c r="I81" s="134">
        <v>5.97</v>
      </c>
      <c r="J81" s="134">
        <v>1.69</v>
      </c>
      <c r="K81" s="134">
        <v>265.06</v>
      </c>
      <c r="L81" s="134">
        <v>24.76</v>
      </c>
      <c r="M81" s="134">
        <v>93.24</v>
      </c>
      <c r="N81" s="134">
        <v>0.1</v>
      </c>
      <c r="O81" s="134">
        <v>0</v>
      </c>
      <c r="P81" s="134">
        <v>0.51</v>
      </c>
      <c r="Q81" s="134">
        <v>3.55</v>
      </c>
    </row>
    <row r="82" spans="1:17" customFormat="1">
      <c r="A82" s="112" t="s">
        <v>408</v>
      </c>
      <c r="B82" s="134">
        <v>12.91</v>
      </c>
      <c r="C82" s="134">
        <v>21.24</v>
      </c>
      <c r="D82" s="134">
        <v>20.399999999999999</v>
      </c>
      <c r="E82" s="134">
        <v>7.77</v>
      </c>
      <c r="F82" s="134">
        <v>2.97</v>
      </c>
      <c r="G82" s="134">
        <v>12.52</v>
      </c>
      <c r="H82" s="134">
        <v>4.96</v>
      </c>
      <c r="I82" s="134">
        <v>5.92</v>
      </c>
      <c r="J82" s="134">
        <v>1.38</v>
      </c>
      <c r="K82" s="134">
        <v>265.37</v>
      </c>
      <c r="L82" s="134">
        <v>24.79</v>
      </c>
      <c r="M82" s="134">
        <v>93.08</v>
      </c>
      <c r="N82" s="134">
        <v>0</v>
      </c>
      <c r="O82" s="134">
        <v>0</v>
      </c>
      <c r="P82" s="134">
        <v>0.49</v>
      </c>
      <c r="Q82" s="134">
        <v>3.48</v>
      </c>
    </row>
    <row r="83" spans="1:17" customFormat="1">
      <c r="A83" s="112" t="s">
        <v>409</v>
      </c>
      <c r="B83" s="134">
        <v>12.75</v>
      </c>
      <c r="C83" s="134">
        <v>22.59</v>
      </c>
      <c r="D83" s="134">
        <v>20.98</v>
      </c>
      <c r="E83" s="134">
        <v>7.98</v>
      </c>
      <c r="F83" s="134">
        <v>1.78</v>
      </c>
      <c r="G83" s="134">
        <v>12.42</v>
      </c>
      <c r="H83" s="134">
        <v>4.88</v>
      </c>
      <c r="I83" s="134">
        <v>5.67</v>
      </c>
      <c r="J83" s="134">
        <v>1.2</v>
      </c>
      <c r="K83" s="134">
        <v>265.37</v>
      </c>
      <c r="L83" s="134">
        <v>24.82</v>
      </c>
      <c r="M83" s="134">
        <v>92.87</v>
      </c>
      <c r="N83" s="134">
        <v>0</v>
      </c>
      <c r="O83" s="134">
        <v>0.2</v>
      </c>
      <c r="P83" s="134">
        <v>0.51</v>
      </c>
      <c r="Q83" s="134">
        <v>3.5</v>
      </c>
    </row>
    <row r="84" spans="1:17" customFormat="1">
      <c r="A84" s="112" t="s">
        <v>410</v>
      </c>
      <c r="B84" s="134">
        <v>12.69</v>
      </c>
      <c r="C84" s="134">
        <v>22.03</v>
      </c>
      <c r="D84" s="134">
        <v>20.64</v>
      </c>
      <c r="E84" s="134">
        <v>8.0299999999999994</v>
      </c>
      <c r="F84" s="134">
        <v>2.61</v>
      </c>
      <c r="G84" s="134">
        <v>10.73</v>
      </c>
      <c r="H84" s="134">
        <v>3.59</v>
      </c>
      <c r="I84" s="134">
        <v>5.51</v>
      </c>
      <c r="J84" s="134">
        <v>1.2</v>
      </c>
      <c r="K84" s="134">
        <v>266.04000000000002</v>
      </c>
      <c r="L84" s="134">
        <v>24.6</v>
      </c>
      <c r="M84" s="134">
        <v>94.27</v>
      </c>
      <c r="N84" s="134">
        <v>0</v>
      </c>
      <c r="O84" s="134">
        <v>0.8</v>
      </c>
      <c r="P84" s="134">
        <v>0.48</v>
      </c>
      <c r="Q84" s="134">
        <v>3.52</v>
      </c>
    </row>
    <row r="85" spans="1:17" customFormat="1">
      <c r="A85" s="112" t="s">
        <v>411</v>
      </c>
      <c r="B85" s="134">
        <v>12.6</v>
      </c>
      <c r="C85" s="134">
        <v>21.1</v>
      </c>
      <c r="D85" s="134">
        <v>20.079999999999998</v>
      </c>
      <c r="E85" s="134">
        <v>7.72</v>
      </c>
      <c r="F85" s="134">
        <v>2.88</v>
      </c>
      <c r="G85" s="134">
        <v>10.73</v>
      </c>
      <c r="H85" s="134">
        <v>3.59</v>
      </c>
      <c r="I85" s="134">
        <v>5.49</v>
      </c>
      <c r="J85" s="134">
        <v>1.41</v>
      </c>
      <c r="K85" s="134">
        <v>264.95</v>
      </c>
      <c r="L85" s="134">
        <v>24.38</v>
      </c>
      <c r="M85" s="134">
        <v>96.02</v>
      </c>
      <c r="N85" s="134">
        <v>0</v>
      </c>
      <c r="O85" s="134">
        <v>0.6</v>
      </c>
      <c r="P85" s="134">
        <v>0.46</v>
      </c>
      <c r="Q85" s="134">
        <v>3.47</v>
      </c>
    </row>
    <row r="86" spans="1:17" customFormat="1">
      <c r="A86" s="112" t="s">
        <v>412</v>
      </c>
      <c r="B86" s="134">
        <v>12.41</v>
      </c>
      <c r="C86" s="134">
        <v>22.55</v>
      </c>
      <c r="D86" s="134">
        <v>20.69</v>
      </c>
      <c r="E86" s="134">
        <v>7.77</v>
      </c>
      <c r="F86" s="134">
        <v>1.98</v>
      </c>
      <c r="G86" s="134">
        <v>10.73</v>
      </c>
      <c r="H86" s="134">
        <v>3.59</v>
      </c>
      <c r="I86" s="134">
        <v>5.29</v>
      </c>
      <c r="J86" s="134">
        <v>1.5</v>
      </c>
      <c r="K86" s="134">
        <v>266.27</v>
      </c>
      <c r="L86" s="134">
        <v>24.42</v>
      </c>
      <c r="M86" s="134">
        <v>96.14</v>
      </c>
      <c r="N86" s="134">
        <v>0</v>
      </c>
      <c r="O86" s="134">
        <v>0.2</v>
      </c>
      <c r="P86" s="134">
        <v>0.49</v>
      </c>
      <c r="Q86" s="134">
        <v>3.51</v>
      </c>
    </row>
    <row r="87" spans="1:17" customFormat="1">
      <c r="A87" s="112" t="s">
        <v>413</v>
      </c>
      <c r="B87" s="134">
        <v>12.38</v>
      </c>
      <c r="C87" s="134">
        <v>21.33</v>
      </c>
      <c r="D87" s="134">
        <v>20.03</v>
      </c>
      <c r="E87" s="134">
        <v>7.37</v>
      </c>
      <c r="F87" s="134">
        <v>2.81</v>
      </c>
      <c r="G87" s="134">
        <v>10.67</v>
      </c>
      <c r="H87" s="134">
        <v>3.54</v>
      </c>
      <c r="I87" s="134">
        <v>5.19</v>
      </c>
      <c r="J87" s="134">
        <v>1.18</v>
      </c>
      <c r="K87" s="134">
        <v>263.64999999999998</v>
      </c>
      <c r="L87" s="134">
        <v>24.48</v>
      </c>
      <c r="M87" s="134">
        <v>95.87</v>
      </c>
      <c r="N87" s="134">
        <v>0</v>
      </c>
      <c r="O87" s="134">
        <v>0.6</v>
      </c>
      <c r="P87" s="134">
        <v>0.45</v>
      </c>
      <c r="Q87" s="134">
        <v>3.47</v>
      </c>
    </row>
    <row r="88" spans="1:17" customFormat="1">
      <c r="A88" s="112" t="s">
        <v>414</v>
      </c>
      <c r="B88" s="134">
        <v>12.25</v>
      </c>
      <c r="C88" s="134">
        <v>20.77</v>
      </c>
      <c r="D88" s="134">
        <v>19.63</v>
      </c>
      <c r="E88" s="134">
        <v>7.57</v>
      </c>
      <c r="F88" s="134">
        <v>2.92</v>
      </c>
      <c r="G88" s="134">
        <v>9.52</v>
      </c>
      <c r="H88" s="134">
        <v>2.82</v>
      </c>
      <c r="I88" s="134">
        <v>5.17</v>
      </c>
      <c r="J88" s="134">
        <v>1.26</v>
      </c>
      <c r="K88" s="134">
        <v>266.08999999999997</v>
      </c>
      <c r="L88" s="134">
        <v>24.47</v>
      </c>
      <c r="M88" s="134">
        <v>96.23</v>
      </c>
      <c r="N88" s="134">
        <v>0</v>
      </c>
      <c r="O88" s="134">
        <v>0.8</v>
      </c>
      <c r="P88" s="134">
        <v>0.43</v>
      </c>
      <c r="Q88" s="134">
        <v>3.44</v>
      </c>
    </row>
    <row r="89" spans="1:17" customFormat="1">
      <c r="A89" s="112" t="s">
        <v>415</v>
      </c>
      <c r="B89" s="134">
        <v>11.78</v>
      </c>
      <c r="C89" s="134">
        <v>22.32</v>
      </c>
      <c r="D89" s="134">
        <v>20.07</v>
      </c>
      <c r="E89" s="134">
        <v>8.16</v>
      </c>
      <c r="F89" s="134">
        <v>2.42</v>
      </c>
      <c r="G89" s="134">
        <v>9.52</v>
      </c>
      <c r="H89" s="134">
        <v>2.82</v>
      </c>
      <c r="I89" s="134">
        <v>4.9800000000000004</v>
      </c>
      <c r="J89" s="134">
        <v>1.22</v>
      </c>
      <c r="K89" s="134">
        <v>265.51</v>
      </c>
      <c r="L89" s="134">
        <v>24.46</v>
      </c>
      <c r="M89" s="134">
        <v>96.42</v>
      </c>
      <c r="N89" s="134">
        <v>0</v>
      </c>
      <c r="O89" s="134">
        <v>1</v>
      </c>
      <c r="P89" s="134">
        <v>0.46</v>
      </c>
      <c r="Q89" s="134">
        <v>3.4</v>
      </c>
    </row>
    <row r="90" spans="1:17" customFormat="1">
      <c r="A90" s="112" t="s">
        <v>416</v>
      </c>
      <c r="B90" s="134">
        <v>11.24</v>
      </c>
      <c r="C90" s="134">
        <v>22.95</v>
      </c>
      <c r="D90" s="134">
        <v>19.96</v>
      </c>
      <c r="E90" s="134">
        <v>7.75</v>
      </c>
      <c r="F90" s="134">
        <v>2.4700000000000002</v>
      </c>
      <c r="G90" s="134">
        <v>9.52</v>
      </c>
      <c r="H90" s="134">
        <v>2.82</v>
      </c>
      <c r="I90" s="134">
        <v>4.93</v>
      </c>
      <c r="J90" s="134">
        <v>1.47</v>
      </c>
      <c r="K90" s="134">
        <v>266.44</v>
      </c>
      <c r="L90" s="134">
        <v>24.49</v>
      </c>
      <c r="M90" s="134">
        <v>96.61</v>
      </c>
      <c r="N90" s="134">
        <v>0</v>
      </c>
      <c r="O90" s="134">
        <v>0.8</v>
      </c>
      <c r="P90" s="134">
        <v>0.47</v>
      </c>
      <c r="Q90" s="134">
        <v>3.46</v>
      </c>
    </row>
    <row r="91" spans="1:17" customFormat="1">
      <c r="A91" s="112" t="s">
        <v>417</v>
      </c>
      <c r="B91" s="134">
        <v>11.15</v>
      </c>
      <c r="C91" s="134">
        <v>20.64</v>
      </c>
      <c r="D91" s="134">
        <v>18.68</v>
      </c>
      <c r="E91" s="134">
        <v>7.63</v>
      </c>
      <c r="F91" s="134">
        <v>3.17</v>
      </c>
      <c r="G91" s="134">
        <v>9.57</v>
      </c>
      <c r="H91" s="134">
        <v>2.78</v>
      </c>
      <c r="I91" s="134">
        <v>4.8600000000000003</v>
      </c>
      <c r="J91" s="134">
        <v>1.25</v>
      </c>
      <c r="K91" s="134">
        <v>263.04000000000002</v>
      </c>
      <c r="L91" s="134">
        <v>24.43</v>
      </c>
      <c r="M91" s="134">
        <v>96.76</v>
      </c>
      <c r="N91" s="134">
        <v>0</v>
      </c>
      <c r="O91" s="134">
        <v>1.2</v>
      </c>
      <c r="P91" s="134">
        <v>0.42</v>
      </c>
      <c r="Q91" s="134">
        <v>3.39</v>
      </c>
    </row>
    <row r="92" spans="1:17" customFormat="1">
      <c r="A92" s="112" t="s">
        <v>418</v>
      </c>
      <c r="B92" s="134">
        <v>11.17</v>
      </c>
      <c r="C92" s="134">
        <v>20.25</v>
      </c>
      <c r="D92" s="134">
        <v>18.489999999999998</v>
      </c>
      <c r="E92" s="134">
        <v>7.19</v>
      </c>
      <c r="F92" s="134">
        <v>2.78</v>
      </c>
      <c r="G92" s="134">
        <v>10.48</v>
      </c>
      <c r="H92" s="134">
        <v>2.21</v>
      </c>
      <c r="I92" s="134">
        <v>4.6500000000000004</v>
      </c>
      <c r="J92" s="134">
        <v>1.42</v>
      </c>
      <c r="K92" s="134">
        <v>264.43</v>
      </c>
      <c r="L92" s="134">
        <v>24.41</v>
      </c>
      <c r="M92" s="134">
        <v>96.88</v>
      </c>
      <c r="N92" s="134">
        <v>0</v>
      </c>
      <c r="O92" s="134">
        <v>0.8</v>
      </c>
      <c r="P92" s="134">
        <v>0.4</v>
      </c>
      <c r="Q92" s="134">
        <v>3.37</v>
      </c>
    </row>
    <row r="93" spans="1:17" customFormat="1">
      <c r="A93" s="112" t="s">
        <v>419</v>
      </c>
      <c r="B93" s="134">
        <v>10.97</v>
      </c>
      <c r="C93" s="134">
        <v>22.06</v>
      </c>
      <c r="D93" s="134">
        <v>19.28</v>
      </c>
      <c r="E93" s="134">
        <v>7.81</v>
      </c>
      <c r="F93" s="134">
        <v>1.88</v>
      </c>
      <c r="G93" s="134">
        <v>10.48</v>
      </c>
      <c r="H93" s="134">
        <v>2.21</v>
      </c>
      <c r="I93" s="134">
        <v>4.45</v>
      </c>
      <c r="J93" s="134">
        <v>1.39</v>
      </c>
      <c r="K93" s="134">
        <v>268.69</v>
      </c>
      <c r="L93" s="134">
        <v>24.25</v>
      </c>
      <c r="M93" s="134">
        <v>97.07</v>
      </c>
      <c r="N93" s="134">
        <v>0</v>
      </c>
      <c r="O93" s="134">
        <v>1</v>
      </c>
      <c r="P93" s="134">
        <v>0.4</v>
      </c>
      <c r="Q93" s="134">
        <v>3.43</v>
      </c>
    </row>
    <row r="94" spans="1:17" customFormat="1">
      <c r="A94" s="112" t="s">
        <v>420</v>
      </c>
      <c r="B94" s="134">
        <v>11.08</v>
      </c>
      <c r="C94" s="134">
        <v>20.66</v>
      </c>
      <c r="D94" s="134">
        <v>18.64</v>
      </c>
      <c r="E94" s="134">
        <v>8.2899999999999991</v>
      </c>
      <c r="F94" s="134">
        <v>2.81</v>
      </c>
      <c r="G94" s="134">
        <v>10.48</v>
      </c>
      <c r="H94" s="134">
        <v>2.21</v>
      </c>
      <c r="I94" s="134">
        <v>4.42</v>
      </c>
      <c r="J94" s="134">
        <v>1.45</v>
      </c>
      <c r="K94" s="134">
        <v>264.3</v>
      </c>
      <c r="L94" s="134">
        <v>24.16</v>
      </c>
      <c r="M94" s="134">
        <v>97.73</v>
      </c>
      <c r="N94" s="134">
        <v>0</v>
      </c>
      <c r="O94" s="134">
        <v>0.8</v>
      </c>
      <c r="P94" s="134">
        <v>0.38</v>
      </c>
      <c r="Q94" s="134">
        <v>3.38</v>
      </c>
    </row>
    <row r="95" spans="1:17" customFormat="1">
      <c r="A95" s="112" t="s">
        <v>421</v>
      </c>
      <c r="B95" s="134">
        <v>11.12</v>
      </c>
      <c r="C95" s="134">
        <v>21.45</v>
      </c>
      <c r="D95" s="134">
        <v>19.079999999999998</v>
      </c>
      <c r="E95" s="134">
        <v>7.98</v>
      </c>
      <c r="F95" s="134">
        <v>1.88</v>
      </c>
      <c r="G95" s="134">
        <v>10.39</v>
      </c>
      <c r="H95" s="134">
        <v>2.2999999999999998</v>
      </c>
      <c r="I95" s="134">
        <v>4.42</v>
      </c>
      <c r="J95" s="134">
        <v>1.51</v>
      </c>
      <c r="K95" s="134">
        <v>261.79000000000002</v>
      </c>
      <c r="L95" s="134">
        <v>24.22</v>
      </c>
      <c r="M95" s="134">
        <v>98.1</v>
      </c>
      <c r="N95" s="134">
        <v>0</v>
      </c>
      <c r="O95" s="134">
        <v>1</v>
      </c>
      <c r="P95" s="134">
        <v>0.39</v>
      </c>
      <c r="Q95" s="134">
        <v>3.4</v>
      </c>
    </row>
    <row r="96" spans="1:17" customFormat="1">
      <c r="A96" s="112" t="s">
        <v>422</v>
      </c>
      <c r="B96" s="134">
        <v>11.19</v>
      </c>
      <c r="C96" s="134">
        <v>20.56</v>
      </c>
      <c r="D96" s="134">
        <v>18.68</v>
      </c>
      <c r="E96" s="134">
        <v>8.43</v>
      </c>
      <c r="F96" s="134">
        <v>2.5</v>
      </c>
      <c r="G96" s="134">
        <v>8.86</v>
      </c>
      <c r="H96" s="134">
        <v>3.84</v>
      </c>
      <c r="I96" s="134">
        <v>4.29</v>
      </c>
      <c r="J96" s="134">
        <v>1.74</v>
      </c>
      <c r="K96" s="134">
        <v>260.52999999999997</v>
      </c>
      <c r="L96" s="134">
        <v>24.27</v>
      </c>
      <c r="M96" s="134">
        <v>98.31</v>
      </c>
      <c r="N96" s="134">
        <v>0</v>
      </c>
      <c r="O96" s="134">
        <v>0.6</v>
      </c>
      <c r="P96" s="134">
        <v>0.38</v>
      </c>
      <c r="Q96" s="134">
        <v>3.42</v>
      </c>
    </row>
    <row r="97" spans="1:22" customFormat="1">
      <c r="A97" s="112" t="s">
        <v>423</v>
      </c>
      <c r="B97" s="134">
        <v>11.19</v>
      </c>
      <c r="C97" s="134">
        <v>20.440000000000001</v>
      </c>
      <c r="D97" s="134">
        <v>18.61</v>
      </c>
      <c r="E97" s="134">
        <v>7.58</v>
      </c>
      <c r="F97" s="134">
        <v>2.61</v>
      </c>
      <c r="G97" s="134">
        <v>8.86</v>
      </c>
      <c r="H97" s="134">
        <v>3.84</v>
      </c>
      <c r="I97" s="134">
        <v>4.28</v>
      </c>
      <c r="J97" s="134">
        <v>1.87</v>
      </c>
      <c r="K97" s="134">
        <v>262.49</v>
      </c>
      <c r="L97" s="134">
        <v>24.33</v>
      </c>
      <c r="M97" s="134">
        <v>98.31</v>
      </c>
      <c r="N97" s="134">
        <v>0</v>
      </c>
      <c r="O97" s="134">
        <v>0.4</v>
      </c>
      <c r="P97" s="134">
        <v>0.37</v>
      </c>
      <c r="Q97" s="134">
        <v>3.38</v>
      </c>
    </row>
    <row r="98" spans="1:22" customFormat="1">
      <c r="A98" s="112" t="s">
        <v>424</v>
      </c>
      <c r="B98" s="134">
        <v>11.16</v>
      </c>
      <c r="C98" s="134">
        <v>21.43</v>
      </c>
      <c r="D98" s="134">
        <v>19.100000000000001</v>
      </c>
      <c r="E98" s="134">
        <v>8.27</v>
      </c>
      <c r="F98" s="134">
        <v>2.0099999999999998</v>
      </c>
      <c r="G98" s="134">
        <v>8.86</v>
      </c>
      <c r="H98" s="134">
        <v>3.84</v>
      </c>
      <c r="I98" s="134">
        <v>4.1399999999999997</v>
      </c>
      <c r="J98" s="134">
        <v>1.95</v>
      </c>
      <c r="K98" s="134">
        <v>263.7</v>
      </c>
      <c r="L98" s="134">
        <v>24.37</v>
      </c>
      <c r="M98" s="134">
        <v>98.37</v>
      </c>
      <c r="N98" s="134">
        <v>0</v>
      </c>
      <c r="O98" s="134">
        <v>0.6</v>
      </c>
      <c r="P98" s="134">
        <v>0.38</v>
      </c>
      <c r="Q98" s="134">
        <v>3.41</v>
      </c>
    </row>
    <row r="99" spans="1:22" customFormat="1">
      <c r="A99" s="112" t="s">
        <v>425</v>
      </c>
      <c r="B99" s="134">
        <v>11.12</v>
      </c>
      <c r="C99" s="134">
        <v>20.13</v>
      </c>
      <c r="D99" s="134">
        <v>18.39</v>
      </c>
      <c r="E99" s="134">
        <v>8.2100000000000009</v>
      </c>
      <c r="F99" s="134">
        <v>2.82</v>
      </c>
      <c r="G99" s="134">
        <v>8.77</v>
      </c>
      <c r="H99" s="134">
        <v>3.81</v>
      </c>
      <c r="I99" s="134">
        <v>4.09</v>
      </c>
      <c r="J99" s="134">
        <v>1.54</v>
      </c>
      <c r="K99" s="134">
        <v>264.07</v>
      </c>
      <c r="L99" s="134">
        <v>24.31</v>
      </c>
      <c r="M99" s="134">
        <v>98.46</v>
      </c>
      <c r="N99" s="134">
        <v>0</v>
      </c>
      <c r="O99" s="134">
        <v>0.4</v>
      </c>
      <c r="P99" s="134">
        <v>0.35</v>
      </c>
      <c r="Q99" s="134">
        <v>3.36</v>
      </c>
    </row>
    <row r="100" spans="1:22" customFormat="1">
      <c r="A100" s="112" t="s">
        <v>426</v>
      </c>
      <c r="B100" s="134">
        <v>11.12</v>
      </c>
      <c r="C100" s="134">
        <v>21.77</v>
      </c>
      <c r="D100" s="134">
        <v>19.25</v>
      </c>
      <c r="E100" s="134">
        <v>8.75</v>
      </c>
      <c r="F100" s="134">
        <v>1.82</v>
      </c>
      <c r="G100" s="134">
        <v>7.13</v>
      </c>
      <c r="H100" s="134">
        <v>3.4</v>
      </c>
      <c r="I100" s="134">
        <v>4.01</v>
      </c>
      <c r="J100" s="134">
        <v>1.4</v>
      </c>
      <c r="K100" s="134">
        <v>263.14</v>
      </c>
      <c r="L100" s="134">
        <v>24.28</v>
      </c>
      <c r="M100" s="134">
        <v>98.45</v>
      </c>
      <c r="N100" s="134">
        <v>0</v>
      </c>
      <c r="O100" s="134">
        <v>0.4</v>
      </c>
      <c r="P100" s="134">
        <v>0.37</v>
      </c>
      <c r="Q100" s="134">
        <v>3.4</v>
      </c>
    </row>
    <row r="101" spans="1:22" customFormat="1">
      <c r="A101" s="112" t="s">
        <v>427</v>
      </c>
      <c r="B101" s="134">
        <v>11.08</v>
      </c>
      <c r="C101" s="134">
        <v>20.37</v>
      </c>
      <c r="D101" s="134">
        <v>18.48</v>
      </c>
      <c r="E101" s="134">
        <v>8.98</v>
      </c>
      <c r="F101" s="134">
        <v>2.75</v>
      </c>
      <c r="G101" s="134">
        <v>7.13</v>
      </c>
      <c r="H101" s="134">
        <v>3.4</v>
      </c>
      <c r="I101" s="134">
        <v>3.91</v>
      </c>
      <c r="J101" s="134">
        <v>1.53</v>
      </c>
      <c r="K101" s="134">
        <v>264.98</v>
      </c>
      <c r="L101" s="134">
        <v>24.35</v>
      </c>
      <c r="M101" s="134">
        <v>98.45</v>
      </c>
      <c r="N101" s="134">
        <v>0</v>
      </c>
      <c r="O101" s="134">
        <v>0.6</v>
      </c>
      <c r="P101" s="134">
        <v>0.34</v>
      </c>
      <c r="Q101" s="134">
        <v>3.38</v>
      </c>
    </row>
    <row r="102" spans="1:22" customFormat="1">
      <c r="A102" s="112" t="s">
        <v>428</v>
      </c>
      <c r="B102" s="134">
        <v>11.12</v>
      </c>
      <c r="C102" s="134">
        <v>21.03</v>
      </c>
      <c r="D102" s="134">
        <v>18.850000000000001</v>
      </c>
      <c r="E102" s="134">
        <v>8.5</v>
      </c>
      <c r="F102" s="134">
        <v>2.08</v>
      </c>
      <c r="G102" s="134">
        <v>7.13</v>
      </c>
      <c r="H102" s="134">
        <v>3.4</v>
      </c>
      <c r="I102" s="134">
        <v>3.95</v>
      </c>
      <c r="J102" s="134">
        <v>1.63</v>
      </c>
      <c r="K102" s="134">
        <v>265.92</v>
      </c>
      <c r="L102" s="134">
        <v>24.25</v>
      </c>
      <c r="M102" s="134">
        <v>98.45</v>
      </c>
      <c r="N102" s="134">
        <v>0</v>
      </c>
      <c r="O102" s="134">
        <v>1</v>
      </c>
      <c r="P102" s="134">
        <v>0.36</v>
      </c>
      <c r="Q102" s="134">
        <v>3.4</v>
      </c>
    </row>
    <row r="103" spans="1:22" customFormat="1">
      <c r="A103" s="112" t="s">
        <v>429</v>
      </c>
      <c r="B103" s="134">
        <v>11.07</v>
      </c>
      <c r="C103" s="134">
        <v>20.45</v>
      </c>
      <c r="D103" s="134">
        <v>18.52</v>
      </c>
      <c r="E103" s="134">
        <v>8.98</v>
      </c>
      <c r="F103" s="134">
        <v>2.4500000000000002</v>
      </c>
      <c r="G103" s="134">
        <v>7.25</v>
      </c>
      <c r="H103" s="134">
        <v>3.38</v>
      </c>
      <c r="I103" s="134">
        <v>3.82</v>
      </c>
      <c r="J103" s="134">
        <v>1.66</v>
      </c>
      <c r="K103" s="134">
        <v>265.19</v>
      </c>
      <c r="L103" s="134">
        <v>24.23</v>
      </c>
      <c r="M103" s="134">
        <v>98.51</v>
      </c>
      <c r="N103" s="134">
        <v>0</v>
      </c>
      <c r="O103" s="134">
        <v>0.2</v>
      </c>
      <c r="P103" s="134">
        <v>0.33</v>
      </c>
      <c r="Q103" s="134">
        <v>3.41</v>
      </c>
    </row>
    <row r="104" spans="1:22" customFormat="1">
      <c r="A104" s="112" t="s">
        <v>430</v>
      </c>
      <c r="B104" s="134">
        <v>10.99</v>
      </c>
      <c r="C104" s="134">
        <v>19.91</v>
      </c>
      <c r="D104" s="134">
        <v>18.170000000000002</v>
      </c>
      <c r="E104" s="134">
        <v>8.42</v>
      </c>
      <c r="F104" s="134">
        <v>2.56</v>
      </c>
      <c r="G104" s="134">
        <v>9.19</v>
      </c>
      <c r="H104" s="134">
        <v>2.87</v>
      </c>
      <c r="I104" s="134">
        <v>3.8</v>
      </c>
      <c r="J104" s="134">
        <v>1.4</v>
      </c>
      <c r="K104" s="134">
        <v>264.68</v>
      </c>
      <c r="L104" s="134">
        <v>24.27</v>
      </c>
      <c r="M104" s="134">
        <v>98.56</v>
      </c>
      <c r="N104" s="134">
        <v>0</v>
      </c>
      <c r="O104" s="134">
        <v>0.6</v>
      </c>
      <c r="P104" s="134">
        <v>0.33</v>
      </c>
      <c r="Q104" s="134">
        <v>3.36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9.6300000000000008</v>
      </c>
      <c r="C106" s="183">
        <f>MIN(C9:C104)</f>
        <v>16.489999999999998</v>
      </c>
      <c r="D106" s="183">
        <f t="shared" ref="D106:Q106" si="0">MIN(D9:D104)</f>
        <v>15.53</v>
      </c>
      <c r="E106" s="183">
        <f t="shared" si="0"/>
        <v>4.2300000000000004</v>
      </c>
      <c r="F106" s="183">
        <f t="shared" si="0"/>
        <v>1.4</v>
      </c>
      <c r="G106" s="183">
        <f t="shared" si="0"/>
        <v>7.13</v>
      </c>
      <c r="H106" s="183">
        <f t="shared" si="0"/>
        <v>2.21</v>
      </c>
      <c r="I106" s="183">
        <f t="shared" si="0"/>
        <v>3.8</v>
      </c>
      <c r="J106" s="183">
        <f t="shared" si="0"/>
        <v>0.56000000000000005</v>
      </c>
      <c r="K106" s="183">
        <f t="shared" si="0"/>
        <v>253.45</v>
      </c>
      <c r="L106" s="183">
        <f t="shared" si="0"/>
        <v>24.16</v>
      </c>
      <c r="M106" s="183">
        <f t="shared" si="0"/>
        <v>85.81</v>
      </c>
      <c r="N106" s="183">
        <f t="shared" si="0"/>
        <v>0</v>
      </c>
      <c r="O106" s="183">
        <f t="shared" si="0"/>
        <v>0</v>
      </c>
      <c r="P106" s="183">
        <f t="shared" si="0"/>
        <v>0.33</v>
      </c>
      <c r="Q106" s="183">
        <f t="shared" si="0"/>
        <v>3.26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19.05</v>
      </c>
      <c r="C107" s="184">
        <f t="shared" ref="C107:Q107" si="1">MAX(C9:C104)</f>
        <v>27.18</v>
      </c>
      <c r="D107" s="184">
        <f t="shared" si="1"/>
        <v>26.1</v>
      </c>
      <c r="E107" s="184">
        <f t="shared" si="1"/>
        <v>9.6999999999999993</v>
      </c>
      <c r="F107" s="184">
        <f t="shared" si="1"/>
        <v>4.0199999999999996</v>
      </c>
      <c r="G107" s="184">
        <f t="shared" si="1"/>
        <v>24.7</v>
      </c>
      <c r="H107" s="184">
        <f t="shared" si="1"/>
        <v>7.74</v>
      </c>
      <c r="I107" s="184">
        <f t="shared" si="1"/>
        <v>7.69</v>
      </c>
      <c r="J107" s="184">
        <f t="shared" si="1"/>
        <v>1.95</v>
      </c>
      <c r="K107" s="184">
        <f t="shared" si="1"/>
        <v>284.66000000000003</v>
      </c>
      <c r="L107" s="184">
        <f t="shared" si="1"/>
        <v>26.33</v>
      </c>
      <c r="M107" s="184">
        <f t="shared" si="1"/>
        <v>98.56</v>
      </c>
      <c r="N107" s="184">
        <f t="shared" si="1"/>
        <v>188.6</v>
      </c>
      <c r="O107" s="184">
        <f t="shared" si="1"/>
        <v>1.8</v>
      </c>
      <c r="P107" s="184">
        <f t="shared" si="1"/>
        <v>0.81</v>
      </c>
      <c r="Q107" s="184">
        <f t="shared" si="1"/>
        <v>3.87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14.260208333333333</v>
      </c>
      <c r="C108" s="183">
        <f t="shared" ref="C108:Q108" si="2">AVERAGE(C9:C104)</f>
        <v>20.998437500000001</v>
      </c>
      <c r="D108" s="183">
        <f t="shared" si="2"/>
        <v>21.362187500000001</v>
      </c>
      <c r="E108" s="183">
        <f t="shared" si="2"/>
        <v>7.0056521739130435</v>
      </c>
      <c r="F108" s="183">
        <f t="shared" si="2"/>
        <v>2.5269791666666661</v>
      </c>
      <c r="G108" s="183">
        <f t="shared" si="2"/>
        <v>15.211562500000001</v>
      </c>
      <c r="H108" s="183">
        <f t="shared" si="2"/>
        <v>5.256249999999997</v>
      </c>
      <c r="I108" s="183">
        <f t="shared" si="2"/>
        <v>5.6927083333333348</v>
      </c>
      <c r="J108" s="183">
        <f t="shared" si="2"/>
        <v>1.1742708333333336</v>
      </c>
      <c r="K108" s="183">
        <f t="shared" si="2"/>
        <v>263.27166666666653</v>
      </c>
      <c r="L108" s="183">
        <f t="shared" si="2"/>
        <v>25.01947916666666</v>
      </c>
      <c r="M108" s="183">
        <f t="shared" si="2"/>
        <v>95.75</v>
      </c>
      <c r="N108" s="183">
        <f t="shared" si="2"/>
        <v>29.220833333333331</v>
      </c>
      <c r="O108" s="183">
        <f t="shared" si="2"/>
        <v>0.4145833333333333</v>
      </c>
      <c r="P108" s="183">
        <f t="shared" si="2"/>
        <v>0.52510416666666693</v>
      </c>
      <c r="Q108" s="183">
        <f t="shared" si="2"/>
        <v>3.5536458333333329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2.9176468453250277</v>
      </c>
      <c r="C109" s="183">
        <f t="shared" ref="C109:Q109" si="3">STDEV(C9:C104)</f>
        <v>1.5485003462602989</v>
      </c>
      <c r="D109" s="183">
        <f t="shared" si="3"/>
        <v>2.6762181498388053</v>
      </c>
      <c r="E109" s="183">
        <f t="shared" si="3"/>
        <v>1.5345381529943116</v>
      </c>
      <c r="F109" s="183">
        <f t="shared" si="3"/>
        <v>0.52706360305628441</v>
      </c>
      <c r="G109" s="183">
        <f t="shared" si="3"/>
        <v>4.2117908000541613</v>
      </c>
      <c r="H109" s="183">
        <f t="shared" si="3"/>
        <v>1.5118216617187867</v>
      </c>
      <c r="I109" s="183">
        <f t="shared" si="3"/>
        <v>1.0951774469696123</v>
      </c>
      <c r="J109" s="183">
        <f t="shared" si="3"/>
        <v>0.30365057754862435</v>
      </c>
      <c r="K109" s="183">
        <f t="shared" si="3"/>
        <v>5.6532555439947023</v>
      </c>
      <c r="L109" s="183">
        <f t="shared" si="3"/>
        <v>0.45923820167497453</v>
      </c>
      <c r="M109" s="183">
        <f t="shared" si="3"/>
        <v>2.2173046700885708</v>
      </c>
      <c r="N109" s="183">
        <f t="shared" si="3"/>
        <v>43.85447925670983</v>
      </c>
      <c r="O109" s="183">
        <f t="shared" si="3"/>
        <v>0.38851381243932659</v>
      </c>
      <c r="P109" s="183">
        <f t="shared" si="3"/>
        <v>0.1132207419314519</v>
      </c>
      <c r="Q109" s="183">
        <f t="shared" si="3"/>
        <v>0.15607096760714143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03/08/2023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431</v>
      </c>
      <c r="B9" s="134">
        <v>12.36</v>
      </c>
      <c r="C9" s="134">
        <v>21.45</v>
      </c>
      <c r="D9" s="134">
        <v>20.07</v>
      </c>
      <c r="E9" s="134">
        <v>9.0500000000000007</v>
      </c>
      <c r="F9" s="134">
        <v>2.11</v>
      </c>
      <c r="G9" s="134">
        <v>9.19</v>
      </c>
      <c r="H9" s="134">
        <v>2.87</v>
      </c>
      <c r="I9" s="134">
        <v>3.66</v>
      </c>
      <c r="J9" s="134">
        <v>1.47</v>
      </c>
      <c r="K9" s="134">
        <v>266.52999999999997</v>
      </c>
      <c r="L9" s="134">
        <v>24.32</v>
      </c>
      <c r="M9" s="134">
        <v>98.59</v>
      </c>
      <c r="N9" s="134">
        <v>0</v>
      </c>
      <c r="O9" s="134">
        <v>0.8</v>
      </c>
      <c r="P9" s="134">
        <v>0.33</v>
      </c>
      <c r="Q9" s="134">
        <v>3.42</v>
      </c>
    </row>
    <row r="10" spans="1:21" customFormat="1">
      <c r="A10" s="112" t="s">
        <v>432</v>
      </c>
      <c r="B10" s="134">
        <v>12.46</v>
      </c>
      <c r="C10" s="134">
        <v>19.64</v>
      </c>
      <c r="D10" s="134">
        <v>19.21</v>
      </c>
      <c r="E10" s="134">
        <v>8.6999999999999993</v>
      </c>
      <c r="F10" s="134">
        <v>2.91</v>
      </c>
      <c r="G10" s="134">
        <v>9.19</v>
      </c>
      <c r="H10" s="134">
        <v>2.87</v>
      </c>
      <c r="I10" s="134">
        <v>3.61</v>
      </c>
      <c r="J10" s="134">
        <v>1.45</v>
      </c>
      <c r="K10" s="134">
        <v>265.45999999999998</v>
      </c>
      <c r="L10" s="134">
        <v>24.38</v>
      </c>
      <c r="M10" s="134">
        <v>98.64</v>
      </c>
      <c r="N10" s="134">
        <v>0</v>
      </c>
      <c r="O10" s="134">
        <v>0.2</v>
      </c>
      <c r="P10" s="134">
        <v>0.31</v>
      </c>
      <c r="Q10" s="134">
        <v>3.35</v>
      </c>
    </row>
    <row r="11" spans="1:21" customFormat="1">
      <c r="A11" s="112" t="s">
        <v>433</v>
      </c>
      <c r="B11" s="134">
        <v>12.3</v>
      </c>
      <c r="C11" s="134">
        <v>21.17</v>
      </c>
      <c r="D11" s="134">
        <v>19.88</v>
      </c>
      <c r="E11" s="134">
        <v>8.7200000000000006</v>
      </c>
      <c r="F11" s="134">
        <v>2.12</v>
      </c>
      <c r="G11" s="134">
        <v>9.0500000000000007</v>
      </c>
      <c r="H11" s="134">
        <v>2.82</v>
      </c>
      <c r="I11" s="134">
        <v>3.6</v>
      </c>
      <c r="J11" s="134">
        <v>1.54</v>
      </c>
      <c r="K11" s="134">
        <v>264.7</v>
      </c>
      <c r="L11" s="134">
        <v>24.42</v>
      </c>
      <c r="M11" s="134">
        <v>98.71</v>
      </c>
      <c r="N11" s="134">
        <v>0</v>
      </c>
      <c r="O11" s="134">
        <v>0.8</v>
      </c>
      <c r="P11" s="134">
        <v>0.33</v>
      </c>
      <c r="Q11" s="134">
        <v>3.37</v>
      </c>
    </row>
    <row r="12" spans="1:21" customFormat="1">
      <c r="A12" s="112" t="s">
        <v>434</v>
      </c>
      <c r="B12" s="134">
        <v>12.35</v>
      </c>
      <c r="C12" s="134">
        <v>20.02</v>
      </c>
      <c r="D12" s="134">
        <v>19.32</v>
      </c>
      <c r="E12" s="134">
        <v>8.94</v>
      </c>
      <c r="F12" s="134">
        <v>2.89</v>
      </c>
      <c r="G12" s="134">
        <v>6.53</v>
      </c>
      <c r="H12" s="134">
        <v>2.0299999999999998</v>
      </c>
      <c r="I12" s="134">
        <v>3.48</v>
      </c>
      <c r="J12" s="134">
        <v>1.47</v>
      </c>
      <c r="K12" s="134">
        <v>267.06</v>
      </c>
      <c r="L12" s="134">
        <v>24.39</v>
      </c>
      <c r="M12" s="134">
        <v>98.67</v>
      </c>
      <c r="N12" s="134">
        <v>0</v>
      </c>
      <c r="O12" s="134">
        <v>0.4</v>
      </c>
      <c r="P12" s="134">
        <v>0.3</v>
      </c>
      <c r="Q12" s="134">
        <v>3.38</v>
      </c>
    </row>
    <row r="13" spans="1:21" customFormat="1">
      <c r="A13" s="112" t="s">
        <v>435</v>
      </c>
      <c r="B13" s="134">
        <v>12.31</v>
      </c>
      <c r="C13" s="134">
        <v>21.1</v>
      </c>
      <c r="D13" s="134">
        <v>19.850000000000001</v>
      </c>
      <c r="E13" s="134">
        <v>8.7899999999999991</v>
      </c>
      <c r="F13" s="134">
        <v>2.16</v>
      </c>
      <c r="G13" s="134">
        <v>6.53</v>
      </c>
      <c r="H13" s="134">
        <v>2.0299999999999998</v>
      </c>
      <c r="I13" s="134">
        <v>3.47</v>
      </c>
      <c r="J13" s="134">
        <v>1.48</v>
      </c>
      <c r="K13" s="134">
        <v>266.27</v>
      </c>
      <c r="L13" s="134">
        <v>24.35</v>
      </c>
      <c r="M13" s="134">
        <v>98.52</v>
      </c>
      <c r="N13" s="134">
        <v>0</v>
      </c>
      <c r="O13" s="134">
        <v>1.2</v>
      </c>
      <c r="P13" s="134">
        <v>0.32</v>
      </c>
      <c r="Q13" s="134">
        <v>3.35</v>
      </c>
    </row>
    <row r="14" spans="1:21" customFormat="1">
      <c r="A14" s="112" t="s">
        <v>436</v>
      </c>
      <c r="B14" s="134">
        <v>11.83</v>
      </c>
      <c r="C14" s="134">
        <v>22.82</v>
      </c>
      <c r="D14" s="134">
        <v>20.36</v>
      </c>
      <c r="E14" s="134">
        <v>8.99</v>
      </c>
      <c r="F14" s="134">
        <v>1.82</v>
      </c>
      <c r="G14" s="134">
        <v>6.53</v>
      </c>
      <c r="H14" s="134">
        <v>2.0299999999999998</v>
      </c>
      <c r="I14" s="134">
        <v>3.38</v>
      </c>
      <c r="J14" s="134">
        <v>1.36</v>
      </c>
      <c r="K14" s="134">
        <v>265.8</v>
      </c>
      <c r="L14" s="134">
        <v>24.32</v>
      </c>
      <c r="M14" s="134">
        <v>98.32</v>
      </c>
      <c r="N14" s="134">
        <v>0</v>
      </c>
      <c r="O14" s="134">
        <v>0.8</v>
      </c>
      <c r="P14" s="134">
        <v>0.36</v>
      </c>
      <c r="Q14" s="134">
        <v>3.39</v>
      </c>
    </row>
    <row r="15" spans="1:21" customFormat="1">
      <c r="A15" s="112" t="s">
        <v>437</v>
      </c>
      <c r="B15" s="134">
        <v>11.85</v>
      </c>
      <c r="C15" s="134">
        <v>21.52</v>
      </c>
      <c r="D15" s="134">
        <v>19.7</v>
      </c>
      <c r="E15" s="134">
        <v>8.9600000000000009</v>
      </c>
      <c r="F15" s="134">
        <v>2.76</v>
      </c>
      <c r="G15" s="134">
        <v>6.46</v>
      </c>
      <c r="H15" s="134">
        <v>2.0099999999999998</v>
      </c>
      <c r="I15" s="134">
        <v>3.46</v>
      </c>
      <c r="J15" s="134">
        <v>1.36</v>
      </c>
      <c r="K15" s="134">
        <v>267.57</v>
      </c>
      <c r="L15" s="134">
        <v>24.28</v>
      </c>
      <c r="M15" s="134">
        <v>98.09</v>
      </c>
      <c r="N15" s="134">
        <v>0</v>
      </c>
      <c r="O15" s="134">
        <v>1.2</v>
      </c>
      <c r="P15" s="134">
        <v>0.33</v>
      </c>
      <c r="Q15" s="134">
        <v>3.42</v>
      </c>
    </row>
    <row r="16" spans="1:21" customFormat="1">
      <c r="A16" s="112" t="s">
        <v>438</v>
      </c>
      <c r="B16" s="134">
        <v>11.93</v>
      </c>
      <c r="C16" s="134">
        <v>18.96</v>
      </c>
      <c r="D16" s="134">
        <v>18.43</v>
      </c>
      <c r="E16" s="134">
        <v>8.32</v>
      </c>
      <c r="F16" s="134">
        <v>3.5</v>
      </c>
      <c r="G16" s="134">
        <v>4.8600000000000003</v>
      </c>
      <c r="H16" s="134">
        <v>1.63</v>
      </c>
      <c r="I16" s="134">
        <v>3.37</v>
      </c>
      <c r="J16" s="134">
        <v>1.36</v>
      </c>
      <c r="K16" s="134">
        <v>265.24</v>
      </c>
      <c r="L16" s="134">
        <v>24.22</v>
      </c>
      <c r="M16" s="134">
        <v>97.89</v>
      </c>
      <c r="N16" s="134">
        <v>0</v>
      </c>
      <c r="O16" s="134">
        <v>1.6</v>
      </c>
      <c r="P16" s="134">
        <v>0.28000000000000003</v>
      </c>
      <c r="Q16" s="134">
        <v>3.32</v>
      </c>
    </row>
    <row r="17" spans="1:17" customFormat="1">
      <c r="A17" s="112" t="s">
        <v>439</v>
      </c>
      <c r="B17" s="134">
        <v>11.94</v>
      </c>
      <c r="C17" s="134">
        <v>19.09</v>
      </c>
      <c r="D17" s="134">
        <v>18.510000000000002</v>
      </c>
      <c r="E17" s="134">
        <v>7</v>
      </c>
      <c r="F17" s="134">
        <v>2.84</v>
      </c>
      <c r="G17" s="134">
        <v>4.8600000000000003</v>
      </c>
      <c r="H17" s="134">
        <v>1.63</v>
      </c>
      <c r="I17" s="134">
        <v>3.22</v>
      </c>
      <c r="J17" s="134">
        <v>1.31</v>
      </c>
      <c r="K17" s="134">
        <v>266.97000000000003</v>
      </c>
      <c r="L17" s="134">
        <v>24.17</v>
      </c>
      <c r="M17" s="134">
        <v>97.97</v>
      </c>
      <c r="N17" s="134">
        <v>0</v>
      </c>
      <c r="O17" s="134">
        <v>1.4</v>
      </c>
      <c r="P17" s="134">
        <v>0.27</v>
      </c>
      <c r="Q17" s="134">
        <v>3.28</v>
      </c>
    </row>
    <row r="18" spans="1:17" customFormat="1">
      <c r="A18" s="112" t="s">
        <v>440</v>
      </c>
      <c r="B18" s="134">
        <v>11.85</v>
      </c>
      <c r="C18" s="134">
        <v>20.78</v>
      </c>
      <c r="D18" s="134">
        <v>19.309999999999999</v>
      </c>
      <c r="E18" s="134">
        <v>8.24</v>
      </c>
      <c r="F18" s="134">
        <v>2.13</v>
      </c>
      <c r="G18" s="134">
        <v>4.8600000000000003</v>
      </c>
      <c r="H18" s="134">
        <v>1.63</v>
      </c>
      <c r="I18" s="134">
        <v>3.14</v>
      </c>
      <c r="J18" s="134">
        <v>1.54</v>
      </c>
      <c r="K18" s="134">
        <v>267</v>
      </c>
      <c r="L18" s="134">
        <v>24.18</v>
      </c>
      <c r="M18" s="134">
        <v>98.13</v>
      </c>
      <c r="N18" s="134">
        <v>0</v>
      </c>
      <c r="O18" s="134">
        <v>1.4</v>
      </c>
      <c r="P18" s="134">
        <v>0.28000000000000003</v>
      </c>
      <c r="Q18" s="134">
        <v>3.34</v>
      </c>
    </row>
    <row r="19" spans="1:17" customFormat="1">
      <c r="A19" s="112" t="s">
        <v>441</v>
      </c>
      <c r="B19" s="134">
        <v>11.89</v>
      </c>
      <c r="C19" s="134">
        <v>19.28</v>
      </c>
      <c r="D19" s="134">
        <v>18.559999999999999</v>
      </c>
      <c r="E19" s="134">
        <v>8.09</v>
      </c>
      <c r="F19" s="134">
        <v>2.9</v>
      </c>
      <c r="G19" s="134">
        <v>4.8099999999999996</v>
      </c>
      <c r="H19" s="134">
        <v>1.62</v>
      </c>
      <c r="I19" s="134">
        <v>3.13</v>
      </c>
      <c r="J19" s="134">
        <v>1.23</v>
      </c>
      <c r="K19" s="134">
        <v>267.08</v>
      </c>
      <c r="L19" s="134">
        <v>24.13</v>
      </c>
      <c r="M19" s="134">
        <v>98.25</v>
      </c>
      <c r="N19" s="134">
        <v>0</v>
      </c>
      <c r="O19" s="134">
        <v>1</v>
      </c>
      <c r="P19" s="134">
        <v>0.26</v>
      </c>
      <c r="Q19" s="134">
        <v>3.29</v>
      </c>
    </row>
    <row r="20" spans="1:17" customFormat="1">
      <c r="A20" s="112" t="s">
        <v>442</v>
      </c>
      <c r="B20" s="134">
        <v>11.94</v>
      </c>
      <c r="C20" s="134">
        <v>20.88</v>
      </c>
      <c r="D20" s="134">
        <v>19.440000000000001</v>
      </c>
      <c r="E20" s="134">
        <v>8.2799999999999994</v>
      </c>
      <c r="F20" s="134">
        <v>1.8</v>
      </c>
      <c r="G20" s="134">
        <v>3.76</v>
      </c>
      <c r="H20" s="134">
        <v>1.46</v>
      </c>
      <c r="I20" s="134">
        <v>3.13</v>
      </c>
      <c r="J20" s="134">
        <v>1.28</v>
      </c>
      <c r="K20" s="134">
        <v>267.38</v>
      </c>
      <c r="L20" s="134">
        <v>24.1</v>
      </c>
      <c r="M20" s="134">
        <v>98.37</v>
      </c>
      <c r="N20" s="134">
        <v>0</v>
      </c>
      <c r="O20" s="134">
        <v>1.2</v>
      </c>
      <c r="P20" s="134">
        <v>0.28000000000000003</v>
      </c>
      <c r="Q20" s="134">
        <v>3.35</v>
      </c>
    </row>
    <row r="21" spans="1:17" customFormat="1">
      <c r="A21" s="112" t="s">
        <v>443</v>
      </c>
      <c r="B21" s="134">
        <v>12.12</v>
      </c>
      <c r="C21" s="134">
        <v>19.87</v>
      </c>
      <c r="D21" s="134">
        <v>19.059999999999999</v>
      </c>
      <c r="E21" s="134">
        <v>8.43</v>
      </c>
      <c r="F21" s="134">
        <v>2.38</v>
      </c>
      <c r="G21" s="134">
        <v>3.76</v>
      </c>
      <c r="H21" s="134">
        <v>1.46</v>
      </c>
      <c r="I21" s="134">
        <v>3.03</v>
      </c>
      <c r="J21" s="134">
        <v>1.39</v>
      </c>
      <c r="K21" s="134">
        <v>264.86</v>
      </c>
      <c r="L21" s="134">
        <v>24.08</v>
      </c>
      <c r="M21" s="134">
        <v>98.49</v>
      </c>
      <c r="N21" s="134">
        <v>0</v>
      </c>
      <c r="O21" s="134">
        <v>1.4</v>
      </c>
      <c r="P21" s="134">
        <v>0.27</v>
      </c>
      <c r="Q21" s="134">
        <v>3.37</v>
      </c>
    </row>
    <row r="22" spans="1:17" customFormat="1">
      <c r="A22" s="112" t="s">
        <v>444</v>
      </c>
      <c r="B22" s="134">
        <v>12.08</v>
      </c>
      <c r="C22" s="134">
        <v>19.41</v>
      </c>
      <c r="D22" s="134">
        <v>18.79</v>
      </c>
      <c r="E22" s="134">
        <v>7.98</v>
      </c>
      <c r="F22" s="134">
        <v>2.62</v>
      </c>
      <c r="G22" s="134">
        <v>3.76</v>
      </c>
      <c r="H22" s="134">
        <v>1.46</v>
      </c>
      <c r="I22" s="134">
        <v>3.1</v>
      </c>
      <c r="J22" s="134">
        <v>1.25</v>
      </c>
      <c r="K22" s="134">
        <v>266.77999999999997</v>
      </c>
      <c r="L22" s="134">
        <v>24.04</v>
      </c>
      <c r="M22" s="134">
        <v>98.59</v>
      </c>
      <c r="N22" s="134">
        <v>0</v>
      </c>
      <c r="O22" s="134">
        <v>1.6</v>
      </c>
      <c r="P22" s="134">
        <v>0.27</v>
      </c>
      <c r="Q22" s="134">
        <v>3.31</v>
      </c>
    </row>
    <row r="23" spans="1:17" customFormat="1">
      <c r="A23" s="112" t="s">
        <v>445</v>
      </c>
      <c r="B23" s="134">
        <v>12.22</v>
      </c>
      <c r="C23" s="134">
        <v>19.920000000000002</v>
      </c>
      <c r="D23" s="134">
        <v>19.16</v>
      </c>
      <c r="E23" s="134">
        <v>8.3800000000000008</v>
      </c>
      <c r="F23" s="134">
        <v>2.3199999999999998</v>
      </c>
      <c r="G23" s="134">
        <v>3.8</v>
      </c>
      <c r="H23" s="134">
        <v>1.47</v>
      </c>
      <c r="I23" s="134">
        <v>3.01</v>
      </c>
      <c r="J23" s="134">
        <v>0.93</v>
      </c>
      <c r="K23" s="134">
        <v>264.73</v>
      </c>
      <c r="L23" s="134">
        <v>23.98</v>
      </c>
      <c r="M23" s="134">
        <v>98.67</v>
      </c>
      <c r="N23" s="134">
        <v>0</v>
      </c>
      <c r="O23" s="134">
        <v>1.8</v>
      </c>
      <c r="P23" s="134">
        <v>0.27</v>
      </c>
      <c r="Q23" s="134">
        <v>3.33</v>
      </c>
    </row>
    <row r="24" spans="1:17" customFormat="1">
      <c r="A24" s="112" t="s">
        <v>446</v>
      </c>
      <c r="B24" s="134">
        <v>12.34</v>
      </c>
      <c r="C24" s="134">
        <v>19.489999999999998</v>
      </c>
      <c r="D24" s="134">
        <v>19.04</v>
      </c>
      <c r="E24" s="134">
        <v>8.11</v>
      </c>
      <c r="F24" s="134">
        <v>2.63</v>
      </c>
      <c r="G24" s="134">
        <v>4.67</v>
      </c>
      <c r="H24" s="134">
        <v>1.76</v>
      </c>
      <c r="I24" s="134">
        <v>2.97</v>
      </c>
      <c r="J24" s="134">
        <v>1.19</v>
      </c>
      <c r="K24" s="134">
        <v>265.02</v>
      </c>
      <c r="L24" s="134">
        <v>23.96</v>
      </c>
      <c r="M24" s="134">
        <v>98.76</v>
      </c>
      <c r="N24" s="134">
        <v>0</v>
      </c>
      <c r="O24" s="134">
        <v>1.4</v>
      </c>
      <c r="P24" s="134">
        <v>0.26</v>
      </c>
      <c r="Q24" s="134">
        <v>3.32</v>
      </c>
    </row>
    <row r="25" spans="1:17" customFormat="1">
      <c r="A25" s="112" t="s">
        <v>447</v>
      </c>
      <c r="B25" s="134">
        <v>12.55</v>
      </c>
      <c r="C25" s="134">
        <v>20.07</v>
      </c>
      <c r="D25" s="134">
        <v>19.510000000000002</v>
      </c>
      <c r="E25" s="134">
        <v>8.51</v>
      </c>
      <c r="F25" s="134">
        <v>2.2599999999999998</v>
      </c>
      <c r="G25" s="134">
        <v>4.67</v>
      </c>
      <c r="H25" s="134">
        <v>1.76</v>
      </c>
      <c r="I25" s="134">
        <v>2.95</v>
      </c>
      <c r="J25" s="134">
        <v>1.1499999999999999</v>
      </c>
      <c r="K25" s="134">
        <v>267.5</v>
      </c>
      <c r="L25" s="134">
        <v>23.94</v>
      </c>
      <c r="M25" s="134">
        <v>98.84</v>
      </c>
      <c r="N25" s="134">
        <v>0</v>
      </c>
      <c r="O25" s="134">
        <v>2.8</v>
      </c>
      <c r="P25" s="134">
        <v>0.27</v>
      </c>
      <c r="Q25" s="134">
        <v>3.37</v>
      </c>
    </row>
    <row r="26" spans="1:17" customFormat="1">
      <c r="A26" s="112" t="s">
        <v>448</v>
      </c>
      <c r="B26" s="134">
        <v>12.77</v>
      </c>
      <c r="C26" s="134">
        <v>18.670000000000002</v>
      </c>
      <c r="D26" s="134">
        <v>18.95</v>
      </c>
      <c r="E26" s="134">
        <v>8.58</v>
      </c>
      <c r="F26" s="134">
        <v>2.85</v>
      </c>
      <c r="G26" s="134">
        <v>4.67</v>
      </c>
      <c r="H26" s="134">
        <v>1.76</v>
      </c>
      <c r="I26" s="134">
        <v>2.91</v>
      </c>
      <c r="J26" s="134">
        <v>1.1000000000000001</v>
      </c>
      <c r="K26" s="134">
        <v>265.27999999999997</v>
      </c>
      <c r="L26" s="134">
        <v>23.92</v>
      </c>
      <c r="M26" s="134">
        <v>98.89</v>
      </c>
      <c r="N26" s="134">
        <v>0</v>
      </c>
      <c r="O26" s="134">
        <v>2</v>
      </c>
      <c r="P26" s="134">
        <v>0.25</v>
      </c>
      <c r="Q26" s="134">
        <v>3.3</v>
      </c>
    </row>
    <row r="27" spans="1:17" customFormat="1">
      <c r="A27" s="112" t="s">
        <v>449</v>
      </c>
      <c r="B27" s="134">
        <v>12.73</v>
      </c>
      <c r="C27" s="134">
        <v>20.45</v>
      </c>
      <c r="D27" s="134">
        <v>19.850000000000001</v>
      </c>
      <c r="E27" s="134">
        <v>8.61</v>
      </c>
      <c r="F27" s="134">
        <v>2.0499999999999998</v>
      </c>
      <c r="G27" s="134">
        <v>4.8099999999999996</v>
      </c>
      <c r="H27" s="134">
        <v>1.75</v>
      </c>
      <c r="I27" s="134">
        <v>2.93</v>
      </c>
      <c r="J27" s="134">
        <v>1.31</v>
      </c>
      <c r="K27" s="134">
        <v>264.19</v>
      </c>
      <c r="L27" s="134">
        <v>23.9</v>
      </c>
      <c r="M27" s="134">
        <v>98.94</v>
      </c>
      <c r="N27" s="134">
        <v>0</v>
      </c>
      <c r="O27" s="134">
        <v>1</v>
      </c>
      <c r="P27" s="134">
        <v>0.27</v>
      </c>
      <c r="Q27" s="134">
        <v>3.34</v>
      </c>
    </row>
    <row r="28" spans="1:17" customFormat="1">
      <c r="A28" s="112" t="s">
        <v>450</v>
      </c>
      <c r="B28" s="134">
        <v>12.93</v>
      </c>
      <c r="C28" s="134">
        <v>19</v>
      </c>
      <c r="D28" s="134">
        <v>19.25</v>
      </c>
      <c r="E28" s="134">
        <v>8.3699999999999992</v>
      </c>
      <c r="F28" s="134">
        <v>2.88</v>
      </c>
      <c r="G28" s="134">
        <v>8</v>
      </c>
      <c r="H28" s="134">
        <v>1.73</v>
      </c>
      <c r="I28" s="134">
        <v>2.86</v>
      </c>
      <c r="J28" s="134">
        <v>1.21</v>
      </c>
      <c r="K28" s="134">
        <v>266.10000000000002</v>
      </c>
      <c r="L28" s="134">
        <v>23.9</v>
      </c>
      <c r="M28" s="134">
        <v>99</v>
      </c>
      <c r="N28" s="134">
        <v>0</v>
      </c>
      <c r="O28" s="134">
        <v>0.8</v>
      </c>
      <c r="P28" s="134">
        <v>0.26</v>
      </c>
      <c r="Q28" s="134">
        <v>3.33</v>
      </c>
    </row>
    <row r="29" spans="1:17" customFormat="1">
      <c r="A29" s="112" t="s">
        <v>451</v>
      </c>
      <c r="B29" s="134">
        <v>13.06</v>
      </c>
      <c r="C29" s="134">
        <v>20.14</v>
      </c>
      <c r="D29" s="134">
        <v>19.95</v>
      </c>
      <c r="E29" s="134">
        <v>8.2799999999999994</v>
      </c>
      <c r="F29" s="134">
        <v>1.98</v>
      </c>
      <c r="G29" s="134">
        <v>8</v>
      </c>
      <c r="H29" s="134">
        <v>1.73</v>
      </c>
      <c r="I29" s="134">
        <v>2.92</v>
      </c>
      <c r="J29" s="134">
        <v>1.32</v>
      </c>
      <c r="K29" s="134">
        <v>264.89</v>
      </c>
      <c r="L29" s="134">
        <v>23.93</v>
      </c>
      <c r="M29" s="134">
        <v>99.04</v>
      </c>
      <c r="N29" s="134">
        <v>0</v>
      </c>
      <c r="O29" s="134">
        <v>1.2</v>
      </c>
      <c r="P29" s="134">
        <v>0.28000000000000003</v>
      </c>
      <c r="Q29" s="134">
        <v>3.37</v>
      </c>
    </row>
    <row r="30" spans="1:17" customFormat="1">
      <c r="A30" s="112" t="s">
        <v>452</v>
      </c>
      <c r="B30" s="134">
        <v>13.33</v>
      </c>
      <c r="C30" s="134">
        <v>18.82</v>
      </c>
      <c r="D30" s="134">
        <v>19.48</v>
      </c>
      <c r="E30" s="134">
        <v>8.75</v>
      </c>
      <c r="F30" s="134">
        <v>2.71</v>
      </c>
      <c r="G30" s="134">
        <v>8</v>
      </c>
      <c r="H30" s="134">
        <v>1.73</v>
      </c>
      <c r="I30" s="134">
        <v>2.84</v>
      </c>
      <c r="J30" s="134">
        <v>1.19</v>
      </c>
      <c r="K30" s="134">
        <v>265.02</v>
      </c>
      <c r="L30" s="134">
        <v>23.94</v>
      </c>
      <c r="M30" s="134">
        <v>99.06</v>
      </c>
      <c r="N30" s="134">
        <v>0</v>
      </c>
      <c r="O30" s="134">
        <v>1.8</v>
      </c>
      <c r="P30" s="134">
        <v>0.25</v>
      </c>
      <c r="Q30" s="134">
        <v>3.39</v>
      </c>
    </row>
    <row r="31" spans="1:17" customFormat="1">
      <c r="A31" s="112" t="s">
        <v>453</v>
      </c>
      <c r="B31" s="134">
        <v>13.36</v>
      </c>
      <c r="C31" s="134">
        <v>19.68</v>
      </c>
      <c r="D31" s="134">
        <v>19.95</v>
      </c>
      <c r="E31" s="134">
        <v>8.18</v>
      </c>
      <c r="F31" s="134">
        <v>2.2200000000000002</v>
      </c>
      <c r="G31" s="134">
        <v>7.91</v>
      </c>
      <c r="H31" s="134">
        <v>1.84</v>
      </c>
      <c r="I31" s="134">
        <v>2.92</v>
      </c>
      <c r="J31" s="134">
        <v>1.28</v>
      </c>
      <c r="K31" s="134">
        <v>265.2</v>
      </c>
      <c r="L31" s="134">
        <v>23.93</v>
      </c>
      <c r="M31" s="134">
        <v>99.1</v>
      </c>
      <c r="N31" s="134">
        <v>0</v>
      </c>
      <c r="O31" s="134">
        <v>1.6</v>
      </c>
      <c r="P31" s="134">
        <v>0.28000000000000003</v>
      </c>
      <c r="Q31" s="134">
        <v>3.38</v>
      </c>
    </row>
    <row r="32" spans="1:17" customFormat="1">
      <c r="A32" s="112" t="s">
        <v>454</v>
      </c>
      <c r="B32" s="134">
        <v>13.48</v>
      </c>
      <c r="C32" s="134">
        <v>19.14</v>
      </c>
      <c r="D32" s="134">
        <v>19.77</v>
      </c>
      <c r="E32" s="134">
        <v>8.73</v>
      </c>
      <c r="F32" s="134">
        <v>2.54</v>
      </c>
      <c r="G32" s="134">
        <v>5.93</v>
      </c>
      <c r="H32" s="134">
        <v>3.62</v>
      </c>
      <c r="I32" s="134">
        <v>2.9</v>
      </c>
      <c r="J32" s="134">
        <v>1.3</v>
      </c>
      <c r="K32" s="134">
        <v>268.33</v>
      </c>
      <c r="L32" s="134">
        <v>23.94</v>
      </c>
      <c r="M32" s="134">
        <v>99.13</v>
      </c>
      <c r="N32" s="134">
        <v>0</v>
      </c>
      <c r="O32" s="134">
        <v>2.4</v>
      </c>
      <c r="P32" s="134">
        <v>0.27</v>
      </c>
      <c r="Q32" s="134">
        <v>3.4</v>
      </c>
    </row>
    <row r="33" spans="1:17" customFormat="1">
      <c r="A33" s="112" t="s">
        <v>455</v>
      </c>
      <c r="B33" s="134">
        <v>13.65</v>
      </c>
      <c r="C33" s="134">
        <v>20.57</v>
      </c>
      <c r="D33" s="134">
        <v>20.65</v>
      </c>
      <c r="E33" s="134">
        <v>8.64</v>
      </c>
      <c r="F33" s="134">
        <v>1.9</v>
      </c>
      <c r="G33" s="134">
        <v>5.93</v>
      </c>
      <c r="H33" s="134">
        <v>3.62</v>
      </c>
      <c r="I33" s="134">
        <v>3</v>
      </c>
      <c r="J33" s="134">
        <v>1.17</v>
      </c>
      <c r="K33" s="134">
        <v>269.18</v>
      </c>
      <c r="L33" s="134">
        <v>23.94</v>
      </c>
      <c r="M33" s="134">
        <v>99.17</v>
      </c>
      <c r="N33" s="134">
        <v>0</v>
      </c>
      <c r="O33" s="134">
        <v>1.4</v>
      </c>
      <c r="P33" s="134">
        <v>0.28999999999999998</v>
      </c>
      <c r="Q33" s="134">
        <v>3.43</v>
      </c>
    </row>
    <row r="34" spans="1:17" customFormat="1">
      <c r="A34" s="112" t="s">
        <v>456</v>
      </c>
      <c r="B34" s="134">
        <v>13.68</v>
      </c>
      <c r="C34" s="134">
        <v>22.47</v>
      </c>
      <c r="D34" s="134">
        <v>21.66</v>
      </c>
      <c r="E34" s="134">
        <v>9.26</v>
      </c>
      <c r="F34" s="134">
        <v>1.64</v>
      </c>
      <c r="G34" s="134">
        <v>5.93</v>
      </c>
      <c r="H34" s="134">
        <v>3.62</v>
      </c>
      <c r="I34" s="134">
        <v>3.11</v>
      </c>
      <c r="J34" s="134">
        <v>1.41</v>
      </c>
      <c r="K34" s="134">
        <v>266.24</v>
      </c>
      <c r="L34" s="134">
        <v>23.92</v>
      </c>
      <c r="M34" s="134">
        <v>99.19</v>
      </c>
      <c r="N34" s="134">
        <v>0</v>
      </c>
      <c r="O34" s="134">
        <v>2</v>
      </c>
      <c r="P34" s="134">
        <v>0.34</v>
      </c>
      <c r="Q34" s="134">
        <v>3.45</v>
      </c>
    </row>
    <row r="35" spans="1:17" customFormat="1">
      <c r="A35" s="112" t="s">
        <v>457</v>
      </c>
      <c r="B35" s="134">
        <v>13.53</v>
      </c>
      <c r="C35" s="134">
        <v>23.56</v>
      </c>
      <c r="D35" s="134">
        <v>22.11</v>
      </c>
      <c r="E35" s="134">
        <v>9.39</v>
      </c>
      <c r="F35" s="134">
        <v>1.95</v>
      </c>
      <c r="G35" s="134">
        <v>5.85</v>
      </c>
      <c r="H35" s="134">
        <v>3.72</v>
      </c>
      <c r="I35" s="134">
        <v>3.39</v>
      </c>
      <c r="J35" s="134">
        <v>1.46</v>
      </c>
      <c r="K35" s="134">
        <v>264.64999999999998</v>
      </c>
      <c r="L35" s="134">
        <v>23.9</v>
      </c>
      <c r="M35" s="134">
        <v>99.02</v>
      </c>
      <c r="N35" s="134">
        <v>2.2999999999999998</v>
      </c>
      <c r="O35" s="134">
        <v>1.2</v>
      </c>
      <c r="P35" s="134">
        <v>0.42</v>
      </c>
      <c r="Q35" s="134">
        <v>3.52</v>
      </c>
    </row>
    <row r="36" spans="1:17" customFormat="1">
      <c r="A36" s="112" t="s">
        <v>458</v>
      </c>
      <c r="B36" s="134">
        <v>13.9</v>
      </c>
      <c r="C36" s="134">
        <v>20.77</v>
      </c>
      <c r="D36" s="134">
        <v>20.95</v>
      </c>
      <c r="E36" s="134">
        <v>8.52</v>
      </c>
      <c r="F36" s="134">
        <v>3.04</v>
      </c>
      <c r="G36" s="134">
        <v>4.18</v>
      </c>
      <c r="H36" s="134">
        <v>5.39</v>
      </c>
      <c r="I36" s="134">
        <v>3.83</v>
      </c>
      <c r="J36" s="134">
        <v>1.31</v>
      </c>
      <c r="K36" s="134">
        <v>267.77999999999997</v>
      </c>
      <c r="L36" s="134">
        <v>23.9</v>
      </c>
      <c r="M36" s="134">
        <v>99.01</v>
      </c>
      <c r="N36" s="134">
        <v>5.5</v>
      </c>
      <c r="O36" s="134">
        <v>0.8</v>
      </c>
      <c r="P36" s="134">
        <v>0.39</v>
      </c>
      <c r="Q36" s="134">
        <v>3.52</v>
      </c>
    </row>
    <row r="37" spans="1:17" customFormat="1">
      <c r="A37" s="112" t="s">
        <v>459</v>
      </c>
      <c r="B37" s="134">
        <v>14.11</v>
      </c>
      <c r="C37" s="134">
        <v>19.190000000000001</v>
      </c>
      <c r="D37" s="134">
        <v>20.3</v>
      </c>
      <c r="E37" s="134">
        <v>8.2200000000000006</v>
      </c>
      <c r="F37" s="134">
        <v>3.03</v>
      </c>
      <c r="G37" s="134">
        <v>4.18</v>
      </c>
      <c r="H37" s="134">
        <v>5.39</v>
      </c>
      <c r="I37" s="134">
        <v>4.16</v>
      </c>
      <c r="J37" s="134">
        <v>1.37</v>
      </c>
      <c r="K37" s="134">
        <v>263.41000000000003</v>
      </c>
      <c r="L37" s="134">
        <v>23.9</v>
      </c>
      <c r="M37" s="134">
        <v>98.87</v>
      </c>
      <c r="N37" s="134">
        <v>9.1</v>
      </c>
      <c r="O37" s="134">
        <v>0.8</v>
      </c>
      <c r="P37" s="134">
        <v>0.37</v>
      </c>
      <c r="Q37" s="134">
        <v>3.41</v>
      </c>
    </row>
    <row r="38" spans="1:17" customFormat="1">
      <c r="A38" s="112" t="s">
        <v>460</v>
      </c>
      <c r="B38" s="134">
        <v>14.11</v>
      </c>
      <c r="C38" s="134">
        <v>19.96</v>
      </c>
      <c r="D38" s="134">
        <v>20.7</v>
      </c>
      <c r="E38" s="134">
        <v>8.07</v>
      </c>
      <c r="F38" s="134">
        <v>2.66</v>
      </c>
      <c r="G38" s="134">
        <v>4.18</v>
      </c>
      <c r="H38" s="134">
        <v>5.39</v>
      </c>
      <c r="I38" s="134">
        <v>4.38</v>
      </c>
      <c r="J38" s="134">
        <v>1.23</v>
      </c>
      <c r="K38" s="134">
        <v>265.01</v>
      </c>
      <c r="L38" s="134">
        <v>23.89</v>
      </c>
      <c r="M38" s="134">
        <v>98.92</v>
      </c>
      <c r="N38" s="134">
        <v>15</v>
      </c>
      <c r="O38" s="134">
        <v>0.6</v>
      </c>
      <c r="P38" s="134">
        <v>0.38</v>
      </c>
      <c r="Q38" s="134">
        <v>3.41</v>
      </c>
    </row>
    <row r="39" spans="1:17" customFormat="1">
      <c r="A39" s="112" t="s">
        <v>461</v>
      </c>
      <c r="B39" s="134">
        <v>14.15</v>
      </c>
      <c r="C39" s="134">
        <v>21.8</v>
      </c>
      <c r="D39" s="134">
        <v>21.69</v>
      </c>
      <c r="E39" s="134">
        <v>8.1199999999999992</v>
      </c>
      <c r="F39" s="134">
        <v>1.86</v>
      </c>
      <c r="G39" s="134">
        <v>4.24</v>
      </c>
      <c r="H39" s="134">
        <v>5.3</v>
      </c>
      <c r="I39" s="134">
        <v>4.71</v>
      </c>
      <c r="J39" s="134">
        <v>1.5</v>
      </c>
      <c r="K39" s="134">
        <v>265.70999999999998</v>
      </c>
      <c r="L39" s="134">
        <v>23.89</v>
      </c>
      <c r="M39" s="134">
        <v>98.96</v>
      </c>
      <c r="N39" s="134">
        <v>23</v>
      </c>
      <c r="O39" s="134">
        <v>0.6</v>
      </c>
      <c r="P39" s="134">
        <v>0.4</v>
      </c>
      <c r="Q39" s="134">
        <v>3.48</v>
      </c>
    </row>
    <row r="40" spans="1:17" customFormat="1">
      <c r="A40" s="112" t="s">
        <v>462</v>
      </c>
      <c r="B40" s="134">
        <v>14.34</v>
      </c>
      <c r="C40" s="134">
        <v>20.11</v>
      </c>
      <c r="D40" s="134">
        <v>20.96</v>
      </c>
      <c r="E40" s="134">
        <v>8.61</v>
      </c>
      <c r="F40" s="134">
        <v>2.72</v>
      </c>
      <c r="G40" s="134">
        <v>5.54</v>
      </c>
      <c r="H40" s="134">
        <v>3.81</v>
      </c>
      <c r="I40" s="134">
        <v>4.95</v>
      </c>
      <c r="J40" s="134">
        <v>1.42</v>
      </c>
      <c r="K40" s="134">
        <v>265.06</v>
      </c>
      <c r="L40" s="134">
        <v>23.93</v>
      </c>
      <c r="M40" s="134">
        <v>99.05</v>
      </c>
      <c r="N40" s="134">
        <v>24</v>
      </c>
      <c r="O40" s="134">
        <v>0.2</v>
      </c>
      <c r="P40" s="134">
        <v>0.38</v>
      </c>
      <c r="Q40" s="134">
        <v>3.47</v>
      </c>
    </row>
    <row r="41" spans="1:17" customFormat="1">
      <c r="A41" s="112" t="s">
        <v>463</v>
      </c>
      <c r="B41" s="134">
        <v>14.33</v>
      </c>
      <c r="C41" s="134">
        <v>21.12</v>
      </c>
      <c r="D41" s="134">
        <v>21.48</v>
      </c>
      <c r="E41" s="134">
        <v>8.64</v>
      </c>
      <c r="F41" s="134">
        <v>1.89</v>
      </c>
      <c r="G41" s="134">
        <v>5.54</v>
      </c>
      <c r="H41" s="134">
        <v>3.81</v>
      </c>
      <c r="I41" s="134">
        <v>5.05</v>
      </c>
      <c r="J41" s="134">
        <v>1.37</v>
      </c>
      <c r="K41" s="134">
        <v>267.60000000000002</v>
      </c>
      <c r="L41" s="134">
        <v>23.95</v>
      </c>
      <c r="M41" s="134">
        <v>99.07</v>
      </c>
      <c r="N41" s="134">
        <v>26.8</v>
      </c>
      <c r="O41" s="134">
        <v>0.4</v>
      </c>
      <c r="P41" s="134">
        <v>0.39</v>
      </c>
      <c r="Q41" s="134">
        <v>3.49</v>
      </c>
    </row>
    <row r="42" spans="1:17" customFormat="1">
      <c r="A42" s="112" t="s">
        <v>464</v>
      </c>
      <c r="B42" s="134">
        <v>14.51</v>
      </c>
      <c r="C42" s="134">
        <v>19.73</v>
      </c>
      <c r="D42" s="134">
        <v>20.89</v>
      </c>
      <c r="E42" s="134">
        <v>8.9</v>
      </c>
      <c r="F42" s="134">
        <v>2.4300000000000002</v>
      </c>
      <c r="G42" s="134">
        <v>5.54</v>
      </c>
      <c r="H42" s="134">
        <v>3.81</v>
      </c>
      <c r="I42" s="134">
        <v>4.92</v>
      </c>
      <c r="J42" s="134">
        <v>1.58</v>
      </c>
      <c r="K42" s="134">
        <v>270.77999999999997</v>
      </c>
      <c r="L42" s="134">
        <v>23.92</v>
      </c>
      <c r="M42" s="134">
        <v>99.08</v>
      </c>
      <c r="N42" s="134">
        <v>34.6</v>
      </c>
      <c r="O42" s="134">
        <v>0.8</v>
      </c>
      <c r="P42" s="134">
        <v>0.37</v>
      </c>
      <c r="Q42" s="134">
        <v>3.47</v>
      </c>
    </row>
    <row r="43" spans="1:17" customFormat="1">
      <c r="A43" s="112" t="s">
        <v>465</v>
      </c>
      <c r="B43" s="134">
        <v>14.48</v>
      </c>
      <c r="C43" s="134">
        <v>19.13</v>
      </c>
      <c r="D43" s="134">
        <v>20.56</v>
      </c>
      <c r="E43" s="134">
        <v>8.19</v>
      </c>
      <c r="F43" s="134">
        <v>2.52</v>
      </c>
      <c r="G43" s="134">
        <v>5.63</v>
      </c>
      <c r="H43" s="134">
        <v>3.85</v>
      </c>
      <c r="I43" s="134">
        <v>4.9400000000000004</v>
      </c>
      <c r="J43" s="134">
        <v>1.41</v>
      </c>
      <c r="K43" s="134">
        <v>268.89999999999998</v>
      </c>
      <c r="L43" s="134">
        <v>23.96</v>
      </c>
      <c r="M43" s="134">
        <v>99.08</v>
      </c>
      <c r="N43" s="134">
        <v>40.200000000000003</v>
      </c>
      <c r="O43" s="134">
        <v>0.4</v>
      </c>
      <c r="P43" s="134">
        <v>0.37</v>
      </c>
      <c r="Q43" s="134">
        <v>3.39</v>
      </c>
    </row>
    <row r="44" spans="1:17" customFormat="1">
      <c r="A44" s="112" t="s">
        <v>466</v>
      </c>
      <c r="B44" s="134">
        <v>14.51</v>
      </c>
      <c r="C44" s="134">
        <v>21.24</v>
      </c>
      <c r="D44" s="134">
        <v>21.69</v>
      </c>
      <c r="E44" s="134">
        <v>8.3000000000000007</v>
      </c>
      <c r="F44" s="134">
        <v>1.72</v>
      </c>
      <c r="G44" s="134">
        <v>7.59</v>
      </c>
      <c r="H44" s="134">
        <v>4.5999999999999996</v>
      </c>
      <c r="I44" s="134">
        <v>4.83</v>
      </c>
      <c r="J44" s="134">
        <v>1.5</v>
      </c>
      <c r="K44" s="134">
        <v>267.88</v>
      </c>
      <c r="L44" s="134">
        <v>23.96</v>
      </c>
      <c r="M44" s="134">
        <v>99.1</v>
      </c>
      <c r="N44" s="134">
        <v>46.7</v>
      </c>
      <c r="O44" s="134">
        <v>1</v>
      </c>
      <c r="P44" s="134">
        <v>0.4</v>
      </c>
      <c r="Q44" s="134">
        <v>3.48</v>
      </c>
    </row>
    <row r="45" spans="1:17" customFormat="1">
      <c r="A45" s="112" t="s">
        <v>467</v>
      </c>
      <c r="B45" s="134">
        <v>14.79</v>
      </c>
      <c r="C45" s="134">
        <v>19.350000000000001</v>
      </c>
      <c r="D45" s="134">
        <v>20.93</v>
      </c>
      <c r="E45" s="134">
        <v>9.32</v>
      </c>
      <c r="F45" s="134">
        <v>2.72</v>
      </c>
      <c r="G45" s="134">
        <v>7.59</v>
      </c>
      <c r="H45" s="134">
        <v>4.5999999999999996</v>
      </c>
      <c r="I45" s="134">
        <v>4.9000000000000004</v>
      </c>
      <c r="J45" s="134">
        <v>1.54</v>
      </c>
      <c r="K45" s="134">
        <v>265.55</v>
      </c>
      <c r="L45" s="134">
        <v>23.95</v>
      </c>
      <c r="M45" s="134">
        <v>99.1</v>
      </c>
      <c r="N45" s="134">
        <v>57.7</v>
      </c>
      <c r="O45" s="134">
        <v>0.6</v>
      </c>
      <c r="P45" s="134">
        <v>0.37</v>
      </c>
      <c r="Q45" s="134">
        <v>3.46</v>
      </c>
    </row>
    <row r="46" spans="1:17" customFormat="1">
      <c r="A46" s="112" t="s">
        <v>468</v>
      </c>
      <c r="B46" s="134">
        <v>14.8</v>
      </c>
      <c r="C46" s="134">
        <v>19.510000000000002</v>
      </c>
      <c r="D46" s="134">
        <v>21.02</v>
      </c>
      <c r="E46" s="134">
        <v>8.61</v>
      </c>
      <c r="F46" s="134">
        <v>2.3199999999999998</v>
      </c>
      <c r="G46" s="134">
        <v>7.59</v>
      </c>
      <c r="H46" s="134">
        <v>4.5999999999999996</v>
      </c>
      <c r="I46" s="134">
        <v>5.0199999999999996</v>
      </c>
      <c r="J46" s="134">
        <v>1.43</v>
      </c>
      <c r="K46" s="134">
        <v>266.89</v>
      </c>
      <c r="L46" s="134">
        <v>24.02</v>
      </c>
      <c r="M46" s="134">
        <v>99.13</v>
      </c>
      <c r="N46" s="134">
        <v>79</v>
      </c>
      <c r="O46" s="134">
        <v>1.2</v>
      </c>
      <c r="P46" s="134">
        <v>0.37</v>
      </c>
      <c r="Q46" s="134">
        <v>3.43</v>
      </c>
    </row>
    <row r="47" spans="1:17" customFormat="1">
      <c r="A47" s="112" t="s">
        <v>469</v>
      </c>
      <c r="B47" s="134">
        <v>14.76</v>
      </c>
      <c r="C47" s="134">
        <v>20.27</v>
      </c>
      <c r="D47" s="134">
        <v>21.38</v>
      </c>
      <c r="E47" s="134">
        <v>8.91</v>
      </c>
      <c r="F47" s="134">
        <v>2.04</v>
      </c>
      <c r="G47" s="134">
        <v>7.5</v>
      </c>
      <c r="H47" s="134">
        <v>4.57</v>
      </c>
      <c r="I47" s="134">
        <v>4.93</v>
      </c>
      <c r="J47" s="134">
        <v>1.26</v>
      </c>
      <c r="K47" s="134">
        <v>267.79000000000002</v>
      </c>
      <c r="L47" s="134">
        <v>24.04</v>
      </c>
      <c r="M47" s="134">
        <v>99.15</v>
      </c>
      <c r="N47" s="134">
        <v>81.2</v>
      </c>
      <c r="O47" s="134">
        <v>1.2</v>
      </c>
      <c r="P47" s="134">
        <v>0.38</v>
      </c>
      <c r="Q47" s="134">
        <v>3.48</v>
      </c>
    </row>
    <row r="48" spans="1:17" customFormat="1">
      <c r="A48" s="112" t="s">
        <v>470</v>
      </c>
      <c r="B48" s="134">
        <v>14.79</v>
      </c>
      <c r="C48" s="134">
        <v>19.22</v>
      </c>
      <c r="D48" s="134">
        <v>20.86</v>
      </c>
      <c r="E48" s="134">
        <v>8.23</v>
      </c>
      <c r="F48" s="134">
        <v>2.64</v>
      </c>
      <c r="G48" s="134">
        <v>5.46</v>
      </c>
      <c r="H48" s="134">
        <v>3.86</v>
      </c>
      <c r="I48" s="134">
        <v>4.9000000000000004</v>
      </c>
      <c r="J48" s="134">
        <v>1.47</v>
      </c>
      <c r="K48" s="134">
        <v>265.16000000000003</v>
      </c>
      <c r="L48" s="134">
        <v>24.07</v>
      </c>
      <c r="M48" s="134">
        <v>99.15</v>
      </c>
      <c r="N48" s="134">
        <v>101</v>
      </c>
      <c r="O48" s="134">
        <v>1.6</v>
      </c>
      <c r="P48" s="134">
        <v>0.36</v>
      </c>
      <c r="Q48" s="134">
        <v>3.46</v>
      </c>
    </row>
    <row r="49" spans="1:17" customFormat="1">
      <c r="A49" s="112" t="s">
        <v>471</v>
      </c>
      <c r="B49" s="134">
        <v>14.85</v>
      </c>
      <c r="C49" s="134">
        <v>19.78</v>
      </c>
      <c r="D49" s="134">
        <v>21.2</v>
      </c>
      <c r="E49" s="134">
        <v>6.44</v>
      </c>
      <c r="F49" s="134">
        <v>2.14</v>
      </c>
      <c r="G49" s="134">
        <v>5.46</v>
      </c>
      <c r="H49" s="134">
        <v>3.86</v>
      </c>
      <c r="I49" s="134">
        <v>4.8</v>
      </c>
      <c r="J49" s="134">
        <v>1.38</v>
      </c>
      <c r="K49" s="134">
        <v>264.2</v>
      </c>
      <c r="L49" s="134">
        <v>24.18</v>
      </c>
      <c r="M49" s="134">
        <v>99.17</v>
      </c>
      <c r="N49" s="134">
        <v>165.9</v>
      </c>
      <c r="O49" s="134">
        <v>0.6</v>
      </c>
      <c r="P49" s="134">
        <v>0.37</v>
      </c>
      <c r="Q49" s="134">
        <v>3.46</v>
      </c>
    </row>
    <row r="50" spans="1:17" customFormat="1">
      <c r="A50" s="112" t="s">
        <v>472</v>
      </c>
      <c r="B50" s="134">
        <v>14.77</v>
      </c>
      <c r="C50" s="134">
        <v>17.8</v>
      </c>
      <c r="D50" s="134">
        <v>20.100000000000001</v>
      </c>
      <c r="E50" s="134">
        <v>6.76</v>
      </c>
      <c r="F50" s="134">
        <v>3</v>
      </c>
      <c r="G50" s="134">
        <v>5.46</v>
      </c>
      <c r="H50" s="134">
        <v>3.86</v>
      </c>
      <c r="I50" s="134">
        <v>4.67</v>
      </c>
      <c r="J50" s="134">
        <v>1.59</v>
      </c>
      <c r="K50" s="134">
        <v>266.75</v>
      </c>
      <c r="L50" s="134">
        <v>24.52</v>
      </c>
      <c r="M50" s="134">
        <v>99.18</v>
      </c>
      <c r="N50" s="134">
        <v>220.3</v>
      </c>
      <c r="O50" s="134">
        <v>0.2</v>
      </c>
      <c r="P50" s="134">
        <v>0.34</v>
      </c>
      <c r="Q50" s="134">
        <v>3.42</v>
      </c>
    </row>
    <row r="51" spans="1:17" customFormat="1">
      <c r="A51" s="112" t="s">
        <v>473</v>
      </c>
      <c r="B51" s="134">
        <v>14.47</v>
      </c>
      <c r="C51" s="134">
        <v>18.670000000000002</v>
      </c>
      <c r="D51" s="134">
        <v>20.32</v>
      </c>
      <c r="E51" s="134">
        <v>6.78</v>
      </c>
      <c r="F51" s="134">
        <v>2.65</v>
      </c>
      <c r="G51" s="134">
        <v>5.4</v>
      </c>
      <c r="H51" s="134">
        <v>3.9</v>
      </c>
      <c r="I51" s="134">
        <v>4.63</v>
      </c>
      <c r="J51" s="134">
        <v>1.59</v>
      </c>
      <c r="K51" s="134">
        <v>264.7</v>
      </c>
      <c r="L51" s="134">
        <v>24.75</v>
      </c>
      <c r="M51" s="134">
        <v>99.18</v>
      </c>
      <c r="N51" s="134">
        <v>208.2</v>
      </c>
      <c r="O51" s="134">
        <v>0.2</v>
      </c>
      <c r="P51" s="134">
        <v>0.35</v>
      </c>
      <c r="Q51" s="134">
        <v>3.38</v>
      </c>
    </row>
    <row r="52" spans="1:17" customFormat="1">
      <c r="A52" s="112" t="s">
        <v>474</v>
      </c>
      <c r="B52" s="134">
        <v>14.21</v>
      </c>
      <c r="C52" s="134">
        <v>20.260000000000002</v>
      </c>
      <c r="D52" s="134">
        <v>20.94</v>
      </c>
      <c r="E52" s="134">
        <v>7.41</v>
      </c>
      <c r="F52" s="134">
        <v>2.25</v>
      </c>
      <c r="G52" s="134">
        <v>4.2699999999999996</v>
      </c>
      <c r="H52" s="134">
        <v>4.74</v>
      </c>
      <c r="I52" s="134">
        <v>4.45</v>
      </c>
      <c r="J52" s="134">
        <v>1.66</v>
      </c>
      <c r="K52" s="134">
        <v>267.63</v>
      </c>
      <c r="L52" s="134">
        <v>24.8</v>
      </c>
      <c r="M52" s="134">
        <v>99.18</v>
      </c>
      <c r="N52" s="134">
        <v>230.4</v>
      </c>
      <c r="O52" s="134">
        <v>0.2</v>
      </c>
      <c r="P52" s="134">
        <v>0.37</v>
      </c>
      <c r="Q52" s="134">
        <v>3.45</v>
      </c>
    </row>
    <row r="53" spans="1:17" customFormat="1">
      <c r="A53" s="112" t="s">
        <v>475</v>
      </c>
      <c r="B53" s="134">
        <v>14.33</v>
      </c>
      <c r="C53" s="134">
        <v>18.39</v>
      </c>
      <c r="D53" s="134">
        <v>20.05</v>
      </c>
      <c r="E53" s="134">
        <v>7.1</v>
      </c>
      <c r="F53" s="134">
        <v>3.11</v>
      </c>
      <c r="G53" s="134">
        <v>4.2699999999999996</v>
      </c>
      <c r="H53" s="134">
        <v>4.74</v>
      </c>
      <c r="I53" s="134">
        <v>4.37</v>
      </c>
      <c r="J53" s="134">
        <v>1.4</v>
      </c>
      <c r="K53" s="134">
        <v>266.16000000000003</v>
      </c>
      <c r="L53" s="134">
        <v>25</v>
      </c>
      <c r="M53" s="134">
        <v>99.17</v>
      </c>
      <c r="N53" s="134">
        <v>254.4</v>
      </c>
      <c r="O53" s="134">
        <v>0.2</v>
      </c>
      <c r="P53" s="134">
        <v>0.33</v>
      </c>
      <c r="Q53" s="134">
        <v>3.37</v>
      </c>
    </row>
    <row r="54" spans="1:17" customFormat="1">
      <c r="A54" s="112" t="s">
        <v>476</v>
      </c>
      <c r="B54" s="134">
        <v>14.05</v>
      </c>
      <c r="C54" s="134">
        <v>19.71</v>
      </c>
      <c r="D54" s="134">
        <v>20.52</v>
      </c>
      <c r="E54" s="134">
        <v>6.98</v>
      </c>
      <c r="F54" s="134">
        <v>2.25</v>
      </c>
      <c r="G54" s="134">
        <v>4.2699999999999996</v>
      </c>
      <c r="H54" s="134">
        <v>4.74</v>
      </c>
      <c r="I54" s="134">
        <v>4.3099999999999996</v>
      </c>
      <c r="J54" s="134">
        <v>1.74</v>
      </c>
      <c r="K54" s="134">
        <v>266.7</v>
      </c>
      <c r="L54" s="134">
        <v>25</v>
      </c>
      <c r="M54" s="134">
        <v>98.82</v>
      </c>
      <c r="N54" s="134">
        <v>181.3</v>
      </c>
      <c r="O54" s="134">
        <v>0.2</v>
      </c>
      <c r="P54" s="134">
        <v>0.35</v>
      </c>
      <c r="Q54" s="134">
        <v>3.38</v>
      </c>
    </row>
    <row r="55" spans="1:17" customFormat="1">
      <c r="A55" s="112" t="s">
        <v>477</v>
      </c>
      <c r="B55" s="134">
        <v>13.63</v>
      </c>
      <c r="C55" s="134">
        <v>21.97</v>
      </c>
      <c r="D55" s="134">
        <v>21.36</v>
      </c>
      <c r="E55" s="134">
        <v>7.53</v>
      </c>
      <c r="F55" s="134">
        <v>1.88</v>
      </c>
      <c r="G55" s="134">
        <v>4.3</v>
      </c>
      <c r="H55" s="134">
        <v>4.7</v>
      </c>
      <c r="I55" s="134">
        <v>4.2</v>
      </c>
      <c r="J55" s="134">
        <v>1.53</v>
      </c>
      <c r="K55" s="134">
        <v>267.73</v>
      </c>
      <c r="L55" s="134">
        <v>25.07</v>
      </c>
      <c r="M55" s="134">
        <v>97.39</v>
      </c>
      <c r="N55" s="134">
        <v>196.5</v>
      </c>
      <c r="O55" s="134">
        <v>0.2</v>
      </c>
      <c r="P55" s="134">
        <v>0.39</v>
      </c>
      <c r="Q55" s="134">
        <v>3.4</v>
      </c>
    </row>
    <row r="56" spans="1:17" customFormat="1">
      <c r="A56" s="112" t="s">
        <v>478</v>
      </c>
      <c r="B56" s="134">
        <v>13.61</v>
      </c>
      <c r="C56" s="134">
        <v>22.25</v>
      </c>
      <c r="D56" s="134">
        <v>21.5</v>
      </c>
      <c r="E56" s="134">
        <v>7.7</v>
      </c>
      <c r="F56" s="134">
        <v>2.31</v>
      </c>
      <c r="G56" s="134">
        <v>4.8</v>
      </c>
      <c r="H56" s="134">
        <v>3.85</v>
      </c>
      <c r="I56" s="134">
        <v>4.28</v>
      </c>
      <c r="J56" s="134">
        <v>1.51</v>
      </c>
      <c r="K56" s="134">
        <v>266.27</v>
      </c>
      <c r="L56" s="134">
        <v>25.43</v>
      </c>
      <c r="M56" s="134">
        <v>93.67</v>
      </c>
      <c r="N56" s="134">
        <v>259.3</v>
      </c>
      <c r="O56" s="134">
        <v>0</v>
      </c>
      <c r="P56" s="134">
        <v>0.4</v>
      </c>
      <c r="Q56" s="134">
        <v>3.48</v>
      </c>
    </row>
    <row r="57" spans="1:17" customFormat="1">
      <c r="A57" s="112" t="s">
        <v>479</v>
      </c>
      <c r="B57" s="134">
        <v>13.82</v>
      </c>
      <c r="C57" s="134">
        <v>19.32</v>
      </c>
      <c r="D57" s="134">
        <v>20.13</v>
      </c>
      <c r="E57" s="134">
        <v>7.23</v>
      </c>
      <c r="F57" s="134">
        <v>3.33</v>
      </c>
      <c r="G57" s="134">
        <v>4.8</v>
      </c>
      <c r="H57" s="134">
        <v>3.85</v>
      </c>
      <c r="I57" s="134">
        <v>4.29</v>
      </c>
      <c r="J57" s="134">
        <v>1.73</v>
      </c>
      <c r="K57" s="134">
        <v>266.64999999999998</v>
      </c>
      <c r="L57" s="134">
        <v>25.68</v>
      </c>
      <c r="M57" s="134">
        <v>90.18</v>
      </c>
      <c r="N57" s="134">
        <v>196.4</v>
      </c>
      <c r="O57" s="134">
        <v>0</v>
      </c>
      <c r="P57" s="134">
        <v>0.35</v>
      </c>
      <c r="Q57" s="134">
        <v>3.41</v>
      </c>
    </row>
    <row r="58" spans="1:17" customFormat="1">
      <c r="A58" s="112" t="s">
        <v>480</v>
      </c>
      <c r="B58" s="134">
        <v>13.62</v>
      </c>
      <c r="C58" s="134">
        <v>18.2</v>
      </c>
      <c r="D58" s="134">
        <v>19.38</v>
      </c>
      <c r="E58" s="134">
        <v>6.75</v>
      </c>
      <c r="F58" s="134">
        <v>3.38</v>
      </c>
      <c r="G58" s="134">
        <v>4.8</v>
      </c>
      <c r="H58" s="134">
        <v>3.85</v>
      </c>
      <c r="I58" s="134">
        <v>4.3099999999999996</v>
      </c>
      <c r="J58" s="134">
        <v>1.78</v>
      </c>
      <c r="K58" s="134">
        <v>263.13</v>
      </c>
      <c r="L58" s="134">
        <v>25.93</v>
      </c>
      <c r="M58" s="134">
        <v>87.47</v>
      </c>
      <c r="N58" s="134">
        <v>183.9</v>
      </c>
      <c r="O58" s="134">
        <v>0</v>
      </c>
      <c r="P58" s="134">
        <v>0.32</v>
      </c>
      <c r="Q58" s="134">
        <v>3.32</v>
      </c>
    </row>
    <row r="59" spans="1:17" customFormat="1">
      <c r="A59" s="112" t="s">
        <v>481</v>
      </c>
      <c r="B59" s="134">
        <v>13.32</v>
      </c>
      <c r="C59" s="134">
        <v>18.850000000000001</v>
      </c>
      <c r="D59" s="134">
        <v>19.48</v>
      </c>
      <c r="E59" s="134">
        <v>6.91</v>
      </c>
      <c r="F59" s="134">
        <v>2.92</v>
      </c>
      <c r="G59" s="134">
        <v>4.8899999999999997</v>
      </c>
      <c r="H59" s="134">
        <v>3.81</v>
      </c>
      <c r="I59" s="134">
        <v>4.2699999999999996</v>
      </c>
      <c r="J59" s="134">
        <v>1.75</v>
      </c>
      <c r="K59" s="134">
        <v>266.38</v>
      </c>
      <c r="L59" s="134">
        <v>25.87</v>
      </c>
      <c r="M59" s="134">
        <v>87.21</v>
      </c>
      <c r="N59" s="134">
        <v>134.4</v>
      </c>
      <c r="O59" s="134">
        <v>0</v>
      </c>
      <c r="P59" s="134">
        <v>0.33</v>
      </c>
      <c r="Q59" s="134">
        <v>3.31</v>
      </c>
    </row>
    <row r="60" spans="1:17" customFormat="1">
      <c r="A60" s="112" t="s">
        <v>482</v>
      </c>
      <c r="B60" s="134">
        <v>13.18</v>
      </c>
      <c r="C60" s="134">
        <v>21.11</v>
      </c>
      <c r="D60" s="134">
        <v>20.55</v>
      </c>
      <c r="E60" s="134">
        <v>6.87</v>
      </c>
      <c r="F60" s="134">
        <v>1.73</v>
      </c>
      <c r="G60" s="134">
        <v>6.71</v>
      </c>
      <c r="H60" s="134">
        <v>3.03</v>
      </c>
      <c r="I60" s="134">
        <v>4.3099999999999996</v>
      </c>
      <c r="J60" s="134">
        <v>1.78</v>
      </c>
      <c r="K60" s="134">
        <v>266.81</v>
      </c>
      <c r="L60" s="134">
        <v>25.74</v>
      </c>
      <c r="M60" s="134">
        <v>87.24</v>
      </c>
      <c r="N60" s="134">
        <v>99.1</v>
      </c>
      <c r="O60" s="134">
        <v>0</v>
      </c>
      <c r="P60" s="134">
        <v>0.37</v>
      </c>
      <c r="Q60" s="134">
        <v>3.41</v>
      </c>
    </row>
    <row r="61" spans="1:17" customFormat="1">
      <c r="A61" s="112" t="s">
        <v>483</v>
      </c>
      <c r="B61" s="134">
        <v>13.29</v>
      </c>
      <c r="C61" s="134">
        <v>19.670000000000002</v>
      </c>
      <c r="D61" s="134">
        <v>19.89</v>
      </c>
      <c r="E61" s="134">
        <v>6.98</v>
      </c>
      <c r="F61" s="134">
        <v>3.02</v>
      </c>
      <c r="G61" s="134">
        <v>6.71</v>
      </c>
      <c r="H61" s="134">
        <v>3.03</v>
      </c>
      <c r="I61" s="134">
        <v>4.33</v>
      </c>
      <c r="J61" s="134">
        <v>1.72</v>
      </c>
      <c r="K61" s="134">
        <v>271.97000000000003</v>
      </c>
      <c r="L61" s="134">
        <v>25.86</v>
      </c>
      <c r="M61" s="134">
        <v>86.12</v>
      </c>
      <c r="N61" s="134">
        <v>165.1</v>
      </c>
      <c r="O61" s="134">
        <v>0</v>
      </c>
      <c r="P61" s="134">
        <v>0.36</v>
      </c>
      <c r="Q61" s="134">
        <v>3.39</v>
      </c>
    </row>
    <row r="62" spans="1:17" customFormat="1">
      <c r="A62" s="112" t="s">
        <v>484</v>
      </c>
      <c r="B62" s="134">
        <v>13.03</v>
      </c>
      <c r="C62" s="134">
        <v>18.5</v>
      </c>
      <c r="D62" s="134">
        <v>19.07</v>
      </c>
      <c r="E62" s="134">
        <v>6.84</v>
      </c>
      <c r="F62" s="134">
        <v>3.43</v>
      </c>
      <c r="G62" s="134">
        <v>6.71</v>
      </c>
      <c r="H62" s="134">
        <v>3.03</v>
      </c>
      <c r="I62" s="134">
        <v>4.41</v>
      </c>
      <c r="J62" s="134">
        <v>1.73</v>
      </c>
      <c r="K62" s="134">
        <v>267.38</v>
      </c>
      <c r="L62" s="134">
        <v>25.85</v>
      </c>
      <c r="M62" s="134">
        <v>87.05</v>
      </c>
      <c r="N62" s="134">
        <v>173.2</v>
      </c>
      <c r="O62" s="134">
        <v>0</v>
      </c>
      <c r="P62" s="134">
        <v>0.35</v>
      </c>
      <c r="Q62" s="134">
        <v>3.32</v>
      </c>
    </row>
    <row r="63" spans="1:17" customFormat="1">
      <c r="A63" s="112" t="s">
        <v>485</v>
      </c>
      <c r="B63" s="134">
        <v>12.83</v>
      </c>
      <c r="C63" s="134">
        <v>20.36</v>
      </c>
      <c r="D63" s="134">
        <v>19.88</v>
      </c>
      <c r="E63" s="134">
        <v>7.14</v>
      </c>
      <c r="F63" s="134">
        <v>2.13</v>
      </c>
      <c r="G63" s="134">
        <v>6.97</v>
      </c>
      <c r="H63" s="134">
        <v>3.05</v>
      </c>
      <c r="I63" s="134">
        <v>4.42</v>
      </c>
      <c r="J63" s="134">
        <v>1.55</v>
      </c>
      <c r="K63" s="134">
        <v>266.5</v>
      </c>
      <c r="L63" s="134">
        <v>25.8</v>
      </c>
      <c r="M63" s="134">
        <v>87.05</v>
      </c>
      <c r="N63" s="134">
        <v>131.5</v>
      </c>
      <c r="O63" s="134">
        <v>0</v>
      </c>
      <c r="P63" s="134">
        <v>0.39</v>
      </c>
      <c r="Q63" s="134">
        <v>3.33</v>
      </c>
    </row>
    <row r="64" spans="1:17" customFormat="1">
      <c r="A64" s="112" t="s">
        <v>486</v>
      </c>
      <c r="B64" s="134">
        <v>12.94</v>
      </c>
      <c r="C64" s="134">
        <v>19.329999999999998</v>
      </c>
      <c r="D64" s="134">
        <v>19.43</v>
      </c>
      <c r="E64" s="134">
        <v>7.33</v>
      </c>
      <c r="F64" s="134">
        <v>2.8</v>
      </c>
      <c r="G64" s="134">
        <v>12.5</v>
      </c>
      <c r="H64" s="134">
        <v>3.39</v>
      </c>
      <c r="I64" s="134">
        <v>4.43</v>
      </c>
      <c r="J64" s="134">
        <v>1.5</v>
      </c>
      <c r="K64" s="134">
        <v>268.42</v>
      </c>
      <c r="L64" s="134">
        <v>25.52</v>
      </c>
      <c r="M64" s="134">
        <v>89.12</v>
      </c>
      <c r="N64" s="134">
        <v>111.7</v>
      </c>
      <c r="O64" s="134">
        <v>0</v>
      </c>
      <c r="P64" s="134">
        <v>0.39</v>
      </c>
      <c r="Q64" s="134">
        <v>3.37</v>
      </c>
    </row>
    <row r="65" spans="1:17" customFormat="1">
      <c r="A65" s="112" t="s">
        <v>487</v>
      </c>
      <c r="B65" s="134">
        <v>12.98</v>
      </c>
      <c r="C65" s="134">
        <v>18.43</v>
      </c>
      <c r="D65" s="134">
        <v>18.989999999999998</v>
      </c>
      <c r="E65" s="134">
        <v>6.58</v>
      </c>
      <c r="F65" s="134">
        <v>3.13</v>
      </c>
      <c r="G65" s="134">
        <v>12.5</v>
      </c>
      <c r="H65" s="134">
        <v>3.39</v>
      </c>
      <c r="I65" s="134">
        <v>4.59</v>
      </c>
      <c r="J65" s="134">
        <v>1.42</v>
      </c>
      <c r="K65" s="134">
        <v>272.62</v>
      </c>
      <c r="L65" s="134">
        <v>25.84</v>
      </c>
      <c r="M65" s="134">
        <v>86.78</v>
      </c>
      <c r="N65" s="134">
        <v>127.6</v>
      </c>
      <c r="O65" s="134">
        <v>0</v>
      </c>
      <c r="P65" s="134">
        <v>0.37</v>
      </c>
      <c r="Q65" s="134">
        <v>3.32</v>
      </c>
    </row>
    <row r="66" spans="1:17" customFormat="1">
      <c r="A66" s="112" t="s">
        <v>488</v>
      </c>
      <c r="B66" s="134">
        <v>12.9</v>
      </c>
      <c r="C66" s="134">
        <v>20.27</v>
      </c>
      <c r="D66" s="134">
        <v>19.89</v>
      </c>
      <c r="E66" s="134">
        <v>7</v>
      </c>
      <c r="F66" s="134">
        <v>2.15</v>
      </c>
      <c r="G66" s="134">
        <v>12.5</v>
      </c>
      <c r="H66" s="134">
        <v>3.39</v>
      </c>
      <c r="I66" s="134">
        <v>4.7</v>
      </c>
      <c r="J66" s="134">
        <v>1.67</v>
      </c>
      <c r="K66" s="134">
        <v>267.69</v>
      </c>
      <c r="L66" s="134">
        <v>25.86</v>
      </c>
      <c r="M66" s="134">
        <v>86.05</v>
      </c>
      <c r="N66" s="134">
        <v>109.9</v>
      </c>
      <c r="O66" s="134">
        <v>0</v>
      </c>
      <c r="P66" s="134">
        <v>0.42</v>
      </c>
      <c r="Q66" s="134">
        <v>3.36</v>
      </c>
    </row>
    <row r="67" spans="1:17" customFormat="1">
      <c r="A67" s="112" t="s">
        <v>489</v>
      </c>
      <c r="B67" s="134">
        <v>12.86</v>
      </c>
      <c r="C67" s="134">
        <v>19.149999999999999</v>
      </c>
      <c r="D67" s="134">
        <v>19.27</v>
      </c>
      <c r="E67" s="134">
        <v>7.12</v>
      </c>
      <c r="F67" s="134">
        <v>2.92</v>
      </c>
      <c r="G67" s="134">
        <v>12.4</v>
      </c>
      <c r="H67" s="134">
        <v>3.45</v>
      </c>
      <c r="I67" s="134">
        <v>4.74</v>
      </c>
      <c r="J67" s="134">
        <v>1.68</v>
      </c>
      <c r="K67" s="134">
        <v>272.70999999999998</v>
      </c>
      <c r="L67" s="134">
        <v>26.06</v>
      </c>
      <c r="M67" s="134">
        <v>85.6</v>
      </c>
      <c r="N67" s="134">
        <v>239.7</v>
      </c>
      <c r="O67" s="134">
        <v>0</v>
      </c>
      <c r="P67" s="134">
        <v>0.4</v>
      </c>
      <c r="Q67" s="134">
        <v>3.36</v>
      </c>
    </row>
    <row r="68" spans="1:17" customFormat="1">
      <c r="A68" s="112" t="s">
        <v>490</v>
      </c>
      <c r="B68" s="134">
        <v>12.68</v>
      </c>
      <c r="C68" s="134">
        <v>18.8</v>
      </c>
      <c r="D68" s="134">
        <v>18.95</v>
      </c>
      <c r="E68" s="134">
        <v>6.62</v>
      </c>
      <c r="F68" s="134">
        <v>2.9</v>
      </c>
      <c r="G68" s="134">
        <v>10.24</v>
      </c>
      <c r="H68" s="134">
        <v>4.37</v>
      </c>
      <c r="I68" s="134">
        <v>4.84</v>
      </c>
      <c r="J68" s="134">
        <v>1.72</v>
      </c>
      <c r="K68" s="134">
        <v>263.18</v>
      </c>
      <c r="L68" s="134">
        <v>26.22</v>
      </c>
      <c r="M68" s="134">
        <v>84.77</v>
      </c>
      <c r="N68" s="134">
        <v>209.5</v>
      </c>
      <c r="O68" s="134">
        <v>0</v>
      </c>
      <c r="P68" s="134">
        <v>0.4</v>
      </c>
      <c r="Q68" s="134">
        <v>3.32</v>
      </c>
    </row>
    <row r="69" spans="1:17" customFormat="1">
      <c r="A69" s="112" t="s">
        <v>491</v>
      </c>
      <c r="B69" s="134">
        <v>12.54</v>
      </c>
      <c r="C69" s="134">
        <v>20.23</v>
      </c>
      <c r="D69" s="134">
        <v>19.579999999999998</v>
      </c>
      <c r="E69" s="134">
        <v>6.9</v>
      </c>
      <c r="F69" s="134">
        <v>2.19</v>
      </c>
      <c r="G69" s="134">
        <v>10.24</v>
      </c>
      <c r="H69" s="134">
        <v>4.37</v>
      </c>
      <c r="I69" s="134">
        <v>4.7699999999999996</v>
      </c>
      <c r="J69" s="134">
        <v>1.65</v>
      </c>
      <c r="K69" s="134">
        <v>264.44</v>
      </c>
      <c r="L69" s="134">
        <v>25.88</v>
      </c>
      <c r="M69" s="134">
        <v>86.03</v>
      </c>
      <c r="N69" s="134">
        <v>93.4</v>
      </c>
      <c r="O69" s="134">
        <v>0</v>
      </c>
      <c r="P69" s="134">
        <v>0.42</v>
      </c>
      <c r="Q69" s="134">
        <v>3.34</v>
      </c>
    </row>
    <row r="70" spans="1:17" customFormat="1">
      <c r="A70" s="112" t="s">
        <v>492</v>
      </c>
      <c r="B70" s="134">
        <v>12.46</v>
      </c>
      <c r="C70" s="134">
        <v>18.54</v>
      </c>
      <c r="D70" s="134">
        <v>18.64</v>
      </c>
      <c r="E70" s="134">
        <v>7.09</v>
      </c>
      <c r="F70" s="134">
        <v>3.16</v>
      </c>
      <c r="G70" s="134">
        <v>10.24</v>
      </c>
      <c r="H70" s="134">
        <v>4.37</v>
      </c>
      <c r="I70" s="134">
        <v>4.7300000000000004</v>
      </c>
      <c r="J70" s="134">
        <v>1.78</v>
      </c>
      <c r="K70" s="134">
        <v>262.38</v>
      </c>
      <c r="L70" s="134">
        <v>25.7</v>
      </c>
      <c r="M70" s="134">
        <v>85.91</v>
      </c>
      <c r="N70" s="134">
        <v>63.7</v>
      </c>
      <c r="O70" s="134">
        <v>0</v>
      </c>
      <c r="P70" s="134">
        <v>0.41</v>
      </c>
      <c r="Q70" s="134">
        <v>3.27</v>
      </c>
    </row>
    <row r="71" spans="1:17" customFormat="1">
      <c r="A71" s="112" t="s">
        <v>493</v>
      </c>
      <c r="B71" s="134">
        <v>12.16</v>
      </c>
      <c r="C71" s="134">
        <v>18.45</v>
      </c>
      <c r="D71" s="134">
        <v>18.34</v>
      </c>
      <c r="E71" s="134">
        <v>7.03</v>
      </c>
      <c r="F71" s="134">
        <v>2.93</v>
      </c>
      <c r="G71" s="134">
        <v>10.23</v>
      </c>
      <c r="H71" s="134">
        <v>4.4000000000000004</v>
      </c>
      <c r="I71" s="134">
        <v>4.76</v>
      </c>
      <c r="J71" s="134">
        <v>1.56</v>
      </c>
      <c r="K71" s="134">
        <v>263.70999999999998</v>
      </c>
      <c r="L71" s="134">
        <v>25.65</v>
      </c>
      <c r="M71" s="134">
        <v>86.34</v>
      </c>
      <c r="N71" s="134">
        <v>78.599999999999994</v>
      </c>
      <c r="O71" s="134">
        <v>0</v>
      </c>
      <c r="P71" s="134">
        <v>0.42</v>
      </c>
      <c r="Q71" s="134">
        <v>3.26</v>
      </c>
    </row>
    <row r="72" spans="1:17" customFormat="1">
      <c r="A72" s="112" t="s">
        <v>494</v>
      </c>
      <c r="B72" s="134">
        <v>12.09</v>
      </c>
      <c r="C72" s="134">
        <v>20.37</v>
      </c>
      <c r="D72" s="134">
        <v>19.29</v>
      </c>
      <c r="E72" s="134">
        <v>6.69</v>
      </c>
      <c r="F72" s="134">
        <v>1.99</v>
      </c>
      <c r="G72" s="134">
        <v>10.210000000000001</v>
      </c>
      <c r="H72" s="134">
        <v>4.78</v>
      </c>
      <c r="I72" s="134">
        <v>4.72</v>
      </c>
      <c r="J72" s="134">
        <v>1.49</v>
      </c>
      <c r="K72" s="134">
        <v>264.89999999999998</v>
      </c>
      <c r="L72" s="134">
        <v>25.81</v>
      </c>
      <c r="M72" s="134">
        <v>86.24</v>
      </c>
      <c r="N72" s="134">
        <v>124.1</v>
      </c>
      <c r="O72" s="134">
        <v>0</v>
      </c>
      <c r="P72" s="134">
        <v>0.43</v>
      </c>
      <c r="Q72" s="134">
        <v>3.33</v>
      </c>
    </row>
    <row r="73" spans="1:17" customFormat="1">
      <c r="A73" s="112" t="s">
        <v>495</v>
      </c>
      <c r="B73" s="134">
        <v>12.08</v>
      </c>
      <c r="C73" s="134">
        <v>18.850000000000001</v>
      </c>
      <c r="D73" s="134">
        <v>18.489999999999998</v>
      </c>
      <c r="E73" s="134">
        <v>6.88</v>
      </c>
      <c r="F73" s="134">
        <v>2.95</v>
      </c>
      <c r="G73" s="134">
        <v>10.210000000000001</v>
      </c>
      <c r="H73" s="134">
        <v>4.78</v>
      </c>
      <c r="I73" s="134">
        <v>4.78</v>
      </c>
      <c r="J73" s="134">
        <v>1.59</v>
      </c>
      <c r="K73" s="134">
        <v>265.16000000000003</v>
      </c>
      <c r="L73" s="134">
        <v>25.7</v>
      </c>
      <c r="M73" s="134">
        <v>85.59</v>
      </c>
      <c r="N73" s="134">
        <v>48.8</v>
      </c>
      <c r="O73" s="134">
        <v>0</v>
      </c>
      <c r="P73" s="134">
        <v>0.41</v>
      </c>
      <c r="Q73" s="134">
        <v>3.3</v>
      </c>
    </row>
    <row r="74" spans="1:17" customFormat="1">
      <c r="A74" s="112" t="s">
        <v>496</v>
      </c>
      <c r="B74" s="134">
        <v>11.78</v>
      </c>
      <c r="C74" s="134">
        <v>17.670000000000002</v>
      </c>
      <c r="D74" s="134">
        <v>17.64</v>
      </c>
      <c r="E74" s="134">
        <v>6.54</v>
      </c>
      <c r="F74" s="134">
        <v>3.28</v>
      </c>
      <c r="G74" s="134">
        <v>10.210000000000001</v>
      </c>
      <c r="H74" s="134">
        <v>4.78</v>
      </c>
      <c r="I74" s="134">
        <v>4.76</v>
      </c>
      <c r="J74" s="134">
        <v>1.88</v>
      </c>
      <c r="K74" s="134">
        <v>264.97000000000003</v>
      </c>
      <c r="L74" s="134">
        <v>25.7</v>
      </c>
      <c r="M74" s="134">
        <v>84.62</v>
      </c>
      <c r="N74" s="134">
        <v>48.7</v>
      </c>
      <c r="O74" s="134">
        <v>0</v>
      </c>
      <c r="P74" s="134">
        <v>0.4</v>
      </c>
      <c r="Q74" s="134">
        <v>3.23</v>
      </c>
    </row>
    <row r="75" spans="1:17" customFormat="1">
      <c r="A75" s="112" t="s">
        <v>497</v>
      </c>
      <c r="B75" s="134">
        <v>11.48</v>
      </c>
      <c r="C75" s="134">
        <v>19.829999999999998</v>
      </c>
      <c r="D75" s="134">
        <v>18.52</v>
      </c>
      <c r="E75" s="134">
        <v>7</v>
      </c>
      <c r="F75" s="134">
        <v>2.0499999999999998</v>
      </c>
      <c r="G75" s="134">
        <v>10.220000000000001</v>
      </c>
      <c r="H75" s="134">
        <v>4.74</v>
      </c>
      <c r="I75" s="134">
        <v>4.59</v>
      </c>
      <c r="J75" s="134">
        <v>1.8</v>
      </c>
      <c r="K75" s="134">
        <v>267.08</v>
      </c>
      <c r="L75" s="134">
        <v>25.68</v>
      </c>
      <c r="M75" s="134">
        <v>84.92</v>
      </c>
      <c r="N75" s="134">
        <v>52</v>
      </c>
      <c r="O75" s="134">
        <v>0</v>
      </c>
      <c r="P75" s="134">
        <v>0.43</v>
      </c>
      <c r="Q75" s="134">
        <v>3.25</v>
      </c>
    </row>
    <row r="76" spans="1:17" customFormat="1">
      <c r="A76" s="112" t="s">
        <v>498</v>
      </c>
      <c r="B76" s="134">
        <v>11.16</v>
      </c>
      <c r="C76" s="134">
        <v>21.67</v>
      </c>
      <c r="D76" s="134">
        <v>19.23</v>
      </c>
      <c r="E76" s="134">
        <v>7.27</v>
      </c>
      <c r="F76" s="134">
        <v>2</v>
      </c>
      <c r="G76" s="134">
        <v>10.31</v>
      </c>
      <c r="H76" s="134">
        <v>4.1500000000000004</v>
      </c>
      <c r="I76" s="134">
        <v>4.5199999999999996</v>
      </c>
      <c r="J76" s="134">
        <v>1.41</v>
      </c>
      <c r="K76" s="134">
        <v>283.77999999999997</v>
      </c>
      <c r="L76" s="134">
        <v>25.76</v>
      </c>
      <c r="M76" s="134">
        <v>84.62</v>
      </c>
      <c r="N76" s="134">
        <v>55.4</v>
      </c>
      <c r="O76" s="134">
        <v>0</v>
      </c>
      <c r="P76" s="134">
        <v>0.47</v>
      </c>
      <c r="Q76" s="134">
        <v>3.27</v>
      </c>
    </row>
    <row r="77" spans="1:17" customFormat="1">
      <c r="A77" s="112" t="s">
        <v>499</v>
      </c>
      <c r="B77" s="134">
        <v>11.36</v>
      </c>
      <c r="C77" s="134">
        <v>21.43</v>
      </c>
      <c r="D77" s="134">
        <v>19.260000000000002</v>
      </c>
      <c r="E77" s="134">
        <v>7.37</v>
      </c>
      <c r="F77" s="134">
        <v>2.61</v>
      </c>
      <c r="G77" s="134">
        <v>10.31</v>
      </c>
      <c r="H77" s="134">
        <v>4.1500000000000004</v>
      </c>
      <c r="I77" s="134">
        <v>4.53</v>
      </c>
      <c r="J77" s="134">
        <v>1.66</v>
      </c>
      <c r="K77" s="134">
        <v>267.98</v>
      </c>
      <c r="L77" s="134">
        <v>25.76</v>
      </c>
      <c r="M77" s="134">
        <v>83.98</v>
      </c>
      <c r="N77" s="134">
        <v>44.3</v>
      </c>
      <c r="O77" s="134">
        <v>0</v>
      </c>
      <c r="P77" s="134">
        <v>0.46</v>
      </c>
      <c r="Q77" s="134">
        <v>3.32</v>
      </c>
    </row>
    <row r="78" spans="1:17" customFormat="1">
      <c r="A78" s="112" t="s">
        <v>500</v>
      </c>
      <c r="B78" s="134">
        <v>11.46</v>
      </c>
      <c r="C78" s="134">
        <v>18.7</v>
      </c>
      <c r="D78" s="134">
        <v>17.91</v>
      </c>
      <c r="E78" s="134">
        <v>6.23</v>
      </c>
      <c r="F78" s="134">
        <v>3.45</v>
      </c>
      <c r="G78" s="134">
        <v>10.31</v>
      </c>
      <c r="H78" s="134">
        <v>4.1500000000000004</v>
      </c>
      <c r="I78" s="134">
        <v>4.54</v>
      </c>
      <c r="J78" s="134">
        <v>1.46</v>
      </c>
      <c r="K78" s="134">
        <v>272.64999999999998</v>
      </c>
      <c r="L78" s="134">
        <v>25.76</v>
      </c>
      <c r="M78" s="134">
        <v>82.63</v>
      </c>
      <c r="N78" s="134">
        <v>14.5</v>
      </c>
      <c r="O78" s="134">
        <v>0</v>
      </c>
      <c r="P78" s="134">
        <v>0.42</v>
      </c>
      <c r="Q78" s="134">
        <v>3.25</v>
      </c>
    </row>
    <row r="79" spans="1:17" customFormat="1">
      <c r="A79" s="112" t="s">
        <v>501</v>
      </c>
      <c r="B79" s="134">
        <v>11.31</v>
      </c>
      <c r="C79" s="134">
        <v>18.16</v>
      </c>
      <c r="D79" s="134">
        <v>17.510000000000002</v>
      </c>
      <c r="E79" s="134">
        <v>5.83</v>
      </c>
      <c r="F79" s="134">
        <v>3.29</v>
      </c>
      <c r="G79" s="134">
        <v>10.42</v>
      </c>
      <c r="H79" s="134">
        <v>4.09</v>
      </c>
      <c r="I79" s="134">
        <v>4.51</v>
      </c>
      <c r="J79" s="134">
        <v>1.7</v>
      </c>
      <c r="K79" s="134">
        <v>266.32</v>
      </c>
      <c r="L79" s="134">
        <v>25.67</v>
      </c>
      <c r="M79" s="134">
        <v>81.58</v>
      </c>
      <c r="N79" s="134">
        <v>2.4</v>
      </c>
      <c r="O79" s="134">
        <v>0</v>
      </c>
      <c r="P79" s="134">
        <v>0.4</v>
      </c>
      <c r="Q79" s="134">
        <v>3.2</v>
      </c>
    </row>
    <row r="80" spans="1:17" customFormat="1">
      <c r="A80" s="112" t="s">
        <v>502</v>
      </c>
      <c r="B80" s="134">
        <v>11.15</v>
      </c>
      <c r="C80" s="134">
        <v>19.47</v>
      </c>
      <c r="D80" s="134">
        <v>18.07</v>
      </c>
      <c r="E80" s="134">
        <v>5.8</v>
      </c>
      <c r="F80" s="134">
        <v>2.67</v>
      </c>
      <c r="G80" s="134">
        <v>12.31</v>
      </c>
      <c r="H80" s="134">
        <v>3.06</v>
      </c>
      <c r="I80" s="134">
        <v>4.45</v>
      </c>
      <c r="J80" s="134">
        <v>1.64</v>
      </c>
      <c r="K80" s="134">
        <v>273.07</v>
      </c>
      <c r="L80" s="134">
        <v>25.65</v>
      </c>
      <c r="M80" s="134">
        <v>80.25</v>
      </c>
      <c r="N80" s="134">
        <v>0.5</v>
      </c>
      <c r="O80" s="134">
        <v>0</v>
      </c>
      <c r="P80" s="134">
        <v>0.42</v>
      </c>
      <c r="Q80" s="134">
        <v>3.24</v>
      </c>
    </row>
    <row r="81" spans="1:17" customFormat="1">
      <c r="A81" s="112" t="s">
        <v>503</v>
      </c>
      <c r="B81" s="134">
        <v>11.01</v>
      </c>
      <c r="C81" s="134">
        <v>20.68</v>
      </c>
      <c r="D81" s="134">
        <v>18.59</v>
      </c>
      <c r="E81" s="134">
        <v>7.09</v>
      </c>
      <c r="F81" s="134">
        <v>2.4300000000000002</v>
      </c>
      <c r="G81" s="134">
        <v>12.31</v>
      </c>
      <c r="H81" s="134">
        <v>3.06</v>
      </c>
      <c r="I81" s="134">
        <v>4.3899999999999997</v>
      </c>
      <c r="J81" s="134">
        <v>1.75</v>
      </c>
      <c r="K81" s="134">
        <v>270.27</v>
      </c>
      <c r="L81" s="134">
        <v>25.56</v>
      </c>
      <c r="M81" s="134">
        <v>80.02</v>
      </c>
      <c r="N81" s="134">
        <v>0</v>
      </c>
      <c r="O81" s="134">
        <v>0</v>
      </c>
      <c r="P81" s="134">
        <v>0.41</v>
      </c>
      <c r="Q81" s="134">
        <v>3.29</v>
      </c>
    </row>
    <row r="82" spans="1:17" customFormat="1">
      <c r="A82" s="112" t="s">
        <v>504</v>
      </c>
      <c r="B82" s="134">
        <v>10.89</v>
      </c>
      <c r="C82" s="134">
        <v>18.559999999999999</v>
      </c>
      <c r="D82" s="134">
        <v>17.38</v>
      </c>
      <c r="E82" s="134">
        <v>7.2</v>
      </c>
      <c r="F82" s="134">
        <v>3.59</v>
      </c>
      <c r="G82" s="134">
        <v>12.31</v>
      </c>
      <c r="H82" s="134">
        <v>3.06</v>
      </c>
      <c r="I82" s="134">
        <v>4.3600000000000003</v>
      </c>
      <c r="J82" s="134">
        <v>1.86</v>
      </c>
      <c r="K82" s="134">
        <v>264.49</v>
      </c>
      <c r="L82" s="134">
        <v>25.49</v>
      </c>
      <c r="M82" s="134">
        <v>80.62</v>
      </c>
      <c r="N82" s="134">
        <v>0</v>
      </c>
      <c r="O82" s="134">
        <v>0</v>
      </c>
      <c r="P82" s="134">
        <v>0.39</v>
      </c>
      <c r="Q82" s="134">
        <v>3.21</v>
      </c>
    </row>
    <row r="83" spans="1:17" customFormat="1">
      <c r="A83" s="112" t="s">
        <v>505</v>
      </c>
      <c r="B83" s="134">
        <v>10.63</v>
      </c>
      <c r="C83" s="134">
        <v>18.989999999999998</v>
      </c>
      <c r="D83" s="134">
        <v>17.399999999999999</v>
      </c>
      <c r="E83" s="134">
        <v>7.48</v>
      </c>
      <c r="F83" s="134">
        <v>2.88</v>
      </c>
      <c r="G83" s="134">
        <v>12.37</v>
      </c>
      <c r="H83" s="134">
        <v>3.03</v>
      </c>
      <c r="I83" s="134">
        <v>4.3</v>
      </c>
      <c r="J83" s="134">
        <v>1.42</v>
      </c>
      <c r="K83" s="134">
        <v>268.49</v>
      </c>
      <c r="L83" s="134">
        <v>25.32</v>
      </c>
      <c r="M83" s="134">
        <v>82.46</v>
      </c>
      <c r="N83" s="134">
        <v>0</v>
      </c>
      <c r="O83" s="134">
        <v>0</v>
      </c>
      <c r="P83" s="134">
        <v>0.39</v>
      </c>
      <c r="Q83" s="134">
        <v>3.17</v>
      </c>
    </row>
    <row r="84" spans="1:17" customFormat="1">
      <c r="A84" s="112" t="s">
        <v>506</v>
      </c>
      <c r="B84" s="134">
        <v>10.63</v>
      </c>
      <c r="C84" s="134">
        <v>20.62</v>
      </c>
      <c r="D84" s="134">
        <v>18.25</v>
      </c>
      <c r="E84" s="134">
        <v>8.44</v>
      </c>
      <c r="F84" s="134">
        <v>2.06</v>
      </c>
      <c r="G84" s="134">
        <v>13.4</v>
      </c>
      <c r="H84" s="134">
        <v>2.5099999999999998</v>
      </c>
      <c r="I84" s="134">
        <v>4.16</v>
      </c>
      <c r="J84" s="134">
        <v>1.0900000000000001</v>
      </c>
      <c r="K84" s="134">
        <v>267.12</v>
      </c>
      <c r="L84" s="134">
        <v>25.11</v>
      </c>
      <c r="M84" s="134">
        <v>84.44</v>
      </c>
      <c r="N84" s="134">
        <v>0</v>
      </c>
      <c r="O84" s="134">
        <v>0</v>
      </c>
      <c r="P84" s="134">
        <v>0.41</v>
      </c>
      <c r="Q84" s="134">
        <v>3.23</v>
      </c>
    </row>
    <row r="85" spans="1:17" customFormat="1">
      <c r="A85" s="112" t="s">
        <v>507</v>
      </c>
      <c r="B85" s="134">
        <v>10.86</v>
      </c>
      <c r="C85" s="134">
        <v>18.739999999999998</v>
      </c>
      <c r="D85" s="134">
        <v>17.46</v>
      </c>
      <c r="E85" s="134">
        <v>8.06</v>
      </c>
      <c r="F85" s="134">
        <v>2.89</v>
      </c>
      <c r="G85" s="134">
        <v>13.4</v>
      </c>
      <c r="H85" s="134">
        <v>2.5099999999999998</v>
      </c>
      <c r="I85" s="134">
        <v>4.1900000000000004</v>
      </c>
      <c r="J85" s="134">
        <v>1.47</v>
      </c>
      <c r="K85" s="134">
        <v>265.76</v>
      </c>
      <c r="L85" s="134">
        <v>24.98</v>
      </c>
      <c r="M85" s="134">
        <v>84.95</v>
      </c>
      <c r="N85" s="134">
        <v>0</v>
      </c>
      <c r="O85" s="134">
        <v>0</v>
      </c>
      <c r="P85" s="134">
        <v>0.39</v>
      </c>
      <c r="Q85" s="134">
        <v>3.21</v>
      </c>
    </row>
    <row r="86" spans="1:17" customFormat="1">
      <c r="A86" s="112" t="s">
        <v>508</v>
      </c>
      <c r="B86" s="134">
        <v>10.82</v>
      </c>
      <c r="C86" s="134">
        <v>19.12</v>
      </c>
      <c r="D86" s="134">
        <v>17.62</v>
      </c>
      <c r="E86" s="134">
        <v>7.89</v>
      </c>
      <c r="F86" s="134">
        <v>2.4500000000000002</v>
      </c>
      <c r="G86" s="134">
        <v>13.4</v>
      </c>
      <c r="H86" s="134">
        <v>2.5099999999999998</v>
      </c>
      <c r="I86" s="134">
        <v>4.2300000000000004</v>
      </c>
      <c r="J86" s="134">
        <v>1.34</v>
      </c>
      <c r="K86" s="134">
        <v>263.88</v>
      </c>
      <c r="L86" s="134">
        <v>24.92</v>
      </c>
      <c r="M86" s="134">
        <v>85.24</v>
      </c>
      <c r="N86" s="134">
        <v>0</v>
      </c>
      <c r="O86" s="134">
        <v>0</v>
      </c>
      <c r="P86" s="134">
        <v>0.4</v>
      </c>
      <c r="Q86" s="134">
        <v>3.19</v>
      </c>
    </row>
    <row r="87" spans="1:17" customFormat="1">
      <c r="A87" s="112" t="s">
        <v>509</v>
      </c>
      <c r="B87" s="134">
        <v>10.74</v>
      </c>
      <c r="C87" s="134">
        <v>19.899999999999999</v>
      </c>
      <c r="D87" s="134">
        <v>17.97</v>
      </c>
      <c r="E87" s="134">
        <v>8.61</v>
      </c>
      <c r="F87" s="134">
        <v>2.31</v>
      </c>
      <c r="G87" s="134">
        <v>13.38</v>
      </c>
      <c r="H87" s="134">
        <v>2.5499999999999998</v>
      </c>
      <c r="I87" s="134">
        <v>4.13</v>
      </c>
      <c r="J87" s="134">
        <v>1.33</v>
      </c>
      <c r="K87" s="134">
        <v>265.45</v>
      </c>
      <c r="L87" s="134">
        <v>24.86</v>
      </c>
      <c r="M87" s="134">
        <v>85.39</v>
      </c>
      <c r="N87" s="134">
        <v>0</v>
      </c>
      <c r="O87" s="134">
        <v>0</v>
      </c>
      <c r="P87" s="134">
        <v>0.4</v>
      </c>
      <c r="Q87" s="134">
        <v>3.24</v>
      </c>
    </row>
    <row r="88" spans="1:17" customFormat="1">
      <c r="A88" s="112" t="s">
        <v>510</v>
      </c>
      <c r="B88" s="134">
        <v>10.86</v>
      </c>
      <c r="C88" s="134">
        <v>18.920000000000002</v>
      </c>
      <c r="D88" s="134">
        <v>17.55</v>
      </c>
      <c r="E88" s="134">
        <v>7.91</v>
      </c>
      <c r="F88" s="134">
        <v>2.8</v>
      </c>
      <c r="G88" s="134">
        <v>13.05</v>
      </c>
      <c r="H88" s="134">
        <v>3.24</v>
      </c>
      <c r="I88" s="134">
        <v>4.1100000000000003</v>
      </c>
      <c r="J88" s="134">
        <v>1.1499999999999999</v>
      </c>
      <c r="K88" s="134">
        <v>267.61</v>
      </c>
      <c r="L88" s="134">
        <v>24.73</v>
      </c>
      <c r="M88" s="134">
        <v>86.16</v>
      </c>
      <c r="N88" s="134">
        <v>0</v>
      </c>
      <c r="O88" s="134">
        <v>0</v>
      </c>
      <c r="P88" s="134">
        <v>0.4</v>
      </c>
      <c r="Q88" s="134">
        <v>3.21</v>
      </c>
    </row>
    <row r="89" spans="1:17" customFormat="1">
      <c r="A89" s="112" t="s">
        <v>511</v>
      </c>
      <c r="B89" s="134">
        <v>10.95</v>
      </c>
      <c r="C89" s="134">
        <v>20.04</v>
      </c>
      <c r="D89" s="134">
        <v>18.21</v>
      </c>
      <c r="E89" s="134">
        <v>8.24</v>
      </c>
      <c r="F89" s="134">
        <v>2.25</v>
      </c>
      <c r="G89" s="134">
        <v>13.05</v>
      </c>
      <c r="H89" s="134">
        <v>3.24</v>
      </c>
      <c r="I89" s="134">
        <v>4.07</v>
      </c>
      <c r="J89" s="134">
        <v>1.18</v>
      </c>
      <c r="K89" s="134">
        <v>266.47000000000003</v>
      </c>
      <c r="L89" s="134">
        <v>24.71</v>
      </c>
      <c r="M89" s="134">
        <v>85.8</v>
      </c>
      <c r="N89" s="134">
        <v>0</v>
      </c>
      <c r="O89" s="134">
        <v>0</v>
      </c>
      <c r="P89" s="134">
        <v>0.4</v>
      </c>
      <c r="Q89" s="134">
        <v>3.25</v>
      </c>
    </row>
    <row r="90" spans="1:17" customFormat="1">
      <c r="A90" s="112" t="s">
        <v>512</v>
      </c>
      <c r="B90" s="134">
        <v>11.11</v>
      </c>
      <c r="C90" s="134">
        <v>18.05</v>
      </c>
      <c r="D90" s="134">
        <v>17.3</v>
      </c>
      <c r="E90" s="134">
        <v>7.49</v>
      </c>
      <c r="F90" s="134">
        <v>3.06</v>
      </c>
      <c r="G90" s="134">
        <v>13.05</v>
      </c>
      <c r="H90" s="134">
        <v>3.24</v>
      </c>
      <c r="I90" s="134">
        <v>4.0199999999999996</v>
      </c>
      <c r="J90" s="134">
        <v>1.4</v>
      </c>
      <c r="K90" s="134">
        <v>264.47000000000003</v>
      </c>
      <c r="L90" s="134">
        <v>24.78</v>
      </c>
      <c r="M90" s="134">
        <v>85.03</v>
      </c>
      <c r="N90" s="134">
        <v>0</v>
      </c>
      <c r="O90" s="134">
        <v>0</v>
      </c>
      <c r="P90" s="134">
        <v>0.38</v>
      </c>
      <c r="Q90" s="134">
        <v>3.2</v>
      </c>
    </row>
    <row r="91" spans="1:17" customFormat="1">
      <c r="A91" s="112" t="s">
        <v>513</v>
      </c>
      <c r="B91" s="134">
        <v>11.03</v>
      </c>
      <c r="C91" s="134">
        <v>19.46</v>
      </c>
      <c r="D91" s="134">
        <v>17.97</v>
      </c>
      <c r="E91" s="134">
        <v>7.87</v>
      </c>
      <c r="F91" s="134">
        <v>2.19</v>
      </c>
      <c r="G91" s="134">
        <v>12.84</v>
      </c>
      <c r="H91" s="134">
        <v>3.21</v>
      </c>
      <c r="I91" s="134">
        <v>4</v>
      </c>
      <c r="J91" s="134">
        <v>1.61</v>
      </c>
      <c r="K91" s="134">
        <v>264.48</v>
      </c>
      <c r="L91" s="134">
        <v>24.92</v>
      </c>
      <c r="M91" s="134">
        <v>83.21</v>
      </c>
      <c r="N91" s="134">
        <v>0</v>
      </c>
      <c r="O91" s="134">
        <v>0</v>
      </c>
      <c r="P91" s="134">
        <v>0.4</v>
      </c>
      <c r="Q91" s="134">
        <v>3.22</v>
      </c>
    </row>
    <row r="92" spans="1:17" customFormat="1">
      <c r="A92" s="112" t="s">
        <v>514</v>
      </c>
      <c r="B92" s="134">
        <v>11</v>
      </c>
      <c r="C92" s="134">
        <v>19.14</v>
      </c>
      <c r="D92" s="134">
        <v>17.77</v>
      </c>
      <c r="E92" s="134">
        <v>8.44</v>
      </c>
      <c r="F92" s="134">
        <v>2.79</v>
      </c>
      <c r="G92" s="134">
        <v>9.24</v>
      </c>
      <c r="H92" s="134">
        <v>2.44</v>
      </c>
      <c r="I92" s="134">
        <v>3.92</v>
      </c>
      <c r="J92" s="134">
        <v>1.75</v>
      </c>
      <c r="K92" s="134">
        <v>266.81</v>
      </c>
      <c r="L92" s="134">
        <v>24.97</v>
      </c>
      <c r="M92" s="134">
        <v>81.88</v>
      </c>
      <c r="N92" s="134">
        <v>0</v>
      </c>
      <c r="O92" s="134">
        <v>0</v>
      </c>
      <c r="P92" s="134">
        <v>0.38</v>
      </c>
      <c r="Q92" s="134">
        <v>3.25</v>
      </c>
    </row>
    <row r="93" spans="1:17" customFormat="1">
      <c r="A93" s="112" t="s">
        <v>515</v>
      </c>
      <c r="B93" s="134">
        <v>10.9</v>
      </c>
      <c r="C93" s="134">
        <v>18.63</v>
      </c>
      <c r="D93" s="134">
        <v>17.43</v>
      </c>
      <c r="E93" s="134">
        <v>8.08</v>
      </c>
      <c r="F93" s="134">
        <v>2.98</v>
      </c>
      <c r="G93" s="134">
        <v>9.24</v>
      </c>
      <c r="H93" s="134">
        <v>2.44</v>
      </c>
      <c r="I93" s="134">
        <v>3.93</v>
      </c>
      <c r="J93" s="134">
        <v>1.41</v>
      </c>
      <c r="K93" s="134">
        <v>262.57</v>
      </c>
      <c r="L93" s="134">
        <v>24.89</v>
      </c>
      <c r="M93" s="134">
        <v>81.72</v>
      </c>
      <c r="N93" s="134">
        <v>0</v>
      </c>
      <c r="O93" s="134">
        <v>0</v>
      </c>
      <c r="P93" s="134">
        <v>0.38</v>
      </c>
      <c r="Q93" s="134">
        <v>3.19</v>
      </c>
    </row>
    <row r="94" spans="1:17" customFormat="1">
      <c r="A94" s="112" t="s">
        <v>516</v>
      </c>
      <c r="B94" s="134">
        <v>10.84</v>
      </c>
      <c r="C94" s="134">
        <v>20.329999999999998</v>
      </c>
      <c r="D94" s="134">
        <v>18.27</v>
      </c>
      <c r="E94" s="134">
        <v>8.66</v>
      </c>
      <c r="F94" s="134">
        <v>2.31</v>
      </c>
      <c r="G94" s="134">
        <v>9.24</v>
      </c>
      <c r="H94" s="134">
        <v>2.44</v>
      </c>
      <c r="I94" s="134">
        <v>3.9</v>
      </c>
      <c r="J94" s="134">
        <v>1.59</v>
      </c>
      <c r="K94" s="134">
        <v>265.31</v>
      </c>
      <c r="L94" s="134">
        <v>24.79</v>
      </c>
      <c r="M94" s="134">
        <v>82.31</v>
      </c>
      <c r="N94" s="134">
        <v>0</v>
      </c>
      <c r="O94" s="134">
        <v>0</v>
      </c>
      <c r="P94" s="134">
        <v>0.39</v>
      </c>
      <c r="Q94" s="134">
        <v>3.26</v>
      </c>
    </row>
    <row r="95" spans="1:17" customFormat="1">
      <c r="A95" s="112" t="s">
        <v>517</v>
      </c>
      <c r="B95" s="134">
        <v>10.83</v>
      </c>
      <c r="C95" s="134">
        <v>18.71</v>
      </c>
      <c r="D95" s="134">
        <v>17.420000000000002</v>
      </c>
      <c r="E95" s="134">
        <v>8.33</v>
      </c>
      <c r="F95" s="134">
        <v>3.2</v>
      </c>
      <c r="G95" s="134">
        <v>9.1999999999999993</v>
      </c>
      <c r="H95" s="134">
        <v>2.4</v>
      </c>
      <c r="I95" s="134">
        <v>3.96</v>
      </c>
      <c r="J95" s="134">
        <v>1.61</v>
      </c>
      <c r="K95" s="134">
        <v>264.91000000000003</v>
      </c>
      <c r="L95" s="134">
        <v>24.79</v>
      </c>
      <c r="M95" s="134">
        <v>82.1</v>
      </c>
      <c r="N95" s="134">
        <v>0</v>
      </c>
      <c r="O95" s="134">
        <v>0</v>
      </c>
      <c r="P95" s="134">
        <v>0.37</v>
      </c>
      <c r="Q95" s="134">
        <v>3.19</v>
      </c>
    </row>
    <row r="96" spans="1:17" customFormat="1">
      <c r="A96" s="112" t="s">
        <v>518</v>
      </c>
      <c r="B96" s="134">
        <v>10.58</v>
      </c>
      <c r="C96" s="134">
        <v>19.36</v>
      </c>
      <c r="D96" s="134">
        <v>17.55</v>
      </c>
      <c r="E96" s="134">
        <v>7.85</v>
      </c>
      <c r="F96" s="134">
        <v>2.58</v>
      </c>
      <c r="G96" s="134">
        <v>8.52</v>
      </c>
      <c r="H96" s="134">
        <v>1.85</v>
      </c>
      <c r="I96" s="134">
        <v>3.99</v>
      </c>
      <c r="J96" s="134">
        <v>1.52</v>
      </c>
      <c r="K96" s="134">
        <v>265.83999999999997</v>
      </c>
      <c r="L96" s="134">
        <v>24.78</v>
      </c>
      <c r="M96" s="134">
        <v>82.16</v>
      </c>
      <c r="N96" s="134">
        <v>0</v>
      </c>
      <c r="O96" s="134">
        <v>0</v>
      </c>
      <c r="P96" s="134">
        <v>0.38</v>
      </c>
      <c r="Q96" s="134">
        <v>3.15</v>
      </c>
    </row>
    <row r="97" spans="1:22" customFormat="1">
      <c r="A97" s="112" t="s">
        <v>519</v>
      </c>
      <c r="B97" s="134">
        <v>9.9600000000000009</v>
      </c>
      <c r="C97" s="134">
        <v>20.8</v>
      </c>
      <c r="D97" s="134">
        <v>17.82</v>
      </c>
      <c r="E97" s="134">
        <v>8.01</v>
      </c>
      <c r="F97" s="134">
        <v>2.71</v>
      </c>
      <c r="G97" s="134">
        <v>8.52</v>
      </c>
      <c r="H97" s="134">
        <v>1.85</v>
      </c>
      <c r="I97" s="134">
        <v>3.85</v>
      </c>
      <c r="J97" s="134">
        <v>1.48</v>
      </c>
      <c r="K97" s="134">
        <v>264.36</v>
      </c>
      <c r="L97" s="134">
        <v>24.69</v>
      </c>
      <c r="M97" s="134">
        <v>83.08</v>
      </c>
      <c r="N97" s="134">
        <v>0</v>
      </c>
      <c r="O97" s="134">
        <v>0</v>
      </c>
      <c r="P97" s="134">
        <v>0.4</v>
      </c>
      <c r="Q97" s="134">
        <v>3.17</v>
      </c>
    </row>
    <row r="98" spans="1:22" customFormat="1">
      <c r="A98" s="112" t="s">
        <v>520</v>
      </c>
      <c r="B98" s="134">
        <v>9.7200000000000006</v>
      </c>
      <c r="C98" s="134">
        <v>19.8</v>
      </c>
      <c r="D98" s="134">
        <v>17.09</v>
      </c>
      <c r="E98" s="134">
        <v>8.08</v>
      </c>
      <c r="F98" s="134">
        <v>3.31</v>
      </c>
      <c r="G98" s="134">
        <v>8.52</v>
      </c>
      <c r="H98" s="134">
        <v>1.85</v>
      </c>
      <c r="I98" s="134">
        <v>3.8</v>
      </c>
      <c r="J98" s="134">
        <v>1.45</v>
      </c>
      <c r="K98" s="134">
        <v>265</v>
      </c>
      <c r="L98" s="134">
        <v>24.63</v>
      </c>
      <c r="M98" s="134">
        <v>83.39</v>
      </c>
      <c r="N98" s="134">
        <v>0</v>
      </c>
      <c r="O98" s="134">
        <v>0</v>
      </c>
      <c r="P98" s="134">
        <v>0.38</v>
      </c>
      <c r="Q98" s="134">
        <v>3.23</v>
      </c>
    </row>
    <row r="99" spans="1:22" customFormat="1">
      <c r="A99" s="112" t="s">
        <v>521</v>
      </c>
      <c r="B99" s="134">
        <v>9.5299999999999994</v>
      </c>
      <c r="C99" s="134">
        <v>17.829999999999998</v>
      </c>
      <c r="D99" s="134">
        <v>15.91</v>
      </c>
      <c r="E99" s="134">
        <v>7.08</v>
      </c>
      <c r="F99" s="134">
        <v>3.73</v>
      </c>
      <c r="G99" s="134">
        <v>8.61</v>
      </c>
      <c r="H99" s="134">
        <v>2.0299999999999998</v>
      </c>
      <c r="I99" s="134">
        <v>3.65</v>
      </c>
      <c r="J99" s="134">
        <v>1.28</v>
      </c>
      <c r="K99" s="134">
        <v>264.32</v>
      </c>
      <c r="L99" s="134">
        <v>24.59</v>
      </c>
      <c r="M99" s="134">
        <v>83.84</v>
      </c>
      <c r="N99" s="134">
        <v>0</v>
      </c>
      <c r="O99" s="134">
        <v>0</v>
      </c>
      <c r="P99" s="134">
        <v>0.33</v>
      </c>
      <c r="Q99" s="134">
        <v>3.13</v>
      </c>
    </row>
    <row r="100" spans="1:22" customFormat="1">
      <c r="A100" s="112" t="s">
        <v>522</v>
      </c>
      <c r="B100" s="134">
        <v>9.3800000000000008</v>
      </c>
      <c r="C100" s="134">
        <v>18.670000000000002</v>
      </c>
      <c r="D100" s="134">
        <v>16.23</v>
      </c>
      <c r="E100" s="134">
        <v>7.33</v>
      </c>
      <c r="F100" s="134">
        <v>2.75</v>
      </c>
      <c r="G100" s="134">
        <v>10.26</v>
      </c>
      <c r="H100" s="134">
        <v>4.8499999999999996</v>
      </c>
      <c r="I100" s="134">
        <v>3.51</v>
      </c>
      <c r="J100" s="134">
        <v>1.48</v>
      </c>
      <c r="K100" s="134">
        <v>264.01</v>
      </c>
      <c r="L100" s="134">
        <v>24.62</v>
      </c>
      <c r="M100" s="134">
        <v>83.89</v>
      </c>
      <c r="N100" s="134">
        <v>0</v>
      </c>
      <c r="O100" s="134">
        <v>0</v>
      </c>
      <c r="P100" s="134">
        <v>0.34</v>
      </c>
      <c r="Q100" s="134">
        <v>3.12</v>
      </c>
    </row>
    <row r="101" spans="1:22" customFormat="1">
      <c r="A101" s="112" t="s">
        <v>523</v>
      </c>
      <c r="B101" s="134">
        <v>9.34</v>
      </c>
      <c r="C101" s="134">
        <v>19.87</v>
      </c>
      <c r="D101" s="134">
        <v>16.829999999999998</v>
      </c>
      <c r="E101" s="134">
        <v>7.77</v>
      </c>
      <c r="F101" s="134">
        <v>2.08</v>
      </c>
      <c r="G101" s="134">
        <v>10.26</v>
      </c>
      <c r="H101" s="134">
        <v>4.8499999999999996</v>
      </c>
      <c r="I101" s="134">
        <v>3.38</v>
      </c>
      <c r="J101" s="134">
        <v>1.41</v>
      </c>
      <c r="K101" s="134">
        <v>263.95999999999998</v>
      </c>
      <c r="L101" s="134">
        <v>24.65</v>
      </c>
      <c r="M101" s="134">
        <v>83.86</v>
      </c>
      <c r="N101" s="134">
        <v>0</v>
      </c>
      <c r="O101" s="134">
        <v>0</v>
      </c>
      <c r="P101" s="134">
        <v>0.34</v>
      </c>
      <c r="Q101" s="134">
        <v>3.17</v>
      </c>
    </row>
    <row r="102" spans="1:22" customFormat="1">
      <c r="A102" s="112" t="s">
        <v>524</v>
      </c>
      <c r="B102" s="134">
        <v>9.41</v>
      </c>
      <c r="C102" s="134">
        <v>18.32</v>
      </c>
      <c r="D102" s="134">
        <v>16.07</v>
      </c>
      <c r="E102" s="134">
        <v>7.31</v>
      </c>
      <c r="F102" s="134">
        <v>2.73</v>
      </c>
      <c r="G102" s="134">
        <v>10.26</v>
      </c>
      <c r="H102" s="134">
        <v>4.8499999999999996</v>
      </c>
      <c r="I102" s="134">
        <v>3.34</v>
      </c>
      <c r="J102" s="134">
        <v>1.29</v>
      </c>
      <c r="K102" s="134">
        <v>265.60000000000002</v>
      </c>
      <c r="L102" s="134">
        <v>24.59</v>
      </c>
      <c r="M102" s="134">
        <v>84.33</v>
      </c>
      <c r="N102" s="134">
        <v>0</v>
      </c>
      <c r="O102" s="134">
        <v>0</v>
      </c>
      <c r="P102" s="134">
        <v>0.31</v>
      </c>
      <c r="Q102" s="134">
        <v>3.12</v>
      </c>
    </row>
    <row r="103" spans="1:22" customFormat="1">
      <c r="A103" s="112" t="s">
        <v>525</v>
      </c>
      <c r="B103" s="134">
        <v>9.43</v>
      </c>
      <c r="C103" s="134">
        <v>19.649999999999999</v>
      </c>
      <c r="D103" s="134">
        <v>16.78</v>
      </c>
      <c r="E103" s="134">
        <v>7.57</v>
      </c>
      <c r="F103" s="134">
        <v>2.0099999999999998</v>
      </c>
      <c r="G103" s="134">
        <v>10.27</v>
      </c>
      <c r="H103" s="134">
        <v>4.7699999999999996</v>
      </c>
      <c r="I103" s="134">
        <v>3.32</v>
      </c>
      <c r="J103" s="134">
        <v>1.19</v>
      </c>
      <c r="K103" s="134">
        <v>263.39</v>
      </c>
      <c r="L103" s="134">
        <v>24.48</v>
      </c>
      <c r="M103" s="134">
        <v>85.46</v>
      </c>
      <c r="N103" s="134">
        <v>0</v>
      </c>
      <c r="O103" s="134">
        <v>0</v>
      </c>
      <c r="P103" s="134">
        <v>0.33</v>
      </c>
      <c r="Q103" s="134">
        <v>3.14</v>
      </c>
    </row>
    <row r="104" spans="1:22" customFormat="1">
      <c r="A104" s="112" t="s">
        <v>526</v>
      </c>
      <c r="B104" s="134">
        <v>9.52</v>
      </c>
      <c r="C104" s="134">
        <v>18.78</v>
      </c>
      <c r="D104" s="134">
        <v>16.399999999999999</v>
      </c>
      <c r="E104" s="134">
        <v>7.82</v>
      </c>
      <c r="F104" s="134">
        <v>2.8</v>
      </c>
      <c r="G104" s="134">
        <v>10.56</v>
      </c>
      <c r="H104" s="134">
        <v>3.41</v>
      </c>
      <c r="I104" s="134">
        <v>3.25</v>
      </c>
      <c r="J104" s="134">
        <v>1.38</v>
      </c>
      <c r="K104" s="134">
        <v>263.83</v>
      </c>
      <c r="L104" s="134">
        <v>24.44</v>
      </c>
      <c r="M104" s="134">
        <v>85.49</v>
      </c>
      <c r="N104" s="134">
        <v>0</v>
      </c>
      <c r="O104" s="134">
        <v>0</v>
      </c>
      <c r="P104" s="134">
        <v>0.32</v>
      </c>
      <c r="Q104" s="134">
        <v>3.16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9.34</v>
      </c>
      <c r="C106" s="183">
        <f>MIN(C9:C104)</f>
        <v>17.670000000000002</v>
      </c>
      <c r="D106" s="183">
        <f t="shared" ref="D106:Q106" si="0">MIN(D9:D104)</f>
        <v>15.91</v>
      </c>
      <c r="E106" s="183">
        <f t="shared" si="0"/>
        <v>5.8</v>
      </c>
      <c r="F106" s="183">
        <f t="shared" si="0"/>
        <v>1.64</v>
      </c>
      <c r="G106" s="183">
        <f t="shared" si="0"/>
        <v>3.76</v>
      </c>
      <c r="H106" s="183">
        <f t="shared" si="0"/>
        <v>1.46</v>
      </c>
      <c r="I106" s="183">
        <f t="shared" si="0"/>
        <v>2.84</v>
      </c>
      <c r="J106" s="183">
        <f t="shared" si="0"/>
        <v>0.93</v>
      </c>
      <c r="K106" s="183">
        <f t="shared" si="0"/>
        <v>262.38</v>
      </c>
      <c r="L106" s="183">
        <f t="shared" si="0"/>
        <v>23.89</v>
      </c>
      <c r="M106" s="183">
        <f t="shared" si="0"/>
        <v>80.02</v>
      </c>
      <c r="N106" s="183">
        <f t="shared" si="0"/>
        <v>0</v>
      </c>
      <c r="O106" s="183">
        <f t="shared" si="0"/>
        <v>0</v>
      </c>
      <c r="P106" s="183">
        <f t="shared" si="0"/>
        <v>0.25</v>
      </c>
      <c r="Q106" s="183">
        <f t="shared" si="0"/>
        <v>3.12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14.85</v>
      </c>
      <c r="C107" s="184">
        <f t="shared" ref="C107:Q107" si="1">MAX(C9:C104)</f>
        <v>23.56</v>
      </c>
      <c r="D107" s="184">
        <f t="shared" si="1"/>
        <v>22.11</v>
      </c>
      <c r="E107" s="184">
        <f t="shared" si="1"/>
        <v>9.39</v>
      </c>
      <c r="F107" s="184">
        <f t="shared" si="1"/>
        <v>3.73</v>
      </c>
      <c r="G107" s="184">
        <f t="shared" si="1"/>
        <v>13.4</v>
      </c>
      <c r="H107" s="184">
        <f t="shared" si="1"/>
        <v>5.39</v>
      </c>
      <c r="I107" s="184">
        <f t="shared" si="1"/>
        <v>5.05</v>
      </c>
      <c r="J107" s="184">
        <f t="shared" si="1"/>
        <v>1.88</v>
      </c>
      <c r="K107" s="184">
        <f t="shared" si="1"/>
        <v>283.77999999999997</v>
      </c>
      <c r="L107" s="184">
        <f t="shared" si="1"/>
        <v>26.22</v>
      </c>
      <c r="M107" s="184">
        <f t="shared" si="1"/>
        <v>99.19</v>
      </c>
      <c r="N107" s="184">
        <f t="shared" si="1"/>
        <v>259.3</v>
      </c>
      <c r="O107" s="184">
        <f t="shared" si="1"/>
        <v>2.8</v>
      </c>
      <c r="P107" s="184">
        <f t="shared" si="1"/>
        <v>0.47</v>
      </c>
      <c r="Q107" s="184">
        <f t="shared" si="1"/>
        <v>3.52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12.383229166666666</v>
      </c>
      <c r="C108" s="183">
        <f t="shared" ref="C108:Q108" si="2">AVERAGE(C9:C104)</f>
        <v>19.755520833333332</v>
      </c>
      <c r="D108" s="183">
        <f t="shared" si="2"/>
        <v>19.20708333333334</v>
      </c>
      <c r="E108" s="183">
        <f t="shared" si="2"/>
        <v>7.8148958333333356</v>
      </c>
      <c r="F108" s="183">
        <f t="shared" si="2"/>
        <v>2.5765625000000001</v>
      </c>
      <c r="G108" s="183">
        <f t="shared" si="2"/>
        <v>7.9949999999999974</v>
      </c>
      <c r="H108" s="183">
        <f t="shared" si="2"/>
        <v>3.2987500000000005</v>
      </c>
      <c r="I108" s="183">
        <f t="shared" si="2"/>
        <v>4.0185416666666658</v>
      </c>
      <c r="J108" s="183">
        <f t="shared" si="2"/>
        <v>1.4623958333333331</v>
      </c>
      <c r="K108" s="183">
        <f t="shared" si="2"/>
        <v>266.46843750000005</v>
      </c>
      <c r="L108" s="183">
        <f t="shared" si="2"/>
        <v>24.748437499999998</v>
      </c>
      <c r="M108" s="183">
        <f t="shared" si="2"/>
        <v>91.683854166666677</v>
      </c>
      <c r="N108" s="183">
        <f t="shared" si="2"/>
        <v>49.695833333333326</v>
      </c>
      <c r="O108" s="183">
        <f t="shared" si="2"/>
        <v>0.50416666666666698</v>
      </c>
      <c r="P108" s="183">
        <f t="shared" si="2"/>
        <v>0.35718749999999999</v>
      </c>
      <c r="Q108" s="183">
        <f t="shared" si="2"/>
        <v>3.3264583333333331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1.4988363871186412</v>
      </c>
      <c r="C109" s="183">
        <f t="shared" ref="C109:Q109" si="3">STDEV(C9:C104)</f>
        <v>1.167508250656496</v>
      </c>
      <c r="D109" s="183">
        <f t="shared" si="3"/>
        <v>1.4383132787119133</v>
      </c>
      <c r="E109" s="183">
        <f t="shared" si="3"/>
        <v>0.82806813194344653</v>
      </c>
      <c r="F109" s="183">
        <f t="shared" si="3"/>
        <v>0.49098789378365404</v>
      </c>
      <c r="G109" s="183">
        <f t="shared" si="3"/>
        <v>3.0131312616612052</v>
      </c>
      <c r="H109" s="183">
        <f t="shared" si="3"/>
        <v>1.1529470248477414</v>
      </c>
      <c r="I109" s="183">
        <f t="shared" si="3"/>
        <v>0.66574845758133883</v>
      </c>
      <c r="J109" s="183">
        <f t="shared" si="3"/>
        <v>0.19424208873230309</v>
      </c>
      <c r="K109" s="183">
        <f t="shared" si="3"/>
        <v>2.8281544393573022</v>
      </c>
      <c r="L109" s="183">
        <f t="shared" si="3"/>
        <v>0.72902144669202007</v>
      </c>
      <c r="M109" s="183">
        <f t="shared" si="3"/>
        <v>7.2423337863731367</v>
      </c>
      <c r="N109" s="183">
        <f t="shared" si="3"/>
        <v>75.144318574560828</v>
      </c>
      <c r="O109" s="183">
        <f t="shared" si="3"/>
        <v>0.6768217780909872</v>
      </c>
      <c r="P109" s="183">
        <f t="shared" si="3"/>
        <v>5.284940123148358E-2</v>
      </c>
      <c r="Q109" s="183">
        <f t="shared" si="3"/>
        <v>0.10106776430918651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04/08/2023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527</v>
      </c>
      <c r="B9" s="134">
        <v>8.7899999999999991</v>
      </c>
      <c r="C9" s="134">
        <v>21.45</v>
      </c>
      <c r="D9" s="134">
        <v>17.21</v>
      </c>
      <c r="E9" s="134">
        <v>7.61</v>
      </c>
      <c r="F9" s="134">
        <v>2.08</v>
      </c>
      <c r="G9" s="134">
        <v>10.56</v>
      </c>
      <c r="H9" s="134">
        <v>3.41</v>
      </c>
      <c r="I9" s="134">
        <v>3.27</v>
      </c>
      <c r="J9" s="134">
        <v>1.42</v>
      </c>
      <c r="K9" s="134">
        <v>262.62</v>
      </c>
      <c r="L9" s="134">
        <v>24.42</v>
      </c>
      <c r="M9" s="134">
        <v>85.36</v>
      </c>
      <c r="N9" s="134">
        <v>0</v>
      </c>
      <c r="O9" s="134">
        <v>0</v>
      </c>
      <c r="P9" s="134">
        <v>0.33</v>
      </c>
      <c r="Q9" s="134">
        <v>3.16</v>
      </c>
    </row>
    <row r="10" spans="1:21" customFormat="1">
      <c r="A10" s="112" t="s">
        <v>528</v>
      </c>
      <c r="B10" s="134">
        <v>9.07</v>
      </c>
      <c r="C10" s="134">
        <v>18.82</v>
      </c>
      <c r="D10" s="134">
        <v>16.059999999999999</v>
      </c>
      <c r="E10" s="134">
        <v>8.14</v>
      </c>
      <c r="F10" s="134">
        <v>2.72</v>
      </c>
      <c r="G10" s="134">
        <v>10.56</v>
      </c>
      <c r="H10" s="134">
        <v>3.41</v>
      </c>
      <c r="I10" s="134">
        <v>3.16</v>
      </c>
      <c r="J10" s="134">
        <v>1.05</v>
      </c>
      <c r="K10" s="134">
        <v>260.62</v>
      </c>
      <c r="L10" s="134">
        <v>24.19</v>
      </c>
      <c r="M10" s="134">
        <v>86.85</v>
      </c>
      <c r="N10" s="134">
        <v>0</v>
      </c>
      <c r="O10" s="134">
        <v>0</v>
      </c>
      <c r="P10" s="134">
        <v>0.3</v>
      </c>
      <c r="Q10" s="134">
        <v>3.16</v>
      </c>
    </row>
    <row r="11" spans="1:21" customFormat="1">
      <c r="A11" s="112" t="s">
        <v>529</v>
      </c>
      <c r="B11" s="134">
        <v>9.09</v>
      </c>
      <c r="C11" s="134">
        <v>18.93</v>
      </c>
      <c r="D11" s="134">
        <v>16.14</v>
      </c>
      <c r="E11" s="134">
        <v>7.65</v>
      </c>
      <c r="F11" s="134">
        <v>2.3199999999999998</v>
      </c>
      <c r="G11" s="134">
        <v>10.41</v>
      </c>
      <c r="H11" s="134">
        <v>3.45</v>
      </c>
      <c r="I11" s="134">
        <v>3.19</v>
      </c>
      <c r="J11" s="134">
        <v>1.34</v>
      </c>
      <c r="K11" s="134">
        <v>264.85000000000002</v>
      </c>
      <c r="L11" s="134">
        <v>23.88</v>
      </c>
      <c r="M11" s="134">
        <v>89.03</v>
      </c>
      <c r="N11" s="134">
        <v>0</v>
      </c>
      <c r="O11" s="134">
        <v>0</v>
      </c>
      <c r="P11" s="134">
        <v>0.31</v>
      </c>
      <c r="Q11" s="134">
        <v>3.13</v>
      </c>
    </row>
    <row r="12" spans="1:21" customFormat="1">
      <c r="A12" s="112" t="s">
        <v>530</v>
      </c>
      <c r="B12" s="134">
        <v>9.11</v>
      </c>
      <c r="C12" s="134">
        <v>19.29</v>
      </c>
      <c r="D12" s="134">
        <v>16.34</v>
      </c>
      <c r="E12" s="134">
        <v>8.4</v>
      </c>
      <c r="F12" s="134">
        <v>2.38</v>
      </c>
      <c r="G12" s="134">
        <v>7.88</v>
      </c>
      <c r="H12" s="134">
        <v>4.18</v>
      </c>
      <c r="I12" s="134">
        <v>3.09</v>
      </c>
      <c r="J12" s="134">
        <v>1.3</v>
      </c>
      <c r="K12" s="134">
        <v>264.79000000000002</v>
      </c>
      <c r="L12" s="134">
        <v>23.86</v>
      </c>
      <c r="M12" s="134">
        <v>88.77</v>
      </c>
      <c r="N12" s="134">
        <v>0</v>
      </c>
      <c r="O12" s="134">
        <v>0</v>
      </c>
      <c r="P12" s="134">
        <v>0.3</v>
      </c>
      <c r="Q12" s="134">
        <v>3.19</v>
      </c>
    </row>
    <row r="13" spans="1:21" customFormat="1">
      <c r="A13" s="112" t="s">
        <v>531</v>
      </c>
      <c r="B13" s="134">
        <v>9.06</v>
      </c>
      <c r="C13" s="134">
        <v>18.62</v>
      </c>
      <c r="D13" s="134">
        <v>15.95</v>
      </c>
      <c r="E13" s="134">
        <v>8.07</v>
      </c>
      <c r="F13" s="134">
        <v>2.72</v>
      </c>
      <c r="G13" s="134">
        <v>7.88</v>
      </c>
      <c r="H13" s="134">
        <v>4.18</v>
      </c>
      <c r="I13" s="134">
        <v>3.05</v>
      </c>
      <c r="J13" s="134">
        <v>1.28</v>
      </c>
      <c r="K13" s="134">
        <v>261.8</v>
      </c>
      <c r="L13" s="134">
        <v>23.94</v>
      </c>
      <c r="M13" s="134">
        <v>88.46</v>
      </c>
      <c r="N13" s="134">
        <v>0</v>
      </c>
      <c r="O13" s="134">
        <v>0</v>
      </c>
      <c r="P13" s="134">
        <v>0.3</v>
      </c>
      <c r="Q13" s="134">
        <v>3.15</v>
      </c>
    </row>
    <row r="14" spans="1:21" customFormat="1">
      <c r="A14" s="112" t="s">
        <v>532</v>
      </c>
      <c r="B14" s="134">
        <v>9.2100000000000009</v>
      </c>
      <c r="C14" s="134">
        <v>19.63</v>
      </c>
      <c r="D14" s="134">
        <v>16.59</v>
      </c>
      <c r="E14" s="134">
        <v>8.35</v>
      </c>
      <c r="F14" s="134">
        <v>2.12</v>
      </c>
      <c r="G14" s="134">
        <v>7.88</v>
      </c>
      <c r="H14" s="134">
        <v>4.18</v>
      </c>
      <c r="I14" s="134">
        <v>3</v>
      </c>
      <c r="J14" s="134">
        <v>1.17</v>
      </c>
      <c r="K14" s="134">
        <v>266.17</v>
      </c>
      <c r="L14" s="134">
        <v>23.93</v>
      </c>
      <c r="M14" s="134">
        <v>89.04</v>
      </c>
      <c r="N14" s="134">
        <v>0</v>
      </c>
      <c r="O14" s="134">
        <v>0</v>
      </c>
      <c r="P14" s="134">
        <v>0.3</v>
      </c>
      <c r="Q14" s="134">
        <v>3.21</v>
      </c>
    </row>
    <row r="15" spans="1:21" customFormat="1">
      <c r="A15" s="112" t="s">
        <v>533</v>
      </c>
      <c r="B15" s="134">
        <v>9.3000000000000007</v>
      </c>
      <c r="C15" s="134">
        <v>18.260000000000002</v>
      </c>
      <c r="D15" s="134">
        <v>15.96</v>
      </c>
      <c r="E15" s="134">
        <v>7.92</v>
      </c>
      <c r="F15" s="134">
        <v>2.88</v>
      </c>
      <c r="G15" s="134">
        <v>7.81</v>
      </c>
      <c r="H15" s="134">
        <v>4.13</v>
      </c>
      <c r="I15" s="134">
        <v>2.92</v>
      </c>
      <c r="J15" s="134">
        <v>1.38</v>
      </c>
      <c r="K15" s="134">
        <v>264.06</v>
      </c>
      <c r="L15" s="134">
        <v>23.97</v>
      </c>
      <c r="M15" s="134">
        <v>89.03</v>
      </c>
      <c r="N15" s="134">
        <v>0</v>
      </c>
      <c r="O15" s="134">
        <v>0</v>
      </c>
      <c r="P15" s="134">
        <v>0.3</v>
      </c>
      <c r="Q15" s="134">
        <v>3.16</v>
      </c>
    </row>
    <row r="16" spans="1:21" customFormat="1">
      <c r="A16" s="112" t="s">
        <v>534</v>
      </c>
      <c r="B16" s="134">
        <v>9.3000000000000007</v>
      </c>
      <c r="C16" s="134">
        <v>19.87</v>
      </c>
      <c r="D16" s="134">
        <v>16.8</v>
      </c>
      <c r="E16" s="134">
        <v>8.26</v>
      </c>
      <c r="F16" s="134">
        <v>2.15</v>
      </c>
      <c r="G16" s="134">
        <v>6.22</v>
      </c>
      <c r="H16" s="134">
        <v>3.04</v>
      </c>
      <c r="I16" s="134">
        <v>2.94</v>
      </c>
      <c r="J16" s="134">
        <v>1.29</v>
      </c>
      <c r="K16" s="134">
        <v>267.11</v>
      </c>
      <c r="L16" s="134">
        <v>23.83</v>
      </c>
      <c r="M16" s="134">
        <v>90.31</v>
      </c>
      <c r="N16" s="134">
        <v>0</v>
      </c>
      <c r="O16" s="134">
        <v>0</v>
      </c>
      <c r="P16" s="134">
        <v>0.3</v>
      </c>
      <c r="Q16" s="134">
        <v>3.19</v>
      </c>
    </row>
    <row r="17" spans="1:17" customFormat="1">
      <c r="A17" s="112" t="s">
        <v>535</v>
      </c>
      <c r="B17" s="134">
        <v>9.44</v>
      </c>
      <c r="C17" s="134">
        <v>18.25</v>
      </c>
      <c r="D17" s="134">
        <v>16.059999999999999</v>
      </c>
      <c r="E17" s="134">
        <v>4.8099999999999996</v>
      </c>
      <c r="F17" s="134">
        <v>2.81</v>
      </c>
      <c r="G17" s="134">
        <v>6.22</v>
      </c>
      <c r="H17" s="134">
        <v>3.04</v>
      </c>
      <c r="I17" s="134">
        <v>2.83</v>
      </c>
      <c r="J17" s="134">
        <v>1.1000000000000001</v>
      </c>
      <c r="K17" s="134">
        <v>267.36</v>
      </c>
      <c r="L17" s="134">
        <v>23.82</v>
      </c>
      <c r="M17" s="134">
        <v>90.7</v>
      </c>
      <c r="N17" s="134">
        <v>0</v>
      </c>
      <c r="O17" s="134">
        <v>0</v>
      </c>
      <c r="P17" s="134">
        <v>0.28000000000000003</v>
      </c>
      <c r="Q17" s="134">
        <v>3.15</v>
      </c>
    </row>
    <row r="18" spans="1:17" customFormat="1">
      <c r="A18" s="112" t="s">
        <v>536</v>
      </c>
      <c r="B18" s="134">
        <v>9.4</v>
      </c>
      <c r="C18" s="134">
        <v>19.5</v>
      </c>
      <c r="D18" s="134">
        <v>16.68</v>
      </c>
      <c r="E18" s="134">
        <v>5.42</v>
      </c>
      <c r="F18" s="134">
        <v>2.16</v>
      </c>
      <c r="G18" s="134">
        <v>6.22</v>
      </c>
      <c r="H18" s="134">
        <v>3.04</v>
      </c>
      <c r="I18" s="134">
        <v>2.87</v>
      </c>
      <c r="J18" s="134">
        <v>1.29</v>
      </c>
      <c r="K18" s="134">
        <v>266.64</v>
      </c>
      <c r="L18" s="134">
        <v>23.88</v>
      </c>
      <c r="M18" s="134">
        <v>90.24</v>
      </c>
      <c r="N18" s="134">
        <v>0</v>
      </c>
      <c r="O18" s="134">
        <v>0</v>
      </c>
      <c r="P18" s="134">
        <v>0.28999999999999998</v>
      </c>
      <c r="Q18" s="134">
        <v>3.19</v>
      </c>
    </row>
    <row r="19" spans="1:17" customFormat="1">
      <c r="A19" s="112" t="s">
        <v>537</v>
      </c>
      <c r="B19" s="134">
        <v>9.48</v>
      </c>
      <c r="C19" s="134">
        <v>18.62</v>
      </c>
      <c r="D19" s="134">
        <v>16.29</v>
      </c>
      <c r="E19" s="134">
        <v>5.75</v>
      </c>
      <c r="F19" s="134">
        <v>2.89</v>
      </c>
      <c r="G19" s="134">
        <v>6.18</v>
      </c>
      <c r="H19" s="134">
        <v>2.99</v>
      </c>
      <c r="I19" s="134">
        <v>2.79</v>
      </c>
      <c r="J19" s="134">
        <v>1.27</v>
      </c>
      <c r="K19" s="134">
        <v>265.42</v>
      </c>
      <c r="L19" s="134">
        <v>23.92</v>
      </c>
      <c r="M19" s="134">
        <v>89.84</v>
      </c>
      <c r="N19" s="134">
        <v>0</v>
      </c>
      <c r="O19" s="134">
        <v>0</v>
      </c>
      <c r="P19" s="134">
        <v>0.28000000000000003</v>
      </c>
      <c r="Q19" s="134">
        <v>3.2</v>
      </c>
    </row>
    <row r="20" spans="1:17" customFormat="1">
      <c r="A20" s="112" t="s">
        <v>538</v>
      </c>
      <c r="B20" s="134">
        <v>9.51</v>
      </c>
      <c r="C20" s="134">
        <v>18.62</v>
      </c>
      <c r="D20" s="134">
        <v>16.309999999999999</v>
      </c>
      <c r="E20" s="134">
        <v>4.8499999999999996</v>
      </c>
      <c r="F20" s="134">
        <v>2.61</v>
      </c>
      <c r="G20" s="134">
        <v>5.22</v>
      </c>
      <c r="H20" s="134">
        <v>2.1800000000000002</v>
      </c>
      <c r="I20" s="134">
        <v>2.79</v>
      </c>
      <c r="J20" s="134">
        <v>1.3</v>
      </c>
      <c r="K20" s="134">
        <v>265.31</v>
      </c>
      <c r="L20" s="134">
        <v>23.87</v>
      </c>
      <c r="M20" s="134">
        <v>90.17</v>
      </c>
      <c r="N20" s="134">
        <v>0</v>
      </c>
      <c r="O20" s="134">
        <v>0</v>
      </c>
      <c r="P20" s="134">
        <v>0.28000000000000003</v>
      </c>
      <c r="Q20" s="134">
        <v>3.17</v>
      </c>
    </row>
    <row r="21" spans="1:17" customFormat="1">
      <c r="A21" s="112" t="s">
        <v>539</v>
      </c>
      <c r="B21" s="134">
        <v>9.34</v>
      </c>
      <c r="C21" s="134">
        <v>20.64</v>
      </c>
      <c r="D21" s="134">
        <v>17.23</v>
      </c>
      <c r="E21" s="134">
        <v>5.79</v>
      </c>
      <c r="F21" s="134">
        <v>2.0099999999999998</v>
      </c>
      <c r="G21" s="134">
        <v>5.22</v>
      </c>
      <c r="H21" s="134">
        <v>2.1800000000000002</v>
      </c>
      <c r="I21" s="134">
        <v>2.7</v>
      </c>
      <c r="J21" s="134">
        <v>1.1599999999999999</v>
      </c>
      <c r="K21" s="134">
        <v>263.92</v>
      </c>
      <c r="L21" s="134">
        <v>23.43</v>
      </c>
      <c r="M21" s="134">
        <v>93.22</v>
      </c>
      <c r="N21" s="134">
        <v>0</v>
      </c>
      <c r="O21" s="134">
        <v>0.2</v>
      </c>
      <c r="P21" s="134">
        <v>0.31</v>
      </c>
      <c r="Q21" s="134">
        <v>3.19</v>
      </c>
    </row>
    <row r="22" spans="1:17" customFormat="1">
      <c r="A22" s="112" t="s">
        <v>540</v>
      </c>
      <c r="B22" s="134">
        <v>9.01</v>
      </c>
      <c r="C22" s="134">
        <v>21.81</v>
      </c>
      <c r="D22" s="134">
        <v>17.579999999999998</v>
      </c>
      <c r="E22" s="134">
        <v>5.89</v>
      </c>
      <c r="F22" s="134">
        <v>2.38</v>
      </c>
      <c r="G22" s="134">
        <v>5.22</v>
      </c>
      <c r="H22" s="134">
        <v>2.1800000000000002</v>
      </c>
      <c r="I22" s="134">
        <v>2.7</v>
      </c>
      <c r="J22" s="134">
        <v>1.17</v>
      </c>
      <c r="K22" s="134">
        <v>265.35000000000002</v>
      </c>
      <c r="L22" s="134">
        <v>23.15</v>
      </c>
      <c r="M22" s="134">
        <v>95.3</v>
      </c>
      <c r="N22" s="134">
        <v>0</v>
      </c>
      <c r="O22" s="134">
        <v>0.2</v>
      </c>
      <c r="P22" s="134">
        <v>0.33</v>
      </c>
      <c r="Q22" s="134">
        <v>3.24</v>
      </c>
    </row>
    <row r="23" spans="1:17" customFormat="1">
      <c r="A23" s="112" t="s">
        <v>541</v>
      </c>
      <c r="B23" s="134">
        <v>9.17</v>
      </c>
      <c r="C23" s="134">
        <v>19.16</v>
      </c>
      <c r="D23" s="134">
        <v>16.32</v>
      </c>
      <c r="E23" s="134">
        <v>5.52</v>
      </c>
      <c r="F23" s="134">
        <v>3.28</v>
      </c>
      <c r="G23" s="134">
        <v>5.39</v>
      </c>
      <c r="H23" s="134">
        <v>2.2200000000000002</v>
      </c>
      <c r="I23" s="134">
        <v>2.73</v>
      </c>
      <c r="J23" s="134">
        <v>1.07</v>
      </c>
      <c r="K23" s="134">
        <v>262.89999999999998</v>
      </c>
      <c r="L23" s="134">
        <v>23.14</v>
      </c>
      <c r="M23" s="134">
        <v>95.95</v>
      </c>
      <c r="N23" s="134">
        <v>0</v>
      </c>
      <c r="O23" s="134">
        <v>0.2</v>
      </c>
      <c r="P23" s="134">
        <v>0.28000000000000003</v>
      </c>
      <c r="Q23" s="134">
        <v>3.2</v>
      </c>
    </row>
    <row r="24" spans="1:17" customFormat="1">
      <c r="A24" s="112" t="s">
        <v>542</v>
      </c>
      <c r="B24" s="134">
        <v>9.17</v>
      </c>
      <c r="C24" s="134">
        <v>17.579999999999998</v>
      </c>
      <c r="D24" s="134">
        <v>15.49</v>
      </c>
      <c r="E24" s="134">
        <v>4.83</v>
      </c>
      <c r="F24" s="134">
        <v>3.4</v>
      </c>
      <c r="G24" s="134">
        <v>8.99</v>
      </c>
      <c r="H24" s="134">
        <v>2.95</v>
      </c>
      <c r="I24" s="134">
        <v>2.63</v>
      </c>
      <c r="J24" s="134">
        <v>1.3</v>
      </c>
      <c r="K24" s="134">
        <v>264.38</v>
      </c>
      <c r="L24" s="134">
        <v>23.19</v>
      </c>
      <c r="M24" s="134">
        <v>96.03</v>
      </c>
      <c r="N24" s="134">
        <v>0</v>
      </c>
      <c r="O24" s="134">
        <v>0.2</v>
      </c>
      <c r="P24" s="134">
        <v>0.25</v>
      </c>
      <c r="Q24" s="134">
        <v>3.12</v>
      </c>
    </row>
    <row r="25" spans="1:17" customFormat="1">
      <c r="A25" s="112" t="s">
        <v>543</v>
      </c>
      <c r="B25" s="134">
        <v>9.0399999999999991</v>
      </c>
      <c r="C25" s="134">
        <v>18.760000000000002</v>
      </c>
      <c r="D25" s="134">
        <v>16</v>
      </c>
      <c r="E25" s="134">
        <v>4.72</v>
      </c>
      <c r="F25" s="134">
        <v>2.4700000000000002</v>
      </c>
      <c r="G25" s="134">
        <v>8.99</v>
      </c>
      <c r="H25" s="134">
        <v>2.95</v>
      </c>
      <c r="I25" s="134">
        <v>2.5299999999999998</v>
      </c>
      <c r="J25" s="134">
        <v>1.1000000000000001</v>
      </c>
      <c r="K25" s="134">
        <v>264.10000000000002</v>
      </c>
      <c r="L25" s="134">
        <v>23.27</v>
      </c>
      <c r="M25" s="134">
        <v>95.64</v>
      </c>
      <c r="N25" s="134">
        <v>0</v>
      </c>
      <c r="O25" s="134">
        <v>0</v>
      </c>
      <c r="P25" s="134">
        <v>0.26</v>
      </c>
      <c r="Q25" s="134">
        <v>3.13</v>
      </c>
    </row>
    <row r="26" spans="1:17" customFormat="1">
      <c r="A26" s="112" t="s">
        <v>544</v>
      </c>
      <c r="B26" s="134">
        <v>9.14</v>
      </c>
      <c r="C26" s="134">
        <v>20.190000000000001</v>
      </c>
      <c r="D26" s="134">
        <v>16.84</v>
      </c>
      <c r="E26" s="134">
        <v>4.97</v>
      </c>
      <c r="F26" s="134">
        <v>1.95</v>
      </c>
      <c r="G26" s="134">
        <v>8.99</v>
      </c>
      <c r="H26" s="134">
        <v>2.95</v>
      </c>
      <c r="I26" s="134">
        <v>2.4700000000000002</v>
      </c>
      <c r="J26" s="134">
        <v>1.18</v>
      </c>
      <c r="K26" s="134">
        <v>263.47000000000003</v>
      </c>
      <c r="L26" s="134">
        <v>23.22</v>
      </c>
      <c r="M26" s="134">
        <v>95.73</v>
      </c>
      <c r="N26" s="134">
        <v>0</v>
      </c>
      <c r="O26" s="134">
        <v>0</v>
      </c>
      <c r="P26" s="134">
        <v>0.26</v>
      </c>
      <c r="Q26" s="134">
        <v>3.21</v>
      </c>
    </row>
    <row r="27" spans="1:17" customFormat="1">
      <c r="A27" s="112" t="s">
        <v>545</v>
      </c>
      <c r="B27" s="134">
        <v>9.2899999999999991</v>
      </c>
      <c r="C27" s="134">
        <v>18.47</v>
      </c>
      <c r="D27" s="134">
        <v>16.05</v>
      </c>
      <c r="E27" s="134">
        <v>4.83</v>
      </c>
      <c r="F27" s="134">
        <v>2.79</v>
      </c>
      <c r="G27" s="134">
        <v>8.94</v>
      </c>
      <c r="H27" s="134">
        <v>3.01</v>
      </c>
      <c r="I27" s="134">
        <v>2.5099999999999998</v>
      </c>
      <c r="J27" s="134">
        <v>1.19</v>
      </c>
      <c r="K27" s="134">
        <v>264.87</v>
      </c>
      <c r="L27" s="134">
        <v>23.17</v>
      </c>
      <c r="M27" s="134">
        <v>96.08</v>
      </c>
      <c r="N27" s="134">
        <v>0</v>
      </c>
      <c r="O27" s="134">
        <v>0.2</v>
      </c>
      <c r="P27" s="134">
        <v>0.25</v>
      </c>
      <c r="Q27" s="134">
        <v>3.16</v>
      </c>
    </row>
    <row r="28" spans="1:17" customFormat="1">
      <c r="A28" s="112" t="s">
        <v>546</v>
      </c>
      <c r="B28" s="134">
        <v>9.4</v>
      </c>
      <c r="C28" s="134">
        <v>20.39</v>
      </c>
      <c r="D28" s="134">
        <v>17.14</v>
      </c>
      <c r="E28" s="134">
        <v>5.57</v>
      </c>
      <c r="F28" s="134">
        <v>1.76</v>
      </c>
      <c r="G28" s="134">
        <v>7.94</v>
      </c>
      <c r="H28" s="134">
        <v>4.4000000000000004</v>
      </c>
      <c r="I28" s="134">
        <v>2.5</v>
      </c>
      <c r="J28" s="134">
        <v>0.99</v>
      </c>
      <c r="K28" s="134">
        <v>263.48</v>
      </c>
      <c r="L28" s="134">
        <v>23.12</v>
      </c>
      <c r="M28" s="134">
        <v>96.49</v>
      </c>
      <c r="N28" s="134">
        <v>0</v>
      </c>
      <c r="O28" s="134">
        <v>0.2</v>
      </c>
      <c r="P28" s="134">
        <v>0.26</v>
      </c>
      <c r="Q28" s="134">
        <v>3.19</v>
      </c>
    </row>
    <row r="29" spans="1:17" customFormat="1">
      <c r="A29" s="112" t="s">
        <v>547</v>
      </c>
      <c r="B29" s="134">
        <v>9.7200000000000006</v>
      </c>
      <c r="C29" s="134">
        <v>19.11</v>
      </c>
      <c r="D29" s="134">
        <v>16.73</v>
      </c>
      <c r="E29" s="134">
        <v>5.84</v>
      </c>
      <c r="F29" s="134">
        <v>2.33</v>
      </c>
      <c r="G29" s="134">
        <v>7.94</v>
      </c>
      <c r="H29" s="134">
        <v>4.4000000000000004</v>
      </c>
      <c r="I29" s="134">
        <v>2.4300000000000002</v>
      </c>
      <c r="J29" s="134">
        <v>0.95</v>
      </c>
      <c r="K29" s="134">
        <v>260.60000000000002</v>
      </c>
      <c r="L29" s="134">
        <v>23.09</v>
      </c>
      <c r="M29" s="134">
        <v>96.67</v>
      </c>
      <c r="N29" s="134">
        <v>0</v>
      </c>
      <c r="O29" s="134">
        <v>0</v>
      </c>
      <c r="P29" s="134">
        <v>0.25</v>
      </c>
      <c r="Q29" s="134">
        <v>3.21</v>
      </c>
    </row>
    <row r="30" spans="1:17" customFormat="1">
      <c r="A30" s="112" t="s">
        <v>548</v>
      </c>
      <c r="B30" s="134">
        <v>9.7899999999999991</v>
      </c>
      <c r="C30" s="134">
        <v>18.47</v>
      </c>
      <c r="D30" s="134">
        <v>16.45</v>
      </c>
      <c r="E30" s="134">
        <v>4.8899999999999997</v>
      </c>
      <c r="F30" s="134">
        <v>2.48</v>
      </c>
      <c r="G30" s="134">
        <v>7.94</v>
      </c>
      <c r="H30" s="134">
        <v>4.4000000000000004</v>
      </c>
      <c r="I30" s="134">
        <v>2.4900000000000002</v>
      </c>
      <c r="J30" s="134">
        <v>1.1200000000000001</v>
      </c>
      <c r="K30" s="134">
        <v>261.60000000000002</v>
      </c>
      <c r="L30" s="134">
        <v>23.08</v>
      </c>
      <c r="M30" s="134">
        <v>96.62</v>
      </c>
      <c r="N30" s="134">
        <v>0</v>
      </c>
      <c r="O30" s="134">
        <v>0</v>
      </c>
      <c r="P30" s="134">
        <v>0.25</v>
      </c>
      <c r="Q30" s="134">
        <v>3.15</v>
      </c>
    </row>
    <row r="31" spans="1:17" customFormat="1">
      <c r="A31" s="112" t="s">
        <v>549</v>
      </c>
      <c r="B31" s="134">
        <v>9.82</v>
      </c>
      <c r="C31" s="134">
        <v>20.190000000000001</v>
      </c>
      <c r="D31" s="134">
        <v>17.38</v>
      </c>
      <c r="E31" s="134">
        <v>5.4</v>
      </c>
      <c r="F31" s="134">
        <v>2.02</v>
      </c>
      <c r="G31" s="134">
        <v>7.84</v>
      </c>
      <c r="H31" s="134">
        <v>4.3499999999999996</v>
      </c>
      <c r="I31" s="134">
        <v>2.41</v>
      </c>
      <c r="J31" s="134">
        <v>1.03</v>
      </c>
      <c r="K31" s="134">
        <v>263.14</v>
      </c>
      <c r="L31" s="134">
        <v>23.06</v>
      </c>
      <c r="M31" s="134">
        <v>96.53</v>
      </c>
      <c r="N31" s="134">
        <v>0</v>
      </c>
      <c r="O31" s="134">
        <v>0.2</v>
      </c>
      <c r="P31" s="134">
        <v>0.27</v>
      </c>
      <c r="Q31" s="134">
        <v>3.23</v>
      </c>
    </row>
    <row r="32" spans="1:17" customFormat="1">
      <c r="A32" s="112" t="s">
        <v>550</v>
      </c>
      <c r="B32" s="134">
        <v>9.91</v>
      </c>
      <c r="C32" s="134">
        <v>18.86</v>
      </c>
      <c r="D32" s="134">
        <v>16.760000000000002</v>
      </c>
      <c r="E32" s="134">
        <v>5.17</v>
      </c>
      <c r="F32" s="134">
        <v>2.83</v>
      </c>
      <c r="G32" s="134">
        <v>5.85</v>
      </c>
      <c r="H32" s="134">
        <v>3.18</v>
      </c>
      <c r="I32" s="134">
        <v>2.41</v>
      </c>
      <c r="J32" s="134">
        <v>1.1000000000000001</v>
      </c>
      <c r="K32" s="134">
        <v>263.91000000000003</v>
      </c>
      <c r="L32" s="134">
        <v>23.03</v>
      </c>
      <c r="M32" s="134">
        <v>96.72</v>
      </c>
      <c r="N32" s="134">
        <v>0.7</v>
      </c>
      <c r="O32" s="134">
        <v>0.2</v>
      </c>
      <c r="P32" s="134">
        <v>0.25</v>
      </c>
      <c r="Q32" s="134">
        <v>3.23</v>
      </c>
    </row>
    <row r="33" spans="1:17" customFormat="1">
      <c r="A33" s="112" t="s">
        <v>551</v>
      </c>
      <c r="B33" s="134">
        <v>10.119999999999999</v>
      </c>
      <c r="C33" s="134">
        <v>20.350000000000001</v>
      </c>
      <c r="D33" s="134">
        <v>17.7</v>
      </c>
      <c r="E33" s="134">
        <v>5.79</v>
      </c>
      <c r="F33" s="134">
        <v>1.99</v>
      </c>
      <c r="G33" s="134">
        <v>5.85</v>
      </c>
      <c r="H33" s="134">
        <v>3.18</v>
      </c>
      <c r="I33" s="134">
        <v>2.44</v>
      </c>
      <c r="J33" s="134">
        <v>1.48</v>
      </c>
      <c r="K33" s="134">
        <v>263.39</v>
      </c>
      <c r="L33" s="134">
        <v>23.01</v>
      </c>
      <c r="M33" s="134">
        <v>96.76</v>
      </c>
      <c r="N33" s="134">
        <v>2.2999999999999998</v>
      </c>
      <c r="O33" s="134">
        <v>0</v>
      </c>
      <c r="P33" s="134">
        <v>0.27</v>
      </c>
      <c r="Q33" s="134">
        <v>3.27</v>
      </c>
    </row>
    <row r="34" spans="1:17" customFormat="1">
      <c r="A34" s="112" t="s">
        <v>552</v>
      </c>
      <c r="B34" s="134">
        <v>10.15</v>
      </c>
      <c r="C34" s="134">
        <v>18.850000000000001</v>
      </c>
      <c r="D34" s="134">
        <v>16.940000000000001</v>
      </c>
      <c r="E34" s="134">
        <v>5.52</v>
      </c>
      <c r="F34" s="134">
        <v>2.85</v>
      </c>
      <c r="G34" s="134">
        <v>5.85</v>
      </c>
      <c r="H34" s="134">
        <v>3.18</v>
      </c>
      <c r="I34" s="134">
        <v>2.38</v>
      </c>
      <c r="J34" s="134">
        <v>1.1200000000000001</v>
      </c>
      <c r="K34" s="134">
        <v>262.77</v>
      </c>
      <c r="L34" s="134">
        <v>22.99</v>
      </c>
      <c r="M34" s="134">
        <v>96.75</v>
      </c>
      <c r="N34" s="134">
        <v>7</v>
      </c>
      <c r="O34" s="134">
        <v>0.2</v>
      </c>
      <c r="P34" s="134">
        <v>0.24</v>
      </c>
      <c r="Q34" s="134">
        <v>3.22</v>
      </c>
    </row>
    <row r="35" spans="1:17" customFormat="1">
      <c r="A35" s="112" t="s">
        <v>553</v>
      </c>
      <c r="B35" s="134">
        <v>10.029999999999999</v>
      </c>
      <c r="C35" s="134">
        <v>19.989999999999998</v>
      </c>
      <c r="D35" s="134">
        <v>17.45</v>
      </c>
      <c r="E35" s="134">
        <v>5.55</v>
      </c>
      <c r="F35" s="134">
        <v>2.0299999999999998</v>
      </c>
      <c r="G35" s="134">
        <v>5.83</v>
      </c>
      <c r="H35" s="134">
        <v>3.15</v>
      </c>
      <c r="I35" s="134">
        <v>2.42</v>
      </c>
      <c r="J35" s="134">
        <v>0.88</v>
      </c>
      <c r="K35" s="134">
        <v>260.05</v>
      </c>
      <c r="L35" s="134">
        <v>23.02</v>
      </c>
      <c r="M35" s="134">
        <v>96.88</v>
      </c>
      <c r="N35" s="134">
        <v>17.600000000000001</v>
      </c>
      <c r="O35" s="134">
        <v>0.2</v>
      </c>
      <c r="P35" s="134">
        <v>0.26</v>
      </c>
      <c r="Q35" s="134">
        <v>3.23</v>
      </c>
    </row>
    <row r="36" spans="1:17" customFormat="1">
      <c r="A36" s="112" t="s">
        <v>554</v>
      </c>
      <c r="B36" s="134">
        <v>10.25</v>
      </c>
      <c r="C36" s="134">
        <v>19.760000000000002</v>
      </c>
      <c r="D36" s="134">
        <v>17.5</v>
      </c>
      <c r="E36" s="134">
        <v>6.01</v>
      </c>
      <c r="F36" s="134">
        <v>2.2000000000000002</v>
      </c>
      <c r="G36" s="134">
        <v>5.28</v>
      </c>
      <c r="H36" s="134">
        <v>2.57</v>
      </c>
      <c r="I36" s="134">
        <v>2.34</v>
      </c>
      <c r="J36" s="134">
        <v>1.07</v>
      </c>
      <c r="K36" s="134">
        <v>265.27999999999997</v>
      </c>
      <c r="L36" s="134">
        <v>23.03</v>
      </c>
      <c r="M36" s="134">
        <v>96.94</v>
      </c>
      <c r="N36" s="134">
        <v>27.2</v>
      </c>
      <c r="O36" s="134">
        <v>0</v>
      </c>
      <c r="P36" s="134">
        <v>0.26</v>
      </c>
      <c r="Q36" s="134">
        <v>3.27</v>
      </c>
    </row>
    <row r="37" spans="1:17" customFormat="1">
      <c r="A37" s="112" t="s">
        <v>555</v>
      </c>
      <c r="B37" s="134">
        <v>10.27</v>
      </c>
      <c r="C37" s="134">
        <v>18.600000000000001</v>
      </c>
      <c r="D37" s="134">
        <v>16.91</v>
      </c>
      <c r="E37" s="134">
        <v>5.88</v>
      </c>
      <c r="F37" s="134">
        <v>2.7</v>
      </c>
      <c r="G37" s="134">
        <v>5.28</v>
      </c>
      <c r="H37" s="134">
        <v>2.57</v>
      </c>
      <c r="I37" s="134">
        <v>2.41</v>
      </c>
      <c r="J37" s="134">
        <v>1.17</v>
      </c>
      <c r="K37" s="134">
        <v>266.36</v>
      </c>
      <c r="L37" s="134">
        <v>23.12</v>
      </c>
      <c r="M37" s="134">
        <v>96.93</v>
      </c>
      <c r="N37" s="134">
        <v>35.700000000000003</v>
      </c>
      <c r="O37" s="134">
        <v>0.2</v>
      </c>
      <c r="P37" s="134">
        <v>0.24</v>
      </c>
      <c r="Q37" s="134">
        <v>3.21</v>
      </c>
    </row>
    <row r="38" spans="1:17" customFormat="1">
      <c r="A38" s="112" t="s">
        <v>556</v>
      </c>
      <c r="B38" s="134">
        <v>10.4</v>
      </c>
      <c r="C38" s="134">
        <v>20.399999999999999</v>
      </c>
      <c r="D38" s="134">
        <v>17.95</v>
      </c>
      <c r="E38" s="134">
        <v>5.88</v>
      </c>
      <c r="F38" s="134">
        <v>1.99</v>
      </c>
      <c r="G38" s="134">
        <v>5.28</v>
      </c>
      <c r="H38" s="134">
        <v>2.57</v>
      </c>
      <c r="I38" s="134">
        <v>2.38</v>
      </c>
      <c r="J38" s="134">
        <v>1.0900000000000001</v>
      </c>
      <c r="K38" s="134">
        <v>263.62</v>
      </c>
      <c r="L38" s="134">
        <v>23.27</v>
      </c>
      <c r="M38" s="134">
        <v>96.75</v>
      </c>
      <c r="N38" s="134">
        <v>49</v>
      </c>
      <c r="O38" s="134">
        <v>0</v>
      </c>
      <c r="P38" s="134">
        <v>0.26</v>
      </c>
      <c r="Q38" s="134">
        <v>3.25</v>
      </c>
    </row>
    <row r="39" spans="1:17" customFormat="1">
      <c r="A39" s="112" t="s">
        <v>557</v>
      </c>
      <c r="B39" s="134">
        <v>10.68</v>
      </c>
      <c r="C39" s="134">
        <v>18.329999999999998</v>
      </c>
      <c r="D39" s="134">
        <v>17.100000000000001</v>
      </c>
      <c r="E39" s="134">
        <v>5.32</v>
      </c>
      <c r="F39" s="134">
        <v>2.89</v>
      </c>
      <c r="G39" s="134">
        <v>5.32</v>
      </c>
      <c r="H39" s="134">
        <v>2.57</v>
      </c>
      <c r="I39" s="134">
        <v>2.36</v>
      </c>
      <c r="J39" s="134">
        <v>1</v>
      </c>
      <c r="K39" s="134">
        <v>260.93</v>
      </c>
      <c r="L39" s="134">
        <v>23.4</v>
      </c>
      <c r="M39" s="134">
        <v>96.63</v>
      </c>
      <c r="N39" s="134">
        <v>71.400000000000006</v>
      </c>
      <c r="O39" s="134">
        <v>0</v>
      </c>
      <c r="P39" s="134">
        <v>0.24</v>
      </c>
      <c r="Q39" s="134">
        <v>3.26</v>
      </c>
    </row>
    <row r="40" spans="1:17" customFormat="1">
      <c r="A40" s="112" t="s">
        <v>558</v>
      </c>
      <c r="B40" s="134">
        <v>10.67</v>
      </c>
      <c r="C40" s="134">
        <v>19.23</v>
      </c>
      <c r="D40" s="134">
        <v>17.559999999999999</v>
      </c>
      <c r="E40" s="134">
        <v>5.15</v>
      </c>
      <c r="F40" s="134">
        <v>2.37</v>
      </c>
      <c r="G40" s="134">
        <v>6.31</v>
      </c>
      <c r="H40" s="134">
        <v>2.52</v>
      </c>
      <c r="I40" s="134">
        <v>2.41</v>
      </c>
      <c r="J40" s="134">
        <v>0.98</v>
      </c>
      <c r="K40" s="134">
        <v>258.93</v>
      </c>
      <c r="L40" s="134">
        <v>23.53</v>
      </c>
      <c r="M40" s="134">
        <v>96.5</v>
      </c>
      <c r="N40" s="134">
        <v>75.900000000000006</v>
      </c>
      <c r="O40" s="134">
        <v>0.2</v>
      </c>
      <c r="P40" s="134">
        <v>0.26</v>
      </c>
      <c r="Q40" s="134">
        <v>3.25</v>
      </c>
    </row>
    <row r="41" spans="1:17" customFormat="1">
      <c r="A41" s="112" t="s">
        <v>559</v>
      </c>
      <c r="B41" s="134">
        <v>10.72</v>
      </c>
      <c r="C41" s="134">
        <v>20.5</v>
      </c>
      <c r="D41" s="134">
        <v>18.260000000000002</v>
      </c>
      <c r="E41" s="134">
        <v>5.79</v>
      </c>
      <c r="F41" s="134">
        <v>1.99</v>
      </c>
      <c r="G41" s="134">
        <v>6.31</v>
      </c>
      <c r="H41" s="134">
        <v>2.52</v>
      </c>
      <c r="I41" s="134">
        <v>2.38</v>
      </c>
      <c r="J41" s="134">
        <v>1.1499999999999999</v>
      </c>
      <c r="K41" s="134">
        <v>262.62</v>
      </c>
      <c r="L41" s="134">
        <v>23.57</v>
      </c>
      <c r="M41" s="134">
        <v>96.27</v>
      </c>
      <c r="N41" s="134">
        <v>66</v>
      </c>
      <c r="O41" s="134">
        <v>0</v>
      </c>
      <c r="P41" s="134">
        <v>0.27</v>
      </c>
      <c r="Q41" s="134">
        <v>3.3</v>
      </c>
    </row>
    <row r="42" spans="1:17" customFormat="1">
      <c r="A42" s="112" t="s">
        <v>560</v>
      </c>
      <c r="B42" s="134">
        <v>10.45</v>
      </c>
      <c r="C42" s="134">
        <v>21</v>
      </c>
      <c r="D42" s="134">
        <v>18.309999999999999</v>
      </c>
      <c r="E42" s="134">
        <v>5.68</v>
      </c>
      <c r="F42" s="134">
        <v>2.39</v>
      </c>
      <c r="G42" s="134">
        <v>6.31</v>
      </c>
      <c r="H42" s="134">
        <v>2.52</v>
      </c>
      <c r="I42" s="134">
        <v>2.4</v>
      </c>
      <c r="J42" s="134">
        <v>1.03</v>
      </c>
      <c r="K42" s="134">
        <v>266.7</v>
      </c>
      <c r="L42" s="134">
        <v>23.67</v>
      </c>
      <c r="M42" s="134">
        <v>96.26</v>
      </c>
      <c r="N42" s="134">
        <v>82.2</v>
      </c>
      <c r="O42" s="134">
        <v>0</v>
      </c>
      <c r="P42" s="134">
        <v>0.3</v>
      </c>
      <c r="Q42" s="134">
        <v>3.28</v>
      </c>
    </row>
    <row r="43" spans="1:17" customFormat="1">
      <c r="A43" s="112" t="s">
        <v>561</v>
      </c>
      <c r="B43" s="134">
        <v>10.34</v>
      </c>
      <c r="C43" s="134">
        <v>21.39</v>
      </c>
      <c r="D43" s="134">
        <v>18.43</v>
      </c>
      <c r="E43" s="134">
        <v>5.27</v>
      </c>
      <c r="F43" s="134">
        <v>2.65</v>
      </c>
      <c r="G43" s="134">
        <v>6.44</v>
      </c>
      <c r="H43" s="134">
        <v>2.5099999999999998</v>
      </c>
      <c r="I43" s="134">
        <v>2.44</v>
      </c>
      <c r="J43" s="134">
        <v>1.2</v>
      </c>
      <c r="K43" s="134">
        <v>263.89</v>
      </c>
      <c r="L43" s="134">
        <v>23.87</v>
      </c>
      <c r="M43" s="134">
        <v>95.8</v>
      </c>
      <c r="N43" s="134">
        <v>86.1</v>
      </c>
      <c r="O43" s="134">
        <v>0</v>
      </c>
      <c r="P43" s="134">
        <v>0.3</v>
      </c>
      <c r="Q43" s="134">
        <v>3.31</v>
      </c>
    </row>
    <row r="44" spans="1:17" customFormat="1">
      <c r="A44" s="112" t="s">
        <v>562</v>
      </c>
      <c r="B44" s="134">
        <v>10.44</v>
      </c>
      <c r="C44" s="134">
        <v>18.88</v>
      </c>
      <c r="D44" s="134">
        <v>17.190000000000001</v>
      </c>
      <c r="E44" s="134">
        <v>5.03</v>
      </c>
      <c r="F44" s="134">
        <v>3.24</v>
      </c>
      <c r="G44" s="134">
        <v>9.11</v>
      </c>
      <c r="H44" s="134">
        <v>2.19</v>
      </c>
      <c r="I44" s="134">
        <v>2.48</v>
      </c>
      <c r="J44" s="134">
        <v>1.1200000000000001</v>
      </c>
      <c r="K44" s="134">
        <v>265.35000000000002</v>
      </c>
      <c r="L44" s="134">
        <v>23.95</v>
      </c>
      <c r="M44" s="134">
        <v>95.01</v>
      </c>
      <c r="N44" s="134">
        <v>65.099999999999994</v>
      </c>
      <c r="O44" s="134">
        <v>0</v>
      </c>
      <c r="P44" s="134">
        <v>0.26</v>
      </c>
      <c r="Q44" s="134">
        <v>3.26</v>
      </c>
    </row>
    <row r="45" spans="1:17" customFormat="1">
      <c r="A45" s="112" t="s">
        <v>563</v>
      </c>
      <c r="B45" s="134">
        <v>10.46</v>
      </c>
      <c r="C45" s="134">
        <v>17.77</v>
      </c>
      <c r="D45" s="134">
        <v>16.62</v>
      </c>
      <c r="E45" s="134">
        <v>5.08</v>
      </c>
      <c r="F45" s="134">
        <v>3.2</v>
      </c>
      <c r="G45" s="134">
        <v>9.11</v>
      </c>
      <c r="H45" s="134">
        <v>2.19</v>
      </c>
      <c r="I45" s="134">
        <v>2.39</v>
      </c>
      <c r="J45" s="134">
        <v>1.43</v>
      </c>
      <c r="K45" s="134">
        <v>264.44</v>
      </c>
      <c r="L45" s="134">
        <v>23.99</v>
      </c>
      <c r="M45" s="134">
        <v>94.35</v>
      </c>
      <c r="N45" s="134">
        <v>80.7</v>
      </c>
      <c r="O45" s="134">
        <v>0</v>
      </c>
      <c r="P45" s="134">
        <v>0.23</v>
      </c>
      <c r="Q45" s="134">
        <v>3.21</v>
      </c>
    </row>
    <row r="46" spans="1:17" customFormat="1">
      <c r="A46" s="112" t="s">
        <v>564</v>
      </c>
      <c r="B46" s="134">
        <v>10.210000000000001</v>
      </c>
      <c r="C46" s="134">
        <v>18.57</v>
      </c>
      <c r="D46" s="134">
        <v>16.850000000000001</v>
      </c>
      <c r="E46" s="134">
        <v>4.72</v>
      </c>
      <c r="F46" s="134">
        <v>2.56</v>
      </c>
      <c r="G46" s="134">
        <v>9.11</v>
      </c>
      <c r="H46" s="134">
        <v>2.19</v>
      </c>
      <c r="I46" s="134">
        <v>2.2599999999999998</v>
      </c>
      <c r="J46" s="134">
        <v>1.34</v>
      </c>
      <c r="K46" s="134">
        <v>264.51</v>
      </c>
      <c r="L46" s="134">
        <v>24.08</v>
      </c>
      <c r="M46" s="134">
        <v>94.36</v>
      </c>
      <c r="N46" s="134">
        <v>108.9</v>
      </c>
      <c r="O46" s="134">
        <v>0.2</v>
      </c>
      <c r="P46" s="134">
        <v>0.23</v>
      </c>
      <c r="Q46" s="134">
        <v>3.21</v>
      </c>
    </row>
    <row r="47" spans="1:17" customFormat="1">
      <c r="A47" s="112" t="s">
        <v>565</v>
      </c>
      <c r="B47" s="134">
        <v>10.199999999999999</v>
      </c>
      <c r="C47" s="134">
        <v>20.58</v>
      </c>
      <c r="D47" s="134">
        <v>17.89</v>
      </c>
      <c r="E47" s="134">
        <v>5.33</v>
      </c>
      <c r="F47" s="134">
        <v>1.92</v>
      </c>
      <c r="G47" s="134">
        <v>9.02</v>
      </c>
      <c r="H47" s="134">
        <v>2.23</v>
      </c>
      <c r="I47" s="134">
        <v>2.2400000000000002</v>
      </c>
      <c r="J47" s="134">
        <v>1.1499999999999999</v>
      </c>
      <c r="K47" s="134">
        <v>265.63</v>
      </c>
      <c r="L47" s="134">
        <v>24.19</v>
      </c>
      <c r="M47" s="134">
        <v>94.67</v>
      </c>
      <c r="N47" s="134">
        <v>133.5</v>
      </c>
      <c r="O47" s="134">
        <v>0</v>
      </c>
      <c r="P47" s="134">
        <v>0.25</v>
      </c>
      <c r="Q47" s="134">
        <v>3.27</v>
      </c>
    </row>
    <row r="48" spans="1:17" customFormat="1">
      <c r="A48" s="112" t="s">
        <v>566</v>
      </c>
      <c r="B48" s="134">
        <v>10.35</v>
      </c>
      <c r="C48" s="134">
        <v>18.78</v>
      </c>
      <c r="D48" s="134">
        <v>17.07</v>
      </c>
      <c r="E48" s="134">
        <v>5.26</v>
      </c>
      <c r="F48" s="134">
        <v>2.88</v>
      </c>
      <c r="G48" s="134">
        <v>7.19</v>
      </c>
      <c r="H48" s="134">
        <v>2.95</v>
      </c>
      <c r="I48" s="134">
        <v>2.27</v>
      </c>
      <c r="J48" s="134">
        <v>1.39</v>
      </c>
      <c r="K48" s="134">
        <v>263.91000000000003</v>
      </c>
      <c r="L48" s="134">
        <v>24.36</v>
      </c>
      <c r="M48" s="134">
        <v>94.33</v>
      </c>
      <c r="N48" s="134">
        <v>150</v>
      </c>
      <c r="O48" s="134">
        <v>0</v>
      </c>
      <c r="P48" s="134">
        <v>0.25</v>
      </c>
      <c r="Q48" s="134">
        <v>3.24</v>
      </c>
    </row>
    <row r="49" spans="1:17" customFormat="1">
      <c r="A49" s="112" t="s">
        <v>567</v>
      </c>
      <c r="B49" s="134">
        <v>10.31</v>
      </c>
      <c r="C49" s="134">
        <v>20.149999999999999</v>
      </c>
      <c r="D49" s="134">
        <v>17.75</v>
      </c>
      <c r="E49" s="134">
        <v>6.92</v>
      </c>
      <c r="F49" s="134">
        <v>2.04</v>
      </c>
      <c r="G49" s="134">
        <v>7.19</v>
      </c>
      <c r="H49" s="134">
        <v>2.95</v>
      </c>
      <c r="I49" s="134">
        <v>2.34</v>
      </c>
      <c r="J49" s="134">
        <v>1.0900000000000001</v>
      </c>
      <c r="K49" s="134">
        <v>262.48</v>
      </c>
      <c r="L49" s="134">
        <v>24.45</v>
      </c>
      <c r="M49" s="134">
        <v>94.35</v>
      </c>
      <c r="N49" s="134">
        <v>166.5</v>
      </c>
      <c r="O49" s="134">
        <v>0</v>
      </c>
      <c r="P49" s="134">
        <v>0.26</v>
      </c>
      <c r="Q49" s="134">
        <v>3.28</v>
      </c>
    </row>
    <row r="50" spans="1:17" customFormat="1">
      <c r="A50" s="112" t="s">
        <v>568</v>
      </c>
      <c r="B50" s="134">
        <v>10.49</v>
      </c>
      <c r="C50" s="134">
        <v>19.02</v>
      </c>
      <c r="D50" s="134">
        <v>17.3</v>
      </c>
      <c r="E50" s="134">
        <v>7.97</v>
      </c>
      <c r="F50" s="134">
        <v>2.66</v>
      </c>
      <c r="G50" s="134">
        <v>7.19</v>
      </c>
      <c r="H50" s="134">
        <v>2.95</v>
      </c>
      <c r="I50" s="134">
        <v>2.27</v>
      </c>
      <c r="J50" s="134">
        <v>1.1100000000000001</v>
      </c>
      <c r="K50" s="134">
        <v>262.91000000000003</v>
      </c>
      <c r="L50" s="134">
        <v>24.53</v>
      </c>
      <c r="M50" s="134">
        <v>94.87</v>
      </c>
      <c r="N50" s="134">
        <v>170.6</v>
      </c>
      <c r="O50" s="134">
        <v>0.2</v>
      </c>
      <c r="P50" s="134">
        <v>0.25</v>
      </c>
      <c r="Q50" s="134">
        <v>3.28</v>
      </c>
    </row>
    <row r="51" spans="1:17" customFormat="1">
      <c r="A51" s="112" t="s">
        <v>569</v>
      </c>
      <c r="B51" s="134">
        <v>10.48</v>
      </c>
      <c r="C51" s="134">
        <v>17.84</v>
      </c>
      <c r="D51" s="134">
        <v>16.68</v>
      </c>
      <c r="E51" s="134">
        <v>7.47</v>
      </c>
      <c r="F51" s="134">
        <v>2.99</v>
      </c>
      <c r="G51" s="134">
        <v>7.19</v>
      </c>
      <c r="H51" s="134">
        <v>2.92</v>
      </c>
      <c r="I51" s="134">
        <v>2.33</v>
      </c>
      <c r="J51" s="134">
        <v>1.1000000000000001</v>
      </c>
      <c r="K51" s="134">
        <v>264.49</v>
      </c>
      <c r="L51" s="134">
        <v>24.52</v>
      </c>
      <c r="M51" s="134">
        <v>95.07</v>
      </c>
      <c r="N51" s="134">
        <v>170</v>
      </c>
      <c r="O51" s="134">
        <v>0.2</v>
      </c>
      <c r="P51" s="134">
        <v>0.24</v>
      </c>
      <c r="Q51" s="134">
        <v>3.21</v>
      </c>
    </row>
    <row r="52" spans="1:17" customFormat="1">
      <c r="A52" s="112" t="s">
        <v>570</v>
      </c>
      <c r="B52" s="134">
        <v>10.48</v>
      </c>
      <c r="C52" s="134">
        <v>20.36</v>
      </c>
      <c r="D52" s="134">
        <v>18</v>
      </c>
      <c r="E52" s="134">
        <v>8.17</v>
      </c>
      <c r="F52" s="134">
        <v>1.8</v>
      </c>
      <c r="G52" s="134">
        <v>7.14</v>
      </c>
      <c r="H52" s="134">
        <v>2.37</v>
      </c>
      <c r="I52" s="134">
        <v>2.2799999999999998</v>
      </c>
      <c r="J52" s="134">
        <v>1.07</v>
      </c>
      <c r="K52" s="134">
        <v>265.70999999999998</v>
      </c>
      <c r="L52" s="134">
        <v>24.59</v>
      </c>
      <c r="M52" s="134">
        <v>95.15</v>
      </c>
      <c r="N52" s="134">
        <v>166.4</v>
      </c>
      <c r="O52" s="134">
        <v>0.2</v>
      </c>
      <c r="P52" s="134">
        <v>0.27</v>
      </c>
      <c r="Q52" s="134">
        <v>3.26</v>
      </c>
    </row>
    <row r="53" spans="1:17" customFormat="1">
      <c r="A53" s="112" t="s">
        <v>571</v>
      </c>
      <c r="B53" s="134">
        <v>10.72</v>
      </c>
      <c r="C53" s="134">
        <v>18.809999999999999</v>
      </c>
      <c r="D53" s="134">
        <v>17.38</v>
      </c>
      <c r="E53" s="134">
        <v>8.5500000000000007</v>
      </c>
      <c r="F53" s="134">
        <v>2.56</v>
      </c>
      <c r="G53" s="134">
        <v>7.14</v>
      </c>
      <c r="H53" s="134">
        <v>2.37</v>
      </c>
      <c r="I53" s="134">
        <v>2.2400000000000002</v>
      </c>
      <c r="J53" s="134">
        <v>1.31</v>
      </c>
      <c r="K53" s="134">
        <v>264.75</v>
      </c>
      <c r="L53" s="134">
        <v>24.64</v>
      </c>
      <c r="M53" s="134">
        <v>95.02</v>
      </c>
      <c r="N53" s="134">
        <v>171.2</v>
      </c>
      <c r="O53" s="134">
        <v>0.2</v>
      </c>
      <c r="P53" s="134">
        <v>0.25</v>
      </c>
      <c r="Q53" s="134">
        <v>3.28</v>
      </c>
    </row>
    <row r="54" spans="1:17" customFormat="1">
      <c r="A54" s="112" t="s">
        <v>572</v>
      </c>
      <c r="B54" s="134">
        <v>10.62</v>
      </c>
      <c r="C54" s="134">
        <v>17.72</v>
      </c>
      <c r="D54" s="134">
        <v>16.73</v>
      </c>
      <c r="E54" s="134">
        <v>7.93</v>
      </c>
      <c r="F54" s="134">
        <v>3.09</v>
      </c>
      <c r="G54" s="134">
        <v>7.14</v>
      </c>
      <c r="H54" s="134">
        <v>2.37</v>
      </c>
      <c r="I54" s="134">
        <v>2.2999999999999998</v>
      </c>
      <c r="J54" s="134">
        <v>1.04</v>
      </c>
      <c r="K54" s="134">
        <v>264.69</v>
      </c>
      <c r="L54" s="134">
        <v>24.81</v>
      </c>
      <c r="M54" s="134">
        <v>94.96</v>
      </c>
      <c r="N54" s="134">
        <v>216.3</v>
      </c>
      <c r="O54" s="134">
        <v>0</v>
      </c>
      <c r="P54" s="134">
        <v>0.24</v>
      </c>
      <c r="Q54" s="134">
        <v>3.21</v>
      </c>
    </row>
    <row r="55" spans="1:17" customFormat="1">
      <c r="A55" s="112" t="s">
        <v>573</v>
      </c>
      <c r="B55" s="134">
        <v>10.56</v>
      </c>
      <c r="C55" s="134">
        <v>19.72</v>
      </c>
      <c r="D55" s="134">
        <v>17.73</v>
      </c>
      <c r="E55" s="134">
        <v>8.31</v>
      </c>
      <c r="F55" s="134">
        <v>2.08</v>
      </c>
      <c r="G55" s="134">
        <v>7.2</v>
      </c>
      <c r="H55" s="134">
        <v>2.4300000000000002</v>
      </c>
      <c r="I55" s="134">
        <v>2.2400000000000002</v>
      </c>
      <c r="J55" s="134">
        <v>1.1499999999999999</v>
      </c>
      <c r="K55" s="134">
        <v>266.3</v>
      </c>
      <c r="L55" s="134">
        <v>25.05</v>
      </c>
      <c r="M55" s="134">
        <v>94.18</v>
      </c>
      <c r="N55" s="134">
        <v>207.6</v>
      </c>
      <c r="O55" s="134">
        <v>0</v>
      </c>
      <c r="P55" s="134">
        <v>0.27</v>
      </c>
      <c r="Q55" s="134">
        <v>3.27</v>
      </c>
    </row>
    <row r="56" spans="1:17" customFormat="1">
      <c r="A56" s="112" t="s">
        <v>574</v>
      </c>
      <c r="B56" s="134">
        <v>10.52</v>
      </c>
      <c r="C56" s="134">
        <v>18.62</v>
      </c>
      <c r="D56" s="134">
        <v>17.13</v>
      </c>
      <c r="E56" s="134">
        <v>8.6</v>
      </c>
      <c r="F56" s="134">
        <v>3.04</v>
      </c>
      <c r="G56" s="134">
        <v>8.66</v>
      </c>
      <c r="H56" s="134">
        <v>3.54</v>
      </c>
      <c r="I56" s="134">
        <v>2.23</v>
      </c>
      <c r="J56" s="134">
        <v>1.19</v>
      </c>
      <c r="K56" s="134">
        <v>266.11</v>
      </c>
      <c r="L56" s="134">
        <v>25.2</v>
      </c>
      <c r="M56" s="134">
        <v>92.7</v>
      </c>
      <c r="N56" s="134">
        <v>190.1</v>
      </c>
      <c r="O56" s="134">
        <v>0</v>
      </c>
      <c r="P56" s="134">
        <v>0.25</v>
      </c>
      <c r="Q56" s="134">
        <v>3.3</v>
      </c>
    </row>
    <row r="57" spans="1:17" customFormat="1">
      <c r="A57" s="112" t="s">
        <v>575</v>
      </c>
      <c r="B57" s="134">
        <v>10.53</v>
      </c>
      <c r="C57" s="134">
        <v>18.18</v>
      </c>
      <c r="D57" s="134">
        <v>16.899999999999999</v>
      </c>
      <c r="E57" s="134">
        <v>8.14</v>
      </c>
      <c r="F57" s="134">
        <v>2.96</v>
      </c>
      <c r="G57" s="134">
        <v>8.66</v>
      </c>
      <c r="H57" s="134">
        <v>3.54</v>
      </c>
      <c r="I57" s="134">
        <v>2.2999999999999998</v>
      </c>
      <c r="J57" s="134">
        <v>1.19</v>
      </c>
      <c r="K57" s="134">
        <v>267.35000000000002</v>
      </c>
      <c r="L57" s="134">
        <v>25.23</v>
      </c>
      <c r="M57" s="134">
        <v>91.8</v>
      </c>
      <c r="N57" s="134">
        <v>135.4</v>
      </c>
      <c r="O57" s="134">
        <v>0</v>
      </c>
      <c r="P57" s="134">
        <v>0.24</v>
      </c>
      <c r="Q57" s="134">
        <v>3.24</v>
      </c>
    </row>
    <row r="58" spans="1:17" customFormat="1">
      <c r="A58" s="112" t="s">
        <v>576</v>
      </c>
      <c r="B58" s="134">
        <v>10.62</v>
      </c>
      <c r="C58" s="134">
        <v>19.73</v>
      </c>
      <c r="D58" s="134">
        <v>17.78</v>
      </c>
      <c r="E58" s="134">
        <v>8.36</v>
      </c>
      <c r="F58" s="134">
        <v>2.17</v>
      </c>
      <c r="G58" s="134">
        <v>8.66</v>
      </c>
      <c r="H58" s="134">
        <v>3.54</v>
      </c>
      <c r="I58" s="134">
        <v>2.21</v>
      </c>
      <c r="J58" s="134">
        <v>1.24</v>
      </c>
      <c r="K58" s="134">
        <v>266.02999999999997</v>
      </c>
      <c r="L58" s="134">
        <v>25.29</v>
      </c>
      <c r="M58" s="134">
        <v>91.3</v>
      </c>
      <c r="N58" s="134">
        <v>104</v>
      </c>
      <c r="O58" s="134">
        <v>0</v>
      </c>
      <c r="P58" s="134">
        <v>0.26</v>
      </c>
      <c r="Q58" s="134">
        <v>3.31</v>
      </c>
    </row>
    <row r="59" spans="1:17" customFormat="1">
      <c r="A59" s="112" t="s">
        <v>577</v>
      </c>
      <c r="B59" s="134">
        <v>10.73</v>
      </c>
      <c r="C59" s="134">
        <v>17.75</v>
      </c>
      <c r="D59" s="134">
        <v>16.829999999999998</v>
      </c>
      <c r="E59" s="134">
        <v>8.52</v>
      </c>
      <c r="F59" s="134">
        <v>3.19</v>
      </c>
      <c r="G59" s="134">
        <v>8.56</v>
      </c>
      <c r="H59" s="134">
        <v>3.49</v>
      </c>
      <c r="I59" s="134">
        <v>2.25</v>
      </c>
      <c r="J59" s="134">
        <v>1.07</v>
      </c>
      <c r="K59" s="134">
        <v>267.85000000000002</v>
      </c>
      <c r="L59" s="134">
        <v>25.19</v>
      </c>
      <c r="M59" s="134">
        <v>91.35</v>
      </c>
      <c r="N59" s="134">
        <v>58.9</v>
      </c>
      <c r="O59" s="134">
        <v>0</v>
      </c>
      <c r="P59" s="134">
        <v>0.25</v>
      </c>
      <c r="Q59" s="134">
        <v>3.25</v>
      </c>
    </row>
    <row r="60" spans="1:17" customFormat="1">
      <c r="A60" s="112" t="s">
        <v>578</v>
      </c>
      <c r="B60" s="134">
        <v>10.73</v>
      </c>
      <c r="C60" s="134">
        <v>18.440000000000001</v>
      </c>
      <c r="D60" s="134">
        <v>17.190000000000001</v>
      </c>
      <c r="E60" s="134">
        <v>8.1</v>
      </c>
      <c r="F60" s="134">
        <v>2.7</v>
      </c>
      <c r="G60" s="134">
        <v>6.52</v>
      </c>
      <c r="H60" s="134">
        <v>2.77</v>
      </c>
      <c r="I60" s="134">
        <v>2.3199999999999998</v>
      </c>
      <c r="J60" s="134">
        <v>1.1299999999999999</v>
      </c>
      <c r="K60" s="134">
        <v>265.93</v>
      </c>
      <c r="L60" s="134">
        <v>25.2</v>
      </c>
      <c r="M60" s="134">
        <v>90.57</v>
      </c>
      <c r="N60" s="134">
        <v>53.9</v>
      </c>
      <c r="O60" s="134">
        <v>0</v>
      </c>
      <c r="P60" s="134">
        <v>0.26</v>
      </c>
      <c r="Q60" s="134">
        <v>3.22</v>
      </c>
    </row>
    <row r="61" spans="1:17" customFormat="1">
      <c r="A61" s="112" t="s">
        <v>579</v>
      </c>
      <c r="B61" s="134">
        <v>10.84</v>
      </c>
      <c r="C61" s="134">
        <v>19.68</v>
      </c>
      <c r="D61" s="134">
        <v>17.93</v>
      </c>
      <c r="E61" s="134">
        <v>8.6199999999999992</v>
      </c>
      <c r="F61" s="134">
        <v>2.23</v>
      </c>
      <c r="G61" s="134">
        <v>6.52</v>
      </c>
      <c r="H61" s="134">
        <v>2.77</v>
      </c>
      <c r="I61" s="134">
        <v>2.23</v>
      </c>
      <c r="J61" s="134">
        <v>1.1100000000000001</v>
      </c>
      <c r="K61" s="134">
        <v>264</v>
      </c>
      <c r="L61" s="134">
        <v>25.18</v>
      </c>
      <c r="M61" s="134">
        <v>90.82</v>
      </c>
      <c r="N61" s="134">
        <v>94.1</v>
      </c>
      <c r="O61" s="134">
        <v>0</v>
      </c>
      <c r="P61" s="134">
        <v>0.27</v>
      </c>
      <c r="Q61" s="134">
        <v>3.3</v>
      </c>
    </row>
    <row r="62" spans="1:17" customFormat="1">
      <c r="A62" s="112" t="s">
        <v>580</v>
      </c>
      <c r="B62" s="134">
        <v>10.84</v>
      </c>
      <c r="C62" s="134">
        <v>18.68</v>
      </c>
      <c r="D62" s="134">
        <v>17.41</v>
      </c>
      <c r="E62" s="134">
        <v>8.26</v>
      </c>
      <c r="F62" s="134">
        <v>2.8</v>
      </c>
      <c r="G62" s="134">
        <v>6.52</v>
      </c>
      <c r="H62" s="134">
        <v>2.77</v>
      </c>
      <c r="I62" s="134">
        <v>2.27</v>
      </c>
      <c r="J62" s="134">
        <v>1</v>
      </c>
      <c r="K62" s="134">
        <v>267.20999999999998</v>
      </c>
      <c r="L62" s="134">
        <v>25.33</v>
      </c>
      <c r="M62" s="134">
        <v>90.9</v>
      </c>
      <c r="N62" s="134">
        <v>135</v>
      </c>
      <c r="O62" s="134">
        <v>0</v>
      </c>
      <c r="P62" s="134">
        <v>0.26</v>
      </c>
      <c r="Q62" s="134">
        <v>3.23</v>
      </c>
    </row>
    <row r="63" spans="1:17" customFormat="1">
      <c r="A63" s="112" t="s">
        <v>581</v>
      </c>
      <c r="B63" s="134">
        <v>10.26</v>
      </c>
      <c r="C63" s="134">
        <v>19.920000000000002</v>
      </c>
      <c r="D63" s="134">
        <v>17.59</v>
      </c>
      <c r="E63" s="134">
        <v>8.06</v>
      </c>
      <c r="F63" s="134">
        <v>2.81</v>
      </c>
      <c r="G63" s="134">
        <v>6.69</v>
      </c>
      <c r="H63" s="134">
        <v>2.85</v>
      </c>
      <c r="I63" s="134">
        <v>2.31</v>
      </c>
      <c r="J63" s="134">
        <v>1.24</v>
      </c>
      <c r="K63" s="134">
        <v>267</v>
      </c>
      <c r="L63" s="134">
        <v>25.31</v>
      </c>
      <c r="M63" s="134">
        <v>90.95</v>
      </c>
      <c r="N63" s="134">
        <v>93.2</v>
      </c>
      <c r="O63" s="134">
        <v>0</v>
      </c>
      <c r="P63" s="134">
        <v>0.31</v>
      </c>
      <c r="Q63" s="134">
        <v>3.21</v>
      </c>
    </row>
    <row r="64" spans="1:17" customFormat="1">
      <c r="A64" s="112" t="s">
        <v>582</v>
      </c>
      <c r="B64" s="134">
        <v>10.050000000000001</v>
      </c>
      <c r="C64" s="134">
        <v>19.91</v>
      </c>
      <c r="D64" s="134">
        <v>17.41</v>
      </c>
      <c r="E64" s="134">
        <v>8.26</v>
      </c>
      <c r="F64" s="134">
        <v>3.01</v>
      </c>
      <c r="G64" s="134">
        <v>9.58</v>
      </c>
      <c r="H64" s="134">
        <v>4.59</v>
      </c>
      <c r="I64" s="134">
        <v>2.2799999999999998</v>
      </c>
      <c r="J64" s="134">
        <v>1.35</v>
      </c>
      <c r="K64" s="134">
        <v>265.39</v>
      </c>
      <c r="L64" s="134">
        <v>25.15</v>
      </c>
      <c r="M64" s="134">
        <v>91.35</v>
      </c>
      <c r="N64" s="134">
        <v>146.1</v>
      </c>
      <c r="O64" s="134">
        <v>0.2</v>
      </c>
      <c r="P64" s="134">
        <v>0.3</v>
      </c>
      <c r="Q64" s="134">
        <v>3.28</v>
      </c>
    </row>
    <row r="65" spans="1:17" customFormat="1">
      <c r="A65" s="112" t="s">
        <v>583</v>
      </c>
      <c r="B65" s="134">
        <v>9.83</v>
      </c>
      <c r="C65" s="134">
        <v>18.399999999999999</v>
      </c>
      <c r="D65" s="134">
        <v>16.45</v>
      </c>
      <c r="E65" s="134">
        <v>7.51</v>
      </c>
      <c r="F65" s="134">
        <v>3.47</v>
      </c>
      <c r="G65" s="134">
        <v>9.58</v>
      </c>
      <c r="H65" s="134">
        <v>4.59</v>
      </c>
      <c r="I65" s="134">
        <v>2.2999999999999998</v>
      </c>
      <c r="J65" s="134">
        <v>1.44</v>
      </c>
      <c r="K65" s="134">
        <v>264.83</v>
      </c>
      <c r="L65" s="134">
        <v>25.01</v>
      </c>
      <c r="M65" s="134">
        <v>92.46</v>
      </c>
      <c r="N65" s="134">
        <v>148.5</v>
      </c>
      <c r="O65" s="134">
        <v>0</v>
      </c>
      <c r="P65" s="134">
        <v>0.25</v>
      </c>
      <c r="Q65" s="134">
        <v>3.2</v>
      </c>
    </row>
    <row r="66" spans="1:17" customFormat="1">
      <c r="A66" s="112" t="s">
        <v>584</v>
      </c>
      <c r="B66" s="134">
        <v>9.51</v>
      </c>
      <c r="C66" s="134">
        <v>17.809999999999999</v>
      </c>
      <c r="D66" s="134">
        <v>15.88</v>
      </c>
      <c r="E66" s="134">
        <v>7.54</v>
      </c>
      <c r="F66" s="134">
        <v>3.52</v>
      </c>
      <c r="G66" s="134">
        <v>9.58</v>
      </c>
      <c r="H66" s="134">
        <v>4.59</v>
      </c>
      <c r="I66" s="134">
        <v>2.29</v>
      </c>
      <c r="J66" s="134">
        <v>1.24</v>
      </c>
      <c r="K66" s="134">
        <v>268.32</v>
      </c>
      <c r="L66" s="134">
        <v>24.9</v>
      </c>
      <c r="M66" s="134">
        <v>93.18</v>
      </c>
      <c r="N66" s="134">
        <v>203.6</v>
      </c>
      <c r="O66" s="134">
        <v>0.2</v>
      </c>
      <c r="P66" s="134">
        <v>0.24</v>
      </c>
      <c r="Q66" s="134">
        <v>3.16</v>
      </c>
    </row>
    <row r="67" spans="1:17" customFormat="1">
      <c r="A67" s="112" t="s">
        <v>585</v>
      </c>
      <c r="B67" s="134">
        <v>9.35</v>
      </c>
      <c r="C67" s="134">
        <v>18.78</v>
      </c>
      <c r="D67" s="134">
        <v>16.260000000000002</v>
      </c>
      <c r="E67" s="134">
        <v>7.44</v>
      </c>
      <c r="F67" s="134">
        <v>2.72</v>
      </c>
      <c r="G67" s="134">
        <v>9.57</v>
      </c>
      <c r="H67" s="134">
        <v>4.53</v>
      </c>
      <c r="I67" s="134">
        <v>2.2400000000000002</v>
      </c>
      <c r="J67" s="134">
        <v>1.1000000000000001</v>
      </c>
      <c r="K67" s="134">
        <v>270.41000000000003</v>
      </c>
      <c r="L67" s="134">
        <v>24.86</v>
      </c>
      <c r="M67" s="134">
        <v>93.48</v>
      </c>
      <c r="N67" s="134">
        <v>159.4</v>
      </c>
      <c r="O67" s="134">
        <v>0</v>
      </c>
      <c r="P67" s="134">
        <v>0.26</v>
      </c>
      <c r="Q67" s="134">
        <v>3.17</v>
      </c>
    </row>
    <row r="68" spans="1:17" customFormat="1">
      <c r="A68" s="112" t="s">
        <v>586</v>
      </c>
      <c r="B68" s="134">
        <v>9.41</v>
      </c>
      <c r="C68" s="134">
        <v>20.74</v>
      </c>
      <c r="D68" s="134">
        <v>17.34</v>
      </c>
      <c r="E68" s="134">
        <v>7.63</v>
      </c>
      <c r="F68" s="134">
        <v>1.99</v>
      </c>
      <c r="G68" s="134">
        <v>9.3699999999999992</v>
      </c>
      <c r="H68" s="134">
        <v>3.53</v>
      </c>
      <c r="I68" s="134">
        <v>2.2400000000000002</v>
      </c>
      <c r="J68" s="134">
        <v>0.99</v>
      </c>
      <c r="K68" s="134">
        <v>272.27999999999997</v>
      </c>
      <c r="L68" s="134">
        <v>24.94</v>
      </c>
      <c r="M68" s="134">
        <v>93.36</v>
      </c>
      <c r="N68" s="134">
        <v>152.5</v>
      </c>
      <c r="O68" s="134">
        <v>0</v>
      </c>
      <c r="P68" s="134">
        <v>0.28000000000000003</v>
      </c>
      <c r="Q68" s="134">
        <v>3.25</v>
      </c>
    </row>
    <row r="69" spans="1:17" customFormat="1">
      <c r="A69" s="112" t="s">
        <v>587</v>
      </c>
      <c r="B69" s="134">
        <v>9.6999999999999993</v>
      </c>
      <c r="C69" s="134">
        <v>19.09</v>
      </c>
      <c r="D69" s="134">
        <v>16.71</v>
      </c>
      <c r="E69" s="134">
        <v>7.78</v>
      </c>
      <c r="F69" s="134">
        <v>2.97</v>
      </c>
      <c r="G69" s="134">
        <v>9.3699999999999992</v>
      </c>
      <c r="H69" s="134">
        <v>3.53</v>
      </c>
      <c r="I69" s="134">
        <v>2.3199999999999998</v>
      </c>
      <c r="J69" s="134">
        <v>1.1599999999999999</v>
      </c>
      <c r="K69" s="134">
        <v>269.67</v>
      </c>
      <c r="L69" s="134">
        <v>25.04</v>
      </c>
      <c r="M69" s="134">
        <v>92.62</v>
      </c>
      <c r="N69" s="134">
        <v>136.5</v>
      </c>
      <c r="O69" s="134">
        <v>0.2</v>
      </c>
      <c r="P69" s="134">
        <v>0.28000000000000003</v>
      </c>
      <c r="Q69" s="134">
        <v>3.21</v>
      </c>
    </row>
    <row r="70" spans="1:17" customFormat="1">
      <c r="A70" s="112" t="s">
        <v>588</v>
      </c>
      <c r="B70" s="134">
        <v>9.6</v>
      </c>
      <c r="C70" s="134">
        <v>18.920000000000002</v>
      </c>
      <c r="D70" s="134">
        <v>16.54</v>
      </c>
      <c r="E70" s="134">
        <v>7.77</v>
      </c>
      <c r="F70" s="134">
        <v>3.15</v>
      </c>
      <c r="G70" s="134">
        <v>9.3699999999999992</v>
      </c>
      <c r="H70" s="134">
        <v>3.53</v>
      </c>
      <c r="I70" s="134">
        <v>2.4500000000000002</v>
      </c>
      <c r="J70" s="134">
        <v>0.94</v>
      </c>
      <c r="K70" s="134">
        <v>271.63</v>
      </c>
      <c r="L70" s="134">
        <v>25.03</v>
      </c>
      <c r="M70" s="134">
        <v>92.93</v>
      </c>
      <c r="N70" s="134">
        <v>153.1</v>
      </c>
      <c r="O70" s="134">
        <v>0</v>
      </c>
      <c r="P70" s="134">
        <v>0.3</v>
      </c>
      <c r="Q70" s="134">
        <v>3.18</v>
      </c>
    </row>
    <row r="71" spans="1:17" customFormat="1">
      <c r="A71" s="112" t="s">
        <v>589</v>
      </c>
      <c r="B71" s="134">
        <v>9.7899999999999991</v>
      </c>
      <c r="C71" s="134">
        <v>20.59</v>
      </c>
      <c r="D71" s="134">
        <v>17.559999999999999</v>
      </c>
      <c r="E71" s="134">
        <v>7.93</v>
      </c>
      <c r="F71" s="134">
        <v>2.27</v>
      </c>
      <c r="G71" s="134">
        <v>9.59</v>
      </c>
      <c r="H71" s="134">
        <v>3.61</v>
      </c>
      <c r="I71" s="134">
        <v>2.5099999999999998</v>
      </c>
      <c r="J71" s="134">
        <v>0.96</v>
      </c>
      <c r="K71" s="134">
        <v>277.32</v>
      </c>
      <c r="L71" s="134">
        <v>25.08</v>
      </c>
      <c r="M71" s="134">
        <v>92.75</v>
      </c>
      <c r="N71" s="134">
        <v>113.9</v>
      </c>
      <c r="O71" s="134">
        <v>0</v>
      </c>
      <c r="P71" s="134">
        <v>0.33</v>
      </c>
      <c r="Q71" s="134">
        <v>3.24</v>
      </c>
    </row>
    <row r="72" spans="1:17" customFormat="1">
      <c r="A72" s="112" t="s">
        <v>590</v>
      </c>
      <c r="B72" s="134">
        <v>9.93</v>
      </c>
      <c r="C72" s="134">
        <v>19.14</v>
      </c>
      <c r="D72" s="134">
        <v>16.920000000000002</v>
      </c>
      <c r="E72" s="134">
        <v>7.83</v>
      </c>
      <c r="F72" s="134">
        <v>3.36</v>
      </c>
      <c r="G72" s="134">
        <v>14.4</v>
      </c>
      <c r="H72" s="134">
        <v>4.96</v>
      </c>
      <c r="I72" s="134">
        <v>2.64</v>
      </c>
      <c r="J72" s="134">
        <v>0.97</v>
      </c>
      <c r="K72" s="134">
        <v>274.77</v>
      </c>
      <c r="L72" s="134">
        <v>24.94</v>
      </c>
      <c r="M72" s="134">
        <v>92.15</v>
      </c>
      <c r="N72" s="134">
        <v>90.2</v>
      </c>
      <c r="O72" s="134">
        <v>0</v>
      </c>
      <c r="P72" s="134">
        <v>0.32</v>
      </c>
      <c r="Q72" s="134">
        <v>3.25</v>
      </c>
    </row>
    <row r="73" spans="1:17" customFormat="1">
      <c r="A73" s="112" t="s">
        <v>591</v>
      </c>
      <c r="B73" s="134">
        <v>10.119999999999999</v>
      </c>
      <c r="C73" s="134">
        <v>20.12</v>
      </c>
      <c r="D73" s="134">
        <v>17.579999999999998</v>
      </c>
      <c r="E73" s="134">
        <v>7.72</v>
      </c>
      <c r="F73" s="134">
        <v>2.4900000000000002</v>
      </c>
      <c r="G73" s="134">
        <v>14.4</v>
      </c>
      <c r="H73" s="134">
        <v>4.96</v>
      </c>
      <c r="I73" s="134">
        <v>2.74</v>
      </c>
      <c r="J73" s="134">
        <v>0.7</v>
      </c>
      <c r="K73" s="134">
        <v>289.25</v>
      </c>
      <c r="L73" s="134">
        <v>24.77</v>
      </c>
      <c r="M73" s="134">
        <v>93.37</v>
      </c>
      <c r="N73" s="134">
        <v>77.400000000000006</v>
      </c>
      <c r="O73" s="134">
        <v>0.4</v>
      </c>
      <c r="P73" s="134">
        <v>0.32</v>
      </c>
      <c r="Q73" s="134">
        <v>3.24</v>
      </c>
    </row>
    <row r="74" spans="1:17" customFormat="1">
      <c r="A74" s="112" t="s">
        <v>592</v>
      </c>
      <c r="B74" s="134">
        <v>10.7</v>
      </c>
      <c r="C74" s="134">
        <v>21.64</v>
      </c>
      <c r="D74" s="134">
        <v>18.84</v>
      </c>
      <c r="E74" s="134">
        <v>8.5</v>
      </c>
      <c r="F74" s="134">
        <v>1.99</v>
      </c>
      <c r="G74" s="134">
        <v>14.4</v>
      </c>
      <c r="H74" s="134">
        <v>4.96</v>
      </c>
      <c r="I74" s="134">
        <v>2.7</v>
      </c>
      <c r="J74" s="134">
        <v>0.74</v>
      </c>
      <c r="K74" s="134">
        <v>290.14999999999998</v>
      </c>
      <c r="L74" s="134">
        <v>24.63</v>
      </c>
      <c r="M74" s="134">
        <v>94.71</v>
      </c>
      <c r="N74" s="134">
        <v>80.2</v>
      </c>
      <c r="O74" s="134">
        <v>0</v>
      </c>
      <c r="P74" s="134">
        <v>0.35</v>
      </c>
      <c r="Q74" s="134">
        <v>3.32</v>
      </c>
    </row>
    <row r="75" spans="1:17" customFormat="1">
      <c r="A75" s="112" t="s">
        <v>593</v>
      </c>
      <c r="B75" s="134">
        <v>11.27</v>
      </c>
      <c r="C75" s="134">
        <v>20.23</v>
      </c>
      <c r="D75" s="134">
        <v>18.559999999999999</v>
      </c>
      <c r="E75" s="134">
        <v>8.2200000000000006</v>
      </c>
      <c r="F75" s="134">
        <v>3.02</v>
      </c>
      <c r="G75" s="134">
        <v>14.32</v>
      </c>
      <c r="H75" s="134">
        <v>4.92</v>
      </c>
      <c r="I75" s="134">
        <v>2.8</v>
      </c>
      <c r="J75" s="134">
        <v>0.79</v>
      </c>
      <c r="K75" s="134">
        <v>286.35000000000002</v>
      </c>
      <c r="L75" s="134">
        <v>24.66</v>
      </c>
      <c r="M75" s="134">
        <v>94.33</v>
      </c>
      <c r="N75" s="134">
        <v>82.8</v>
      </c>
      <c r="O75" s="134">
        <v>0.2</v>
      </c>
      <c r="P75" s="134">
        <v>0.33</v>
      </c>
      <c r="Q75" s="134">
        <v>3.31</v>
      </c>
    </row>
    <row r="76" spans="1:17" customFormat="1">
      <c r="A76" s="112" t="s">
        <v>594</v>
      </c>
      <c r="B76" s="134">
        <v>11.64</v>
      </c>
      <c r="C76" s="134">
        <v>21.89</v>
      </c>
      <c r="D76" s="134">
        <v>19.73</v>
      </c>
      <c r="E76" s="134">
        <v>8.2100000000000009</v>
      </c>
      <c r="F76" s="134">
        <v>1.85</v>
      </c>
      <c r="G76" s="134">
        <v>12.96</v>
      </c>
      <c r="H76" s="134">
        <v>4.3</v>
      </c>
      <c r="I76" s="134">
        <v>2.88</v>
      </c>
      <c r="J76" s="134">
        <v>0.87</v>
      </c>
      <c r="K76" s="134">
        <v>266.24</v>
      </c>
      <c r="L76" s="134">
        <v>24.71</v>
      </c>
      <c r="M76" s="134">
        <v>93.98</v>
      </c>
      <c r="N76" s="134">
        <v>67.599999999999994</v>
      </c>
      <c r="O76" s="134">
        <v>0</v>
      </c>
      <c r="P76" s="134">
        <v>0.36</v>
      </c>
      <c r="Q76" s="134">
        <v>3.37</v>
      </c>
    </row>
    <row r="77" spans="1:17" customFormat="1">
      <c r="A77" s="112" t="s">
        <v>595</v>
      </c>
      <c r="B77" s="134">
        <v>12.1</v>
      </c>
      <c r="C77" s="134">
        <v>21.2</v>
      </c>
      <c r="D77" s="134">
        <v>19.739999999999998</v>
      </c>
      <c r="E77" s="134">
        <v>8.4</v>
      </c>
      <c r="F77" s="134">
        <v>2.31</v>
      </c>
      <c r="G77" s="134">
        <v>12.96</v>
      </c>
      <c r="H77" s="134">
        <v>4.3</v>
      </c>
      <c r="I77" s="134">
        <v>2.86</v>
      </c>
      <c r="J77" s="134">
        <v>0.88</v>
      </c>
      <c r="K77" s="134">
        <v>264.76</v>
      </c>
      <c r="L77" s="134">
        <v>24.67</v>
      </c>
      <c r="M77" s="134">
        <v>93.44</v>
      </c>
      <c r="N77" s="134">
        <v>58.1</v>
      </c>
      <c r="O77" s="134">
        <v>0</v>
      </c>
      <c r="P77" s="134">
        <v>0.34</v>
      </c>
      <c r="Q77" s="134">
        <v>3.41</v>
      </c>
    </row>
    <row r="78" spans="1:17" customFormat="1">
      <c r="A78" s="112" t="s">
        <v>596</v>
      </c>
      <c r="B78" s="134">
        <v>12.28</v>
      </c>
      <c r="C78" s="134">
        <v>19.850000000000001</v>
      </c>
      <c r="D78" s="134">
        <v>19.170000000000002</v>
      </c>
      <c r="E78" s="134">
        <v>7.97</v>
      </c>
      <c r="F78" s="134">
        <v>3.04</v>
      </c>
      <c r="G78" s="134">
        <v>12.96</v>
      </c>
      <c r="H78" s="134">
        <v>4.3</v>
      </c>
      <c r="I78" s="134">
        <v>2.97</v>
      </c>
      <c r="J78" s="134">
        <v>0.74</v>
      </c>
      <c r="K78" s="134">
        <v>265.39</v>
      </c>
      <c r="L78" s="134">
        <v>24.58</v>
      </c>
      <c r="M78" s="134">
        <v>93.77</v>
      </c>
      <c r="N78" s="134">
        <v>33.799999999999997</v>
      </c>
      <c r="O78" s="134">
        <v>0</v>
      </c>
      <c r="P78" s="134">
        <v>0.33</v>
      </c>
      <c r="Q78" s="134">
        <v>3.34</v>
      </c>
    </row>
    <row r="79" spans="1:17" customFormat="1">
      <c r="A79" s="112" t="s">
        <v>597</v>
      </c>
      <c r="B79" s="134">
        <v>12.28</v>
      </c>
      <c r="C79" s="134">
        <v>21.55</v>
      </c>
      <c r="D79" s="134">
        <v>20.059999999999999</v>
      </c>
      <c r="E79" s="134">
        <v>8.2200000000000006</v>
      </c>
      <c r="F79" s="134">
        <v>2.11</v>
      </c>
      <c r="G79" s="134">
        <v>12.85</v>
      </c>
      <c r="H79" s="134">
        <v>4.33</v>
      </c>
      <c r="I79" s="134">
        <v>2.94</v>
      </c>
      <c r="J79" s="134">
        <v>0.77</v>
      </c>
      <c r="K79" s="134">
        <v>271</v>
      </c>
      <c r="L79" s="134">
        <v>24.6</v>
      </c>
      <c r="M79" s="134">
        <v>92.18</v>
      </c>
      <c r="N79" s="134">
        <v>17.100000000000001</v>
      </c>
      <c r="O79" s="134">
        <v>0</v>
      </c>
      <c r="P79" s="134">
        <v>0.35</v>
      </c>
      <c r="Q79" s="134">
        <v>3.38</v>
      </c>
    </row>
    <row r="80" spans="1:17" customFormat="1">
      <c r="A80" s="112" t="s">
        <v>598</v>
      </c>
      <c r="B80" s="134">
        <v>12.74</v>
      </c>
      <c r="C80" s="134">
        <v>21.9</v>
      </c>
      <c r="D80" s="134">
        <v>20.62</v>
      </c>
      <c r="E80" s="134">
        <v>8.66</v>
      </c>
      <c r="F80" s="134">
        <v>2.19</v>
      </c>
      <c r="G80" s="134">
        <v>10.91</v>
      </c>
      <c r="H80" s="134">
        <v>4.8600000000000003</v>
      </c>
      <c r="I80" s="134">
        <v>2.99</v>
      </c>
      <c r="J80" s="134">
        <v>0.55000000000000004</v>
      </c>
      <c r="K80" s="134">
        <v>275.42</v>
      </c>
      <c r="L80" s="134">
        <v>24.63</v>
      </c>
      <c r="M80" s="134">
        <v>92.52</v>
      </c>
      <c r="N80" s="134">
        <v>4.5999999999999996</v>
      </c>
      <c r="O80" s="134">
        <v>0</v>
      </c>
      <c r="P80" s="134">
        <v>0.37</v>
      </c>
      <c r="Q80" s="134">
        <v>3.46</v>
      </c>
    </row>
    <row r="81" spans="1:17" customFormat="1">
      <c r="A81" s="112" t="s">
        <v>599</v>
      </c>
      <c r="B81" s="134">
        <v>13.27</v>
      </c>
      <c r="C81" s="134">
        <v>21.17</v>
      </c>
      <c r="D81" s="134">
        <v>20.66</v>
      </c>
      <c r="E81" s="134">
        <v>6.5</v>
      </c>
      <c r="F81" s="134">
        <v>2.54</v>
      </c>
      <c r="G81" s="134">
        <v>10.91</v>
      </c>
      <c r="H81" s="134">
        <v>4.8600000000000003</v>
      </c>
      <c r="I81" s="134">
        <v>3.07</v>
      </c>
      <c r="J81" s="134">
        <v>0.57999999999999996</v>
      </c>
      <c r="K81" s="134">
        <v>265.37</v>
      </c>
      <c r="L81" s="134">
        <v>24.6</v>
      </c>
      <c r="M81" s="134">
        <v>91.9</v>
      </c>
      <c r="N81" s="134">
        <v>0.2</v>
      </c>
      <c r="O81" s="134">
        <v>0</v>
      </c>
      <c r="P81" s="134">
        <v>0.35</v>
      </c>
      <c r="Q81" s="134">
        <v>3.43</v>
      </c>
    </row>
    <row r="82" spans="1:17" customFormat="1">
      <c r="A82" s="112" t="s">
        <v>600</v>
      </c>
      <c r="B82" s="134">
        <v>13.6</v>
      </c>
      <c r="C82" s="134">
        <v>22.74</v>
      </c>
      <c r="D82" s="134">
        <v>21.74</v>
      </c>
      <c r="E82" s="134">
        <v>7.86</v>
      </c>
      <c r="F82" s="134">
        <v>1.62</v>
      </c>
      <c r="G82" s="134">
        <v>10.91</v>
      </c>
      <c r="H82" s="134">
        <v>4.8600000000000003</v>
      </c>
      <c r="I82" s="134">
        <v>3.14</v>
      </c>
      <c r="J82" s="134">
        <v>0.51</v>
      </c>
      <c r="K82" s="134">
        <v>266.35000000000002</v>
      </c>
      <c r="L82" s="134">
        <v>24.62</v>
      </c>
      <c r="M82" s="134">
        <v>91.89</v>
      </c>
      <c r="N82" s="134">
        <v>0</v>
      </c>
      <c r="O82" s="134">
        <v>0</v>
      </c>
      <c r="P82" s="134">
        <v>0.38</v>
      </c>
      <c r="Q82" s="134">
        <v>3.5</v>
      </c>
    </row>
    <row r="83" spans="1:17" customFormat="1">
      <c r="A83" s="112" t="s">
        <v>601</v>
      </c>
      <c r="B83" s="134">
        <v>13.73</v>
      </c>
      <c r="C83" s="134">
        <v>22.74</v>
      </c>
      <c r="D83" s="134">
        <v>21.84</v>
      </c>
      <c r="E83" s="134">
        <v>7.55</v>
      </c>
      <c r="F83" s="134">
        <v>2.2799999999999998</v>
      </c>
      <c r="G83" s="134">
        <v>10.74</v>
      </c>
      <c r="H83" s="134">
        <v>4.83</v>
      </c>
      <c r="I83" s="134">
        <v>3.16</v>
      </c>
      <c r="J83" s="134">
        <v>0.41</v>
      </c>
      <c r="K83" s="134">
        <v>265.26</v>
      </c>
      <c r="L83" s="134">
        <v>24.51</v>
      </c>
      <c r="M83" s="134">
        <v>92.61</v>
      </c>
      <c r="N83" s="134">
        <v>0</v>
      </c>
      <c r="O83" s="134">
        <v>0</v>
      </c>
      <c r="P83" s="134">
        <v>0.4</v>
      </c>
      <c r="Q83" s="134">
        <v>3.47</v>
      </c>
    </row>
    <row r="84" spans="1:17" customFormat="1">
      <c r="A84" s="112" t="s">
        <v>602</v>
      </c>
      <c r="B84" s="134">
        <v>13.48</v>
      </c>
      <c r="C84" s="134">
        <v>24.06</v>
      </c>
      <c r="D84" s="134">
        <v>22.33</v>
      </c>
      <c r="E84" s="134">
        <v>7.35</v>
      </c>
      <c r="F84" s="134">
        <v>2.41</v>
      </c>
      <c r="G84" s="134">
        <v>7.88</v>
      </c>
      <c r="H84" s="134">
        <v>4.21</v>
      </c>
      <c r="I84" s="134">
        <v>3.27</v>
      </c>
      <c r="J84" s="134">
        <v>0.48</v>
      </c>
      <c r="K84" s="134">
        <v>259.57</v>
      </c>
      <c r="L84" s="134">
        <v>24.51</v>
      </c>
      <c r="M84" s="134">
        <v>92.26</v>
      </c>
      <c r="N84" s="134">
        <v>0</v>
      </c>
      <c r="O84" s="134">
        <v>0</v>
      </c>
      <c r="P84" s="134">
        <v>0.44</v>
      </c>
      <c r="Q84" s="134">
        <v>3.54</v>
      </c>
    </row>
    <row r="85" spans="1:17" customFormat="1">
      <c r="A85" s="112" t="s">
        <v>603</v>
      </c>
      <c r="B85" s="134">
        <v>13.87</v>
      </c>
      <c r="C85" s="134">
        <v>22.43</v>
      </c>
      <c r="D85" s="134">
        <v>21.79</v>
      </c>
      <c r="E85" s="134">
        <v>6.98</v>
      </c>
      <c r="F85" s="134">
        <v>2.88</v>
      </c>
      <c r="G85" s="134">
        <v>7.88</v>
      </c>
      <c r="H85" s="134">
        <v>4.21</v>
      </c>
      <c r="I85" s="134">
        <v>3.35</v>
      </c>
      <c r="J85" s="134">
        <v>0.42</v>
      </c>
      <c r="K85" s="134">
        <v>259.77999999999997</v>
      </c>
      <c r="L85" s="134">
        <v>24.48</v>
      </c>
      <c r="M85" s="134">
        <v>92.73</v>
      </c>
      <c r="N85" s="134">
        <v>0</v>
      </c>
      <c r="O85" s="134">
        <v>0</v>
      </c>
      <c r="P85" s="134">
        <v>0.41</v>
      </c>
      <c r="Q85" s="134">
        <v>3.55</v>
      </c>
    </row>
    <row r="86" spans="1:17" customFormat="1">
      <c r="A86" s="112" t="s">
        <v>604</v>
      </c>
      <c r="B86" s="134">
        <v>13.92</v>
      </c>
      <c r="C86" s="134">
        <v>20.99</v>
      </c>
      <c r="D86" s="134">
        <v>21.09</v>
      </c>
      <c r="E86" s="134">
        <v>6.12</v>
      </c>
      <c r="F86" s="134">
        <v>2.9</v>
      </c>
      <c r="G86" s="134">
        <v>7.88</v>
      </c>
      <c r="H86" s="134">
        <v>4.21</v>
      </c>
      <c r="I86" s="134">
        <v>3.41</v>
      </c>
      <c r="J86" s="134">
        <v>0.14000000000000001</v>
      </c>
      <c r="K86" s="134">
        <v>241.27</v>
      </c>
      <c r="L86" s="134">
        <v>24.43</v>
      </c>
      <c r="M86" s="134">
        <v>94.15</v>
      </c>
      <c r="N86" s="134">
        <v>0</v>
      </c>
      <c r="O86" s="134">
        <v>0.4</v>
      </c>
      <c r="P86" s="134">
        <v>0.37</v>
      </c>
      <c r="Q86" s="134">
        <v>3.47</v>
      </c>
    </row>
    <row r="87" spans="1:17" customFormat="1">
      <c r="A87" s="112" t="s">
        <v>605</v>
      </c>
      <c r="B87" s="134">
        <v>13.85</v>
      </c>
      <c r="C87" s="134">
        <v>21.2</v>
      </c>
      <c r="D87" s="134">
        <v>21.13</v>
      </c>
      <c r="E87" s="134">
        <v>6.73</v>
      </c>
      <c r="F87" s="134">
        <v>2.65</v>
      </c>
      <c r="G87" s="134">
        <v>8.1</v>
      </c>
      <c r="H87" s="134">
        <v>4.3</v>
      </c>
      <c r="I87" s="134">
        <v>3.42</v>
      </c>
      <c r="J87" s="134">
        <v>0.16</v>
      </c>
      <c r="K87" s="134">
        <v>241.58</v>
      </c>
      <c r="L87" s="134">
        <v>24.31</v>
      </c>
      <c r="M87" s="134">
        <v>95.58</v>
      </c>
      <c r="N87" s="134">
        <v>0</v>
      </c>
      <c r="O87" s="134">
        <v>0</v>
      </c>
      <c r="P87" s="134">
        <v>0.37</v>
      </c>
      <c r="Q87" s="134">
        <v>3.47</v>
      </c>
    </row>
    <row r="88" spans="1:17" customFormat="1">
      <c r="A88" s="112" t="s">
        <v>606</v>
      </c>
      <c r="B88" s="134">
        <v>14.07</v>
      </c>
      <c r="C88" s="134">
        <v>23.42</v>
      </c>
      <c r="D88" s="134">
        <v>22.48</v>
      </c>
      <c r="E88" s="134">
        <v>7.27</v>
      </c>
      <c r="F88" s="134">
        <v>1.54</v>
      </c>
      <c r="G88" s="134">
        <v>12.8</v>
      </c>
      <c r="H88" s="134">
        <v>5.76</v>
      </c>
      <c r="I88" s="134">
        <v>3.47</v>
      </c>
      <c r="J88" s="134">
        <v>0.13</v>
      </c>
      <c r="K88" s="134">
        <v>206.32</v>
      </c>
      <c r="L88" s="134">
        <v>24.34</v>
      </c>
      <c r="M88" s="134">
        <v>96.38</v>
      </c>
      <c r="N88" s="134">
        <v>0</v>
      </c>
      <c r="O88" s="134">
        <v>0</v>
      </c>
      <c r="P88" s="134">
        <v>0.41</v>
      </c>
      <c r="Q88" s="134">
        <v>3.55</v>
      </c>
    </row>
    <row r="89" spans="1:17" customFormat="1">
      <c r="A89" s="112" t="s">
        <v>607</v>
      </c>
      <c r="B89" s="134">
        <v>14.68</v>
      </c>
      <c r="C89" s="134">
        <v>21.85</v>
      </c>
      <c r="D89" s="134">
        <v>22.15</v>
      </c>
      <c r="E89" s="134">
        <v>7.34</v>
      </c>
      <c r="F89" s="134">
        <v>2.27</v>
      </c>
      <c r="G89" s="134">
        <v>12.8</v>
      </c>
      <c r="H89" s="134">
        <v>5.76</v>
      </c>
      <c r="I89" s="134">
        <v>3.58</v>
      </c>
      <c r="J89" s="134">
        <v>0.12</v>
      </c>
      <c r="K89" s="134">
        <v>195.36</v>
      </c>
      <c r="L89" s="134">
        <v>24.3</v>
      </c>
      <c r="M89" s="134">
        <v>96.78</v>
      </c>
      <c r="N89" s="134">
        <v>0</v>
      </c>
      <c r="O89" s="134">
        <v>0</v>
      </c>
      <c r="P89" s="134">
        <v>0.39</v>
      </c>
      <c r="Q89" s="134">
        <v>3.53</v>
      </c>
    </row>
    <row r="90" spans="1:17" customFormat="1">
      <c r="A90" s="112" t="s">
        <v>608</v>
      </c>
      <c r="B90" s="134">
        <v>14.9</v>
      </c>
      <c r="C90" s="134">
        <v>21.62</v>
      </c>
      <c r="D90" s="134">
        <v>22.2</v>
      </c>
      <c r="E90" s="134">
        <v>6.82</v>
      </c>
      <c r="F90" s="134">
        <v>2.3199999999999998</v>
      </c>
      <c r="G90" s="134">
        <v>12.8</v>
      </c>
      <c r="H90" s="134">
        <v>5.76</v>
      </c>
      <c r="I90" s="134">
        <v>3.71</v>
      </c>
      <c r="J90" s="134">
        <v>0.1</v>
      </c>
      <c r="K90" s="134">
        <v>222.98</v>
      </c>
      <c r="L90" s="134">
        <v>24.35</v>
      </c>
      <c r="M90" s="134">
        <v>97.03</v>
      </c>
      <c r="N90" s="134">
        <v>0</v>
      </c>
      <c r="O90" s="134">
        <v>0</v>
      </c>
      <c r="P90" s="134">
        <v>0.42</v>
      </c>
      <c r="Q90" s="134">
        <v>3.52</v>
      </c>
    </row>
    <row r="91" spans="1:17" customFormat="1">
      <c r="A91" s="112" t="s">
        <v>609</v>
      </c>
      <c r="B91" s="134">
        <v>15.11</v>
      </c>
      <c r="C91" s="134">
        <v>22.96</v>
      </c>
      <c r="D91" s="134">
        <v>23.06</v>
      </c>
      <c r="E91" s="134">
        <v>7.44</v>
      </c>
      <c r="F91" s="134">
        <v>1.69</v>
      </c>
      <c r="G91" s="134">
        <v>12.92</v>
      </c>
      <c r="H91" s="134">
        <v>5.76</v>
      </c>
      <c r="I91" s="134">
        <v>3.76</v>
      </c>
      <c r="J91" s="134">
        <v>0.11</v>
      </c>
      <c r="K91" s="134">
        <v>237.38</v>
      </c>
      <c r="L91" s="134">
        <v>24.43</v>
      </c>
      <c r="M91" s="134">
        <v>97.26</v>
      </c>
      <c r="N91" s="134">
        <v>0</v>
      </c>
      <c r="O91" s="134">
        <v>0</v>
      </c>
      <c r="P91" s="134">
        <v>0.46</v>
      </c>
      <c r="Q91" s="134">
        <v>3.59</v>
      </c>
    </row>
    <row r="92" spans="1:17" customFormat="1">
      <c r="A92" s="112" t="s">
        <v>610</v>
      </c>
      <c r="B92" s="134">
        <v>15.31</v>
      </c>
      <c r="C92" s="134">
        <v>20.73</v>
      </c>
      <c r="D92" s="134">
        <v>22.06</v>
      </c>
      <c r="E92" s="134">
        <v>7.72</v>
      </c>
      <c r="F92" s="134">
        <v>2.73</v>
      </c>
      <c r="G92" s="134">
        <v>14.9</v>
      </c>
      <c r="H92" s="134">
        <v>5.7</v>
      </c>
      <c r="I92" s="134">
        <v>3.91</v>
      </c>
      <c r="J92" s="134">
        <v>0.1</v>
      </c>
      <c r="K92" s="134">
        <v>229.92</v>
      </c>
      <c r="L92" s="134">
        <v>24.46</v>
      </c>
      <c r="M92" s="134">
        <v>97.38</v>
      </c>
      <c r="N92" s="134">
        <v>0</v>
      </c>
      <c r="O92" s="134">
        <v>0</v>
      </c>
      <c r="P92" s="134">
        <v>0.46</v>
      </c>
      <c r="Q92" s="134">
        <v>3.57</v>
      </c>
    </row>
    <row r="93" spans="1:17" customFormat="1">
      <c r="A93" s="112" t="s">
        <v>611</v>
      </c>
      <c r="B93" s="134">
        <v>15.63</v>
      </c>
      <c r="C93" s="134">
        <v>22.49</v>
      </c>
      <c r="D93" s="134">
        <v>23.24</v>
      </c>
      <c r="E93" s="134">
        <v>7.65</v>
      </c>
      <c r="F93" s="134">
        <v>1.9</v>
      </c>
      <c r="G93" s="134">
        <v>14.9</v>
      </c>
      <c r="H93" s="134">
        <v>5.7</v>
      </c>
      <c r="I93" s="134">
        <v>4.1399999999999997</v>
      </c>
      <c r="J93" s="134">
        <v>0.05</v>
      </c>
      <c r="K93" s="134">
        <v>213.1</v>
      </c>
      <c r="L93" s="134">
        <v>24.51</v>
      </c>
      <c r="M93" s="134">
        <v>97.49</v>
      </c>
      <c r="N93" s="134">
        <v>0</v>
      </c>
      <c r="O93" s="134">
        <v>0</v>
      </c>
      <c r="P93" s="134">
        <v>0.48</v>
      </c>
      <c r="Q93" s="134">
        <v>3.62</v>
      </c>
    </row>
    <row r="94" spans="1:17" customFormat="1">
      <c r="A94" s="112" t="s">
        <v>612</v>
      </c>
      <c r="B94" s="134">
        <v>16.16</v>
      </c>
      <c r="C94" s="134">
        <v>21.75</v>
      </c>
      <c r="D94" s="134">
        <v>23.28</v>
      </c>
      <c r="E94" s="134">
        <v>7.61</v>
      </c>
      <c r="F94" s="134">
        <v>2.4</v>
      </c>
      <c r="G94" s="134">
        <v>14.9</v>
      </c>
      <c r="H94" s="134">
        <v>5.7</v>
      </c>
      <c r="I94" s="134">
        <v>4.26</v>
      </c>
      <c r="J94" s="134">
        <v>0.17</v>
      </c>
      <c r="K94" s="134">
        <v>246.93</v>
      </c>
      <c r="L94" s="134">
        <v>24.6</v>
      </c>
      <c r="M94" s="134">
        <v>97.59</v>
      </c>
      <c r="N94" s="134">
        <v>0</v>
      </c>
      <c r="O94" s="134">
        <v>0</v>
      </c>
      <c r="P94" s="134">
        <v>0.47</v>
      </c>
      <c r="Q94" s="134">
        <v>3.64</v>
      </c>
    </row>
    <row r="95" spans="1:17" customFormat="1">
      <c r="A95" s="112" t="s">
        <v>613</v>
      </c>
      <c r="B95" s="134">
        <v>16.25</v>
      </c>
      <c r="C95" s="134">
        <v>19.59</v>
      </c>
      <c r="D95" s="134">
        <v>22.22</v>
      </c>
      <c r="E95" s="134">
        <v>7.39</v>
      </c>
      <c r="F95" s="134">
        <v>2.85</v>
      </c>
      <c r="G95" s="134">
        <v>15</v>
      </c>
      <c r="H95" s="134">
        <v>5.75</v>
      </c>
      <c r="I95" s="134">
        <v>4.28</v>
      </c>
      <c r="J95" s="134">
        <v>0.24</v>
      </c>
      <c r="K95" s="134">
        <v>256.06</v>
      </c>
      <c r="L95" s="134">
        <v>24.69</v>
      </c>
      <c r="M95" s="134">
        <v>97.6</v>
      </c>
      <c r="N95" s="134">
        <v>0</v>
      </c>
      <c r="O95" s="134">
        <v>0</v>
      </c>
      <c r="P95" s="134">
        <v>0.45</v>
      </c>
      <c r="Q95" s="134">
        <v>3.57</v>
      </c>
    </row>
    <row r="96" spans="1:17" customFormat="1">
      <c r="A96" s="112" t="s">
        <v>614</v>
      </c>
      <c r="B96" s="134">
        <v>16.41</v>
      </c>
      <c r="C96" s="134">
        <v>21.93</v>
      </c>
      <c r="D96" s="134">
        <v>23.57</v>
      </c>
      <c r="E96" s="134">
        <v>7.67</v>
      </c>
      <c r="F96" s="134">
        <v>1.75</v>
      </c>
      <c r="G96" s="134">
        <v>16.829999999999998</v>
      </c>
      <c r="H96" s="134">
        <v>6.53</v>
      </c>
      <c r="I96" s="134">
        <v>4.24</v>
      </c>
      <c r="J96" s="134">
        <v>0.37</v>
      </c>
      <c r="K96" s="134">
        <v>264.12</v>
      </c>
      <c r="L96" s="134">
        <v>24.82</v>
      </c>
      <c r="M96" s="134">
        <v>97.54</v>
      </c>
      <c r="N96" s="134">
        <v>0</v>
      </c>
      <c r="O96" s="134">
        <v>0.2</v>
      </c>
      <c r="P96" s="134">
        <v>0.48</v>
      </c>
      <c r="Q96" s="134">
        <v>3.62</v>
      </c>
    </row>
    <row r="97" spans="1:22" customFormat="1">
      <c r="A97" s="112" t="s">
        <v>615</v>
      </c>
      <c r="B97" s="134">
        <v>16.7</v>
      </c>
      <c r="C97" s="134">
        <v>21.07</v>
      </c>
      <c r="D97" s="134">
        <v>23.35</v>
      </c>
      <c r="E97" s="134">
        <v>7.57</v>
      </c>
      <c r="F97" s="134">
        <v>2.4300000000000002</v>
      </c>
      <c r="G97" s="134">
        <v>16.829999999999998</v>
      </c>
      <c r="H97" s="134">
        <v>6.53</v>
      </c>
      <c r="I97" s="134">
        <v>4.2</v>
      </c>
      <c r="J97" s="134">
        <v>0.46</v>
      </c>
      <c r="K97" s="134">
        <v>263.24</v>
      </c>
      <c r="L97" s="134">
        <v>24.91</v>
      </c>
      <c r="M97" s="134">
        <v>97.3</v>
      </c>
      <c r="N97" s="134">
        <v>0</v>
      </c>
      <c r="O97" s="134">
        <v>0.2</v>
      </c>
      <c r="P97" s="134">
        <v>0.46</v>
      </c>
      <c r="Q97" s="134">
        <v>3.65</v>
      </c>
    </row>
    <row r="98" spans="1:22" customFormat="1">
      <c r="A98" s="112" t="s">
        <v>616</v>
      </c>
      <c r="B98" s="134">
        <v>16.690000000000001</v>
      </c>
      <c r="C98" s="134">
        <v>19.649999999999999</v>
      </c>
      <c r="D98" s="134">
        <v>22.6</v>
      </c>
      <c r="E98" s="134">
        <v>7.83</v>
      </c>
      <c r="F98" s="134">
        <v>2.75</v>
      </c>
      <c r="G98" s="134">
        <v>16.829999999999998</v>
      </c>
      <c r="H98" s="134">
        <v>6.53</v>
      </c>
      <c r="I98" s="134">
        <v>4.2699999999999996</v>
      </c>
      <c r="J98" s="134">
        <v>0.51</v>
      </c>
      <c r="K98" s="134">
        <v>257.22000000000003</v>
      </c>
      <c r="L98" s="134">
        <v>24.93</v>
      </c>
      <c r="M98" s="134">
        <v>97.04</v>
      </c>
      <c r="N98" s="134">
        <v>0</v>
      </c>
      <c r="O98" s="134">
        <v>0</v>
      </c>
      <c r="P98" s="134">
        <v>0.45</v>
      </c>
      <c r="Q98" s="134">
        <v>3.59</v>
      </c>
    </row>
    <row r="99" spans="1:22" customFormat="1">
      <c r="A99" s="112" t="s">
        <v>617</v>
      </c>
      <c r="B99" s="134">
        <v>16.66</v>
      </c>
      <c r="C99" s="134">
        <v>21.56</v>
      </c>
      <c r="D99" s="134">
        <v>23.58</v>
      </c>
      <c r="E99" s="134">
        <v>8.02</v>
      </c>
      <c r="F99" s="134">
        <v>1.92</v>
      </c>
      <c r="G99" s="134">
        <v>16.7</v>
      </c>
      <c r="H99" s="134">
        <v>6.54</v>
      </c>
      <c r="I99" s="134">
        <v>4.16</v>
      </c>
      <c r="J99" s="134">
        <v>0.37</v>
      </c>
      <c r="K99" s="134">
        <v>257.73</v>
      </c>
      <c r="L99" s="134">
        <v>24.98</v>
      </c>
      <c r="M99" s="134">
        <v>96.85</v>
      </c>
      <c r="N99" s="134">
        <v>0</v>
      </c>
      <c r="O99" s="134">
        <v>0</v>
      </c>
      <c r="P99" s="134">
        <v>0.47</v>
      </c>
      <c r="Q99" s="134">
        <v>3.65</v>
      </c>
    </row>
    <row r="100" spans="1:22" customFormat="1">
      <c r="A100" s="112" t="s">
        <v>618</v>
      </c>
      <c r="B100" s="134">
        <v>16.600000000000001</v>
      </c>
      <c r="C100" s="134">
        <v>19.78</v>
      </c>
      <c r="D100" s="134">
        <v>22.6</v>
      </c>
      <c r="E100" s="134">
        <v>7.71</v>
      </c>
      <c r="F100" s="134">
        <v>3.08</v>
      </c>
      <c r="G100" s="134">
        <v>14.57</v>
      </c>
      <c r="H100" s="134">
        <v>6.76</v>
      </c>
      <c r="I100" s="134">
        <v>4.12</v>
      </c>
      <c r="J100" s="134">
        <v>0.56999999999999995</v>
      </c>
      <c r="K100" s="134">
        <v>263.99</v>
      </c>
      <c r="L100" s="134">
        <v>25.01</v>
      </c>
      <c r="M100" s="134">
        <v>96.55</v>
      </c>
      <c r="N100" s="134">
        <v>0</v>
      </c>
      <c r="O100" s="134">
        <v>0</v>
      </c>
      <c r="P100" s="134">
        <v>0.44</v>
      </c>
      <c r="Q100" s="134">
        <v>3.63</v>
      </c>
    </row>
    <row r="101" spans="1:22" customFormat="1">
      <c r="A101" s="112" t="s">
        <v>619</v>
      </c>
      <c r="B101" s="134">
        <v>16.91</v>
      </c>
      <c r="C101" s="134">
        <v>21.63</v>
      </c>
      <c r="D101" s="134">
        <v>23.81</v>
      </c>
      <c r="E101" s="134">
        <v>8.35</v>
      </c>
      <c r="F101" s="134">
        <v>2.11</v>
      </c>
      <c r="G101" s="134">
        <v>14.57</v>
      </c>
      <c r="H101" s="134">
        <v>6.76</v>
      </c>
      <c r="I101" s="134">
        <v>4.1399999999999997</v>
      </c>
      <c r="J101" s="134">
        <v>0.5</v>
      </c>
      <c r="K101" s="134">
        <v>257.74</v>
      </c>
      <c r="L101" s="134">
        <v>25.04</v>
      </c>
      <c r="M101" s="134">
        <v>95.85</v>
      </c>
      <c r="N101" s="134">
        <v>0</v>
      </c>
      <c r="O101" s="134">
        <v>0</v>
      </c>
      <c r="P101" s="134">
        <v>0.46</v>
      </c>
      <c r="Q101" s="134">
        <v>3.64</v>
      </c>
    </row>
    <row r="102" spans="1:22" customFormat="1">
      <c r="A102" s="112" t="s">
        <v>620</v>
      </c>
      <c r="B102" s="134">
        <v>17.13</v>
      </c>
      <c r="C102" s="134">
        <v>20.37</v>
      </c>
      <c r="D102" s="134">
        <v>23.34</v>
      </c>
      <c r="E102" s="134">
        <v>7.84</v>
      </c>
      <c r="F102" s="134">
        <v>2.65</v>
      </c>
      <c r="G102" s="134">
        <v>14.57</v>
      </c>
      <c r="H102" s="134">
        <v>6.76</v>
      </c>
      <c r="I102" s="134">
        <v>3.98</v>
      </c>
      <c r="J102" s="134">
        <v>0.61</v>
      </c>
      <c r="K102" s="134">
        <v>263.14</v>
      </c>
      <c r="L102" s="134">
        <v>25.11</v>
      </c>
      <c r="M102" s="134">
        <v>95.12</v>
      </c>
      <c r="N102" s="134">
        <v>0</v>
      </c>
      <c r="O102" s="134">
        <v>0</v>
      </c>
      <c r="P102" s="134">
        <v>0.43</v>
      </c>
      <c r="Q102" s="134">
        <v>3.63</v>
      </c>
    </row>
    <row r="103" spans="1:22" customFormat="1">
      <c r="A103" s="112" t="s">
        <v>621</v>
      </c>
      <c r="B103" s="134">
        <v>17.04</v>
      </c>
      <c r="C103" s="134">
        <v>19.010000000000002</v>
      </c>
      <c r="D103" s="134">
        <v>22.56</v>
      </c>
      <c r="E103" s="134">
        <v>7.19</v>
      </c>
      <c r="F103" s="134">
        <v>3.08</v>
      </c>
      <c r="G103" s="134">
        <v>14.41</v>
      </c>
      <c r="H103" s="134">
        <v>6.65</v>
      </c>
      <c r="I103" s="134">
        <v>4.08</v>
      </c>
      <c r="J103" s="134">
        <v>0.69</v>
      </c>
      <c r="K103" s="134">
        <v>261.47000000000003</v>
      </c>
      <c r="L103" s="134">
        <v>25.13</v>
      </c>
      <c r="M103" s="134">
        <v>94.41</v>
      </c>
      <c r="N103" s="134">
        <v>0</v>
      </c>
      <c r="O103" s="134">
        <v>0</v>
      </c>
      <c r="P103" s="134">
        <v>0.42</v>
      </c>
      <c r="Q103" s="134">
        <v>3.56</v>
      </c>
    </row>
    <row r="104" spans="1:22" customFormat="1">
      <c r="A104" s="112" t="s">
        <v>622</v>
      </c>
      <c r="B104" s="134">
        <v>16.52</v>
      </c>
      <c r="C104" s="134">
        <v>19.91</v>
      </c>
      <c r="D104" s="134">
        <v>22.61</v>
      </c>
      <c r="E104" s="134">
        <v>7.8</v>
      </c>
      <c r="F104" s="134">
        <v>2.5</v>
      </c>
      <c r="G104" s="134">
        <v>11.74</v>
      </c>
      <c r="H104" s="134">
        <v>4.88</v>
      </c>
      <c r="I104" s="134">
        <v>3.93</v>
      </c>
      <c r="J104" s="134">
        <v>0.72</v>
      </c>
      <c r="K104" s="134">
        <v>262.33999999999997</v>
      </c>
      <c r="L104" s="134">
        <v>25.11</v>
      </c>
      <c r="M104" s="134">
        <v>93.99</v>
      </c>
      <c r="N104" s="134">
        <v>0</v>
      </c>
      <c r="O104" s="134">
        <v>0</v>
      </c>
      <c r="P104" s="134">
        <v>0.44</v>
      </c>
      <c r="Q104" s="134">
        <v>3.52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8.7899999999999991</v>
      </c>
      <c r="C106" s="183">
        <f>MIN(C9:C104)</f>
        <v>17.579999999999998</v>
      </c>
      <c r="D106" s="183">
        <f t="shared" ref="D106:Q106" si="0">MIN(D9:D104)</f>
        <v>15.49</v>
      </c>
      <c r="E106" s="183">
        <f t="shared" si="0"/>
        <v>4.72</v>
      </c>
      <c r="F106" s="183">
        <f t="shared" si="0"/>
        <v>1.54</v>
      </c>
      <c r="G106" s="183">
        <f t="shared" si="0"/>
        <v>5.22</v>
      </c>
      <c r="H106" s="183">
        <f t="shared" si="0"/>
        <v>2.1800000000000002</v>
      </c>
      <c r="I106" s="183">
        <f t="shared" si="0"/>
        <v>2.21</v>
      </c>
      <c r="J106" s="183">
        <f t="shared" si="0"/>
        <v>0.05</v>
      </c>
      <c r="K106" s="183">
        <f t="shared" si="0"/>
        <v>195.36</v>
      </c>
      <c r="L106" s="183">
        <f t="shared" si="0"/>
        <v>22.99</v>
      </c>
      <c r="M106" s="183">
        <f t="shared" si="0"/>
        <v>85.36</v>
      </c>
      <c r="N106" s="183">
        <f t="shared" si="0"/>
        <v>0</v>
      </c>
      <c r="O106" s="183">
        <f t="shared" si="0"/>
        <v>0</v>
      </c>
      <c r="P106" s="183">
        <f t="shared" si="0"/>
        <v>0.23</v>
      </c>
      <c r="Q106" s="183">
        <f t="shared" si="0"/>
        <v>3.12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17.13</v>
      </c>
      <c r="C107" s="184">
        <f t="shared" ref="C107:Q107" si="1">MAX(C9:C104)</f>
        <v>24.06</v>
      </c>
      <c r="D107" s="184">
        <f t="shared" si="1"/>
        <v>23.81</v>
      </c>
      <c r="E107" s="184">
        <f t="shared" si="1"/>
        <v>8.66</v>
      </c>
      <c r="F107" s="184">
        <f t="shared" si="1"/>
        <v>3.52</v>
      </c>
      <c r="G107" s="184">
        <f t="shared" si="1"/>
        <v>16.829999999999998</v>
      </c>
      <c r="H107" s="184">
        <f t="shared" si="1"/>
        <v>6.76</v>
      </c>
      <c r="I107" s="184">
        <f t="shared" si="1"/>
        <v>4.28</v>
      </c>
      <c r="J107" s="184">
        <f t="shared" si="1"/>
        <v>1.48</v>
      </c>
      <c r="K107" s="184">
        <f t="shared" si="1"/>
        <v>290.14999999999998</v>
      </c>
      <c r="L107" s="184">
        <f t="shared" si="1"/>
        <v>25.33</v>
      </c>
      <c r="M107" s="184">
        <f t="shared" si="1"/>
        <v>97.6</v>
      </c>
      <c r="N107" s="184">
        <f t="shared" si="1"/>
        <v>216.3</v>
      </c>
      <c r="O107" s="184">
        <f t="shared" si="1"/>
        <v>0.4</v>
      </c>
      <c r="P107" s="184">
        <f t="shared" si="1"/>
        <v>0.48</v>
      </c>
      <c r="Q107" s="184">
        <f t="shared" si="1"/>
        <v>3.65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11.425208333333336</v>
      </c>
      <c r="C108" s="183">
        <f t="shared" ref="C108:Q108" si="2">AVERAGE(C9:C104)</f>
        <v>19.973958333333339</v>
      </c>
      <c r="D108" s="183">
        <f t="shared" si="2"/>
        <v>18.552916666666654</v>
      </c>
      <c r="E108" s="183">
        <f t="shared" si="2"/>
        <v>6.9978125000000047</v>
      </c>
      <c r="F108" s="183">
        <f t="shared" si="2"/>
        <v>2.5127083333333342</v>
      </c>
      <c r="G108" s="183">
        <f t="shared" si="2"/>
        <v>9.473020833333333</v>
      </c>
      <c r="H108" s="183">
        <f t="shared" si="2"/>
        <v>3.9097916666666666</v>
      </c>
      <c r="I108" s="183">
        <f t="shared" si="2"/>
        <v>2.8513541666666655</v>
      </c>
      <c r="J108" s="183">
        <f t="shared" si="2"/>
        <v>0.9260416666666661</v>
      </c>
      <c r="K108" s="183">
        <f t="shared" si="2"/>
        <v>261.8860416666667</v>
      </c>
      <c r="L108" s="183">
        <f t="shared" si="2"/>
        <v>24.285520833333337</v>
      </c>
      <c r="M108" s="183">
        <f t="shared" si="2"/>
        <v>93.998125000000016</v>
      </c>
      <c r="N108" s="183">
        <f t="shared" si="2"/>
        <v>51.230208333333344</v>
      </c>
      <c r="O108" s="183">
        <f t="shared" si="2"/>
        <v>5.6250000000000022E-2</v>
      </c>
      <c r="P108" s="183">
        <f t="shared" si="2"/>
        <v>0.31677083333333345</v>
      </c>
      <c r="Q108" s="183">
        <f t="shared" si="2"/>
        <v>3.3176041666666656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2.4802249385114097</v>
      </c>
      <c r="C109" s="183">
        <f t="shared" ref="C109:Q109" si="3">STDEV(C9:C104)</f>
        <v>1.4461000032148634</v>
      </c>
      <c r="D109" s="183">
        <f t="shared" si="3"/>
        <v>2.4697201702417062</v>
      </c>
      <c r="E109" s="183">
        <f t="shared" si="3"/>
        <v>1.2622871498530603</v>
      </c>
      <c r="F109" s="183">
        <f t="shared" si="3"/>
        <v>0.46596245425133148</v>
      </c>
      <c r="G109" s="183">
        <f t="shared" si="3"/>
        <v>3.2879438847150579</v>
      </c>
      <c r="H109" s="183">
        <f t="shared" si="3"/>
        <v>1.3224243917630327</v>
      </c>
      <c r="I109" s="183">
        <f t="shared" si="3"/>
        <v>0.63384809701356959</v>
      </c>
      <c r="J109" s="183">
        <f t="shared" si="3"/>
        <v>0.38287686399475301</v>
      </c>
      <c r="K109" s="183">
        <f t="shared" si="3"/>
        <v>13.785515089103454</v>
      </c>
      <c r="L109" s="183">
        <f t="shared" si="3"/>
        <v>0.71212487046891615</v>
      </c>
      <c r="M109" s="183">
        <f t="shared" si="3"/>
        <v>2.7237722729214378</v>
      </c>
      <c r="N109" s="183">
        <f t="shared" si="3"/>
        <v>65.73901048010616</v>
      </c>
      <c r="O109" s="183">
        <f t="shared" si="3"/>
        <v>9.9273678071756466E-2</v>
      </c>
      <c r="P109" s="183">
        <f t="shared" si="3"/>
        <v>7.4190292905497154E-2</v>
      </c>
      <c r="Q109" s="183">
        <f t="shared" si="3"/>
        <v>0.15649277630323247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05/08/2023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623</v>
      </c>
      <c r="B9" s="134">
        <v>15.05</v>
      </c>
      <c r="C9" s="134">
        <v>21.47</v>
      </c>
      <c r="D9" s="134">
        <v>22.24</v>
      </c>
      <c r="E9" s="134">
        <v>7.74</v>
      </c>
      <c r="F9" s="134">
        <v>2.38</v>
      </c>
      <c r="G9" s="134">
        <v>11.74</v>
      </c>
      <c r="H9" s="134">
        <v>4.88</v>
      </c>
      <c r="I9" s="134">
        <v>3.85</v>
      </c>
      <c r="J9" s="134">
        <v>0.78</v>
      </c>
      <c r="K9" s="134">
        <v>263.08999999999997</v>
      </c>
      <c r="L9" s="134">
        <v>25.16</v>
      </c>
      <c r="M9" s="134">
        <v>93.18</v>
      </c>
      <c r="N9" s="134">
        <v>0</v>
      </c>
      <c r="O9" s="134">
        <v>0</v>
      </c>
      <c r="P9" s="134">
        <v>0.45</v>
      </c>
      <c r="Q9" s="134">
        <v>3.57</v>
      </c>
    </row>
    <row r="10" spans="1:21" customFormat="1">
      <c r="A10" s="112" t="s">
        <v>624</v>
      </c>
      <c r="B10" s="134">
        <v>15.08</v>
      </c>
      <c r="C10" s="134">
        <v>19.37</v>
      </c>
      <c r="D10" s="134">
        <v>21.17</v>
      </c>
      <c r="E10" s="134">
        <v>6.88</v>
      </c>
      <c r="F10" s="134">
        <v>3.2</v>
      </c>
      <c r="G10" s="134">
        <v>11.74</v>
      </c>
      <c r="H10" s="134">
        <v>4.88</v>
      </c>
      <c r="I10" s="134">
        <v>3.79</v>
      </c>
      <c r="J10" s="134">
        <v>0.9</v>
      </c>
      <c r="K10" s="134">
        <v>266.18</v>
      </c>
      <c r="L10" s="134">
        <v>25.17</v>
      </c>
      <c r="M10" s="134">
        <v>92.79</v>
      </c>
      <c r="N10" s="134">
        <v>0</v>
      </c>
      <c r="O10" s="134">
        <v>0</v>
      </c>
      <c r="P10" s="134">
        <v>0.42</v>
      </c>
      <c r="Q10" s="134">
        <v>3.56</v>
      </c>
    </row>
    <row r="11" spans="1:21" customFormat="1">
      <c r="A11" s="112" t="s">
        <v>625</v>
      </c>
      <c r="B11" s="134">
        <v>14.67</v>
      </c>
      <c r="C11" s="134">
        <v>18.329999999999998</v>
      </c>
      <c r="D11" s="134">
        <v>20.3</v>
      </c>
      <c r="E11" s="134">
        <v>7.06</v>
      </c>
      <c r="F11" s="134">
        <v>3.37</v>
      </c>
      <c r="G11" s="134">
        <v>11.56</v>
      </c>
      <c r="H11" s="134">
        <v>4.93</v>
      </c>
      <c r="I11" s="134">
        <v>3.67</v>
      </c>
      <c r="J11" s="134">
        <v>0.72</v>
      </c>
      <c r="K11" s="134">
        <v>263.32</v>
      </c>
      <c r="L11" s="134">
        <v>25.14</v>
      </c>
      <c r="M11" s="134">
        <v>93.06</v>
      </c>
      <c r="N11" s="134">
        <v>0</v>
      </c>
      <c r="O11" s="134">
        <v>0</v>
      </c>
      <c r="P11" s="134">
        <v>0.38</v>
      </c>
      <c r="Q11" s="134">
        <v>3.49</v>
      </c>
    </row>
    <row r="12" spans="1:21" customFormat="1">
      <c r="A12" s="112" t="s">
        <v>626</v>
      </c>
      <c r="B12" s="134">
        <v>14.43</v>
      </c>
      <c r="C12" s="134">
        <v>19.41</v>
      </c>
      <c r="D12" s="134">
        <v>20.67</v>
      </c>
      <c r="E12" s="134">
        <v>7.14</v>
      </c>
      <c r="F12" s="134">
        <v>2.56</v>
      </c>
      <c r="G12" s="134">
        <v>8.61</v>
      </c>
      <c r="H12" s="134">
        <v>5.84</v>
      </c>
      <c r="I12" s="134">
        <v>3.52</v>
      </c>
      <c r="J12" s="134">
        <v>0.78</v>
      </c>
      <c r="K12" s="134">
        <v>263.32</v>
      </c>
      <c r="L12" s="134">
        <v>25.19</v>
      </c>
      <c r="M12" s="134">
        <v>92.69</v>
      </c>
      <c r="N12" s="134">
        <v>0</v>
      </c>
      <c r="O12" s="134">
        <v>0</v>
      </c>
      <c r="P12" s="134">
        <v>0.39</v>
      </c>
      <c r="Q12" s="134">
        <v>3.52</v>
      </c>
    </row>
    <row r="13" spans="1:21" customFormat="1">
      <c r="A13" s="112" t="s">
        <v>627</v>
      </c>
      <c r="B13" s="134">
        <v>14.83</v>
      </c>
      <c r="C13" s="134">
        <v>21</v>
      </c>
      <c r="D13" s="134">
        <v>21.81</v>
      </c>
      <c r="E13" s="134">
        <v>7.69</v>
      </c>
      <c r="F13" s="134">
        <v>1.78</v>
      </c>
      <c r="G13" s="134">
        <v>8.61</v>
      </c>
      <c r="H13" s="134">
        <v>5.84</v>
      </c>
      <c r="I13" s="134">
        <v>3.44</v>
      </c>
      <c r="J13" s="134">
        <v>0.72</v>
      </c>
      <c r="K13" s="134">
        <v>263.76</v>
      </c>
      <c r="L13" s="134">
        <v>25.16</v>
      </c>
      <c r="M13" s="134">
        <v>93.12</v>
      </c>
      <c r="N13" s="134">
        <v>0</v>
      </c>
      <c r="O13" s="134">
        <v>0</v>
      </c>
      <c r="P13" s="134">
        <v>0.4</v>
      </c>
      <c r="Q13" s="134">
        <v>3.59</v>
      </c>
    </row>
    <row r="14" spans="1:21" customFormat="1">
      <c r="A14" s="112" t="s">
        <v>628</v>
      </c>
      <c r="B14" s="134">
        <v>14.85</v>
      </c>
      <c r="C14" s="134">
        <v>18.79</v>
      </c>
      <c r="D14" s="134">
        <v>20.68</v>
      </c>
      <c r="E14" s="134">
        <v>7.01</v>
      </c>
      <c r="F14" s="134">
        <v>3.05</v>
      </c>
      <c r="G14" s="134">
        <v>8.61</v>
      </c>
      <c r="H14" s="134">
        <v>5.84</v>
      </c>
      <c r="I14" s="134">
        <v>3.47</v>
      </c>
      <c r="J14" s="134">
        <v>0.7</v>
      </c>
      <c r="K14" s="134">
        <v>264.07</v>
      </c>
      <c r="L14" s="134">
        <v>25.15</v>
      </c>
      <c r="M14" s="134">
        <v>93.05</v>
      </c>
      <c r="N14" s="134">
        <v>0</v>
      </c>
      <c r="O14" s="134">
        <v>0</v>
      </c>
      <c r="P14" s="134">
        <v>0.37</v>
      </c>
      <c r="Q14" s="134">
        <v>3.54</v>
      </c>
    </row>
    <row r="15" spans="1:21" customFormat="1">
      <c r="A15" s="112" t="s">
        <v>629</v>
      </c>
      <c r="B15" s="134">
        <v>14.45</v>
      </c>
      <c r="C15" s="134">
        <v>18.559999999999999</v>
      </c>
      <c r="D15" s="134">
        <v>20.239999999999998</v>
      </c>
      <c r="E15" s="134">
        <v>7.4</v>
      </c>
      <c r="F15" s="134">
        <v>3.28</v>
      </c>
      <c r="G15" s="134">
        <v>8.5</v>
      </c>
      <c r="H15" s="134">
        <v>5.83</v>
      </c>
      <c r="I15" s="134">
        <v>3.5</v>
      </c>
      <c r="J15" s="134">
        <v>0.61</v>
      </c>
      <c r="K15" s="134">
        <v>258</v>
      </c>
      <c r="L15" s="134">
        <v>25.14</v>
      </c>
      <c r="M15" s="134">
        <v>93.29</v>
      </c>
      <c r="N15" s="134">
        <v>0</v>
      </c>
      <c r="O15" s="134">
        <v>0</v>
      </c>
      <c r="P15" s="134">
        <v>0.37</v>
      </c>
      <c r="Q15" s="134">
        <v>3.51</v>
      </c>
    </row>
    <row r="16" spans="1:21" customFormat="1">
      <c r="A16" s="112" t="s">
        <v>630</v>
      </c>
      <c r="B16" s="134">
        <v>14.75</v>
      </c>
      <c r="C16" s="134">
        <v>21.27</v>
      </c>
      <c r="D16" s="134">
        <v>21.9</v>
      </c>
      <c r="E16" s="134">
        <v>8.18</v>
      </c>
      <c r="F16" s="134">
        <v>1.77</v>
      </c>
      <c r="G16" s="134">
        <v>6.14</v>
      </c>
      <c r="H16" s="134">
        <v>5.77</v>
      </c>
      <c r="I16" s="134">
        <v>3.34</v>
      </c>
      <c r="J16" s="134">
        <v>0.72</v>
      </c>
      <c r="K16" s="134">
        <v>262.05</v>
      </c>
      <c r="L16" s="134">
        <v>25.15</v>
      </c>
      <c r="M16" s="134">
        <v>92.93</v>
      </c>
      <c r="N16" s="134">
        <v>0</v>
      </c>
      <c r="O16" s="134">
        <v>0</v>
      </c>
      <c r="P16" s="134">
        <v>0.39</v>
      </c>
      <c r="Q16" s="134">
        <v>3.59</v>
      </c>
    </row>
    <row r="17" spans="1:17" customFormat="1">
      <c r="A17" s="112" t="s">
        <v>631</v>
      </c>
      <c r="B17" s="134">
        <v>14.97</v>
      </c>
      <c r="C17" s="134">
        <v>19.41</v>
      </c>
      <c r="D17" s="134">
        <v>21.1</v>
      </c>
      <c r="E17" s="134">
        <v>6.42</v>
      </c>
      <c r="F17" s="134">
        <v>2.9</v>
      </c>
      <c r="G17" s="134">
        <v>6.14</v>
      </c>
      <c r="H17" s="134">
        <v>5.77</v>
      </c>
      <c r="I17" s="134">
        <v>3.32</v>
      </c>
      <c r="J17" s="134">
        <v>0.8</v>
      </c>
      <c r="K17" s="134">
        <v>261.8</v>
      </c>
      <c r="L17" s="134">
        <v>25.15</v>
      </c>
      <c r="M17" s="134">
        <v>92.51</v>
      </c>
      <c r="N17" s="134">
        <v>0</v>
      </c>
      <c r="O17" s="134">
        <v>0</v>
      </c>
      <c r="P17" s="134">
        <v>0.36</v>
      </c>
      <c r="Q17" s="134">
        <v>3.56</v>
      </c>
    </row>
    <row r="18" spans="1:17" customFormat="1">
      <c r="A18" s="112" t="s">
        <v>632</v>
      </c>
      <c r="B18" s="134">
        <v>14.96</v>
      </c>
      <c r="C18" s="134">
        <v>18.649999999999999</v>
      </c>
      <c r="D18" s="134">
        <v>20.7</v>
      </c>
      <c r="E18" s="134">
        <v>7.15</v>
      </c>
      <c r="F18" s="134">
        <v>3.02</v>
      </c>
      <c r="G18" s="134">
        <v>6.14</v>
      </c>
      <c r="H18" s="134">
        <v>5.77</v>
      </c>
      <c r="I18" s="134">
        <v>3.36</v>
      </c>
      <c r="J18" s="134">
        <v>0.8</v>
      </c>
      <c r="K18" s="134">
        <v>264.42</v>
      </c>
      <c r="L18" s="134">
        <v>25.11</v>
      </c>
      <c r="M18" s="134">
        <v>92.67</v>
      </c>
      <c r="N18" s="134">
        <v>0</v>
      </c>
      <c r="O18" s="134">
        <v>0</v>
      </c>
      <c r="P18" s="134">
        <v>0.35</v>
      </c>
      <c r="Q18" s="134">
        <v>3.5</v>
      </c>
    </row>
    <row r="19" spans="1:17" customFormat="1">
      <c r="A19" s="112" t="s">
        <v>633</v>
      </c>
      <c r="B19" s="134">
        <v>14.96</v>
      </c>
      <c r="C19" s="134">
        <v>20.67</v>
      </c>
      <c r="D19" s="134">
        <v>21.75</v>
      </c>
      <c r="E19" s="134">
        <v>7.05</v>
      </c>
      <c r="F19" s="134">
        <v>1.89</v>
      </c>
      <c r="G19" s="134">
        <v>6.3</v>
      </c>
      <c r="H19" s="134">
        <v>5.7</v>
      </c>
      <c r="I19" s="134">
        <v>3.25</v>
      </c>
      <c r="J19" s="134">
        <v>0.64</v>
      </c>
      <c r="K19" s="134">
        <v>263.79000000000002</v>
      </c>
      <c r="L19" s="134">
        <v>25.08</v>
      </c>
      <c r="M19" s="134">
        <v>92.61</v>
      </c>
      <c r="N19" s="134">
        <v>0</v>
      </c>
      <c r="O19" s="134">
        <v>0</v>
      </c>
      <c r="P19" s="134">
        <v>0.38</v>
      </c>
      <c r="Q19" s="134">
        <v>3.54</v>
      </c>
    </row>
    <row r="20" spans="1:17" customFormat="1">
      <c r="A20" s="112" t="s">
        <v>634</v>
      </c>
      <c r="B20" s="134">
        <v>14.89</v>
      </c>
      <c r="C20" s="134">
        <v>18.809999999999999</v>
      </c>
      <c r="D20" s="134">
        <v>20.72</v>
      </c>
      <c r="E20" s="134">
        <v>7.01</v>
      </c>
      <c r="F20" s="134">
        <v>3.08</v>
      </c>
      <c r="G20" s="134">
        <v>9.68</v>
      </c>
      <c r="H20" s="134">
        <v>4.2699999999999996</v>
      </c>
      <c r="I20" s="134">
        <v>3.23</v>
      </c>
      <c r="J20" s="134">
        <v>0.68</v>
      </c>
      <c r="K20" s="134">
        <v>261.33999999999997</v>
      </c>
      <c r="L20" s="134">
        <v>25.07</v>
      </c>
      <c r="M20" s="134">
        <v>92.28</v>
      </c>
      <c r="N20" s="134">
        <v>0</v>
      </c>
      <c r="O20" s="134">
        <v>0</v>
      </c>
      <c r="P20" s="134">
        <v>0.35</v>
      </c>
      <c r="Q20" s="134">
        <v>3.54</v>
      </c>
    </row>
    <row r="21" spans="1:17" customFormat="1">
      <c r="A21" s="112" t="s">
        <v>635</v>
      </c>
      <c r="B21" s="134">
        <v>14.89</v>
      </c>
      <c r="C21" s="134">
        <v>19.489999999999998</v>
      </c>
      <c r="D21" s="134">
        <v>21.08</v>
      </c>
      <c r="E21" s="134">
        <v>6.99</v>
      </c>
      <c r="F21" s="134">
        <v>2.41</v>
      </c>
      <c r="G21" s="134">
        <v>9.68</v>
      </c>
      <c r="H21" s="134">
        <v>4.2699999999999996</v>
      </c>
      <c r="I21" s="134">
        <v>3.25</v>
      </c>
      <c r="J21" s="134">
        <v>0.6</v>
      </c>
      <c r="K21" s="134">
        <v>262.87</v>
      </c>
      <c r="L21" s="134">
        <v>25.04</v>
      </c>
      <c r="M21" s="134">
        <v>92.2</v>
      </c>
      <c r="N21" s="134">
        <v>0</v>
      </c>
      <c r="O21" s="134">
        <v>0</v>
      </c>
      <c r="P21" s="134">
        <v>0.36</v>
      </c>
      <c r="Q21" s="134">
        <v>3.5</v>
      </c>
    </row>
    <row r="22" spans="1:17" customFormat="1">
      <c r="A22" s="112" t="s">
        <v>636</v>
      </c>
      <c r="B22" s="134">
        <v>15.1</v>
      </c>
      <c r="C22" s="134">
        <v>20.87</v>
      </c>
      <c r="D22" s="134">
        <v>21.96</v>
      </c>
      <c r="E22" s="134">
        <v>7.37</v>
      </c>
      <c r="F22" s="134">
        <v>1.87</v>
      </c>
      <c r="G22" s="134">
        <v>9.68</v>
      </c>
      <c r="H22" s="134">
        <v>4.2699999999999996</v>
      </c>
      <c r="I22" s="134">
        <v>3.15</v>
      </c>
      <c r="J22" s="134">
        <v>0.6</v>
      </c>
      <c r="K22" s="134">
        <v>262.61</v>
      </c>
      <c r="L22" s="134">
        <v>24.95</v>
      </c>
      <c r="M22" s="134">
        <v>92.53</v>
      </c>
      <c r="N22" s="134">
        <v>0</v>
      </c>
      <c r="O22" s="134">
        <v>0</v>
      </c>
      <c r="P22" s="134">
        <v>0.36</v>
      </c>
      <c r="Q22" s="134">
        <v>3.57</v>
      </c>
    </row>
    <row r="23" spans="1:17" customFormat="1">
      <c r="A23" s="112" t="s">
        <v>637</v>
      </c>
      <c r="B23" s="134">
        <v>15.41</v>
      </c>
      <c r="C23" s="134">
        <v>18.809999999999999</v>
      </c>
      <c r="D23" s="134">
        <v>21.14</v>
      </c>
      <c r="E23" s="134">
        <v>7.06</v>
      </c>
      <c r="F23" s="134">
        <v>2.65</v>
      </c>
      <c r="G23" s="134">
        <v>9.6</v>
      </c>
      <c r="H23" s="134">
        <v>4.22</v>
      </c>
      <c r="I23" s="134">
        <v>3.19</v>
      </c>
      <c r="J23" s="134">
        <v>0.65</v>
      </c>
      <c r="K23" s="134">
        <v>262.55</v>
      </c>
      <c r="L23" s="134">
        <v>24.95</v>
      </c>
      <c r="M23" s="134">
        <v>92.15</v>
      </c>
      <c r="N23" s="134">
        <v>0</v>
      </c>
      <c r="O23" s="134">
        <v>0</v>
      </c>
      <c r="P23" s="134">
        <v>0.34</v>
      </c>
      <c r="Q23" s="134">
        <v>3.51</v>
      </c>
    </row>
    <row r="24" spans="1:17" customFormat="1">
      <c r="A24" s="112" t="s">
        <v>638</v>
      </c>
      <c r="B24" s="134">
        <v>15.52</v>
      </c>
      <c r="C24" s="134">
        <v>20.74</v>
      </c>
      <c r="D24" s="134">
        <v>22.24</v>
      </c>
      <c r="E24" s="134">
        <v>7.64</v>
      </c>
      <c r="F24" s="134">
        <v>1.83</v>
      </c>
      <c r="G24" s="134">
        <v>7.94</v>
      </c>
      <c r="H24" s="134">
        <v>3.17</v>
      </c>
      <c r="I24" s="134">
        <v>3.17</v>
      </c>
      <c r="J24" s="134">
        <v>0.66</v>
      </c>
      <c r="K24" s="134">
        <v>263.42</v>
      </c>
      <c r="L24" s="134">
        <v>24.9</v>
      </c>
      <c r="M24" s="134">
        <v>92.35</v>
      </c>
      <c r="N24" s="134">
        <v>0</v>
      </c>
      <c r="O24" s="134">
        <v>0</v>
      </c>
      <c r="P24" s="134">
        <v>0.37</v>
      </c>
      <c r="Q24" s="134">
        <v>3.55</v>
      </c>
    </row>
    <row r="25" spans="1:17" customFormat="1">
      <c r="A25" s="112" t="s">
        <v>639</v>
      </c>
      <c r="B25" s="134">
        <v>15.66</v>
      </c>
      <c r="C25" s="134">
        <v>19.72</v>
      </c>
      <c r="D25" s="134">
        <v>21.82</v>
      </c>
      <c r="E25" s="134">
        <v>7.4</v>
      </c>
      <c r="F25" s="134">
        <v>2.4</v>
      </c>
      <c r="G25" s="134">
        <v>7.94</v>
      </c>
      <c r="H25" s="134">
        <v>3.17</v>
      </c>
      <c r="I25" s="134">
        <v>3.07</v>
      </c>
      <c r="J25" s="134">
        <v>0.7</v>
      </c>
      <c r="K25" s="134">
        <v>261.98</v>
      </c>
      <c r="L25" s="134">
        <v>24.85</v>
      </c>
      <c r="M25" s="134">
        <v>92.29</v>
      </c>
      <c r="N25" s="134">
        <v>0</v>
      </c>
      <c r="O25" s="134">
        <v>0</v>
      </c>
      <c r="P25" s="134">
        <v>0.35</v>
      </c>
      <c r="Q25" s="134">
        <v>3.57</v>
      </c>
    </row>
    <row r="26" spans="1:17" customFormat="1">
      <c r="A26" s="112" t="s">
        <v>640</v>
      </c>
      <c r="B26" s="134">
        <v>15.58</v>
      </c>
      <c r="C26" s="134">
        <v>18.850000000000001</v>
      </c>
      <c r="D26" s="134">
        <v>21.3</v>
      </c>
      <c r="E26" s="134">
        <v>7.69</v>
      </c>
      <c r="F26" s="134">
        <v>2.8</v>
      </c>
      <c r="G26" s="134">
        <v>7.94</v>
      </c>
      <c r="H26" s="134">
        <v>3.17</v>
      </c>
      <c r="I26" s="134">
        <v>3.14</v>
      </c>
      <c r="J26" s="134">
        <v>0.51</v>
      </c>
      <c r="K26" s="134">
        <v>259.32</v>
      </c>
      <c r="L26" s="134">
        <v>24.78</v>
      </c>
      <c r="M26" s="134">
        <v>92.63</v>
      </c>
      <c r="N26" s="134">
        <v>0</v>
      </c>
      <c r="O26" s="134">
        <v>0</v>
      </c>
      <c r="P26" s="134">
        <v>0.33</v>
      </c>
      <c r="Q26" s="134">
        <v>3.52</v>
      </c>
    </row>
    <row r="27" spans="1:17" customFormat="1">
      <c r="A27" s="112" t="s">
        <v>641</v>
      </c>
      <c r="B27" s="134">
        <v>15.54</v>
      </c>
      <c r="C27" s="134">
        <v>20.95</v>
      </c>
      <c r="D27" s="134">
        <v>22.37</v>
      </c>
      <c r="E27" s="134">
        <v>7.49</v>
      </c>
      <c r="F27" s="134">
        <v>1.91</v>
      </c>
      <c r="G27" s="134">
        <v>7.83</v>
      </c>
      <c r="H27" s="134">
        <v>3.15</v>
      </c>
      <c r="I27" s="134">
        <v>3.06</v>
      </c>
      <c r="J27" s="134">
        <v>0.76</v>
      </c>
      <c r="K27" s="134">
        <v>262.76</v>
      </c>
      <c r="L27" s="134">
        <v>24.82</v>
      </c>
      <c r="M27" s="134">
        <v>91.92</v>
      </c>
      <c r="N27" s="134">
        <v>0</v>
      </c>
      <c r="O27" s="134">
        <v>0</v>
      </c>
      <c r="P27" s="134">
        <v>0.35</v>
      </c>
      <c r="Q27" s="134">
        <v>3.57</v>
      </c>
    </row>
    <row r="28" spans="1:17" customFormat="1">
      <c r="A28" s="112" t="s">
        <v>642</v>
      </c>
      <c r="B28" s="134">
        <v>15.72</v>
      </c>
      <c r="C28" s="134">
        <v>19.61</v>
      </c>
      <c r="D28" s="134">
        <v>21.81</v>
      </c>
      <c r="E28" s="134">
        <v>7.6</v>
      </c>
      <c r="F28" s="134">
        <v>2.73</v>
      </c>
      <c r="G28" s="134">
        <v>5.6</v>
      </c>
      <c r="H28" s="134">
        <v>2.63</v>
      </c>
      <c r="I28" s="134">
        <v>3.01</v>
      </c>
      <c r="J28" s="134">
        <v>0.76</v>
      </c>
      <c r="K28" s="134">
        <v>261.89</v>
      </c>
      <c r="L28" s="134">
        <v>24.8</v>
      </c>
      <c r="M28" s="134">
        <v>91.7</v>
      </c>
      <c r="N28" s="134">
        <v>0</v>
      </c>
      <c r="O28" s="134">
        <v>0</v>
      </c>
      <c r="P28" s="134">
        <v>0.34</v>
      </c>
      <c r="Q28" s="134">
        <v>3.54</v>
      </c>
    </row>
    <row r="29" spans="1:17" customFormat="1">
      <c r="A29" s="112" t="s">
        <v>643</v>
      </c>
      <c r="B29" s="134">
        <v>15.09</v>
      </c>
      <c r="C29" s="134">
        <v>20.02</v>
      </c>
      <c r="D29" s="134">
        <v>21.51</v>
      </c>
      <c r="E29" s="134">
        <v>7.25</v>
      </c>
      <c r="F29" s="134">
        <v>2.71</v>
      </c>
      <c r="G29" s="134">
        <v>5.6</v>
      </c>
      <c r="H29" s="134">
        <v>2.63</v>
      </c>
      <c r="I29" s="134">
        <v>3.07</v>
      </c>
      <c r="J29" s="134">
        <v>0.89</v>
      </c>
      <c r="K29" s="134">
        <v>263.36</v>
      </c>
      <c r="L29" s="134">
        <v>24.81</v>
      </c>
      <c r="M29" s="134">
        <v>91.35</v>
      </c>
      <c r="N29" s="134">
        <v>0</v>
      </c>
      <c r="O29" s="134">
        <v>0</v>
      </c>
      <c r="P29" s="134">
        <v>0.36</v>
      </c>
      <c r="Q29" s="134">
        <v>3.5</v>
      </c>
    </row>
    <row r="30" spans="1:17" customFormat="1">
      <c r="A30" s="112" t="s">
        <v>644</v>
      </c>
      <c r="B30" s="134">
        <v>14.67</v>
      </c>
      <c r="C30" s="134">
        <v>20.45</v>
      </c>
      <c r="D30" s="134">
        <v>21.4</v>
      </c>
      <c r="E30" s="134">
        <v>7.01</v>
      </c>
      <c r="F30" s="134">
        <v>2.85</v>
      </c>
      <c r="G30" s="134">
        <v>5.6</v>
      </c>
      <c r="H30" s="134">
        <v>2.63</v>
      </c>
      <c r="I30" s="134">
        <v>2.97</v>
      </c>
      <c r="J30" s="134">
        <v>0.77</v>
      </c>
      <c r="K30" s="134">
        <v>265.98</v>
      </c>
      <c r="L30" s="134">
        <v>24.83</v>
      </c>
      <c r="M30" s="134">
        <v>90.87</v>
      </c>
      <c r="N30" s="134">
        <v>0</v>
      </c>
      <c r="O30" s="134">
        <v>0</v>
      </c>
      <c r="P30" s="134">
        <v>0.37</v>
      </c>
      <c r="Q30" s="134">
        <v>3.54</v>
      </c>
    </row>
    <row r="31" spans="1:17" customFormat="1">
      <c r="A31" s="112" t="s">
        <v>645</v>
      </c>
      <c r="B31" s="134">
        <v>14.54</v>
      </c>
      <c r="C31" s="134">
        <v>18.34</v>
      </c>
      <c r="D31" s="134">
        <v>20.2</v>
      </c>
      <c r="E31" s="134">
        <v>6.44</v>
      </c>
      <c r="F31" s="134">
        <v>3.35</v>
      </c>
      <c r="G31" s="134">
        <v>5.74</v>
      </c>
      <c r="H31" s="134">
        <v>2.69</v>
      </c>
      <c r="I31" s="134">
        <v>2.95</v>
      </c>
      <c r="J31" s="134">
        <v>0.61</v>
      </c>
      <c r="K31" s="134">
        <v>265.14999999999998</v>
      </c>
      <c r="L31" s="134">
        <v>24.84</v>
      </c>
      <c r="M31" s="134">
        <v>90.55</v>
      </c>
      <c r="N31" s="134">
        <v>0</v>
      </c>
      <c r="O31" s="134">
        <v>0</v>
      </c>
      <c r="P31" s="134">
        <v>0.31</v>
      </c>
      <c r="Q31" s="134">
        <v>3.48</v>
      </c>
    </row>
    <row r="32" spans="1:17" customFormat="1">
      <c r="A32" s="112" t="s">
        <v>646</v>
      </c>
      <c r="B32" s="134">
        <v>14.22</v>
      </c>
      <c r="C32" s="134">
        <v>18.54</v>
      </c>
      <c r="D32" s="134">
        <v>20.04</v>
      </c>
      <c r="E32" s="134">
        <v>6.39</v>
      </c>
      <c r="F32" s="134">
        <v>2.82</v>
      </c>
      <c r="G32" s="134">
        <v>8.68</v>
      </c>
      <c r="H32" s="134">
        <v>4.0199999999999996</v>
      </c>
      <c r="I32" s="134">
        <v>2.83</v>
      </c>
      <c r="J32" s="134">
        <v>0.76</v>
      </c>
      <c r="K32" s="134">
        <v>264.63</v>
      </c>
      <c r="L32" s="134">
        <v>24.85</v>
      </c>
      <c r="M32" s="134">
        <v>90.4</v>
      </c>
      <c r="N32" s="134">
        <v>2.2999999999999998</v>
      </c>
      <c r="O32" s="134">
        <v>0</v>
      </c>
      <c r="P32" s="134">
        <v>0.31</v>
      </c>
      <c r="Q32" s="134">
        <v>3.47</v>
      </c>
    </row>
    <row r="33" spans="1:17" customFormat="1">
      <c r="A33" s="112" t="s">
        <v>647</v>
      </c>
      <c r="B33" s="134">
        <v>14.48</v>
      </c>
      <c r="C33" s="134">
        <v>20.83</v>
      </c>
      <c r="D33" s="134">
        <v>21.45</v>
      </c>
      <c r="E33" s="134">
        <v>7.11</v>
      </c>
      <c r="F33" s="134">
        <v>1.8</v>
      </c>
      <c r="G33" s="134">
        <v>8.68</v>
      </c>
      <c r="H33" s="134">
        <v>4.0199999999999996</v>
      </c>
      <c r="I33" s="134">
        <v>2.7</v>
      </c>
      <c r="J33" s="134">
        <v>0.62</v>
      </c>
      <c r="K33" s="134">
        <v>267.97000000000003</v>
      </c>
      <c r="L33" s="134">
        <v>24.97</v>
      </c>
      <c r="M33" s="134">
        <v>89.6</v>
      </c>
      <c r="N33" s="134">
        <v>9.8000000000000007</v>
      </c>
      <c r="O33" s="134">
        <v>0</v>
      </c>
      <c r="P33" s="134">
        <v>0.32</v>
      </c>
      <c r="Q33" s="134">
        <v>3.54</v>
      </c>
    </row>
    <row r="34" spans="1:17" customFormat="1">
      <c r="A34" s="112" t="s">
        <v>648</v>
      </c>
      <c r="B34" s="134">
        <v>14.81</v>
      </c>
      <c r="C34" s="134">
        <v>19.239999999999998</v>
      </c>
      <c r="D34" s="134">
        <v>20.88</v>
      </c>
      <c r="E34" s="134">
        <v>6.99</v>
      </c>
      <c r="F34" s="134">
        <v>2.71</v>
      </c>
      <c r="G34" s="134">
        <v>8.68</v>
      </c>
      <c r="H34" s="134">
        <v>4.0199999999999996</v>
      </c>
      <c r="I34" s="134">
        <v>2.71</v>
      </c>
      <c r="J34" s="134">
        <v>0.64</v>
      </c>
      <c r="K34" s="134">
        <v>260.14999999999998</v>
      </c>
      <c r="L34" s="134">
        <v>25</v>
      </c>
      <c r="M34" s="134">
        <v>89.78</v>
      </c>
      <c r="N34" s="134">
        <v>21</v>
      </c>
      <c r="O34" s="134">
        <v>0</v>
      </c>
      <c r="P34" s="134">
        <v>0.3</v>
      </c>
      <c r="Q34" s="134">
        <v>3.51</v>
      </c>
    </row>
    <row r="35" spans="1:17" customFormat="1">
      <c r="A35" s="112" t="s">
        <v>649</v>
      </c>
      <c r="B35" s="134">
        <v>14.81</v>
      </c>
      <c r="C35" s="134">
        <v>19.510000000000002</v>
      </c>
      <c r="D35" s="134">
        <v>21.02</v>
      </c>
      <c r="E35" s="134">
        <v>6.92</v>
      </c>
      <c r="F35" s="134">
        <v>2.37</v>
      </c>
      <c r="G35" s="134">
        <v>8.65</v>
      </c>
      <c r="H35" s="134">
        <v>3.95</v>
      </c>
      <c r="I35" s="134">
        <v>2.8</v>
      </c>
      <c r="J35" s="134">
        <v>0.49</v>
      </c>
      <c r="K35" s="134">
        <v>260.67</v>
      </c>
      <c r="L35" s="134">
        <v>25.03</v>
      </c>
      <c r="M35" s="134">
        <v>90.14</v>
      </c>
      <c r="N35" s="134">
        <v>37.4</v>
      </c>
      <c r="O35" s="134">
        <v>0</v>
      </c>
      <c r="P35" s="134">
        <v>0.31</v>
      </c>
      <c r="Q35" s="134">
        <v>3.49</v>
      </c>
    </row>
    <row r="36" spans="1:17" customFormat="1">
      <c r="A36" s="112" t="s">
        <v>650</v>
      </c>
      <c r="B36" s="134">
        <v>14.98</v>
      </c>
      <c r="C36" s="134">
        <v>21.54</v>
      </c>
      <c r="D36" s="134">
        <v>22.22</v>
      </c>
      <c r="E36" s="134">
        <v>7.39</v>
      </c>
      <c r="F36" s="134">
        <v>1.59</v>
      </c>
      <c r="G36" s="134">
        <v>7.96</v>
      </c>
      <c r="H36" s="134">
        <v>2.89</v>
      </c>
      <c r="I36" s="134">
        <v>2.75</v>
      </c>
      <c r="J36" s="134">
        <v>0.56000000000000005</v>
      </c>
      <c r="K36" s="134">
        <v>262.33999999999997</v>
      </c>
      <c r="L36" s="134">
        <v>25.14</v>
      </c>
      <c r="M36" s="134">
        <v>90.25</v>
      </c>
      <c r="N36" s="134">
        <v>63.4</v>
      </c>
      <c r="O36" s="134">
        <v>0</v>
      </c>
      <c r="P36" s="134">
        <v>0.32</v>
      </c>
      <c r="Q36" s="134">
        <v>3.59</v>
      </c>
    </row>
    <row r="37" spans="1:17" customFormat="1">
      <c r="A37" s="112" t="s">
        <v>651</v>
      </c>
      <c r="B37" s="134">
        <v>15.26</v>
      </c>
      <c r="C37" s="134">
        <v>19.45</v>
      </c>
      <c r="D37" s="134">
        <v>21.35</v>
      </c>
      <c r="E37" s="134">
        <v>7.31</v>
      </c>
      <c r="F37" s="134">
        <v>2.6</v>
      </c>
      <c r="G37" s="134">
        <v>7.96</v>
      </c>
      <c r="H37" s="134">
        <v>2.89</v>
      </c>
      <c r="I37" s="134">
        <v>2.77</v>
      </c>
      <c r="J37" s="134">
        <v>0.74</v>
      </c>
      <c r="K37" s="134">
        <v>261.14</v>
      </c>
      <c r="L37" s="134">
        <v>25.3</v>
      </c>
      <c r="M37" s="134">
        <v>89.54</v>
      </c>
      <c r="N37" s="134">
        <v>79.400000000000006</v>
      </c>
      <c r="O37" s="134">
        <v>0</v>
      </c>
      <c r="P37" s="134">
        <v>0.3</v>
      </c>
      <c r="Q37" s="134">
        <v>3.55</v>
      </c>
    </row>
    <row r="38" spans="1:17" customFormat="1">
      <c r="A38" s="112" t="s">
        <v>652</v>
      </c>
      <c r="B38" s="134">
        <v>15.23</v>
      </c>
      <c r="C38" s="134">
        <v>19.420000000000002</v>
      </c>
      <c r="D38" s="134">
        <v>21.32</v>
      </c>
      <c r="E38" s="134">
        <v>6.9</v>
      </c>
      <c r="F38" s="134">
        <v>2.34</v>
      </c>
      <c r="G38" s="134">
        <v>7.96</v>
      </c>
      <c r="H38" s="134">
        <v>2.89</v>
      </c>
      <c r="I38" s="134">
        <v>2.82</v>
      </c>
      <c r="J38" s="134">
        <v>0.92</v>
      </c>
      <c r="K38" s="134">
        <v>264.42</v>
      </c>
      <c r="L38" s="134">
        <v>25.4</v>
      </c>
      <c r="M38" s="134">
        <v>89.07</v>
      </c>
      <c r="N38" s="134">
        <v>91.3</v>
      </c>
      <c r="O38" s="134">
        <v>0</v>
      </c>
      <c r="P38" s="134">
        <v>0.31</v>
      </c>
      <c r="Q38" s="134">
        <v>3.53</v>
      </c>
    </row>
    <row r="39" spans="1:17" customFormat="1">
      <c r="A39" s="112" t="s">
        <v>653</v>
      </c>
      <c r="B39" s="134">
        <v>15.15</v>
      </c>
      <c r="C39" s="134">
        <v>20.59</v>
      </c>
      <c r="D39" s="134">
        <v>21.86</v>
      </c>
      <c r="E39" s="134">
        <v>7.43</v>
      </c>
      <c r="F39" s="134">
        <v>1.96</v>
      </c>
      <c r="G39" s="134">
        <v>8.14</v>
      </c>
      <c r="H39" s="134">
        <v>2.9</v>
      </c>
      <c r="I39" s="134">
        <v>2.79</v>
      </c>
      <c r="J39" s="134">
        <v>0.99</v>
      </c>
      <c r="K39" s="134">
        <v>263.26</v>
      </c>
      <c r="L39" s="134">
        <v>25.55</v>
      </c>
      <c r="M39" s="134">
        <v>88.64</v>
      </c>
      <c r="N39" s="134">
        <v>125.3</v>
      </c>
      <c r="O39" s="134">
        <v>0</v>
      </c>
      <c r="P39" s="134">
        <v>0.32</v>
      </c>
      <c r="Q39" s="134">
        <v>3.58</v>
      </c>
    </row>
    <row r="40" spans="1:17" customFormat="1">
      <c r="A40" s="112" t="s">
        <v>654</v>
      </c>
      <c r="B40" s="134">
        <v>15.09</v>
      </c>
      <c r="C40" s="134">
        <v>19.07</v>
      </c>
      <c r="D40" s="134">
        <v>21.02</v>
      </c>
      <c r="E40" s="134">
        <v>7.38</v>
      </c>
      <c r="F40" s="134">
        <v>2.82</v>
      </c>
      <c r="G40" s="134">
        <v>11.98</v>
      </c>
      <c r="H40" s="134">
        <v>3.06</v>
      </c>
      <c r="I40" s="134">
        <v>2.77</v>
      </c>
      <c r="J40" s="134">
        <v>1.1599999999999999</v>
      </c>
      <c r="K40" s="134">
        <v>265.47000000000003</v>
      </c>
      <c r="L40" s="134">
        <v>25.74</v>
      </c>
      <c r="M40" s="134">
        <v>87.23</v>
      </c>
      <c r="N40" s="134">
        <v>157.5</v>
      </c>
      <c r="O40" s="134">
        <v>0</v>
      </c>
      <c r="P40" s="134">
        <v>0.3</v>
      </c>
      <c r="Q40" s="134">
        <v>3.54</v>
      </c>
    </row>
    <row r="41" spans="1:17" customFormat="1">
      <c r="A41" s="112" t="s">
        <v>655</v>
      </c>
      <c r="B41" s="134">
        <v>14.93</v>
      </c>
      <c r="C41" s="134">
        <v>20.6</v>
      </c>
      <c r="D41" s="134">
        <v>21.69</v>
      </c>
      <c r="E41" s="134">
        <v>7.69</v>
      </c>
      <c r="F41" s="134">
        <v>1.96</v>
      </c>
      <c r="G41" s="134">
        <v>11.98</v>
      </c>
      <c r="H41" s="134">
        <v>3.06</v>
      </c>
      <c r="I41" s="134">
        <v>2.79</v>
      </c>
      <c r="J41" s="134">
        <v>1.02</v>
      </c>
      <c r="K41" s="134">
        <v>266.70999999999998</v>
      </c>
      <c r="L41" s="134">
        <v>26.03</v>
      </c>
      <c r="M41" s="134">
        <v>86.34</v>
      </c>
      <c r="N41" s="134">
        <v>195.6</v>
      </c>
      <c r="O41" s="134">
        <v>0</v>
      </c>
      <c r="P41" s="134">
        <v>0.32</v>
      </c>
      <c r="Q41" s="134">
        <v>3.53</v>
      </c>
    </row>
    <row r="42" spans="1:17" customFormat="1">
      <c r="A42" s="112" t="s">
        <v>656</v>
      </c>
      <c r="B42" s="134">
        <v>14.89</v>
      </c>
      <c r="C42" s="134">
        <v>20.02</v>
      </c>
      <c r="D42" s="134">
        <v>21.36</v>
      </c>
      <c r="E42" s="134">
        <v>7.88</v>
      </c>
      <c r="F42" s="134">
        <v>2.4900000000000002</v>
      </c>
      <c r="G42" s="134">
        <v>11.98</v>
      </c>
      <c r="H42" s="134">
        <v>3.06</v>
      </c>
      <c r="I42" s="134">
        <v>2.72</v>
      </c>
      <c r="J42" s="134">
        <v>1</v>
      </c>
      <c r="K42" s="134">
        <v>267.79000000000002</v>
      </c>
      <c r="L42" s="134">
        <v>26.61</v>
      </c>
      <c r="M42" s="134">
        <v>84.4</v>
      </c>
      <c r="N42" s="134">
        <v>257.60000000000002</v>
      </c>
      <c r="O42" s="134">
        <v>0</v>
      </c>
      <c r="P42" s="134">
        <v>0.31</v>
      </c>
      <c r="Q42" s="134">
        <v>3.54</v>
      </c>
    </row>
    <row r="43" spans="1:17" customFormat="1">
      <c r="A43" s="112" t="s">
        <v>657</v>
      </c>
      <c r="B43" s="134">
        <v>14.67</v>
      </c>
      <c r="C43" s="134">
        <v>18.41</v>
      </c>
      <c r="D43" s="134">
        <v>20.34</v>
      </c>
      <c r="E43" s="134">
        <v>7.88</v>
      </c>
      <c r="F43" s="134">
        <v>3.16</v>
      </c>
      <c r="G43" s="134">
        <v>11.89</v>
      </c>
      <c r="H43" s="134">
        <v>3.03</v>
      </c>
      <c r="I43" s="134">
        <v>2.79</v>
      </c>
      <c r="J43" s="134">
        <v>1.04</v>
      </c>
      <c r="K43" s="134">
        <v>282.82</v>
      </c>
      <c r="L43" s="134">
        <v>27.47</v>
      </c>
      <c r="M43" s="134">
        <v>81.510000000000005</v>
      </c>
      <c r="N43" s="134">
        <v>293.7</v>
      </c>
      <c r="O43" s="134">
        <v>0</v>
      </c>
      <c r="P43" s="134">
        <v>0.28999999999999998</v>
      </c>
      <c r="Q43" s="134">
        <v>3.48</v>
      </c>
    </row>
    <row r="44" spans="1:17" customFormat="1">
      <c r="A44" s="112" t="s">
        <v>658</v>
      </c>
      <c r="B44" s="134">
        <v>14.61</v>
      </c>
      <c r="C44" s="134">
        <v>19.3</v>
      </c>
      <c r="D44" s="134">
        <v>20.76</v>
      </c>
      <c r="E44" s="134">
        <v>7.52</v>
      </c>
      <c r="F44" s="134">
        <v>2.54</v>
      </c>
      <c r="G44" s="134">
        <v>10.36</v>
      </c>
      <c r="H44" s="134">
        <v>2.5299999999999998</v>
      </c>
      <c r="I44" s="134">
        <v>2.72</v>
      </c>
      <c r="J44" s="134">
        <v>0.99</v>
      </c>
      <c r="K44" s="134">
        <v>262.39</v>
      </c>
      <c r="L44" s="134">
        <v>27.58</v>
      </c>
      <c r="M44" s="134">
        <v>80.959999999999994</v>
      </c>
      <c r="N44" s="134">
        <v>286.5</v>
      </c>
      <c r="O44" s="134">
        <v>0</v>
      </c>
      <c r="P44" s="134">
        <v>0.31</v>
      </c>
      <c r="Q44" s="134">
        <v>3.47</v>
      </c>
    </row>
    <row r="45" spans="1:17" customFormat="1">
      <c r="A45" s="112" t="s">
        <v>659</v>
      </c>
      <c r="B45" s="134">
        <v>14.63</v>
      </c>
      <c r="C45" s="134">
        <v>20.54</v>
      </c>
      <c r="D45" s="134">
        <v>21.42</v>
      </c>
      <c r="E45" s="134">
        <v>8.0299999999999994</v>
      </c>
      <c r="F45" s="134">
        <v>2.0699999999999998</v>
      </c>
      <c r="G45" s="134">
        <v>10.36</v>
      </c>
      <c r="H45" s="134">
        <v>2.5299999999999998</v>
      </c>
      <c r="I45" s="134">
        <v>2.67</v>
      </c>
      <c r="J45" s="134">
        <v>1.03</v>
      </c>
      <c r="K45" s="134">
        <v>272.45999999999998</v>
      </c>
      <c r="L45" s="134">
        <v>27.37</v>
      </c>
      <c r="M45" s="134">
        <v>81.22</v>
      </c>
      <c r="N45" s="134">
        <v>278</v>
      </c>
      <c r="O45" s="134">
        <v>0</v>
      </c>
      <c r="P45" s="134">
        <v>0.33</v>
      </c>
      <c r="Q45" s="134">
        <v>3.53</v>
      </c>
    </row>
    <row r="46" spans="1:17" customFormat="1">
      <c r="A46" s="112" t="s">
        <v>660</v>
      </c>
      <c r="B46" s="134">
        <v>14.78</v>
      </c>
      <c r="C46" s="134">
        <v>19.079999999999998</v>
      </c>
      <c r="D46" s="134">
        <v>20.78</v>
      </c>
      <c r="E46" s="134">
        <v>8.08</v>
      </c>
      <c r="F46" s="134">
        <v>2.9</v>
      </c>
      <c r="G46" s="134">
        <v>10.36</v>
      </c>
      <c r="H46" s="134">
        <v>2.5299999999999998</v>
      </c>
      <c r="I46" s="134">
        <v>2.7</v>
      </c>
      <c r="J46" s="134">
        <v>0.95</v>
      </c>
      <c r="K46" s="134">
        <v>274.24</v>
      </c>
      <c r="L46" s="134">
        <v>27.52</v>
      </c>
      <c r="M46" s="134">
        <v>80.64</v>
      </c>
      <c r="N46" s="134">
        <v>258.89999999999998</v>
      </c>
      <c r="O46" s="134">
        <v>0</v>
      </c>
      <c r="P46" s="134">
        <v>0.32</v>
      </c>
      <c r="Q46" s="134">
        <v>3.51</v>
      </c>
    </row>
    <row r="47" spans="1:17" customFormat="1">
      <c r="A47" s="112" t="s">
        <v>661</v>
      </c>
      <c r="B47" s="134">
        <v>14.5</v>
      </c>
      <c r="C47" s="134">
        <v>18.63</v>
      </c>
      <c r="D47" s="134">
        <v>20.32</v>
      </c>
      <c r="E47" s="134">
        <v>8.5399999999999991</v>
      </c>
      <c r="F47" s="134">
        <v>3.27</v>
      </c>
      <c r="G47" s="134">
        <v>10.63</v>
      </c>
      <c r="H47" s="134">
        <v>2.61</v>
      </c>
      <c r="I47" s="134">
        <v>2.78</v>
      </c>
      <c r="J47" s="134">
        <v>0.83</v>
      </c>
      <c r="K47" s="134">
        <v>276.39999999999998</v>
      </c>
      <c r="L47" s="134">
        <v>27.56</v>
      </c>
      <c r="M47" s="134">
        <v>80.84</v>
      </c>
      <c r="N47" s="134">
        <v>225.5</v>
      </c>
      <c r="O47" s="134">
        <v>0</v>
      </c>
      <c r="P47" s="134">
        <v>0.33</v>
      </c>
      <c r="Q47" s="134">
        <v>3.48</v>
      </c>
    </row>
    <row r="48" spans="1:17" customFormat="1">
      <c r="A48" s="112" t="s">
        <v>662</v>
      </c>
      <c r="B48" s="134">
        <v>14.27</v>
      </c>
      <c r="C48" s="134">
        <v>19.2</v>
      </c>
      <c r="D48" s="134">
        <v>20.420000000000002</v>
      </c>
      <c r="E48" s="134">
        <v>7.94</v>
      </c>
      <c r="F48" s="134">
        <v>2.96</v>
      </c>
      <c r="G48" s="134">
        <v>16.37</v>
      </c>
      <c r="H48" s="134">
        <v>4.1399999999999997</v>
      </c>
      <c r="I48" s="134">
        <v>2.83</v>
      </c>
      <c r="J48" s="134">
        <v>0.91</v>
      </c>
      <c r="K48" s="134">
        <v>265.89</v>
      </c>
      <c r="L48" s="134">
        <v>27.81</v>
      </c>
      <c r="M48" s="134">
        <v>79.290000000000006</v>
      </c>
      <c r="N48" s="134">
        <v>268.10000000000002</v>
      </c>
      <c r="O48" s="134">
        <v>0</v>
      </c>
      <c r="P48" s="134">
        <v>0.33</v>
      </c>
      <c r="Q48" s="134">
        <v>3.47</v>
      </c>
    </row>
    <row r="49" spans="1:17" customFormat="1">
      <c r="A49" s="112" t="s">
        <v>663</v>
      </c>
      <c r="B49" s="134">
        <v>14.15</v>
      </c>
      <c r="C49" s="134">
        <v>21.82</v>
      </c>
      <c r="D49" s="134">
        <v>21.7</v>
      </c>
      <c r="E49" s="134">
        <v>8.2100000000000009</v>
      </c>
      <c r="F49" s="134">
        <v>1.83</v>
      </c>
      <c r="G49" s="134">
        <v>16.37</v>
      </c>
      <c r="H49" s="134">
        <v>4.1399999999999997</v>
      </c>
      <c r="I49" s="134">
        <v>2.97</v>
      </c>
      <c r="J49" s="134">
        <v>1</v>
      </c>
      <c r="K49" s="134">
        <v>272.29000000000002</v>
      </c>
      <c r="L49" s="134">
        <v>28.31</v>
      </c>
      <c r="M49" s="134">
        <v>77.37</v>
      </c>
      <c r="N49" s="134">
        <v>315.7</v>
      </c>
      <c r="O49" s="134">
        <v>0</v>
      </c>
      <c r="P49" s="134">
        <v>0.4</v>
      </c>
      <c r="Q49" s="134">
        <v>3.52</v>
      </c>
    </row>
    <row r="50" spans="1:17" customFormat="1">
      <c r="A50" s="112" t="s">
        <v>664</v>
      </c>
      <c r="B50" s="134">
        <v>13.64</v>
      </c>
      <c r="C50" s="134">
        <v>23.81</v>
      </c>
      <c r="D50" s="134">
        <v>22.33</v>
      </c>
      <c r="E50" s="134">
        <v>8.65</v>
      </c>
      <c r="F50" s="134">
        <v>2.08</v>
      </c>
      <c r="G50" s="134">
        <v>16.37</v>
      </c>
      <c r="H50" s="134">
        <v>4.1399999999999997</v>
      </c>
      <c r="I50" s="134">
        <v>3.07</v>
      </c>
      <c r="J50" s="134">
        <v>0.94</v>
      </c>
      <c r="K50" s="134">
        <v>269.73</v>
      </c>
      <c r="L50" s="134">
        <v>28.38</v>
      </c>
      <c r="M50" s="134">
        <v>77.28</v>
      </c>
      <c r="N50" s="134">
        <v>264.8</v>
      </c>
      <c r="O50" s="134">
        <v>0</v>
      </c>
      <c r="P50" s="134">
        <v>0.46</v>
      </c>
      <c r="Q50" s="134">
        <v>3.57</v>
      </c>
    </row>
    <row r="51" spans="1:17" customFormat="1">
      <c r="A51" s="112" t="s">
        <v>665</v>
      </c>
      <c r="B51" s="134">
        <v>13.35</v>
      </c>
      <c r="C51" s="134">
        <v>22.65</v>
      </c>
      <c r="D51" s="134">
        <v>21.5</v>
      </c>
      <c r="E51" s="134">
        <v>9.09</v>
      </c>
      <c r="F51" s="134">
        <v>3.31</v>
      </c>
      <c r="G51" s="134">
        <v>16.649999999999999</v>
      </c>
      <c r="H51" s="134">
        <v>4.1900000000000004</v>
      </c>
      <c r="I51" s="134">
        <v>3.31</v>
      </c>
      <c r="J51" s="134">
        <v>1.18</v>
      </c>
      <c r="K51" s="134">
        <v>269.70999999999998</v>
      </c>
      <c r="L51" s="134">
        <v>28.57</v>
      </c>
      <c r="M51" s="134">
        <v>75.17</v>
      </c>
      <c r="N51" s="134">
        <v>327.9</v>
      </c>
      <c r="O51" s="134">
        <v>0</v>
      </c>
      <c r="P51" s="134">
        <v>0.45</v>
      </c>
      <c r="Q51" s="134">
        <v>3.61</v>
      </c>
    </row>
    <row r="52" spans="1:17" customFormat="1">
      <c r="A52" s="112" t="s">
        <v>666</v>
      </c>
      <c r="B52" s="134">
        <v>13.12</v>
      </c>
      <c r="C52" s="134">
        <v>19.78</v>
      </c>
      <c r="D52" s="134">
        <v>19.809999999999999</v>
      </c>
      <c r="E52" s="134">
        <v>8.77</v>
      </c>
      <c r="F52" s="134">
        <v>4.4400000000000004</v>
      </c>
      <c r="G52" s="134">
        <v>22.67</v>
      </c>
      <c r="H52" s="134">
        <v>4.9800000000000004</v>
      </c>
      <c r="I52" s="134">
        <v>3.48</v>
      </c>
      <c r="J52" s="134">
        <v>0.95</v>
      </c>
      <c r="K52" s="134">
        <v>271.06</v>
      </c>
      <c r="L52" s="134">
        <v>28.82</v>
      </c>
      <c r="M52" s="134">
        <v>75.61</v>
      </c>
      <c r="N52" s="134">
        <v>353.2</v>
      </c>
      <c r="O52" s="134">
        <v>0</v>
      </c>
      <c r="P52" s="134">
        <v>0.43</v>
      </c>
      <c r="Q52" s="134">
        <v>3.49</v>
      </c>
    </row>
    <row r="53" spans="1:17" customFormat="1">
      <c r="A53" s="112" t="s">
        <v>667</v>
      </c>
      <c r="B53" s="134">
        <v>12.76</v>
      </c>
      <c r="C53" s="134">
        <v>19.78</v>
      </c>
      <c r="D53" s="134">
        <v>19.52</v>
      </c>
      <c r="E53" s="134">
        <v>9.43</v>
      </c>
      <c r="F53" s="134">
        <v>4.04</v>
      </c>
      <c r="G53" s="134">
        <v>22.67</v>
      </c>
      <c r="H53" s="134">
        <v>4.9800000000000004</v>
      </c>
      <c r="I53" s="134">
        <v>3.55</v>
      </c>
      <c r="J53" s="134">
        <v>1.08</v>
      </c>
      <c r="K53" s="134">
        <v>262.45</v>
      </c>
      <c r="L53" s="134">
        <v>29.16</v>
      </c>
      <c r="M53" s="134">
        <v>74.959999999999994</v>
      </c>
      <c r="N53" s="134">
        <v>434.6</v>
      </c>
      <c r="O53" s="134">
        <v>0</v>
      </c>
      <c r="P53" s="134">
        <v>0.41</v>
      </c>
      <c r="Q53" s="134">
        <v>3.43</v>
      </c>
    </row>
    <row r="54" spans="1:17" customFormat="1">
      <c r="A54" s="112" t="s">
        <v>668</v>
      </c>
      <c r="B54" s="134">
        <v>12.37</v>
      </c>
      <c r="C54" s="134">
        <v>20.53</v>
      </c>
      <c r="D54" s="134">
        <v>19.600000000000001</v>
      </c>
      <c r="E54" s="134">
        <v>8.84</v>
      </c>
      <c r="F54" s="134">
        <v>3.83</v>
      </c>
      <c r="G54" s="134">
        <v>22.67</v>
      </c>
      <c r="H54" s="134">
        <v>4.9800000000000004</v>
      </c>
      <c r="I54" s="134">
        <v>3.66</v>
      </c>
      <c r="J54" s="134">
        <v>1.2</v>
      </c>
      <c r="K54" s="134">
        <v>264.14</v>
      </c>
      <c r="L54" s="134">
        <v>29.28</v>
      </c>
      <c r="M54" s="134">
        <v>73.790000000000006</v>
      </c>
      <c r="N54" s="134">
        <v>354.5</v>
      </c>
      <c r="O54" s="134">
        <v>0</v>
      </c>
      <c r="P54" s="134">
        <v>0.41</v>
      </c>
      <c r="Q54" s="134">
        <v>3.42</v>
      </c>
    </row>
    <row r="55" spans="1:17" customFormat="1">
      <c r="A55" s="112" t="s">
        <v>669</v>
      </c>
      <c r="B55" s="134">
        <v>11.89</v>
      </c>
      <c r="C55" s="134">
        <v>20</v>
      </c>
      <c r="D55" s="134">
        <v>18.940000000000001</v>
      </c>
      <c r="E55" s="134">
        <v>8.73</v>
      </c>
      <c r="F55" s="134">
        <v>4.08</v>
      </c>
      <c r="G55" s="134">
        <v>22.9</v>
      </c>
      <c r="H55" s="134">
        <v>5.08</v>
      </c>
      <c r="I55" s="134">
        <v>3.65</v>
      </c>
      <c r="J55" s="134">
        <v>1.1499999999999999</v>
      </c>
      <c r="K55" s="134">
        <v>264.70999999999998</v>
      </c>
      <c r="L55" s="134">
        <v>29.07</v>
      </c>
      <c r="M55" s="134">
        <v>75.28</v>
      </c>
      <c r="N55" s="134">
        <v>457.4</v>
      </c>
      <c r="O55" s="134">
        <v>0</v>
      </c>
      <c r="P55" s="134">
        <v>0.41</v>
      </c>
      <c r="Q55" s="134">
        <v>3.39</v>
      </c>
    </row>
    <row r="56" spans="1:17" customFormat="1">
      <c r="A56" s="112" t="s">
        <v>670</v>
      </c>
      <c r="B56" s="134">
        <v>11.33</v>
      </c>
      <c r="C56" s="134">
        <v>19.66</v>
      </c>
      <c r="D56" s="134">
        <v>18.309999999999999</v>
      </c>
      <c r="E56" s="134">
        <v>8.57</v>
      </c>
      <c r="F56" s="134">
        <v>4.47</v>
      </c>
      <c r="G56" s="134">
        <v>27.85</v>
      </c>
      <c r="H56" s="134">
        <v>6.62</v>
      </c>
      <c r="I56" s="134">
        <v>3.68</v>
      </c>
      <c r="J56" s="134">
        <v>1.1499999999999999</v>
      </c>
      <c r="K56" s="134">
        <v>263.5</v>
      </c>
      <c r="L56" s="134">
        <v>29.29</v>
      </c>
      <c r="M56" s="134">
        <v>75.2</v>
      </c>
      <c r="N56" s="134">
        <v>400.6</v>
      </c>
      <c r="O56" s="134">
        <v>0</v>
      </c>
      <c r="P56" s="134">
        <v>0.41</v>
      </c>
      <c r="Q56" s="134">
        <v>3.4</v>
      </c>
    </row>
    <row r="57" spans="1:17" customFormat="1">
      <c r="A57" s="112" t="s">
        <v>671</v>
      </c>
      <c r="B57" s="134">
        <v>11.24</v>
      </c>
      <c r="C57" s="134">
        <v>22.06</v>
      </c>
      <c r="D57" s="134">
        <v>19.489999999999998</v>
      </c>
      <c r="E57" s="134">
        <v>8.6300000000000008</v>
      </c>
      <c r="F57" s="134">
        <v>2.79</v>
      </c>
      <c r="G57" s="134">
        <v>27.85</v>
      </c>
      <c r="H57" s="134">
        <v>6.62</v>
      </c>
      <c r="I57" s="134">
        <v>3.61</v>
      </c>
      <c r="J57" s="134">
        <v>1.0900000000000001</v>
      </c>
      <c r="K57" s="134">
        <v>266.95</v>
      </c>
      <c r="L57" s="134">
        <v>29.66</v>
      </c>
      <c r="M57" s="134">
        <v>74.47</v>
      </c>
      <c r="N57" s="134">
        <v>510</v>
      </c>
      <c r="O57" s="134">
        <v>0</v>
      </c>
      <c r="P57" s="134">
        <v>0.43</v>
      </c>
      <c r="Q57" s="134">
        <v>3.44</v>
      </c>
    </row>
    <row r="58" spans="1:17" customFormat="1">
      <c r="A58" s="112" t="s">
        <v>672</v>
      </c>
      <c r="B58" s="134">
        <v>11.18</v>
      </c>
      <c r="C58" s="134">
        <v>20.37</v>
      </c>
      <c r="D58" s="134">
        <v>18.559999999999999</v>
      </c>
      <c r="E58" s="134">
        <v>8.48</v>
      </c>
      <c r="F58" s="134">
        <v>3.88</v>
      </c>
      <c r="G58" s="134">
        <v>27.85</v>
      </c>
      <c r="H58" s="134">
        <v>6.62</v>
      </c>
      <c r="I58" s="134">
        <v>3.61</v>
      </c>
      <c r="J58" s="134">
        <v>1.46</v>
      </c>
      <c r="K58" s="134">
        <v>264.27999999999997</v>
      </c>
      <c r="L58" s="134">
        <v>29.76</v>
      </c>
      <c r="M58" s="134">
        <v>73.59</v>
      </c>
      <c r="N58" s="134">
        <v>694.1</v>
      </c>
      <c r="O58" s="134">
        <v>0</v>
      </c>
      <c r="P58" s="134">
        <v>0.42</v>
      </c>
      <c r="Q58" s="134">
        <v>3.37</v>
      </c>
    </row>
    <row r="59" spans="1:17" customFormat="1">
      <c r="A59" s="112" t="s">
        <v>673</v>
      </c>
      <c r="B59" s="134">
        <v>10.61</v>
      </c>
      <c r="C59" s="134">
        <v>19.57</v>
      </c>
      <c r="D59" s="134">
        <v>17.690000000000001</v>
      </c>
      <c r="E59" s="134">
        <v>8.16</v>
      </c>
      <c r="F59" s="134">
        <v>4.1399999999999997</v>
      </c>
      <c r="G59" s="134">
        <v>27.61</v>
      </c>
      <c r="H59" s="134">
        <v>6.63</v>
      </c>
      <c r="I59" s="134">
        <v>3.64</v>
      </c>
      <c r="J59" s="134">
        <v>1.51</v>
      </c>
      <c r="K59" s="134">
        <v>261</v>
      </c>
      <c r="L59" s="134">
        <v>30.25</v>
      </c>
      <c r="M59" s="134">
        <v>71.78</v>
      </c>
      <c r="N59" s="134">
        <v>786.6</v>
      </c>
      <c r="O59" s="134">
        <v>0</v>
      </c>
      <c r="P59" s="134">
        <v>0.41</v>
      </c>
      <c r="Q59" s="134">
        <v>3.3</v>
      </c>
    </row>
    <row r="60" spans="1:17" customFormat="1">
      <c r="A60" s="112" t="s">
        <v>674</v>
      </c>
      <c r="B60" s="134">
        <v>10.1</v>
      </c>
      <c r="C60" s="134">
        <v>19.239999999999998</v>
      </c>
      <c r="D60" s="134">
        <v>17.11</v>
      </c>
      <c r="E60" s="134">
        <v>8.19</v>
      </c>
      <c r="F60" s="134">
        <v>4.3600000000000003</v>
      </c>
      <c r="G60" s="134">
        <v>23.52</v>
      </c>
      <c r="H60" s="134">
        <v>6.64</v>
      </c>
      <c r="I60" s="134">
        <v>3.56</v>
      </c>
      <c r="J60" s="134">
        <v>1.26</v>
      </c>
      <c r="K60" s="134">
        <v>277.08</v>
      </c>
      <c r="L60" s="134">
        <v>30.81</v>
      </c>
      <c r="M60" s="134">
        <v>70.48</v>
      </c>
      <c r="N60" s="134">
        <v>749</v>
      </c>
      <c r="O60" s="134">
        <v>0</v>
      </c>
      <c r="P60" s="134">
        <v>0.41</v>
      </c>
      <c r="Q60" s="134">
        <v>3.27</v>
      </c>
    </row>
    <row r="61" spans="1:17" customFormat="1">
      <c r="A61" s="112" t="s">
        <v>675</v>
      </c>
      <c r="B61" s="134">
        <v>9.61</v>
      </c>
      <c r="C61" s="134">
        <v>18.71</v>
      </c>
      <c r="D61" s="134">
        <v>16.440000000000001</v>
      </c>
      <c r="E61" s="134">
        <v>8</v>
      </c>
      <c r="F61" s="134">
        <v>5.55</v>
      </c>
      <c r="G61" s="134">
        <v>23.52</v>
      </c>
      <c r="H61" s="134">
        <v>6.64</v>
      </c>
      <c r="I61" s="134">
        <v>3.54</v>
      </c>
      <c r="J61" s="134">
        <v>1.08</v>
      </c>
      <c r="K61" s="134">
        <v>270.73</v>
      </c>
      <c r="L61" s="134">
        <v>29.97</v>
      </c>
      <c r="M61" s="134">
        <v>72.17</v>
      </c>
      <c r="N61" s="134">
        <v>337.4</v>
      </c>
      <c r="O61" s="134">
        <v>0</v>
      </c>
      <c r="P61" s="134">
        <v>0.4</v>
      </c>
      <c r="Q61" s="134">
        <v>3.24</v>
      </c>
    </row>
    <row r="62" spans="1:17" customFormat="1">
      <c r="A62" s="112" t="s">
        <v>676</v>
      </c>
      <c r="B62" s="134">
        <v>9.2100000000000009</v>
      </c>
      <c r="C62" s="134">
        <v>18.43</v>
      </c>
      <c r="D62" s="134">
        <v>15.97</v>
      </c>
      <c r="E62" s="134">
        <v>8.26</v>
      </c>
      <c r="F62" s="134">
        <v>5.27</v>
      </c>
      <c r="G62" s="134">
        <v>23.52</v>
      </c>
      <c r="H62" s="134">
        <v>6.64</v>
      </c>
      <c r="I62" s="134">
        <v>3.6</v>
      </c>
      <c r="J62" s="134">
        <v>1.1100000000000001</v>
      </c>
      <c r="K62" s="134">
        <v>269.66000000000003</v>
      </c>
      <c r="L62" s="134">
        <v>30.09</v>
      </c>
      <c r="M62" s="134">
        <v>72.66</v>
      </c>
      <c r="N62" s="134">
        <v>268.8</v>
      </c>
      <c r="O62" s="134">
        <v>0</v>
      </c>
      <c r="P62" s="134">
        <v>0.41</v>
      </c>
      <c r="Q62" s="134">
        <v>3.22</v>
      </c>
    </row>
    <row r="63" spans="1:17" customFormat="1">
      <c r="A63" s="112" t="s">
        <v>677</v>
      </c>
      <c r="B63" s="134">
        <v>8.76</v>
      </c>
      <c r="C63" s="134">
        <v>17.760000000000002</v>
      </c>
      <c r="D63" s="134">
        <v>15.26</v>
      </c>
      <c r="E63" s="134">
        <v>8.1300000000000008</v>
      </c>
      <c r="F63" s="134">
        <v>6.61</v>
      </c>
      <c r="G63" s="134">
        <v>23.46</v>
      </c>
      <c r="H63" s="134">
        <v>6.71</v>
      </c>
      <c r="I63" s="134">
        <v>3.65</v>
      </c>
      <c r="J63" s="134">
        <v>0.92</v>
      </c>
      <c r="K63" s="134">
        <v>263.01</v>
      </c>
      <c r="L63" s="134">
        <v>29.46</v>
      </c>
      <c r="M63" s="134">
        <v>74.64</v>
      </c>
      <c r="N63" s="134">
        <v>225.2</v>
      </c>
      <c r="O63" s="134">
        <v>0</v>
      </c>
      <c r="P63" s="134">
        <v>0.39</v>
      </c>
      <c r="Q63" s="134">
        <v>3.17</v>
      </c>
    </row>
    <row r="64" spans="1:17" customFormat="1">
      <c r="A64" s="112" t="s">
        <v>678</v>
      </c>
      <c r="B64" s="134">
        <v>8.31</v>
      </c>
      <c r="C64" s="134">
        <v>17.13</v>
      </c>
      <c r="D64" s="134">
        <v>14.57</v>
      </c>
      <c r="E64" s="134">
        <v>7.98</v>
      </c>
      <c r="F64" s="134">
        <v>6.7</v>
      </c>
      <c r="G64" s="134">
        <v>22.19</v>
      </c>
      <c r="H64" s="134">
        <v>7.86</v>
      </c>
      <c r="I64" s="134">
        <v>3.66</v>
      </c>
      <c r="J64" s="134">
        <v>0.97</v>
      </c>
      <c r="K64" s="134">
        <v>265.18</v>
      </c>
      <c r="L64" s="134">
        <v>29.49</v>
      </c>
      <c r="M64" s="134">
        <v>74.78</v>
      </c>
      <c r="N64" s="134">
        <v>103.2</v>
      </c>
      <c r="O64" s="134">
        <v>0</v>
      </c>
      <c r="P64" s="134">
        <v>0.38</v>
      </c>
      <c r="Q64" s="134">
        <v>3.17</v>
      </c>
    </row>
    <row r="65" spans="1:17" customFormat="1">
      <c r="A65" s="112" t="s">
        <v>679</v>
      </c>
      <c r="B65" s="134">
        <v>8.42</v>
      </c>
      <c r="C65" s="134">
        <v>17.7</v>
      </c>
      <c r="D65" s="134">
        <v>14.95</v>
      </c>
      <c r="E65" s="134">
        <v>7.77</v>
      </c>
      <c r="F65" s="134">
        <v>4.82</v>
      </c>
      <c r="G65" s="134">
        <v>22.19</v>
      </c>
      <c r="H65" s="134">
        <v>7.86</v>
      </c>
      <c r="I65" s="134">
        <v>3.55</v>
      </c>
      <c r="J65" s="134">
        <v>0.59</v>
      </c>
      <c r="K65" s="134">
        <v>262.52999999999997</v>
      </c>
      <c r="L65" s="134">
        <v>29.05</v>
      </c>
      <c r="M65" s="134">
        <v>76.62</v>
      </c>
      <c r="N65" s="134">
        <v>84.6</v>
      </c>
      <c r="O65" s="134">
        <v>0</v>
      </c>
      <c r="P65" s="134">
        <v>0.39</v>
      </c>
      <c r="Q65" s="134">
        <v>3.14</v>
      </c>
    </row>
    <row r="66" spans="1:17" customFormat="1">
      <c r="A66" s="112" t="s">
        <v>680</v>
      </c>
      <c r="B66" s="134">
        <v>8.36</v>
      </c>
      <c r="C66" s="134">
        <v>19.309999999999999</v>
      </c>
      <c r="D66" s="134">
        <v>15.75</v>
      </c>
      <c r="E66" s="134">
        <v>8.32</v>
      </c>
      <c r="F66" s="134">
        <v>3.67</v>
      </c>
      <c r="G66" s="134">
        <v>22.19</v>
      </c>
      <c r="H66" s="134">
        <v>7.86</v>
      </c>
      <c r="I66" s="134">
        <v>3.45</v>
      </c>
      <c r="J66" s="134">
        <v>0.81</v>
      </c>
      <c r="K66" s="134">
        <v>264.08999999999997</v>
      </c>
      <c r="L66" s="134">
        <v>28.97</v>
      </c>
      <c r="M66" s="134">
        <v>77.02</v>
      </c>
      <c r="N66" s="134">
        <v>89.4</v>
      </c>
      <c r="O66" s="134">
        <v>0</v>
      </c>
      <c r="P66" s="134">
        <v>0.4</v>
      </c>
      <c r="Q66" s="134">
        <v>3.18</v>
      </c>
    </row>
    <row r="67" spans="1:17" customFormat="1">
      <c r="A67" s="112" t="s">
        <v>681</v>
      </c>
      <c r="B67" s="134">
        <v>8.57</v>
      </c>
      <c r="C67" s="134">
        <v>18.21</v>
      </c>
      <c r="D67" s="134">
        <v>15.34</v>
      </c>
      <c r="E67" s="134">
        <v>7.98</v>
      </c>
      <c r="F67" s="134">
        <v>4.43</v>
      </c>
      <c r="G67" s="134">
        <v>22.28</v>
      </c>
      <c r="H67" s="134">
        <v>7.8</v>
      </c>
      <c r="I67" s="134">
        <v>3.51</v>
      </c>
      <c r="J67" s="134">
        <v>1.02</v>
      </c>
      <c r="K67" s="134">
        <v>266.31</v>
      </c>
      <c r="L67" s="134">
        <v>29</v>
      </c>
      <c r="M67" s="134">
        <v>75.95</v>
      </c>
      <c r="N67" s="134">
        <v>232.4</v>
      </c>
      <c r="O67" s="134">
        <v>0</v>
      </c>
      <c r="P67" s="134">
        <v>0.4</v>
      </c>
      <c r="Q67" s="134">
        <v>3.15</v>
      </c>
    </row>
    <row r="68" spans="1:17" customFormat="1">
      <c r="A68" s="112" t="s">
        <v>682</v>
      </c>
      <c r="B68" s="134">
        <v>8.3800000000000008</v>
      </c>
      <c r="C68" s="134">
        <v>16.440000000000001</v>
      </c>
      <c r="D68" s="134">
        <v>14.27</v>
      </c>
      <c r="E68" s="134">
        <v>7.7</v>
      </c>
      <c r="F68" s="134">
        <v>5.68</v>
      </c>
      <c r="G68" s="134">
        <v>23.72</v>
      </c>
      <c r="H68" s="134">
        <v>6.69</v>
      </c>
      <c r="I68" s="134">
        <v>3.5</v>
      </c>
      <c r="J68" s="134">
        <v>0.98</v>
      </c>
      <c r="K68" s="134">
        <v>262.89</v>
      </c>
      <c r="L68" s="134">
        <v>29.65</v>
      </c>
      <c r="M68" s="134">
        <v>73.959999999999994</v>
      </c>
      <c r="N68" s="134">
        <v>315.7</v>
      </c>
      <c r="O68" s="134">
        <v>0</v>
      </c>
      <c r="P68" s="134">
        <v>0.37</v>
      </c>
      <c r="Q68" s="134">
        <v>3.13</v>
      </c>
    </row>
    <row r="69" spans="1:17" customFormat="1">
      <c r="A69" s="112" t="s">
        <v>683</v>
      </c>
      <c r="B69" s="134">
        <v>8.25</v>
      </c>
      <c r="C69" s="134">
        <v>16.64</v>
      </c>
      <c r="D69" s="134">
        <v>14.27</v>
      </c>
      <c r="E69" s="134">
        <v>7.64</v>
      </c>
      <c r="F69" s="134">
        <v>5.07</v>
      </c>
      <c r="G69" s="134">
        <v>23.72</v>
      </c>
      <c r="H69" s="134">
        <v>6.69</v>
      </c>
      <c r="I69" s="134">
        <v>3.39</v>
      </c>
      <c r="J69" s="134">
        <v>0.87</v>
      </c>
      <c r="K69" s="134">
        <v>261.70999999999998</v>
      </c>
      <c r="L69" s="134">
        <v>29.82</v>
      </c>
      <c r="M69" s="134">
        <v>73.97</v>
      </c>
      <c r="N69" s="134">
        <v>351.8</v>
      </c>
      <c r="O69" s="134">
        <v>0</v>
      </c>
      <c r="P69" s="134">
        <v>0.37</v>
      </c>
      <c r="Q69" s="134">
        <v>3.12</v>
      </c>
    </row>
    <row r="70" spans="1:17" customFormat="1">
      <c r="A70" s="112" t="s">
        <v>684</v>
      </c>
      <c r="B70" s="134">
        <v>8.1300000000000008</v>
      </c>
      <c r="C70" s="134">
        <v>18.07</v>
      </c>
      <c r="D70" s="134">
        <v>14.92</v>
      </c>
      <c r="E70" s="134">
        <v>8</v>
      </c>
      <c r="F70" s="134">
        <v>3.41</v>
      </c>
      <c r="G70" s="134">
        <v>23.72</v>
      </c>
      <c r="H70" s="134">
        <v>6.69</v>
      </c>
      <c r="I70" s="134">
        <v>3.23</v>
      </c>
      <c r="J70" s="134">
        <v>1</v>
      </c>
      <c r="K70" s="134">
        <v>269.99</v>
      </c>
      <c r="L70" s="134">
        <v>30.29</v>
      </c>
      <c r="M70" s="134">
        <v>72.89</v>
      </c>
      <c r="N70" s="134">
        <v>384.7</v>
      </c>
      <c r="O70" s="134">
        <v>0</v>
      </c>
      <c r="P70" s="134">
        <v>0.4</v>
      </c>
      <c r="Q70" s="134">
        <v>3.05</v>
      </c>
    </row>
    <row r="71" spans="1:17" customFormat="1">
      <c r="A71" s="112" t="s">
        <v>685</v>
      </c>
      <c r="B71" s="134">
        <v>7.42</v>
      </c>
      <c r="C71" s="134">
        <v>19.55</v>
      </c>
      <c r="D71" s="134">
        <v>15.12</v>
      </c>
      <c r="E71" s="134">
        <v>7.56</v>
      </c>
      <c r="F71" s="134">
        <v>3.75</v>
      </c>
      <c r="G71" s="134">
        <v>23.62</v>
      </c>
      <c r="H71" s="134">
        <v>6.63</v>
      </c>
      <c r="I71" s="134">
        <v>3.3</v>
      </c>
      <c r="J71" s="134">
        <v>1.04</v>
      </c>
      <c r="K71" s="134">
        <v>261.36</v>
      </c>
      <c r="L71" s="134">
        <v>30.08</v>
      </c>
      <c r="M71" s="134">
        <v>73.239999999999995</v>
      </c>
      <c r="N71" s="134">
        <v>268.8</v>
      </c>
      <c r="O71" s="134">
        <v>0</v>
      </c>
      <c r="P71" s="134">
        <v>0.42</v>
      </c>
      <c r="Q71" s="134">
        <v>3.13</v>
      </c>
    </row>
    <row r="72" spans="1:17" customFormat="1">
      <c r="A72" s="112" t="s">
        <v>686</v>
      </c>
      <c r="B72" s="134">
        <v>7.21</v>
      </c>
      <c r="C72" s="134">
        <v>17.760000000000002</v>
      </c>
      <c r="D72" s="134">
        <v>14.02</v>
      </c>
      <c r="E72" s="134">
        <v>6.98</v>
      </c>
      <c r="F72" s="134">
        <v>5.97</v>
      </c>
      <c r="G72" s="134">
        <v>21.54</v>
      </c>
      <c r="H72" s="134">
        <v>5.68</v>
      </c>
      <c r="I72" s="134">
        <v>3.35</v>
      </c>
      <c r="J72" s="134">
        <v>0.81</v>
      </c>
      <c r="K72" s="134">
        <v>265.73</v>
      </c>
      <c r="L72" s="134">
        <v>30.03</v>
      </c>
      <c r="M72" s="134">
        <v>73.36</v>
      </c>
      <c r="N72" s="134">
        <v>295.7</v>
      </c>
      <c r="O72" s="134">
        <v>0</v>
      </c>
      <c r="P72" s="134">
        <v>0.37</v>
      </c>
      <c r="Q72" s="134">
        <v>3.14</v>
      </c>
    </row>
    <row r="73" spans="1:17" customFormat="1">
      <c r="A73" s="112" t="s">
        <v>687</v>
      </c>
      <c r="B73" s="134">
        <v>6.94</v>
      </c>
      <c r="C73" s="134">
        <v>16.59</v>
      </c>
      <c r="D73" s="134">
        <v>13.19</v>
      </c>
      <c r="E73" s="134">
        <v>6.78</v>
      </c>
      <c r="F73" s="134">
        <v>5.77</v>
      </c>
      <c r="G73" s="134">
        <v>21.54</v>
      </c>
      <c r="H73" s="134">
        <v>5.68</v>
      </c>
      <c r="I73" s="134">
        <v>3.19</v>
      </c>
      <c r="J73" s="134">
        <v>1.02</v>
      </c>
      <c r="K73" s="134">
        <v>264.60000000000002</v>
      </c>
      <c r="L73" s="134">
        <v>29.95</v>
      </c>
      <c r="M73" s="134">
        <v>72.66</v>
      </c>
      <c r="N73" s="134">
        <v>215.7</v>
      </c>
      <c r="O73" s="134">
        <v>0</v>
      </c>
      <c r="P73" s="134">
        <v>0.34</v>
      </c>
      <c r="Q73" s="134">
        <v>3.06</v>
      </c>
    </row>
    <row r="74" spans="1:17" customFormat="1">
      <c r="A74" s="112" t="s">
        <v>688</v>
      </c>
      <c r="B74" s="134">
        <v>6.7</v>
      </c>
      <c r="C74" s="134">
        <v>16.48</v>
      </c>
      <c r="D74" s="134">
        <v>12.94</v>
      </c>
      <c r="E74" s="134">
        <v>6.69</v>
      </c>
      <c r="F74" s="134">
        <v>6.26</v>
      </c>
      <c r="G74" s="134">
        <v>21.54</v>
      </c>
      <c r="H74" s="134">
        <v>5.68</v>
      </c>
      <c r="I74" s="134">
        <v>3</v>
      </c>
      <c r="J74" s="134">
        <v>0.77</v>
      </c>
      <c r="K74" s="134">
        <v>264.58</v>
      </c>
      <c r="L74" s="134">
        <v>29.71</v>
      </c>
      <c r="M74" s="134">
        <v>73.58</v>
      </c>
      <c r="N74" s="134">
        <v>163.69999999999999</v>
      </c>
      <c r="O74" s="134">
        <v>0</v>
      </c>
      <c r="P74" s="134">
        <v>0.32</v>
      </c>
      <c r="Q74" s="134">
        <v>3.03</v>
      </c>
    </row>
    <row r="75" spans="1:17" customFormat="1">
      <c r="A75" s="112" t="s">
        <v>689</v>
      </c>
      <c r="B75" s="134">
        <v>6.22</v>
      </c>
      <c r="C75" s="134">
        <v>16.12</v>
      </c>
      <c r="D75" s="134">
        <v>12.37</v>
      </c>
      <c r="E75" s="134">
        <v>7.28</v>
      </c>
      <c r="F75" s="134">
        <v>8.07</v>
      </c>
      <c r="G75" s="134">
        <v>21.49</v>
      </c>
      <c r="H75" s="134">
        <v>5.85</v>
      </c>
      <c r="I75" s="134">
        <v>2.88</v>
      </c>
      <c r="J75" s="134">
        <v>0.8</v>
      </c>
      <c r="K75" s="134">
        <v>266.22000000000003</v>
      </c>
      <c r="L75" s="134">
        <v>29.69</v>
      </c>
      <c r="M75" s="134">
        <v>74.069999999999993</v>
      </c>
      <c r="N75" s="134">
        <v>111.8</v>
      </c>
      <c r="O75" s="134">
        <v>0</v>
      </c>
      <c r="P75" s="134">
        <v>0.32</v>
      </c>
      <c r="Q75" s="134">
        <v>3.04</v>
      </c>
    </row>
    <row r="76" spans="1:17" customFormat="1">
      <c r="A76" s="112" t="s">
        <v>690</v>
      </c>
      <c r="B76" s="134">
        <v>6.09</v>
      </c>
      <c r="C76" s="134">
        <v>15.4</v>
      </c>
      <c r="D76" s="134">
        <v>11.88</v>
      </c>
      <c r="E76" s="134">
        <v>7.3</v>
      </c>
      <c r="F76" s="134">
        <v>8.51</v>
      </c>
      <c r="G76" s="134">
        <v>20.440000000000001</v>
      </c>
      <c r="H76" s="134">
        <v>8.48</v>
      </c>
      <c r="I76" s="134">
        <v>2.86</v>
      </c>
      <c r="J76" s="134">
        <v>0.87</v>
      </c>
      <c r="K76" s="134">
        <v>264.88</v>
      </c>
      <c r="L76" s="134">
        <v>29.46</v>
      </c>
      <c r="M76" s="134">
        <v>73.89</v>
      </c>
      <c r="N76" s="134">
        <v>91.9</v>
      </c>
      <c r="O76" s="134">
        <v>0</v>
      </c>
      <c r="P76" s="134">
        <v>0.31</v>
      </c>
      <c r="Q76" s="134">
        <v>3.03</v>
      </c>
    </row>
    <row r="77" spans="1:17" customFormat="1">
      <c r="A77" s="112" t="s">
        <v>691</v>
      </c>
      <c r="B77" s="134">
        <v>6.24</v>
      </c>
      <c r="C77" s="134">
        <v>16.190000000000001</v>
      </c>
      <c r="D77" s="134">
        <v>12.42</v>
      </c>
      <c r="E77" s="134">
        <v>7.39</v>
      </c>
      <c r="F77" s="134">
        <v>6.9</v>
      </c>
      <c r="G77" s="134">
        <v>20.440000000000001</v>
      </c>
      <c r="H77" s="134">
        <v>8.48</v>
      </c>
      <c r="I77" s="134">
        <v>2.74</v>
      </c>
      <c r="J77" s="134">
        <v>1.02</v>
      </c>
      <c r="K77" s="134">
        <v>265.77</v>
      </c>
      <c r="L77" s="134">
        <v>29.33</v>
      </c>
      <c r="M77" s="134">
        <v>73.319999999999993</v>
      </c>
      <c r="N77" s="134">
        <v>63.7</v>
      </c>
      <c r="O77" s="134">
        <v>0</v>
      </c>
      <c r="P77" s="134">
        <v>0.31</v>
      </c>
      <c r="Q77" s="134">
        <v>3.02</v>
      </c>
    </row>
    <row r="78" spans="1:17" customFormat="1">
      <c r="A78" s="112" t="s">
        <v>692</v>
      </c>
      <c r="B78" s="134">
        <v>6.66</v>
      </c>
      <c r="C78" s="134">
        <v>18.37</v>
      </c>
      <c r="D78" s="134">
        <v>13.9</v>
      </c>
      <c r="E78" s="134">
        <v>7.77</v>
      </c>
      <c r="F78" s="134">
        <v>4</v>
      </c>
      <c r="G78" s="134">
        <v>20.440000000000001</v>
      </c>
      <c r="H78" s="134">
        <v>8.48</v>
      </c>
      <c r="I78" s="134">
        <v>2.65</v>
      </c>
      <c r="J78" s="134">
        <v>0.91</v>
      </c>
      <c r="K78" s="134">
        <v>264.86</v>
      </c>
      <c r="L78" s="134">
        <v>29.21</v>
      </c>
      <c r="M78" s="134">
        <v>73.42</v>
      </c>
      <c r="N78" s="134">
        <v>43.2</v>
      </c>
      <c r="O78" s="134">
        <v>0</v>
      </c>
      <c r="P78" s="134">
        <v>0.34</v>
      </c>
      <c r="Q78" s="134">
        <v>3.06</v>
      </c>
    </row>
    <row r="79" spans="1:17" customFormat="1">
      <c r="A79" s="112" t="s">
        <v>693</v>
      </c>
      <c r="B79" s="134">
        <v>6.61</v>
      </c>
      <c r="C79" s="134">
        <v>16.79</v>
      </c>
      <c r="D79" s="134">
        <v>13.03</v>
      </c>
      <c r="E79" s="134">
        <v>8.19</v>
      </c>
      <c r="F79" s="134">
        <v>7.84</v>
      </c>
      <c r="G79" s="134">
        <v>20.41</v>
      </c>
      <c r="H79" s="134">
        <v>8.39</v>
      </c>
      <c r="I79" s="134">
        <v>2.78</v>
      </c>
      <c r="J79" s="134">
        <v>0.81</v>
      </c>
      <c r="K79" s="134">
        <v>264.07</v>
      </c>
      <c r="L79" s="134">
        <v>29.09</v>
      </c>
      <c r="M79" s="134">
        <v>74.45</v>
      </c>
      <c r="N79" s="134">
        <v>26.2</v>
      </c>
      <c r="O79" s="134">
        <v>0</v>
      </c>
      <c r="P79" s="134">
        <v>0.33</v>
      </c>
      <c r="Q79" s="134">
        <v>3.07</v>
      </c>
    </row>
    <row r="80" spans="1:17" customFormat="1">
      <c r="A80" s="112" t="s">
        <v>694</v>
      </c>
      <c r="B80" s="134">
        <v>6.19</v>
      </c>
      <c r="C80" s="134">
        <v>15.36</v>
      </c>
      <c r="D80" s="134">
        <v>11.95</v>
      </c>
      <c r="E80" s="134">
        <v>8.5500000000000007</v>
      </c>
      <c r="F80" s="134">
        <v>9.74</v>
      </c>
      <c r="G80" s="134">
        <v>19.78</v>
      </c>
      <c r="H80" s="134">
        <v>6.33</v>
      </c>
      <c r="I80" s="134">
        <v>2.89</v>
      </c>
      <c r="J80" s="134">
        <v>0.88</v>
      </c>
      <c r="K80" s="134">
        <v>264.58</v>
      </c>
      <c r="L80" s="134">
        <v>28.93</v>
      </c>
      <c r="M80" s="134">
        <v>75.12</v>
      </c>
      <c r="N80" s="134">
        <v>12.8</v>
      </c>
      <c r="O80" s="134">
        <v>0</v>
      </c>
      <c r="P80" s="134">
        <v>0.33</v>
      </c>
      <c r="Q80" s="134">
        <v>3.05</v>
      </c>
    </row>
    <row r="81" spans="1:17" customFormat="1">
      <c r="A81" s="112" t="s">
        <v>695</v>
      </c>
      <c r="B81" s="134">
        <v>6.75</v>
      </c>
      <c r="C81" s="134">
        <v>16.510000000000002</v>
      </c>
      <c r="D81" s="134">
        <v>13</v>
      </c>
      <c r="E81" s="134">
        <v>5.83</v>
      </c>
      <c r="F81" s="134">
        <v>6.58</v>
      </c>
      <c r="G81" s="134">
        <v>19.78</v>
      </c>
      <c r="H81" s="134">
        <v>6.33</v>
      </c>
      <c r="I81" s="134">
        <v>2.67</v>
      </c>
      <c r="J81" s="134">
        <v>0.63</v>
      </c>
      <c r="K81" s="134">
        <v>310.56</v>
      </c>
      <c r="L81" s="134">
        <v>28.67</v>
      </c>
      <c r="M81" s="134">
        <v>74.400000000000006</v>
      </c>
      <c r="N81" s="134">
        <v>1.9</v>
      </c>
      <c r="O81" s="134">
        <v>0</v>
      </c>
      <c r="P81" s="134">
        <v>0.33</v>
      </c>
      <c r="Q81" s="172" t="s">
        <v>8</v>
      </c>
    </row>
    <row r="82" spans="1:17" customFormat="1">
      <c r="A82" s="112" t="s">
        <v>696</v>
      </c>
      <c r="B82" s="134">
        <v>7.29</v>
      </c>
      <c r="C82" s="134">
        <v>17.690000000000001</v>
      </c>
      <c r="D82" s="134">
        <v>14.05</v>
      </c>
      <c r="E82" s="134">
        <v>7.44</v>
      </c>
      <c r="F82" s="134">
        <v>5.28</v>
      </c>
      <c r="G82" s="134">
        <v>19.78</v>
      </c>
      <c r="H82" s="134">
        <v>6.33</v>
      </c>
      <c r="I82" s="134">
        <v>2.59</v>
      </c>
      <c r="J82" s="134">
        <v>0.52</v>
      </c>
      <c r="K82" s="134">
        <v>326.77</v>
      </c>
      <c r="L82" s="134">
        <v>27.9</v>
      </c>
      <c r="M82" s="134">
        <v>75.75</v>
      </c>
      <c r="N82" s="134">
        <v>0</v>
      </c>
      <c r="O82" s="134">
        <v>0</v>
      </c>
      <c r="P82" s="134">
        <v>0.33</v>
      </c>
      <c r="Q82" s="134">
        <v>3.01</v>
      </c>
    </row>
    <row r="83" spans="1:17" customFormat="1">
      <c r="A83" s="112" t="s">
        <v>697</v>
      </c>
      <c r="B83" s="134">
        <v>7.75</v>
      </c>
      <c r="C83" s="134">
        <v>20.059999999999999</v>
      </c>
      <c r="D83" s="134">
        <v>15.65</v>
      </c>
      <c r="E83" s="134">
        <v>6.87</v>
      </c>
      <c r="F83" s="134">
        <v>2.82</v>
      </c>
      <c r="G83" s="134">
        <v>19.829999999999998</v>
      </c>
      <c r="H83" s="134">
        <v>6.26</v>
      </c>
      <c r="I83" s="134">
        <v>2.81</v>
      </c>
      <c r="J83" s="134">
        <v>0.13</v>
      </c>
      <c r="K83" s="134">
        <v>298.17</v>
      </c>
      <c r="L83" s="134">
        <v>27.37</v>
      </c>
      <c r="M83" s="134">
        <v>78.03</v>
      </c>
      <c r="N83" s="134">
        <v>0</v>
      </c>
      <c r="O83" s="134">
        <v>0</v>
      </c>
      <c r="P83" s="134">
        <v>0.36</v>
      </c>
      <c r="Q83" s="134">
        <v>3.11</v>
      </c>
    </row>
    <row r="84" spans="1:17" customFormat="1">
      <c r="A84" s="112" t="s">
        <v>698</v>
      </c>
      <c r="B84" s="134">
        <v>9.7200000000000006</v>
      </c>
      <c r="C84" s="134">
        <v>21.3</v>
      </c>
      <c r="D84" s="134">
        <v>17.87</v>
      </c>
      <c r="E84" s="134">
        <v>8.23</v>
      </c>
      <c r="F84" s="134">
        <v>2.88</v>
      </c>
      <c r="G84" s="134">
        <v>20.73</v>
      </c>
      <c r="H84" s="134">
        <v>4.6399999999999997</v>
      </c>
      <c r="I84" s="134">
        <v>2.97</v>
      </c>
      <c r="J84" s="134">
        <v>0.22</v>
      </c>
      <c r="K84" s="134">
        <v>62.39</v>
      </c>
      <c r="L84" s="134">
        <v>27.19</v>
      </c>
      <c r="M84" s="134">
        <v>80.08</v>
      </c>
      <c r="N84" s="134">
        <v>0</v>
      </c>
      <c r="O84" s="134">
        <v>0</v>
      </c>
      <c r="P84" s="134">
        <v>0.42</v>
      </c>
      <c r="Q84" s="134">
        <v>3.2</v>
      </c>
    </row>
    <row r="85" spans="1:17" customFormat="1">
      <c r="A85" s="112" t="s">
        <v>699</v>
      </c>
      <c r="B85" s="134">
        <v>10.49</v>
      </c>
      <c r="C85" s="134">
        <v>20.399999999999999</v>
      </c>
      <c r="D85" s="134">
        <v>18.03</v>
      </c>
      <c r="E85" s="134">
        <v>8.1999999999999993</v>
      </c>
      <c r="F85" s="134">
        <v>3.35</v>
      </c>
      <c r="G85" s="134">
        <v>20.73</v>
      </c>
      <c r="H85" s="134">
        <v>4.6399999999999997</v>
      </c>
      <c r="I85" s="134">
        <v>3.1</v>
      </c>
      <c r="J85" s="134">
        <v>0.13</v>
      </c>
      <c r="K85" s="134">
        <v>138.83000000000001</v>
      </c>
      <c r="L85" s="134">
        <v>27.07</v>
      </c>
      <c r="M85" s="134">
        <v>82.54</v>
      </c>
      <c r="N85" s="134">
        <v>0</v>
      </c>
      <c r="O85" s="134">
        <v>0</v>
      </c>
      <c r="P85" s="134">
        <v>0.42</v>
      </c>
      <c r="Q85" s="134">
        <v>3.19</v>
      </c>
    </row>
    <row r="86" spans="1:17" customFormat="1">
      <c r="A86" s="112" t="s">
        <v>700</v>
      </c>
      <c r="B86" s="134">
        <v>9.3000000000000007</v>
      </c>
      <c r="C86" s="134">
        <v>19.09</v>
      </c>
      <c r="D86" s="134">
        <v>16.39</v>
      </c>
      <c r="E86" s="134">
        <v>7.79</v>
      </c>
      <c r="F86" s="134">
        <v>3.93</v>
      </c>
      <c r="G86" s="134">
        <v>20.73</v>
      </c>
      <c r="H86" s="134">
        <v>4.6399999999999997</v>
      </c>
      <c r="I86" s="134">
        <v>3.33</v>
      </c>
      <c r="J86" s="134">
        <v>0.55000000000000004</v>
      </c>
      <c r="K86" s="134">
        <v>303.64</v>
      </c>
      <c r="L86" s="134">
        <v>26.71</v>
      </c>
      <c r="M86" s="134">
        <v>85.4</v>
      </c>
      <c r="N86" s="134">
        <v>0</v>
      </c>
      <c r="O86" s="134">
        <v>1.2</v>
      </c>
      <c r="P86" s="134">
        <v>0.38</v>
      </c>
      <c r="Q86" s="134">
        <v>3.21</v>
      </c>
    </row>
    <row r="87" spans="1:17" customFormat="1">
      <c r="A87" s="112" t="s">
        <v>701</v>
      </c>
      <c r="B87" s="134">
        <v>9.84</v>
      </c>
      <c r="C87" s="134">
        <v>20.83</v>
      </c>
      <c r="D87" s="134">
        <v>17.73</v>
      </c>
      <c r="E87" s="134">
        <v>7.11</v>
      </c>
      <c r="F87" s="134">
        <v>2.91</v>
      </c>
      <c r="G87" s="134">
        <v>21.16</v>
      </c>
      <c r="H87" s="134">
        <v>4.74</v>
      </c>
      <c r="I87" s="134">
        <v>3.5</v>
      </c>
      <c r="J87" s="134">
        <v>1.31</v>
      </c>
      <c r="K87" s="134">
        <v>302.54000000000002</v>
      </c>
      <c r="L87" s="134">
        <v>24.54</v>
      </c>
      <c r="M87" s="134">
        <v>95.17</v>
      </c>
      <c r="N87" s="134">
        <v>0</v>
      </c>
      <c r="O87" s="134">
        <v>2.6</v>
      </c>
      <c r="P87" s="134">
        <v>0.4</v>
      </c>
      <c r="Q87" s="134">
        <v>3.3</v>
      </c>
    </row>
    <row r="88" spans="1:17" customFormat="1">
      <c r="A88" s="112" t="s">
        <v>702</v>
      </c>
      <c r="B88" s="134">
        <v>10.130000000000001</v>
      </c>
      <c r="C88" s="134">
        <v>19.559999999999999</v>
      </c>
      <c r="D88" s="134">
        <v>17.29</v>
      </c>
      <c r="E88" s="134">
        <v>6.95</v>
      </c>
      <c r="F88" s="134">
        <v>4.49</v>
      </c>
      <c r="G88" s="134">
        <v>30.3</v>
      </c>
      <c r="H88" s="134">
        <v>6.27</v>
      </c>
      <c r="I88" s="134">
        <v>3.41</v>
      </c>
      <c r="J88" s="134">
        <v>1.0900000000000001</v>
      </c>
      <c r="K88" s="134">
        <v>318.25</v>
      </c>
      <c r="L88" s="134">
        <v>24.08</v>
      </c>
      <c r="M88" s="134">
        <v>97.11</v>
      </c>
      <c r="N88" s="134">
        <v>0</v>
      </c>
      <c r="O88" s="134">
        <v>1.6</v>
      </c>
      <c r="P88" s="134">
        <v>0.38</v>
      </c>
      <c r="Q88" s="134">
        <v>3.29</v>
      </c>
    </row>
    <row r="89" spans="1:17" customFormat="1">
      <c r="A89" s="112" t="s">
        <v>703</v>
      </c>
      <c r="B89" s="134">
        <v>10.14</v>
      </c>
      <c r="C89" s="134">
        <v>19.02</v>
      </c>
      <c r="D89" s="134">
        <v>17.03</v>
      </c>
      <c r="E89" s="134">
        <v>6.34</v>
      </c>
      <c r="F89" s="134">
        <v>4.07</v>
      </c>
      <c r="G89" s="134">
        <v>30.3</v>
      </c>
      <c r="H89" s="134">
        <v>6.27</v>
      </c>
      <c r="I89" s="134">
        <v>3.33</v>
      </c>
      <c r="J89" s="134">
        <v>0.86</v>
      </c>
      <c r="K89" s="134">
        <v>309.55</v>
      </c>
      <c r="L89" s="134">
        <v>24.37</v>
      </c>
      <c r="M89" s="134">
        <v>97.58</v>
      </c>
      <c r="N89" s="134">
        <v>0</v>
      </c>
      <c r="O89" s="134">
        <v>2.8</v>
      </c>
      <c r="P89" s="134">
        <v>0.38</v>
      </c>
      <c r="Q89" s="134">
        <v>3.24</v>
      </c>
    </row>
    <row r="90" spans="1:17" customFormat="1">
      <c r="A90" s="112" t="s">
        <v>704</v>
      </c>
      <c r="B90" s="134">
        <v>10.220000000000001</v>
      </c>
      <c r="C90" s="134">
        <v>21.8</v>
      </c>
      <c r="D90" s="134">
        <v>18.54</v>
      </c>
      <c r="E90" s="134">
        <v>6.7</v>
      </c>
      <c r="F90" s="134">
        <v>2.02</v>
      </c>
      <c r="G90" s="134">
        <v>30.3</v>
      </c>
      <c r="H90" s="134">
        <v>6.27</v>
      </c>
      <c r="I90" s="134">
        <v>3.19</v>
      </c>
      <c r="J90" s="134">
        <v>0.44</v>
      </c>
      <c r="K90" s="134">
        <v>330.04</v>
      </c>
      <c r="L90" s="134">
        <v>24.57</v>
      </c>
      <c r="M90" s="134">
        <v>97.87</v>
      </c>
      <c r="N90" s="134">
        <v>0</v>
      </c>
      <c r="O90" s="134">
        <v>3.2</v>
      </c>
      <c r="P90" s="134">
        <v>0.41</v>
      </c>
      <c r="Q90" s="134">
        <v>3.29</v>
      </c>
    </row>
    <row r="91" spans="1:17" customFormat="1">
      <c r="A91" s="112" t="s">
        <v>705</v>
      </c>
      <c r="B91" s="134">
        <v>10.52</v>
      </c>
      <c r="C91" s="134">
        <v>24.1</v>
      </c>
      <c r="D91" s="134">
        <v>19.98</v>
      </c>
      <c r="E91" s="134">
        <v>7.44</v>
      </c>
      <c r="F91" s="134">
        <v>1.92</v>
      </c>
      <c r="G91" s="134">
        <v>29.81</v>
      </c>
      <c r="H91" s="134">
        <v>6.26</v>
      </c>
      <c r="I91" s="134">
        <v>3.2</v>
      </c>
      <c r="J91" s="134">
        <v>0.25</v>
      </c>
      <c r="K91" s="134">
        <v>359.86</v>
      </c>
      <c r="L91" s="134">
        <v>24.71</v>
      </c>
      <c r="M91" s="134">
        <v>98.08</v>
      </c>
      <c r="N91" s="134">
        <v>0</v>
      </c>
      <c r="O91" s="134">
        <v>0.4</v>
      </c>
      <c r="P91" s="134">
        <v>0.46</v>
      </c>
      <c r="Q91" s="134">
        <v>3.37</v>
      </c>
    </row>
    <row r="92" spans="1:17" customFormat="1">
      <c r="A92" s="112" t="s">
        <v>706</v>
      </c>
      <c r="B92" s="134">
        <v>11.26</v>
      </c>
      <c r="C92" s="134">
        <v>25.18</v>
      </c>
      <c r="D92" s="134">
        <v>21.14</v>
      </c>
      <c r="E92" s="134">
        <v>7.63</v>
      </c>
      <c r="F92" s="134">
        <v>2.1800000000000002</v>
      </c>
      <c r="G92" s="134">
        <v>19.34</v>
      </c>
      <c r="H92" s="134">
        <v>6.14</v>
      </c>
      <c r="I92" s="134">
        <v>3.38</v>
      </c>
      <c r="J92" s="134">
        <v>0.12</v>
      </c>
      <c r="K92" s="134">
        <v>341.8</v>
      </c>
      <c r="L92" s="134">
        <v>24.79</v>
      </c>
      <c r="M92" s="134">
        <v>98.25</v>
      </c>
      <c r="N92" s="134">
        <v>0</v>
      </c>
      <c r="O92" s="134">
        <v>0</v>
      </c>
      <c r="P92" s="134">
        <v>0.47</v>
      </c>
      <c r="Q92" s="134">
        <v>3.52</v>
      </c>
    </row>
    <row r="93" spans="1:17" customFormat="1">
      <c r="A93" s="112" t="s">
        <v>707</v>
      </c>
      <c r="B93" s="134">
        <v>12.9</v>
      </c>
      <c r="C93" s="134">
        <v>22.51</v>
      </c>
      <c r="D93" s="134">
        <v>21.06</v>
      </c>
      <c r="E93" s="134">
        <v>6.64</v>
      </c>
      <c r="F93" s="134">
        <v>3.25</v>
      </c>
      <c r="G93" s="134">
        <v>19.34</v>
      </c>
      <c r="H93" s="134">
        <v>6.14</v>
      </c>
      <c r="I93" s="134">
        <v>3.42</v>
      </c>
      <c r="J93" s="134">
        <v>0.06</v>
      </c>
      <c r="K93" s="134">
        <v>264.32</v>
      </c>
      <c r="L93" s="134">
        <v>24.93</v>
      </c>
      <c r="M93" s="134">
        <v>98.38</v>
      </c>
      <c r="N93" s="134">
        <v>0</v>
      </c>
      <c r="O93" s="134">
        <v>0</v>
      </c>
      <c r="P93" s="134">
        <v>0.45</v>
      </c>
      <c r="Q93" s="134">
        <v>3.47</v>
      </c>
    </row>
    <row r="94" spans="1:17" customFormat="1">
      <c r="A94" s="112" t="s">
        <v>708</v>
      </c>
      <c r="B94" s="134">
        <v>13.61</v>
      </c>
      <c r="C94" s="134">
        <v>22.23</v>
      </c>
      <c r="D94" s="134">
        <v>21.49</v>
      </c>
      <c r="E94" s="134">
        <v>6.06</v>
      </c>
      <c r="F94" s="134">
        <v>2.79</v>
      </c>
      <c r="G94" s="134">
        <v>19.34</v>
      </c>
      <c r="H94" s="134">
        <v>6.14</v>
      </c>
      <c r="I94" s="134">
        <v>3.42</v>
      </c>
      <c r="J94" s="134">
        <v>0.05</v>
      </c>
      <c r="K94" s="134">
        <v>202.74</v>
      </c>
      <c r="L94" s="134">
        <v>24.99</v>
      </c>
      <c r="M94" s="134">
        <v>98.48</v>
      </c>
      <c r="N94" s="134">
        <v>0</v>
      </c>
      <c r="O94" s="134">
        <v>0.2</v>
      </c>
      <c r="P94" s="134">
        <v>0.44</v>
      </c>
      <c r="Q94" s="134">
        <v>3.46</v>
      </c>
    </row>
    <row r="95" spans="1:17" customFormat="1">
      <c r="A95" s="112" t="s">
        <v>709</v>
      </c>
      <c r="B95" s="134">
        <v>15.57</v>
      </c>
      <c r="C95" s="134">
        <v>23.54</v>
      </c>
      <c r="D95" s="134">
        <v>23.74</v>
      </c>
      <c r="E95" s="134">
        <v>6.31</v>
      </c>
      <c r="F95" s="134">
        <v>2.35</v>
      </c>
      <c r="G95" s="134">
        <v>19.43</v>
      </c>
      <c r="H95" s="134">
        <v>6.15</v>
      </c>
      <c r="I95" s="134">
        <v>3.38</v>
      </c>
      <c r="J95" s="134">
        <v>7.0000000000000007E-2</v>
      </c>
      <c r="K95" s="134">
        <v>176.56</v>
      </c>
      <c r="L95" s="134">
        <v>25.12</v>
      </c>
      <c r="M95" s="134">
        <v>98.59</v>
      </c>
      <c r="N95" s="134">
        <v>0</v>
      </c>
      <c r="O95" s="134">
        <v>0.2</v>
      </c>
      <c r="P95" s="134">
        <v>0.46</v>
      </c>
      <c r="Q95" s="134">
        <v>3.5</v>
      </c>
    </row>
    <row r="96" spans="1:17" customFormat="1">
      <c r="A96" s="112" t="s">
        <v>710</v>
      </c>
      <c r="B96" s="134">
        <v>15.47</v>
      </c>
      <c r="C96" s="134">
        <v>25.47</v>
      </c>
      <c r="D96" s="134">
        <v>24.67</v>
      </c>
      <c r="E96" s="134">
        <v>6.58</v>
      </c>
      <c r="F96" s="134">
        <v>1.55</v>
      </c>
      <c r="G96" s="134">
        <v>21.44</v>
      </c>
      <c r="H96" s="134">
        <v>6.44</v>
      </c>
      <c r="I96" s="134">
        <v>3.46</v>
      </c>
      <c r="J96" s="134">
        <v>0.17</v>
      </c>
      <c r="K96" s="134">
        <v>182.82</v>
      </c>
      <c r="L96" s="134">
        <v>25.29</v>
      </c>
      <c r="M96" s="134">
        <v>98.67</v>
      </c>
      <c r="N96" s="134">
        <v>0</v>
      </c>
      <c r="O96" s="134">
        <v>0</v>
      </c>
      <c r="P96" s="134">
        <v>0.48</v>
      </c>
      <c r="Q96" s="134">
        <v>3.65</v>
      </c>
    </row>
    <row r="97" spans="1:22" customFormat="1">
      <c r="A97" s="112" t="s">
        <v>711</v>
      </c>
      <c r="B97" s="134">
        <v>16.14</v>
      </c>
      <c r="C97" s="134">
        <v>24.79</v>
      </c>
      <c r="D97" s="134">
        <v>24.85</v>
      </c>
      <c r="E97" s="134">
        <v>6.42</v>
      </c>
      <c r="F97" s="134">
        <v>2.09</v>
      </c>
      <c r="G97" s="134">
        <v>21.44</v>
      </c>
      <c r="H97" s="134">
        <v>6.44</v>
      </c>
      <c r="I97" s="134">
        <v>3.62</v>
      </c>
      <c r="J97" s="134">
        <v>0.08</v>
      </c>
      <c r="K97" s="134">
        <v>154.75</v>
      </c>
      <c r="L97" s="134">
        <v>25.27</v>
      </c>
      <c r="M97" s="134">
        <v>98.74</v>
      </c>
      <c r="N97" s="134">
        <v>0</v>
      </c>
      <c r="O97" s="134">
        <v>0</v>
      </c>
      <c r="P97" s="134">
        <v>0.5</v>
      </c>
      <c r="Q97" s="134">
        <v>3.7</v>
      </c>
    </row>
    <row r="98" spans="1:22" customFormat="1">
      <c r="A98" s="112" t="s">
        <v>712</v>
      </c>
      <c r="B98" s="134">
        <v>15.63</v>
      </c>
      <c r="C98" s="134">
        <v>22.04</v>
      </c>
      <c r="D98" s="134">
        <v>23.01</v>
      </c>
      <c r="E98" s="134">
        <v>6.33</v>
      </c>
      <c r="F98" s="134">
        <v>3.01</v>
      </c>
      <c r="G98" s="134">
        <v>21.44</v>
      </c>
      <c r="H98" s="134">
        <v>6.44</v>
      </c>
      <c r="I98" s="134">
        <v>3.67</v>
      </c>
      <c r="J98" s="134">
        <v>0.08</v>
      </c>
      <c r="K98" s="134">
        <v>183.51</v>
      </c>
      <c r="L98" s="134">
        <v>25.28</v>
      </c>
      <c r="M98" s="134">
        <v>98.79</v>
      </c>
      <c r="N98" s="134">
        <v>0</v>
      </c>
      <c r="O98" s="134">
        <v>0</v>
      </c>
      <c r="P98" s="134">
        <v>0.49</v>
      </c>
      <c r="Q98" s="134">
        <v>3.66</v>
      </c>
    </row>
    <row r="99" spans="1:22" customFormat="1">
      <c r="A99" s="112" t="s">
        <v>713</v>
      </c>
      <c r="B99" s="134">
        <v>15.79</v>
      </c>
      <c r="C99" s="134">
        <v>20.94</v>
      </c>
      <c r="D99" s="134">
        <v>22.56</v>
      </c>
      <c r="E99" s="134">
        <v>6.04</v>
      </c>
      <c r="F99" s="134">
        <v>3.13</v>
      </c>
      <c r="G99" s="134">
        <v>21.27</v>
      </c>
      <c r="H99" s="134">
        <v>6.59</v>
      </c>
      <c r="I99" s="134">
        <v>3.73</v>
      </c>
      <c r="J99" s="134">
        <v>0.15</v>
      </c>
      <c r="K99" s="134">
        <v>230.09</v>
      </c>
      <c r="L99" s="134">
        <v>25.36</v>
      </c>
      <c r="M99" s="134">
        <v>98.86</v>
      </c>
      <c r="N99" s="134">
        <v>0</v>
      </c>
      <c r="O99" s="134">
        <v>0</v>
      </c>
      <c r="P99" s="134">
        <v>0.48</v>
      </c>
      <c r="Q99" s="134">
        <v>3.63</v>
      </c>
    </row>
    <row r="100" spans="1:22" customFormat="1">
      <c r="A100" s="112" t="s">
        <v>714</v>
      </c>
      <c r="B100" s="134">
        <v>16.75</v>
      </c>
      <c r="C100" s="134">
        <v>23.9</v>
      </c>
      <c r="D100" s="134">
        <v>24.87</v>
      </c>
      <c r="E100" s="134">
        <v>7</v>
      </c>
      <c r="F100" s="134">
        <v>1.63</v>
      </c>
      <c r="G100" s="134">
        <v>17.62</v>
      </c>
      <c r="H100" s="134">
        <v>9.0399999999999991</v>
      </c>
      <c r="I100" s="134">
        <v>3.68</v>
      </c>
      <c r="J100" s="134">
        <v>0.1</v>
      </c>
      <c r="K100" s="134">
        <v>205.21</v>
      </c>
      <c r="L100" s="134">
        <v>25.32</v>
      </c>
      <c r="M100" s="134">
        <v>98.89</v>
      </c>
      <c r="N100" s="134">
        <v>0</v>
      </c>
      <c r="O100" s="134">
        <v>0</v>
      </c>
      <c r="P100" s="134">
        <v>0.51</v>
      </c>
      <c r="Q100" s="134">
        <v>3.71</v>
      </c>
    </row>
    <row r="101" spans="1:22" customFormat="1">
      <c r="A101" s="112" t="s">
        <v>715</v>
      </c>
      <c r="B101" s="134">
        <v>16.739999999999998</v>
      </c>
      <c r="C101" s="134">
        <v>22.11</v>
      </c>
      <c r="D101" s="134">
        <v>23.94</v>
      </c>
      <c r="E101" s="134">
        <v>7.03</v>
      </c>
      <c r="F101" s="134">
        <v>2.6</v>
      </c>
      <c r="G101" s="134">
        <v>17.62</v>
      </c>
      <c r="H101" s="134">
        <v>9.0399999999999991</v>
      </c>
      <c r="I101" s="134">
        <v>3.71</v>
      </c>
      <c r="J101" s="134">
        <v>0.06</v>
      </c>
      <c r="K101" s="134">
        <v>207.15</v>
      </c>
      <c r="L101" s="134">
        <v>25.34</v>
      </c>
      <c r="M101" s="134">
        <v>98.93</v>
      </c>
      <c r="N101" s="134">
        <v>0</v>
      </c>
      <c r="O101" s="134">
        <v>0</v>
      </c>
      <c r="P101" s="134">
        <v>0.49</v>
      </c>
      <c r="Q101" s="134">
        <v>3.71</v>
      </c>
    </row>
    <row r="102" spans="1:22" customFormat="1">
      <c r="A102" s="112" t="s">
        <v>716</v>
      </c>
      <c r="B102" s="134">
        <v>16.22</v>
      </c>
      <c r="C102" s="134">
        <v>19.63</v>
      </c>
      <c r="D102" s="134">
        <v>22.22</v>
      </c>
      <c r="E102" s="134">
        <v>6.7</v>
      </c>
      <c r="F102" s="134">
        <v>3.34</v>
      </c>
      <c r="G102" s="134">
        <v>17.62</v>
      </c>
      <c r="H102" s="134">
        <v>9.0399999999999991</v>
      </c>
      <c r="I102" s="134">
        <v>3.87</v>
      </c>
      <c r="J102" s="134">
        <v>0.1</v>
      </c>
      <c r="K102" s="134">
        <v>188.41</v>
      </c>
      <c r="L102" s="134">
        <v>25.32</v>
      </c>
      <c r="M102" s="134">
        <v>98.98</v>
      </c>
      <c r="N102" s="134">
        <v>0</v>
      </c>
      <c r="O102" s="134">
        <v>0</v>
      </c>
      <c r="P102" s="134">
        <v>0.48</v>
      </c>
      <c r="Q102" s="134">
        <v>3.66</v>
      </c>
    </row>
    <row r="103" spans="1:22" customFormat="1">
      <c r="A103" s="112" t="s">
        <v>717</v>
      </c>
      <c r="B103" s="134">
        <v>16.899999999999999</v>
      </c>
      <c r="C103" s="134">
        <v>22.48</v>
      </c>
      <c r="D103" s="134">
        <v>24.25</v>
      </c>
      <c r="E103" s="134">
        <v>7.2</v>
      </c>
      <c r="F103" s="134">
        <v>2.04</v>
      </c>
      <c r="G103" s="134">
        <v>17.77</v>
      </c>
      <c r="H103" s="134">
        <v>8.9499999999999993</v>
      </c>
      <c r="I103" s="134">
        <v>3.86</v>
      </c>
      <c r="J103" s="134">
        <v>0.23</v>
      </c>
      <c r="K103" s="134">
        <v>257.08999999999997</v>
      </c>
      <c r="L103" s="134">
        <v>25.36</v>
      </c>
      <c r="M103" s="134">
        <v>99.02</v>
      </c>
      <c r="N103" s="134">
        <v>0</v>
      </c>
      <c r="O103" s="134">
        <v>0</v>
      </c>
      <c r="P103" s="134">
        <v>0.51</v>
      </c>
      <c r="Q103" s="134">
        <v>3.69</v>
      </c>
    </row>
    <row r="104" spans="1:22" customFormat="1">
      <c r="A104" s="112" t="s">
        <v>718</v>
      </c>
      <c r="B104" s="134">
        <v>16.579999999999998</v>
      </c>
      <c r="C104" s="134">
        <v>21.36</v>
      </c>
      <c r="D104" s="134">
        <v>23.41</v>
      </c>
      <c r="E104" s="134">
        <v>7.1</v>
      </c>
      <c r="F104" s="134">
        <v>2.87</v>
      </c>
      <c r="G104" s="134">
        <v>21.02</v>
      </c>
      <c r="H104" s="134">
        <v>6.89</v>
      </c>
      <c r="I104" s="134">
        <v>3.93</v>
      </c>
      <c r="J104" s="134">
        <v>0.35</v>
      </c>
      <c r="K104" s="134">
        <v>256.45</v>
      </c>
      <c r="L104" s="134">
        <v>25.47</v>
      </c>
      <c r="M104" s="134">
        <v>99.01</v>
      </c>
      <c r="N104" s="134">
        <v>0</v>
      </c>
      <c r="O104" s="134">
        <v>0</v>
      </c>
      <c r="P104" s="134">
        <v>0.5</v>
      </c>
      <c r="Q104" s="134">
        <v>3.75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6.09</v>
      </c>
      <c r="C106" s="183">
        <f>MIN(C9:C104)</f>
        <v>15.36</v>
      </c>
      <c r="D106" s="183">
        <f t="shared" ref="D106:Q106" si="0">MIN(D9:D104)</f>
        <v>11.88</v>
      </c>
      <c r="E106" s="183">
        <f t="shared" si="0"/>
        <v>5.83</v>
      </c>
      <c r="F106" s="183">
        <f t="shared" si="0"/>
        <v>1.55</v>
      </c>
      <c r="G106" s="183">
        <f t="shared" si="0"/>
        <v>5.6</v>
      </c>
      <c r="H106" s="183">
        <f t="shared" si="0"/>
        <v>2.5299999999999998</v>
      </c>
      <c r="I106" s="183">
        <f t="shared" si="0"/>
        <v>2.59</v>
      </c>
      <c r="J106" s="183">
        <f t="shared" si="0"/>
        <v>0.05</v>
      </c>
      <c r="K106" s="183">
        <f t="shared" si="0"/>
        <v>62.39</v>
      </c>
      <c r="L106" s="183">
        <f t="shared" si="0"/>
        <v>24.08</v>
      </c>
      <c r="M106" s="183">
        <f t="shared" si="0"/>
        <v>70.48</v>
      </c>
      <c r="N106" s="183">
        <f t="shared" si="0"/>
        <v>0</v>
      </c>
      <c r="O106" s="183">
        <f t="shared" si="0"/>
        <v>0</v>
      </c>
      <c r="P106" s="183">
        <f t="shared" si="0"/>
        <v>0.28999999999999998</v>
      </c>
      <c r="Q106" s="183">
        <f t="shared" si="0"/>
        <v>3.01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16.899999999999999</v>
      </c>
      <c r="C107" s="184">
        <f t="shared" ref="C107:Q107" si="1">MAX(C9:C104)</f>
        <v>25.47</v>
      </c>
      <c r="D107" s="184">
        <f t="shared" si="1"/>
        <v>24.87</v>
      </c>
      <c r="E107" s="184">
        <f t="shared" si="1"/>
        <v>9.43</v>
      </c>
      <c r="F107" s="184">
        <f t="shared" si="1"/>
        <v>9.74</v>
      </c>
      <c r="G107" s="184">
        <f t="shared" si="1"/>
        <v>30.3</v>
      </c>
      <c r="H107" s="184">
        <f t="shared" si="1"/>
        <v>9.0399999999999991</v>
      </c>
      <c r="I107" s="184">
        <f t="shared" si="1"/>
        <v>3.93</v>
      </c>
      <c r="J107" s="184">
        <f t="shared" si="1"/>
        <v>1.51</v>
      </c>
      <c r="K107" s="184">
        <f t="shared" si="1"/>
        <v>359.86</v>
      </c>
      <c r="L107" s="184">
        <f t="shared" si="1"/>
        <v>30.81</v>
      </c>
      <c r="M107" s="184">
        <f t="shared" si="1"/>
        <v>99.02</v>
      </c>
      <c r="N107" s="184">
        <f t="shared" si="1"/>
        <v>786.6</v>
      </c>
      <c r="O107" s="184">
        <f t="shared" si="1"/>
        <v>3.2</v>
      </c>
      <c r="P107" s="184">
        <f t="shared" si="1"/>
        <v>0.51</v>
      </c>
      <c r="Q107" s="184">
        <f t="shared" si="1"/>
        <v>3.75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12.46510416666667</v>
      </c>
      <c r="C108" s="183">
        <f t="shared" ref="C108:Q108" si="2">AVERAGE(C9:C104)</f>
        <v>19.795624999999994</v>
      </c>
      <c r="D108" s="183">
        <f t="shared" si="2"/>
        <v>19.294270833333336</v>
      </c>
      <c r="E108" s="183">
        <f t="shared" si="2"/>
        <v>7.4792708333333344</v>
      </c>
      <c r="F108" s="183">
        <f t="shared" si="2"/>
        <v>3.5052083333333335</v>
      </c>
      <c r="G108" s="183">
        <f t="shared" si="2"/>
        <v>16.608437499999997</v>
      </c>
      <c r="H108" s="183">
        <f t="shared" si="2"/>
        <v>5.3987499999999988</v>
      </c>
      <c r="I108" s="183">
        <f t="shared" si="2"/>
        <v>3.2338541666666671</v>
      </c>
      <c r="J108" s="183">
        <f t="shared" si="2"/>
        <v>0.73968749999999972</v>
      </c>
      <c r="K108" s="183">
        <f t="shared" si="2"/>
        <v>260.48885416666673</v>
      </c>
      <c r="L108" s="183">
        <f t="shared" si="2"/>
        <v>26.85229166666667</v>
      </c>
      <c r="M108" s="183">
        <f t="shared" si="2"/>
        <v>85.488749999999982</v>
      </c>
      <c r="N108" s="183">
        <f t="shared" si="2"/>
        <v>124.87812500000003</v>
      </c>
      <c r="O108" s="183">
        <f t="shared" si="2"/>
        <v>0.1270833333333333</v>
      </c>
      <c r="P108" s="183">
        <f t="shared" si="2"/>
        <v>0.38187499999999991</v>
      </c>
      <c r="Q108" s="183">
        <f t="shared" si="2"/>
        <v>3.4094736842105267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3.2983903553708451</v>
      </c>
      <c r="C109" s="183">
        <f t="shared" ref="C109:Q109" si="3">STDEV(C9:C104)</f>
        <v>2.083991015487312</v>
      </c>
      <c r="D109" s="183">
        <f t="shared" si="3"/>
        <v>3.3791735971330743</v>
      </c>
      <c r="E109" s="183">
        <f t="shared" si="3"/>
        <v>0.73196813964555207</v>
      </c>
      <c r="F109" s="183">
        <f t="shared" si="3"/>
        <v>1.6658805031805834</v>
      </c>
      <c r="G109" s="183">
        <f t="shared" si="3"/>
        <v>7.143175960037154</v>
      </c>
      <c r="H109" s="183">
        <f t="shared" si="3"/>
        <v>1.7843549623264296</v>
      </c>
      <c r="I109" s="183">
        <f t="shared" si="3"/>
        <v>0.36139894792514726</v>
      </c>
      <c r="J109" s="183">
        <f t="shared" si="3"/>
        <v>0.34658166235998561</v>
      </c>
      <c r="K109" s="183">
        <f t="shared" si="3"/>
        <v>38.5991167848169</v>
      </c>
      <c r="L109" s="183">
        <f t="shared" si="3"/>
        <v>2.0606874065999436</v>
      </c>
      <c r="M109" s="183">
        <f t="shared" si="3"/>
        <v>9.6097314985220166</v>
      </c>
      <c r="N109" s="183">
        <f t="shared" si="3"/>
        <v>179.49408974473087</v>
      </c>
      <c r="O109" s="183">
        <f t="shared" si="3"/>
        <v>0.53831690268771826</v>
      </c>
      <c r="P109" s="183">
        <f t="shared" si="3"/>
        <v>5.7111387010961495E-2</v>
      </c>
      <c r="Q109" s="183">
        <f t="shared" si="3"/>
        <v>0.2008353216637318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P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06/08/2023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719</v>
      </c>
      <c r="B9" s="134">
        <v>15.33</v>
      </c>
      <c r="C9" s="134">
        <v>17.37</v>
      </c>
      <c r="D9" s="134">
        <v>20.32</v>
      </c>
      <c r="E9" s="134">
        <v>6.78</v>
      </c>
      <c r="F9" s="134">
        <v>3.88</v>
      </c>
      <c r="G9" s="134">
        <v>21.02</v>
      </c>
      <c r="H9" s="134">
        <v>6.89</v>
      </c>
      <c r="I9" s="134">
        <v>3.99</v>
      </c>
      <c r="J9" s="134">
        <v>0.17</v>
      </c>
      <c r="K9" s="134">
        <v>238.32</v>
      </c>
      <c r="L9" s="134">
        <v>25.47</v>
      </c>
      <c r="M9" s="134">
        <v>99.02</v>
      </c>
      <c r="N9" s="134">
        <v>0</v>
      </c>
      <c r="O9" s="134">
        <v>0</v>
      </c>
      <c r="P9" s="134">
        <v>0.48</v>
      </c>
      <c r="Q9" s="134">
        <v>3.69</v>
      </c>
    </row>
    <row r="10" spans="1:21" customFormat="1">
      <c r="A10" s="112" t="s">
        <v>720</v>
      </c>
      <c r="B10" s="134">
        <v>16.95</v>
      </c>
      <c r="C10" s="134">
        <v>21.33</v>
      </c>
      <c r="D10" s="134">
        <v>23.69</v>
      </c>
      <c r="E10" s="134">
        <v>6.8</v>
      </c>
      <c r="F10" s="134">
        <v>2.4900000000000002</v>
      </c>
      <c r="G10" s="134">
        <v>21.02</v>
      </c>
      <c r="H10" s="134">
        <v>6.89</v>
      </c>
      <c r="I10" s="134">
        <v>3.87</v>
      </c>
      <c r="J10" s="134">
        <v>0.47</v>
      </c>
      <c r="K10" s="134">
        <v>262.68</v>
      </c>
      <c r="L10" s="134">
        <v>25.48</v>
      </c>
      <c r="M10" s="134">
        <v>99.02</v>
      </c>
      <c r="N10" s="134">
        <v>0</v>
      </c>
      <c r="O10" s="134">
        <v>0</v>
      </c>
      <c r="P10" s="134">
        <v>0.5</v>
      </c>
      <c r="Q10" s="134">
        <v>3.7</v>
      </c>
    </row>
    <row r="11" spans="1:21" customFormat="1">
      <c r="A11" s="112" t="s">
        <v>721</v>
      </c>
      <c r="B11" s="134">
        <v>17.420000000000002</v>
      </c>
      <c r="C11" s="134">
        <v>21.84</v>
      </c>
      <c r="D11" s="134">
        <v>24.34</v>
      </c>
      <c r="E11" s="134">
        <v>7.08</v>
      </c>
      <c r="F11" s="134">
        <v>2.59</v>
      </c>
      <c r="G11" s="134">
        <v>20.89</v>
      </c>
      <c r="H11" s="134">
        <v>7.04</v>
      </c>
      <c r="I11" s="134">
        <v>3.83</v>
      </c>
      <c r="J11" s="134">
        <v>0.53</v>
      </c>
      <c r="K11" s="134">
        <v>262.01</v>
      </c>
      <c r="L11" s="134">
        <v>25.51</v>
      </c>
      <c r="M11" s="134">
        <v>99.02</v>
      </c>
      <c r="N11" s="134">
        <v>0</v>
      </c>
      <c r="O11" s="134">
        <v>0</v>
      </c>
      <c r="P11" s="134">
        <v>0.49</v>
      </c>
      <c r="Q11" s="134">
        <v>3.74</v>
      </c>
    </row>
    <row r="12" spans="1:21" customFormat="1">
      <c r="A12" s="112" t="s">
        <v>722</v>
      </c>
      <c r="B12" s="134">
        <v>16.579999999999998</v>
      </c>
      <c r="C12" s="134">
        <v>18.77</v>
      </c>
      <c r="D12" s="134">
        <v>22.06</v>
      </c>
      <c r="E12" s="134">
        <v>6.39</v>
      </c>
      <c r="F12" s="134">
        <v>4.17</v>
      </c>
      <c r="G12" s="134">
        <v>17.95</v>
      </c>
      <c r="H12" s="134">
        <v>9.25</v>
      </c>
      <c r="I12" s="134">
        <v>4</v>
      </c>
      <c r="J12" s="134">
        <v>0.35</v>
      </c>
      <c r="K12" s="134">
        <v>261.45999999999998</v>
      </c>
      <c r="L12" s="134">
        <v>25.47</v>
      </c>
      <c r="M12" s="134">
        <v>98.82</v>
      </c>
      <c r="N12" s="134">
        <v>0</v>
      </c>
      <c r="O12" s="134">
        <v>0</v>
      </c>
      <c r="P12" s="134">
        <v>0.46</v>
      </c>
      <c r="Q12" s="134">
        <v>3.68</v>
      </c>
    </row>
    <row r="13" spans="1:21" customFormat="1">
      <c r="A13" s="112" t="s">
        <v>723</v>
      </c>
      <c r="B13" s="134">
        <v>17.16</v>
      </c>
      <c r="C13" s="134">
        <v>20.399999999999999</v>
      </c>
      <c r="D13" s="134">
        <v>23.37</v>
      </c>
      <c r="E13" s="134">
        <v>6.83</v>
      </c>
      <c r="F13" s="134">
        <v>3.07</v>
      </c>
      <c r="G13" s="134">
        <v>17.95</v>
      </c>
      <c r="H13" s="134">
        <v>9.25</v>
      </c>
      <c r="I13" s="134">
        <v>3.9</v>
      </c>
      <c r="J13" s="134">
        <v>0.53</v>
      </c>
      <c r="K13" s="134">
        <v>261.77999999999997</v>
      </c>
      <c r="L13" s="134">
        <v>25.61</v>
      </c>
      <c r="M13" s="134">
        <v>98.26</v>
      </c>
      <c r="N13" s="134">
        <v>0</v>
      </c>
      <c r="O13" s="134">
        <v>0</v>
      </c>
      <c r="P13" s="134">
        <v>0.48</v>
      </c>
      <c r="Q13" s="134">
        <v>3.67</v>
      </c>
    </row>
    <row r="14" spans="1:21" customFormat="1">
      <c r="A14" s="112" t="s">
        <v>724</v>
      </c>
      <c r="B14" s="134">
        <v>17.559999999999999</v>
      </c>
      <c r="C14" s="134">
        <v>22.1</v>
      </c>
      <c r="D14" s="134">
        <v>24.58</v>
      </c>
      <c r="E14" s="134">
        <v>7.44</v>
      </c>
      <c r="F14" s="134">
        <v>2.17</v>
      </c>
      <c r="G14" s="134">
        <v>17.95</v>
      </c>
      <c r="H14" s="134">
        <v>9.25</v>
      </c>
      <c r="I14" s="134">
        <v>3.69</v>
      </c>
      <c r="J14" s="134">
        <v>0.63</v>
      </c>
      <c r="K14" s="134">
        <v>261.42</v>
      </c>
      <c r="L14" s="134">
        <v>25.73</v>
      </c>
      <c r="M14" s="134">
        <v>97.03</v>
      </c>
      <c r="N14" s="134">
        <v>0</v>
      </c>
      <c r="O14" s="134">
        <v>0</v>
      </c>
      <c r="P14" s="134">
        <v>0.49</v>
      </c>
      <c r="Q14" s="134">
        <v>3.74</v>
      </c>
    </row>
    <row r="15" spans="1:21" customFormat="1">
      <c r="A15" s="112" t="s">
        <v>725</v>
      </c>
      <c r="B15" s="134">
        <v>17.61</v>
      </c>
      <c r="C15" s="134">
        <v>20.92</v>
      </c>
      <c r="D15" s="134">
        <v>24.01</v>
      </c>
      <c r="E15" s="134">
        <v>7.02</v>
      </c>
      <c r="F15" s="134">
        <v>2.77</v>
      </c>
      <c r="G15" s="134">
        <v>17.82</v>
      </c>
      <c r="H15" s="134">
        <v>9.14</v>
      </c>
      <c r="I15" s="134">
        <v>3.84</v>
      </c>
      <c r="J15" s="134">
        <v>0.42</v>
      </c>
      <c r="K15" s="134">
        <v>259.45</v>
      </c>
      <c r="L15" s="134">
        <v>25.73</v>
      </c>
      <c r="M15" s="134">
        <v>95.5</v>
      </c>
      <c r="N15" s="134">
        <v>0</v>
      </c>
      <c r="O15" s="134">
        <v>0</v>
      </c>
      <c r="P15" s="134">
        <v>0.48</v>
      </c>
      <c r="Q15" s="134">
        <v>3.64</v>
      </c>
    </row>
    <row r="16" spans="1:21" customFormat="1">
      <c r="A16" s="112" t="s">
        <v>726</v>
      </c>
      <c r="B16" s="134">
        <v>16.96</v>
      </c>
      <c r="C16" s="134">
        <v>21.49</v>
      </c>
      <c r="D16" s="134">
        <v>23.78</v>
      </c>
      <c r="E16" s="134">
        <v>7.26</v>
      </c>
      <c r="F16" s="134">
        <v>2.86</v>
      </c>
      <c r="G16" s="134">
        <v>15.01</v>
      </c>
      <c r="H16" s="134">
        <v>6.69</v>
      </c>
      <c r="I16" s="134">
        <v>3.87</v>
      </c>
      <c r="J16" s="134">
        <v>0.66</v>
      </c>
      <c r="K16" s="134">
        <v>263.99</v>
      </c>
      <c r="L16" s="134">
        <v>25.74</v>
      </c>
      <c r="M16" s="134">
        <v>93.7</v>
      </c>
      <c r="N16" s="134">
        <v>0</v>
      </c>
      <c r="O16" s="134">
        <v>0</v>
      </c>
      <c r="P16" s="134">
        <v>0.5</v>
      </c>
      <c r="Q16" s="134">
        <v>3.6</v>
      </c>
    </row>
    <row r="17" spans="1:17" customFormat="1">
      <c r="A17" s="112" t="s">
        <v>727</v>
      </c>
      <c r="B17" s="134">
        <v>16.579999999999998</v>
      </c>
      <c r="C17" s="134">
        <v>21.51</v>
      </c>
      <c r="D17" s="134">
        <v>23.49</v>
      </c>
      <c r="E17" s="134">
        <v>6.53</v>
      </c>
      <c r="F17" s="134">
        <v>2.93</v>
      </c>
      <c r="G17" s="134">
        <v>15.01</v>
      </c>
      <c r="H17" s="134">
        <v>6.69</v>
      </c>
      <c r="I17" s="134">
        <v>3.77</v>
      </c>
      <c r="J17" s="134">
        <v>0.63</v>
      </c>
      <c r="K17" s="134">
        <v>262.70999999999998</v>
      </c>
      <c r="L17" s="134">
        <v>25.67</v>
      </c>
      <c r="M17" s="134">
        <v>93.41</v>
      </c>
      <c r="N17" s="134">
        <v>0</v>
      </c>
      <c r="O17" s="134">
        <v>0</v>
      </c>
      <c r="P17" s="134">
        <v>0.49</v>
      </c>
      <c r="Q17" s="134">
        <v>3.65</v>
      </c>
    </row>
    <row r="18" spans="1:17" customFormat="1">
      <c r="A18" s="112" t="s">
        <v>728</v>
      </c>
      <c r="B18" s="134">
        <v>16.43</v>
      </c>
      <c r="C18" s="134">
        <v>19.309999999999999</v>
      </c>
      <c r="D18" s="134">
        <v>22.22</v>
      </c>
      <c r="E18" s="134">
        <v>6.88</v>
      </c>
      <c r="F18" s="134">
        <v>3.45</v>
      </c>
      <c r="G18" s="134">
        <v>15.01</v>
      </c>
      <c r="H18" s="134">
        <v>6.69</v>
      </c>
      <c r="I18" s="134">
        <v>3.7</v>
      </c>
      <c r="J18" s="134">
        <v>0.57999999999999996</v>
      </c>
      <c r="K18" s="134">
        <v>259.02</v>
      </c>
      <c r="L18" s="134">
        <v>25.6</v>
      </c>
      <c r="M18" s="134">
        <v>93.34</v>
      </c>
      <c r="N18" s="134">
        <v>0</v>
      </c>
      <c r="O18" s="134">
        <v>0</v>
      </c>
      <c r="P18" s="134">
        <v>0.44</v>
      </c>
      <c r="Q18" s="134">
        <v>3.58</v>
      </c>
    </row>
    <row r="19" spans="1:17" customFormat="1">
      <c r="A19" s="112" t="s">
        <v>729</v>
      </c>
      <c r="B19" s="134">
        <v>15.84</v>
      </c>
      <c r="C19" s="134">
        <v>18.13</v>
      </c>
      <c r="D19" s="134">
        <v>21.13</v>
      </c>
      <c r="E19" s="134">
        <v>5.93</v>
      </c>
      <c r="F19" s="134">
        <v>3.77</v>
      </c>
      <c r="G19" s="134">
        <v>14.97</v>
      </c>
      <c r="H19" s="134">
        <v>6.58</v>
      </c>
      <c r="I19" s="134">
        <v>3.55</v>
      </c>
      <c r="J19" s="134">
        <v>0.43</v>
      </c>
      <c r="K19" s="134">
        <v>264.98</v>
      </c>
      <c r="L19" s="134">
        <v>25.56</v>
      </c>
      <c r="M19" s="134">
        <v>93.45</v>
      </c>
      <c r="N19" s="134">
        <v>0</v>
      </c>
      <c r="O19" s="134">
        <v>0</v>
      </c>
      <c r="P19" s="134">
        <v>0.41</v>
      </c>
      <c r="Q19" s="134">
        <v>3.53</v>
      </c>
    </row>
    <row r="20" spans="1:17" customFormat="1">
      <c r="A20" s="112" t="s">
        <v>730</v>
      </c>
      <c r="B20" s="134">
        <v>15.51</v>
      </c>
      <c r="C20" s="134">
        <v>18.7</v>
      </c>
      <c r="D20" s="134">
        <v>21.16</v>
      </c>
      <c r="E20" s="134">
        <v>6.75</v>
      </c>
      <c r="F20" s="134">
        <v>3.38</v>
      </c>
      <c r="G20" s="134">
        <v>14.05</v>
      </c>
      <c r="H20" s="134">
        <v>4.8600000000000003</v>
      </c>
      <c r="I20" s="134">
        <v>3.4</v>
      </c>
      <c r="J20" s="134">
        <v>0.44</v>
      </c>
      <c r="K20" s="134">
        <v>265.13</v>
      </c>
      <c r="L20" s="134">
        <v>25.61</v>
      </c>
      <c r="M20" s="134">
        <v>92.96</v>
      </c>
      <c r="N20" s="134">
        <v>0</v>
      </c>
      <c r="O20" s="134">
        <v>0</v>
      </c>
      <c r="P20" s="134">
        <v>0.42</v>
      </c>
      <c r="Q20" s="134">
        <v>3.56</v>
      </c>
    </row>
    <row r="21" spans="1:17" customFormat="1">
      <c r="A21" s="112" t="s">
        <v>731</v>
      </c>
      <c r="B21" s="134">
        <v>16.010000000000002</v>
      </c>
      <c r="C21" s="134">
        <v>21.66</v>
      </c>
      <c r="D21" s="134">
        <v>23.11</v>
      </c>
      <c r="E21" s="134">
        <v>7.52</v>
      </c>
      <c r="F21" s="134">
        <v>2.17</v>
      </c>
      <c r="G21" s="134">
        <v>14.05</v>
      </c>
      <c r="H21" s="134">
        <v>4.8600000000000003</v>
      </c>
      <c r="I21" s="134">
        <v>3.27</v>
      </c>
      <c r="J21" s="134">
        <v>0.66</v>
      </c>
      <c r="K21" s="134">
        <v>268.35000000000002</v>
      </c>
      <c r="L21" s="134">
        <v>25.65</v>
      </c>
      <c r="M21" s="134">
        <v>92.09</v>
      </c>
      <c r="N21" s="134">
        <v>0</v>
      </c>
      <c r="O21" s="134">
        <v>0</v>
      </c>
      <c r="P21" s="134">
        <v>0.44</v>
      </c>
      <c r="Q21" s="134">
        <v>3.62</v>
      </c>
    </row>
    <row r="22" spans="1:17" customFormat="1">
      <c r="A22" s="112" t="s">
        <v>732</v>
      </c>
      <c r="B22" s="134">
        <v>16.3</v>
      </c>
      <c r="C22" s="134">
        <v>19.48</v>
      </c>
      <c r="D22" s="134">
        <v>22.2</v>
      </c>
      <c r="E22" s="134">
        <v>7.45</v>
      </c>
      <c r="F22" s="134">
        <v>3.01</v>
      </c>
      <c r="G22" s="134">
        <v>14.05</v>
      </c>
      <c r="H22" s="134">
        <v>4.8600000000000003</v>
      </c>
      <c r="I22" s="134">
        <v>3.26</v>
      </c>
      <c r="J22" s="134">
        <v>0.8</v>
      </c>
      <c r="K22" s="134">
        <v>263.83</v>
      </c>
      <c r="L22" s="134">
        <v>25.73</v>
      </c>
      <c r="M22" s="134">
        <v>91.26</v>
      </c>
      <c r="N22" s="134">
        <v>0</v>
      </c>
      <c r="O22" s="134">
        <v>0</v>
      </c>
      <c r="P22" s="134">
        <v>0.42</v>
      </c>
      <c r="Q22" s="134">
        <v>3.58</v>
      </c>
    </row>
    <row r="23" spans="1:17" customFormat="1">
      <c r="A23" s="112" t="s">
        <v>733</v>
      </c>
      <c r="B23" s="134">
        <v>16.03</v>
      </c>
      <c r="C23" s="134">
        <v>18.73</v>
      </c>
      <c r="D23" s="134">
        <v>21.59</v>
      </c>
      <c r="E23" s="134">
        <v>7.02</v>
      </c>
      <c r="F23" s="134">
        <v>2.88</v>
      </c>
      <c r="G23" s="134">
        <v>14.01</v>
      </c>
      <c r="H23" s="134">
        <v>4.8099999999999996</v>
      </c>
      <c r="I23" s="134">
        <v>3.43</v>
      </c>
      <c r="J23" s="134">
        <v>0.81</v>
      </c>
      <c r="K23" s="134">
        <v>264.60000000000002</v>
      </c>
      <c r="L23" s="134">
        <v>25.76</v>
      </c>
      <c r="M23" s="134">
        <v>90.72</v>
      </c>
      <c r="N23" s="134">
        <v>0</v>
      </c>
      <c r="O23" s="134">
        <v>0</v>
      </c>
      <c r="P23" s="134">
        <v>0.42</v>
      </c>
      <c r="Q23" s="134">
        <v>3.53</v>
      </c>
    </row>
    <row r="24" spans="1:17" customFormat="1">
      <c r="A24" s="112" t="s">
        <v>734</v>
      </c>
      <c r="B24" s="134">
        <v>16.2</v>
      </c>
      <c r="C24" s="134">
        <v>21.42</v>
      </c>
      <c r="D24" s="134">
        <v>23.13</v>
      </c>
      <c r="E24" s="134">
        <v>7.63</v>
      </c>
      <c r="F24" s="134">
        <v>1.77</v>
      </c>
      <c r="G24" s="134">
        <v>12.99</v>
      </c>
      <c r="H24" s="134">
        <v>3.77</v>
      </c>
      <c r="I24" s="134">
        <v>3.3</v>
      </c>
      <c r="J24" s="134">
        <v>0.9</v>
      </c>
      <c r="K24" s="134">
        <v>263.98</v>
      </c>
      <c r="L24" s="134">
        <v>25.78</v>
      </c>
      <c r="M24" s="134">
        <v>90.13</v>
      </c>
      <c r="N24" s="134">
        <v>0</v>
      </c>
      <c r="O24" s="134">
        <v>0</v>
      </c>
      <c r="P24" s="134">
        <v>0.45</v>
      </c>
      <c r="Q24" s="134">
        <v>3.62</v>
      </c>
    </row>
    <row r="25" spans="1:17" customFormat="1">
      <c r="A25" s="112" t="s">
        <v>735</v>
      </c>
      <c r="B25" s="134">
        <v>16.39</v>
      </c>
      <c r="C25" s="134">
        <v>19.71</v>
      </c>
      <c r="D25" s="134">
        <v>22.4</v>
      </c>
      <c r="E25" s="134">
        <v>8.0299999999999994</v>
      </c>
      <c r="F25" s="134">
        <v>2.64</v>
      </c>
      <c r="G25" s="134">
        <v>12.99</v>
      </c>
      <c r="H25" s="134">
        <v>3.77</v>
      </c>
      <c r="I25" s="134">
        <v>3.29</v>
      </c>
      <c r="J25" s="134">
        <v>0.9</v>
      </c>
      <c r="K25" s="134">
        <v>262.45</v>
      </c>
      <c r="L25" s="134">
        <v>25.85</v>
      </c>
      <c r="M25" s="134">
        <v>89.41</v>
      </c>
      <c r="N25" s="134">
        <v>0</v>
      </c>
      <c r="O25" s="134">
        <v>0</v>
      </c>
      <c r="P25" s="134">
        <v>0.42</v>
      </c>
      <c r="Q25" s="134">
        <v>3.56</v>
      </c>
    </row>
    <row r="26" spans="1:17" customFormat="1">
      <c r="A26" s="112" t="s">
        <v>736</v>
      </c>
      <c r="B26" s="134">
        <v>16.149999999999999</v>
      </c>
      <c r="C26" s="134">
        <v>18.78</v>
      </c>
      <c r="D26" s="134">
        <v>21.72</v>
      </c>
      <c r="E26" s="134">
        <v>7.16</v>
      </c>
      <c r="F26" s="134">
        <v>2.88</v>
      </c>
      <c r="G26" s="134">
        <v>12.99</v>
      </c>
      <c r="H26" s="134">
        <v>3.77</v>
      </c>
      <c r="I26" s="134">
        <v>3.37</v>
      </c>
      <c r="J26" s="134">
        <v>1.05</v>
      </c>
      <c r="K26" s="134">
        <v>265.54000000000002</v>
      </c>
      <c r="L26" s="134">
        <v>25.87</v>
      </c>
      <c r="M26" s="134">
        <v>88.79</v>
      </c>
      <c r="N26" s="134">
        <v>0</v>
      </c>
      <c r="O26" s="134">
        <v>0</v>
      </c>
      <c r="P26" s="134">
        <v>0.41</v>
      </c>
      <c r="Q26" s="134">
        <v>3.51</v>
      </c>
    </row>
    <row r="27" spans="1:17" customFormat="1">
      <c r="A27" s="112" t="s">
        <v>737</v>
      </c>
      <c r="B27" s="134">
        <v>15.98</v>
      </c>
      <c r="C27" s="134">
        <v>21.53</v>
      </c>
      <c r="D27" s="134">
        <v>23.02</v>
      </c>
      <c r="E27" s="134">
        <v>7.73</v>
      </c>
      <c r="F27" s="134">
        <v>1.87</v>
      </c>
      <c r="G27" s="134">
        <v>13</v>
      </c>
      <c r="H27" s="134">
        <v>3.75</v>
      </c>
      <c r="I27" s="134">
        <v>3.3</v>
      </c>
      <c r="J27" s="134">
        <v>0.7</v>
      </c>
      <c r="K27" s="134">
        <v>262.10000000000002</v>
      </c>
      <c r="L27" s="134">
        <v>25.81</v>
      </c>
      <c r="M27" s="134">
        <v>89.23</v>
      </c>
      <c r="N27" s="134">
        <v>0</v>
      </c>
      <c r="O27" s="134">
        <v>0</v>
      </c>
      <c r="P27" s="134">
        <v>0.46</v>
      </c>
      <c r="Q27" s="134">
        <v>3.59</v>
      </c>
    </row>
    <row r="28" spans="1:17" customFormat="1">
      <c r="A28" s="112" t="s">
        <v>738</v>
      </c>
      <c r="B28" s="134">
        <v>16.09</v>
      </c>
      <c r="C28" s="134">
        <v>19.829999999999998</v>
      </c>
      <c r="D28" s="134">
        <v>22.22</v>
      </c>
      <c r="E28" s="134">
        <v>8.2899999999999991</v>
      </c>
      <c r="F28" s="134">
        <v>2.93</v>
      </c>
      <c r="G28" s="134">
        <v>13.13</v>
      </c>
      <c r="H28" s="134">
        <v>3.31</v>
      </c>
      <c r="I28" s="134">
        <v>3.3</v>
      </c>
      <c r="J28" s="134">
        <v>0.56999999999999995</v>
      </c>
      <c r="K28" s="134">
        <v>261.89999999999998</v>
      </c>
      <c r="L28" s="134">
        <v>25.8</v>
      </c>
      <c r="M28" s="134">
        <v>89.48</v>
      </c>
      <c r="N28" s="134">
        <v>0</v>
      </c>
      <c r="O28" s="134">
        <v>0</v>
      </c>
      <c r="P28" s="134">
        <v>0.44</v>
      </c>
      <c r="Q28" s="134">
        <v>3.56</v>
      </c>
    </row>
    <row r="29" spans="1:17" customFormat="1">
      <c r="A29" s="112" t="s">
        <v>739</v>
      </c>
      <c r="B29" s="134">
        <v>16.04</v>
      </c>
      <c r="C29" s="134">
        <v>18.329999999999998</v>
      </c>
      <c r="D29" s="134">
        <v>21.4</v>
      </c>
      <c r="E29" s="134">
        <v>7.5</v>
      </c>
      <c r="F29" s="134">
        <v>3.29</v>
      </c>
      <c r="G29" s="134">
        <v>13.13</v>
      </c>
      <c r="H29" s="134">
        <v>3.31</v>
      </c>
      <c r="I29" s="134">
        <v>3.44</v>
      </c>
      <c r="J29" s="134">
        <v>0.8</v>
      </c>
      <c r="K29" s="134">
        <v>263.37</v>
      </c>
      <c r="L29" s="134">
        <v>25.77</v>
      </c>
      <c r="M29" s="134">
        <v>89.5</v>
      </c>
      <c r="N29" s="134">
        <v>0</v>
      </c>
      <c r="O29" s="134">
        <v>0</v>
      </c>
      <c r="P29" s="134">
        <v>0.43</v>
      </c>
      <c r="Q29" s="134">
        <v>3.51</v>
      </c>
    </row>
    <row r="30" spans="1:17" customFormat="1">
      <c r="A30" s="112" t="s">
        <v>740</v>
      </c>
      <c r="B30" s="134">
        <v>16.2</v>
      </c>
      <c r="C30" s="134">
        <v>21.04</v>
      </c>
      <c r="D30" s="134">
        <v>22.94</v>
      </c>
      <c r="E30" s="134">
        <v>7.54</v>
      </c>
      <c r="F30" s="134">
        <v>1.91</v>
      </c>
      <c r="G30" s="134">
        <v>13.13</v>
      </c>
      <c r="H30" s="134">
        <v>3.31</v>
      </c>
      <c r="I30" s="134">
        <v>3.45</v>
      </c>
      <c r="J30" s="134">
        <v>0.78</v>
      </c>
      <c r="K30" s="134">
        <v>262.47000000000003</v>
      </c>
      <c r="L30" s="134">
        <v>25.79</v>
      </c>
      <c r="M30" s="134">
        <v>89.2</v>
      </c>
      <c r="N30" s="134">
        <v>0</v>
      </c>
      <c r="O30" s="134">
        <v>0</v>
      </c>
      <c r="P30" s="134">
        <v>0.46</v>
      </c>
      <c r="Q30" s="134">
        <v>3.57</v>
      </c>
    </row>
    <row r="31" spans="1:17" customFormat="1">
      <c r="A31" s="112" t="s">
        <v>741</v>
      </c>
      <c r="B31" s="134">
        <v>16.149999999999999</v>
      </c>
      <c r="C31" s="134">
        <v>20.239999999999998</v>
      </c>
      <c r="D31" s="134">
        <v>22.48</v>
      </c>
      <c r="E31" s="134">
        <v>8.2799999999999994</v>
      </c>
      <c r="F31" s="134">
        <v>2.56</v>
      </c>
      <c r="G31" s="134">
        <v>13.09</v>
      </c>
      <c r="H31" s="134">
        <v>3.26</v>
      </c>
      <c r="I31" s="134">
        <v>3.42</v>
      </c>
      <c r="J31" s="134">
        <v>0.74</v>
      </c>
      <c r="K31" s="134">
        <v>265.44</v>
      </c>
      <c r="L31" s="134">
        <v>25.79</v>
      </c>
      <c r="M31" s="134">
        <v>89.45</v>
      </c>
      <c r="N31" s="134">
        <v>0</v>
      </c>
      <c r="O31" s="134">
        <v>0</v>
      </c>
      <c r="P31" s="134">
        <v>0.44</v>
      </c>
      <c r="Q31" s="134">
        <v>3.58</v>
      </c>
    </row>
    <row r="32" spans="1:17" customFormat="1">
      <c r="A32" s="112" t="s">
        <v>742</v>
      </c>
      <c r="B32" s="134">
        <v>15.83</v>
      </c>
      <c r="C32" s="134">
        <v>18.5</v>
      </c>
      <c r="D32" s="134">
        <v>21.31</v>
      </c>
      <c r="E32" s="134">
        <v>7.96</v>
      </c>
      <c r="F32" s="134">
        <v>3.16</v>
      </c>
      <c r="G32" s="134">
        <v>12.2</v>
      </c>
      <c r="H32" s="134">
        <v>2.4900000000000002</v>
      </c>
      <c r="I32" s="134">
        <v>3.5</v>
      </c>
      <c r="J32" s="134">
        <v>0.67</v>
      </c>
      <c r="K32" s="134">
        <v>262.7</v>
      </c>
      <c r="L32" s="134">
        <v>25.73</v>
      </c>
      <c r="M32" s="134">
        <v>90.21</v>
      </c>
      <c r="N32" s="134">
        <v>0.5</v>
      </c>
      <c r="O32" s="134">
        <v>0</v>
      </c>
      <c r="P32" s="134">
        <v>0.44</v>
      </c>
      <c r="Q32" s="134">
        <v>3.53</v>
      </c>
    </row>
    <row r="33" spans="1:17" customFormat="1">
      <c r="A33" s="112" t="s">
        <v>743</v>
      </c>
      <c r="B33" s="134">
        <v>16.309999999999999</v>
      </c>
      <c r="C33" s="134">
        <v>20.87</v>
      </c>
      <c r="D33" s="134">
        <v>22.94</v>
      </c>
      <c r="E33" s="134">
        <v>8.35</v>
      </c>
      <c r="F33" s="134">
        <v>1.95</v>
      </c>
      <c r="G33" s="134">
        <v>12.2</v>
      </c>
      <c r="H33" s="134">
        <v>2.4900000000000002</v>
      </c>
      <c r="I33" s="134">
        <v>3.38</v>
      </c>
      <c r="J33" s="134">
        <v>0.73</v>
      </c>
      <c r="K33" s="134">
        <v>265.52</v>
      </c>
      <c r="L33" s="134">
        <v>25.76</v>
      </c>
      <c r="M33" s="134">
        <v>90.26</v>
      </c>
      <c r="N33" s="134">
        <v>9.3000000000000007</v>
      </c>
      <c r="O33" s="134">
        <v>0</v>
      </c>
      <c r="P33" s="134">
        <v>0.45</v>
      </c>
      <c r="Q33" s="134">
        <v>3.57</v>
      </c>
    </row>
    <row r="34" spans="1:17" customFormat="1">
      <c r="A34" s="112" t="s">
        <v>744</v>
      </c>
      <c r="B34" s="134">
        <v>16.32</v>
      </c>
      <c r="C34" s="134">
        <v>19.16</v>
      </c>
      <c r="D34" s="134">
        <v>22.05</v>
      </c>
      <c r="E34" s="134">
        <v>8.1199999999999992</v>
      </c>
      <c r="F34" s="134">
        <v>3.01</v>
      </c>
      <c r="G34" s="134">
        <v>12.2</v>
      </c>
      <c r="H34" s="134">
        <v>2.4900000000000002</v>
      </c>
      <c r="I34" s="134">
        <v>3.3</v>
      </c>
      <c r="J34" s="134">
        <v>0.66</v>
      </c>
      <c r="K34" s="134">
        <v>260.24</v>
      </c>
      <c r="L34" s="134">
        <v>25.79</v>
      </c>
      <c r="M34" s="134">
        <v>90.39</v>
      </c>
      <c r="N34" s="134">
        <v>18.100000000000001</v>
      </c>
      <c r="O34" s="134">
        <v>0</v>
      </c>
      <c r="P34" s="134">
        <v>0.43</v>
      </c>
      <c r="Q34" s="134">
        <v>3.52</v>
      </c>
    </row>
    <row r="35" spans="1:17" customFormat="1">
      <c r="A35" s="112" t="s">
        <v>745</v>
      </c>
      <c r="B35" s="134">
        <v>16.16</v>
      </c>
      <c r="C35" s="134">
        <v>18.420000000000002</v>
      </c>
      <c r="D35" s="134">
        <v>21.53</v>
      </c>
      <c r="E35" s="134">
        <v>8</v>
      </c>
      <c r="F35" s="134">
        <v>3.15</v>
      </c>
      <c r="G35" s="134">
        <v>12.01</v>
      </c>
      <c r="H35" s="134">
        <v>2.52</v>
      </c>
      <c r="I35" s="134">
        <v>3.43</v>
      </c>
      <c r="J35" s="134">
        <v>0.55000000000000004</v>
      </c>
      <c r="K35" s="134">
        <v>262.81</v>
      </c>
      <c r="L35" s="134">
        <v>25.83</v>
      </c>
      <c r="M35" s="134">
        <v>90.58</v>
      </c>
      <c r="N35" s="134">
        <v>29</v>
      </c>
      <c r="O35" s="134">
        <v>0</v>
      </c>
      <c r="P35" s="134">
        <v>0.42</v>
      </c>
      <c r="Q35" s="134">
        <v>3.46</v>
      </c>
    </row>
    <row r="36" spans="1:17" customFormat="1">
      <c r="A36" s="112" t="s">
        <v>746</v>
      </c>
      <c r="B36" s="134">
        <v>15.89</v>
      </c>
      <c r="C36" s="134">
        <v>20.62</v>
      </c>
      <c r="D36" s="134">
        <v>22.48</v>
      </c>
      <c r="E36" s="134">
        <v>7.96</v>
      </c>
      <c r="F36" s="134">
        <v>1.92</v>
      </c>
      <c r="G36" s="134">
        <v>8.8000000000000007</v>
      </c>
      <c r="H36" s="134">
        <v>2.95</v>
      </c>
      <c r="I36" s="134">
        <v>3.29</v>
      </c>
      <c r="J36" s="134">
        <v>0.61</v>
      </c>
      <c r="K36" s="134">
        <v>266.92</v>
      </c>
      <c r="L36" s="134">
        <v>25.94</v>
      </c>
      <c r="M36" s="134">
        <v>90.51</v>
      </c>
      <c r="N36" s="134">
        <v>51.7</v>
      </c>
      <c r="O36" s="134">
        <v>0</v>
      </c>
      <c r="P36" s="134">
        <v>0.46</v>
      </c>
      <c r="Q36" s="134">
        <v>3.45</v>
      </c>
    </row>
    <row r="37" spans="1:17" customFormat="1">
      <c r="A37" s="112" t="s">
        <v>747</v>
      </c>
      <c r="B37" s="134">
        <v>15.2</v>
      </c>
      <c r="C37" s="134">
        <v>22.13</v>
      </c>
      <c r="D37" s="134">
        <v>22.71</v>
      </c>
      <c r="E37" s="134">
        <v>7.81</v>
      </c>
      <c r="F37" s="134">
        <v>2.1800000000000002</v>
      </c>
      <c r="G37" s="134">
        <v>8.8000000000000007</v>
      </c>
      <c r="H37" s="134">
        <v>2.95</v>
      </c>
      <c r="I37" s="134">
        <v>3.26</v>
      </c>
      <c r="J37" s="134">
        <v>0.73</v>
      </c>
      <c r="K37" s="134">
        <v>264.08999999999997</v>
      </c>
      <c r="L37" s="134">
        <v>26.01</v>
      </c>
      <c r="M37" s="134">
        <v>90.06</v>
      </c>
      <c r="N37" s="134">
        <v>61.2</v>
      </c>
      <c r="O37" s="134">
        <v>0</v>
      </c>
      <c r="P37" s="134">
        <v>0.48</v>
      </c>
      <c r="Q37" s="134">
        <v>3.45</v>
      </c>
    </row>
    <row r="38" spans="1:17" customFormat="1">
      <c r="A38" s="112" t="s">
        <v>748</v>
      </c>
      <c r="B38" s="134">
        <v>15.15</v>
      </c>
      <c r="C38" s="134">
        <v>20.54</v>
      </c>
      <c r="D38" s="134">
        <v>21.83</v>
      </c>
      <c r="E38" s="134">
        <v>7.83</v>
      </c>
      <c r="F38" s="134">
        <v>2.87</v>
      </c>
      <c r="G38" s="134">
        <v>8.8000000000000007</v>
      </c>
      <c r="H38" s="134">
        <v>2.95</v>
      </c>
      <c r="I38" s="134">
        <v>3.34</v>
      </c>
      <c r="J38" s="134">
        <v>0.73</v>
      </c>
      <c r="K38" s="134">
        <v>262.25</v>
      </c>
      <c r="L38" s="134">
        <v>26.08</v>
      </c>
      <c r="M38" s="134">
        <v>90.08</v>
      </c>
      <c r="N38" s="134">
        <v>76.400000000000006</v>
      </c>
      <c r="O38" s="134">
        <v>0</v>
      </c>
      <c r="P38" s="134">
        <v>0.44</v>
      </c>
      <c r="Q38" s="134">
        <v>3.47</v>
      </c>
    </row>
    <row r="39" spans="1:17" customFormat="1">
      <c r="A39" s="112" t="s">
        <v>749</v>
      </c>
      <c r="B39" s="134">
        <v>14.96</v>
      </c>
      <c r="C39" s="134">
        <v>18.350000000000001</v>
      </c>
      <c r="D39" s="134">
        <v>20.54</v>
      </c>
      <c r="E39" s="134">
        <v>7.02</v>
      </c>
      <c r="F39" s="134">
        <v>3.46</v>
      </c>
      <c r="G39" s="134">
        <v>8.76</v>
      </c>
      <c r="H39" s="134">
        <v>2.92</v>
      </c>
      <c r="I39" s="134">
        <v>3.25</v>
      </c>
      <c r="J39" s="134">
        <v>0.75</v>
      </c>
      <c r="K39" s="134">
        <v>263.3</v>
      </c>
      <c r="L39" s="134">
        <v>26.2</v>
      </c>
      <c r="M39" s="134">
        <v>89.57</v>
      </c>
      <c r="N39" s="134">
        <v>88.4</v>
      </c>
      <c r="O39" s="134">
        <v>0</v>
      </c>
      <c r="P39" s="134">
        <v>0.41</v>
      </c>
      <c r="Q39" s="134">
        <v>3.41</v>
      </c>
    </row>
    <row r="40" spans="1:17" customFormat="1">
      <c r="A40" s="112" t="s">
        <v>750</v>
      </c>
      <c r="B40" s="134">
        <v>14.69</v>
      </c>
      <c r="C40" s="134">
        <v>17.09</v>
      </c>
      <c r="D40" s="134">
        <v>19.66</v>
      </c>
      <c r="E40" s="134">
        <v>6.57</v>
      </c>
      <c r="F40" s="134">
        <v>3.47</v>
      </c>
      <c r="G40" s="134">
        <v>8.07</v>
      </c>
      <c r="H40" s="134">
        <v>2.21</v>
      </c>
      <c r="I40" s="134">
        <v>3.15</v>
      </c>
      <c r="J40" s="134">
        <v>0.84</v>
      </c>
      <c r="K40" s="134">
        <v>263.38</v>
      </c>
      <c r="L40" s="134">
        <v>26.33</v>
      </c>
      <c r="M40" s="134">
        <v>88.64</v>
      </c>
      <c r="N40" s="134">
        <v>106.9</v>
      </c>
      <c r="O40" s="134">
        <v>0</v>
      </c>
      <c r="P40" s="134">
        <v>0.4</v>
      </c>
      <c r="Q40" s="134">
        <v>3.39</v>
      </c>
    </row>
    <row r="41" spans="1:17" customFormat="1">
      <c r="A41" s="112" t="s">
        <v>751</v>
      </c>
      <c r="B41" s="134">
        <v>14.69</v>
      </c>
      <c r="C41" s="134">
        <v>20.16</v>
      </c>
      <c r="D41" s="134">
        <v>21.26</v>
      </c>
      <c r="E41" s="134">
        <v>6.64</v>
      </c>
      <c r="F41" s="134">
        <v>2.2999999999999998</v>
      </c>
      <c r="G41" s="134">
        <v>8.07</v>
      </c>
      <c r="H41" s="134">
        <v>2.21</v>
      </c>
      <c r="I41" s="134">
        <v>3.08</v>
      </c>
      <c r="J41" s="134">
        <v>0.89</v>
      </c>
      <c r="K41" s="134">
        <v>261.76</v>
      </c>
      <c r="L41" s="134">
        <v>26.37</v>
      </c>
      <c r="M41" s="134">
        <v>88.51</v>
      </c>
      <c r="N41" s="134">
        <v>88</v>
      </c>
      <c r="O41" s="134">
        <v>0</v>
      </c>
      <c r="P41" s="134">
        <v>0.42</v>
      </c>
      <c r="Q41" s="134">
        <v>3.41</v>
      </c>
    </row>
    <row r="42" spans="1:17" customFormat="1">
      <c r="A42" s="112" t="s">
        <v>752</v>
      </c>
      <c r="B42" s="134">
        <v>14.71</v>
      </c>
      <c r="C42" s="134">
        <v>20.86</v>
      </c>
      <c r="D42" s="134">
        <v>21.65</v>
      </c>
      <c r="E42" s="134">
        <v>7.76</v>
      </c>
      <c r="F42" s="134">
        <v>2.31</v>
      </c>
      <c r="G42" s="134">
        <v>8.07</v>
      </c>
      <c r="H42" s="134">
        <v>2.21</v>
      </c>
      <c r="I42" s="134">
        <v>3.06</v>
      </c>
      <c r="J42" s="134">
        <v>1.01</v>
      </c>
      <c r="K42" s="134">
        <v>261.05</v>
      </c>
      <c r="L42" s="134">
        <v>26.44</v>
      </c>
      <c r="M42" s="134">
        <v>87.64</v>
      </c>
      <c r="N42" s="134">
        <v>128.80000000000001</v>
      </c>
      <c r="O42" s="134">
        <v>0</v>
      </c>
      <c r="P42" s="134">
        <v>0.43</v>
      </c>
      <c r="Q42" s="134">
        <v>3.45</v>
      </c>
    </row>
    <row r="43" spans="1:17" customFormat="1">
      <c r="A43" s="112" t="s">
        <v>753</v>
      </c>
      <c r="B43" s="134">
        <v>14.39</v>
      </c>
      <c r="C43" s="134">
        <v>18.82</v>
      </c>
      <c r="D43" s="134">
        <v>20.329999999999998</v>
      </c>
      <c r="E43" s="134">
        <v>7.07</v>
      </c>
      <c r="F43" s="134">
        <v>3.27</v>
      </c>
      <c r="G43" s="134">
        <v>8.27</v>
      </c>
      <c r="H43" s="134">
        <v>2.2000000000000002</v>
      </c>
      <c r="I43" s="134">
        <v>3.12</v>
      </c>
      <c r="J43" s="134">
        <v>0.93</v>
      </c>
      <c r="K43" s="134">
        <v>263.22000000000003</v>
      </c>
      <c r="L43" s="134">
        <v>26.65</v>
      </c>
      <c r="M43" s="134">
        <v>86.99</v>
      </c>
      <c r="N43" s="134">
        <v>165.5</v>
      </c>
      <c r="O43" s="134">
        <v>0</v>
      </c>
      <c r="P43" s="134">
        <v>0.4</v>
      </c>
      <c r="Q43" s="134">
        <v>3.38</v>
      </c>
    </row>
    <row r="44" spans="1:17" customFormat="1">
      <c r="A44" s="112" t="s">
        <v>754</v>
      </c>
      <c r="B44" s="134">
        <v>14.21</v>
      </c>
      <c r="C44" s="134">
        <v>18.739999999999998</v>
      </c>
      <c r="D44" s="134">
        <v>20.14</v>
      </c>
      <c r="E44" s="134">
        <v>7.26</v>
      </c>
      <c r="F44" s="134">
        <v>2.83</v>
      </c>
      <c r="G44" s="134">
        <v>11.65</v>
      </c>
      <c r="H44" s="134">
        <v>2.0099999999999998</v>
      </c>
      <c r="I44" s="134">
        <v>3.1</v>
      </c>
      <c r="J44" s="134">
        <v>0.93</v>
      </c>
      <c r="K44" s="134">
        <v>262.94</v>
      </c>
      <c r="L44" s="134">
        <v>26.88</v>
      </c>
      <c r="M44" s="134">
        <v>86.02</v>
      </c>
      <c r="N44" s="134">
        <v>212.1</v>
      </c>
      <c r="O44" s="134">
        <v>0</v>
      </c>
      <c r="P44" s="134">
        <v>0.41</v>
      </c>
      <c r="Q44" s="134">
        <v>3.37</v>
      </c>
    </row>
    <row r="45" spans="1:17" customFormat="1">
      <c r="A45" s="112" t="s">
        <v>755</v>
      </c>
      <c r="B45" s="134">
        <v>14.25</v>
      </c>
      <c r="C45" s="134">
        <v>21.1</v>
      </c>
      <c r="D45" s="134">
        <v>21.41</v>
      </c>
      <c r="E45" s="134">
        <v>7.39</v>
      </c>
      <c r="F45" s="134">
        <v>1.91</v>
      </c>
      <c r="G45" s="134">
        <v>11.65</v>
      </c>
      <c r="H45" s="134">
        <v>2.0099999999999998</v>
      </c>
      <c r="I45" s="134">
        <v>3</v>
      </c>
      <c r="J45" s="134">
        <v>1.07</v>
      </c>
      <c r="K45" s="134">
        <v>272.54000000000002</v>
      </c>
      <c r="L45" s="134">
        <v>27.17</v>
      </c>
      <c r="M45" s="134">
        <v>84.18</v>
      </c>
      <c r="N45" s="134">
        <v>248.1</v>
      </c>
      <c r="O45" s="134">
        <v>0</v>
      </c>
      <c r="P45" s="134">
        <v>0.43</v>
      </c>
      <c r="Q45" s="134">
        <v>3.42</v>
      </c>
    </row>
    <row r="46" spans="1:17" customFormat="1">
      <c r="A46" s="112" t="s">
        <v>756</v>
      </c>
      <c r="B46" s="134">
        <v>14.29</v>
      </c>
      <c r="C46" s="134">
        <v>19.670000000000002</v>
      </c>
      <c r="D46" s="134">
        <v>20.69</v>
      </c>
      <c r="E46" s="134">
        <v>8.02</v>
      </c>
      <c r="F46" s="134">
        <v>2.68</v>
      </c>
      <c r="G46" s="134">
        <v>11.65</v>
      </c>
      <c r="H46" s="134">
        <v>2.0099999999999998</v>
      </c>
      <c r="I46" s="134">
        <v>3.01</v>
      </c>
      <c r="J46" s="134">
        <v>0.79</v>
      </c>
      <c r="K46" s="134">
        <v>271.89</v>
      </c>
      <c r="L46" s="134">
        <v>27.42</v>
      </c>
      <c r="M46" s="134">
        <v>83.59</v>
      </c>
      <c r="N46" s="134">
        <v>240.9</v>
      </c>
      <c r="O46" s="134">
        <v>0</v>
      </c>
      <c r="P46" s="134">
        <v>0.42</v>
      </c>
      <c r="Q46" s="134">
        <v>3.39</v>
      </c>
    </row>
    <row r="47" spans="1:17" customFormat="1">
      <c r="A47" s="112" t="s">
        <v>757</v>
      </c>
      <c r="B47" s="134">
        <v>14.1</v>
      </c>
      <c r="C47" s="134">
        <v>18.61</v>
      </c>
      <c r="D47" s="134">
        <v>19.98</v>
      </c>
      <c r="E47" s="134">
        <v>8.0399999999999991</v>
      </c>
      <c r="F47" s="134">
        <v>3.15</v>
      </c>
      <c r="G47" s="134">
        <v>11.69</v>
      </c>
      <c r="H47" s="134">
        <v>2.14</v>
      </c>
      <c r="I47" s="134">
        <v>3.11</v>
      </c>
      <c r="J47" s="134">
        <v>1.1299999999999999</v>
      </c>
      <c r="K47" s="134">
        <v>266.49</v>
      </c>
      <c r="L47" s="134">
        <v>27.45</v>
      </c>
      <c r="M47" s="134">
        <v>83.09</v>
      </c>
      <c r="N47" s="134">
        <v>231.7</v>
      </c>
      <c r="O47" s="134">
        <v>0</v>
      </c>
      <c r="P47" s="134">
        <v>0.42</v>
      </c>
      <c r="Q47" s="134">
        <v>3.34</v>
      </c>
    </row>
    <row r="48" spans="1:17" customFormat="1">
      <c r="A48" s="112" t="s">
        <v>758</v>
      </c>
      <c r="B48" s="134">
        <v>13.8</v>
      </c>
      <c r="C48" s="134">
        <v>18.32</v>
      </c>
      <c r="D48" s="134">
        <v>19.59</v>
      </c>
      <c r="E48" s="134">
        <v>7.89</v>
      </c>
      <c r="F48" s="134">
        <v>3.19</v>
      </c>
      <c r="G48" s="134">
        <v>12.47</v>
      </c>
      <c r="H48" s="134">
        <v>4.79</v>
      </c>
      <c r="I48" s="134">
        <v>3.09</v>
      </c>
      <c r="J48" s="134">
        <v>1.18</v>
      </c>
      <c r="K48" s="134">
        <v>264.22000000000003</v>
      </c>
      <c r="L48" s="134">
        <v>27.61</v>
      </c>
      <c r="M48" s="134">
        <v>82.18</v>
      </c>
      <c r="N48" s="134">
        <v>247.5</v>
      </c>
      <c r="O48" s="134">
        <v>0</v>
      </c>
      <c r="P48" s="134">
        <v>0.41</v>
      </c>
      <c r="Q48" s="134">
        <v>3.32</v>
      </c>
    </row>
    <row r="49" spans="1:17" customFormat="1">
      <c r="A49" s="112" t="s">
        <v>759</v>
      </c>
      <c r="B49" s="134">
        <v>13.85</v>
      </c>
      <c r="C49" s="134">
        <v>18.940000000000001</v>
      </c>
      <c r="D49" s="134">
        <v>19.95</v>
      </c>
      <c r="E49" s="134">
        <v>7.36</v>
      </c>
      <c r="F49" s="134">
        <v>2.65</v>
      </c>
      <c r="G49" s="134">
        <v>12.47</v>
      </c>
      <c r="H49" s="134">
        <v>4.79</v>
      </c>
      <c r="I49" s="134">
        <v>3.12</v>
      </c>
      <c r="J49" s="134">
        <v>1.1200000000000001</v>
      </c>
      <c r="K49" s="134">
        <v>265.39</v>
      </c>
      <c r="L49" s="134">
        <v>27.36</v>
      </c>
      <c r="M49" s="134">
        <v>82.76</v>
      </c>
      <c r="N49" s="134">
        <v>165.7</v>
      </c>
      <c r="O49" s="134">
        <v>0</v>
      </c>
      <c r="P49" s="134">
        <v>0.43</v>
      </c>
      <c r="Q49" s="134">
        <v>3.32</v>
      </c>
    </row>
    <row r="50" spans="1:17" customFormat="1">
      <c r="A50" s="112" t="s">
        <v>760</v>
      </c>
      <c r="B50" s="134">
        <v>13.71</v>
      </c>
      <c r="C50" s="134">
        <v>21.24</v>
      </c>
      <c r="D50" s="134">
        <v>21.05</v>
      </c>
      <c r="E50" s="134">
        <v>8.5299999999999994</v>
      </c>
      <c r="F50" s="134">
        <v>1.77</v>
      </c>
      <c r="G50" s="134">
        <v>12.47</v>
      </c>
      <c r="H50" s="134">
        <v>4.79</v>
      </c>
      <c r="I50" s="134">
        <v>3.21</v>
      </c>
      <c r="J50" s="134">
        <v>1.04</v>
      </c>
      <c r="K50" s="134">
        <v>266.38</v>
      </c>
      <c r="L50" s="134">
        <v>27.21</v>
      </c>
      <c r="M50" s="134">
        <v>83.09</v>
      </c>
      <c r="N50" s="134">
        <v>93.5</v>
      </c>
      <c r="O50" s="134">
        <v>0</v>
      </c>
      <c r="P50" s="134">
        <v>0.45</v>
      </c>
      <c r="Q50" s="134">
        <v>3.38</v>
      </c>
    </row>
    <row r="51" spans="1:17" customFormat="1">
      <c r="A51" s="112" t="s">
        <v>761</v>
      </c>
      <c r="B51" s="134">
        <v>13.63</v>
      </c>
      <c r="C51" s="134">
        <v>19.71</v>
      </c>
      <c r="D51" s="134">
        <v>20.18</v>
      </c>
      <c r="E51" s="134">
        <v>8.57</v>
      </c>
      <c r="F51" s="134">
        <v>2.78</v>
      </c>
      <c r="G51" s="134">
        <v>12.77</v>
      </c>
      <c r="H51" s="134">
        <v>4.93</v>
      </c>
      <c r="I51" s="134">
        <v>3.3</v>
      </c>
      <c r="J51" s="134">
        <v>0.87</v>
      </c>
      <c r="K51" s="134">
        <v>268.82</v>
      </c>
      <c r="L51" s="134">
        <v>27.3</v>
      </c>
      <c r="M51" s="134">
        <v>83.54</v>
      </c>
      <c r="N51" s="134">
        <v>137.30000000000001</v>
      </c>
      <c r="O51" s="134">
        <v>0</v>
      </c>
      <c r="P51" s="134">
        <v>0.45</v>
      </c>
      <c r="Q51" s="134">
        <v>3.35</v>
      </c>
    </row>
    <row r="52" spans="1:17" customFormat="1">
      <c r="A52" s="112" t="s">
        <v>762</v>
      </c>
      <c r="B52" s="134">
        <v>13.36</v>
      </c>
      <c r="C52" s="134">
        <v>18.489999999999998</v>
      </c>
      <c r="D52" s="134">
        <v>19.329999999999998</v>
      </c>
      <c r="E52" s="134">
        <v>8.73</v>
      </c>
      <c r="F52" s="134">
        <v>3.67</v>
      </c>
      <c r="G52" s="134">
        <v>17.78</v>
      </c>
      <c r="H52" s="134">
        <v>7.23</v>
      </c>
      <c r="I52" s="134">
        <v>3.34</v>
      </c>
      <c r="J52" s="134">
        <v>0.97</v>
      </c>
      <c r="K52" s="134">
        <v>263.05</v>
      </c>
      <c r="L52" s="134">
        <v>27.46</v>
      </c>
      <c r="M52" s="134">
        <v>82.29</v>
      </c>
      <c r="N52" s="134">
        <v>178.5</v>
      </c>
      <c r="O52" s="134">
        <v>0</v>
      </c>
      <c r="P52" s="134">
        <v>0.44</v>
      </c>
      <c r="Q52" s="134">
        <v>3.3</v>
      </c>
    </row>
    <row r="53" spans="1:17" customFormat="1">
      <c r="A53" s="112" t="s">
        <v>763</v>
      </c>
      <c r="B53" s="134">
        <v>12.93</v>
      </c>
      <c r="C53" s="134">
        <v>18.36</v>
      </c>
      <c r="D53" s="134">
        <v>18.920000000000002</v>
      </c>
      <c r="E53" s="134">
        <v>8.76</v>
      </c>
      <c r="F53" s="134">
        <v>3.8</v>
      </c>
      <c r="G53" s="134">
        <v>17.78</v>
      </c>
      <c r="H53" s="134">
        <v>7.23</v>
      </c>
      <c r="I53" s="134">
        <v>3.31</v>
      </c>
      <c r="J53" s="134">
        <v>0.89</v>
      </c>
      <c r="K53" s="134">
        <v>271.79000000000002</v>
      </c>
      <c r="L53" s="134">
        <v>28.01</v>
      </c>
      <c r="M53" s="134">
        <v>81.349999999999994</v>
      </c>
      <c r="N53" s="134">
        <v>336.4</v>
      </c>
      <c r="O53" s="134">
        <v>0</v>
      </c>
      <c r="P53" s="134">
        <v>0.43</v>
      </c>
      <c r="Q53" s="134">
        <v>3.27</v>
      </c>
    </row>
    <row r="54" spans="1:17" customFormat="1">
      <c r="A54" s="112" t="s">
        <v>764</v>
      </c>
      <c r="B54" s="134">
        <v>12.68</v>
      </c>
      <c r="C54" s="134">
        <v>18.760000000000002</v>
      </c>
      <c r="D54" s="134">
        <v>18.93</v>
      </c>
      <c r="E54" s="134">
        <v>8.3699999999999992</v>
      </c>
      <c r="F54" s="134">
        <v>3.66</v>
      </c>
      <c r="G54" s="134">
        <v>17.78</v>
      </c>
      <c r="H54" s="134">
        <v>7.23</v>
      </c>
      <c r="I54" s="134">
        <v>3.25</v>
      </c>
      <c r="J54" s="134">
        <v>1.1499999999999999</v>
      </c>
      <c r="K54" s="134">
        <v>266.8</v>
      </c>
      <c r="L54" s="134">
        <v>28.7</v>
      </c>
      <c r="M54" s="134">
        <v>78.650000000000006</v>
      </c>
      <c r="N54" s="134">
        <v>459.4</v>
      </c>
      <c r="O54" s="134">
        <v>0</v>
      </c>
      <c r="P54" s="134">
        <v>0.44</v>
      </c>
      <c r="Q54" s="134">
        <v>3.26</v>
      </c>
    </row>
    <row r="55" spans="1:17" customFormat="1">
      <c r="A55" s="112" t="s">
        <v>765</v>
      </c>
      <c r="B55" s="134">
        <v>12.54</v>
      </c>
      <c r="C55" s="134">
        <v>21.05</v>
      </c>
      <c r="D55" s="134">
        <v>20.010000000000002</v>
      </c>
      <c r="E55" s="134">
        <v>8.77</v>
      </c>
      <c r="F55" s="134">
        <v>2.36</v>
      </c>
      <c r="G55" s="134">
        <v>18.03</v>
      </c>
      <c r="H55" s="134">
        <v>7.16</v>
      </c>
      <c r="I55" s="134">
        <v>3.2</v>
      </c>
      <c r="J55" s="134">
        <v>1.18</v>
      </c>
      <c r="K55" s="134">
        <v>263.19</v>
      </c>
      <c r="L55" s="134">
        <v>29.26</v>
      </c>
      <c r="M55" s="134">
        <v>76.56</v>
      </c>
      <c r="N55" s="134">
        <v>571.9</v>
      </c>
      <c r="O55" s="134">
        <v>0</v>
      </c>
      <c r="P55" s="134">
        <v>0.49</v>
      </c>
      <c r="Q55" s="134">
        <v>3.31</v>
      </c>
    </row>
    <row r="56" spans="1:17" customFormat="1">
      <c r="A56" s="112" t="s">
        <v>766</v>
      </c>
      <c r="B56" s="134">
        <v>12.19</v>
      </c>
      <c r="C56" s="134">
        <v>20.41</v>
      </c>
      <c r="D56" s="134">
        <v>19.39</v>
      </c>
      <c r="E56" s="134">
        <v>9.0399999999999991</v>
      </c>
      <c r="F56" s="134">
        <v>3.48</v>
      </c>
      <c r="G56" s="134">
        <v>22.28</v>
      </c>
      <c r="H56" s="134">
        <v>6.01</v>
      </c>
      <c r="I56" s="134">
        <v>3.28</v>
      </c>
      <c r="J56" s="134">
        <v>1.1399999999999999</v>
      </c>
      <c r="K56" s="134">
        <v>265.83</v>
      </c>
      <c r="L56" s="134">
        <v>29.27</v>
      </c>
      <c r="M56" s="134">
        <v>76.17</v>
      </c>
      <c r="N56" s="134">
        <v>471.3</v>
      </c>
      <c r="O56" s="134">
        <v>0</v>
      </c>
      <c r="P56" s="134">
        <v>0.48</v>
      </c>
      <c r="Q56" s="134">
        <v>3.28</v>
      </c>
    </row>
    <row r="57" spans="1:17" customFormat="1">
      <c r="A57" s="112" t="s">
        <v>767</v>
      </c>
      <c r="B57" s="134">
        <v>11.53</v>
      </c>
      <c r="C57" s="134">
        <v>21.44</v>
      </c>
      <c r="D57" s="134">
        <v>19.399999999999999</v>
      </c>
      <c r="E57" s="134">
        <v>8.3699999999999992</v>
      </c>
      <c r="F57" s="134">
        <v>3.01</v>
      </c>
      <c r="G57" s="134">
        <v>22.28</v>
      </c>
      <c r="H57" s="134">
        <v>6.01</v>
      </c>
      <c r="I57" s="134">
        <v>3.41</v>
      </c>
      <c r="J57" s="134">
        <v>0.94</v>
      </c>
      <c r="K57" s="134">
        <v>265.68</v>
      </c>
      <c r="L57" s="134">
        <v>29.5</v>
      </c>
      <c r="M57" s="134">
        <v>76.91</v>
      </c>
      <c r="N57" s="134">
        <v>529</v>
      </c>
      <c r="O57" s="134">
        <v>0</v>
      </c>
      <c r="P57" s="134">
        <v>0.5</v>
      </c>
      <c r="Q57" s="134">
        <v>3.21</v>
      </c>
    </row>
    <row r="58" spans="1:17" customFormat="1">
      <c r="A58" s="112" t="s">
        <v>768</v>
      </c>
      <c r="B58" s="134">
        <v>10.67</v>
      </c>
      <c r="C58" s="134">
        <v>22.97</v>
      </c>
      <c r="D58" s="134">
        <v>19.52</v>
      </c>
      <c r="E58" s="134">
        <v>8.68</v>
      </c>
      <c r="F58" s="134">
        <v>3.16</v>
      </c>
      <c r="G58" s="134">
        <v>22.28</v>
      </c>
      <c r="H58" s="134">
        <v>6.01</v>
      </c>
      <c r="I58" s="134">
        <v>3.39</v>
      </c>
      <c r="J58" s="134">
        <v>0.69</v>
      </c>
      <c r="K58" s="134">
        <v>283.29000000000002</v>
      </c>
      <c r="L58" s="134">
        <v>29.42</v>
      </c>
      <c r="M58" s="134">
        <v>77.540000000000006</v>
      </c>
      <c r="N58" s="134">
        <v>378.7</v>
      </c>
      <c r="O58" s="134">
        <v>0</v>
      </c>
      <c r="P58" s="134">
        <v>0.53</v>
      </c>
      <c r="Q58" s="134">
        <v>3.21</v>
      </c>
    </row>
    <row r="59" spans="1:17" customFormat="1">
      <c r="A59" s="112" t="s">
        <v>769</v>
      </c>
      <c r="B59" s="134">
        <v>10.36</v>
      </c>
      <c r="C59" s="134">
        <v>20.37</v>
      </c>
      <c r="D59" s="134">
        <v>17.91</v>
      </c>
      <c r="E59" s="134">
        <v>7.78</v>
      </c>
      <c r="F59" s="134">
        <v>4.5999999999999996</v>
      </c>
      <c r="G59" s="134">
        <v>22.41</v>
      </c>
      <c r="H59" s="134">
        <v>6.05</v>
      </c>
      <c r="I59" s="134">
        <v>3.45</v>
      </c>
      <c r="J59" s="134">
        <v>0.89</v>
      </c>
      <c r="K59" s="134">
        <v>264.05</v>
      </c>
      <c r="L59" s="134">
        <v>29.17</v>
      </c>
      <c r="M59" s="134">
        <v>77.58</v>
      </c>
      <c r="N59" s="134">
        <v>279.3</v>
      </c>
      <c r="O59" s="134">
        <v>0</v>
      </c>
      <c r="P59" s="134">
        <v>0.48</v>
      </c>
      <c r="Q59" s="134">
        <v>3.19</v>
      </c>
    </row>
    <row r="60" spans="1:17" customFormat="1">
      <c r="A60" s="112" t="s">
        <v>770</v>
      </c>
      <c r="B60" s="134">
        <v>9.82</v>
      </c>
      <c r="C60" s="134">
        <v>18.04</v>
      </c>
      <c r="D60" s="134">
        <v>16.260000000000002</v>
      </c>
      <c r="E60" s="134">
        <v>6.97</v>
      </c>
      <c r="F60" s="134">
        <v>5.58</v>
      </c>
      <c r="G60" s="134">
        <v>24.74</v>
      </c>
      <c r="H60" s="134">
        <v>6.94</v>
      </c>
      <c r="I60" s="134">
        <v>3.44</v>
      </c>
      <c r="J60" s="134">
        <v>0.99</v>
      </c>
      <c r="K60" s="134">
        <v>265.04000000000002</v>
      </c>
      <c r="L60" s="134">
        <v>29.41</v>
      </c>
      <c r="M60" s="134">
        <v>76.63</v>
      </c>
      <c r="N60" s="134">
        <v>347.6</v>
      </c>
      <c r="O60" s="134">
        <v>0</v>
      </c>
      <c r="P60" s="134">
        <v>0.44</v>
      </c>
      <c r="Q60" s="134">
        <v>3.12</v>
      </c>
    </row>
    <row r="61" spans="1:17" customFormat="1">
      <c r="A61" s="112" t="s">
        <v>771</v>
      </c>
      <c r="B61" s="134">
        <v>9.67</v>
      </c>
      <c r="C61" s="134">
        <v>19.02</v>
      </c>
      <c r="D61" s="134">
        <v>16.64</v>
      </c>
      <c r="E61" s="134">
        <v>7.16</v>
      </c>
      <c r="F61" s="134">
        <v>4.33</v>
      </c>
      <c r="G61" s="134">
        <v>24.74</v>
      </c>
      <c r="H61" s="134">
        <v>6.94</v>
      </c>
      <c r="I61" s="134">
        <v>3.29</v>
      </c>
      <c r="J61" s="134">
        <v>1.08</v>
      </c>
      <c r="K61" s="134">
        <v>264.27999999999997</v>
      </c>
      <c r="L61" s="134">
        <v>29.09</v>
      </c>
      <c r="M61" s="134">
        <v>76.89</v>
      </c>
      <c r="N61" s="134">
        <v>275.2</v>
      </c>
      <c r="O61" s="134">
        <v>0</v>
      </c>
      <c r="P61" s="134">
        <v>0.43</v>
      </c>
      <c r="Q61" s="134">
        <v>3.13</v>
      </c>
    </row>
    <row r="62" spans="1:17" customFormat="1">
      <c r="A62" s="112" t="s">
        <v>772</v>
      </c>
      <c r="B62" s="134">
        <v>9.2899999999999991</v>
      </c>
      <c r="C62" s="134">
        <v>19.32</v>
      </c>
      <c r="D62" s="134">
        <v>16.5</v>
      </c>
      <c r="E62" s="134">
        <v>7.63</v>
      </c>
      <c r="F62" s="134">
        <v>4.5</v>
      </c>
      <c r="G62" s="134">
        <v>24.74</v>
      </c>
      <c r="H62" s="134">
        <v>6.94</v>
      </c>
      <c r="I62" s="134">
        <v>3.15</v>
      </c>
      <c r="J62" s="134">
        <v>0.78</v>
      </c>
      <c r="K62" s="134">
        <v>271.73</v>
      </c>
      <c r="L62" s="134">
        <v>29.83</v>
      </c>
      <c r="M62" s="134">
        <v>76.34</v>
      </c>
      <c r="N62" s="134">
        <v>543.6</v>
      </c>
      <c r="O62" s="134">
        <v>0</v>
      </c>
      <c r="P62" s="134">
        <v>0.43</v>
      </c>
      <c r="Q62" s="134">
        <v>3.11</v>
      </c>
    </row>
    <row r="63" spans="1:17" customFormat="1">
      <c r="A63" s="112" t="s">
        <v>773</v>
      </c>
      <c r="B63" s="134">
        <v>9.0299999999999994</v>
      </c>
      <c r="C63" s="134">
        <v>19.75</v>
      </c>
      <c r="D63" s="134">
        <v>16.510000000000002</v>
      </c>
      <c r="E63" s="134">
        <v>7.67</v>
      </c>
      <c r="F63" s="134">
        <v>4.32</v>
      </c>
      <c r="G63" s="134">
        <v>24.78</v>
      </c>
      <c r="H63" s="134">
        <v>7.08</v>
      </c>
      <c r="I63" s="134">
        <v>3.25</v>
      </c>
      <c r="J63" s="134">
        <v>1.1100000000000001</v>
      </c>
      <c r="K63" s="134">
        <v>261.39999999999998</v>
      </c>
      <c r="L63" s="134">
        <v>30.14</v>
      </c>
      <c r="M63" s="134">
        <v>74.16</v>
      </c>
      <c r="N63" s="134">
        <v>496</v>
      </c>
      <c r="O63" s="134">
        <v>0</v>
      </c>
      <c r="P63" s="134">
        <v>0.44</v>
      </c>
      <c r="Q63" s="134">
        <v>3.08</v>
      </c>
    </row>
    <row r="64" spans="1:17" customFormat="1">
      <c r="A64" s="112" t="s">
        <v>774</v>
      </c>
      <c r="B64" s="134">
        <v>8.83</v>
      </c>
      <c r="C64" s="134">
        <v>21.22</v>
      </c>
      <c r="D64" s="134">
        <v>17.12</v>
      </c>
      <c r="E64" s="134">
        <v>7.83</v>
      </c>
      <c r="F64" s="134">
        <v>3.01</v>
      </c>
      <c r="G64" s="134">
        <v>25.49</v>
      </c>
      <c r="H64" s="134">
        <v>9.2799999999999994</v>
      </c>
      <c r="I64" s="134">
        <v>3.28</v>
      </c>
      <c r="J64" s="134">
        <v>1.1000000000000001</v>
      </c>
      <c r="K64" s="134">
        <v>261.18</v>
      </c>
      <c r="L64" s="134">
        <v>29.61</v>
      </c>
      <c r="M64" s="134">
        <v>75.62</v>
      </c>
      <c r="N64" s="134">
        <v>280.5</v>
      </c>
      <c r="O64" s="134">
        <v>0</v>
      </c>
      <c r="P64" s="134">
        <v>0.46</v>
      </c>
      <c r="Q64" s="134">
        <v>3.11</v>
      </c>
    </row>
    <row r="65" spans="1:17" customFormat="1">
      <c r="A65" s="112" t="s">
        <v>775</v>
      </c>
      <c r="B65" s="134">
        <v>8.68</v>
      </c>
      <c r="C65" s="134">
        <v>20.83</v>
      </c>
      <c r="D65" s="134">
        <v>16.8</v>
      </c>
      <c r="E65" s="134">
        <v>8.15</v>
      </c>
      <c r="F65" s="134">
        <v>3.55</v>
      </c>
      <c r="G65" s="134">
        <v>25.49</v>
      </c>
      <c r="H65" s="134">
        <v>9.2799999999999994</v>
      </c>
      <c r="I65" s="134">
        <v>3.35</v>
      </c>
      <c r="J65" s="134">
        <v>0.97</v>
      </c>
      <c r="K65" s="134">
        <v>264.83</v>
      </c>
      <c r="L65" s="134">
        <v>29.95</v>
      </c>
      <c r="M65" s="134">
        <v>74.63</v>
      </c>
      <c r="N65" s="134">
        <v>466.9</v>
      </c>
      <c r="O65" s="134">
        <v>0</v>
      </c>
      <c r="P65" s="134">
        <v>0.36</v>
      </c>
      <c r="Q65" s="134">
        <v>3.09</v>
      </c>
    </row>
    <row r="66" spans="1:17" customFormat="1">
      <c r="A66" s="112" t="s">
        <v>776</v>
      </c>
      <c r="B66" s="134">
        <v>8.32</v>
      </c>
      <c r="C66" s="134">
        <v>19.760000000000002</v>
      </c>
      <c r="D66" s="134">
        <v>15.95</v>
      </c>
      <c r="E66" s="134">
        <v>8.25</v>
      </c>
      <c r="F66" s="134">
        <v>4.47</v>
      </c>
      <c r="G66" s="134">
        <v>25.49</v>
      </c>
      <c r="H66" s="134">
        <v>9.2799999999999994</v>
      </c>
      <c r="I66" s="134">
        <v>3.39</v>
      </c>
      <c r="J66" s="134">
        <v>1.08</v>
      </c>
      <c r="K66" s="134">
        <v>267.89999999999998</v>
      </c>
      <c r="L66" s="134">
        <v>30.17</v>
      </c>
      <c r="M66" s="134">
        <v>73.47</v>
      </c>
      <c r="N66" s="134">
        <v>444.1</v>
      </c>
      <c r="O66" s="134">
        <v>0</v>
      </c>
      <c r="P66" s="134">
        <v>0.37</v>
      </c>
      <c r="Q66" s="134">
        <v>3.06</v>
      </c>
    </row>
    <row r="67" spans="1:17" customFormat="1">
      <c r="A67" s="112" t="s">
        <v>777</v>
      </c>
      <c r="B67" s="134">
        <v>7.96</v>
      </c>
      <c r="C67" s="134">
        <v>19.440000000000001</v>
      </c>
      <c r="D67" s="134">
        <v>15.49</v>
      </c>
      <c r="E67" s="134">
        <v>7.59</v>
      </c>
      <c r="F67" s="134">
        <v>4.37</v>
      </c>
      <c r="G67" s="134">
        <v>25.25</v>
      </c>
      <c r="H67" s="134">
        <v>9.17</v>
      </c>
      <c r="I67" s="134">
        <v>3.33</v>
      </c>
      <c r="J67" s="134">
        <v>1.03</v>
      </c>
      <c r="K67" s="134">
        <v>266.7</v>
      </c>
      <c r="L67" s="134">
        <v>29.8</v>
      </c>
      <c r="M67" s="134">
        <v>74.77</v>
      </c>
      <c r="N67" s="134">
        <v>219.7</v>
      </c>
      <c r="O67" s="134">
        <v>0</v>
      </c>
      <c r="P67" s="134">
        <v>0.36</v>
      </c>
      <c r="Q67" s="134">
        <v>3.01</v>
      </c>
    </row>
    <row r="68" spans="1:17" customFormat="1">
      <c r="A68" s="112" t="s">
        <v>778</v>
      </c>
      <c r="B68" s="134">
        <v>7.59</v>
      </c>
      <c r="C68" s="134">
        <v>19</v>
      </c>
      <c r="D68" s="134">
        <v>14.97</v>
      </c>
      <c r="E68" s="134">
        <v>7.8</v>
      </c>
      <c r="F68" s="134">
        <v>4.8099999999999996</v>
      </c>
      <c r="G68" s="134">
        <v>21.08</v>
      </c>
      <c r="H68" s="134">
        <v>6.84</v>
      </c>
      <c r="I68" s="134">
        <v>3.35</v>
      </c>
      <c r="J68" s="134">
        <v>0.95</v>
      </c>
      <c r="K68" s="134">
        <v>261.39999999999998</v>
      </c>
      <c r="L68" s="134">
        <v>29.42</v>
      </c>
      <c r="M68" s="134">
        <v>76.16</v>
      </c>
      <c r="N68" s="134">
        <v>216.1</v>
      </c>
      <c r="O68" s="134">
        <v>0</v>
      </c>
      <c r="P68" s="134">
        <v>0.35</v>
      </c>
      <c r="Q68" s="134">
        <v>3.01</v>
      </c>
    </row>
    <row r="69" spans="1:17" customFormat="1">
      <c r="A69" s="112" t="s">
        <v>779</v>
      </c>
      <c r="B69" s="134">
        <v>7.45</v>
      </c>
      <c r="C69" s="134">
        <v>18.989999999999998</v>
      </c>
      <c r="D69" s="134">
        <v>14.85</v>
      </c>
      <c r="E69" s="134">
        <v>7.8</v>
      </c>
      <c r="F69" s="134">
        <v>4.93</v>
      </c>
      <c r="G69" s="134">
        <v>21.08</v>
      </c>
      <c r="H69" s="134">
        <v>6.84</v>
      </c>
      <c r="I69" s="134">
        <v>3.32</v>
      </c>
      <c r="J69" s="134">
        <v>0.92</v>
      </c>
      <c r="K69" s="134">
        <v>278.8</v>
      </c>
      <c r="L69" s="134">
        <v>29.56</v>
      </c>
      <c r="M69" s="134">
        <v>74.709999999999994</v>
      </c>
      <c r="N69" s="134">
        <v>274.7</v>
      </c>
      <c r="O69" s="134">
        <v>0</v>
      </c>
      <c r="P69" s="134">
        <v>0.36</v>
      </c>
      <c r="Q69" s="134">
        <v>2.97</v>
      </c>
    </row>
    <row r="70" spans="1:17" customFormat="1">
      <c r="A70" s="112" t="s">
        <v>780</v>
      </c>
      <c r="B70" s="134">
        <v>7.42</v>
      </c>
      <c r="C70" s="134">
        <v>18.88</v>
      </c>
      <c r="D70" s="134">
        <v>14.77</v>
      </c>
      <c r="E70" s="134">
        <v>7.67</v>
      </c>
      <c r="F70" s="134">
        <v>4.63</v>
      </c>
      <c r="G70" s="134">
        <v>21.08</v>
      </c>
      <c r="H70" s="134">
        <v>6.84</v>
      </c>
      <c r="I70" s="134">
        <v>3.3</v>
      </c>
      <c r="J70" s="134">
        <v>1.02</v>
      </c>
      <c r="K70" s="134">
        <v>265.42</v>
      </c>
      <c r="L70" s="134">
        <v>29.56</v>
      </c>
      <c r="M70" s="134">
        <v>75.05</v>
      </c>
      <c r="N70" s="134">
        <v>302</v>
      </c>
      <c r="O70" s="134">
        <v>0</v>
      </c>
      <c r="P70" s="134">
        <v>0.35</v>
      </c>
      <c r="Q70" s="134">
        <v>2.97</v>
      </c>
    </row>
    <row r="71" spans="1:17" customFormat="1">
      <c r="A71" s="112" t="s">
        <v>781</v>
      </c>
      <c r="B71" s="134">
        <v>7.09</v>
      </c>
      <c r="C71" s="134">
        <v>18.329999999999998</v>
      </c>
      <c r="D71" s="134">
        <v>14.22</v>
      </c>
      <c r="E71" s="134">
        <v>7.47</v>
      </c>
      <c r="F71" s="134">
        <v>5.09</v>
      </c>
      <c r="G71" s="134">
        <v>21.37</v>
      </c>
      <c r="H71" s="134">
        <v>6.93</v>
      </c>
      <c r="I71" s="134">
        <v>3.32</v>
      </c>
      <c r="J71" s="134">
        <v>0.8</v>
      </c>
      <c r="K71" s="134">
        <v>266.13</v>
      </c>
      <c r="L71" s="134">
        <v>29.59</v>
      </c>
      <c r="M71" s="134">
        <v>75.19</v>
      </c>
      <c r="N71" s="134">
        <v>310.2</v>
      </c>
      <c r="O71" s="134">
        <v>0</v>
      </c>
      <c r="P71" s="134">
        <v>0.34</v>
      </c>
      <c r="Q71" s="134">
        <v>2.94</v>
      </c>
    </row>
    <row r="72" spans="1:17" customFormat="1">
      <c r="A72" s="112" t="s">
        <v>782</v>
      </c>
      <c r="B72" s="134">
        <v>7.02</v>
      </c>
      <c r="C72" s="134">
        <v>18.510000000000002</v>
      </c>
      <c r="D72" s="134">
        <v>14.25</v>
      </c>
      <c r="E72" s="134">
        <v>7.95</v>
      </c>
      <c r="F72" s="134">
        <v>5.37</v>
      </c>
      <c r="G72" s="134">
        <v>27.5</v>
      </c>
      <c r="H72" s="134">
        <v>8.4</v>
      </c>
      <c r="I72" s="134">
        <v>3.34</v>
      </c>
      <c r="J72" s="134">
        <v>0.64</v>
      </c>
      <c r="K72" s="134">
        <v>282.08</v>
      </c>
      <c r="L72" s="134">
        <v>29.99</v>
      </c>
      <c r="M72" s="134">
        <v>74.959999999999994</v>
      </c>
      <c r="N72" s="134">
        <v>209.1</v>
      </c>
      <c r="O72" s="134">
        <v>0</v>
      </c>
      <c r="P72" s="134">
        <v>0.35</v>
      </c>
      <c r="Q72" s="134">
        <v>2.94</v>
      </c>
    </row>
    <row r="73" spans="1:17" customFormat="1">
      <c r="A73" s="112" t="s">
        <v>783</v>
      </c>
      <c r="B73" s="134">
        <v>7.29</v>
      </c>
      <c r="C73" s="134">
        <v>20.48</v>
      </c>
      <c r="D73" s="134">
        <v>15.5</v>
      </c>
      <c r="E73" s="134">
        <v>8.3699999999999992</v>
      </c>
      <c r="F73" s="134">
        <v>3.39</v>
      </c>
      <c r="G73" s="134">
        <v>27.5</v>
      </c>
      <c r="H73" s="134">
        <v>8.4</v>
      </c>
      <c r="I73" s="134">
        <v>3.29</v>
      </c>
      <c r="J73" s="134">
        <v>0.56000000000000005</v>
      </c>
      <c r="K73" s="134">
        <v>264.73</v>
      </c>
      <c r="L73" s="134">
        <v>29.63</v>
      </c>
      <c r="M73" s="134">
        <v>76.349999999999994</v>
      </c>
      <c r="N73" s="134">
        <v>171.9</v>
      </c>
      <c r="O73" s="134">
        <v>0</v>
      </c>
      <c r="P73" s="134">
        <v>0.38</v>
      </c>
      <c r="Q73" s="134">
        <v>3</v>
      </c>
    </row>
    <row r="74" spans="1:17" customFormat="1">
      <c r="A74" s="112" t="s">
        <v>784</v>
      </c>
      <c r="B74" s="134">
        <v>7.26</v>
      </c>
      <c r="C74" s="134">
        <v>19.559999999999999</v>
      </c>
      <c r="D74" s="134">
        <v>14.99</v>
      </c>
      <c r="E74" s="134">
        <v>8.32</v>
      </c>
      <c r="F74" s="134">
        <v>4.8099999999999996</v>
      </c>
      <c r="G74" s="134">
        <v>27.5</v>
      </c>
      <c r="H74" s="134">
        <v>8.4</v>
      </c>
      <c r="I74" s="134">
        <v>3.33</v>
      </c>
      <c r="J74" s="134">
        <v>0.52</v>
      </c>
      <c r="K74" s="134">
        <v>270.89</v>
      </c>
      <c r="L74" s="134">
        <v>29.79</v>
      </c>
      <c r="M74" s="134">
        <v>75.84</v>
      </c>
      <c r="N74" s="134">
        <v>179.6</v>
      </c>
      <c r="O74" s="134">
        <v>0</v>
      </c>
      <c r="P74" s="134">
        <v>0.39</v>
      </c>
      <c r="Q74" s="134">
        <v>3</v>
      </c>
    </row>
    <row r="75" spans="1:17" customFormat="1">
      <c r="A75" s="112" t="s">
        <v>785</v>
      </c>
      <c r="B75" s="134">
        <v>6.88</v>
      </c>
      <c r="C75" s="134">
        <v>18.71</v>
      </c>
      <c r="D75" s="134">
        <v>14.25</v>
      </c>
      <c r="E75" s="134">
        <v>8.82</v>
      </c>
      <c r="F75" s="134">
        <v>7.16</v>
      </c>
      <c r="G75" s="134">
        <v>27.55</v>
      </c>
      <c r="H75" s="134">
        <v>8.5299999999999994</v>
      </c>
      <c r="I75" s="134">
        <v>3.48</v>
      </c>
      <c r="J75" s="134">
        <v>0.56000000000000005</v>
      </c>
      <c r="K75" s="134">
        <v>267.72000000000003</v>
      </c>
      <c r="L75" s="134">
        <v>30.33</v>
      </c>
      <c r="M75" s="134">
        <v>74.11</v>
      </c>
      <c r="N75" s="134">
        <v>182.4</v>
      </c>
      <c r="O75" s="134">
        <v>0</v>
      </c>
      <c r="P75" s="134">
        <v>0.38</v>
      </c>
      <c r="Q75" s="134">
        <v>2.99</v>
      </c>
    </row>
    <row r="76" spans="1:17" customFormat="1">
      <c r="A76" s="112" t="s">
        <v>786</v>
      </c>
      <c r="B76" s="134">
        <v>6.94</v>
      </c>
      <c r="C76" s="134">
        <v>18.3</v>
      </c>
      <c r="D76" s="134">
        <v>14.08</v>
      </c>
      <c r="E76" s="134">
        <v>7.87</v>
      </c>
      <c r="F76" s="134">
        <v>6.74</v>
      </c>
      <c r="G76" s="134">
        <v>28.29</v>
      </c>
      <c r="H76" s="134">
        <v>10.53</v>
      </c>
      <c r="I76" s="134">
        <v>3.47</v>
      </c>
      <c r="J76" s="134">
        <v>0.94</v>
      </c>
      <c r="K76" s="134">
        <v>265.3</v>
      </c>
      <c r="L76" s="134">
        <v>30.01</v>
      </c>
      <c r="M76" s="134">
        <v>72.02</v>
      </c>
      <c r="N76" s="134">
        <v>99.1</v>
      </c>
      <c r="O76" s="134">
        <v>0</v>
      </c>
      <c r="P76" s="134">
        <v>0.36</v>
      </c>
      <c r="Q76" s="134">
        <v>2.97</v>
      </c>
    </row>
    <row r="77" spans="1:17" customFormat="1">
      <c r="A77" s="112" t="s">
        <v>787</v>
      </c>
      <c r="B77" s="134">
        <v>7.1</v>
      </c>
      <c r="C77" s="134">
        <v>18.989999999999998</v>
      </c>
      <c r="D77" s="134">
        <v>14.57</v>
      </c>
      <c r="E77" s="134">
        <v>7.8</v>
      </c>
      <c r="F77" s="134">
        <v>4.9400000000000004</v>
      </c>
      <c r="G77" s="134">
        <v>28.29</v>
      </c>
      <c r="H77" s="134">
        <v>10.53</v>
      </c>
      <c r="I77" s="134">
        <v>3.5</v>
      </c>
      <c r="J77" s="134">
        <v>0.71</v>
      </c>
      <c r="K77" s="134">
        <v>268.05</v>
      </c>
      <c r="L77" s="134">
        <v>29.71</v>
      </c>
      <c r="M77" s="134">
        <v>72.42</v>
      </c>
      <c r="N77" s="134">
        <v>77.400000000000006</v>
      </c>
      <c r="O77" s="134">
        <v>0</v>
      </c>
      <c r="P77" s="134">
        <v>0.37</v>
      </c>
      <c r="Q77" s="134">
        <v>2.93</v>
      </c>
    </row>
    <row r="78" spans="1:17" customFormat="1">
      <c r="A78" s="112" t="s">
        <v>788</v>
      </c>
      <c r="B78" s="134">
        <v>6.62</v>
      </c>
      <c r="C78" s="134">
        <v>20.68</v>
      </c>
      <c r="D78" s="134">
        <v>15.07</v>
      </c>
      <c r="E78" s="134">
        <v>7.23</v>
      </c>
      <c r="F78" s="134">
        <v>3.55</v>
      </c>
      <c r="G78" s="134">
        <v>28.29</v>
      </c>
      <c r="H78" s="134">
        <v>10.53</v>
      </c>
      <c r="I78" s="134">
        <v>3.5</v>
      </c>
      <c r="J78" s="134">
        <v>0.82</v>
      </c>
      <c r="K78" s="134">
        <v>264.66000000000003</v>
      </c>
      <c r="L78" s="134">
        <v>29.48</v>
      </c>
      <c r="M78" s="134">
        <v>72.91</v>
      </c>
      <c r="N78" s="134">
        <v>57</v>
      </c>
      <c r="O78" s="134">
        <v>0</v>
      </c>
      <c r="P78" s="134">
        <v>0.41</v>
      </c>
      <c r="Q78" s="134">
        <v>2.88</v>
      </c>
    </row>
    <row r="79" spans="1:17" customFormat="1">
      <c r="A79" s="112" t="s">
        <v>789</v>
      </c>
      <c r="B79" s="134">
        <v>5.77</v>
      </c>
      <c r="C79" s="134">
        <v>20.37</v>
      </c>
      <c r="D79" s="134">
        <v>14.22</v>
      </c>
      <c r="E79" s="134">
        <v>7.61</v>
      </c>
      <c r="F79" s="134">
        <v>6.87</v>
      </c>
      <c r="G79" s="134">
        <v>28.15</v>
      </c>
      <c r="H79" s="134">
        <v>10.36</v>
      </c>
      <c r="I79" s="134">
        <v>3.5</v>
      </c>
      <c r="J79" s="134">
        <v>0.56999999999999995</v>
      </c>
      <c r="K79" s="134">
        <v>262.20999999999998</v>
      </c>
      <c r="L79" s="134">
        <v>29.2</v>
      </c>
      <c r="M79" s="134">
        <v>74.72</v>
      </c>
      <c r="N79" s="134">
        <v>35.200000000000003</v>
      </c>
      <c r="O79" s="134">
        <v>0</v>
      </c>
      <c r="P79" s="134">
        <v>0.39</v>
      </c>
      <c r="Q79" s="134">
        <v>2.93</v>
      </c>
    </row>
    <row r="80" spans="1:17" customFormat="1">
      <c r="A80" s="112" t="s">
        <v>790</v>
      </c>
      <c r="B80" s="134">
        <v>4.7699999999999996</v>
      </c>
      <c r="C80" s="134">
        <v>16.12</v>
      </c>
      <c r="D80" s="134">
        <v>11.2</v>
      </c>
      <c r="E80" s="134">
        <v>7.52</v>
      </c>
      <c r="F80" s="134">
        <v>10.3</v>
      </c>
      <c r="G80" s="134">
        <v>25.67</v>
      </c>
      <c r="H80" s="134">
        <v>7.71</v>
      </c>
      <c r="I80" s="134">
        <v>3.45</v>
      </c>
      <c r="J80" s="134">
        <v>0.34</v>
      </c>
      <c r="K80" s="134">
        <v>257.51</v>
      </c>
      <c r="L80" s="134">
        <v>28.94</v>
      </c>
      <c r="M80" s="134">
        <v>77.94</v>
      </c>
      <c r="N80" s="134">
        <v>12.9</v>
      </c>
      <c r="O80" s="134">
        <v>0</v>
      </c>
      <c r="P80" s="134">
        <v>0.33</v>
      </c>
      <c r="Q80" s="134">
        <v>2.92</v>
      </c>
    </row>
    <row r="81" spans="1:17" customFormat="1">
      <c r="A81" s="112" t="s">
        <v>791</v>
      </c>
      <c r="B81" s="134">
        <v>5.0199999999999996</v>
      </c>
      <c r="C81" s="134">
        <v>15.69</v>
      </c>
      <c r="D81" s="134">
        <v>11.18</v>
      </c>
      <c r="E81" s="134">
        <v>5.68</v>
      </c>
      <c r="F81" s="134">
        <v>8.39</v>
      </c>
      <c r="G81" s="134">
        <v>25.67</v>
      </c>
      <c r="H81" s="134">
        <v>7.71</v>
      </c>
      <c r="I81" s="134">
        <v>3.06</v>
      </c>
      <c r="J81" s="134">
        <v>0.25</v>
      </c>
      <c r="K81" s="134">
        <v>243.29</v>
      </c>
      <c r="L81" s="134">
        <v>28.58</v>
      </c>
      <c r="M81" s="134">
        <v>81.06</v>
      </c>
      <c r="N81" s="134">
        <v>0.6</v>
      </c>
      <c r="O81" s="134">
        <v>0</v>
      </c>
      <c r="P81" s="134">
        <v>0.31</v>
      </c>
      <c r="Q81" s="134">
        <v>2.88</v>
      </c>
    </row>
    <row r="82" spans="1:17" customFormat="1">
      <c r="A82" s="112" t="s">
        <v>792</v>
      </c>
      <c r="B82" s="134">
        <v>5.41</v>
      </c>
      <c r="C82" s="134">
        <v>16.13</v>
      </c>
      <c r="D82" s="134">
        <v>11.72</v>
      </c>
      <c r="E82" s="134">
        <v>6.92</v>
      </c>
      <c r="F82" s="134">
        <v>7.9</v>
      </c>
      <c r="G82" s="134">
        <v>25.67</v>
      </c>
      <c r="H82" s="134">
        <v>7.71</v>
      </c>
      <c r="I82" s="134">
        <v>2.72</v>
      </c>
      <c r="J82" s="134">
        <v>0.48</v>
      </c>
      <c r="K82" s="134">
        <v>259.05</v>
      </c>
      <c r="L82" s="134">
        <v>28.22</v>
      </c>
      <c r="M82" s="134">
        <v>82.7</v>
      </c>
      <c r="N82" s="134">
        <v>0</v>
      </c>
      <c r="O82" s="134">
        <v>0.2</v>
      </c>
      <c r="P82" s="134">
        <v>0.31</v>
      </c>
      <c r="Q82" s="134">
        <v>2.89</v>
      </c>
    </row>
    <row r="83" spans="1:17" customFormat="1">
      <c r="A83" s="112" t="s">
        <v>793</v>
      </c>
      <c r="B83" s="134">
        <v>5.6</v>
      </c>
      <c r="C83" s="134">
        <v>16.059999999999999</v>
      </c>
      <c r="D83" s="134">
        <v>11.83</v>
      </c>
      <c r="E83" s="134">
        <v>7.2</v>
      </c>
      <c r="F83" s="134">
        <v>8.01</v>
      </c>
      <c r="G83" s="134">
        <v>25.56</v>
      </c>
      <c r="H83" s="134">
        <v>7.59</v>
      </c>
      <c r="I83" s="134">
        <v>2.9</v>
      </c>
      <c r="J83" s="134">
        <v>0.3</v>
      </c>
      <c r="K83" s="134">
        <v>245.12</v>
      </c>
      <c r="L83" s="134">
        <v>27.31</v>
      </c>
      <c r="M83" s="134">
        <v>88.96</v>
      </c>
      <c r="N83" s="134">
        <v>0</v>
      </c>
      <c r="O83" s="134">
        <v>0.2</v>
      </c>
      <c r="P83" s="134">
        <v>0.3</v>
      </c>
      <c r="Q83" s="134">
        <v>2.89</v>
      </c>
    </row>
    <row r="84" spans="1:17" customFormat="1">
      <c r="A84" s="112" t="s">
        <v>794</v>
      </c>
      <c r="B84" s="134">
        <v>5.73</v>
      </c>
      <c r="C84" s="134">
        <v>15.87</v>
      </c>
      <c r="D84" s="134">
        <v>11.84</v>
      </c>
      <c r="E84" s="134">
        <v>7.34</v>
      </c>
      <c r="F84" s="134">
        <v>6.79</v>
      </c>
      <c r="G84" s="134">
        <v>23.67</v>
      </c>
      <c r="H84" s="134">
        <v>5.67</v>
      </c>
      <c r="I84" s="134">
        <v>2.85</v>
      </c>
      <c r="J84" s="134">
        <v>0.15</v>
      </c>
      <c r="K84" s="134">
        <v>349.02</v>
      </c>
      <c r="L84" s="134">
        <v>26.96</v>
      </c>
      <c r="M84" s="134">
        <v>92.2</v>
      </c>
      <c r="N84" s="134">
        <v>0</v>
      </c>
      <c r="O84" s="134">
        <v>0.4</v>
      </c>
      <c r="P84" s="134">
        <v>0.32</v>
      </c>
      <c r="Q84" s="134">
        <v>2.91</v>
      </c>
    </row>
    <row r="85" spans="1:17" customFormat="1">
      <c r="A85" s="112" t="s">
        <v>795</v>
      </c>
      <c r="B85" s="134">
        <v>6.9</v>
      </c>
      <c r="C85" s="134">
        <v>20.09</v>
      </c>
      <c r="D85" s="134">
        <v>14.99</v>
      </c>
      <c r="E85" s="134">
        <v>8</v>
      </c>
      <c r="F85" s="134">
        <v>3.51</v>
      </c>
      <c r="G85" s="134">
        <v>23.67</v>
      </c>
      <c r="H85" s="134">
        <v>5.67</v>
      </c>
      <c r="I85" s="134">
        <v>2.86</v>
      </c>
      <c r="J85" s="134">
        <v>0.97</v>
      </c>
      <c r="K85" s="134">
        <v>311.72000000000003</v>
      </c>
      <c r="L85" s="134">
        <v>25.53</v>
      </c>
      <c r="M85" s="134">
        <v>94</v>
      </c>
      <c r="N85" s="134">
        <v>0</v>
      </c>
      <c r="O85" s="134">
        <v>4.2</v>
      </c>
      <c r="P85" s="134">
        <v>0.37</v>
      </c>
      <c r="Q85" s="134">
        <v>2.98</v>
      </c>
    </row>
    <row r="86" spans="1:17" customFormat="1">
      <c r="A86" s="112" t="s">
        <v>796</v>
      </c>
      <c r="B86" s="134">
        <v>7.33</v>
      </c>
      <c r="C86" s="134">
        <v>19.57</v>
      </c>
      <c r="D86" s="134">
        <v>15.06</v>
      </c>
      <c r="E86" s="134">
        <v>7.63</v>
      </c>
      <c r="F86" s="134">
        <v>4.22</v>
      </c>
      <c r="G86" s="134">
        <v>23.67</v>
      </c>
      <c r="H86" s="134">
        <v>5.67</v>
      </c>
      <c r="I86" s="134">
        <v>2.94</v>
      </c>
      <c r="J86" s="134">
        <v>0.61</v>
      </c>
      <c r="K86" s="134">
        <v>318.01</v>
      </c>
      <c r="L86" s="134">
        <v>24.91</v>
      </c>
      <c r="M86" s="134">
        <v>97.16</v>
      </c>
      <c r="N86" s="134">
        <v>0</v>
      </c>
      <c r="O86" s="134">
        <v>0.2</v>
      </c>
      <c r="P86" s="134">
        <v>0.35</v>
      </c>
      <c r="Q86" s="134">
        <v>2.98</v>
      </c>
    </row>
    <row r="87" spans="1:17" customFormat="1">
      <c r="A87" s="112" t="s">
        <v>797</v>
      </c>
      <c r="B87" s="134">
        <v>7.45</v>
      </c>
      <c r="C87" s="134">
        <v>19.29</v>
      </c>
      <c r="D87" s="134">
        <v>15</v>
      </c>
      <c r="E87" s="134">
        <v>7.43</v>
      </c>
      <c r="F87" s="134">
        <v>4.41</v>
      </c>
      <c r="G87" s="134">
        <v>23.59</v>
      </c>
      <c r="H87" s="134">
        <v>5.66</v>
      </c>
      <c r="I87" s="134">
        <v>3.26</v>
      </c>
      <c r="J87" s="134">
        <v>0.21</v>
      </c>
      <c r="K87" s="134">
        <v>296.95</v>
      </c>
      <c r="L87" s="134">
        <v>24.88</v>
      </c>
      <c r="M87" s="134">
        <v>97.73</v>
      </c>
      <c r="N87" s="134">
        <v>0</v>
      </c>
      <c r="O87" s="134">
        <v>0.2</v>
      </c>
      <c r="P87" s="134">
        <v>0.35</v>
      </c>
      <c r="Q87" s="134">
        <v>2.95</v>
      </c>
    </row>
    <row r="88" spans="1:17" customFormat="1">
      <c r="A88" s="112" t="s">
        <v>798</v>
      </c>
      <c r="B88" s="134">
        <v>7.93</v>
      </c>
      <c r="C88" s="134">
        <v>21.83</v>
      </c>
      <c r="D88" s="134">
        <v>16.72</v>
      </c>
      <c r="E88" s="134">
        <v>8.16</v>
      </c>
      <c r="F88" s="134">
        <v>2.1800000000000002</v>
      </c>
      <c r="G88" s="134">
        <v>22.16</v>
      </c>
      <c r="H88" s="134">
        <v>5.53</v>
      </c>
      <c r="I88" s="134">
        <v>3.18</v>
      </c>
      <c r="J88" s="134">
        <v>0.35</v>
      </c>
      <c r="K88" s="134">
        <v>267.77</v>
      </c>
      <c r="L88" s="134">
        <v>24.99</v>
      </c>
      <c r="M88" s="134">
        <v>98.01</v>
      </c>
      <c r="N88" s="134">
        <v>0</v>
      </c>
      <c r="O88" s="134">
        <v>0</v>
      </c>
      <c r="P88" s="134">
        <v>0.39</v>
      </c>
      <c r="Q88" s="134">
        <v>3.03</v>
      </c>
    </row>
    <row r="89" spans="1:17" customFormat="1">
      <c r="A89" s="112" t="s">
        <v>799</v>
      </c>
      <c r="B89" s="134">
        <v>8.5500000000000007</v>
      </c>
      <c r="C89" s="134">
        <v>21.36</v>
      </c>
      <c r="D89" s="134">
        <v>16.97</v>
      </c>
      <c r="E89" s="134">
        <v>8.1</v>
      </c>
      <c r="F89" s="134">
        <v>2.57</v>
      </c>
      <c r="G89" s="134">
        <v>22.16</v>
      </c>
      <c r="H89" s="134">
        <v>5.53</v>
      </c>
      <c r="I89" s="134">
        <v>3.2</v>
      </c>
      <c r="J89" s="134">
        <v>0.48</v>
      </c>
      <c r="K89" s="134">
        <v>276.26</v>
      </c>
      <c r="L89" s="134">
        <v>25.12</v>
      </c>
      <c r="M89" s="134">
        <v>98.18</v>
      </c>
      <c r="N89" s="134">
        <v>0</v>
      </c>
      <c r="O89" s="134">
        <v>0</v>
      </c>
      <c r="P89" s="134">
        <v>0.38</v>
      </c>
      <c r="Q89" s="134">
        <v>3.05</v>
      </c>
    </row>
    <row r="90" spans="1:17" customFormat="1">
      <c r="A90" s="112" t="s">
        <v>800</v>
      </c>
      <c r="B90" s="134">
        <v>8.9600000000000009</v>
      </c>
      <c r="C90" s="134">
        <v>20.399999999999999</v>
      </c>
      <c r="D90" s="134">
        <v>16.8</v>
      </c>
      <c r="E90" s="134">
        <v>7.38</v>
      </c>
      <c r="F90" s="134">
        <v>3.15</v>
      </c>
      <c r="G90" s="134">
        <v>22.16</v>
      </c>
      <c r="H90" s="134">
        <v>5.53</v>
      </c>
      <c r="I90" s="134">
        <v>3.37</v>
      </c>
      <c r="J90" s="134">
        <v>0.59</v>
      </c>
      <c r="K90" s="134">
        <v>275.33999999999997</v>
      </c>
      <c r="L90" s="134">
        <v>25.16</v>
      </c>
      <c r="M90" s="134">
        <v>98.29</v>
      </c>
      <c r="N90" s="134">
        <v>0</v>
      </c>
      <c r="O90" s="134">
        <v>0</v>
      </c>
      <c r="P90" s="134">
        <v>0.38</v>
      </c>
      <c r="Q90" s="134">
        <v>3.03</v>
      </c>
    </row>
    <row r="91" spans="1:17" customFormat="1">
      <c r="A91" s="112" t="s">
        <v>801</v>
      </c>
      <c r="B91" s="134">
        <v>9.33</v>
      </c>
      <c r="C91" s="134">
        <v>22.39</v>
      </c>
      <c r="D91" s="134">
        <v>18.14</v>
      </c>
      <c r="E91" s="134">
        <v>7.76</v>
      </c>
      <c r="F91" s="134">
        <v>2.11</v>
      </c>
      <c r="G91" s="134">
        <v>21.96</v>
      </c>
      <c r="H91" s="134">
        <v>5.61</v>
      </c>
      <c r="I91" s="134">
        <v>3.37</v>
      </c>
      <c r="J91" s="134">
        <v>0.41</v>
      </c>
      <c r="K91" s="134">
        <v>250.82</v>
      </c>
      <c r="L91" s="134">
        <v>25.3</v>
      </c>
      <c r="M91" s="134">
        <v>98.35</v>
      </c>
      <c r="N91" s="134">
        <v>0</v>
      </c>
      <c r="O91" s="134">
        <v>0</v>
      </c>
      <c r="P91" s="134">
        <v>0.41</v>
      </c>
      <c r="Q91" s="134">
        <v>3.1</v>
      </c>
    </row>
    <row r="92" spans="1:17" customFormat="1">
      <c r="A92" s="112" t="s">
        <v>802</v>
      </c>
      <c r="B92" s="134">
        <v>9.42</v>
      </c>
      <c r="C92" s="134">
        <v>21.38</v>
      </c>
      <c r="D92" s="134">
        <v>17.68</v>
      </c>
      <c r="E92" s="134">
        <v>7.85</v>
      </c>
      <c r="F92" s="134">
        <v>3.22</v>
      </c>
      <c r="G92" s="134">
        <v>18.559999999999999</v>
      </c>
      <c r="H92" s="134">
        <v>6.84</v>
      </c>
      <c r="I92" s="134">
        <v>3.37</v>
      </c>
      <c r="J92" s="134">
        <v>0.36</v>
      </c>
      <c r="K92" s="134">
        <v>256.77999999999997</v>
      </c>
      <c r="L92" s="134">
        <v>25.49</v>
      </c>
      <c r="M92" s="134">
        <v>98.45</v>
      </c>
      <c r="N92" s="134">
        <v>0</v>
      </c>
      <c r="O92" s="134">
        <v>0</v>
      </c>
      <c r="P92" s="134">
        <v>0.4</v>
      </c>
      <c r="Q92" s="134">
        <v>3.12</v>
      </c>
    </row>
    <row r="93" spans="1:17" customFormat="1">
      <c r="A93" s="112" t="s">
        <v>803</v>
      </c>
      <c r="B93" s="134">
        <v>9.27</v>
      </c>
      <c r="C93" s="134">
        <v>19.86</v>
      </c>
      <c r="D93" s="134">
        <v>16.77</v>
      </c>
      <c r="E93" s="134">
        <v>7.58</v>
      </c>
      <c r="F93" s="134">
        <v>3.83</v>
      </c>
      <c r="G93" s="134">
        <v>18.559999999999999</v>
      </c>
      <c r="H93" s="134">
        <v>6.84</v>
      </c>
      <c r="I93" s="134">
        <v>3.47</v>
      </c>
      <c r="J93" s="134">
        <v>0.61</v>
      </c>
      <c r="K93" s="134">
        <v>260.41000000000003</v>
      </c>
      <c r="L93" s="134">
        <v>25.62</v>
      </c>
      <c r="M93" s="134">
        <v>98.5</v>
      </c>
      <c r="N93" s="134">
        <v>0</v>
      </c>
      <c r="O93" s="134">
        <v>0</v>
      </c>
      <c r="P93" s="134">
        <v>0.4</v>
      </c>
      <c r="Q93" s="134">
        <v>3.1</v>
      </c>
    </row>
    <row r="94" spans="1:17" customFormat="1">
      <c r="A94" s="112" t="s">
        <v>804</v>
      </c>
      <c r="B94" s="134">
        <v>9.91</v>
      </c>
      <c r="C94" s="134">
        <v>22.23</v>
      </c>
      <c r="D94" s="134">
        <v>18.52</v>
      </c>
      <c r="E94" s="134">
        <v>7.75</v>
      </c>
      <c r="F94" s="134">
        <v>2.2999999999999998</v>
      </c>
      <c r="G94" s="134">
        <v>18.559999999999999</v>
      </c>
      <c r="H94" s="134">
        <v>6.84</v>
      </c>
      <c r="I94" s="134">
        <v>3.47</v>
      </c>
      <c r="J94" s="134">
        <v>0.63</v>
      </c>
      <c r="K94" s="134">
        <v>261.74</v>
      </c>
      <c r="L94" s="134">
        <v>25.69</v>
      </c>
      <c r="M94" s="134">
        <v>98.17</v>
      </c>
      <c r="N94" s="134">
        <v>0</v>
      </c>
      <c r="O94" s="134">
        <v>0</v>
      </c>
      <c r="P94" s="134">
        <v>0.42</v>
      </c>
      <c r="Q94" s="134">
        <v>3.14</v>
      </c>
    </row>
    <row r="95" spans="1:17" customFormat="1">
      <c r="A95" s="112" t="s">
        <v>805</v>
      </c>
      <c r="B95" s="134">
        <v>10.01</v>
      </c>
      <c r="C95" s="134">
        <v>21.08</v>
      </c>
      <c r="D95" s="134">
        <v>18</v>
      </c>
      <c r="E95" s="134">
        <v>8.34</v>
      </c>
      <c r="F95" s="134">
        <v>3.63</v>
      </c>
      <c r="G95" s="134">
        <v>18.48</v>
      </c>
      <c r="H95" s="134">
        <v>6.83</v>
      </c>
      <c r="I95" s="134">
        <v>3.58</v>
      </c>
      <c r="J95" s="134">
        <v>0.63</v>
      </c>
      <c r="K95" s="134">
        <v>261.89999999999998</v>
      </c>
      <c r="L95" s="134">
        <v>25.64</v>
      </c>
      <c r="M95" s="134">
        <v>96.03</v>
      </c>
      <c r="N95" s="134">
        <v>0</v>
      </c>
      <c r="O95" s="134">
        <v>0</v>
      </c>
      <c r="P95" s="134">
        <v>0.4</v>
      </c>
      <c r="Q95" s="134">
        <v>3.14</v>
      </c>
    </row>
    <row r="96" spans="1:17" customFormat="1">
      <c r="A96" s="112" t="s">
        <v>806</v>
      </c>
      <c r="B96" s="134">
        <v>9.91</v>
      </c>
      <c r="C96" s="134">
        <v>18.79</v>
      </c>
      <c r="D96" s="134">
        <v>16.72</v>
      </c>
      <c r="E96" s="134">
        <v>7.71</v>
      </c>
      <c r="F96" s="134">
        <v>5.01</v>
      </c>
      <c r="G96" s="134">
        <v>17.2</v>
      </c>
      <c r="H96" s="134">
        <v>6.63</v>
      </c>
      <c r="I96" s="134">
        <v>3.61</v>
      </c>
      <c r="J96" s="134">
        <v>0.72</v>
      </c>
      <c r="K96" s="134">
        <v>264.18</v>
      </c>
      <c r="L96" s="134">
        <v>25.61</v>
      </c>
      <c r="M96" s="134">
        <v>92.99</v>
      </c>
      <c r="N96" s="134">
        <v>0</v>
      </c>
      <c r="O96" s="134">
        <v>0</v>
      </c>
      <c r="P96" s="134">
        <v>0.38</v>
      </c>
      <c r="Q96" s="134">
        <v>3.12</v>
      </c>
    </row>
    <row r="97" spans="1:22" customFormat="1">
      <c r="A97" s="112" t="s">
        <v>807</v>
      </c>
      <c r="B97" s="134">
        <v>10.14</v>
      </c>
      <c r="C97" s="134">
        <v>21.32</v>
      </c>
      <c r="D97" s="134">
        <v>18.23</v>
      </c>
      <c r="E97" s="134">
        <v>8.24</v>
      </c>
      <c r="F97" s="134">
        <v>2.68</v>
      </c>
      <c r="G97" s="134">
        <v>17.2</v>
      </c>
      <c r="H97" s="134">
        <v>6.63</v>
      </c>
      <c r="I97" s="134">
        <v>3.48</v>
      </c>
      <c r="J97" s="134">
        <v>0.85</v>
      </c>
      <c r="K97" s="134">
        <v>265.18</v>
      </c>
      <c r="L97" s="134">
        <v>25.68</v>
      </c>
      <c r="M97" s="134">
        <v>91.56</v>
      </c>
      <c r="N97" s="134">
        <v>0</v>
      </c>
      <c r="O97" s="134">
        <v>0</v>
      </c>
      <c r="P97" s="134">
        <v>0.41</v>
      </c>
      <c r="Q97" s="134">
        <v>3.12</v>
      </c>
    </row>
    <row r="98" spans="1:22" customFormat="1">
      <c r="A98" s="112" t="s">
        <v>808</v>
      </c>
      <c r="B98" s="134">
        <v>10.01</v>
      </c>
      <c r="C98" s="134">
        <v>23.2</v>
      </c>
      <c r="D98" s="134">
        <v>19.11</v>
      </c>
      <c r="E98" s="134">
        <v>8.84</v>
      </c>
      <c r="F98" s="134">
        <v>2.0699999999999998</v>
      </c>
      <c r="G98" s="134">
        <v>17.2</v>
      </c>
      <c r="H98" s="134">
        <v>6.63</v>
      </c>
      <c r="I98" s="134">
        <v>3.39</v>
      </c>
      <c r="J98" s="134">
        <v>0.73</v>
      </c>
      <c r="K98" s="134">
        <v>263.95999999999998</v>
      </c>
      <c r="L98" s="134">
        <v>25.76</v>
      </c>
      <c r="M98" s="134">
        <v>90.83</v>
      </c>
      <c r="N98" s="134">
        <v>0</v>
      </c>
      <c r="O98" s="134">
        <v>0</v>
      </c>
      <c r="P98" s="134">
        <v>0.44</v>
      </c>
      <c r="Q98" s="134">
        <v>3.12</v>
      </c>
    </row>
    <row r="99" spans="1:22" customFormat="1">
      <c r="A99" s="112" t="s">
        <v>809</v>
      </c>
      <c r="B99" s="134">
        <v>9.34</v>
      </c>
      <c r="C99" s="134">
        <v>24.48</v>
      </c>
      <c r="D99" s="134">
        <v>19.239999999999998</v>
      </c>
      <c r="E99" s="134">
        <v>8.6</v>
      </c>
      <c r="F99" s="134">
        <v>2.39</v>
      </c>
      <c r="G99" s="134">
        <v>17.079999999999998</v>
      </c>
      <c r="H99" s="134">
        <v>6.61</v>
      </c>
      <c r="I99" s="134">
        <v>3.53</v>
      </c>
      <c r="J99" s="134">
        <v>0.61</v>
      </c>
      <c r="K99" s="134">
        <v>264.12</v>
      </c>
      <c r="L99" s="134">
        <v>25.77</v>
      </c>
      <c r="M99" s="134">
        <v>90.75</v>
      </c>
      <c r="N99" s="134">
        <v>0</v>
      </c>
      <c r="O99" s="134">
        <v>0</v>
      </c>
      <c r="P99" s="134">
        <v>0.45</v>
      </c>
      <c r="Q99" s="134">
        <v>3.15</v>
      </c>
    </row>
    <row r="100" spans="1:22" customFormat="1">
      <c r="A100" s="112" t="s">
        <v>810</v>
      </c>
      <c r="B100" s="134">
        <v>9.27</v>
      </c>
      <c r="C100" s="134">
        <v>22.63</v>
      </c>
      <c r="D100" s="134">
        <v>18.21</v>
      </c>
      <c r="E100" s="134">
        <v>8.6</v>
      </c>
      <c r="F100" s="134">
        <v>3.36</v>
      </c>
      <c r="G100" s="134">
        <v>15.07</v>
      </c>
      <c r="H100" s="134">
        <v>6.37</v>
      </c>
      <c r="I100" s="134">
        <v>3.51</v>
      </c>
      <c r="J100" s="134">
        <v>0.51</v>
      </c>
      <c r="K100" s="134">
        <v>263.10000000000002</v>
      </c>
      <c r="L100" s="134">
        <v>25.77</v>
      </c>
      <c r="M100" s="134">
        <v>91.33</v>
      </c>
      <c r="N100" s="134">
        <v>0</v>
      </c>
      <c r="O100" s="134">
        <v>0</v>
      </c>
      <c r="P100" s="134">
        <v>0.41</v>
      </c>
      <c r="Q100" s="134">
        <v>3.16</v>
      </c>
    </row>
    <row r="101" spans="1:22" customFormat="1">
      <c r="A101" s="112" t="s">
        <v>811</v>
      </c>
      <c r="B101" s="134">
        <v>9.35</v>
      </c>
      <c r="C101" s="134">
        <v>19.190000000000001</v>
      </c>
      <c r="D101" s="134">
        <v>16.48</v>
      </c>
      <c r="E101" s="134">
        <v>7.6</v>
      </c>
      <c r="F101" s="134">
        <v>4.0199999999999996</v>
      </c>
      <c r="G101" s="134">
        <v>15.07</v>
      </c>
      <c r="H101" s="134">
        <v>6.37</v>
      </c>
      <c r="I101" s="134">
        <v>3.43</v>
      </c>
      <c r="J101" s="134">
        <v>0.5</v>
      </c>
      <c r="K101" s="134">
        <v>260.45</v>
      </c>
      <c r="L101" s="134">
        <v>25.78</v>
      </c>
      <c r="M101" s="134">
        <v>91.39</v>
      </c>
      <c r="N101" s="134">
        <v>0</v>
      </c>
      <c r="O101" s="134">
        <v>0</v>
      </c>
      <c r="P101" s="134">
        <v>0.36</v>
      </c>
      <c r="Q101" s="134">
        <v>3.08</v>
      </c>
    </row>
    <row r="102" spans="1:22" customFormat="1">
      <c r="A102" s="112" t="s">
        <v>812</v>
      </c>
      <c r="B102" s="134">
        <v>9.2799999999999994</v>
      </c>
      <c r="C102" s="134">
        <v>19.079999999999998</v>
      </c>
      <c r="D102" s="134">
        <v>16.36</v>
      </c>
      <c r="E102" s="134">
        <v>7.27</v>
      </c>
      <c r="F102" s="134">
        <v>3.97</v>
      </c>
      <c r="G102" s="134">
        <v>15.07</v>
      </c>
      <c r="H102" s="134">
        <v>6.37</v>
      </c>
      <c r="I102" s="134">
        <v>3.24</v>
      </c>
      <c r="J102" s="134">
        <v>0.64</v>
      </c>
      <c r="K102" s="134">
        <v>267.12</v>
      </c>
      <c r="L102" s="134">
        <v>25.82</v>
      </c>
      <c r="M102" s="134">
        <v>90.43</v>
      </c>
      <c r="N102" s="134">
        <v>0</v>
      </c>
      <c r="O102" s="134">
        <v>0</v>
      </c>
      <c r="P102" s="134">
        <v>0.34</v>
      </c>
      <c r="Q102" s="134">
        <v>3.07</v>
      </c>
    </row>
    <row r="103" spans="1:22" customFormat="1">
      <c r="A103" s="112" t="s">
        <v>813</v>
      </c>
      <c r="B103" s="134">
        <v>9.39</v>
      </c>
      <c r="C103" s="134">
        <v>19.14</v>
      </c>
      <c r="D103" s="134">
        <v>16.48</v>
      </c>
      <c r="E103" s="134">
        <v>7.6</v>
      </c>
      <c r="F103" s="134">
        <v>3.66</v>
      </c>
      <c r="G103" s="134">
        <v>14.94</v>
      </c>
      <c r="H103" s="134">
        <v>6.26</v>
      </c>
      <c r="I103" s="134">
        <v>3.1</v>
      </c>
      <c r="J103" s="134">
        <v>0.67</v>
      </c>
      <c r="K103" s="134">
        <v>263.36</v>
      </c>
      <c r="L103" s="134">
        <v>25.89</v>
      </c>
      <c r="M103" s="134">
        <v>88.93</v>
      </c>
      <c r="N103" s="134">
        <v>0</v>
      </c>
      <c r="O103" s="134">
        <v>0</v>
      </c>
      <c r="P103" s="134">
        <v>0.34</v>
      </c>
      <c r="Q103" s="134">
        <v>3.07</v>
      </c>
    </row>
    <row r="104" spans="1:22" customFormat="1">
      <c r="A104" s="112" t="s">
        <v>814</v>
      </c>
      <c r="B104" s="134">
        <v>9.73</v>
      </c>
      <c r="C104" s="134">
        <v>22.38</v>
      </c>
      <c r="D104" s="134">
        <v>18.45</v>
      </c>
      <c r="E104" s="134">
        <v>8.31</v>
      </c>
      <c r="F104" s="134">
        <v>1.87</v>
      </c>
      <c r="G104" s="134">
        <v>12.73</v>
      </c>
      <c r="H104" s="134">
        <v>4.57</v>
      </c>
      <c r="I104" s="134">
        <v>3.08</v>
      </c>
      <c r="J104" s="134">
        <v>0.69</v>
      </c>
      <c r="K104" s="134">
        <v>265.06</v>
      </c>
      <c r="L104" s="134">
        <v>25.9</v>
      </c>
      <c r="M104" s="134">
        <v>88.68</v>
      </c>
      <c r="N104" s="134">
        <v>0</v>
      </c>
      <c r="O104" s="134">
        <v>0</v>
      </c>
      <c r="P104" s="134">
        <v>0.38</v>
      </c>
      <c r="Q104" s="134">
        <v>3.15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4.7699999999999996</v>
      </c>
      <c r="C106" s="183">
        <f>MIN(C9:C104)</f>
        <v>15.69</v>
      </c>
      <c r="D106" s="183">
        <f t="shared" ref="D106:Q106" si="0">MIN(D9:D104)</f>
        <v>11.18</v>
      </c>
      <c r="E106" s="183">
        <f t="shared" si="0"/>
        <v>5.68</v>
      </c>
      <c r="F106" s="183">
        <f t="shared" si="0"/>
        <v>1.77</v>
      </c>
      <c r="G106" s="183">
        <f t="shared" si="0"/>
        <v>8.07</v>
      </c>
      <c r="H106" s="183">
        <f t="shared" si="0"/>
        <v>2.0099999999999998</v>
      </c>
      <c r="I106" s="183">
        <f t="shared" si="0"/>
        <v>2.72</v>
      </c>
      <c r="J106" s="183">
        <f t="shared" si="0"/>
        <v>0.15</v>
      </c>
      <c r="K106" s="183">
        <f t="shared" si="0"/>
        <v>238.32</v>
      </c>
      <c r="L106" s="183">
        <f t="shared" si="0"/>
        <v>24.88</v>
      </c>
      <c r="M106" s="183">
        <f t="shared" si="0"/>
        <v>72.02</v>
      </c>
      <c r="N106" s="183">
        <f t="shared" si="0"/>
        <v>0</v>
      </c>
      <c r="O106" s="183">
        <f t="shared" si="0"/>
        <v>0</v>
      </c>
      <c r="P106" s="183">
        <f t="shared" si="0"/>
        <v>0.3</v>
      </c>
      <c r="Q106" s="183">
        <f t="shared" si="0"/>
        <v>2.88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17.61</v>
      </c>
      <c r="C107" s="184">
        <f t="shared" ref="C107:Q107" si="1">MAX(C9:C104)</f>
        <v>24.48</v>
      </c>
      <c r="D107" s="184">
        <f t="shared" si="1"/>
        <v>24.58</v>
      </c>
      <c r="E107" s="184">
        <f t="shared" si="1"/>
        <v>9.0399999999999991</v>
      </c>
      <c r="F107" s="184">
        <f t="shared" si="1"/>
        <v>10.3</v>
      </c>
      <c r="G107" s="184">
        <f t="shared" si="1"/>
        <v>28.29</v>
      </c>
      <c r="H107" s="184">
        <f t="shared" si="1"/>
        <v>10.53</v>
      </c>
      <c r="I107" s="184">
        <f t="shared" si="1"/>
        <v>4</v>
      </c>
      <c r="J107" s="184">
        <f t="shared" si="1"/>
        <v>1.18</v>
      </c>
      <c r="K107" s="184">
        <f t="shared" si="1"/>
        <v>349.02</v>
      </c>
      <c r="L107" s="184">
        <f t="shared" si="1"/>
        <v>30.33</v>
      </c>
      <c r="M107" s="184">
        <f t="shared" si="1"/>
        <v>99.02</v>
      </c>
      <c r="N107" s="184">
        <f t="shared" si="1"/>
        <v>571.9</v>
      </c>
      <c r="O107" s="184">
        <f t="shared" si="1"/>
        <v>4.2</v>
      </c>
      <c r="P107" s="184">
        <f t="shared" si="1"/>
        <v>0.53</v>
      </c>
      <c r="Q107" s="184">
        <f t="shared" si="1"/>
        <v>3.74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11.811562500000001</v>
      </c>
      <c r="C108" s="183">
        <f t="shared" ref="C108:Q108" si="2">AVERAGE(C9:C104)</f>
        <v>19.833958333333335</v>
      </c>
      <c r="D108" s="183">
        <f t="shared" si="2"/>
        <v>18.789166666666663</v>
      </c>
      <c r="E108" s="183">
        <f t="shared" si="2"/>
        <v>7.686041666666668</v>
      </c>
      <c r="F108" s="183">
        <f t="shared" si="2"/>
        <v>3.6370833333333348</v>
      </c>
      <c r="G108" s="183">
        <f t="shared" si="2"/>
        <v>18.110729166666669</v>
      </c>
      <c r="H108" s="183">
        <f t="shared" si="2"/>
        <v>5.9417708333333286</v>
      </c>
      <c r="I108" s="183">
        <f t="shared" si="2"/>
        <v>3.3496875000000004</v>
      </c>
      <c r="J108" s="183">
        <f t="shared" si="2"/>
        <v>0.72989583333333341</v>
      </c>
      <c r="K108" s="183">
        <f t="shared" si="2"/>
        <v>266.40874999999994</v>
      </c>
      <c r="L108" s="183">
        <f t="shared" si="2"/>
        <v>27.059270833333333</v>
      </c>
      <c r="M108" s="183">
        <f t="shared" si="2"/>
        <v>86.680208333333368</v>
      </c>
      <c r="N108" s="183">
        <f t="shared" si="2"/>
        <v>112.57187500000003</v>
      </c>
      <c r="O108" s="183">
        <f t="shared" si="2"/>
        <v>5.6250000000000001E-2</v>
      </c>
      <c r="P108" s="183">
        <f t="shared" si="2"/>
        <v>0.41531250000000014</v>
      </c>
      <c r="Q108" s="183">
        <f t="shared" si="2"/>
        <v>3.2688541666666655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3.8690222695622163</v>
      </c>
      <c r="C109" s="183">
        <f t="shared" ref="C109:Q109" si="3">STDEV(C9:C104)</f>
        <v>1.6769147605155528</v>
      </c>
      <c r="D109" s="183">
        <f t="shared" si="3"/>
        <v>3.3915609406341316</v>
      </c>
      <c r="E109" s="183">
        <f t="shared" si="3"/>
        <v>0.64937294315225946</v>
      </c>
      <c r="F109" s="183">
        <f t="shared" si="3"/>
        <v>1.5725727607075253</v>
      </c>
      <c r="G109" s="183">
        <f t="shared" si="3"/>
        <v>5.8598340635373614</v>
      </c>
      <c r="H109" s="183">
        <f t="shared" si="3"/>
        <v>2.2735796004454056</v>
      </c>
      <c r="I109" s="183">
        <f t="shared" si="3"/>
        <v>0.24029128431090241</v>
      </c>
      <c r="J109" s="183">
        <f t="shared" si="3"/>
        <v>0.24909306986775212</v>
      </c>
      <c r="K109" s="183">
        <f t="shared" si="3"/>
        <v>13.198922783001724</v>
      </c>
      <c r="L109" s="183">
        <f t="shared" si="3"/>
        <v>1.7353878649070436</v>
      </c>
      <c r="M109" s="183">
        <f t="shared" si="3"/>
        <v>8.2918146041635907</v>
      </c>
      <c r="N109" s="183">
        <f t="shared" si="3"/>
        <v>157.5509319173527</v>
      </c>
      <c r="O109" s="183">
        <f t="shared" si="3"/>
        <v>0.43110934014225982</v>
      </c>
      <c r="P109" s="183">
        <f t="shared" si="3"/>
        <v>4.9117541619433845E-2</v>
      </c>
      <c r="Q109" s="183">
        <f t="shared" si="3"/>
        <v>0.25551957301347966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07/08/2023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815</v>
      </c>
      <c r="B9" s="134">
        <v>12.03</v>
      </c>
      <c r="C9" s="134">
        <v>19.670000000000002</v>
      </c>
      <c r="D9" s="134">
        <v>18.88</v>
      </c>
      <c r="E9" s="134">
        <v>8.68</v>
      </c>
      <c r="F9" s="134">
        <v>2.91</v>
      </c>
      <c r="G9" s="134">
        <v>12.73</v>
      </c>
      <c r="H9" s="134">
        <v>4.57</v>
      </c>
      <c r="I9" s="134">
        <v>3.11</v>
      </c>
      <c r="J9" s="134">
        <v>0.63</v>
      </c>
      <c r="K9" s="134">
        <v>265.13</v>
      </c>
      <c r="L9" s="134">
        <v>25.89</v>
      </c>
      <c r="M9" s="134">
        <v>88.41</v>
      </c>
      <c r="N9" s="134">
        <v>0</v>
      </c>
      <c r="O9" s="134">
        <v>0</v>
      </c>
      <c r="P9" s="134">
        <v>0.36</v>
      </c>
      <c r="Q9" s="134">
        <v>3.15</v>
      </c>
    </row>
    <row r="10" spans="1:21" customFormat="1">
      <c r="A10" s="112" t="s">
        <v>816</v>
      </c>
      <c r="B10" s="134">
        <v>11.58</v>
      </c>
      <c r="C10" s="134">
        <v>19.22</v>
      </c>
      <c r="D10" s="134">
        <v>18.28</v>
      </c>
      <c r="E10" s="134">
        <v>7.73</v>
      </c>
      <c r="F10" s="134">
        <v>3.89</v>
      </c>
      <c r="G10" s="134">
        <v>12.73</v>
      </c>
      <c r="H10" s="134">
        <v>4.57</v>
      </c>
      <c r="I10" s="134">
        <v>3.2</v>
      </c>
      <c r="J10" s="134">
        <v>0.76</v>
      </c>
      <c r="K10" s="134">
        <v>262.45999999999998</v>
      </c>
      <c r="L10" s="134">
        <v>25.75</v>
      </c>
      <c r="M10" s="134">
        <v>89.36</v>
      </c>
      <c r="N10" s="134">
        <v>0</v>
      </c>
      <c r="O10" s="134">
        <v>0</v>
      </c>
      <c r="P10" s="134">
        <v>0.34</v>
      </c>
      <c r="Q10" s="134">
        <v>3.1</v>
      </c>
    </row>
    <row r="11" spans="1:21" customFormat="1">
      <c r="A11" s="112" t="s">
        <v>817</v>
      </c>
      <c r="B11" s="134">
        <v>11.66</v>
      </c>
      <c r="C11" s="134">
        <v>21.95</v>
      </c>
      <c r="D11" s="134">
        <v>19.78</v>
      </c>
      <c r="E11" s="134">
        <v>8.06</v>
      </c>
      <c r="F11" s="134">
        <v>2.23</v>
      </c>
      <c r="G11" s="134">
        <v>12.69</v>
      </c>
      <c r="H11" s="134">
        <v>4.5</v>
      </c>
      <c r="I11" s="134">
        <v>3.08</v>
      </c>
      <c r="J11" s="134">
        <v>0.46</v>
      </c>
      <c r="K11" s="134">
        <v>263.70999999999998</v>
      </c>
      <c r="L11" s="134">
        <v>25.54</v>
      </c>
      <c r="M11" s="134">
        <v>91.28</v>
      </c>
      <c r="N11" s="134">
        <v>0</v>
      </c>
      <c r="O11" s="134">
        <v>0</v>
      </c>
      <c r="P11" s="134">
        <v>0.37</v>
      </c>
      <c r="Q11" s="134">
        <v>3.14</v>
      </c>
    </row>
    <row r="12" spans="1:21" customFormat="1">
      <c r="A12" s="112" t="s">
        <v>818</v>
      </c>
      <c r="B12" s="134">
        <v>11.94</v>
      </c>
      <c r="C12" s="134">
        <v>21.03</v>
      </c>
      <c r="D12" s="134">
        <v>19.52</v>
      </c>
      <c r="E12" s="134">
        <v>8.32</v>
      </c>
      <c r="F12" s="134">
        <v>2.89</v>
      </c>
      <c r="G12" s="134">
        <v>12.04</v>
      </c>
      <c r="H12" s="134">
        <v>3.4</v>
      </c>
      <c r="I12" s="134">
        <v>3.01</v>
      </c>
      <c r="J12" s="134">
        <v>0.68</v>
      </c>
      <c r="K12" s="134">
        <v>262.58</v>
      </c>
      <c r="L12" s="134">
        <v>25.61</v>
      </c>
      <c r="M12" s="134">
        <v>90.83</v>
      </c>
      <c r="N12" s="134">
        <v>0</v>
      </c>
      <c r="O12" s="134">
        <v>0</v>
      </c>
      <c r="P12" s="134">
        <v>0.36</v>
      </c>
      <c r="Q12" s="134">
        <v>3.14</v>
      </c>
    </row>
    <row r="13" spans="1:21" customFormat="1">
      <c r="A13" s="112" t="s">
        <v>819</v>
      </c>
      <c r="B13" s="134">
        <v>12.02</v>
      </c>
      <c r="C13" s="134">
        <v>19</v>
      </c>
      <c r="D13" s="134">
        <v>18.52</v>
      </c>
      <c r="E13" s="134">
        <v>7.49</v>
      </c>
      <c r="F13" s="134">
        <v>3.56</v>
      </c>
      <c r="G13" s="134">
        <v>12.04</v>
      </c>
      <c r="H13" s="134">
        <v>3.4</v>
      </c>
      <c r="I13" s="134">
        <v>3.11</v>
      </c>
      <c r="J13" s="134">
        <v>0.66</v>
      </c>
      <c r="K13" s="134">
        <v>263.11</v>
      </c>
      <c r="L13" s="134">
        <v>25.67</v>
      </c>
      <c r="M13" s="134">
        <v>90.33</v>
      </c>
      <c r="N13" s="134">
        <v>0</v>
      </c>
      <c r="O13" s="134">
        <v>0</v>
      </c>
      <c r="P13" s="134">
        <v>0.34</v>
      </c>
      <c r="Q13" s="134">
        <v>3.1</v>
      </c>
    </row>
    <row r="14" spans="1:21" customFormat="1">
      <c r="A14" s="112" t="s">
        <v>820</v>
      </c>
      <c r="B14" s="134">
        <v>11.99</v>
      </c>
      <c r="C14" s="134">
        <v>21.18</v>
      </c>
      <c r="D14" s="134">
        <v>19.64</v>
      </c>
      <c r="E14" s="134">
        <v>7.9</v>
      </c>
      <c r="F14" s="134">
        <v>2.21</v>
      </c>
      <c r="G14" s="134">
        <v>12.04</v>
      </c>
      <c r="H14" s="134">
        <v>3.4</v>
      </c>
      <c r="I14" s="134">
        <v>3</v>
      </c>
      <c r="J14" s="134">
        <v>0.73</v>
      </c>
      <c r="K14" s="134">
        <v>265</v>
      </c>
      <c r="L14" s="134">
        <v>25.63</v>
      </c>
      <c r="M14" s="134">
        <v>90.48</v>
      </c>
      <c r="N14" s="134">
        <v>0</v>
      </c>
      <c r="O14" s="134">
        <v>0</v>
      </c>
      <c r="P14" s="134">
        <v>0.36</v>
      </c>
      <c r="Q14" s="134">
        <v>3.12</v>
      </c>
    </row>
    <row r="15" spans="1:21" customFormat="1">
      <c r="A15" s="112" t="s">
        <v>821</v>
      </c>
      <c r="B15" s="134">
        <v>12.06</v>
      </c>
      <c r="C15" s="134">
        <v>21.66</v>
      </c>
      <c r="D15" s="134">
        <v>19.95</v>
      </c>
      <c r="E15" s="134">
        <v>8.4499999999999993</v>
      </c>
      <c r="F15" s="134">
        <v>2.2799999999999998</v>
      </c>
      <c r="G15" s="134">
        <v>11.94</v>
      </c>
      <c r="H15" s="134">
        <v>3.37</v>
      </c>
      <c r="I15" s="134">
        <v>2.98</v>
      </c>
      <c r="J15" s="134">
        <v>0.85</v>
      </c>
      <c r="K15" s="134">
        <v>265.49</v>
      </c>
      <c r="L15" s="134">
        <v>25.62</v>
      </c>
      <c r="M15" s="134">
        <v>89.85</v>
      </c>
      <c r="N15" s="134">
        <v>0</v>
      </c>
      <c r="O15" s="134">
        <v>0</v>
      </c>
      <c r="P15" s="134">
        <v>0.36</v>
      </c>
      <c r="Q15" s="134">
        <v>3.16</v>
      </c>
    </row>
    <row r="16" spans="1:21" customFormat="1">
      <c r="A16" s="112" t="s">
        <v>822</v>
      </c>
      <c r="B16" s="134">
        <v>12.08</v>
      </c>
      <c r="C16" s="134">
        <v>19.2</v>
      </c>
      <c r="D16" s="134">
        <v>18.670000000000002</v>
      </c>
      <c r="E16" s="134">
        <v>8.11</v>
      </c>
      <c r="F16" s="134">
        <v>3.41</v>
      </c>
      <c r="G16" s="134">
        <v>9.74</v>
      </c>
      <c r="H16" s="134">
        <v>2.7</v>
      </c>
      <c r="I16" s="134">
        <v>3.04</v>
      </c>
      <c r="J16" s="134">
        <v>0.81</v>
      </c>
      <c r="K16" s="134">
        <v>268.43</v>
      </c>
      <c r="L16" s="134">
        <v>25.64</v>
      </c>
      <c r="M16" s="134">
        <v>89.05</v>
      </c>
      <c r="N16" s="134">
        <v>0</v>
      </c>
      <c r="O16" s="134">
        <v>0</v>
      </c>
      <c r="P16" s="134">
        <v>0.34</v>
      </c>
      <c r="Q16" s="134">
        <v>3.13</v>
      </c>
    </row>
    <row r="17" spans="1:17" customFormat="1">
      <c r="A17" s="112" t="s">
        <v>823</v>
      </c>
      <c r="B17" s="134">
        <v>12.21</v>
      </c>
      <c r="C17" s="134">
        <v>20.52</v>
      </c>
      <c r="D17" s="134">
        <v>19.47</v>
      </c>
      <c r="E17" s="134">
        <v>6.84</v>
      </c>
      <c r="F17" s="134">
        <v>2.52</v>
      </c>
      <c r="G17" s="134">
        <v>9.74</v>
      </c>
      <c r="H17" s="134">
        <v>2.7</v>
      </c>
      <c r="I17" s="134">
        <v>2.96</v>
      </c>
      <c r="J17" s="134">
        <v>0.82</v>
      </c>
      <c r="K17" s="134">
        <v>266.07</v>
      </c>
      <c r="L17" s="134">
        <v>25.62</v>
      </c>
      <c r="M17" s="134">
        <v>88.97</v>
      </c>
      <c r="N17" s="134">
        <v>0</v>
      </c>
      <c r="O17" s="134">
        <v>0</v>
      </c>
      <c r="P17" s="134">
        <v>0.35</v>
      </c>
      <c r="Q17" s="134">
        <v>3.15</v>
      </c>
    </row>
    <row r="18" spans="1:17" customFormat="1">
      <c r="A18" s="112" t="s">
        <v>824</v>
      </c>
      <c r="B18" s="134">
        <v>12.41</v>
      </c>
      <c r="C18" s="134">
        <v>21.54</v>
      </c>
      <c r="D18" s="134">
        <v>20.16</v>
      </c>
      <c r="E18" s="134">
        <v>7.86</v>
      </c>
      <c r="F18" s="134">
        <v>2.19</v>
      </c>
      <c r="G18" s="134">
        <v>9.74</v>
      </c>
      <c r="H18" s="134">
        <v>2.7</v>
      </c>
      <c r="I18" s="134">
        <v>2.88</v>
      </c>
      <c r="J18" s="134">
        <v>0.82</v>
      </c>
      <c r="K18" s="134">
        <v>266.45999999999998</v>
      </c>
      <c r="L18" s="134">
        <v>25.59</v>
      </c>
      <c r="M18" s="134">
        <v>89.13</v>
      </c>
      <c r="N18" s="134">
        <v>0</v>
      </c>
      <c r="O18" s="134">
        <v>0</v>
      </c>
      <c r="P18" s="134">
        <v>0.35</v>
      </c>
      <c r="Q18" s="134">
        <v>3.16</v>
      </c>
    </row>
    <row r="19" spans="1:17" customFormat="1">
      <c r="A19" s="112" t="s">
        <v>825</v>
      </c>
      <c r="B19" s="134">
        <v>12.33</v>
      </c>
      <c r="C19" s="134">
        <v>19.309999999999999</v>
      </c>
      <c r="D19" s="134">
        <v>18.93</v>
      </c>
      <c r="E19" s="134">
        <v>7.88</v>
      </c>
      <c r="F19" s="134">
        <v>3.12</v>
      </c>
      <c r="G19" s="134">
        <v>9.6300000000000008</v>
      </c>
      <c r="H19" s="134">
        <v>2.67</v>
      </c>
      <c r="I19" s="134">
        <v>2.91</v>
      </c>
      <c r="J19" s="134">
        <v>0.66</v>
      </c>
      <c r="K19" s="134">
        <v>265.97000000000003</v>
      </c>
      <c r="L19" s="134">
        <v>25.55</v>
      </c>
      <c r="M19" s="134">
        <v>89.02</v>
      </c>
      <c r="N19" s="134">
        <v>0</v>
      </c>
      <c r="O19" s="134">
        <v>0</v>
      </c>
      <c r="P19" s="134">
        <v>0.33</v>
      </c>
      <c r="Q19" s="134">
        <v>3.11</v>
      </c>
    </row>
    <row r="20" spans="1:17" customFormat="1">
      <c r="A20" s="112" t="s">
        <v>826</v>
      </c>
      <c r="B20" s="134">
        <v>12.3</v>
      </c>
      <c r="C20" s="134">
        <v>19.899999999999999</v>
      </c>
      <c r="D20" s="134">
        <v>19.22</v>
      </c>
      <c r="E20" s="134">
        <v>7.57</v>
      </c>
      <c r="F20" s="134">
        <v>2.89</v>
      </c>
      <c r="G20" s="134">
        <v>7.24</v>
      </c>
      <c r="H20" s="134">
        <v>2.0699999999999998</v>
      </c>
      <c r="I20" s="134">
        <v>2.96</v>
      </c>
      <c r="J20" s="134">
        <v>0.83</v>
      </c>
      <c r="K20" s="134">
        <v>264.85000000000002</v>
      </c>
      <c r="L20" s="134">
        <v>25.57</v>
      </c>
      <c r="M20" s="134">
        <v>88.1</v>
      </c>
      <c r="N20" s="134">
        <v>0</v>
      </c>
      <c r="O20" s="134">
        <v>0</v>
      </c>
      <c r="P20" s="134">
        <v>0.35</v>
      </c>
      <c r="Q20" s="134">
        <v>3.12</v>
      </c>
    </row>
    <row r="21" spans="1:17" customFormat="1">
      <c r="A21" s="112" t="s">
        <v>827</v>
      </c>
      <c r="B21" s="134">
        <v>12.71</v>
      </c>
      <c r="C21" s="134">
        <v>22.34</v>
      </c>
      <c r="D21" s="134">
        <v>20.82</v>
      </c>
      <c r="E21" s="134">
        <v>7.97</v>
      </c>
      <c r="F21" s="134">
        <v>1.75</v>
      </c>
      <c r="G21" s="134">
        <v>7.24</v>
      </c>
      <c r="H21" s="134">
        <v>2.0699999999999998</v>
      </c>
      <c r="I21" s="134">
        <v>3.01</v>
      </c>
      <c r="J21" s="134">
        <v>0.8</v>
      </c>
      <c r="K21" s="134">
        <v>263.44</v>
      </c>
      <c r="L21" s="134">
        <v>25.65</v>
      </c>
      <c r="M21" s="134">
        <v>86.85</v>
      </c>
      <c r="N21" s="134">
        <v>0</v>
      </c>
      <c r="O21" s="134">
        <v>0</v>
      </c>
      <c r="P21" s="134">
        <v>0.37</v>
      </c>
      <c r="Q21" s="134">
        <v>3.18</v>
      </c>
    </row>
    <row r="22" spans="1:17" customFormat="1">
      <c r="A22" s="112" t="s">
        <v>828</v>
      </c>
      <c r="B22" s="134">
        <v>13.06</v>
      </c>
      <c r="C22" s="134">
        <v>20.61</v>
      </c>
      <c r="D22" s="134">
        <v>20.2</v>
      </c>
      <c r="E22" s="134">
        <v>8.43</v>
      </c>
      <c r="F22" s="134">
        <v>2.64</v>
      </c>
      <c r="G22" s="134">
        <v>7.24</v>
      </c>
      <c r="H22" s="134">
        <v>2.0699999999999998</v>
      </c>
      <c r="I22" s="134">
        <v>3.2</v>
      </c>
      <c r="J22" s="134">
        <v>0.68</v>
      </c>
      <c r="K22" s="134">
        <v>262.86</v>
      </c>
      <c r="L22" s="134">
        <v>25.62</v>
      </c>
      <c r="M22" s="134">
        <v>86.55</v>
      </c>
      <c r="N22" s="134">
        <v>0</v>
      </c>
      <c r="O22" s="134">
        <v>0</v>
      </c>
      <c r="P22" s="134">
        <v>0.37</v>
      </c>
      <c r="Q22" s="134">
        <v>3.16</v>
      </c>
    </row>
    <row r="23" spans="1:17" customFormat="1">
      <c r="A23" s="112" t="s">
        <v>829</v>
      </c>
      <c r="B23" s="134">
        <v>13.07</v>
      </c>
      <c r="C23" s="134">
        <v>20.76</v>
      </c>
      <c r="D23" s="134">
        <v>20.28</v>
      </c>
      <c r="E23" s="134">
        <v>7.74</v>
      </c>
      <c r="F23" s="134">
        <v>2.76</v>
      </c>
      <c r="G23" s="134">
        <v>7.71</v>
      </c>
      <c r="H23" s="134">
        <v>2.0699999999999998</v>
      </c>
      <c r="I23" s="134">
        <v>3.45</v>
      </c>
      <c r="J23" s="134">
        <v>0.87</v>
      </c>
      <c r="K23" s="134">
        <v>265.35000000000002</v>
      </c>
      <c r="L23" s="134">
        <v>25.59</v>
      </c>
      <c r="M23" s="134">
        <v>86.25</v>
      </c>
      <c r="N23" s="134">
        <v>0</v>
      </c>
      <c r="O23" s="134">
        <v>0</v>
      </c>
      <c r="P23" s="134">
        <v>0.41</v>
      </c>
      <c r="Q23" s="134">
        <v>3.11</v>
      </c>
    </row>
    <row r="24" spans="1:17" customFormat="1">
      <c r="A24" s="112" t="s">
        <v>830</v>
      </c>
      <c r="B24" s="134">
        <v>12.67</v>
      </c>
      <c r="C24" s="134">
        <v>22.53</v>
      </c>
      <c r="D24" s="134">
        <v>20.88</v>
      </c>
      <c r="E24" s="134">
        <v>7.4</v>
      </c>
      <c r="F24" s="134">
        <v>2.69</v>
      </c>
      <c r="G24" s="134">
        <v>17.809999999999999</v>
      </c>
      <c r="H24" s="134">
        <v>2.1</v>
      </c>
      <c r="I24" s="134">
        <v>3.67</v>
      </c>
      <c r="J24" s="134">
        <v>0.85</v>
      </c>
      <c r="K24" s="134">
        <v>266.67</v>
      </c>
      <c r="L24" s="134">
        <v>25.6</v>
      </c>
      <c r="M24" s="134">
        <v>85.18</v>
      </c>
      <c r="N24" s="134">
        <v>0</v>
      </c>
      <c r="O24" s="134">
        <v>0</v>
      </c>
      <c r="P24" s="134">
        <v>0.47</v>
      </c>
      <c r="Q24" s="134">
        <v>3.15</v>
      </c>
    </row>
    <row r="25" spans="1:17" customFormat="1">
      <c r="A25" s="112" t="s">
        <v>831</v>
      </c>
      <c r="B25" s="134">
        <v>12.79</v>
      </c>
      <c r="C25" s="134">
        <v>21.45</v>
      </c>
      <c r="D25" s="134">
        <v>20.420000000000002</v>
      </c>
      <c r="E25" s="134">
        <v>7.38</v>
      </c>
      <c r="F25" s="134">
        <v>2.95</v>
      </c>
      <c r="G25" s="134">
        <v>17.809999999999999</v>
      </c>
      <c r="H25" s="134">
        <v>2.1</v>
      </c>
      <c r="I25" s="134">
        <v>3.87</v>
      </c>
      <c r="J25" s="134">
        <v>0.81</v>
      </c>
      <c r="K25" s="134">
        <v>273.94</v>
      </c>
      <c r="L25" s="134">
        <v>25.57</v>
      </c>
      <c r="M25" s="134">
        <v>84.4</v>
      </c>
      <c r="N25" s="134">
        <v>0</v>
      </c>
      <c r="O25" s="134">
        <v>0</v>
      </c>
      <c r="P25" s="134">
        <v>0.46</v>
      </c>
      <c r="Q25" s="134">
        <v>3.2</v>
      </c>
    </row>
    <row r="26" spans="1:17" customFormat="1">
      <c r="A26" s="112" t="s">
        <v>832</v>
      </c>
      <c r="B26" s="134">
        <v>12.97</v>
      </c>
      <c r="C26" s="134">
        <v>20.22</v>
      </c>
      <c r="D26" s="134">
        <v>19.920000000000002</v>
      </c>
      <c r="E26" s="134">
        <v>7.05</v>
      </c>
      <c r="F26" s="134">
        <v>2.84</v>
      </c>
      <c r="G26" s="134">
        <v>17.809999999999999</v>
      </c>
      <c r="H26" s="134">
        <v>2.1</v>
      </c>
      <c r="I26" s="134">
        <v>4.01</v>
      </c>
      <c r="J26" s="134">
        <v>0.69</v>
      </c>
      <c r="K26" s="134">
        <v>267.33</v>
      </c>
      <c r="L26" s="134">
        <v>25.5</v>
      </c>
      <c r="M26" s="134">
        <v>84.92</v>
      </c>
      <c r="N26" s="134">
        <v>0</v>
      </c>
      <c r="O26" s="134">
        <v>0</v>
      </c>
      <c r="P26" s="134">
        <v>0.43</v>
      </c>
      <c r="Q26" s="134">
        <v>3.18</v>
      </c>
    </row>
    <row r="27" spans="1:17" customFormat="1">
      <c r="A27" s="112" t="s">
        <v>833</v>
      </c>
      <c r="B27" s="134">
        <v>12.93</v>
      </c>
      <c r="C27" s="134">
        <v>20.27</v>
      </c>
      <c r="D27" s="134">
        <v>19.91</v>
      </c>
      <c r="E27" s="134">
        <v>6.92</v>
      </c>
      <c r="F27" s="134">
        <v>2.74</v>
      </c>
      <c r="G27" s="134">
        <v>17.829999999999998</v>
      </c>
      <c r="H27" s="134">
        <v>2.14</v>
      </c>
      <c r="I27" s="134">
        <v>4.0199999999999996</v>
      </c>
      <c r="J27" s="134">
        <v>0.9</v>
      </c>
      <c r="K27" s="134">
        <v>264.42</v>
      </c>
      <c r="L27" s="134">
        <v>25.45</v>
      </c>
      <c r="M27" s="134">
        <v>85.05</v>
      </c>
      <c r="N27" s="134">
        <v>0</v>
      </c>
      <c r="O27" s="134">
        <v>0</v>
      </c>
      <c r="P27" s="134">
        <v>0.41</v>
      </c>
      <c r="Q27" s="134">
        <v>3.18</v>
      </c>
    </row>
    <row r="28" spans="1:17" customFormat="1">
      <c r="A28" s="112" t="s">
        <v>834</v>
      </c>
      <c r="B28" s="134">
        <v>13.23</v>
      </c>
      <c r="C28" s="134">
        <v>23.06</v>
      </c>
      <c r="D28" s="134">
        <v>21.61</v>
      </c>
      <c r="E28" s="134">
        <v>6.92</v>
      </c>
      <c r="F28" s="134">
        <v>1.55</v>
      </c>
      <c r="G28" s="134">
        <v>18.37</v>
      </c>
      <c r="H28" s="134">
        <v>2.7</v>
      </c>
      <c r="I28" s="134">
        <v>3.97</v>
      </c>
      <c r="J28" s="134">
        <v>0.59</v>
      </c>
      <c r="K28" s="134">
        <v>263.23</v>
      </c>
      <c r="L28" s="134">
        <v>25.32</v>
      </c>
      <c r="M28" s="134">
        <v>86.27</v>
      </c>
      <c r="N28" s="134">
        <v>0</v>
      </c>
      <c r="O28" s="134">
        <v>0</v>
      </c>
      <c r="P28" s="134">
        <v>0.44</v>
      </c>
      <c r="Q28" s="134">
        <v>3.23</v>
      </c>
    </row>
    <row r="29" spans="1:17" customFormat="1">
      <c r="A29" s="112" t="s">
        <v>835</v>
      </c>
      <c r="B29" s="134">
        <v>13.67</v>
      </c>
      <c r="C29" s="134">
        <v>22.46</v>
      </c>
      <c r="D29" s="134">
        <v>21.65</v>
      </c>
      <c r="E29" s="134">
        <v>7.62</v>
      </c>
      <c r="F29" s="134">
        <v>2.11</v>
      </c>
      <c r="G29" s="134">
        <v>18.37</v>
      </c>
      <c r="H29" s="134">
        <v>2.7</v>
      </c>
      <c r="I29" s="134">
        <v>3.95</v>
      </c>
      <c r="J29" s="134">
        <v>0.41</v>
      </c>
      <c r="K29" s="134">
        <v>261.26</v>
      </c>
      <c r="L29" s="134">
        <v>25.17</v>
      </c>
      <c r="M29" s="134">
        <v>88.34</v>
      </c>
      <c r="N29" s="134">
        <v>0</v>
      </c>
      <c r="O29" s="134">
        <v>0</v>
      </c>
      <c r="P29" s="134">
        <v>0.44</v>
      </c>
      <c r="Q29" s="134">
        <v>3.24</v>
      </c>
    </row>
    <row r="30" spans="1:17" customFormat="1">
      <c r="A30" s="112" t="s">
        <v>836</v>
      </c>
      <c r="B30" s="134">
        <v>13.83</v>
      </c>
      <c r="C30" s="134">
        <v>20.399999999999999</v>
      </c>
      <c r="D30" s="134">
        <v>20.7</v>
      </c>
      <c r="E30" s="134">
        <v>7.39</v>
      </c>
      <c r="F30" s="134">
        <v>2.75</v>
      </c>
      <c r="G30" s="134">
        <v>18.37</v>
      </c>
      <c r="H30" s="134">
        <v>2.7</v>
      </c>
      <c r="I30" s="134">
        <v>4.04</v>
      </c>
      <c r="J30" s="134">
        <v>0.42</v>
      </c>
      <c r="K30" s="134">
        <v>261.68</v>
      </c>
      <c r="L30" s="134">
        <v>25.06</v>
      </c>
      <c r="M30" s="134">
        <v>89.5</v>
      </c>
      <c r="N30" s="134">
        <v>0</v>
      </c>
      <c r="O30" s="134">
        <v>0</v>
      </c>
      <c r="P30" s="134">
        <v>0.43</v>
      </c>
      <c r="Q30" s="134">
        <v>3.22</v>
      </c>
    </row>
    <row r="31" spans="1:17" customFormat="1">
      <c r="A31" s="112" t="s">
        <v>837</v>
      </c>
      <c r="B31" s="134">
        <v>13.96</v>
      </c>
      <c r="C31" s="134">
        <v>22.16</v>
      </c>
      <c r="D31" s="134">
        <v>21.73</v>
      </c>
      <c r="E31" s="134">
        <v>7.43</v>
      </c>
      <c r="F31" s="134">
        <v>1.93</v>
      </c>
      <c r="G31" s="134">
        <v>18.45</v>
      </c>
      <c r="H31" s="134">
        <v>2.79</v>
      </c>
      <c r="I31" s="134">
        <v>4</v>
      </c>
      <c r="J31" s="134">
        <v>0.4</v>
      </c>
      <c r="K31" s="134">
        <v>265.91000000000003</v>
      </c>
      <c r="L31" s="134">
        <v>25.07</v>
      </c>
      <c r="M31" s="134">
        <v>89.93</v>
      </c>
      <c r="N31" s="134">
        <v>0</v>
      </c>
      <c r="O31" s="134">
        <v>0</v>
      </c>
      <c r="P31" s="134">
        <v>0.45</v>
      </c>
      <c r="Q31" s="134">
        <v>3.25</v>
      </c>
    </row>
    <row r="32" spans="1:17" customFormat="1">
      <c r="A32" s="112" t="s">
        <v>838</v>
      </c>
      <c r="B32" s="134">
        <v>14.15</v>
      </c>
      <c r="C32" s="134">
        <v>21.71</v>
      </c>
      <c r="D32" s="134">
        <v>21.65</v>
      </c>
      <c r="E32" s="134">
        <v>7.86</v>
      </c>
      <c r="F32" s="134">
        <v>2.2799999999999998</v>
      </c>
      <c r="G32" s="134">
        <v>20</v>
      </c>
      <c r="H32" s="134">
        <v>4.32</v>
      </c>
      <c r="I32" s="134">
        <v>4.04</v>
      </c>
      <c r="J32" s="134">
        <v>0.52</v>
      </c>
      <c r="K32" s="134">
        <v>262.18</v>
      </c>
      <c r="L32" s="134">
        <v>25.14</v>
      </c>
      <c r="M32" s="134">
        <v>89.34</v>
      </c>
      <c r="N32" s="134">
        <v>4.9000000000000004</v>
      </c>
      <c r="O32" s="134">
        <v>0</v>
      </c>
      <c r="P32" s="134">
        <v>0.44</v>
      </c>
      <c r="Q32" s="134">
        <v>3.3</v>
      </c>
    </row>
    <row r="33" spans="1:17" customFormat="1">
      <c r="A33" s="112" t="s">
        <v>839</v>
      </c>
      <c r="B33" s="134">
        <v>14.56</v>
      </c>
      <c r="C33" s="134">
        <v>20.239999999999998</v>
      </c>
      <c r="D33" s="134">
        <v>21.21</v>
      </c>
      <c r="E33" s="134">
        <v>7.61</v>
      </c>
      <c r="F33" s="134">
        <v>2.76</v>
      </c>
      <c r="G33" s="134">
        <v>20</v>
      </c>
      <c r="H33" s="134">
        <v>4.32</v>
      </c>
      <c r="I33" s="134">
        <v>4.09</v>
      </c>
      <c r="J33" s="134">
        <v>0.62</v>
      </c>
      <c r="K33" s="134">
        <v>264.60000000000002</v>
      </c>
      <c r="L33" s="134">
        <v>25.23</v>
      </c>
      <c r="M33" s="134">
        <v>89.89</v>
      </c>
      <c r="N33" s="134">
        <v>17.3</v>
      </c>
      <c r="O33" s="134">
        <v>0</v>
      </c>
      <c r="P33" s="134">
        <v>0.43</v>
      </c>
      <c r="Q33" s="134">
        <v>3.26</v>
      </c>
    </row>
    <row r="34" spans="1:17" customFormat="1">
      <c r="A34" s="112" t="s">
        <v>840</v>
      </c>
      <c r="B34" s="134">
        <v>14.73</v>
      </c>
      <c r="C34" s="134">
        <v>22.71</v>
      </c>
      <c r="D34" s="134">
        <v>22.63</v>
      </c>
      <c r="E34" s="134">
        <v>7.95</v>
      </c>
      <c r="F34" s="134">
        <v>1.73</v>
      </c>
      <c r="G34" s="134">
        <v>20</v>
      </c>
      <c r="H34" s="134">
        <v>4.32</v>
      </c>
      <c r="I34" s="134">
        <v>4.04</v>
      </c>
      <c r="J34" s="134">
        <v>0.86</v>
      </c>
      <c r="K34" s="134">
        <v>267.41000000000003</v>
      </c>
      <c r="L34" s="134">
        <v>25.38</v>
      </c>
      <c r="M34" s="134">
        <v>90.31</v>
      </c>
      <c r="N34" s="134">
        <v>33.200000000000003</v>
      </c>
      <c r="O34" s="134">
        <v>0</v>
      </c>
      <c r="P34" s="134">
        <v>0.46</v>
      </c>
      <c r="Q34" s="134">
        <v>3.28</v>
      </c>
    </row>
    <row r="35" spans="1:17" customFormat="1">
      <c r="A35" s="112" t="s">
        <v>841</v>
      </c>
      <c r="B35" s="134">
        <v>14.84</v>
      </c>
      <c r="C35" s="134">
        <v>21.5</v>
      </c>
      <c r="D35" s="134">
        <v>22.09</v>
      </c>
      <c r="E35" s="134">
        <v>8.24</v>
      </c>
      <c r="F35" s="134">
        <v>2.4700000000000002</v>
      </c>
      <c r="G35" s="134">
        <v>19.850000000000001</v>
      </c>
      <c r="H35" s="134">
        <v>4.32</v>
      </c>
      <c r="I35" s="134">
        <v>4.0199999999999996</v>
      </c>
      <c r="J35" s="134">
        <v>0.82</v>
      </c>
      <c r="K35" s="134">
        <v>266.42</v>
      </c>
      <c r="L35" s="134">
        <v>25.56</v>
      </c>
      <c r="M35" s="134">
        <v>90.14</v>
      </c>
      <c r="N35" s="134">
        <v>50.7</v>
      </c>
      <c r="O35" s="134">
        <v>0</v>
      </c>
      <c r="P35" s="134">
        <v>0.45</v>
      </c>
      <c r="Q35" s="134">
        <v>3.27</v>
      </c>
    </row>
    <row r="36" spans="1:17" customFormat="1">
      <c r="A36" s="112" t="s">
        <v>842</v>
      </c>
      <c r="B36" s="134">
        <v>14.92</v>
      </c>
      <c r="C36" s="134">
        <v>20.13</v>
      </c>
      <c r="D36" s="134">
        <v>21.44</v>
      </c>
      <c r="E36" s="134">
        <v>7.56</v>
      </c>
      <c r="F36" s="134">
        <v>2.8</v>
      </c>
      <c r="G36" s="134">
        <v>16.7</v>
      </c>
      <c r="H36" s="134">
        <v>4.3</v>
      </c>
      <c r="I36" s="134">
        <v>4.07</v>
      </c>
      <c r="J36" s="134">
        <v>0.84</v>
      </c>
      <c r="K36" s="134">
        <v>262.26</v>
      </c>
      <c r="L36" s="134">
        <v>25.73</v>
      </c>
      <c r="M36" s="134">
        <v>89.66</v>
      </c>
      <c r="N36" s="134">
        <v>66.599999999999994</v>
      </c>
      <c r="O36" s="134">
        <v>0</v>
      </c>
      <c r="P36" s="134">
        <v>0.43</v>
      </c>
      <c r="Q36" s="134">
        <v>3.25</v>
      </c>
    </row>
    <row r="37" spans="1:17" customFormat="1">
      <c r="A37" s="112" t="s">
        <v>843</v>
      </c>
      <c r="B37" s="134">
        <v>14.97</v>
      </c>
      <c r="C37" s="134">
        <v>22.59</v>
      </c>
      <c r="D37" s="134">
        <v>22.77</v>
      </c>
      <c r="E37" s="134">
        <v>7.68</v>
      </c>
      <c r="F37" s="134">
        <v>1.87</v>
      </c>
      <c r="G37" s="134">
        <v>16.7</v>
      </c>
      <c r="H37" s="134">
        <v>4.3</v>
      </c>
      <c r="I37" s="134">
        <v>3.97</v>
      </c>
      <c r="J37" s="134">
        <v>0.86</v>
      </c>
      <c r="K37" s="134">
        <v>265.63</v>
      </c>
      <c r="L37" s="134">
        <v>25.9</v>
      </c>
      <c r="M37" s="134">
        <v>89.04</v>
      </c>
      <c r="N37" s="134">
        <v>87.8</v>
      </c>
      <c r="O37" s="134">
        <v>0</v>
      </c>
      <c r="P37" s="134">
        <v>0.46</v>
      </c>
      <c r="Q37" s="134">
        <v>3.33</v>
      </c>
    </row>
    <row r="38" spans="1:17" customFormat="1">
      <c r="A38" s="112" t="s">
        <v>844</v>
      </c>
      <c r="B38" s="134">
        <v>15.18</v>
      </c>
      <c r="C38" s="134">
        <v>21.28</v>
      </c>
      <c r="D38" s="134">
        <v>22.25</v>
      </c>
      <c r="E38" s="134">
        <v>7.85</v>
      </c>
      <c r="F38" s="134">
        <v>2.64</v>
      </c>
      <c r="G38" s="134">
        <v>16.7</v>
      </c>
      <c r="H38" s="134">
        <v>4.3</v>
      </c>
      <c r="I38" s="134">
        <v>3.97</v>
      </c>
      <c r="J38" s="134">
        <v>0.96</v>
      </c>
      <c r="K38" s="134">
        <v>264.49</v>
      </c>
      <c r="L38" s="134">
        <v>26.07</v>
      </c>
      <c r="M38" s="134">
        <v>88.14</v>
      </c>
      <c r="N38" s="134">
        <v>112.8</v>
      </c>
      <c r="O38" s="134">
        <v>0</v>
      </c>
      <c r="P38" s="134">
        <v>0.44</v>
      </c>
      <c r="Q38" s="134">
        <v>3.31</v>
      </c>
    </row>
    <row r="39" spans="1:17" customFormat="1">
      <c r="A39" s="112" t="s">
        <v>845</v>
      </c>
      <c r="B39" s="134">
        <v>15.17</v>
      </c>
      <c r="C39" s="134">
        <v>19.96</v>
      </c>
      <c r="D39" s="134">
        <v>21.55</v>
      </c>
      <c r="E39" s="134">
        <v>7.92</v>
      </c>
      <c r="F39" s="134">
        <v>2.91</v>
      </c>
      <c r="G39" s="134">
        <v>16.690000000000001</v>
      </c>
      <c r="H39" s="134">
        <v>4.29</v>
      </c>
      <c r="I39" s="134">
        <v>4.04</v>
      </c>
      <c r="J39" s="134">
        <v>0.95</v>
      </c>
      <c r="K39" s="134">
        <v>263.08</v>
      </c>
      <c r="L39" s="134">
        <v>26.32</v>
      </c>
      <c r="M39" s="134">
        <v>87.04</v>
      </c>
      <c r="N39" s="134">
        <v>139.6</v>
      </c>
      <c r="O39" s="134">
        <v>0</v>
      </c>
      <c r="P39" s="134">
        <v>0.44</v>
      </c>
      <c r="Q39" s="134">
        <v>3.3</v>
      </c>
    </row>
    <row r="40" spans="1:17" customFormat="1">
      <c r="A40" s="112" t="s">
        <v>846</v>
      </c>
      <c r="B40" s="134">
        <v>15.26</v>
      </c>
      <c r="C40" s="134">
        <v>22.44</v>
      </c>
      <c r="D40" s="134">
        <v>22.92</v>
      </c>
      <c r="E40" s="134">
        <v>8.25</v>
      </c>
      <c r="F40" s="134">
        <v>1.72</v>
      </c>
      <c r="G40" s="134">
        <v>16.329999999999998</v>
      </c>
      <c r="H40" s="134">
        <v>3.95</v>
      </c>
      <c r="I40" s="134">
        <v>3.99</v>
      </c>
      <c r="J40" s="134">
        <v>1.08</v>
      </c>
      <c r="K40" s="134">
        <v>266.68</v>
      </c>
      <c r="L40" s="134">
        <v>26.58</v>
      </c>
      <c r="M40" s="134">
        <v>85.74</v>
      </c>
      <c r="N40" s="134">
        <v>157.6</v>
      </c>
      <c r="O40" s="134">
        <v>0</v>
      </c>
      <c r="P40" s="134">
        <v>0.46</v>
      </c>
      <c r="Q40" s="134">
        <v>3.36</v>
      </c>
    </row>
    <row r="41" spans="1:17" customFormat="1">
      <c r="A41" s="112" t="s">
        <v>847</v>
      </c>
      <c r="B41" s="134">
        <v>15.4</v>
      </c>
      <c r="C41" s="134">
        <v>21.29</v>
      </c>
      <c r="D41" s="134">
        <v>22.43</v>
      </c>
      <c r="E41" s="134">
        <v>8.25</v>
      </c>
      <c r="F41" s="134">
        <v>2.6</v>
      </c>
      <c r="G41" s="134">
        <v>16.329999999999998</v>
      </c>
      <c r="H41" s="134">
        <v>3.95</v>
      </c>
      <c r="I41" s="134">
        <v>3.97</v>
      </c>
      <c r="J41" s="134">
        <v>1.0900000000000001</v>
      </c>
      <c r="K41" s="134">
        <v>265.93</v>
      </c>
      <c r="L41" s="134">
        <v>26.94</v>
      </c>
      <c r="M41" s="134">
        <v>84.47</v>
      </c>
      <c r="N41" s="134">
        <v>193.7</v>
      </c>
      <c r="O41" s="134">
        <v>0</v>
      </c>
      <c r="P41" s="134">
        <v>0.44</v>
      </c>
      <c r="Q41" s="134">
        <v>3.31</v>
      </c>
    </row>
    <row r="42" spans="1:17" customFormat="1">
      <c r="A42" s="112" t="s">
        <v>848</v>
      </c>
      <c r="B42" s="134">
        <v>15.22</v>
      </c>
      <c r="C42" s="134">
        <v>19.88</v>
      </c>
      <c r="D42" s="134">
        <v>21.55</v>
      </c>
      <c r="E42" s="134">
        <v>7.93</v>
      </c>
      <c r="F42" s="134">
        <v>3.12</v>
      </c>
      <c r="G42" s="134">
        <v>16.329999999999998</v>
      </c>
      <c r="H42" s="134">
        <v>3.95</v>
      </c>
      <c r="I42" s="134">
        <v>4.03</v>
      </c>
      <c r="J42" s="134">
        <v>1.07</v>
      </c>
      <c r="K42" s="134">
        <v>264.05</v>
      </c>
      <c r="L42" s="134">
        <v>27.39</v>
      </c>
      <c r="M42" s="134">
        <v>82.65</v>
      </c>
      <c r="N42" s="134">
        <v>226.4</v>
      </c>
      <c r="O42" s="134">
        <v>0</v>
      </c>
      <c r="P42" s="134">
        <v>0.43</v>
      </c>
      <c r="Q42" s="134">
        <v>3.28</v>
      </c>
    </row>
    <row r="43" spans="1:17" customFormat="1">
      <c r="A43" s="112" t="s">
        <v>849</v>
      </c>
      <c r="B43" s="134">
        <v>14.99</v>
      </c>
      <c r="C43" s="134">
        <v>19.82</v>
      </c>
      <c r="D43" s="134">
        <v>21.33</v>
      </c>
      <c r="E43" s="134">
        <v>7.39</v>
      </c>
      <c r="F43" s="134">
        <v>2.98</v>
      </c>
      <c r="G43" s="134">
        <v>16.43</v>
      </c>
      <c r="H43" s="134">
        <v>4</v>
      </c>
      <c r="I43" s="134">
        <v>3.92</v>
      </c>
      <c r="J43" s="134">
        <v>1.1000000000000001</v>
      </c>
      <c r="K43" s="134">
        <v>264.43</v>
      </c>
      <c r="L43" s="134">
        <v>27.44</v>
      </c>
      <c r="M43" s="134">
        <v>81.709999999999994</v>
      </c>
      <c r="N43" s="134">
        <v>229.4</v>
      </c>
      <c r="O43" s="134">
        <v>0</v>
      </c>
      <c r="P43" s="134">
        <v>0.43</v>
      </c>
      <c r="Q43" s="134">
        <v>3.26</v>
      </c>
    </row>
    <row r="44" spans="1:17" customFormat="1">
      <c r="A44" s="112" t="s">
        <v>850</v>
      </c>
      <c r="B44" s="134">
        <v>14.47</v>
      </c>
      <c r="C44" s="134">
        <v>21.07</v>
      </c>
      <c r="D44" s="134">
        <v>21.57</v>
      </c>
      <c r="E44" s="134">
        <v>7.33</v>
      </c>
      <c r="F44" s="134">
        <v>2.4700000000000002</v>
      </c>
      <c r="G44" s="134">
        <v>18.53</v>
      </c>
      <c r="H44" s="134">
        <v>4.95</v>
      </c>
      <c r="I44" s="134">
        <v>3.87</v>
      </c>
      <c r="J44" s="134">
        <v>0.9</v>
      </c>
      <c r="K44" s="134">
        <v>269.29000000000002</v>
      </c>
      <c r="L44" s="134">
        <v>27.62</v>
      </c>
      <c r="M44" s="134">
        <v>81.39</v>
      </c>
      <c r="N44" s="134">
        <v>234.9</v>
      </c>
      <c r="O44" s="134">
        <v>0</v>
      </c>
      <c r="P44" s="134">
        <v>0.47</v>
      </c>
      <c r="Q44" s="134">
        <v>3.22</v>
      </c>
    </row>
    <row r="45" spans="1:17" customFormat="1">
      <c r="A45" s="112" t="s">
        <v>851</v>
      </c>
      <c r="B45" s="134">
        <v>13.76</v>
      </c>
      <c r="C45" s="134">
        <v>22.65</v>
      </c>
      <c r="D45" s="134">
        <v>21.83</v>
      </c>
      <c r="E45" s="134">
        <v>8.01</v>
      </c>
      <c r="F45" s="134">
        <v>2.56</v>
      </c>
      <c r="G45" s="134">
        <v>18.53</v>
      </c>
      <c r="H45" s="134">
        <v>4.95</v>
      </c>
      <c r="I45" s="134">
        <v>3.9</v>
      </c>
      <c r="J45" s="134">
        <v>1.22</v>
      </c>
      <c r="K45" s="134">
        <v>267.91000000000003</v>
      </c>
      <c r="L45" s="134">
        <v>28.11</v>
      </c>
      <c r="M45" s="134">
        <v>79.36</v>
      </c>
      <c r="N45" s="134">
        <v>301.2</v>
      </c>
      <c r="O45" s="134">
        <v>0</v>
      </c>
      <c r="P45" s="134">
        <v>0.49</v>
      </c>
      <c r="Q45" s="134">
        <v>3.26</v>
      </c>
    </row>
    <row r="46" spans="1:17" customFormat="1">
      <c r="A46" s="112" t="s">
        <v>852</v>
      </c>
      <c r="B46" s="134">
        <v>13.7</v>
      </c>
      <c r="C46" s="134">
        <v>20.77</v>
      </c>
      <c r="D46" s="134">
        <v>20.79</v>
      </c>
      <c r="E46" s="134">
        <v>7.59</v>
      </c>
      <c r="F46" s="134">
        <v>3.47</v>
      </c>
      <c r="G46" s="134">
        <v>18.53</v>
      </c>
      <c r="H46" s="134">
        <v>4.95</v>
      </c>
      <c r="I46" s="134">
        <v>4</v>
      </c>
      <c r="J46" s="134">
        <v>1.1200000000000001</v>
      </c>
      <c r="K46" s="134">
        <v>279.58999999999997</v>
      </c>
      <c r="L46" s="134">
        <v>28.49</v>
      </c>
      <c r="M46" s="134">
        <v>76.98</v>
      </c>
      <c r="N46" s="134">
        <v>299.5</v>
      </c>
      <c r="O46" s="134">
        <v>0</v>
      </c>
      <c r="P46" s="134">
        <v>0.47</v>
      </c>
      <c r="Q46" s="134">
        <v>3.21</v>
      </c>
    </row>
    <row r="47" spans="1:17" customFormat="1">
      <c r="A47" s="112" t="s">
        <v>853</v>
      </c>
      <c r="B47" s="134">
        <v>13.63</v>
      </c>
      <c r="C47" s="134">
        <v>19.95</v>
      </c>
      <c r="D47" s="134">
        <v>20.309999999999999</v>
      </c>
      <c r="E47" s="134">
        <v>7.65</v>
      </c>
      <c r="F47" s="134">
        <v>3.57</v>
      </c>
      <c r="G47" s="134">
        <v>18.98</v>
      </c>
      <c r="H47" s="134">
        <v>5.0999999999999996</v>
      </c>
      <c r="I47" s="134">
        <v>3.94</v>
      </c>
      <c r="J47" s="134">
        <v>1</v>
      </c>
      <c r="K47" s="134">
        <v>271.91000000000003</v>
      </c>
      <c r="L47" s="134">
        <v>28.77</v>
      </c>
      <c r="M47" s="134">
        <v>76.819999999999993</v>
      </c>
      <c r="N47" s="134">
        <v>343.1</v>
      </c>
      <c r="O47" s="134">
        <v>0</v>
      </c>
      <c r="P47" s="134">
        <v>0.46</v>
      </c>
      <c r="Q47" s="134">
        <v>3.18</v>
      </c>
    </row>
    <row r="48" spans="1:17" customFormat="1">
      <c r="A48" s="112" t="s">
        <v>854</v>
      </c>
      <c r="B48" s="134">
        <v>13.53</v>
      </c>
      <c r="C48" s="134">
        <v>19.91</v>
      </c>
      <c r="D48" s="134">
        <v>20.21</v>
      </c>
      <c r="E48" s="134">
        <v>7.85</v>
      </c>
      <c r="F48" s="134">
        <v>3.53</v>
      </c>
      <c r="G48" s="134">
        <v>26.59</v>
      </c>
      <c r="H48" s="134">
        <v>7.52</v>
      </c>
      <c r="I48" s="134">
        <v>3.91</v>
      </c>
      <c r="J48" s="134">
        <v>1.03</v>
      </c>
      <c r="K48" s="134">
        <v>274.52</v>
      </c>
      <c r="L48" s="134">
        <v>28.83</v>
      </c>
      <c r="M48" s="134">
        <v>76.14</v>
      </c>
      <c r="N48" s="134">
        <v>305.8</v>
      </c>
      <c r="O48" s="134">
        <v>0</v>
      </c>
      <c r="P48" s="134">
        <v>0.46</v>
      </c>
      <c r="Q48" s="134">
        <v>3.2</v>
      </c>
    </row>
    <row r="49" spans="1:17" customFormat="1">
      <c r="A49" s="112" t="s">
        <v>855</v>
      </c>
      <c r="B49" s="134">
        <v>13.4</v>
      </c>
      <c r="C49" s="134">
        <v>20.329999999999998</v>
      </c>
      <c r="D49" s="134">
        <v>20.32</v>
      </c>
      <c r="E49" s="134">
        <v>7.19</v>
      </c>
      <c r="F49" s="134">
        <v>3.44</v>
      </c>
      <c r="G49" s="134">
        <v>26.59</v>
      </c>
      <c r="H49" s="134">
        <v>7.52</v>
      </c>
      <c r="I49" s="134">
        <v>3.95</v>
      </c>
      <c r="J49" s="134">
        <v>1.02</v>
      </c>
      <c r="K49" s="134">
        <v>267.13</v>
      </c>
      <c r="L49" s="134">
        <v>28.8</v>
      </c>
      <c r="M49" s="134">
        <v>76.319999999999993</v>
      </c>
      <c r="N49" s="134">
        <v>322.2</v>
      </c>
      <c r="O49" s="134">
        <v>0</v>
      </c>
      <c r="P49" s="134">
        <v>0.46</v>
      </c>
      <c r="Q49" s="134">
        <v>3.21</v>
      </c>
    </row>
    <row r="50" spans="1:17" customFormat="1">
      <c r="A50" s="112" t="s">
        <v>856</v>
      </c>
      <c r="B50" s="134">
        <v>13.2</v>
      </c>
      <c r="C50" s="134">
        <v>20.37</v>
      </c>
      <c r="D50" s="134">
        <v>20.190000000000001</v>
      </c>
      <c r="E50" s="134">
        <v>8.2200000000000006</v>
      </c>
      <c r="F50" s="134">
        <v>3.14</v>
      </c>
      <c r="G50" s="134">
        <v>26.59</v>
      </c>
      <c r="H50" s="134">
        <v>7.52</v>
      </c>
      <c r="I50" s="134">
        <v>3.98</v>
      </c>
      <c r="J50" s="134">
        <v>0.94</v>
      </c>
      <c r="K50" s="134">
        <v>271.75</v>
      </c>
      <c r="L50" s="134">
        <v>28.63</v>
      </c>
      <c r="M50" s="134">
        <v>76.31</v>
      </c>
      <c r="N50" s="134">
        <v>249.3</v>
      </c>
      <c r="O50" s="134">
        <v>0</v>
      </c>
      <c r="P50" s="134">
        <v>0.46</v>
      </c>
      <c r="Q50" s="134">
        <v>3.19</v>
      </c>
    </row>
    <row r="51" spans="1:17" customFormat="1">
      <c r="A51" s="112" t="s">
        <v>857</v>
      </c>
      <c r="B51" s="134">
        <v>12.75</v>
      </c>
      <c r="C51" s="134">
        <v>20.76</v>
      </c>
      <c r="D51" s="134">
        <v>20.03</v>
      </c>
      <c r="E51" s="134">
        <v>8.0399999999999991</v>
      </c>
      <c r="F51" s="134">
        <v>3.27</v>
      </c>
      <c r="G51" s="134">
        <v>26.72</v>
      </c>
      <c r="H51" s="134">
        <v>7.49</v>
      </c>
      <c r="I51" s="134">
        <v>4.03</v>
      </c>
      <c r="J51" s="134">
        <v>1.1000000000000001</v>
      </c>
      <c r="K51" s="134">
        <v>265.44</v>
      </c>
      <c r="L51" s="134">
        <v>28.75</v>
      </c>
      <c r="M51" s="134">
        <v>75.19</v>
      </c>
      <c r="N51" s="134">
        <v>305.60000000000002</v>
      </c>
      <c r="O51" s="134">
        <v>0</v>
      </c>
      <c r="P51" s="134">
        <v>0.46</v>
      </c>
      <c r="Q51" s="134">
        <v>3.2</v>
      </c>
    </row>
    <row r="52" spans="1:17" customFormat="1">
      <c r="A52" s="112" t="s">
        <v>858</v>
      </c>
      <c r="B52" s="134">
        <v>12.29</v>
      </c>
      <c r="C52" s="134">
        <v>21.02</v>
      </c>
      <c r="D52" s="134">
        <v>19.79</v>
      </c>
      <c r="E52" s="134">
        <v>8.14</v>
      </c>
      <c r="F52" s="134">
        <v>3.55</v>
      </c>
      <c r="G52" s="134">
        <v>29.01</v>
      </c>
      <c r="H52" s="134">
        <v>7.09</v>
      </c>
      <c r="I52" s="134">
        <v>4.05</v>
      </c>
      <c r="J52" s="134">
        <v>1.01</v>
      </c>
      <c r="K52" s="134">
        <v>266.48</v>
      </c>
      <c r="L52" s="134">
        <v>29.07</v>
      </c>
      <c r="M52" s="134">
        <v>74.34</v>
      </c>
      <c r="N52" s="134">
        <v>392.9</v>
      </c>
      <c r="O52" s="134">
        <v>0</v>
      </c>
      <c r="P52" s="134">
        <v>0.47</v>
      </c>
      <c r="Q52" s="134">
        <v>3.19</v>
      </c>
    </row>
    <row r="53" spans="1:17" customFormat="1">
      <c r="A53" s="112" t="s">
        <v>859</v>
      </c>
      <c r="B53" s="134">
        <v>9.14</v>
      </c>
      <c r="C53" s="134">
        <v>20.32</v>
      </c>
      <c r="D53" s="134">
        <v>16.899999999999999</v>
      </c>
      <c r="E53" s="134">
        <v>9.57</v>
      </c>
      <c r="F53" s="134">
        <v>6.38</v>
      </c>
      <c r="G53" s="134">
        <v>29.01</v>
      </c>
      <c r="H53" s="134">
        <v>7.09</v>
      </c>
      <c r="I53" s="134">
        <v>4.05</v>
      </c>
      <c r="J53" s="134">
        <v>0.95</v>
      </c>
      <c r="K53" s="134">
        <v>265.04000000000002</v>
      </c>
      <c r="L53" s="134">
        <v>28.4</v>
      </c>
      <c r="M53" s="134">
        <v>76.150000000000006</v>
      </c>
      <c r="N53" s="134">
        <v>62.9</v>
      </c>
      <c r="O53" s="134">
        <v>0</v>
      </c>
      <c r="P53" s="134">
        <v>0.5</v>
      </c>
      <c r="Q53" s="172" t="s">
        <v>8</v>
      </c>
    </row>
    <row r="54" spans="1:17" customFormat="1">
      <c r="A54" s="112" t="s">
        <v>860</v>
      </c>
      <c r="B54" s="134">
        <v>4.75</v>
      </c>
      <c r="C54" s="134">
        <v>18.7</v>
      </c>
      <c r="D54" s="134">
        <v>12.54</v>
      </c>
      <c r="E54" s="134">
        <v>9.19</v>
      </c>
      <c r="F54" s="134">
        <v>8.2100000000000009</v>
      </c>
      <c r="G54" s="134">
        <v>29.01</v>
      </c>
      <c r="H54" s="134">
        <v>7.09</v>
      </c>
      <c r="I54" s="134">
        <v>3.98</v>
      </c>
      <c r="J54" s="134">
        <v>0.92</v>
      </c>
      <c r="K54" s="134">
        <v>270.01</v>
      </c>
      <c r="L54" s="134">
        <v>28.31</v>
      </c>
      <c r="M54" s="134">
        <v>75.67</v>
      </c>
      <c r="N54" s="134">
        <v>265.39999999999998</v>
      </c>
      <c r="O54" s="134">
        <v>0</v>
      </c>
      <c r="P54" s="134">
        <v>0.52</v>
      </c>
      <c r="Q54" s="172" t="s">
        <v>8</v>
      </c>
    </row>
    <row r="55" spans="1:17" customFormat="1">
      <c r="A55" s="112" t="s">
        <v>861</v>
      </c>
      <c r="B55" s="134">
        <v>2.2799999999999998</v>
      </c>
      <c r="C55" s="134">
        <v>16.93</v>
      </c>
      <c r="D55" s="134">
        <v>9.6300000000000008</v>
      </c>
      <c r="E55" s="134">
        <v>8.16</v>
      </c>
      <c r="F55" s="134">
        <v>7.17</v>
      </c>
      <c r="G55" s="134">
        <v>29.23</v>
      </c>
      <c r="H55" s="134">
        <v>7.15</v>
      </c>
      <c r="I55" s="134">
        <v>3.8</v>
      </c>
      <c r="J55" s="134">
        <v>1.1499999999999999</v>
      </c>
      <c r="K55" s="134">
        <v>262.70999999999998</v>
      </c>
      <c r="L55" s="134">
        <v>28.84</v>
      </c>
      <c r="M55" s="134">
        <v>74.2</v>
      </c>
      <c r="N55" s="134">
        <v>244.9</v>
      </c>
      <c r="O55" s="134">
        <v>0</v>
      </c>
      <c r="P55" s="134">
        <v>0.52</v>
      </c>
      <c r="Q55" s="172" t="s">
        <v>8</v>
      </c>
    </row>
    <row r="56" spans="1:17" customFormat="1">
      <c r="A56" s="112" t="s">
        <v>862</v>
      </c>
      <c r="B56" s="134">
        <v>0.87</v>
      </c>
      <c r="C56" s="134">
        <v>14.95</v>
      </c>
      <c r="D56" s="134">
        <v>7.46</v>
      </c>
      <c r="E56" s="134">
        <v>8.69</v>
      </c>
      <c r="F56" s="134">
        <v>12.27</v>
      </c>
      <c r="G56" s="134">
        <v>34</v>
      </c>
      <c r="H56" s="134">
        <v>8.44</v>
      </c>
      <c r="I56" s="134">
        <v>3.59</v>
      </c>
      <c r="J56" s="134">
        <v>0.9</v>
      </c>
      <c r="K56" s="134">
        <v>267.14</v>
      </c>
      <c r="L56" s="134">
        <v>28.61</v>
      </c>
      <c r="M56" s="134">
        <v>74.89</v>
      </c>
      <c r="N56" s="134">
        <v>164.6</v>
      </c>
      <c r="O56" s="134">
        <v>0</v>
      </c>
      <c r="P56" s="134">
        <v>0.49</v>
      </c>
      <c r="Q56" s="172" t="s">
        <v>8</v>
      </c>
    </row>
    <row r="57" spans="1:17" customFormat="1">
      <c r="A57" s="112" t="s">
        <v>863</v>
      </c>
      <c r="B57" s="134">
        <v>0.09</v>
      </c>
      <c r="C57" s="134">
        <v>13.04</v>
      </c>
      <c r="D57" s="134">
        <v>5.83</v>
      </c>
      <c r="E57" s="134">
        <v>7.92</v>
      </c>
      <c r="F57" s="134">
        <v>14.49</v>
      </c>
      <c r="G57" s="134">
        <v>34</v>
      </c>
      <c r="H57" s="134">
        <v>8.44</v>
      </c>
      <c r="I57" s="134">
        <v>3.43</v>
      </c>
      <c r="J57" s="134">
        <v>0.94</v>
      </c>
      <c r="K57" s="134">
        <v>263.61</v>
      </c>
      <c r="L57" s="134">
        <v>28.61</v>
      </c>
      <c r="M57" s="134">
        <v>73.94</v>
      </c>
      <c r="N57" s="134">
        <v>226.1</v>
      </c>
      <c r="O57" s="134">
        <v>0</v>
      </c>
      <c r="P57" s="134">
        <v>0.41</v>
      </c>
      <c r="Q57" s="172" t="s">
        <v>8</v>
      </c>
    </row>
    <row r="58" spans="1:17" customFormat="1">
      <c r="A58" s="112" t="s">
        <v>864</v>
      </c>
      <c r="B58" s="134">
        <v>0</v>
      </c>
      <c r="C58" s="134">
        <v>10.82</v>
      </c>
      <c r="D58" s="134">
        <v>4.6100000000000003</v>
      </c>
      <c r="E58" s="134">
        <v>7.98</v>
      </c>
      <c r="F58" s="134">
        <v>13.16</v>
      </c>
      <c r="G58" s="134">
        <v>34</v>
      </c>
      <c r="H58" s="134">
        <v>8.44</v>
      </c>
      <c r="I58" s="134">
        <v>2.58</v>
      </c>
      <c r="J58" s="134">
        <v>0.89</v>
      </c>
      <c r="K58" s="134">
        <v>262.70999999999998</v>
      </c>
      <c r="L58" s="134">
        <v>29.14</v>
      </c>
      <c r="M58" s="134">
        <v>74.75</v>
      </c>
      <c r="N58" s="134">
        <v>477.6</v>
      </c>
      <c r="O58" s="134">
        <v>0</v>
      </c>
      <c r="P58" s="134">
        <v>0.35</v>
      </c>
      <c r="Q58" s="172" t="s">
        <v>8</v>
      </c>
    </row>
    <row r="59" spans="1:17" customFormat="1">
      <c r="A59" s="112" t="s">
        <v>865</v>
      </c>
      <c r="B59" s="134">
        <v>1.39</v>
      </c>
      <c r="C59" s="134">
        <v>9.7200000000000006</v>
      </c>
      <c r="D59" s="134">
        <v>5.14</v>
      </c>
      <c r="E59" s="134">
        <v>7.46</v>
      </c>
      <c r="F59" s="134">
        <v>9.61</v>
      </c>
      <c r="G59" s="134">
        <v>33.96</v>
      </c>
      <c r="H59" s="134">
        <v>8.41</v>
      </c>
      <c r="I59" s="134">
        <v>0</v>
      </c>
      <c r="J59" s="134">
        <v>0.89</v>
      </c>
      <c r="K59" s="134">
        <v>264.43</v>
      </c>
      <c r="L59" s="134">
        <v>29.33</v>
      </c>
      <c r="M59" s="134">
        <v>73.23</v>
      </c>
      <c r="N59" s="134">
        <v>244.3</v>
      </c>
      <c r="O59" s="134">
        <v>0</v>
      </c>
      <c r="P59" s="134">
        <v>0.4</v>
      </c>
      <c r="Q59" s="172" t="s">
        <v>8</v>
      </c>
    </row>
    <row r="60" spans="1:17" customFormat="1">
      <c r="A60" s="112" t="s">
        <v>866</v>
      </c>
      <c r="B60" s="134">
        <v>0.64</v>
      </c>
      <c r="C60" s="134">
        <v>10.29</v>
      </c>
      <c r="D60" s="134">
        <v>4.84</v>
      </c>
      <c r="E60" s="134">
        <v>7.18</v>
      </c>
      <c r="F60" s="134">
        <v>10.44</v>
      </c>
      <c r="G60" s="134">
        <v>33.17</v>
      </c>
      <c r="H60" s="134">
        <v>7.88</v>
      </c>
      <c r="I60" s="134">
        <v>48.76</v>
      </c>
      <c r="J60" s="134">
        <v>0.9</v>
      </c>
      <c r="K60" s="134">
        <v>268.69</v>
      </c>
      <c r="L60" s="134">
        <v>28.6</v>
      </c>
      <c r="M60" s="134">
        <v>75.31</v>
      </c>
      <c r="N60" s="134">
        <v>100.7</v>
      </c>
      <c r="O60" s="134">
        <v>0</v>
      </c>
      <c r="P60" s="134">
        <v>0.43</v>
      </c>
      <c r="Q60" s="172" t="s">
        <v>8</v>
      </c>
    </row>
    <row r="61" spans="1:17" customFormat="1">
      <c r="A61" s="112" t="s">
        <v>867</v>
      </c>
      <c r="B61" s="134">
        <v>0.72</v>
      </c>
      <c r="C61" s="134">
        <v>10.18</v>
      </c>
      <c r="D61" s="134">
        <v>4.8499999999999996</v>
      </c>
      <c r="E61" s="134">
        <v>6.84</v>
      </c>
      <c r="F61" s="134">
        <v>11.44</v>
      </c>
      <c r="G61" s="134">
        <v>33.17</v>
      </c>
      <c r="H61" s="134">
        <v>7.88</v>
      </c>
      <c r="I61" s="134">
        <v>193.83</v>
      </c>
      <c r="J61" s="134">
        <v>0.83</v>
      </c>
      <c r="K61" s="134">
        <v>264.95999999999998</v>
      </c>
      <c r="L61" s="134">
        <v>27.99</v>
      </c>
      <c r="M61" s="134">
        <v>79.650000000000006</v>
      </c>
      <c r="N61" s="134">
        <v>112.6</v>
      </c>
      <c r="O61" s="134">
        <v>0</v>
      </c>
      <c r="P61" s="134">
        <v>0.4</v>
      </c>
      <c r="Q61" s="172" t="s">
        <v>8</v>
      </c>
    </row>
    <row r="62" spans="1:17" customFormat="1">
      <c r="A62" s="112" t="s">
        <v>868</v>
      </c>
      <c r="B62" s="134">
        <v>2.33</v>
      </c>
      <c r="C62" s="134">
        <v>9.57</v>
      </c>
      <c r="D62" s="134">
        <v>5.83</v>
      </c>
      <c r="E62" s="134">
        <v>6.69</v>
      </c>
      <c r="F62" s="134">
        <v>12.35</v>
      </c>
      <c r="G62" s="134">
        <v>33.17</v>
      </c>
      <c r="H62" s="134">
        <v>7.88</v>
      </c>
      <c r="I62" s="134">
        <v>234.02</v>
      </c>
      <c r="J62" s="134">
        <v>0.89</v>
      </c>
      <c r="K62" s="134">
        <v>264.04000000000002</v>
      </c>
      <c r="L62" s="134">
        <v>28.47</v>
      </c>
      <c r="M62" s="134">
        <v>78.13</v>
      </c>
      <c r="N62" s="134">
        <v>308.2</v>
      </c>
      <c r="O62" s="134">
        <v>0</v>
      </c>
      <c r="P62" s="134">
        <v>0.39</v>
      </c>
      <c r="Q62" s="172" t="s">
        <v>8</v>
      </c>
    </row>
    <row r="63" spans="1:17" customFormat="1">
      <c r="A63" s="112" t="s">
        <v>869</v>
      </c>
      <c r="B63" s="134">
        <v>2.16</v>
      </c>
      <c r="C63" s="134">
        <v>9.82</v>
      </c>
      <c r="D63" s="134">
        <v>5.82</v>
      </c>
      <c r="E63" s="134">
        <v>5.71</v>
      </c>
      <c r="F63" s="134">
        <v>8.2100000000000009</v>
      </c>
      <c r="G63" s="134">
        <v>33.159999999999997</v>
      </c>
      <c r="H63" s="134">
        <v>7.87</v>
      </c>
      <c r="I63" s="134">
        <v>214.48</v>
      </c>
      <c r="J63" s="134">
        <v>0.87</v>
      </c>
      <c r="K63" s="134">
        <v>264.95</v>
      </c>
      <c r="L63" s="134">
        <v>27.54</v>
      </c>
      <c r="M63" s="134">
        <v>85.05</v>
      </c>
      <c r="N63" s="134">
        <v>85</v>
      </c>
      <c r="O63" s="134">
        <v>0.4</v>
      </c>
      <c r="P63" s="134">
        <v>0.35</v>
      </c>
      <c r="Q63" s="172" t="s">
        <v>8</v>
      </c>
    </row>
    <row r="64" spans="1:17" customFormat="1">
      <c r="A64" s="112" t="s">
        <v>870</v>
      </c>
      <c r="B64" s="134">
        <v>2.5299999999999998</v>
      </c>
      <c r="C64" s="134">
        <v>10.74</v>
      </c>
      <c r="D64" s="134">
        <v>6.6</v>
      </c>
      <c r="E64" s="134">
        <v>5.25</v>
      </c>
      <c r="F64" s="134">
        <v>4.55</v>
      </c>
      <c r="G64" s="134">
        <v>33</v>
      </c>
      <c r="H64" s="134">
        <v>7.69</v>
      </c>
      <c r="I64" s="134">
        <v>165.03</v>
      </c>
      <c r="J64" s="134">
        <v>0.75</v>
      </c>
      <c r="K64" s="134">
        <v>260.82</v>
      </c>
      <c r="L64" s="134">
        <v>26.86</v>
      </c>
      <c r="M64" s="134">
        <v>88.11</v>
      </c>
      <c r="N64" s="134">
        <v>186.6</v>
      </c>
      <c r="O64" s="134">
        <v>0</v>
      </c>
      <c r="P64" s="134">
        <v>0.34</v>
      </c>
      <c r="Q64" s="172" t="s">
        <v>8</v>
      </c>
    </row>
    <row r="65" spans="1:17" customFormat="1">
      <c r="A65" s="112" t="s">
        <v>871</v>
      </c>
      <c r="B65" s="134">
        <v>3.07</v>
      </c>
      <c r="C65" s="134">
        <v>13</v>
      </c>
      <c r="D65" s="134">
        <v>8.2100000000000009</v>
      </c>
      <c r="E65" s="134">
        <v>5.22</v>
      </c>
      <c r="F65" s="134">
        <v>3.76</v>
      </c>
      <c r="G65" s="134">
        <v>33</v>
      </c>
      <c r="H65" s="134">
        <v>7.69</v>
      </c>
      <c r="I65" s="134">
        <v>122.78</v>
      </c>
      <c r="J65" s="134">
        <v>0.99</v>
      </c>
      <c r="K65" s="134">
        <v>265.41000000000003</v>
      </c>
      <c r="L65" s="134">
        <v>27.3</v>
      </c>
      <c r="M65" s="134">
        <v>84.66</v>
      </c>
      <c r="N65" s="134">
        <v>179.1</v>
      </c>
      <c r="O65" s="134">
        <v>0</v>
      </c>
      <c r="P65" s="134">
        <v>0.37</v>
      </c>
      <c r="Q65" s="172" t="s">
        <v>8</v>
      </c>
    </row>
    <row r="66" spans="1:17" customFormat="1">
      <c r="A66" s="112" t="s">
        <v>872</v>
      </c>
      <c r="B66" s="134">
        <v>3.8</v>
      </c>
      <c r="C66" s="134">
        <v>13.24</v>
      </c>
      <c r="D66" s="134">
        <v>8.93</v>
      </c>
      <c r="E66" s="134">
        <v>5.25</v>
      </c>
      <c r="F66" s="134">
        <v>3.46</v>
      </c>
      <c r="G66" s="134">
        <v>33</v>
      </c>
      <c r="H66" s="134">
        <v>7.69</v>
      </c>
      <c r="I66" s="134">
        <v>118.49</v>
      </c>
      <c r="J66" s="134">
        <v>0.88</v>
      </c>
      <c r="K66" s="134">
        <v>264.81</v>
      </c>
      <c r="L66" s="134">
        <v>27.52</v>
      </c>
      <c r="M66" s="134">
        <v>83.27</v>
      </c>
      <c r="N66" s="134">
        <v>403.9</v>
      </c>
      <c r="O66" s="134">
        <v>0</v>
      </c>
      <c r="P66" s="134">
        <v>0.38</v>
      </c>
      <c r="Q66" s="172" t="s">
        <v>8</v>
      </c>
    </row>
    <row r="67" spans="1:17" customFormat="1">
      <c r="A67" s="112" t="s">
        <v>873</v>
      </c>
      <c r="B67" s="134">
        <v>4.41</v>
      </c>
      <c r="C67" s="134">
        <v>12.1</v>
      </c>
      <c r="D67" s="134">
        <v>8.82</v>
      </c>
      <c r="E67" s="134">
        <v>4.88</v>
      </c>
      <c r="F67" s="134">
        <v>4.97</v>
      </c>
      <c r="G67" s="134">
        <v>32.89</v>
      </c>
      <c r="H67" s="134">
        <v>7.77</v>
      </c>
      <c r="I67" s="134">
        <v>112.43</v>
      </c>
      <c r="J67" s="134">
        <v>1.17</v>
      </c>
      <c r="K67" s="134">
        <v>266.69</v>
      </c>
      <c r="L67" s="134">
        <v>28.79</v>
      </c>
      <c r="M67" s="134">
        <v>77.400000000000006</v>
      </c>
      <c r="N67" s="134">
        <v>574</v>
      </c>
      <c r="O67" s="134">
        <v>0</v>
      </c>
      <c r="P67" s="134">
        <v>0.33</v>
      </c>
      <c r="Q67" s="172" t="s">
        <v>8</v>
      </c>
    </row>
    <row r="68" spans="1:17" customFormat="1">
      <c r="A68" s="112" t="s">
        <v>874</v>
      </c>
      <c r="B68" s="134">
        <v>4.84</v>
      </c>
      <c r="C68" s="134">
        <v>11.96</v>
      </c>
      <c r="D68" s="134">
        <v>9.08</v>
      </c>
      <c r="E68" s="134">
        <v>5.43</v>
      </c>
      <c r="F68" s="134">
        <v>4.66</v>
      </c>
      <c r="G68" s="134">
        <v>30.44</v>
      </c>
      <c r="H68" s="134">
        <v>9</v>
      </c>
      <c r="I68" s="134">
        <v>106.18</v>
      </c>
      <c r="J68" s="134">
        <v>0.92</v>
      </c>
      <c r="K68" s="134">
        <v>267.76</v>
      </c>
      <c r="L68" s="134">
        <v>28.95</v>
      </c>
      <c r="M68" s="134">
        <v>76.78</v>
      </c>
      <c r="N68" s="134">
        <v>297.39999999999998</v>
      </c>
      <c r="O68" s="134">
        <v>0</v>
      </c>
      <c r="P68" s="134">
        <v>0.33</v>
      </c>
      <c r="Q68" s="172" t="s">
        <v>8</v>
      </c>
    </row>
    <row r="69" spans="1:17" customFormat="1">
      <c r="A69" s="112" t="s">
        <v>875</v>
      </c>
      <c r="B69" s="134">
        <v>5.29</v>
      </c>
      <c r="C69" s="134">
        <v>12.2</v>
      </c>
      <c r="D69" s="134">
        <v>9.57</v>
      </c>
      <c r="E69" s="134">
        <v>5.73</v>
      </c>
      <c r="F69" s="134">
        <v>4.04</v>
      </c>
      <c r="G69" s="134">
        <v>30.44</v>
      </c>
      <c r="H69" s="134">
        <v>9</v>
      </c>
      <c r="I69" s="134">
        <v>99.98</v>
      </c>
      <c r="J69" s="134">
        <v>0.91</v>
      </c>
      <c r="K69" s="134">
        <v>263.14999999999998</v>
      </c>
      <c r="L69" s="134">
        <v>28.94</v>
      </c>
      <c r="M69" s="134">
        <v>75.92</v>
      </c>
      <c r="N69" s="134">
        <v>301.2</v>
      </c>
      <c r="O69" s="134">
        <v>0</v>
      </c>
      <c r="P69" s="134">
        <v>0.33</v>
      </c>
      <c r="Q69" s="172" t="s">
        <v>8</v>
      </c>
    </row>
    <row r="70" spans="1:17" customFormat="1">
      <c r="A70" s="112" t="s">
        <v>876</v>
      </c>
      <c r="B70" s="134">
        <v>5.72</v>
      </c>
      <c r="C70" s="134">
        <v>11.96</v>
      </c>
      <c r="D70" s="134">
        <v>9.7899999999999991</v>
      </c>
      <c r="E70" s="134">
        <v>6.34</v>
      </c>
      <c r="F70" s="134">
        <v>4.67</v>
      </c>
      <c r="G70" s="134">
        <v>30.44</v>
      </c>
      <c r="H70" s="134">
        <v>9</v>
      </c>
      <c r="I70" s="134">
        <v>96.49</v>
      </c>
      <c r="J70" s="134">
        <v>1.07</v>
      </c>
      <c r="K70" s="134">
        <v>264.11</v>
      </c>
      <c r="L70" s="134">
        <v>29.09</v>
      </c>
      <c r="M70" s="134">
        <v>75.34</v>
      </c>
      <c r="N70" s="134">
        <v>360.5</v>
      </c>
      <c r="O70" s="134">
        <v>0</v>
      </c>
      <c r="P70" s="134">
        <v>0.35</v>
      </c>
      <c r="Q70" s="172" t="s">
        <v>8</v>
      </c>
    </row>
    <row r="71" spans="1:17" customFormat="1">
      <c r="A71" s="112" t="s">
        <v>877</v>
      </c>
      <c r="B71" s="134">
        <v>6.01</v>
      </c>
      <c r="C71" s="134">
        <v>11.9</v>
      </c>
      <c r="D71" s="134">
        <v>9.99</v>
      </c>
      <c r="E71" s="134">
        <v>6.54</v>
      </c>
      <c r="F71" s="134">
        <v>4.6399999999999997</v>
      </c>
      <c r="G71" s="134">
        <v>30.32</v>
      </c>
      <c r="H71" s="134">
        <v>9.0399999999999991</v>
      </c>
      <c r="I71" s="134">
        <v>92.72</v>
      </c>
      <c r="J71" s="134">
        <v>0.96</v>
      </c>
      <c r="K71" s="134">
        <v>262.5</v>
      </c>
      <c r="L71" s="134">
        <v>29.31</v>
      </c>
      <c r="M71" s="134">
        <v>75.22</v>
      </c>
      <c r="N71" s="134">
        <v>290.7</v>
      </c>
      <c r="O71" s="134">
        <v>0</v>
      </c>
      <c r="P71" s="134">
        <v>0.36</v>
      </c>
      <c r="Q71" s="172" t="s">
        <v>8</v>
      </c>
    </row>
    <row r="72" spans="1:17" customFormat="1">
      <c r="A72" s="112" t="s">
        <v>878</v>
      </c>
      <c r="B72" s="134">
        <v>6.35</v>
      </c>
      <c r="C72" s="134">
        <v>12.98</v>
      </c>
      <c r="D72" s="134">
        <v>10.83</v>
      </c>
      <c r="E72" s="134">
        <v>6.74</v>
      </c>
      <c r="F72" s="134">
        <v>3.01</v>
      </c>
      <c r="G72" s="134">
        <v>27.8</v>
      </c>
      <c r="H72" s="134">
        <v>9.69</v>
      </c>
      <c r="I72" s="134">
        <v>88.33</v>
      </c>
      <c r="J72" s="134">
        <v>1.24</v>
      </c>
      <c r="K72" s="134">
        <v>265.22000000000003</v>
      </c>
      <c r="L72" s="134">
        <v>29.02</v>
      </c>
      <c r="M72" s="134">
        <v>75.010000000000005</v>
      </c>
      <c r="N72" s="134">
        <v>258.7</v>
      </c>
      <c r="O72" s="134">
        <v>0</v>
      </c>
      <c r="P72" s="134">
        <v>0.38</v>
      </c>
      <c r="Q72" s="172" t="s">
        <v>8</v>
      </c>
    </row>
    <row r="73" spans="1:17" customFormat="1">
      <c r="A73" s="112" t="s">
        <v>879</v>
      </c>
      <c r="B73" s="134">
        <v>6.84</v>
      </c>
      <c r="C73" s="134">
        <v>13.14</v>
      </c>
      <c r="D73" s="134">
        <v>11.31</v>
      </c>
      <c r="E73" s="134">
        <v>7.21</v>
      </c>
      <c r="F73" s="134">
        <v>3.81</v>
      </c>
      <c r="G73" s="134">
        <v>27.8</v>
      </c>
      <c r="H73" s="134">
        <v>9.69</v>
      </c>
      <c r="I73" s="134">
        <v>85.12</v>
      </c>
      <c r="J73" s="134">
        <v>0.95</v>
      </c>
      <c r="K73" s="134">
        <v>267.58999999999997</v>
      </c>
      <c r="L73" s="134">
        <v>29.42</v>
      </c>
      <c r="M73" s="134">
        <v>72.7</v>
      </c>
      <c r="N73" s="134">
        <v>291.60000000000002</v>
      </c>
      <c r="O73" s="134">
        <v>0</v>
      </c>
      <c r="P73" s="134">
        <v>0.38</v>
      </c>
      <c r="Q73" s="172" t="s">
        <v>8</v>
      </c>
    </row>
    <row r="74" spans="1:17" customFormat="1">
      <c r="A74" s="112" t="s">
        <v>880</v>
      </c>
      <c r="B74" s="134">
        <v>7.06</v>
      </c>
      <c r="C74" s="134">
        <v>12.47</v>
      </c>
      <c r="D74" s="134">
        <v>11.13</v>
      </c>
      <c r="E74" s="134">
        <v>6.74</v>
      </c>
      <c r="F74" s="134">
        <v>3.97</v>
      </c>
      <c r="G74" s="134">
        <v>27.8</v>
      </c>
      <c r="H74" s="134">
        <v>9.69</v>
      </c>
      <c r="I74" s="134">
        <v>83.21</v>
      </c>
      <c r="J74" s="134">
        <v>1.07</v>
      </c>
      <c r="K74" s="134">
        <v>266.95</v>
      </c>
      <c r="L74" s="134">
        <v>29.19</v>
      </c>
      <c r="M74" s="134">
        <v>73.760000000000005</v>
      </c>
      <c r="N74" s="134">
        <v>191.3</v>
      </c>
      <c r="O74" s="134">
        <v>0</v>
      </c>
      <c r="P74" s="134">
        <v>0.37</v>
      </c>
      <c r="Q74" s="172" t="s">
        <v>8</v>
      </c>
    </row>
    <row r="75" spans="1:17" customFormat="1">
      <c r="A75" s="112" t="s">
        <v>881</v>
      </c>
      <c r="B75" s="134">
        <v>7.25</v>
      </c>
      <c r="C75" s="134">
        <v>12.25</v>
      </c>
      <c r="D75" s="134">
        <v>11.17</v>
      </c>
      <c r="E75" s="134">
        <v>6.59</v>
      </c>
      <c r="F75" s="134">
        <v>5.38</v>
      </c>
      <c r="G75" s="134">
        <v>27.97</v>
      </c>
      <c r="H75" s="134">
        <v>9.6300000000000008</v>
      </c>
      <c r="I75" s="134">
        <v>79.16</v>
      </c>
      <c r="J75" s="134">
        <v>0.93</v>
      </c>
      <c r="K75" s="134">
        <v>270.31</v>
      </c>
      <c r="L75" s="134">
        <v>29.21</v>
      </c>
      <c r="M75" s="134">
        <v>72.75</v>
      </c>
      <c r="N75" s="134">
        <v>156.30000000000001</v>
      </c>
      <c r="O75" s="134">
        <v>0</v>
      </c>
      <c r="P75" s="134">
        <v>0.36</v>
      </c>
      <c r="Q75" s="172" t="s">
        <v>8</v>
      </c>
    </row>
    <row r="76" spans="1:17" customFormat="1">
      <c r="A76" s="112" t="s">
        <v>882</v>
      </c>
      <c r="B76" s="134">
        <v>7.38</v>
      </c>
      <c r="C76" s="134">
        <v>12.44</v>
      </c>
      <c r="D76" s="134">
        <v>11.38</v>
      </c>
      <c r="E76" s="134">
        <v>7.04</v>
      </c>
      <c r="F76" s="134">
        <v>5.32</v>
      </c>
      <c r="G76" s="134">
        <v>30.86</v>
      </c>
      <c r="H76" s="134">
        <v>8.58</v>
      </c>
      <c r="I76" s="134">
        <v>76</v>
      </c>
      <c r="J76" s="134">
        <v>0.91</v>
      </c>
      <c r="K76" s="134">
        <v>274.81</v>
      </c>
      <c r="L76" s="134">
        <v>29.11</v>
      </c>
      <c r="M76" s="134">
        <v>71.95</v>
      </c>
      <c r="N76" s="134">
        <v>100.4</v>
      </c>
      <c r="O76" s="134">
        <v>0</v>
      </c>
      <c r="P76" s="134">
        <v>0.36</v>
      </c>
      <c r="Q76" s="172" t="s">
        <v>8</v>
      </c>
    </row>
    <row r="77" spans="1:17" customFormat="1">
      <c r="A77" s="112" t="s">
        <v>883</v>
      </c>
      <c r="B77" s="134">
        <v>7.52</v>
      </c>
      <c r="C77" s="134">
        <v>12.16</v>
      </c>
      <c r="D77" s="134">
        <v>11.34</v>
      </c>
      <c r="E77" s="134">
        <v>6.59</v>
      </c>
      <c r="F77" s="134">
        <v>5.4</v>
      </c>
      <c r="G77" s="134">
        <v>30.86</v>
      </c>
      <c r="H77" s="134">
        <v>8.58</v>
      </c>
      <c r="I77" s="134">
        <v>72.41</v>
      </c>
      <c r="J77" s="134">
        <v>0.81</v>
      </c>
      <c r="K77" s="134">
        <v>263.47000000000003</v>
      </c>
      <c r="L77" s="134">
        <v>28.59</v>
      </c>
      <c r="M77" s="134">
        <v>75.23</v>
      </c>
      <c r="N77" s="134">
        <v>58.5</v>
      </c>
      <c r="O77" s="134">
        <v>0</v>
      </c>
      <c r="P77" s="134">
        <v>0.35</v>
      </c>
      <c r="Q77" s="172" t="s">
        <v>8</v>
      </c>
    </row>
    <row r="78" spans="1:17" customFormat="1">
      <c r="A78" s="112" t="s">
        <v>884</v>
      </c>
      <c r="B78" s="134">
        <v>7.48</v>
      </c>
      <c r="C78" s="134">
        <v>11.4</v>
      </c>
      <c r="D78" s="134">
        <v>10.91</v>
      </c>
      <c r="E78" s="134">
        <v>7.08</v>
      </c>
      <c r="F78" s="134">
        <v>7.64</v>
      </c>
      <c r="G78" s="134">
        <v>30.86</v>
      </c>
      <c r="H78" s="134">
        <v>8.58</v>
      </c>
      <c r="I78" s="134">
        <v>68.83</v>
      </c>
      <c r="J78" s="134">
        <v>0.65</v>
      </c>
      <c r="K78" s="134">
        <v>267.29000000000002</v>
      </c>
      <c r="L78" s="134">
        <v>28.4</v>
      </c>
      <c r="M78" s="134">
        <v>76.67</v>
      </c>
      <c r="N78" s="134">
        <v>45.7</v>
      </c>
      <c r="O78" s="134">
        <v>0</v>
      </c>
      <c r="P78" s="134">
        <v>0.34</v>
      </c>
      <c r="Q78" s="172" t="s">
        <v>8</v>
      </c>
    </row>
    <row r="79" spans="1:17" customFormat="1">
      <c r="A79" s="112" t="s">
        <v>885</v>
      </c>
      <c r="B79" s="134">
        <v>7.39</v>
      </c>
      <c r="C79" s="134">
        <v>11.14</v>
      </c>
      <c r="D79" s="134">
        <v>10.7</v>
      </c>
      <c r="E79" s="134">
        <v>7.31</v>
      </c>
      <c r="F79" s="134">
        <v>7.65</v>
      </c>
      <c r="G79" s="134">
        <v>31.04</v>
      </c>
      <c r="H79" s="134">
        <v>8.56</v>
      </c>
      <c r="I79" s="134">
        <v>65.959999999999994</v>
      </c>
      <c r="J79" s="134">
        <v>0.61</v>
      </c>
      <c r="K79" s="134">
        <v>267.08999999999997</v>
      </c>
      <c r="L79" s="134">
        <v>28.34</v>
      </c>
      <c r="M79" s="134">
        <v>77.5</v>
      </c>
      <c r="N79" s="134">
        <v>46.2</v>
      </c>
      <c r="O79" s="134">
        <v>0</v>
      </c>
      <c r="P79" s="134">
        <v>0.33</v>
      </c>
      <c r="Q79" s="172" t="s">
        <v>8</v>
      </c>
    </row>
    <row r="80" spans="1:17" customFormat="1">
      <c r="A80" s="112" t="s">
        <v>886</v>
      </c>
      <c r="B80" s="134">
        <v>7.61</v>
      </c>
      <c r="C80" s="134">
        <v>11.99</v>
      </c>
      <c r="D80" s="134">
        <v>11.32</v>
      </c>
      <c r="E80" s="134">
        <v>7.25</v>
      </c>
      <c r="F80" s="134">
        <v>4.83</v>
      </c>
      <c r="G80" s="134">
        <v>34.75</v>
      </c>
      <c r="H80" s="134">
        <v>8.2899999999999991</v>
      </c>
      <c r="I80" s="134">
        <v>60.65</v>
      </c>
      <c r="J80" s="134">
        <v>0.67</v>
      </c>
      <c r="K80" s="134">
        <v>265.98</v>
      </c>
      <c r="L80" s="134">
        <v>28.17</v>
      </c>
      <c r="M80" s="134">
        <v>76.89</v>
      </c>
      <c r="N80" s="134">
        <v>31.9</v>
      </c>
      <c r="O80" s="134">
        <v>0</v>
      </c>
      <c r="P80" s="134">
        <v>0.37</v>
      </c>
      <c r="Q80" s="172" t="s">
        <v>8</v>
      </c>
    </row>
    <row r="81" spans="1:17" customFormat="1">
      <c r="A81" s="112" t="s">
        <v>887</v>
      </c>
      <c r="B81" s="134">
        <v>8.06</v>
      </c>
      <c r="C81" s="134">
        <v>14.14</v>
      </c>
      <c r="D81" s="134">
        <v>12.81</v>
      </c>
      <c r="E81" s="134">
        <v>5.35</v>
      </c>
      <c r="F81" s="134">
        <v>3.27</v>
      </c>
      <c r="G81" s="134">
        <v>34.75</v>
      </c>
      <c r="H81" s="134">
        <v>8.2899999999999991</v>
      </c>
      <c r="I81" s="134">
        <v>59.11</v>
      </c>
      <c r="J81" s="134">
        <v>0.55000000000000004</v>
      </c>
      <c r="K81" s="134">
        <v>264.48</v>
      </c>
      <c r="L81" s="134">
        <v>27.87</v>
      </c>
      <c r="M81" s="134">
        <v>78.95</v>
      </c>
      <c r="N81" s="134">
        <v>12.4</v>
      </c>
      <c r="O81" s="134">
        <v>0</v>
      </c>
      <c r="P81" s="134">
        <v>0.39</v>
      </c>
      <c r="Q81" s="172" t="s">
        <v>8</v>
      </c>
    </row>
    <row r="82" spans="1:17" customFormat="1">
      <c r="A82" s="112" t="s">
        <v>888</v>
      </c>
      <c r="B82" s="134">
        <v>8.34</v>
      </c>
      <c r="C82" s="134">
        <v>13.32</v>
      </c>
      <c r="D82" s="134">
        <v>12.6</v>
      </c>
      <c r="E82" s="134">
        <v>5.67</v>
      </c>
      <c r="F82" s="134">
        <v>4.6399999999999997</v>
      </c>
      <c r="G82" s="134">
        <v>34.75</v>
      </c>
      <c r="H82" s="134">
        <v>8.2899999999999991</v>
      </c>
      <c r="I82" s="134">
        <v>59.35</v>
      </c>
      <c r="J82" s="134">
        <v>0.61</v>
      </c>
      <c r="K82" s="134">
        <v>263.25</v>
      </c>
      <c r="L82" s="134">
        <v>27.64</v>
      </c>
      <c r="M82" s="134">
        <v>79.150000000000006</v>
      </c>
      <c r="N82" s="134">
        <v>0.8</v>
      </c>
      <c r="O82" s="134">
        <v>0</v>
      </c>
      <c r="P82" s="134">
        <v>0.37</v>
      </c>
      <c r="Q82" s="172" t="s">
        <v>8</v>
      </c>
    </row>
    <row r="83" spans="1:17" customFormat="1">
      <c r="A83" s="112" t="s">
        <v>889</v>
      </c>
      <c r="B83" s="134">
        <v>8.31</v>
      </c>
      <c r="C83" s="134">
        <v>12.03</v>
      </c>
      <c r="D83" s="134">
        <v>11.9</v>
      </c>
      <c r="E83" s="134">
        <v>6.03</v>
      </c>
      <c r="F83" s="134">
        <v>7.79</v>
      </c>
      <c r="G83" s="134">
        <v>34.78</v>
      </c>
      <c r="H83" s="134">
        <v>8.1999999999999993</v>
      </c>
      <c r="I83" s="134">
        <v>58.54</v>
      </c>
      <c r="J83" s="134">
        <v>0.56999999999999995</v>
      </c>
      <c r="K83" s="134">
        <v>263.19</v>
      </c>
      <c r="L83" s="134">
        <v>27.44</v>
      </c>
      <c r="M83" s="134">
        <v>80.77</v>
      </c>
      <c r="N83" s="134">
        <v>0</v>
      </c>
      <c r="O83" s="134">
        <v>0</v>
      </c>
      <c r="P83" s="134">
        <v>0.35</v>
      </c>
      <c r="Q83" s="172" t="s">
        <v>8</v>
      </c>
    </row>
    <row r="84" spans="1:17" customFormat="1">
      <c r="A84" s="112" t="s">
        <v>890</v>
      </c>
      <c r="B84" s="134">
        <v>8.2100000000000009</v>
      </c>
      <c r="C84" s="134">
        <v>11.74</v>
      </c>
      <c r="D84" s="134">
        <v>11.68</v>
      </c>
      <c r="E84" s="134">
        <v>5.59</v>
      </c>
      <c r="F84" s="134">
        <v>7.63</v>
      </c>
      <c r="G84" s="134">
        <v>35.299999999999997</v>
      </c>
      <c r="H84" s="134">
        <v>6.69</v>
      </c>
      <c r="I84" s="134">
        <v>55.87</v>
      </c>
      <c r="J84" s="134">
        <v>0.7</v>
      </c>
      <c r="K84" s="134">
        <v>263.93</v>
      </c>
      <c r="L84" s="134">
        <v>27.31</v>
      </c>
      <c r="M84" s="134">
        <v>80.06</v>
      </c>
      <c r="N84" s="134">
        <v>0</v>
      </c>
      <c r="O84" s="134">
        <v>0</v>
      </c>
      <c r="P84" s="134">
        <v>0.34</v>
      </c>
      <c r="Q84" s="172" t="s">
        <v>8</v>
      </c>
    </row>
    <row r="85" spans="1:17" customFormat="1">
      <c r="A85" s="112" t="s">
        <v>891</v>
      </c>
      <c r="B85" s="134">
        <v>8.56</v>
      </c>
      <c r="C85" s="134">
        <v>13.21</v>
      </c>
      <c r="D85" s="134">
        <v>12.72</v>
      </c>
      <c r="E85" s="134">
        <v>5.7</v>
      </c>
      <c r="F85" s="134">
        <v>4.2</v>
      </c>
      <c r="G85" s="134">
        <v>35.299999999999997</v>
      </c>
      <c r="H85" s="134">
        <v>6.69</v>
      </c>
      <c r="I85" s="134">
        <v>52.08</v>
      </c>
      <c r="J85" s="134">
        <v>0.62</v>
      </c>
      <c r="K85" s="134">
        <v>260.55</v>
      </c>
      <c r="L85" s="134">
        <v>27.19</v>
      </c>
      <c r="M85" s="134">
        <v>80.83</v>
      </c>
      <c r="N85" s="134">
        <v>0</v>
      </c>
      <c r="O85" s="134">
        <v>0</v>
      </c>
      <c r="P85" s="134">
        <v>0.36</v>
      </c>
      <c r="Q85" s="172" t="s">
        <v>8</v>
      </c>
    </row>
    <row r="86" spans="1:17" customFormat="1">
      <c r="A86" s="112" t="s">
        <v>892</v>
      </c>
      <c r="B86" s="134">
        <v>8.2899999999999991</v>
      </c>
      <c r="C86" s="134">
        <v>15.13</v>
      </c>
      <c r="D86" s="134">
        <v>13.51</v>
      </c>
      <c r="E86" s="134">
        <v>5.92</v>
      </c>
      <c r="F86" s="134">
        <v>3.16</v>
      </c>
      <c r="G86" s="134">
        <v>35.299999999999997</v>
      </c>
      <c r="H86" s="134">
        <v>6.69</v>
      </c>
      <c r="I86" s="134">
        <v>50.49</v>
      </c>
      <c r="J86" s="134">
        <v>0.5</v>
      </c>
      <c r="K86" s="134">
        <v>259.08</v>
      </c>
      <c r="L86" s="134">
        <v>27.02</v>
      </c>
      <c r="M86" s="134">
        <v>81.92</v>
      </c>
      <c r="N86" s="134">
        <v>0</v>
      </c>
      <c r="O86" s="134">
        <v>0</v>
      </c>
      <c r="P86" s="134">
        <v>0.4</v>
      </c>
      <c r="Q86" s="172" t="s">
        <v>8</v>
      </c>
    </row>
    <row r="87" spans="1:17" customFormat="1">
      <c r="A87" s="112" t="s">
        <v>893</v>
      </c>
      <c r="B87" s="134">
        <v>8</v>
      </c>
      <c r="C87" s="134">
        <v>14.43</v>
      </c>
      <c r="D87" s="134">
        <v>12.9</v>
      </c>
      <c r="E87" s="134">
        <v>5.83</v>
      </c>
      <c r="F87" s="134">
        <v>5.4</v>
      </c>
      <c r="G87" s="134">
        <v>35.049999999999997</v>
      </c>
      <c r="H87" s="134">
        <v>6.66</v>
      </c>
      <c r="I87" s="134">
        <v>52.7</v>
      </c>
      <c r="J87" s="134">
        <v>0.35</v>
      </c>
      <c r="K87" s="134">
        <v>252.47</v>
      </c>
      <c r="L87" s="134">
        <v>26.94</v>
      </c>
      <c r="M87" s="134">
        <v>82.66</v>
      </c>
      <c r="N87" s="134">
        <v>0</v>
      </c>
      <c r="O87" s="134">
        <v>0</v>
      </c>
      <c r="P87" s="134">
        <v>0.4</v>
      </c>
      <c r="Q87" s="172" t="s">
        <v>8</v>
      </c>
    </row>
    <row r="88" spans="1:17" customFormat="1">
      <c r="A88" s="112" t="s">
        <v>894</v>
      </c>
      <c r="B88" s="134">
        <v>7.95</v>
      </c>
      <c r="C88" s="134">
        <v>13.1</v>
      </c>
      <c r="D88" s="134">
        <v>12.18</v>
      </c>
      <c r="E88" s="134">
        <v>5.31</v>
      </c>
      <c r="F88" s="134">
        <v>6.63</v>
      </c>
      <c r="G88" s="134">
        <v>30.87</v>
      </c>
      <c r="H88" s="134">
        <v>6.14</v>
      </c>
      <c r="I88" s="134">
        <v>49.69</v>
      </c>
      <c r="J88" s="134">
        <v>0.22</v>
      </c>
      <c r="K88" s="134">
        <v>241.13</v>
      </c>
      <c r="L88" s="134">
        <v>26.7</v>
      </c>
      <c r="M88" s="134">
        <v>84.73</v>
      </c>
      <c r="N88" s="134">
        <v>0</v>
      </c>
      <c r="O88" s="134">
        <v>0</v>
      </c>
      <c r="P88" s="134">
        <v>0.37</v>
      </c>
      <c r="Q88" s="172" t="s">
        <v>8</v>
      </c>
    </row>
    <row r="89" spans="1:17" customFormat="1">
      <c r="A89" s="112" t="s">
        <v>895</v>
      </c>
      <c r="B89" s="134">
        <v>7.94</v>
      </c>
      <c r="C89" s="134">
        <v>12.58</v>
      </c>
      <c r="D89" s="134">
        <v>11.9</v>
      </c>
      <c r="E89" s="134">
        <v>5.33</v>
      </c>
      <c r="F89" s="134">
        <v>6.98</v>
      </c>
      <c r="G89" s="134">
        <v>30.87</v>
      </c>
      <c r="H89" s="134">
        <v>6.14</v>
      </c>
      <c r="I89" s="134">
        <v>46.06</v>
      </c>
      <c r="J89" s="134">
        <v>0.16</v>
      </c>
      <c r="K89" s="134">
        <v>232.34</v>
      </c>
      <c r="L89" s="134">
        <v>26.55</v>
      </c>
      <c r="M89" s="134">
        <v>85.59</v>
      </c>
      <c r="N89" s="134">
        <v>0</v>
      </c>
      <c r="O89" s="134">
        <v>0</v>
      </c>
      <c r="P89" s="134">
        <v>0.34</v>
      </c>
      <c r="Q89" s="172" t="s">
        <v>8</v>
      </c>
    </row>
    <row r="90" spans="1:17" customFormat="1">
      <c r="A90" s="112" t="s">
        <v>896</v>
      </c>
      <c r="B90" s="134">
        <v>8.01</v>
      </c>
      <c r="C90" s="134">
        <v>12.3</v>
      </c>
      <c r="D90" s="134">
        <v>11.8</v>
      </c>
      <c r="E90" s="134">
        <v>5.56</v>
      </c>
      <c r="F90" s="134">
        <v>6.79</v>
      </c>
      <c r="G90" s="134">
        <v>30.87</v>
      </c>
      <c r="H90" s="134">
        <v>6.14</v>
      </c>
      <c r="I90" s="134">
        <v>43.37</v>
      </c>
      <c r="J90" s="134">
        <v>0.13</v>
      </c>
      <c r="K90" s="134">
        <v>213.94</v>
      </c>
      <c r="L90" s="134">
        <v>26.33</v>
      </c>
      <c r="M90" s="134">
        <v>87.23</v>
      </c>
      <c r="N90" s="134">
        <v>0</v>
      </c>
      <c r="O90" s="134">
        <v>0</v>
      </c>
      <c r="P90" s="134">
        <v>0.34</v>
      </c>
      <c r="Q90" s="172" t="s">
        <v>8</v>
      </c>
    </row>
    <row r="91" spans="1:17" customFormat="1">
      <c r="A91" s="112" t="s">
        <v>897</v>
      </c>
      <c r="B91" s="134">
        <v>8.73</v>
      </c>
      <c r="C91" s="134">
        <v>14.95</v>
      </c>
      <c r="D91" s="134">
        <v>13.77</v>
      </c>
      <c r="E91" s="134">
        <v>6.1</v>
      </c>
      <c r="F91" s="134">
        <v>2.85</v>
      </c>
      <c r="G91" s="134">
        <v>30.93</v>
      </c>
      <c r="H91" s="134">
        <v>6.32</v>
      </c>
      <c r="I91" s="134">
        <v>41.08</v>
      </c>
      <c r="J91" s="134">
        <v>0.15</v>
      </c>
      <c r="K91" s="134">
        <v>241.85</v>
      </c>
      <c r="L91" s="134">
        <v>26.21</v>
      </c>
      <c r="M91" s="134">
        <v>88.96</v>
      </c>
      <c r="N91" s="134">
        <v>0</v>
      </c>
      <c r="O91" s="134">
        <v>0</v>
      </c>
      <c r="P91" s="134">
        <v>0.39</v>
      </c>
      <c r="Q91" s="172" t="s">
        <v>8</v>
      </c>
    </row>
    <row r="92" spans="1:17" customFormat="1">
      <c r="A92" s="112" t="s">
        <v>898</v>
      </c>
      <c r="B92" s="134">
        <v>9.02</v>
      </c>
      <c r="C92" s="134">
        <v>14.69</v>
      </c>
      <c r="D92" s="134">
        <v>13.86</v>
      </c>
      <c r="E92" s="134">
        <v>6.46</v>
      </c>
      <c r="F92" s="134">
        <v>4.1500000000000004</v>
      </c>
      <c r="G92" s="134">
        <v>32.04</v>
      </c>
      <c r="H92" s="134">
        <v>9.24</v>
      </c>
      <c r="I92" s="134">
        <v>40.42</v>
      </c>
      <c r="J92" s="134">
        <v>0.12</v>
      </c>
      <c r="K92" s="134">
        <v>234.28</v>
      </c>
      <c r="L92" s="134">
        <v>26.15</v>
      </c>
      <c r="M92" s="134">
        <v>89.14</v>
      </c>
      <c r="N92" s="134">
        <v>0</v>
      </c>
      <c r="O92" s="134">
        <v>0</v>
      </c>
      <c r="P92" s="134">
        <v>0.39</v>
      </c>
      <c r="Q92" s="172" t="s">
        <v>8</v>
      </c>
    </row>
    <row r="93" spans="1:17" customFormat="1">
      <c r="A93" s="112" t="s">
        <v>899</v>
      </c>
      <c r="B93" s="134">
        <v>8.9600000000000009</v>
      </c>
      <c r="C93" s="134">
        <v>13.17</v>
      </c>
      <c r="D93" s="134">
        <v>13.03</v>
      </c>
      <c r="E93" s="134">
        <v>5.88</v>
      </c>
      <c r="F93" s="134">
        <v>6.61</v>
      </c>
      <c r="G93" s="134">
        <v>32.04</v>
      </c>
      <c r="H93" s="134">
        <v>9.24</v>
      </c>
      <c r="I93" s="134">
        <v>42.95</v>
      </c>
      <c r="J93" s="134">
        <v>0.13</v>
      </c>
      <c r="K93" s="134">
        <v>230.07</v>
      </c>
      <c r="L93" s="134">
        <v>26.1</v>
      </c>
      <c r="M93" s="134">
        <v>89.71</v>
      </c>
      <c r="N93" s="134">
        <v>0</v>
      </c>
      <c r="O93" s="134">
        <v>0</v>
      </c>
      <c r="P93" s="134">
        <v>0.37</v>
      </c>
      <c r="Q93" s="172" t="s">
        <v>8</v>
      </c>
    </row>
    <row r="94" spans="1:17" customFormat="1">
      <c r="A94" s="112" t="s">
        <v>900</v>
      </c>
      <c r="B94" s="134">
        <v>9.2799999999999994</v>
      </c>
      <c r="C94" s="134">
        <v>13.21</v>
      </c>
      <c r="D94" s="134">
        <v>13.3</v>
      </c>
      <c r="E94" s="134">
        <v>6.1</v>
      </c>
      <c r="F94" s="134">
        <v>5.55</v>
      </c>
      <c r="G94" s="134">
        <v>32.04</v>
      </c>
      <c r="H94" s="134">
        <v>9.24</v>
      </c>
      <c r="I94" s="134">
        <v>38.96</v>
      </c>
      <c r="J94" s="134">
        <v>0.35</v>
      </c>
      <c r="K94" s="134">
        <v>257.41000000000003</v>
      </c>
      <c r="L94" s="134">
        <v>26.16</v>
      </c>
      <c r="M94" s="134">
        <v>89.31</v>
      </c>
      <c r="N94" s="134">
        <v>0</v>
      </c>
      <c r="O94" s="134">
        <v>0</v>
      </c>
      <c r="P94" s="134">
        <v>0.36</v>
      </c>
      <c r="Q94" s="172" t="s">
        <v>8</v>
      </c>
    </row>
    <row r="95" spans="1:17" customFormat="1">
      <c r="A95" s="112" t="s">
        <v>901</v>
      </c>
      <c r="B95" s="134">
        <v>10.02</v>
      </c>
      <c r="C95" s="134">
        <v>15.7</v>
      </c>
      <c r="D95" s="134">
        <v>15.19</v>
      </c>
      <c r="E95" s="134">
        <v>6.39</v>
      </c>
      <c r="F95" s="134">
        <v>2.5299999999999998</v>
      </c>
      <c r="G95" s="134">
        <v>32.14</v>
      </c>
      <c r="H95" s="134">
        <v>9.3000000000000007</v>
      </c>
      <c r="I95" s="134">
        <v>37.07</v>
      </c>
      <c r="J95" s="134">
        <v>0.48</v>
      </c>
      <c r="K95" s="134">
        <v>264.91000000000003</v>
      </c>
      <c r="L95" s="134">
        <v>26.28</v>
      </c>
      <c r="M95" s="134">
        <v>87.56</v>
      </c>
      <c r="N95" s="134">
        <v>0</v>
      </c>
      <c r="O95" s="134">
        <v>0</v>
      </c>
      <c r="P95" s="134">
        <v>0.4</v>
      </c>
      <c r="Q95" s="172" t="s">
        <v>8</v>
      </c>
    </row>
    <row r="96" spans="1:17" customFormat="1">
      <c r="A96" s="112" t="s">
        <v>902</v>
      </c>
      <c r="B96" s="134">
        <v>10.32</v>
      </c>
      <c r="C96" s="134">
        <v>14.96</v>
      </c>
      <c r="D96" s="134">
        <v>15.04</v>
      </c>
      <c r="E96" s="134">
        <v>6.6</v>
      </c>
      <c r="F96" s="134">
        <v>3.68</v>
      </c>
      <c r="G96" s="134">
        <v>33.770000000000003</v>
      </c>
      <c r="H96" s="134">
        <v>10.210000000000001</v>
      </c>
      <c r="I96" s="134">
        <v>38.42</v>
      </c>
      <c r="J96" s="134">
        <v>0.57999999999999996</v>
      </c>
      <c r="K96" s="134">
        <v>260.12</v>
      </c>
      <c r="L96" s="134">
        <v>26.35</v>
      </c>
      <c r="M96" s="134">
        <v>86.09</v>
      </c>
      <c r="N96" s="134">
        <v>0</v>
      </c>
      <c r="O96" s="134">
        <v>0</v>
      </c>
      <c r="P96" s="134">
        <v>0.39</v>
      </c>
      <c r="Q96" s="172" t="s">
        <v>8</v>
      </c>
    </row>
    <row r="97" spans="1:22" customFormat="1">
      <c r="A97" s="112" t="s">
        <v>903</v>
      </c>
      <c r="B97" s="134">
        <v>10.36</v>
      </c>
      <c r="C97" s="134">
        <v>13.77</v>
      </c>
      <c r="D97" s="134">
        <v>14.45</v>
      </c>
      <c r="E97" s="134">
        <v>6.23</v>
      </c>
      <c r="F97" s="134">
        <v>4.93</v>
      </c>
      <c r="G97" s="134">
        <v>33.770000000000003</v>
      </c>
      <c r="H97" s="134">
        <v>10.210000000000001</v>
      </c>
      <c r="I97" s="134">
        <v>39.4</v>
      </c>
      <c r="J97" s="134">
        <v>0.77</v>
      </c>
      <c r="K97" s="134">
        <v>263.39999999999998</v>
      </c>
      <c r="L97" s="134">
        <v>26.35</v>
      </c>
      <c r="M97" s="134">
        <v>85.16</v>
      </c>
      <c r="N97" s="134">
        <v>0</v>
      </c>
      <c r="O97" s="134">
        <v>0</v>
      </c>
      <c r="P97" s="134">
        <v>0.36</v>
      </c>
      <c r="Q97" s="172" t="s">
        <v>8</v>
      </c>
    </row>
    <row r="98" spans="1:22" customFormat="1">
      <c r="A98" s="112" t="s">
        <v>904</v>
      </c>
      <c r="B98" s="134">
        <v>10.5</v>
      </c>
      <c r="C98" s="134">
        <v>14.44</v>
      </c>
      <c r="D98" s="134">
        <v>14.92</v>
      </c>
      <c r="E98" s="134">
        <v>6.1</v>
      </c>
      <c r="F98" s="134">
        <v>3.5</v>
      </c>
      <c r="G98" s="134">
        <v>33.770000000000003</v>
      </c>
      <c r="H98" s="134">
        <v>10.210000000000001</v>
      </c>
      <c r="I98" s="134">
        <v>37.4</v>
      </c>
      <c r="J98" s="134">
        <v>0.64</v>
      </c>
      <c r="K98" s="134">
        <v>263.24</v>
      </c>
      <c r="L98" s="134">
        <v>26.22</v>
      </c>
      <c r="M98" s="134">
        <v>85.63</v>
      </c>
      <c r="N98" s="134">
        <v>0</v>
      </c>
      <c r="O98" s="134">
        <v>0</v>
      </c>
      <c r="P98" s="134">
        <v>0.38</v>
      </c>
      <c r="Q98" s="172" t="s">
        <v>8</v>
      </c>
    </row>
    <row r="99" spans="1:22" customFormat="1">
      <c r="A99" s="112" t="s">
        <v>905</v>
      </c>
      <c r="B99" s="134">
        <v>10.69</v>
      </c>
      <c r="C99" s="134">
        <v>16.600000000000001</v>
      </c>
      <c r="D99" s="134">
        <v>16.2</v>
      </c>
      <c r="E99" s="134">
        <v>7.11</v>
      </c>
      <c r="F99" s="134">
        <v>2.16</v>
      </c>
      <c r="G99" s="134">
        <v>33.590000000000003</v>
      </c>
      <c r="H99" s="134">
        <v>10.039999999999999</v>
      </c>
      <c r="I99" s="134">
        <v>36.4</v>
      </c>
      <c r="J99" s="134">
        <v>0.67</v>
      </c>
      <c r="K99" s="134">
        <v>263.79000000000002</v>
      </c>
      <c r="L99" s="134">
        <v>26.12</v>
      </c>
      <c r="M99" s="134">
        <v>86.02</v>
      </c>
      <c r="N99" s="134">
        <v>0</v>
      </c>
      <c r="O99" s="134">
        <v>0</v>
      </c>
      <c r="P99" s="134">
        <v>0.41</v>
      </c>
      <c r="Q99" s="172" t="s">
        <v>8</v>
      </c>
    </row>
    <row r="100" spans="1:22" customFormat="1">
      <c r="A100" s="112" t="s">
        <v>906</v>
      </c>
      <c r="B100" s="134">
        <v>11.04</v>
      </c>
      <c r="C100" s="134">
        <v>15.06</v>
      </c>
      <c r="D100" s="134">
        <v>15.67</v>
      </c>
      <c r="E100" s="134">
        <v>7.37</v>
      </c>
      <c r="F100" s="134">
        <v>3.33</v>
      </c>
      <c r="G100" s="134">
        <v>30.44</v>
      </c>
      <c r="H100" s="134">
        <v>7.35</v>
      </c>
      <c r="I100" s="134">
        <v>36.42</v>
      </c>
      <c r="J100" s="134">
        <v>0.68</v>
      </c>
      <c r="K100" s="134">
        <v>262.63</v>
      </c>
      <c r="L100" s="134">
        <v>26.02</v>
      </c>
      <c r="M100" s="134">
        <v>86.55</v>
      </c>
      <c r="N100" s="134">
        <v>0</v>
      </c>
      <c r="O100" s="134">
        <v>0</v>
      </c>
      <c r="P100" s="134">
        <v>0.38</v>
      </c>
      <c r="Q100" s="172" t="s">
        <v>8</v>
      </c>
    </row>
    <row r="101" spans="1:22" customFormat="1">
      <c r="A101" s="112" t="s">
        <v>907</v>
      </c>
      <c r="B101" s="134">
        <v>11.17</v>
      </c>
      <c r="C101" s="134">
        <v>14.3</v>
      </c>
      <c r="D101" s="134">
        <v>15.38</v>
      </c>
      <c r="E101" s="134">
        <v>6.24</v>
      </c>
      <c r="F101" s="134">
        <v>3.95</v>
      </c>
      <c r="G101" s="134">
        <v>30.44</v>
      </c>
      <c r="H101" s="134">
        <v>7.35</v>
      </c>
      <c r="I101" s="134">
        <v>35.590000000000003</v>
      </c>
      <c r="J101" s="134">
        <v>0.59</v>
      </c>
      <c r="K101" s="134">
        <v>261</v>
      </c>
      <c r="L101" s="134">
        <v>25.9</v>
      </c>
      <c r="M101" s="134">
        <v>87.07</v>
      </c>
      <c r="N101" s="134">
        <v>0</v>
      </c>
      <c r="O101" s="134">
        <v>0</v>
      </c>
      <c r="P101" s="134">
        <v>0.37</v>
      </c>
      <c r="Q101" s="172" t="s">
        <v>8</v>
      </c>
    </row>
    <row r="102" spans="1:22" customFormat="1">
      <c r="A102" s="112" t="s">
        <v>908</v>
      </c>
      <c r="B102" s="134">
        <v>11.46</v>
      </c>
      <c r="C102" s="134">
        <v>16.34</v>
      </c>
      <c r="D102" s="134">
        <v>16.68</v>
      </c>
      <c r="E102" s="134">
        <v>7.01</v>
      </c>
      <c r="F102" s="134">
        <v>2.15</v>
      </c>
      <c r="G102" s="134">
        <v>30.44</v>
      </c>
      <c r="H102" s="134">
        <v>7.35</v>
      </c>
      <c r="I102" s="134">
        <v>34.22</v>
      </c>
      <c r="J102" s="134">
        <v>0.61</v>
      </c>
      <c r="K102" s="134">
        <v>260.88</v>
      </c>
      <c r="L102" s="134">
        <v>25.77</v>
      </c>
      <c r="M102" s="134">
        <v>87.99</v>
      </c>
      <c r="N102" s="134">
        <v>0</v>
      </c>
      <c r="O102" s="134">
        <v>0</v>
      </c>
      <c r="P102" s="134">
        <v>0.41</v>
      </c>
      <c r="Q102" s="172" t="s">
        <v>8</v>
      </c>
    </row>
    <row r="103" spans="1:22" customFormat="1">
      <c r="A103" s="112" t="s">
        <v>909</v>
      </c>
      <c r="B103" s="134">
        <v>11.57</v>
      </c>
      <c r="C103" s="134">
        <v>15.54</v>
      </c>
      <c r="D103" s="134">
        <v>16.36</v>
      </c>
      <c r="E103" s="134">
        <v>6.94</v>
      </c>
      <c r="F103" s="134">
        <v>3.06</v>
      </c>
      <c r="G103" s="134">
        <v>30.08</v>
      </c>
      <c r="H103" s="134">
        <v>7.37</v>
      </c>
      <c r="I103" s="134">
        <v>33.520000000000003</v>
      </c>
      <c r="J103" s="134">
        <v>0.67</v>
      </c>
      <c r="K103" s="134">
        <v>262.01</v>
      </c>
      <c r="L103" s="134">
        <v>25.7</v>
      </c>
      <c r="M103" s="134">
        <v>88.1</v>
      </c>
      <c r="N103" s="134">
        <v>0</v>
      </c>
      <c r="O103" s="134">
        <v>0</v>
      </c>
      <c r="P103" s="134">
        <v>0.38</v>
      </c>
      <c r="Q103" s="172" t="s">
        <v>8</v>
      </c>
    </row>
    <row r="104" spans="1:22" customFormat="1">
      <c r="A104" s="112" t="s">
        <v>910</v>
      </c>
      <c r="B104" s="134">
        <v>11.44</v>
      </c>
      <c r="C104" s="134">
        <v>14.3</v>
      </c>
      <c r="D104" s="134">
        <v>15.6</v>
      </c>
      <c r="E104" s="134">
        <v>6.85</v>
      </c>
      <c r="F104" s="134">
        <v>4.18</v>
      </c>
      <c r="G104" s="134">
        <v>23.99</v>
      </c>
      <c r="H104" s="134">
        <v>7.72</v>
      </c>
      <c r="I104" s="134">
        <v>33.29</v>
      </c>
      <c r="J104" s="134">
        <v>0.73</v>
      </c>
      <c r="K104" s="134">
        <v>261.97000000000003</v>
      </c>
      <c r="L104" s="134">
        <v>25.63</v>
      </c>
      <c r="M104" s="134">
        <v>87.98</v>
      </c>
      <c r="N104" s="134">
        <v>0</v>
      </c>
      <c r="O104" s="134">
        <v>0</v>
      </c>
      <c r="P104" s="134">
        <v>0.37</v>
      </c>
      <c r="Q104" s="172" t="s">
        <v>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0</v>
      </c>
      <c r="C106" s="183">
        <f>MIN(C9:C104)</f>
        <v>9.57</v>
      </c>
      <c r="D106" s="183">
        <f t="shared" ref="D106:Q106" si="0">MIN(D9:D104)</f>
        <v>4.6100000000000003</v>
      </c>
      <c r="E106" s="183">
        <f t="shared" si="0"/>
        <v>4.88</v>
      </c>
      <c r="F106" s="183">
        <f t="shared" si="0"/>
        <v>1.55</v>
      </c>
      <c r="G106" s="183">
        <f t="shared" si="0"/>
        <v>7.24</v>
      </c>
      <c r="H106" s="183">
        <f t="shared" si="0"/>
        <v>2.0699999999999998</v>
      </c>
      <c r="I106" s="183">
        <f t="shared" si="0"/>
        <v>0</v>
      </c>
      <c r="J106" s="183">
        <f t="shared" si="0"/>
        <v>0.12</v>
      </c>
      <c r="K106" s="183">
        <f t="shared" si="0"/>
        <v>213.94</v>
      </c>
      <c r="L106" s="183">
        <f t="shared" si="0"/>
        <v>25.06</v>
      </c>
      <c r="M106" s="183">
        <f t="shared" si="0"/>
        <v>71.95</v>
      </c>
      <c r="N106" s="183">
        <f t="shared" si="0"/>
        <v>0</v>
      </c>
      <c r="O106" s="183">
        <f t="shared" si="0"/>
        <v>0</v>
      </c>
      <c r="P106" s="183">
        <f t="shared" si="0"/>
        <v>0.33</v>
      </c>
      <c r="Q106" s="183">
        <f t="shared" si="0"/>
        <v>3.1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15.4</v>
      </c>
      <c r="C107" s="184">
        <f t="shared" ref="C107:Q107" si="1">MAX(C9:C104)</f>
        <v>23.06</v>
      </c>
      <c r="D107" s="184">
        <f t="shared" si="1"/>
        <v>22.92</v>
      </c>
      <c r="E107" s="184">
        <f t="shared" si="1"/>
        <v>9.57</v>
      </c>
      <c r="F107" s="184">
        <f t="shared" si="1"/>
        <v>14.49</v>
      </c>
      <c r="G107" s="184">
        <f t="shared" si="1"/>
        <v>35.299999999999997</v>
      </c>
      <c r="H107" s="184">
        <f t="shared" si="1"/>
        <v>10.210000000000001</v>
      </c>
      <c r="I107" s="184">
        <f t="shared" si="1"/>
        <v>234.02</v>
      </c>
      <c r="J107" s="184">
        <f t="shared" si="1"/>
        <v>1.24</v>
      </c>
      <c r="K107" s="184">
        <f t="shared" si="1"/>
        <v>279.58999999999997</v>
      </c>
      <c r="L107" s="184">
        <f t="shared" si="1"/>
        <v>29.42</v>
      </c>
      <c r="M107" s="184">
        <f t="shared" si="1"/>
        <v>91.28</v>
      </c>
      <c r="N107" s="184">
        <f t="shared" si="1"/>
        <v>574</v>
      </c>
      <c r="O107" s="184">
        <f t="shared" si="1"/>
        <v>0.4</v>
      </c>
      <c r="P107" s="184">
        <f t="shared" si="1"/>
        <v>0.52</v>
      </c>
      <c r="Q107" s="184">
        <f t="shared" si="1"/>
        <v>3.36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9.799687500000001</v>
      </c>
      <c r="C108" s="183">
        <f t="shared" ref="C108:Q108" si="2">AVERAGE(C9:C104)</f>
        <v>16.783750000000008</v>
      </c>
      <c r="D108" s="183">
        <f t="shared" si="2"/>
        <v>15.583125000000004</v>
      </c>
      <c r="E108" s="183">
        <f t="shared" si="2"/>
        <v>7.1031250000000021</v>
      </c>
      <c r="F108" s="183">
        <f t="shared" si="2"/>
        <v>4.4197916666666659</v>
      </c>
      <c r="G108" s="183">
        <f t="shared" si="2"/>
        <v>24.769895833333326</v>
      </c>
      <c r="H108" s="183">
        <f t="shared" si="2"/>
        <v>6.2377083333333347</v>
      </c>
      <c r="I108" s="183">
        <f t="shared" si="2"/>
        <v>36.665624999999999</v>
      </c>
      <c r="J108" s="183">
        <f t="shared" si="2"/>
        <v>0.76500000000000012</v>
      </c>
      <c r="K108" s="183">
        <f t="shared" si="2"/>
        <v>263.0281250000001</v>
      </c>
      <c r="L108" s="183">
        <f t="shared" si="2"/>
        <v>27.021145833333325</v>
      </c>
      <c r="M108" s="183">
        <f t="shared" si="2"/>
        <v>82.982500000000002</v>
      </c>
      <c r="N108" s="183">
        <f t="shared" si="2"/>
        <v>105.77083333333336</v>
      </c>
      <c r="O108" s="183">
        <f t="shared" si="2"/>
        <v>4.1666666666666666E-3</v>
      </c>
      <c r="P108" s="183">
        <f t="shared" si="2"/>
        <v>0.39802083333333327</v>
      </c>
      <c r="Q108" s="183">
        <f t="shared" si="2"/>
        <v>3.2056818181818176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4.2016832349165574</v>
      </c>
      <c r="C109" s="183">
        <f t="shared" ref="C109:Q109" si="3">STDEV(C9:C104)</f>
        <v>4.216469276289641</v>
      </c>
      <c r="D109" s="183">
        <f t="shared" si="3"/>
        <v>5.3489039334683941</v>
      </c>
      <c r="E109" s="183">
        <f t="shared" si="3"/>
        <v>1.0075653955529491</v>
      </c>
      <c r="F109" s="183">
        <f t="shared" si="3"/>
        <v>2.7037879779717509</v>
      </c>
      <c r="G109" s="183">
        <f t="shared" si="3"/>
        <v>8.7598044312213688</v>
      </c>
      <c r="H109" s="183">
        <f t="shared" si="3"/>
        <v>2.5253199814621268</v>
      </c>
      <c r="I109" s="183">
        <f t="shared" si="3"/>
        <v>48.166989478217715</v>
      </c>
      <c r="J109" s="183">
        <f t="shared" si="3"/>
        <v>0.25486838708800685</v>
      </c>
      <c r="K109" s="183">
        <f t="shared" si="3"/>
        <v>9.0612520701541914</v>
      </c>
      <c r="L109" s="183">
        <f t="shared" si="3"/>
        <v>1.398253700187571</v>
      </c>
      <c r="M109" s="183">
        <f t="shared" si="3"/>
        <v>5.8929826243192638</v>
      </c>
      <c r="N109" s="183">
        <f t="shared" si="3"/>
        <v>138.09117500418003</v>
      </c>
      <c r="O109" s="183">
        <f t="shared" si="3"/>
        <v>4.0824829046386304E-2</v>
      </c>
      <c r="P109" s="183">
        <f t="shared" si="3"/>
        <v>4.9217450727770916E-2</v>
      </c>
      <c r="Q109" s="183">
        <f t="shared" si="3"/>
        <v>6.7768337508865864E-2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P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5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08/08/2023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911</v>
      </c>
      <c r="B9" s="134">
        <v>9.49</v>
      </c>
      <c r="C9" s="134">
        <v>17.579999999999998</v>
      </c>
      <c r="D9" s="134">
        <v>15.74</v>
      </c>
      <c r="E9" s="134">
        <v>6.98</v>
      </c>
      <c r="F9" s="134">
        <v>1.95</v>
      </c>
      <c r="G9" s="134">
        <v>23.99</v>
      </c>
      <c r="H9" s="134">
        <v>7.72</v>
      </c>
      <c r="I9" s="134">
        <v>31.96</v>
      </c>
      <c r="J9" s="134">
        <v>0.56000000000000005</v>
      </c>
      <c r="K9" s="134">
        <v>258.58</v>
      </c>
      <c r="L9" s="134">
        <v>25.54</v>
      </c>
      <c r="M9" s="134">
        <v>88.55</v>
      </c>
      <c r="N9" s="134">
        <v>0</v>
      </c>
      <c r="O9" s="134">
        <v>0</v>
      </c>
      <c r="P9" s="134">
        <v>0.4</v>
      </c>
      <c r="Q9" s="172" t="s">
        <v>8</v>
      </c>
    </row>
    <row r="10" spans="1:21" customFormat="1">
      <c r="A10" s="112" t="s">
        <v>912</v>
      </c>
      <c r="B10" s="134">
        <v>9.33</v>
      </c>
      <c r="C10" s="134">
        <v>19.07</v>
      </c>
      <c r="D10" s="134">
        <v>16.399999999999999</v>
      </c>
      <c r="E10" s="134">
        <v>7.6</v>
      </c>
      <c r="F10" s="134">
        <v>1.73</v>
      </c>
      <c r="G10" s="134">
        <v>23.99</v>
      </c>
      <c r="H10" s="134">
        <v>7.72</v>
      </c>
      <c r="I10" s="134">
        <v>30.34</v>
      </c>
      <c r="J10" s="134">
        <v>0.55000000000000004</v>
      </c>
      <c r="K10" s="134">
        <v>259.51</v>
      </c>
      <c r="L10" s="134">
        <v>25.44</v>
      </c>
      <c r="M10" s="134">
        <v>88.8</v>
      </c>
      <c r="N10" s="134">
        <v>0</v>
      </c>
      <c r="O10" s="134">
        <v>0</v>
      </c>
      <c r="P10" s="134">
        <v>0.43</v>
      </c>
      <c r="Q10" s="172" t="s">
        <v>8</v>
      </c>
    </row>
    <row r="11" spans="1:21" customFormat="1">
      <c r="A11" s="112" t="s">
        <v>913</v>
      </c>
      <c r="B11" s="134">
        <v>9.06</v>
      </c>
      <c r="C11" s="134">
        <v>20.22</v>
      </c>
      <c r="D11" s="134">
        <v>16.78</v>
      </c>
      <c r="E11" s="134">
        <v>7.61</v>
      </c>
      <c r="F11" s="134">
        <v>2.1</v>
      </c>
      <c r="G11" s="134">
        <v>23.68</v>
      </c>
      <c r="H11" s="134">
        <v>7.6</v>
      </c>
      <c r="I11" s="134">
        <v>29.71</v>
      </c>
      <c r="J11" s="134">
        <v>0.59</v>
      </c>
      <c r="K11" s="134">
        <v>263.64999999999998</v>
      </c>
      <c r="L11" s="134">
        <v>25.4</v>
      </c>
      <c r="M11" s="134">
        <v>88.92</v>
      </c>
      <c r="N11" s="134">
        <v>0</v>
      </c>
      <c r="O11" s="134">
        <v>0</v>
      </c>
      <c r="P11" s="134">
        <v>0.45</v>
      </c>
      <c r="Q11" s="172" t="s">
        <v>8</v>
      </c>
    </row>
    <row r="12" spans="1:21" customFormat="1">
      <c r="A12" s="112" t="s">
        <v>914</v>
      </c>
      <c r="B12" s="134">
        <v>9.4600000000000009</v>
      </c>
      <c r="C12" s="134">
        <v>17.75</v>
      </c>
      <c r="D12" s="134">
        <v>15.82</v>
      </c>
      <c r="E12" s="134">
        <v>7.33</v>
      </c>
      <c r="F12" s="134">
        <v>2.92</v>
      </c>
      <c r="G12" s="134">
        <v>18.41</v>
      </c>
      <c r="H12" s="134">
        <v>5.73</v>
      </c>
      <c r="I12" s="134">
        <v>28.49</v>
      </c>
      <c r="J12" s="134">
        <v>0.55000000000000004</v>
      </c>
      <c r="K12" s="134">
        <v>262.75</v>
      </c>
      <c r="L12" s="134">
        <v>25.31</v>
      </c>
      <c r="M12" s="134">
        <v>89.39</v>
      </c>
      <c r="N12" s="134">
        <v>0</v>
      </c>
      <c r="O12" s="134">
        <v>0</v>
      </c>
      <c r="P12" s="134">
        <v>0.39</v>
      </c>
      <c r="Q12" s="172" t="s">
        <v>8</v>
      </c>
    </row>
    <row r="13" spans="1:21" customFormat="1">
      <c r="A13" s="112" t="s">
        <v>915</v>
      </c>
      <c r="B13" s="134">
        <v>9.75</v>
      </c>
      <c r="C13" s="134">
        <v>15.47</v>
      </c>
      <c r="D13" s="134">
        <v>14.85</v>
      </c>
      <c r="E13" s="134">
        <v>6.44</v>
      </c>
      <c r="F13" s="134">
        <v>3.31</v>
      </c>
      <c r="G13" s="134">
        <v>18.41</v>
      </c>
      <c r="H13" s="134">
        <v>5.73</v>
      </c>
      <c r="I13" s="134">
        <v>27.24</v>
      </c>
      <c r="J13" s="134">
        <v>0.52</v>
      </c>
      <c r="K13" s="134">
        <v>263.19</v>
      </c>
      <c r="L13" s="134">
        <v>25.23</v>
      </c>
      <c r="M13" s="134">
        <v>89.64</v>
      </c>
      <c r="N13" s="134">
        <v>0</v>
      </c>
      <c r="O13" s="134">
        <v>0</v>
      </c>
      <c r="P13" s="134">
        <v>0.35</v>
      </c>
      <c r="Q13" s="172" t="s">
        <v>8</v>
      </c>
    </row>
    <row r="14" spans="1:21" customFormat="1">
      <c r="A14" s="112" t="s">
        <v>916</v>
      </c>
      <c r="B14" s="134">
        <v>9.85</v>
      </c>
      <c r="C14" s="134">
        <v>15.3</v>
      </c>
      <c r="D14" s="134">
        <v>14.85</v>
      </c>
      <c r="E14" s="134">
        <v>6.61</v>
      </c>
      <c r="F14" s="134">
        <v>3.06</v>
      </c>
      <c r="G14" s="134">
        <v>18.41</v>
      </c>
      <c r="H14" s="134">
        <v>5.73</v>
      </c>
      <c r="I14" s="134">
        <v>26.31</v>
      </c>
      <c r="J14" s="134">
        <v>0.54</v>
      </c>
      <c r="K14" s="134">
        <v>262.48</v>
      </c>
      <c r="L14" s="134">
        <v>25.19</v>
      </c>
      <c r="M14" s="134">
        <v>89.76</v>
      </c>
      <c r="N14" s="134">
        <v>0</v>
      </c>
      <c r="O14" s="134">
        <v>0</v>
      </c>
      <c r="P14" s="134">
        <v>0.33</v>
      </c>
      <c r="Q14" s="172" t="s">
        <v>8</v>
      </c>
    </row>
    <row r="15" spans="1:21" customFormat="1">
      <c r="A15" s="112" t="s">
        <v>917</v>
      </c>
      <c r="B15" s="134">
        <v>9.92</v>
      </c>
      <c r="C15" s="134">
        <v>16.05</v>
      </c>
      <c r="D15" s="134">
        <v>15.3</v>
      </c>
      <c r="E15" s="134">
        <v>6.14</v>
      </c>
      <c r="F15" s="134">
        <v>2.58</v>
      </c>
      <c r="G15" s="134">
        <v>18.28</v>
      </c>
      <c r="H15" s="134">
        <v>5.66</v>
      </c>
      <c r="I15" s="134">
        <v>25.65</v>
      </c>
      <c r="J15" s="134">
        <v>0.77</v>
      </c>
      <c r="K15" s="134">
        <v>261.66000000000003</v>
      </c>
      <c r="L15" s="134">
        <v>25.19</v>
      </c>
      <c r="M15" s="134">
        <v>89.49</v>
      </c>
      <c r="N15" s="134">
        <v>0</v>
      </c>
      <c r="O15" s="134">
        <v>0</v>
      </c>
      <c r="P15" s="134">
        <v>0.34</v>
      </c>
      <c r="Q15" s="172" t="s">
        <v>8</v>
      </c>
    </row>
    <row r="16" spans="1:21" customFormat="1">
      <c r="A16" s="112" t="s">
        <v>918</v>
      </c>
      <c r="B16" s="134">
        <v>10.15</v>
      </c>
      <c r="C16" s="134">
        <v>18.59</v>
      </c>
      <c r="D16" s="134">
        <v>16.809999999999999</v>
      </c>
      <c r="E16" s="134">
        <v>7.28</v>
      </c>
      <c r="F16" s="134">
        <v>1.53</v>
      </c>
      <c r="G16" s="134">
        <v>15.38</v>
      </c>
      <c r="H16" s="134">
        <v>4.0599999999999996</v>
      </c>
      <c r="I16" s="134">
        <v>24.88</v>
      </c>
      <c r="J16" s="134">
        <v>0.72</v>
      </c>
      <c r="K16" s="134">
        <v>263.52</v>
      </c>
      <c r="L16" s="134">
        <v>25.21</v>
      </c>
      <c r="M16" s="134">
        <v>89.49</v>
      </c>
      <c r="N16" s="134">
        <v>0</v>
      </c>
      <c r="O16" s="134">
        <v>0</v>
      </c>
      <c r="P16" s="134">
        <v>0.37</v>
      </c>
      <c r="Q16" s="172" t="s">
        <v>8</v>
      </c>
    </row>
    <row r="17" spans="1:17" customFormat="1">
      <c r="A17" s="112" t="s">
        <v>919</v>
      </c>
      <c r="B17" s="134">
        <v>10.48</v>
      </c>
      <c r="C17" s="134">
        <v>17.05</v>
      </c>
      <c r="D17" s="134">
        <v>16.260000000000002</v>
      </c>
      <c r="E17" s="134">
        <v>5.76</v>
      </c>
      <c r="F17" s="134">
        <v>2.64</v>
      </c>
      <c r="G17" s="134">
        <v>15.38</v>
      </c>
      <c r="H17" s="134">
        <v>4.0599999999999996</v>
      </c>
      <c r="I17" s="134">
        <v>24.42</v>
      </c>
      <c r="J17" s="134">
        <v>0.63</v>
      </c>
      <c r="K17" s="134">
        <v>258.23</v>
      </c>
      <c r="L17" s="134">
        <v>25.3</v>
      </c>
      <c r="M17" s="134">
        <v>89.27</v>
      </c>
      <c r="N17" s="134">
        <v>0</v>
      </c>
      <c r="O17" s="134">
        <v>0</v>
      </c>
      <c r="P17" s="134">
        <v>0.35</v>
      </c>
      <c r="Q17" s="172" t="s">
        <v>8</v>
      </c>
    </row>
    <row r="18" spans="1:17" customFormat="1">
      <c r="A18" s="112" t="s">
        <v>920</v>
      </c>
      <c r="B18" s="134">
        <v>10.57</v>
      </c>
      <c r="C18" s="134">
        <v>15.91</v>
      </c>
      <c r="D18" s="134">
        <v>15.74</v>
      </c>
      <c r="E18" s="134">
        <v>6.43</v>
      </c>
      <c r="F18" s="134">
        <v>3</v>
      </c>
      <c r="G18" s="134">
        <v>15.38</v>
      </c>
      <c r="H18" s="134">
        <v>4.0599999999999996</v>
      </c>
      <c r="I18" s="134">
        <v>23.96</v>
      </c>
      <c r="J18" s="134">
        <v>0.48</v>
      </c>
      <c r="K18" s="134">
        <v>258.20999999999998</v>
      </c>
      <c r="L18" s="134">
        <v>25.27</v>
      </c>
      <c r="M18" s="134">
        <v>89.82</v>
      </c>
      <c r="N18" s="134">
        <v>0</v>
      </c>
      <c r="O18" s="134">
        <v>0</v>
      </c>
      <c r="P18" s="134">
        <v>0.34</v>
      </c>
      <c r="Q18" s="172" t="s">
        <v>8</v>
      </c>
    </row>
    <row r="19" spans="1:17" customFormat="1">
      <c r="A19" s="112" t="s">
        <v>921</v>
      </c>
      <c r="B19" s="134">
        <v>10.67</v>
      </c>
      <c r="C19" s="134">
        <v>17.98</v>
      </c>
      <c r="D19" s="134">
        <v>16.899999999999999</v>
      </c>
      <c r="E19" s="134">
        <v>6.68</v>
      </c>
      <c r="F19" s="134">
        <v>1.7</v>
      </c>
      <c r="G19" s="134">
        <v>15.42</v>
      </c>
      <c r="H19" s="134">
        <v>4.07</v>
      </c>
      <c r="I19" s="134">
        <v>23.25</v>
      </c>
      <c r="J19" s="134">
        <v>0.6</v>
      </c>
      <c r="K19" s="134">
        <v>264.61</v>
      </c>
      <c r="L19" s="134">
        <v>25.27</v>
      </c>
      <c r="M19" s="134">
        <v>89.58</v>
      </c>
      <c r="N19" s="134">
        <v>0</v>
      </c>
      <c r="O19" s="134">
        <v>0</v>
      </c>
      <c r="P19" s="134">
        <v>0.37</v>
      </c>
      <c r="Q19" s="172" t="s">
        <v>8</v>
      </c>
    </row>
    <row r="20" spans="1:17" customFormat="1">
      <c r="A20" s="112" t="s">
        <v>922</v>
      </c>
      <c r="B20" s="134">
        <v>10.91</v>
      </c>
      <c r="C20" s="134">
        <v>16.79</v>
      </c>
      <c r="D20" s="134">
        <v>16.48</v>
      </c>
      <c r="E20" s="134">
        <v>6.55</v>
      </c>
      <c r="F20" s="134">
        <v>2.52</v>
      </c>
      <c r="G20" s="134">
        <v>16.190000000000001</v>
      </c>
      <c r="H20" s="134">
        <v>4.21</v>
      </c>
      <c r="I20" s="134">
        <v>22.61</v>
      </c>
      <c r="J20" s="134">
        <v>0.49</v>
      </c>
      <c r="K20" s="134">
        <v>264.97000000000003</v>
      </c>
      <c r="L20" s="134">
        <v>25.2</v>
      </c>
      <c r="M20" s="134">
        <v>90.11</v>
      </c>
      <c r="N20" s="134">
        <v>0</v>
      </c>
      <c r="O20" s="134">
        <v>0</v>
      </c>
      <c r="P20" s="134">
        <v>0.35</v>
      </c>
      <c r="Q20" s="172" t="s">
        <v>8</v>
      </c>
    </row>
    <row r="21" spans="1:17" customFormat="1">
      <c r="A21" s="112" t="s">
        <v>923</v>
      </c>
      <c r="B21" s="134">
        <v>10.95</v>
      </c>
      <c r="C21" s="134">
        <v>15.46</v>
      </c>
      <c r="D21" s="134">
        <v>15.81</v>
      </c>
      <c r="E21" s="134">
        <v>6.27</v>
      </c>
      <c r="F21" s="134">
        <v>3.17</v>
      </c>
      <c r="G21" s="134">
        <v>16.190000000000001</v>
      </c>
      <c r="H21" s="134">
        <v>4.21</v>
      </c>
      <c r="I21" s="134">
        <v>22.31</v>
      </c>
      <c r="J21" s="134">
        <v>0.54</v>
      </c>
      <c r="K21" s="134">
        <v>267.22000000000003</v>
      </c>
      <c r="L21" s="134">
        <v>25.18</v>
      </c>
      <c r="M21" s="134">
        <v>90.12</v>
      </c>
      <c r="N21" s="134">
        <v>0</v>
      </c>
      <c r="O21" s="134">
        <v>0</v>
      </c>
      <c r="P21" s="134">
        <v>0.34</v>
      </c>
      <c r="Q21" s="172" t="s">
        <v>8</v>
      </c>
    </row>
    <row r="22" spans="1:17" customFormat="1">
      <c r="A22" s="112" t="s">
        <v>924</v>
      </c>
      <c r="B22" s="134">
        <v>11.11</v>
      </c>
      <c r="C22" s="134">
        <v>17.66</v>
      </c>
      <c r="D22" s="134">
        <v>17.09</v>
      </c>
      <c r="E22" s="134">
        <v>6.42</v>
      </c>
      <c r="F22" s="134">
        <v>1.77</v>
      </c>
      <c r="G22" s="134">
        <v>16.190000000000001</v>
      </c>
      <c r="H22" s="134">
        <v>4.21</v>
      </c>
      <c r="I22" s="134">
        <v>21.52</v>
      </c>
      <c r="J22" s="134">
        <v>0.46</v>
      </c>
      <c r="K22" s="134">
        <v>257.72000000000003</v>
      </c>
      <c r="L22" s="134">
        <v>25.22</v>
      </c>
      <c r="M22" s="134">
        <v>89.95</v>
      </c>
      <c r="N22" s="134">
        <v>0</v>
      </c>
      <c r="O22" s="134">
        <v>0</v>
      </c>
      <c r="P22" s="134">
        <v>0.36</v>
      </c>
      <c r="Q22" s="172" t="s">
        <v>8</v>
      </c>
    </row>
    <row r="23" spans="1:17" customFormat="1">
      <c r="A23" s="112" t="s">
        <v>925</v>
      </c>
      <c r="B23" s="134">
        <v>11.33</v>
      </c>
      <c r="C23" s="134">
        <v>17.170000000000002</v>
      </c>
      <c r="D23" s="134">
        <v>17.010000000000002</v>
      </c>
      <c r="E23" s="134">
        <v>6.91</v>
      </c>
      <c r="F23" s="134">
        <v>2.2200000000000002</v>
      </c>
      <c r="G23" s="134">
        <v>16.2</v>
      </c>
      <c r="H23" s="134">
        <v>4.1399999999999997</v>
      </c>
      <c r="I23" s="134">
        <v>20.9</v>
      </c>
      <c r="J23" s="134">
        <v>0.56000000000000005</v>
      </c>
      <c r="K23" s="134">
        <v>259.98</v>
      </c>
      <c r="L23" s="134">
        <v>25.18</v>
      </c>
      <c r="M23" s="134">
        <v>90.15</v>
      </c>
      <c r="N23" s="134">
        <v>0</v>
      </c>
      <c r="O23" s="134">
        <v>0</v>
      </c>
      <c r="P23" s="134">
        <v>0.35</v>
      </c>
      <c r="Q23" s="172" t="s">
        <v>8</v>
      </c>
    </row>
    <row r="24" spans="1:17" customFormat="1">
      <c r="A24" s="112" t="s">
        <v>926</v>
      </c>
      <c r="B24" s="134">
        <v>11.34</v>
      </c>
      <c r="C24" s="134">
        <v>15.44</v>
      </c>
      <c r="D24" s="134">
        <v>16.12</v>
      </c>
      <c r="E24" s="134">
        <v>6.84</v>
      </c>
      <c r="F24" s="134">
        <v>3.22</v>
      </c>
      <c r="G24" s="134">
        <v>16.57</v>
      </c>
      <c r="H24" s="134">
        <v>3.1</v>
      </c>
      <c r="I24" s="134">
        <v>21.02</v>
      </c>
      <c r="J24" s="134">
        <v>0.52</v>
      </c>
      <c r="K24" s="134">
        <v>262.42</v>
      </c>
      <c r="L24" s="134">
        <v>25.16</v>
      </c>
      <c r="M24" s="134">
        <v>90.34</v>
      </c>
      <c r="N24" s="134">
        <v>0</v>
      </c>
      <c r="O24" s="134">
        <v>0</v>
      </c>
      <c r="P24" s="134">
        <v>0.33</v>
      </c>
      <c r="Q24" s="172" t="s">
        <v>8</v>
      </c>
    </row>
    <row r="25" spans="1:17" customFormat="1">
      <c r="A25" s="112" t="s">
        <v>927</v>
      </c>
      <c r="B25" s="134">
        <v>11.58</v>
      </c>
      <c r="C25" s="134">
        <v>17.239999999999998</v>
      </c>
      <c r="D25" s="134">
        <v>17.25</v>
      </c>
      <c r="E25" s="134">
        <v>6.79</v>
      </c>
      <c r="F25" s="134">
        <v>1.97</v>
      </c>
      <c r="G25" s="134">
        <v>16.57</v>
      </c>
      <c r="H25" s="134">
        <v>3.1</v>
      </c>
      <c r="I25" s="134">
        <v>20.99</v>
      </c>
      <c r="J25" s="134">
        <v>0.3</v>
      </c>
      <c r="K25" s="134">
        <v>259.22000000000003</v>
      </c>
      <c r="L25" s="134">
        <v>25.16</v>
      </c>
      <c r="M25" s="134">
        <v>90.71</v>
      </c>
      <c r="N25" s="134">
        <v>0</v>
      </c>
      <c r="O25" s="134">
        <v>0</v>
      </c>
      <c r="P25" s="134">
        <v>0.36</v>
      </c>
      <c r="Q25" s="172" t="s">
        <v>8</v>
      </c>
    </row>
    <row r="26" spans="1:17" customFormat="1">
      <c r="A26" s="112" t="s">
        <v>928</v>
      </c>
      <c r="B26" s="134">
        <v>11.89</v>
      </c>
      <c r="C26" s="134">
        <v>18.010000000000002</v>
      </c>
      <c r="D26" s="134">
        <v>17.899999999999999</v>
      </c>
      <c r="E26" s="134">
        <v>6.82</v>
      </c>
      <c r="F26" s="134">
        <v>1.99</v>
      </c>
      <c r="G26" s="134">
        <v>16.57</v>
      </c>
      <c r="H26" s="134">
        <v>3.1</v>
      </c>
      <c r="I26" s="134">
        <v>20.05</v>
      </c>
      <c r="J26" s="134">
        <v>0.32</v>
      </c>
      <c r="K26" s="134">
        <v>258.36</v>
      </c>
      <c r="L26" s="134">
        <v>25.12</v>
      </c>
      <c r="M26" s="134">
        <v>91.07</v>
      </c>
      <c r="N26" s="134">
        <v>0</v>
      </c>
      <c r="O26" s="134">
        <v>0</v>
      </c>
      <c r="P26" s="134">
        <v>0.36</v>
      </c>
      <c r="Q26" s="172" t="s">
        <v>8</v>
      </c>
    </row>
    <row r="27" spans="1:17" customFormat="1">
      <c r="A27" s="112" t="s">
        <v>929</v>
      </c>
      <c r="B27" s="134">
        <v>11.99</v>
      </c>
      <c r="C27" s="134">
        <v>15.86</v>
      </c>
      <c r="D27" s="134">
        <v>16.86</v>
      </c>
      <c r="E27" s="134">
        <v>6.87</v>
      </c>
      <c r="F27" s="134">
        <v>3.2</v>
      </c>
      <c r="G27" s="134">
        <v>16.55</v>
      </c>
      <c r="H27" s="134">
        <v>3.2</v>
      </c>
      <c r="I27" s="134">
        <v>19.66</v>
      </c>
      <c r="J27" s="134">
        <v>0.41</v>
      </c>
      <c r="K27" s="134">
        <v>261.85000000000002</v>
      </c>
      <c r="L27" s="134">
        <v>25.15</v>
      </c>
      <c r="M27" s="134">
        <v>90.59</v>
      </c>
      <c r="N27" s="134">
        <v>0</v>
      </c>
      <c r="O27" s="134">
        <v>0</v>
      </c>
      <c r="P27" s="134">
        <v>0.33</v>
      </c>
      <c r="Q27" s="172" t="s">
        <v>8</v>
      </c>
    </row>
    <row r="28" spans="1:17" customFormat="1">
      <c r="A28" s="112" t="s">
        <v>930</v>
      </c>
      <c r="B28" s="134">
        <v>12.08</v>
      </c>
      <c r="C28" s="134">
        <v>16.489999999999998</v>
      </c>
      <c r="D28" s="134">
        <v>17.260000000000002</v>
      </c>
      <c r="E28" s="134">
        <v>6.67</v>
      </c>
      <c r="F28" s="134">
        <v>2.77</v>
      </c>
      <c r="G28" s="134">
        <v>16.3</v>
      </c>
      <c r="H28" s="134">
        <v>5.21</v>
      </c>
      <c r="I28" s="134">
        <v>19.91</v>
      </c>
      <c r="J28" s="134">
        <v>0.35</v>
      </c>
      <c r="K28" s="134">
        <v>258.55</v>
      </c>
      <c r="L28" s="134">
        <v>25.16</v>
      </c>
      <c r="M28" s="134">
        <v>90.78</v>
      </c>
      <c r="N28" s="134">
        <v>0</v>
      </c>
      <c r="O28" s="134">
        <v>0</v>
      </c>
      <c r="P28" s="134">
        <v>0.35</v>
      </c>
      <c r="Q28" s="172" t="s">
        <v>8</v>
      </c>
    </row>
    <row r="29" spans="1:17" customFormat="1">
      <c r="A29" s="112" t="s">
        <v>931</v>
      </c>
      <c r="B29" s="134">
        <v>12.48</v>
      </c>
      <c r="C29" s="134">
        <v>18.2</v>
      </c>
      <c r="D29" s="134">
        <v>18.47</v>
      </c>
      <c r="E29" s="134">
        <v>7.05</v>
      </c>
      <c r="F29" s="134">
        <v>1.84</v>
      </c>
      <c r="G29" s="134">
        <v>16.3</v>
      </c>
      <c r="H29" s="134">
        <v>5.21</v>
      </c>
      <c r="I29" s="134">
        <v>19.32</v>
      </c>
      <c r="J29" s="134">
        <v>0.54</v>
      </c>
      <c r="K29" s="134">
        <v>264.33999999999997</v>
      </c>
      <c r="L29" s="134">
        <v>25.16</v>
      </c>
      <c r="M29" s="134">
        <v>90.38</v>
      </c>
      <c r="N29" s="134">
        <v>0</v>
      </c>
      <c r="O29" s="134">
        <v>0</v>
      </c>
      <c r="P29" s="134">
        <v>0.37</v>
      </c>
      <c r="Q29" s="172" t="s">
        <v>8</v>
      </c>
    </row>
    <row r="30" spans="1:17" customFormat="1">
      <c r="A30" s="112" t="s">
        <v>932</v>
      </c>
      <c r="B30" s="134">
        <v>12.72</v>
      </c>
      <c r="C30" s="134">
        <v>16.59</v>
      </c>
      <c r="D30" s="134">
        <v>17.82</v>
      </c>
      <c r="E30" s="134">
        <v>6.93</v>
      </c>
      <c r="F30" s="134">
        <v>2.75</v>
      </c>
      <c r="G30" s="134">
        <v>16.3</v>
      </c>
      <c r="H30" s="134">
        <v>5.21</v>
      </c>
      <c r="I30" s="134">
        <v>18.850000000000001</v>
      </c>
      <c r="J30" s="134">
        <v>0.42</v>
      </c>
      <c r="K30" s="134">
        <v>259.04000000000002</v>
      </c>
      <c r="L30" s="134">
        <v>25.21</v>
      </c>
      <c r="M30" s="134">
        <v>89.86</v>
      </c>
      <c r="N30" s="134">
        <v>0</v>
      </c>
      <c r="O30" s="134">
        <v>0</v>
      </c>
      <c r="P30" s="134">
        <v>0.35</v>
      </c>
      <c r="Q30" s="172" t="s">
        <v>8</v>
      </c>
    </row>
    <row r="31" spans="1:17" customFormat="1">
      <c r="A31" s="112" t="s">
        <v>933</v>
      </c>
      <c r="B31" s="134">
        <v>12.25</v>
      </c>
      <c r="C31" s="134">
        <v>17.47</v>
      </c>
      <c r="D31" s="134">
        <v>17.91</v>
      </c>
      <c r="E31" s="134">
        <v>6.67</v>
      </c>
      <c r="F31" s="134">
        <v>2.71</v>
      </c>
      <c r="G31" s="134">
        <v>16.25</v>
      </c>
      <c r="H31" s="134">
        <v>5.15</v>
      </c>
      <c r="I31" s="134">
        <v>18.809999999999999</v>
      </c>
      <c r="J31" s="134">
        <v>0.57999999999999996</v>
      </c>
      <c r="K31" s="134">
        <v>263.06</v>
      </c>
      <c r="L31" s="134">
        <v>25.27</v>
      </c>
      <c r="M31" s="134">
        <v>88.96</v>
      </c>
      <c r="N31" s="134">
        <v>0</v>
      </c>
      <c r="O31" s="134">
        <v>0</v>
      </c>
      <c r="P31" s="134">
        <v>0.38</v>
      </c>
      <c r="Q31" s="172" t="s">
        <v>8</v>
      </c>
    </row>
    <row r="32" spans="1:17" customFormat="1">
      <c r="A32" s="112" t="s">
        <v>934</v>
      </c>
      <c r="B32" s="134">
        <v>11.81</v>
      </c>
      <c r="C32" s="134">
        <v>18.45</v>
      </c>
      <c r="D32" s="134">
        <v>18.059999999999999</v>
      </c>
      <c r="E32" s="134">
        <v>6.69</v>
      </c>
      <c r="F32" s="134">
        <v>2.71</v>
      </c>
      <c r="G32" s="134">
        <v>15.35</v>
      </c>
      <c r="H32" s="134">
        <v>3.87</v>
      </c>
      <c r="I32" s="134">
        <v>18.2</v>
      </c>
      <c r="J32" s="134">
        <v>0.68</v>
      </c>
      <c r="K32" s="134">
        <v>264.08</v>
      </c>
      <c r="L32" s="134">
        <v>25.37</v>
      </c>
      <c r="M32" s="134">
        <v>88.21</v>
      </c>
      <c r="N32" s="134">
        <v>4.3</v>
      </c>
      <c r="O32" s="134">
        <v>0</v>
      </c>
      <c r="P32" s="134">
        <v>0.39</v>
      </c>
      <c r="Q32" s="172" t="s">
        <v>8</v>
      </c>
    </row>
    <row r="33" spans="1:17" customFormat="1">
      <c r="A33" s="112" t="s">
        <v>935</v>
      </c>
      <c r="B33" s="134">
        <v>12.04</v>
      </c>
      <c r="C33" s="134">
        <v>16.93</v>
      </c>
      <c r="D33" s="134">
        <v>17.46</v>
      </c>
      <c r="E33" s="134">
        <v>6.56</v>
      </c>
      <c r="F33" s="134">
        <v>3.06</v>
      </c>
      <c r="G33" s="134">
        <v>15.35</v>
      </c>
      <c r="H33" s="134">
        <v>3.87</v>
      </c>
      <c r="I33" s="134">
        <v>17.52</v>
      </c>
      <c r="J33" s="134">
        <v>0.7</v>
      </c>
      <c r="K33" s="134">
        <v>264.19</v>
      </c>
      <c r="L33" s="134">
        <v>25.5</v>
      </c>
      <c r="M33" s="134">
        <v>87.37</v>
      </c>
      <c r="N33" s="134">
        <v>24.6</v>
      </c>
      <c r="O33" s="134">
        <v>0</v>
      </c>
      <c r="P33" s="134">
        <v>0.35</v>
      </c>
      <c r="Q33" s="172" t="s">
        <v>8</v>
      </c>
    </row>
    <row r="34" spans="1:17" customFormat="1">
      <c r="A34" s="112" t="s">
        <v>936</v>
      </c>
      <c r="B34" s="134">
        <v>12.05</v>
      </c>
      <c r="C34" s="134">
        <v>16.11</v>
      </c>
      <c r="D34" s="134">
        <v>17.04</v>
      </c>
      <c r="E34" s="134">
        <v>6.38</v>
      </c>
      <c r="F34" s="134">
        <v>2.9</v>
      </c>
      <c r="G34" s="134">
        <v>15.35</v>
      </c>
      <c r="H34" s="134">
        <v>3.87</v>
      </c>
      <c r="I34" s="134">
        <v>16.93</v>
      </c>
      <c r="J34" s="134">
        <v>0.68</v>
      </c>
      <c r="K34" s="134">
        <v>268.32</v>
      </c>
      <c r="L34" s="134">
        <v>25.63</v>
      </c>
      <c r="M34" s="134">
        <v>86.43</v>
      </c>
      <c r="N34" s="134">
        <v>36.700000000000003</v>
      </c>
      <c r="O34" s="134">
        <v>0</v>
      </c>
      <c r="P34" s="134">
        <v>0.33</v>
      </c>
      <c r="Q34" s="172" t="s">
        <v>8</v>
      </c>
    </row>
    <row r="35" spans="1:17" customFormat="1">
      <c r="A35" s="112" t="s">
        <v>937</v>
      </c>
      <c r="B35" s="134">
        <v>11.9</v>
      </c>
      <c r="C35" s="134">
        <v>15.7</v>
      </c>
      <c r="D35" s="134">
        <v>16.7</v>
      </c>
      <c r="E35" s="134">
        <v>6.38</v>
      </c>
      <c r="F35" s="134">
        <v>2.96</v>
      </c>
      <c r="G35" s="134">
        <v>15.28</v>
      </c>
      <c r="H35" s="134">
        <v>3.84</v>
      </c>
      <c r="I35" s="134">
        <v>16.5</v>
      </c>
      <c r="J35" s="134">
        <v>0.94</v>
      </c>
      <c r="K35" s="134">
        <v>268.44</v>
      </c>
      <c r="L35" s="134">
        <v>25.73</v>
      </c>
      <c r="M35" s="134">
        <v>85.16</v>
      </c>
      <c r="N35" s="134">
        <v>37.9</v>
      </c>
      <c r="O35" s="134">
        <v>0</v>
      </c>
      <c r="P35" s="134">
        <v>0.31</v>
      </c>
      <c r="Q35" s="172" t="s">
        <v>8</v>
      </c>
    </row>
    <row r="36" spans="1:17" customFormat="1">
      <c r="A36" s="112" t="s">
        <v>938</v>
      </c>
      <c r="B36" s="134">
        <v>11.9</v>
      </c>
      <c r="C36" s="134">
        <v>17.170000000000002</v>
      </c>
      <c r="D36" s="134">
        <v>17.47</v>
      </c>
      <c r="E36" s="134">
        <v>6.38</v>
      </c>
      <c r="F36" s="134">
        <v>2.2799999999999998</v>
      </c>
      <c r="G36" s="134">
        <v>13.65</v>
      </c>
      <c r="H36" s="134">
        <v>3.12</v>
      </c>
      <c r="I36" s="134">
        <v>16.010000000000002</v>
      </c>
      <c r="J36" s="134">
        <v>0.97</v>
      </c>
      <c r="K36" s="134">
        <v>263.16000000000003</v>
      </c>
      <c r="L36" s="134">
        <v>25.8</v>
      </c>
      <c r="M36" s="134">
        <v>84.76</v>
      </c>
      <c r="N36" s="134">
        <v>42.4</v>
      </c>
      <c r="O36" s="134">
        <v>0</v>
      </c>
      <c r="P36" s="134">
        <v>0.33</v>
      </c>
      <c r="Q36" s="172" t="s">
        <v>8</v>
      </c>
    </row>
    <row r="37" spans="1:17" customFormat="1">
      <c r="A37" s="112" t="s">
        <v>939</v>
      </c>
      <c r="B37" s="134">
        <v>12.06</v>
      </c>
      <c r="C37" s="134">
        <v>18.89</v>
      </c>
      <c r="D37" s="134">
        <v>18.489999999999998</v>
      </c>
      <c r="E37" s="134">
        <v>7.03</v>
      </c>
      <c r="F37" s="134">
        <v>1.71</v>
      </c>
      <c r="G37" s="134">
        <v>13.65</v>
      </c>
      <c r="H37" s="134">
        <v>3.12</v>
      </c>
      <c r="I37" s="134">
        <v>15.46</v>
      </c>
      <c r="J37" s="134">
        <v>0.83</v>
      </c>
      <c r="K37" s="134">
        <v>266.7</v>
      </c>
      <c r="L37" s="134">
        <v>25.8</v>
      </c>
      <c r="M37" s="134">
        <v>84.65</v>
      </c>
      <c r="N37" s="134">
        <v>41.2</v>
      </c>
      <c r="O37" s="134">
        <v>0</v>
      </c>
      <c r="P37" s="134">
        <v>0.35</v>
      </c>
      <c r="Q37" s="172" t="s">
        <v>8</v>
      </c>
    </row>
    <row r="38" spans="1:17" customFormat="1">
      <c r="A38" s="112" t="s">
        <v>940</v>
      </c>
      <c r="B38" s="134">
        <v>12.23</v>
      </c>
      <c r="C38" s="134">
        <v>16.89</v>
      </c>
      <c r="D38" s="134">
        <v>17.579999999999998</v>
      </c>
      <c r="E38" s="134">
        <v>7.02</v>
      </c>
      <c r="F38" s="134">
        <v>2.66</v>
      </c>
      <c r="G38" s="134">
        <v>13.65</v>
      </c>
      <c r="H38" s="134">
        <v>3.12</v>
      </c>
      <c r="I38" s="134">
        <v>15.27</v>
      </c>
      <c r="J38" s="134">
        <v>0.85</v>
      </c>
      <c r="K38" s="134">
        <v>265.99</v>
      </c>
      <c r="L38" s="134">
        <v>25.89</v>
      </c>
      <c r="M38" s="134">
        <v>84.17</v>
      </c>
      <c r="N38" s="134">
        <v>66.099999999999994</v>
      </c>
      <c r="O38" s="134">
        <v>0</v>
      </c>
      <c r="P38" s="134">
        <v>0.34</v>
      </c>
      <c r="Q38" s="172" t="s">
        <v>8</v>
      </c>
    </row>
    <row r="39" spans="1:17" customFormat="1">
      <c r="A39" s="112" t="s">
        <v>941</v>
      </c>
      <c r="B39" s="134">
        <v>12.19</v>
      </c>
      <c r="C39" s="134">
        <v>15.85</v>
      </c>
      <c r="D39" s="134">
        <v>17.010000000000002</v>
      </c>
      <c r="E39" s="134">
        <v>7.04</v>
      </c>
      <c r="F39" s="134">
        <v>3.06</v>
      </c>
      <c r="G39" s="134">
        <v>13.75</v>
      </c>
      <c r="H39" s="134">
        <v>3.07</v>
      </c>
      <c r="I39" s="134">
        <v>15</v>
      </c>
      <c r="J39" s="134">
        <v>0.72</v>
      </c>
      <c r="K39" s="134">
        <v>262.67</v>
      </c>
      <c r="L39" s="134">
        <v>26.06</v>
      </c>
      <c r="M39" s="134">
        <v>83.84</v>
      </c>
      <c r="N39" s="134">
        <v>94.6</v>
      </c>
      <c r="O39" s="134">
        <v>0</v>
      </c>
      <c r="P39" s="134">
        <v>0.33</v>
      </c>
      <c r="Q39" s="172" t="s">
        <v>8</v>
      </c>
    </row>
    <row r="40" spans="1:17" customFormat="1">
      <c r="A40" s="112" t="s">
        <v>942</v>
      </c>
      <c r="B40" s="134">
        <v>12.31</v>
      </c>
      <c r="C40" s="134">
        <v>18.38</v>
      </c>
      <c r="D40" s="134">
        <v>18.43</v>
      </c>
      <c r="E40" s="134">
        <v>7.15</v>
      </c>
      <c r="F40" s="134">
        <v>1.64</v>
      </c>
      <c r="G40" s="134">
        <v>15.83</v>
      </c>
      <c r="H40" s="134">
        <v>2.35</v>
      </c>
      <c r="I40" s="134">
        <v>14.53</v>
      </c>
      <c r="J40" s="134">
        <v>0.65</v>
      </c>
      <c r="K40" s="134">
        <v>266.41000000000003</v>
      </c>
      <c r="L40" s="134">
        <v>26.33</v>
      </c>
      <c r="M40" s="134">
        <v>83.1</v>
      </c>
      <c r="N40" s="134">
        <v>147</v>
      </c>
      <c r="O40" s="134">
        <v>0</v>
      </c>
      <c r="P40" s="134">
        <v>0.36</v>
      </c>
      <c r="Q40" s="172" t="s">
        <v>8</v>
      </c>
    </row>
    <row r="41" spans="1:17" customFormat="1">
      <c r="A41" s="112" t="s">
        <v>943</v>
      </c>
      <c r="B41" s="134">
        <v>12.64</v>
      </c>
      <c r="C41" s="134">
        <v>18.22</v>
      </c>
      <c r="D41" s="134">
        <v>18.61</v>
      </c>
      <c r="E41" s="134">
        <v>7.63</v>
      </c>
      <c r="F41" s="134">
        <v>1.96</v>
      </c>
      <c r="G41" s="134">
        <v>15.83</v>
      </c>
      <c r="H41" s="134">
        <v>2.35</v>
      </c>
      <c r="I41" s="134">
        <v>14.14</v>
      </c>
      <c r="J41" s="134">
        <v>0.82</v>
      </c>
      <c r="K41" s="134">
        <v>262.95999999999998</v>
      </c>
      <c r="L41" s="134">
        <v>26.65</v>
      </c>
      <c r="M41" s="134">
        <v>81.75</v>
      </c>
      <c r="N41" s="134">
        <v>169.7</v>
      </c>
      <c r="O41" s="134">
        <v>0</v>
      </c>
      <c r="P41" s="134">
        <v>0.36</v>
      </c>
      <c r="Q41" s="172" t="s">
        <v>8</v>
      </c>
    </row>
    <row r="42" spans="1:17" customFormat="1">
      <c r="A42" s="112" t="s">
        <v>944</v>
      </c>
      <c r="B42" s="134">
        <v>12.78</v>
      </c>
      <c r="C42" s="134">
        <v>16.7</v>
      </c>
      <c r="D42" s="134">
        <v>17.920000000000002</v>
      </c>
      <c r="E42" s="134">
        <v>6.98</v>
      </c>
      <c r="F42" s="134">
        <v>2.86</v>
      </c>
      <c r="G42" s="134">
        <v>15.83</v>
      </c>
      <c r="H42" s="134">
        <v>2.35</v>
      </c>
      <c r="I42" s="134">
        <v>14.15</v>
      </c>
      <c r="J42" s="134">
        <v>0.96</v>
      </c>
      <c r="K42" s="134">
        <v>265.99</v>
      </c>
      <c r="L42" s="134">
        <v>26.86</v>
      </c>
      <c r="M42" s="134">
        <v>80.849999999999994</v>
      </c>
      <c r="N42" s="134">
        <v>210.1</v>
      </c>
      <c r="O42" s="134">
        <v>0</v>
      </c>
      <c r="P42" s="134">
        <v>0.34</v>
      </c>
      <c r="Q42" s="172" t="s">
        <v>8</v>
      </c>
    </row>
    <row r="43" spans="1:17" customFormat="1">
      <c r="A43" s="112" t="s">
        <v>945</v>
      </c>
      <c r="B43" s="134">
        <v>12.58</v>
      </c>
      <c r="C43" s="134">
        <v>16.25</v>
      </c>
      <c r="D43" s="134">
        <v>17.53</v>
      </c>
      <c r="E43" s="134">
        <v>7.19</v>
      </c>
      <c r="F43" s="134">
        <v>3.04</v>
      </c>
      <c r="G43" s="134">
        <v>15.99</v>
      </c>
      <c r="H43" s="134">
        <v>2.4700000000000002</v>
      </c>
      <c r="I43" s="134">
        <v>13.81</v>
      </c>
      <c r="J43" s="134">
        <v>1.01</v>
      </c>
      <c r="K43" s="134">
        <v>263.77</v>
      </c>
      <c r="L43" s="134">
        <v>27.1</v>
      </c>
      <c r="M43" s="134">
        <v>79.540000000000006</v>
      </c>
      <c r="N43" s="134">
        <v>242.9</v>
      </c>
      <c r="O43" s="134">
        <v>0</v>
      </c>
      <c r="P43" s="134">
        <v>0.34</v>
      </c>
      <c r="Q43" s="172" t="s">
        <v>8</v>
      </c>
    </row>
    <row r="44" spans="1:17" customFormat="1">
      <c r="A44" s="112" t="s">
        <v>946</v>
      </c>
      <c r="B44" s="134">
        <v>12.56</v>
      </c>
      <c r="C44" s="134">
        <v>17.420000000000002</v>
      </c>
      <c r="D44" s="134">
        <v>18.13</v>
      </c>
      <c r="E44" s="134">
        <v>7.25</v>
      </c>
      <c r="F44" s="134">
        <v>2.4700000000000002</v>
      </c>
      <c r="G44" s="134">
        <v>19.41</v>
      </c>
      <c r="H44" s="134">
        <v>4.96</v>
      </c>
      <c r="I44" s="134">
        <v>13.45</v>
      </c>
      <c r="J44" s="134">
        <v>1</v>
      </c>
      <c r="K44" s="134">
        <v>267.18</v>
      </c>
      <c r="L44" s="134">
        <v>27.56</v>
      </c>
      <c r="M44" s="134">
        <v>78.36</v>
      </c>
      <c r="N44" s="134">
        <v>295.7</v>
      </c>
      <c r="O44" s="134">
        <v>0</v>
      </c>
      <c r="P44" s="134">
        <v>0.36</v>
      </c>
      <c r="Q44" s="172" t="s">
        <v>8</v>
      </c>
    </row>
    <row r="45" spans="1:17" customFormat="1">
      <c r="A45" s="112" t="s">
        <v>947</v>
      </c>
      <c r="B45" s="134">
        <v>12.69</v>
      </c>
      <c r="C45" s="134">
        <v>18.72</v>
      </c>
      <c r="D45" s="134">
        <v>18.91</v>
      </c>
      <c r="E45" s="134">
        <v>7.63</v>
      </c>
      <c r="F45" s="134">
        <v>1.91</v>
      </c>
      <c r="G45" s="134">
        <v>19.41</v>
      </c>
      <c r="H45" s="134">
        <v>4.96</v>
      </c>
      <c r="I45" s="134">
        <v>13.19</v>
      </c>
      <c r="J45" s="134">
        <v>1.07</v>
      </c>
      <c r="K45" s="134">
        <v>272.14999999999998</v>
      </c>
      <c r="L45" s="134">
        <v>27.98</v>
      </c>
      <c r="M45" s="134">
        <v>76.540000000000006</v>
      </c>
      <c r="N45" s="134">
        <v>315.2</v>
      </c>
      <c r="O45" s="134">
        <v>0</v>
      </c>
      <c r="P45" s="134">
        <v>0.38</v>
      </c>
      <c r="Q45" s="172" t="s">
        <v>8</v>
      </c>
    </row>
    <row r="46" spans="1:17" customFormat="1">
      <c r="A46" s="112" t="s">
        <v>948</v>
      </c>
      <c r="B46" s="134">
        <v>12.7</v>
      </c>
      <c r="C46" s="134">
        <v>17.5</v>
      </c>
      <c r="D46" s="134">
        <v>18.28</v>
      </c>
      <c r="E46" s="134">
        <v>7.89</v>
      </c>
      <c r="F46" s="134">
        <v>2.75</v>
      </c>
      <c r="G46" s="134">
        <v>19.41</v>
      </c>
      <c r="H46" s="134">
        <v>4.96</v>
      </c>
      <c r="I46" s="134">
        <v>13.04</v>
      </c>
      <c r="J46" s="134">
        <v>1.39</v>
      </c>
      <c r="K46" s="134">
        <v>264.60000000000002</v>
      </c>
      <c r="L46" s="134">
        <v>27.83</v>
      </c>
      <c r="M46" s="134">
        <v>76.19</v>
      </c>
      <c r="N46" s="134">
        <v>287.3</v>
      </c>
      <c r="O46" s="134">
        <v>0</v>
      </c>
      <c r="P46" s="134">
        <v>0.39</v>
      </c>
      <c r="Q46" s="172" t="s">
        <v>8</v>
      </c>
    </row>
    <row r="47" spans="1:17" customFormat="1">
      <c r="A47" s="112" t="s">
        <v>949</v>
      </c>
      <c r="B47" s="134">
        <v>12.49</v>
      </c>
      <c r="C47" s="134">
        <v>16.850000000000001</v>
      </c>
      <c r="D47" s="134">
        <v>17.78</v>
      </c>
      <c r="E47" s="134">
        <v>7.58</v>
      </c>
      <c r="F47" s="134">
        <v>3.1</v>
      </c>
      <c r="G47" s="134">
        <v>19.7</v>
      </c>
      <c r="H47" s="134">
        <v>4.96</v>
      </c>
      <c r="I47" s="134">
        <v>12.91</v>
      </c>
      <c r="J47" s="134">
        <v>1.21</v>
      </c>
      <c r="K47" s="134">
        <v>268.83</v>
      </c>
      <c r="L47" s="134">
        <v>27.87</v>
      </c>
      <c r="M47" s="134">
        <v>76.209999999999994</v>
      </c>
      <c r="N47" s="134">
        <v>281</v>
      </c>
      <c r="O47" s="134">
        <v>0</v>
      </c>
      <c r="P47" s="134">
        <v>0.39</v>
      </c>
      <c r="Q47" s="172" t="s">
        <v>8</v>
      </c>
    </row>
    <row r="48" spans="1:17" customFormat="1">
      <c r="A48" s="112" t="s">
        <v>950</v>
      </c>
      <c r="B48" s="134">
        <v>12.41</v>
      </c>
      <c r="C48" s="134">
        <v>16.55</v>
      </c>
      <c r="D48" s="134">
        <v>17.559999999999999</v>
      </c>
      <c r="E48" s="134">
        <v>7.23</v>
      </c>
      <c r="F48" s="134">
        <v>3.23</v>
      </c>
      <c r="G48" s="134">
        <v>25.84</v>
      </c>
      <c r="H48" s="134">
        <v>4.91</v>
      </c>
      <c r="I48" s="134">
        <v>12.69</v>
      </c>
      <c r="J48" s="134">
        <v>1.1599999999999999</v>
      </c>
      <c r="K48" s="134">
        <v>269.48</v>
      </c>
      <c r="L48" s="134">
        <v>27.88</v>
      </c>
      <c r="M48" s="134">
        <v>75.98</v>
      </c>
      <c r="N48" s="134">
        <v>262.89999999999998</v>
      </c>
      <c r="O48" s="134">
        <v>0</v>
      </c>
      <c r="P48" s="134">
        <v>0.37</v>
      </c>
      <c r="Q48" s="172" t="s">
        <v>8</v>
      </c>
    </row>
    <row r="49" spans="1:17" customFormat="1">
      <c r="A49" s="112" t="s">
        <v>951</v>
      </c>
      <c r="B49" s="134">
        <v>12.22</v>
      </c>
      <c r="C49" s="134">
        <v>16.47</v>
      </c>
      <c r="D49" s="134">
        <v>17.36</v>
      </c>
      <c r="E49" s="134">
        <v>6.89</v>
      </c>
      <c r="F49" s="134">
        <v>3.14</v>
      </c>
      <c r="G49" s="134">
        <v>25.84</v>
      </c>
      <c r="H49" s="134">
        <v>4.91</v>
      </c>
      <c r="I49" s="134">
        <v>12.43</v>
      </c>
      <c r="J49" s="134">
        <v>1.07</v>
      </c>
      <c r="K49" s="134">
        <v>269.2</v>
      </c>
      <c r="L49" s="134">
        <v>27.98</v>
      </c>
      <c r="M49" s="134">
        <v>75.75</v>
      </c>
      <c r="N49" s="134">
        <v>239.8</v>
      </c>
      <c r="O49" s="134">
        <v>0</v>
      </c>
      <c r="P49" s="134">
        <v>0.37</v>
      </c>
      <c r="Q49" s="134">
        <v>1.61</v>
      </c>
    </row>
    <row r="50" spans="1:17" customFormat="1">
      <c r="A50" s="112" t="s">
        <v>952</v>
      </c>
      <c r="B50" s="134">
        <v>12.12</v>
      </c>
      <c r="C50" s="134">
        <v>16.5</v>
      </c>
      <c r="D50" s="134">
        <v>17.3</v>
      </c>
      <c r="E50" s="134">
        <v>7.78</v>
      </c>
      <c r="F50" s="134">
        <v>3.07</v>
      </c>
      <c r="G50" s="134">
        <v>25.84</v>
      </c>
      <c r="H50" s="134">
        <v>4.91</v>
      </c>
      <c r="I50" s="134">
        <v>12.21</v>
      </c>
      <c r="J50" s="134">
        <v>1.01</v>
      </c>
      <c r="K50" s="134">
        <v>272.60000000000002</v>
      </c>
      <c r="L50" s="134">
        <v>28.04</v>
      </c>
      <c r="M50" s="134">
        <v>75.13</v>
      </c>
      <c r="N50" s="134">
        <v>254</v>
      </c>
      <c r="O50" s="134">
        <v>0</v>
      </c>
      <c r="P50" s="134">
        <v>0.4</v>
      </c>
      <c r="Q50" s="134">
        <v>1.6</v>
      </c>
    </row>
    <row r="51" spans="1:17" customFormat="1">
      <c r="A51" s="112" t="s">
        <v>953</v>
      </c>
      <c r="B51" s="134">
        <v>12.05</v>
      </c>
      <c r="C51" s="134">
        <v>17.03</v>
      </c>
      <c r="D51" s="134">
        <v>17.510000000000002</v>
      </c>
      <c r="E51" s="134">
        <v>7.62</v>
      </c>
      <c r="F51" s="134">
        <v>2.81</v>
      </c>
      <c r="G51" s="134">
        <v>26.33</v>
      </c>
      <c r="H51" s="134">
        <v>4.97</v>
      </c>
      <c r="I51" s="134">
        <v>12</v>
      </c>
      <c r="J51" s="134">
        <v>1.1000000000000001</v>
      </c>
      <c r="K51" s="134">
        <v>265.66000000000003</v>
      </c>
      <c r="L51" s="134">
        <v>28.16</v>
      </c>
      <c r="M51" s="134">
        <v>74.14</v>
      </c>
      <c r="N51" s="134">
        <v>242.6</v>
      </c>
      <c r="O51" s="134">
        <v>0</v>
      </c>
      <c r="P51" s="134">
        <v>0.42</v>
      </c>
      <c r="Q51" s="134">
        <v>1.59</v>
      </c>
    </row>
    <row r="52" spans="1:17" customFormat="1">
      <c r="A52" s="112" t="s">
        <v>954</v>
      </c>
      <c r="B52" s="134">
        <v>11.26</v>
      </c>
      <c r="C52" s="134">
        <v>18.78</v>
      </c>
      <c r="D52" s="134">
        <v>17.8</v>
      </c>
      <c r="E52" s="134">
        <v>7.82</v>
      </c>
      <c r="F52" s="134">
        <v>2.68</v>
      </c>
      <c r="G52" s="134">
        <v>34.549999999999997</v>
      </c>
      <c r="H52" s="134">
        <v>5.98</v>
      </c>
      <c r="I52" s="134">
        <v>11.84</v>
      </c>
      <c r="J52" s="134">
        <v>0.89</v>
      </c>
      <c r="K52" s="134">
        <v>269.17</v>
      </c>
      <c r="L52" s="134">
        <v>28.22</v>
      </c>
      <c r="M52" s="134">
        <v>74.36</v>
      </c>
      <c r="N52" s="134">
        <v>266.60000000000002</v>
      </c>
      <c r="O52" s="134">
        <v>0</v>
      </c>
      <c r="P52" s="134">
        <v>0.46</v>
      </c>
      <c r="Q52" s="134">
        <v>1.62</v>
      </c>
    </row>
    <row r="53" spans="1:17" customFormat="1">
      <c r="A53" s="112" t="s">
        <v>955</v>
      </c>
      <c r="B53" s="134">
        <v>10.64</v>
      </c>
      <c r="C53" s="134">
        <v>19.22</v>
      </c>
      <c r="D53" s="134">
        <v>17.53</v>
      </c>
      <c r="E53" s="134">
        <v>7.53</v>
      </c>
      <c r="F53" s="134">
        <v>2.96</v>
      </c>
      <c r="G53" s="134">
        <v>34.549999999999997</v>
      </c>
      <c r="H53" s="134">
        <v>5.98</v>
      </c>
      <c r="I53" s="134">
        <v>11.69</v>
      </c>
      <c r="J53" s="134">
        <v>1.04</v>
      </c>
      <c r="K53" s="134">
        <v>272.47000000000003</v>
      </c>
      <c r="L53" s="134">
        <v>28.82</v>
      </c>
      <c r="M53" s="134">
        <v>72.239999999999995</v>
      </c>
      <c r="N53" s="134">
        <v>423.1</v>
      </c>
      <c r="O53" s="134">
        <v>0</v>
      </c>
      <c r="P53" s="134">
        <v>0.47</v>
      </c>
      <c r="Q53" s="134">
        <v>1.63</v>
      </c>
    </row>
    <row r="54" spans="1:17" customFormat="1">
      <c r="A54" s="112" t="s">
        <v>956</v>
      </c>
      <c r="B54" s="134">
        <v>10.49</v>
      </c>
      <c r="C54" s="134">
        <v>17.72</v>
      </c>
      <c r="D54" s="134">
        <v>16.62</v>
      </c>
      <c r="E54" s="134">
        <v>7.18</v>
      </c>
      <c r="F54" s="134">
        <v>3.74</v>
      </c>
      <c r="G54" s="134">
        <v>34.549999999999997</v>
      </c>
      <c r="H54" s="134">
        <v>5.98</v>
      </c>
      <c r="I54" s="134">
        <v>11.37</v>
      </c>
      <c r="J54" s="134">
        <v>0.98</v>
      </c>
      <c r="K54" s="134">
        <v>275.54000000000002</v>
      </c>
      <c r="L54" s="134">
        <v>29.38</v>
      </c>
      <c r="M54" s="134">
        <v>70.17</v>
      </c>
      <c r="N54" s="134">
        <v>538.20000000000005</v>
      </c>
      <c r="O54" s="134">
        <v>0</v>
      </c>
      <c r="P54" s="134">
        <v>0.43</v>
      </c>
      <c r="Q54" s="134">
        <v>1.54</v>
      </c>
    </row>
    <row r="55" spans="1:17" customFormat="1">
      <c r="A55" s="112" t="s">
        <v>957</v>
      </c>
      <c r="B55" s="134">
        <v>10.28</v>
      </c>
      <c r="C55" s="134">
        <v>17.59</v>
      </c>
      <c r="D55" s="134">
        <v>16.39</v>
      </c>
      <c r="E55" s="134">
        <v>7.32</v>
      </c>
      <c r="F55" s="134">
        <v>4.4800000000000004</v>
      </c>
      <c r="G55" s="134">
        <v>34.74</v>
      </c>
      <c r="H55" s="134">
        <v>6.05</v>
      </c>
      <c r="I55" s="134">
        <v>10.92</v>
      </c>
      <c r="J55" s="134">
        <v>0.91</v>
      </c>
      <c r="K55" s="134">
        <v>279.02</v>
      </c>
      <c r="L55" s="134">
        <v>30</v>
      </c>
      <c r="M55" s="134">
        <v>69.27</v>
      </c>
      <c r="N55" s="134">
        <v>517.4</v>
      </c>
      <c r="O55" s="134">
        <v>0</v>
      </c>
      <c r="P55" s="134">
        <v>0.42</v>
      </c>
      <c r="Q55" s="134">
        <v>1.52</v>
      </c>
    </row>
    <row r="56" spans="1:17" customFormat="1">
      <c r="A56" s="112" t="s">
        <v>958</v>
      </c>
      <c r="B56" s="134">
        <v>9.92</v>
      </c>
      <c r="C56" s="134">
        <v>18.12</v>
      </c>
      <c r="D56" s="134">
        <v>16.38</v>
      </c>
      <c r="E56" s="134">
        <v>7.55</v>
      </c>
      <c r="F56" s="134">
        <v>4.12</v>
      </c>
      <c r="G56" s="134">
        <v>38.74</v>
      </c>
      <c r="H56" s="134">
        <v>7.14</v>
      </c>
      <c r="I56" s="134">
        <v>10.5</v>
      </c>
      <c r="J56" s="134">
        <v>0.98</v>
      </c>
      <c r="K56" s="134">
        <v>267.49</v>
      </c>
      <c r="L56" s="134">
        <v>29.9</v>
      </c>
      <c r="M56" s="134">
        <v>68.989999999999995</v>
      </c>
      <c r="N56" s="134">
        <v>499.6</v>
      </c>
      <c r="O56" s="134">
        <v>0</v>
      </c>
      <c r="P56" s="134">
        <v>0.42</v>
      </c>
      <c r="Q56" s="134">
        <v>1.53</v>
      </c>
    </row>
    <row r="57" spans="1:17" customFormat="1">
      <c r="A57" s="112" t="s">
        <v>959</v>
      </c>
      <c r="B57" s="134">
        <v>9.75</v>
      </c>
      <c r="C57" s="134">
        <v>18.190000000000001</v>
      </c>
      <c r="D57" s="134">
        <v>16.28</v>
      </c>
      <c r="E57" s="134">
        <v>7.67</v>
      </c>
      <c r="F57" s="134">
        <v>3.78</v>
      </c>
      <c r="G57" s="134">
        <v>38.74</v>
      </c>
      <c r="H57" s="134">
        <v>7.14</v>
      </c>
      <c r="I57" s="134">
        <v>10.199999999999999</v>
      </c>
      <c r="J57" s="134">
        <v>0.95</v>
      </c>
      <c r="K57" s="134">
        <v>268.95999999999998</v>
      </c>
      <c r="L57" s="134">
        <v>30.23</v>
      </c>
      <c r="M57" s="134">
        <v>68.23</v>
      </c>
      <c r="N57" s="134">
        <v>624.79999999999995</v>
      </c>
      <c r="O57" s="134">
        <v>0</v>
      </c>
      <c r="P57" s="134">
        <v>0.41</v>
      </c>
      <c r="Q57" s="134">
        <v>1.5</v>
      </c>
    </row>
    <row r="58" spans="1:17" customFormat="1">
      <c r="A58" s="112" t="s">
        <v>960</v>
      </c>
      <c r="B58" s="134">
        <v>9.48</v>
      </c>
      <c r="C58" s="134">
        <v>17.920000000000002</v>
      </c>
      <c r="D58" s="134">
        <v>15.92</v>
      </c>
      <c r="E58" s="134">
        <v>7.3</v>
      </c>
      <c r="F58" s="134">
        <v>3.49</v>
      </c>
      <c r="G58" s="134">
        <v>38.74</v>
      </c>
      <c r="H58" s="134">
        <v>7.14</v>
      </c>
      <c r="I58" s="134">
        <v>10.029999999999999</v>
      </c>
      <c r="J58" s="134">
        <v>1.08</v>
      </c>
      <c r="K58" s="134">
        <v>275.44</v>
      </c>
      <c r="L58" s="134">
        <v>30.27</v>
      </c>
      <c r="M58" s="134">
        <v>67.540000000000006</v>
      </c>
      <c r="N58" s="134">
        <v>479.8</v>
      </c>
      <c r="O58" s="134">
        <v>0</v>
      </c>
      <c r="P58" s="134">
        <v>0.41</v>
      </c>
      <c r="Q58" s="134">
        <v>1.47</v>
      </c>
    </row>
    <row r="59" spans="1:17" customFormat="1">
      <c r="A59" s="112" t="s">
        <v>961</v>
      </c>
      <c r="B59" s="134">
        <v>9.15</v>
      </c>
      <c r="C59" s="134">
        <v>18.14</v>
      </c>
      <c r="D59" s="134">
        <v>15.77</v>
      </c>
      <c r="E59" s="134">
        <v>7.16</v>
      </c>
      <c r="F59" s="134">
        <v>3.82</v>
      </c>
      <c r="G59" s="134">
        <v>38.76</v>
      </c>
      <c r="H59" s="134">
        <v>7.3</v>
      </c>
      <c r="I59" s="134">
        <v>9.89</v>
      </c>
      <c r="J59" s="134">
        <v>0.81</v>
      </c>
      <c r="K59" s="134">
        <v>290.87</v>
      </c>
      <c r="L59" s="134">
        <v>30.25</v>
      </c>
      <c r="M59" s="134">
        <v>67.53</v>
      </c>
      <c r="N59" s="134">
        <v>473.5</v>
      </c>
      <c r="O59" s="134">
        <v>0</v>
      </c>
      <c r="P59" s="134">
        <v>0.42</v>
      </c>
      <c r="Q59" s="134">
        <v>1.46</v>
      </c>
    </row>
    <row r="60" spans="1:17" customFormat="1">
      <c r="A60" s="112" t="s">
        <v>962</v>
      </c>
      <c r="B60" s="134">
        <v>9.0399999999999991</v>
      </c>
      <c r="C60" s="134">
        <v>19.079999999999998</v>
      </c>
      <c r="D60" s="134">
        <v>16.170000000000002</v>
      </c>
      <c r="E60" s="134">
        <v>7.53</v>
      </c>
      <c r="F60" s="134">
        <v>3.56</v>
      </c>
      <c r="G60" s="134">
        <v>39.1</v>
      </c>
      <c r="H60" s="134">
        <v>9.82</v>
      </c>
      <c r="I60" s="134">
        <v>9.69</v>
      </c>
      <c r="J60" s="134">
        <v>0.81</v>
      </c>
      <c r="K60" s="134">
        <v>295.14999999999998</v>
      </c>
      <c r="L60" s="134">
        <v>30.45</v>
      </c>
      <c r="M60" s="134">
        <v>66.88</v>
      </c>
      <c r="N60" s="134">
        <v>443.9</v>
      </c>
      <c r="O60" s="134">
        <v>0</v>
      </c>
      <c r="P60" s="134">
        <v>0.44</v>
      </c>
      <c r="Q60" s="134">
        <v>1.51</v>
      </c>
    </row>
    <row r="61" spans="1:17" customFormat="1">
      <c r="A61" s="112" t="s">
        <v>963</v>
      </c>
      <c r="B61" s="134">
        <v>9.15</v>
      </c>
      <c r="C61" s="134">
        <v>18.91</v>
      </c>
      <c r="D61" s="134">
        <v>16.170000000000002</v>
      </c>
      <c r="E61" s="134">
        <v>7.52</v>
      </c>
      <c r="F61" s="134">
        <v>4.4800000000000004</v>
      </c>
      <c r="G61" s="134">
        <v>39.1</v>
      </c>
      <c r="H61" s="134">
        <v>9.82</v>
      </c>
      <c r="I61" s="134">
        <v>9.4600000000000009</v>
      </c>
      <c r="J61" s="134">
        <v>0.86</v>
      </c>
      <c r="K61" s="134">
        <v>297.06</v>
      </c>
      <c r="L61" s="134">
        <v>30.78</v>
      </c>
      <c r="M61" s="134">
        <v>64.66</v>
      </c>
      <c r="N61" s="134">
        <v>608.4</v>
      </c>
      <c r="O61" s="134">
        <v>0</v>
      </c>
      <c r="P61" s="134">
        <v>0.43</v>
      </c>
      <c r="Q61" s="134">
        <v>1.47</v>
      </c>
    </row>
    <row r="62" spans="1:17" customFormat="1">
      <c r="A62" s="112" t="s">
        <v>964</v>
      </c>
      <c r="B62" s="134">
        <v>9.1199999999999992</v>
      </c>
      <c r="C62" s="134">
        <v>18.84</v>
      </c>
      <c r="D62" s="134">
        <v>16.11</v>
      </c>
      <c r="E62" s="134">
        <v>7.53</v>
      </c>
      <c r="F62" s="134">
        <v>4.38</v>
      </c>
      <c r="G62" s="134">
        <v>39.1</v>
      </c>
      <c r="H62" s="134">
        <v>9.82</v>
      </c>
      <c r="I62" s="134">
        <v>9.23</v>
      </c>
      <c r="J62" s="134">
        <v>1.06</v>
      </c>
      <c r="K62" s="134">
        <v>274</v>
      </c>
      <c r="L62" s="134">
        <v>30.83</v>
      </c>
      <c r="M62" s="134">
        <v>65.03</v>
      </c>
      <c r="N62" s="134">
        <v>555.9</v>
      </c>
      <c r="O62" s="134">
        <v>0</v>
      </c>
      <c r="P62" s="134">
        <v>0.43</v>
      </c>
      <c r="Q62" s="134">
        <v>1.45</v>
      </c>
    </row>
    <row r="63" spans="1:17" customFormat="1">
      <c r="A63" s="112" t="s">
        <v>965</v>
      </c>
      <c r="B63" s="134">
        <v>8.7799999999999994</v>
      </c>
      <c r="C63" s="134">
        <v>18.62</v>
      </c>
      <c r="D63" s="134">
        <v>15.72</v>
      </c>
      <c r="E63" s="134">
        <v>7.77</v>
      </c>
      <c r="F63" s="134">
        <v>5.22</v>
      </c>
      <c r="G63" s="134">
        <v>39.17</v>
      </c>
      <c r="H63" s="134">
        <v>9.84</v>
      </c>
      <c r="I63" s="134">
        <v>9.0399999999999991</v>
      </c>
      <c r="J63" s="134">
        <v>0.73</v>
      </c>
      <c r="K63" s="134">
        <v>272.06</v>
      </c>
      <c r="L63" s="134">
        <v>30.74</v>
      </c>
      <c r="M63" s="134">
        <v>65.3</v>
      </c>
      <c r="N63" s="134">
        <v>444.9</v>
      </c>
      <c r="O63" s="134">
        <v>0</v>
      </c>
      <c r="P63" s="134">
        <v>0.42</v>
      </c>
      <c r="Q63" s="134">
        <v>1.44</v>
      </c>
    </row>
    <row r="64" spans="1:17" customFormat="1">
      <c r="A64" s="112" t="s">
        <v>966</v>
      </c>
      <c r="B64" s="134">
        <v>8.5299999999999994</v>
      </c>
      <c r="C64" s="134">
        <v>18.37</v>
      </c>
      <c r="D64" s="134">
        <v>15.39</v>
      </c>
      <c r="E64" s="134">
        <v>7.46</v>
      </c>
      <c r="F64" s="134">
        <v>5.35</v>
      </c>
      <c r="G64" s="134">
        <v>40.76</v>
      </c>
      <c r="H64" s="134">
        <v>10.130000000000001</v>
      </c>
      <c r="I64" s="134">
        <v>8.91</v>
      </c>
      <c r="J64" s="134">
        <v>0.87</v>
      </c>
      <c r="K64" s="134">
        <v>271.14</v>
      </c>
      <c r="L64" s="134">
        <v>30.86</v>
      </c>
      <c r="M64" s="134">
        <v>64.37</v>
      </c>
      <c r="N64" s="134">
        <v>359.6</v>
      </c>
      <c r="O64" s="134">
        <v>0</v>
      </c>
      <c r="P64" s="134">
        <v>0.42</v>
      </c>
      <c r="Q64" s="134">
        <v>1.45</v>
      </c>
    </row>
    <row r="65" spans="1:17" customFormat="1">
      <c r="A65" s="112" t="s">
        <v>967</v>
      </c>
      <c r="B65" s="134">
        <v>8.27</v>
      </c>
      <c r="C65" s="134">
        <v>18.420000000000002</v>
      </c>
      <c r="D65" s="134">
        <v>15.21</v>
      </c>
      <c r="E65" s="134">
        <v>7.33</v>
      </c>
      <c r="F65" s="134">
        <v>4.6399999999999997</v>
      </c>
      <c r="G65" s="134">
        <v>40.76</v>
      </c>
      <c r="H65" s="134">
        <v>10.130000000000001</v>
      </c>
      <c r="I65" s="134">
        <v>8.69</v>
      </c>
      <c r="J65" s="134">
        <v>0.91</v>
      </c>
      <c r="K65" s="134">
        <v>265.60000000000002</v>
      </c>
      <c r="L65" s="134">
        <v>30.57</v>
      </c>
      <c r="M65" s="134">
        <v>64.8</v>
      </c>
      <c r="N65" s="134">
        <v>376.8</v>
      </c>
      <c r="O65" s="134">
        <v>0</v>
      </c>
      <c r="P65" s="134">
        <v>0.4</v>
      </c>
      <c r="Q65" s="134">
        <v>1.4</v>
      </c>
    </row>
    <row r="66" spans="1:17" customFormat="1">
      <c r="A66" s="112" t="s">
        <v>968</v>
      </c>
      <c r="B66" s="134">
        <v>7.86</v>
      </c>
      <c r="C66" s="134">
        <v>18.29</v>
      </c>
      <c r="D66" s="134">
        <v>14.81</v>
      </c>
      <c r="E66" s="134">
        <v>7.38</v>
      </c>
      <c r="F66" s="134">
        <v>5.05</v>
      </c>
      <c r="G66" s="134">
        <v>40.76</v>
      </c>
      <c r="H66" s="134">
        <v>10.130000000000001</v>
      </c>
      <c r="I66" s="134">
        <v>8.44</v>
      </c>
      <c r="J66" s="134">
        <v>0.87</v>
      </c>
      <c r="K66" s="134">
        <v>266.36</v>
      </c>
      <c r="L66" s="134">
        <v>30.74</v>
      </c>
      <c r="M66" s="134">
        <v>65.25</v>
      </c>
      <c r="N66" s="134">
        <v>333</v>
      </c>
      <c r="O66" s="134">
        <v>0</v>
      </c>
      <c r="P66" s="134">
        <v>0.42</v>
      </c>
      <c r="Q66" s="134">
        <v>1.39</v>
      </c>
    </row>
    <row r="67" spans="1:17" customFormat="1">
      <c r="A67" s="112" t="s">
        <v>969</v>
      </c>
      <c r="B67" s="134">
        <v>7.75</v>
      </c>
      <c r="C67" s="134">
        <v>18.329999999999998</v>
      </c>
      <c r="D67" s="134">
        <v>14.75</v>
      </c>
      <c r="E67" s="134">
        <v>7.25</v>
      </c>
      <c r="F67" s="134">
        <v>4.8499999999999996</v>
      </c>
      <c r="G67" s="134">
        <v>40.68</v>
      </c>
      <c r="H67" s="134">
        <v>10.09</v>
      </c>
      <c r="I67" s="134">
        <v>8.33</v>
      </c>
      <c r="J67" s="134">
        <v>0.76</v>
      </c>
      <c r="K67" s="134">
        <v>281.17</v>
      </c>
      <c r="L67" s="134">
        <v>30.35</v>
      </c>
      <c r="M67" s="134">
        <v>65.400000000000006</v>
      </c>
      <c r="N67" s="134">
        <v>195.2</v>
      </c>
      <c r="O67" s="134">
        <v>0</v>
      </c>
      <c r="P67" s="134">
        <v>0.42</v>
      </c>
      <c r="Q67" s="134">
        <v>1.36</v>
      </c>
    </row>
    <row r="68" spans="1:17" customFormat="1">
      <c r="A68" s="112" t="s">
        <v>970</v>
      </c>
      <c r="B68" s="134">
        <v>7.71</v>
      </c>
      <c r="C68" s="134">
        <v>18.440000000000001</v>
      </c>
      <c r="D68" s="134">
        <v>14.77</v>
      </c>
      <c r="E68" s="134">
        <v>7.73</v>
      </c>
      <c r="F68" s="134">
        <v>5.1100000000000003</v>
      </c>
      <c r="G68" s="134">
        <v>39.4</v>
      </c>
      <c r="H68" s="134">
        <v>9.48</v>
      </c>
      <c r="I68" s="134">
        <v>8.1</v>
      </c>
      <c r="J68" s="134">
        <v>0.88</v>
      </c>
      <c r="K68" s="134">
        <v>268.52</v>
      </c>
      <c r="L68" s="134">
        <v>30.09</v>
      </c>
      <c r="M68" s="134">
        <v>66.459999999999994</v>
      </c>
      <c r="N68" s="134">
        <v>216.9</v>
      </c>
      <c r="O68" s="134">
        <v>0</v>
      </c>
      <c r="P68" s="134">
        <v>0.41</v>
      </c>
      <c r="Q68" s="134">
        <v>1.34</v>
      </c>
    </row>
    <row r="69" spans="1:17" customFormat="1">
      <c r="A69" s="112" t="s">
        <v>971</v>
      </c>
      <c r="B69" s="134">
        <v>7.18</v>
      </c>
      <c r="C69" s="134">
        <v>18.23</v>
      </c>
      <c r="D69" s="134">
        <v>14.24</v>
      </c>
      <c r="E69" s="134">
        <v>7.61</v>
      </c>
      <c r="F69" s="134">
        <v>5.31</v>
      </c>
      <c r="G69" s="134">
        <v>39.4</v>
      </c>
      <c r="H69" s="134">
        <v>9.48</v>
      </c>
      <c r="I69" s="134">
        <v>7.99</v>
      </c>
      <c r="J69" s="134">
        <v>0.68</v>
      </c>
      <c r="K69" s="134">
        <v>271.75</v>
      </c>
      <c r="L69" s="134">
        <v>30.04</v>
      </c>
      <c r="M69" s="134">
        <v>67.86</v>
      </c>
      <c r="N69" s="134">
        <v>173.6</v>
      </c>
      <c r="O69" s="134">
        <v>0</v>
      </c>
      <c r="P69" s="134">
        <v>0.42</v>
      </c>
      <c r="Q69" s="134">
        <v>1.33</v>
      </c>
    </row>
    <row r="70" spans="1:17" customFormat="1">
      <c r="A70" s="112" t="s">
        <v>972</v>
      </c>
      <c r="B70" s="134">
        <v>6.72</v>
      </c>
      <c r="C70" s="134">
        <v>17.940000000000001</v>
      </c>
      <c r="D70" s="134">
        <v>13.72</v>
      </c>
      <c r="E70" s="134">
        <v>7.95</v>
      </c>
      <c r="F70" s="134">
        <v>5.56</v>
      </c>
      <c r="G70" s="134">
        <v>39.4</v>
      </c>
      <c r="H70" s="134">
        <v>9.48</v>
      </c>
      <c r="I70" s="134">
        <v>7.73</v>
      </c>
      <c r="J70" s="134">
        <v>0.69</v>
      </c>
      <c r="K70" s="134">
        <v>264.39999999999998</v>
      </c>
      <c r="L70" s="134">
        <v>29.81</v>
      </c>
      <c r="M70" s="134">
        <v>69.41</v>
      </c>
      <c r="N70" s="134">
        <v>135.1</v>
      </c>
      <c r="O70" s="134">
        <v>0</v>
      </c>
      <c r="P70" s="134">
        <v>0.44</v>
      </c>
      <c r="Q70" s="134">
        <v>1.32</v>
      </c>
    </row>
    <row r="71" spans="1:17" customFormat="1">
      <c r="A71" s="112" t="s">
        <v>973</v>
      </c>
      <c r="B71" s="134">
        <v>6.55</v>
      </c>
      <c r="C71" s="134">
        <v>17.75</v>
      </c>
      <c r="D71" s="134">
        <v>13.48</v>
      </c>
      <c r="E71" s="134">
        <v>8.0299999999999994</v>
      </c>
      <c r="F71" s="134">
        <v>5.57</v>
      </c>
      <c r="G71" s="134">
        <v>39.4</v>
      </c>
      <c r="H71" s="134">
        <v>9.56</v>
      </c>
      <c r="I71" s="134">
        <v>7.66</v>
      </c>
      <c r="J71" s="134">
        <v>0.81</v>
      </c>
      <c r="K71" s="134">
        <v>268.88</v>
      </c>
      <c r="L71" s="134">
        <v>29.79</v>
      </c>
      <c r="M71" s="134">
        <v>67.930000000000007</v>
      </c>
      <c r="N71" s="134">
        <v>159.4</v>
      </c>
      <c r="O71" s="134">
        <v>0</v>
      </c>
      <c r="P71" s="134">
        <v>0.43</v>
      </c>
      <c r="Q71" s="134">
        <v>1.3</v>
      </c>
    </row>
    <row r="72" spans="1:17" customFormat="1">
      <c r="A72" s="112" t="s">
        <v>974</v>
      </c>
      <c r="B72" s="134">
        <v>6.42</v>
      </c>
      <c r="C72" s="134">
        <v>18.8</v>
      </c>
      <c r="D72" s="134">
        <v>13.93</v>
      </c>
      <c r="E72" s="134">
        <v>7.58</v>
      </c>
      <c r="F72" s="134">
        <v>3.7</v>
      </c>
      <c r="G72" s="134">
        <v>39.4</v>
      </c>
      <c r="H72" s="134">
        <v>10.69</v>
      </c>
      <c r="I72" s="134">
        <v>7.55</v>
      </c>
      <c r="J72" s="134">
        <v>0.74</v>
      </c>
      <c r="K72" s="134">
        <v>267.51</v>
      </c>
      <c r="L72" s="134">
        <v>29.71</v>
      </c>
      <c r="M72" s="134">
        <v>67.790000000000006</v>
      </c>
      <c r="N72" s="134">
        <v>129.6</v>
      </c>
      <c r="O72" s="134">
        <v>0</v>
      </c>
      <c r="P72" s="134">
        <v>0.47</v>
      </c>
      <c r="Q72" s="134">
        <v>1.28</v>
      </c>
    </row>
    <row r="73" spans="1:17" customFormat="1">
      <c r="A73" s="112" t="s">
        <v>975</v>
      </c>
      <c r="B73" s="134">
        <v>5.55</v>
      </c>
      <c r="C73" s="134">
        <v>20.66</v>
      </c>
      <c r="D73" s="134">
        <v>14.21</v>
      </c>
      <c r="E73" s="134">
        <v>7.25</v>
      </c>
      <c r="F73" s="134">
        <v>3.33</v>
      </c>
      <c r="G73" s="134">
        <v>39.4</v>
      </c>
      <c r="H73" s="134">
        <v>10.69</v>
      </c>
      <c r="I73" s="134">
        <v>7.5</v>
      </c>
      <c r="J73" s="134">
        <v>0.74</v>
      </c>
      <c r="K73" s="134">
        <v>262.33999999999997</v>
      </c>
      <c r="L73" s="134">
        <v>29.52</v>
      </c>
      <c r="M73" s="134">
        <v>67.88</v>
      </c>
      <c r="N73" s="134">
        <v>87.3</v>
      </c>
      <c r="O73" s="134">
        <v>0</v>
      </c>
      <c r="P73" s="134">
        <v>0.5</v>
      </c>
      <c r="Q73" s="134">
        <v>1.28</v>
      </c>
    </row>
    <row r="74" spans="1:17" customFormat="1">
      <c r="A74" s="112" t="s">
        <v>976</v>
      </c>
      <c r="B74" s="134">
        <v>5.1100000000000003</v>
      </c>
      <c r="C74" s="134">
        <v>19.440000000000001</v>
      </c>
      <c r="D74" s="134">
        <v>13.21</v>
      </c>
      <c r="E74" s="134">
        <v>7.19</v>
      </c>
      <c r="F74" s="134">
        <v>4.83</v>
      </c>
      <c r="G74" s="134">
        <v>39.4</v>
      </c>
      <c r="H74" s="134">
        <v>10.69</v>
      </c>
      <c r="I74" s="134">
        <v>7.65</v>
      </c>
      <c r="J74" s="134">
        <v>0.75</v>
      </c>
      <c r="K74" s="134">
        <v>259.07</v>
      </c>
      <c r="L74" s="134">
        <v>29.35</v>
      </c>
      <c r="M74" s="134">
        <v>70.75</v>
      </c>
      <c r="N74" s="134">
        <v>98.5</v>
      </c>
      <c r="O74" s="134">
        <v>0</v>
      </c>
      <c r="P74" s="134">
        <v>0.47</v>
      </c>
      <c r="Q74" s="134">
        <v>1.25</v>
      </c>
    </row>
    <row r="75" spans="1:17" customFormat="1">
      <c r="A75" s="112" t="s">
        <v>977</v>
      </c>
      <c r="B75" s="134">
        <v>4.83</v>
      </c>
      <c r="C75" s="134">
        <v>17.38</v>
      </c>
      <c r="D75" s="134">
        <v>11.91</v>
      </c>
      <c r="E75" s="134">
        <v>6.59</v>
      </c>
      <c r="F75" s="134">
        <v>7.02</v>
      </c>
      <c r="G75" s="134">
        <v>39.46</v>
      </c>
      <c r="H75" s="134">
        <v>10.72</v>
      </c>
      <c r="I75" s="134">
        <v>7.45</v>
      </c>
      <c r="J75" s="134">
        <v>0.57999999999999996</v>
      </c>
      <c r="K75" s="134">
        <v>265.01</v>
      </c>
      <c r="L75" s="134">
        <v>29.28</v>
      </c>
      <c r="M75" s="134">
        <v>71.53</v>
      </c>
      <c r="N75" s="134">
        <v>100.7</v>
      </c>
      <c r="O75" s="134">
        <v>0</v>
      </c>
      <c r="P75" s="134">
        <v>0.42</v>
      </c>
      <c r="Q75" s="134">
        <v>1.19</v>
      </c>
    </row>
    <row r="76" spans="1:17" customFormat="1">
      <c r="A76" s="112" t="s">
        <v>978</v>
      </c>
      <c r="B76" s="134">
        <v>4.91</v>
      </c>
      <c r="C76" s="134">
        <v>17.170000000000002</v>
      </c>
      <c r="D76" s="134">
        <v>11.86</v>
      </c>
      <c r="E76" s="134">
        <v>6.38</v>
      </c>
      <c r="F76" s="134">
        <v>6.33</v>
      </c>
      <c r="G76" s="134">
        <v>40.479999999999997</v>
      </c>
      <c r="H76" s="134">
        <v>11.14</v>
      </c>
      <c r="I76" s="134">
        <v>7.02</v>
      </c>
      <c r="J76" s="134">
        <v>0.98</v>
      </c>
      <c r="K76" s="134">
        <v>263.8</v>
      </c>
      <c r="L76" s="134">
        <v>29.2</v>
      </c>
      <c r="M76" s="134">
        <v>69.05</v>
      </c>
      <c r="N76" s="134">
        <v>98.7</v>
      </c>
      <c r="O76" s="134">
        <v>0</v>
      </c>
      <c r="P76" s="134">
        <v>0.42</v>
      </c>
      <c r="Q76" s="134">
        <v>1.19</v>
      </c>
    </row>
    <row r="77" spans="1:17" customFormat="1">
      <c r="A77" s="112" t="s">
        <v>979</v>
      </c>
      <c r="B77" s="134">
        <v>4.92</v>
      </c>
      <c r="C77" s="134">
        <v>17.23</v>
      </c>
      <c r="D77" s="134">
        <v>11.9</v>
      </c>
      <c r="E77" s="134">
        <v>6.62</v>
      </c>
      <c r="F77" s="134">
        <v>6.46</v>
      </c>
      <c r="G77" s="134">
        <v>40.479999999999997</v>
      </c>
      <c r="H77" s="134">
        <v>11.14</v>
      </c>
      <c r="I77" s="134">
        <v>6.7</v>
      </c>
      <c r="J77" s="134">
        <v>0.6</v>
      </c>
      <c r="K77" s="134">
        <v>270.05</v>
      </c>
      <c r="L77" s="134">
        <v>29.11</v>
      </c>
      <c r="M77" s="134">
        <v>70.599999999999994</v>
      </c>
      <c r="N77" s="134">
        <v>80.2</v>
      </c>
      <c r="O77" s="134">
        <v>0</v>
      </c>
      <c r="P77" s="134">
        <v>0.41</v>
      </c>
      <c r="Q77" s="134">
        <v>1.18</v>
      </c>
    </row>
    <row r="78" spans="1:17" customFormat="1">
      <c r="A78" s="112" t="s">
        <v>980</v>
      </c>
      <c r="B78" s="134">
        <v>4.75</v>
      </c>
      <c r="C78" s="134">
        <v>17.12</v>
      </c>
      <c r="D78" s="134">
        <v>11.71</v>
      </c>
      <c r="E78" s="134">
        <v>7.08</v>
      </c>
      <c r="F78" s="134">
        <v>6.06</v>
      </c>
      <c r="G78" s="134">
        <v>40.479999999999997</v>
      </c>
      <c r="H78" s="134">
        <v>11.14</v>
      </c>
      <c r="I78" s="134">
        <v>6.62</v>
      </c>
      <c r="J78" s="134">
        <v>0.89</v>
      </c>
      <c r="K78" s="134">
        <v>263.11</v>
      </c>
      <c r="L78" s="134">
        <v>29.03</v>
      </c>
      <c r="M78" s="134">
        <v>70.62</v>
      </c>
      <c r="N78" s="134">
        <v>54.5</v>
      </c>
      <c r="O78" s="134">
        <v>0</v>
      </c>
      <c r="P78" s="134">
        <v>0.41</v>
      </c>
      <c r="Q78" s="134">
        <v>1.1599999999999999</v>
      </c>
    </row>
    <row r="79" spans="1:17" customFormat="1">
      <c r="A79" s="112" t="s">
        <v>981</v>
      </c>
      <c r="B79" s="134">
        <v>4.8499999999999996</v>
      </c>
      <c r="C79" s="134">
        <v>16.72</v>
      </c>
      <c r="D79" s="134">
        <v>11.58</v>
      </c>
      <c r="E79" s="134">
        <v>6.72</v>
      </c>
      <c r="F79" s="134">
        <v>6.59</v>
      </c>
      <c r="G79" s="134">
        <v>40.32</v>
      </c>
      <c r="H79" s="134">
        <v>11.03</v>
      </c>
      <c r="I79" s="134">
        <v>6.48</v>
      </c>
      <c r="J79" s="134">
        <v>0.94</v>
      </c>
      <c r="K79" s="134">
        <v>263.45</v>
      </c>
      <c r="L79" s="134">
        <v>28.91</v>
      </c>
      <c r="M79" s="134">
        <v>70.37</v>
      </c>
      <c r="N79" s="134">
        <v>35.5</v>
      </c>
      <c r="O79" s="134">
        <v>0</v>
      </c>
      <c r="P79" s="134">
        <v>0.4</v>
      </c>
      <c r="Q79" s="134">
        <v>1.1299999999999999</v>
      </c>
    </row>
    <row r="80" spans="1:17" customFormat="1">
      <c r="A80" s="112" t="s">
        <v>982</v>
      </c>
      <c r="B80" s="134">
        <v>4.8099999999999996</v>
      </c>
      <c r="C80" s="134">
        <v>17.55</v>
      </c>
      <c r="D80" s="134">
        <v>11.98</v>
      </c>
      <c r="E80" s="134">
        <v>6.89</v>
      </c>
      <c r="F80" s="134">
        <v>4.75</v>
      </c>
      <c r="G80" s="134">
        <v>36.81</v>
      </c>
      <c r="H80" s="134">
        <v>9.43</v>
      </c>
      <c r="I80" s="134">
        <v>6.37</v>
      </c>
      <c r="J80" s="134">
        <v>0.62</v>
      </c>
      <c r="K80" s="134">
        <v>264.05</v>
      </c>
      <c r="L80" s="134">
        <v>28.63</v>
      </c>
      <c r="M80" s="134">
        <v>73.77</v>
      </c>
      <c r="N80" s="134">
        <v>18.100000000000001</v>
      </c>
      <c r="O80" s="134">
        <v>0</v>
      </c>
      <c r="P80" s="134">
        <v>0.43</v>
      </c>
      <c r="Q80" s="134">
        <v>1.19</v>
      </c>
    </row>
    <row r="81" spans="1:17" customFormat="1">
      <c r="A81" s="112" t="s">
        <v>983</v>
      </c>
      <c r="B81" s="134">
        <v>4.96</v>
      </c>
      <c r="C81" s="134">
        <v>18.45</v>
      </c>
      <c r="D81" s="134">
        <v>12.57</v>
      </c>
      <c r="E81" s="134">
        <v>5.72</v>
      </c>
      <c r="F81" s="134">
        <v>4.1900000000000004</v>
      </c>
      <c r="G81" s="134">
        <v>36.81</v>
      </c>
      <c r="H81" s="134">
        <v>9.43</v>
      </c>
      <c r="I81" s="134">
        <v>6.39</v>
      </c>
      <c r="J81" s="134">
        <v>0.67</v>
      </c>
      <c r="K81" s="134">
        <v>263.79000000000002</v>
      </c>
      <c r="L81" s="134">
        <v>28.38</v>
      </c>
      <c r="M81" s="134">
        <v>74.849999999999994</v>
      </c>
      <c r="N81" s="134">
        <v>7.2</v>
      </c>
      <c r="O81" s="134">
        <v>0</v>
      </c>
      <c r="P81" s="134">
        <v>0.43</v>
      </c>
      <c r="Q81" s="134">
        <v>1.28</v>
      </c>
    </row>
    <row r="82" spans="1:17" customFormat="1">
      <c r="A82" s="112" t="s">
        <v>984</v>
      </c>
      <c r="B82" s="134">
        <v>5.0999999999999996</v>
      </c>
      <c r="C82" s="134">
        <v>17.27</v>
      </c>
      <c r="D82" s="134">
        <v>12.07</v>
      </c>
      <c r="E82" s="134">
        <v>6.22</v>
      </c>
      <c r="F82" s="134">
        <v>5.63</v>
      </c>
      <c r="G82" s="134">
        <v>36.81</v>
      </c>
      <c r="H82" s="134">
        <v>9.43</v>
      </c>
      <c r="I82" s="134">
        <v>6.27</v>
      </c>
      <c r="J82" s="134">
        <v>0.66</v>
      </c>
      <c r="K82" s="134">
        <v>262.16000000000003</v>
      </c>
      <c r="L82" s="134">
        <v>28.24</v>
      </c>
      <c r="M82" s="134">
        <v>74.16</v>
      </c>
      <c r="N82" s="134">
        <v>0.1</v>
      </c>
      <c r="O82" s="134">
        <v>0</v>
      </c>
      <c r="P82" s="134">
        <v>0.43</v>
      </c>
      <c r="Q82" s="134">
        <v>1.2</v>
      </c>
    </row>
    <row r="83" spans="1:17" customFormat="1">
      <c r="A83" s="112" t="s">
        <v>985</v>
      </c>
      <c r="B83" s="134">
        <v>4.9400000000000004</v>
      </c>
      <c r="C83" s="134">
        <v>16.100000000000001</v>
      </c>
      <c r="D83" s="134">
        <v>11.32</v>
      </c>
      <c r="E83" s="134">
        <v>6.26</v>
      </c>
      <c r="F83" s="134">
        <v>7.67</v>
      </c>
      <c r="G83" s="134">
        <v>36.71</v>
      </c>
      <c r="H83" s="134">
        <v>9.39</v>
      </c>
      <c r="I83" s="134">
        <v>6.27</v>
      </c>
      <c r="J83" s="134">
        <v>0.55000000000000004</v>
      </c>
      <c r="K83" s="134">
        <v>263.44</v>
      </c>
      <c r="L83" s="134">
        <v>28.01</v>
      </c>
      <c r="M83" s="134">
        <v>75.34</v>
      </c>
      <c r="N83" s="134">
        <v>0</v>
      </c>
      <c r="O83" s="134">
        <v>0</v>
      </c>
      <c r="P83" s="134">
        <v>0.41</v>
      </c>
      <c r="Q83" s="134">
        <v>1.18</v>
      </c>
    </row>
    <row r="84" spans="1:17" customFormat="1">
      <c r="A84" s="112" t="s">
        <v>986</v>
      </c>
      <c r="B84" s="134">
        <v>4.55</v>
      </c>
      <c r="C84" s="134">
        <v>15.17</v>
      </c>
      <c r="D84" s="134">
        <v>10.53</v>
      </c>
      <c r="E84" s="134">
        <v>6.43</v>
      </c>
      <c r="F84" s="134">
        <v>9.48</v>
      </c>
      <c r="G84" s="134">
        <v>34.9</v>
      </c>
      <c r="H84" s="134">
        <v>8.75</v>
      </c>
      <c r="I84" s="134">
        <v>6.12</v>
      </c>
      <c r="J84" s="134">
        <v>0.37</v>
      </c>
      <c r="K84" s="134">
        <v>256.54000000000002</v>
      </c>
      <c r="L84" s="134">
        <v>27.76</v>
      </c>
      <c r="M84" s="134">
        <v>77.180000000000007</v>
      </c>
      <c r="N84" s="134">
        <v>0</v>
      </c>
      <c r="O84" s="134">
        <v>0</v>
      </c>
      <c r="P84" s="134">
        <v>0.38</v>
      </c>
      <c r="Q84" s="134">
        <v>1.17</v>
      </c>
    </row>
    <row r="85" spans="1:17" customFormat="1">
      <c r="A85" s="112" t="s">
        <v>987</v>
      </c>
      <c r="B85" s="134">
        <v>5</v>
      </c>
      <c r="C85" s="134">
        <v>16.98</v>
      </c>
      <c r="D85" s="134">
        <v>11.83</v>
      </c>
      <c r="E85" s="134">
        <v>6.43</v>
      </c>
      <c r="F85" s="134">
        <v>3.54</v>
      </c>
      <c r="G85" s="134">
        <v>34.9</v>
      </c>
      <c r="H85" s="134">
        <v>8.75</v>
      </c>
      <c r="I85" s="134">
        <v>5.83</v>
      </c>
      <c r="J85" s="134">
        <v>0.28999999999999998</v>
      </c>
      <c r="K85" s="134">
        <v>256.89999999999998</v>
      </c>
      <c r="L85" s="134">
        <v>27.48</v>
      </c>
      <c r="M85" s="134">
        <v>79.8</v>
      </c>
      <c r="N85" s="134">
        <v>0</v>
      </c>
      <c r="O85" s="134">
        <v>0</v>
      </c>
      <c r="P85" s="134">
        <v>0.42</v>
      </c>
      <c r="Q85" s="134">
        <v>1.19</v>
      </c>
    </row>
    <row r="86" spans="1:17" customFormat="1">
      <c r="A86" s="112" t="s">
        <v>988</v>
      </c>
      <c r="B86" s="134">
        <v>5.33</v>
      </c>
      <c r="C86" s="134">
        <v>19.14</v>
      </c>
      <c r="D86" s="134">
        <v>13.23</v>
      </c>
      <c r="E86" s="134">
        <v>6.5</v>
      </c>
      <c r="F86" s="134">
        <v>2.96</v>
      </c>
      <c r="G86" s="134">
        <v>34.9</v>
      </c>
      <c r="H86" s="134">
        <v>8.75</v>
      </c>
      <c r="I86" s="134">
        <v>5.74</v>
      </c>
      <c r="J86" s="134">
        <v>0.39</v>
      </c>
      <c r="K86" s="134">
        <v>262.27999999999997</v>
      </c>
      <c r="L86" s="134">
        <v>27.39</v>
      </c>
      <c r="M86" s="134">
        <v>80.44</v>
      </c>
      <c r="N86" s="134">
        <v>0</v>
      </c>
      <c r="O86" s="134">
        <v>0</v>
      </c>
      <c r="P86" s="134">
        <v>0.45</v>
      </c>
      <c r="Q86" s="134">
        <v>1.29</v>
      </c>
    </row>
    <row r="87" spans="1:17" customFormat="1">
      <c r="A87" s="112" t="s">
        <v>989</v>
      </c>
      <c r="B87" s="134">
        <v>5.4</v>
      </c>
      <c r="C87" s="134">
        <v>17.59</v>
      </c>
      <c r="D87" s="134">
        <v>12.48</v>
      </c>
      <c r="E87" s="134">
        <v>6.98</v>
      </c>
      <c r="F87" s="134">
        <v>5.14</v>
      </c>
      <c r="G87" s="134">
        <v>35.15</v>
      </c>
      <c r="H87" s="134">
        <v>8.74</v>
      </c>
      <c r="I87" s="134">
        <v>6.04</v>
      </c>
      <c r="J87" s="134">
        <v>0.56999999999999995</v>
      </c>
      <c r="K87" s="134">
        <v>264.26</v>
      </c>
      <c r="L87" s="134">
        <v>27.36</v>
      </c>
      <c r="M87" s="134">
        <v>80.52</v>
      </c>
      <c r="N87" s="134">
        <v>0</v>
      </c>
      <c r="O87" s="134">
        <v>0</v>
      </c>
      <c r="P87" s="134">
        <v>0.43</v>
      </c>
      <c r="Q87" s="134">
        <v>1.25</v>
      </c>
    </row>
    <row r="88" spans="1:17" customFormat="1">
      <c r="A88" s="112" t="s">
        <v>990</v>
      </c>
      <c r="B88" s="134">
        <v>5.36</v>
      </c>
      <c r="C88" s="134">
        <v>16.34</v>
      </c>
      <c r="D88" s="134">
        <v>11.79</v>
      </c>
      <c r="E88" s="134">
        <v>6.62</v>
      </c>
      <c r="F88" s="134">
        <v>6.39</v>
      </c>
      <c r="G88" s="134">
        <v>39.369999999999997</v>
      </c>
      <c r="H88" s="134">
        <v>8.5399999999999991</v>
      </c>
      <c r="I88" s="134">
        <v>6.06</v>
      </c>
      <c r="J88" s="134">
        <v>0.8</v>
      </c>
      <c r="K88" s="134">
        <v>264.36</v>
      </c>
      <c r="L88" s="134">
        <v>27.52</v>
      </c>
      <c r="M88" s="134">
        <v>78.42</v>
      </c>
      <c r="N88" s="134">
        <v>0</v>
      </c>
      <c r="O88" s="134">
        <v>0</v>
      </c>
      <c r="P88" s="134">
        <v>0.42</v>
      </c>
      <c r="Q88" s="134">
        <v>1.24</v>
      </c>
    </row>
    <row r="89" spans="1:17" customFormat="1">
      <c r="A89" s="112" t="s">
        <v>991</v>
      </c>
      <c r="B89" s="134">
        <v>5.29</v>
      </c>
      <c r="C89" s="134">
        <v>15.91</v>
      </c>
      <c r="D89" s="134">
        <v>11.51</v>
      </c>
      <c r="E89" s="134">
        <v>6.68</v>
      </c>
      <c r="F89" s="134">
        <v>6.68</v>
      </c>
      <c r="G89" s="134">
        <v>39.369999999999997</v>
      </c>
      <c r="H89" s="134">
        <v>8.5399999999999991</v>
      </c>
      <c r="I89" s="134">
        <v>5.89</v>
      </c>
      <c r="J89" s="134">
        <v>0.54</v>
      </c>
      <c r="K89" s="134">
        <v>259.42</v>
      </c>
      <c r="L89" s="134">
        <v>27.36</v>
      </c>
      <c r="M89" s="134">
        <v>79.88</v>
      </c>
      <c r="N89" s="134">
        <v>0</v>
      </c>
      <c r="O89" s="134">
        <v>0</v>
      </c>
      <c r="P89" s="134">
        <v>0.4</v>
      </c>
      <c r="Q89" s="134">
        <v>1.21</v>
      </c>
    </row>
    <row r="90" spans="1:17" customFormat="1">
      <c r="A90" s="112" t="s">
        <v>992</v>
      </c>
      <c r="B90" s="134">
        <v>5.8</v>
      </c>
      <c r="C90" s="134">
        <v>18.350000000000001</v>
      </c>
      <c r="D90" s="134">
        <v>13.19</v>
      </c>
      <c r="E90" s="134">
        <v>6.73</v>
      </c>
      <c r="F90" s="134">
        <v>3.78</v>
      </c>
      <c r="G90" s="134">
        <v>39.369999999999997</v>
      </c>
      <c r="H90" s="134">
        <v>8.5399999999999991</v>
      </c>
      <c r="I90" s="134">
        <v>5.71</v>
      </c>
      <c r="J90" s="134">
        <v>0.46</v>
      </c>
      <c r="K90" s="134">
        <v>259.86</v>
      </c>
      <c r="L90" s="134">
        <v>27.17</v>
      </c>
      <c r="M90" s="134">
        <v>80.989999999999995</v>
      </c>
      <c r="N90" s="134">
        <v>0</v>
      </c>
      <c r="O90" s="134">
        <v>0</v>
      </c>
      <c r="P90" s="134">
        <v>0.44</v>
      </c>
      <c r="Q90" s="134">
        <v>1.25</v>
      </c>
    </row>
    <row r="91" spans="1:17" customFormat="1">
      <c r="A91" s="112" t="s">
        <v>993</v>
      </c>
      <c r="B91" s="134">
        <v>5.93</v>
      </c>
      <c r="C91" s="134">
        <v>19.22</v>
      </c>
      <c r="D91" s="134">
        <v>13.75</v>
      </c>
      <c r="E91" s="134">
        <v>6.96</v>
      </c>
      <c r="F91" s="134">
        <v>4.22</v>
      </c>
      <c r="G91" s="134">
        <v>39.19</v>
      </c>
      <c r="H91" s="134">
        <v>8.83</v>
      </c>
      <c r="I91" s="134">
        <v>5.68</v>
      </c>
      <c r="J91" s="134">
        <v>0.27</v>
      </c>
      <c r="K91" s="134">
        <v>256.27999999999997</v>
      </c>
      <c r="L91" s="134">
        <v>27.01</v>
      </c>
      <c r="M91" s="134">
        <v>82.84</v>
      </c>
      <c r="N91" s="134">
        <v>0</v>
      </c>
      <c r="O91" s="134">
        <v>0</v>
      </c>
      <c r="P91" s="134">
        <v>0.46</v>
      </c>
      <c r="Q91" s="134">
        <v>1.34</v>
      </c>
    </row>
    <row r="92" spans="1:17" customFormat="1">
      <c r="A92" s="112" t="s">
        <v>994</v>
      </c>
      <c r="B92" s="134">
        <v>5.92</v>
      </c>
      <c r="C92" s="134">
        <v>17.13</v>
      </c>
      <c r="D92" s="134">
        <v>12.66</v>
      </c>
      <c r="E92" s="134">
        <v>7.09</v>
      </c>
      <c r="F92" s="134">
        <v>6.18</v>
      </c>
      <c r="G92" s="134">
        <v>36.15</v>
      </c>
      <c r="H92" s="134">
        <v>13.26</v>
      </c>
      <c r="I92" s="134">
        <v>5.93</v>
      </c>
      <c r="J92" s="134">
        <v>0.32</v>
      </c>
      <c r="K92" s="134">
        <v>259.06</v>
      </c>
      <c r="L92" s="134">
        <v>26.82</v>
      </c>
      <c r="M92" s="134">
        <v>84.47</v>
      </c>
      <c r="N92" s="134">
        <v>0</v>
      </c>
      <c r="O92" s="134">
        <v>0</v>
      </c>
      <c r="P92" s="134">
        <v>0.44</v>
      </c>
      <c r="Q92" s="134">
        <v>1.31</v>
      </c>
    </row>
    <row r="93" spans="1:17" customFormat="1">
      <c r="A93" s="80">
        <v>45146.885416666664</v>
      </c>
      <c r="B93" s="134">
        <v>6.22</v>
      </c>
      <c r="C93" s="134">
        <v>18.62</v>
      </c>
      <c r="D93" s="134">
        <v>13.67</v>
      </c>
      <c r="E93" s="134">
        <v>6.69</v>
      </c>
      <c r="F93" s="134">
        <v>3.56</v>
      </c>
      <c r="G93" s="134">
        <v>36.15</v>
      </c>
      <c r="H93" s="134">
        <v>13.26</v>
      </c>
      <c r="I93" s="134">
        <v>5.82</v>
      </c>
      <c r="J93" s="134">
        <v>0.42</v>
      </c>
      <c r="K93" s="134">
        <v>263.76</v>
      </c>
      <c r="L93" s="134">
        <v>26.85</v>
      </c>
      <c r="M93" s="134">
        <v>84.23</v>
      </c>
      <c r="N93" s="134">
        <v>0</v>
      </c>
      <c r="O93" s="134">
        <v>0</v>
      </c>
      <c r="P93" s="134">
        <v>0.47</v>
      </c>
      <c r="Q93" s="134">
        <v>1.3</v>
      </c>
    </row>
    <row r="94" spans="1:17" customFormat="1">
      <c r="A94" s="112" t="s">
        <v>995</v>
      </c>
      <c r="B94" s="134">
        <v>5.99</v>
      </c>
      <c r="C94" s="134">
        <v>19.91</v>
      </c>
      <c r="D94" s="134">
        <v>14.16</v>
      </c>
      <c r="E94" s="134">
        <v>6.27</v>
      </c>
      <c r="F94" s="134">
        <v>3.16</v>
      </c>
      <c r="G94" s="134">
        <v>36.15</v>
      </c>
      <c r="H94" s="134">
        <v>13.26</v>
      </c>
      <c r="I94" s="134">
        <v>5.65</v>
      </c>
      <c r="J94" s="134">
        <v>0.3</v>
      </c>
      <c r="K94" s="134">
        <v>263.02</v>
      </c>
      <c r="L94" s="134">
        <v>26.85</v>
      </c>
      <c r="M94" s="134">
        <v>84.24</v>
      </c>
      <c r="N94" s="134">
        <v>0</v>
      </c>
      <c r="O94" s="134">
        <v>0</v>
      </c>
      <c r="P94" s="134">
        <v>0.5</v>
      </c>
      <c r="Q94" s="134">
        <v>1.33</v>
      </c>
    </row>
    <row r="95" spans="1:17" customFormat="1">
      <c r="A95" s="112" t="s">
        <v>996</v>
      </c>
      <c r="B95" s="134">
        <v>5.7</v>
      </c>
      <c r="C95" s="134">
        <v>17.649999999999999</v>
      </c>
      <c r="D95" s="134">
        <v>12.75</v>
      </c>
      <c r="E95" s="134">
        <v>6.11</v>
      </c>
      <c r="F95" s="134">
        <v>5.26</v>
      </c>
      <c r="G95" s="134">
        <v>35.979999999999997</v>
      </c>
      <c r="H95" s="134">
        <v>13.04</v>
      </c>
      <c r="I95" s="134">
        <v>5.89</v>
      </c>
      <c r="J95" s="134">
        <v>0.21</v>
      </c>
      <c r="K95" s="134">
        <v>265.8</v>
      </c>
      <c r="L95" s="134">
        <v>26.72</v>
      </c>
      <c r="M95" s="134">
        <v>85.1</v>
      </c>
      <c r="N95" s="134">
        <v>0</v>
      </c>
      <c r="O95" s="134">
        <v>0</v>
      </c>
      <c r="P95" s="134">
        <v>0.45</v>
      </c>
      <c r="Q95" s="134">
        <v>1.28</v>
      </c>
    </row>
    <row r="96" spans="1:17" customFormat="1">
      <c r="A96" s="112" t="s">
        <v>997</v>
      </c>
      <c r="B96" s="134">
        <v>5.78</v>
      </c>
      <c r="C96" s="134">
        <v>16.2</v>
      </c>
      <c r="D96" s="134">
        <v>12.06</v>
      </c>
      <c r="E96" s="134">
        <v>5.48</v>
      </c>
      <c r="F96" s="134">
        <v>5.72</v>
      </c>
      <c r="G96" s="134">
        <v>33.090000000000003</v>
      </c>
      <c r="H96" s="134">
        <v>9.56</v>
      </c>
      <c r="I96" s="134">
        <v>5.67</v>
      </c>
      <c r="J96" s="134">
        <v>0.42</v>
      </c>
      <c r="K96" s="134">
        <v>261.20999999999998</v>
      </c>
      <c r="L96" s="134">
        <v>26.77</v>
      </c>
      <c r="M96" s="134">
        <v>84.47</v>
      </c>
      <c r="N96" s="134">
        <v>0</v>
      </c>
      <c r="O96" s="134">
        <v>0</v>
      </c>
      <c r="P96" s="134">
        <v>0.42</v>
      </c>
      <c r="Q96" s="134">
        <v>1.27</v>
      </c>
    </row>
    <row r="97" spans="1:22" customFormat="1">
      <c r="A97" s="112" t="s">
        <v>998</v>
      </c>
      <c r="B97" s="134">
        <v>5.88</v>
      </c>
      <c r="C97" s="134">
        <v>16.16</v>
      </c>
      <c r="D97" s="134">
        <v>12.11</v>
      </c>
      <c r="E97" s="134">
        <v>6.06</v>
      </c>
      <c r="F97" s="134">
        <v>5.48</v>
      </c>
      <c r="G97" s="134">
        <v>33.090000000000003</v>
      </c>
      <c r="H97" s="134">
        <v>9.56</v>
      </c>
      <c r="I97" s="134">
        <v>5.31</v>
      </c>
      <c r="J97" s="134">
        <v>0.42</v>
      </c>
      <c r="K97" s="134">
        <v>255.4</v>
      </c>
      <c r="L97" s="134">
        <v>26.61</v>
      </c>
      <c r="M97" s="134">
        <v>85.76</v>
      </c>
      <c r="N97" s="134">
        <v>0</v>
      </c>
      <c r="O97" s="134">
        <v>0</v>
      </c>
      <c r="P97" s="134">
        <v>0.41</v>
      </c>
      <c r="Q97" s="134">
        <v>1.26</v>
      </c>
    </row>
    <row r="98" spans="1:22" customFormat="1">
      <c r="A98" s="112" t="s">
        <v>999</v>
      </c>
      <c r="B98" s="134">
        <v>6.52</v>
      </c>
      <c r="C98" s="134">
        <v>17.66</v>
      </c>
      <c r="D98" s="134">
        <v>13.41</v>
      </c>
      <c r="E98" s="134">
        <v>5.91</v>
      </c>
      <c r="F98" s="134">
        <v>3.7</v>
      </c>
      <c r="G98" s="134">
        <v>33.090000000000003</v>
      </c>
      <c r="H98" s="134">
        <v>9.56</v>
      </c>
      <c r="I98" s="134">
        <v>5.17</v>
      </c>
      <c r="J98" s="134">
        <v>0.37</v>
      </c>
      <c r="K98" s="134">
        <v>258.54000000000002</v>
      </c>
      <c r="L98" s="134">
        <v>26.64</v>
      </c>
      <c r="M98" s="134">
        <v>85.26</v>
      </c>
      <c r="N98" s="134">
        <v>0</v>
      </c>
      <c r="O98" s="134">
        <v>0</v>
      </c>
      <c r="P98" s="134">
        <v>0.43</v>
      </c>
      <c r="Q98" s="134">
        <v>1.29</v>
      </c>
    </row>
    <row r="99" spans="1:22" customFormat="1">
      <c r="A99" s="112" t="s">
        <v>1000</v>
      </c>
      <c r="B99" s="134">
        <v>6.7</v>
      </c>
      <c r="C99" s="134">
        <v>19.32</v>
      </c>
      <c r="D99" s="134">
        <v>14.42</v>
      </c>
      <c r="E99" s="134">
        <v>6.29</v>
      </c>
      <c r="F99" s="134">
        <v>2.94</v>
      </c>
      <c r="G99" s="134">
        <v>33.049999999999997</v>
      </c>
      <c r="H99" s="134">
        <v>9.5500000000000007</v>
      </c>
      <c r="I99" s="134">
        <v>5.21</v>
      </c>
      <c r="J99" s="134">
        <v>0.32</v>
      </c>
      <c r="K99" s="134">
        <v>261.45999999999998</v>
      </c>
      <c r="L99" s="134">
        <v>26.59</v>
      </c>
      <c r="M99" s="134">
        <v>85.65</v>
      </c>
      <c r="N99" s="134">
        <v>0</v>
      </c>
      <c r="O99" s="134">
        <v>0</v>
      </c>
      <c r="P99" s="134">
        <v>0.45</v>
      </c>
      <c r="Q99" s="134">
        <v>1.37</v>
      </c>
    </row>
    <row r="100" spans="1:22" customFormat="1">
      <c r="A100" s="112" t="s">
        <v>1001</v>
      </c>
      <c r="B100" s="134">
        <v>6.54</v>
      </c>
      <c r="C100" s="134">
        <v>17.09</v>
      </c>
      <c r="D100" s="134">
        <v>13.12</v>
      </c>
      <c r="E100" s="134">
        <v>6.24</v>
      </c>
      <c r="F100" s="134">
        <v>5.0199999999999996</v>
      </c>
      <c r="G100" s="134">
        <v>32.33</v>
      </c>
      <c r="H100" s="134">
        <v>9.51</v>
      </c>
      <c r="I100" s="134">
        <v>5.42</v>
      </c>
      <c r="J100" s="134">
        <v>0.3</v>
      </c>
      <c r="K100" s="134">
        <v>259.41000000000003</v>
      </c>
      <c r="L100" s="134">
        <v>26.48</v>
      </c>
      <c r="M100" s="134">
        <v>86.48</v>
      </c>
      <c r="N100" s="134">
        <v>0</v>
      </c>
      <c r="O100" s="134">
        <v>0</v>
      </c>
      <c r="P100" s="134">
        <v>0.42</v>
      </c>
      <c r="Q100" s="134">
        <v>1.36</v>
      </c>
    </row>
    <row r="101" spans="1:22" customFormat="1">
      <c r="A101" s="112" t="s">
        <v>1002</v>
      </c>
      <c r="B101" s="134">
        <v>6.6</v>
      </c>
      <c r="C101" s="134">
        <v>15.87</v>
      </c>
      <c r="D101" s="134">
        <v>12.54</v>
      </c>
      <c r="E101" s="134">
        <v>6.42</v>
      </c>
      <c r="F101" s="134">
        <v>5.66</v>
      </c>
      <c r="G101" s="134">
        <v>32.33</v>
      </c>
      <c r="H101" s="134">
        <v>9.51</v>
      </c>
      <c r="I101" s="134">
        <v>5.37</v>
      </c>
      <c r="J101" s="134">
        <v>0.38</v>
      </c>
      <c r="K101" s="134">
        <v>260.11</v>
      </c>
      <c r="L101" s="134">
        <v>26.44</v>
      </c>
      <c r="M101" s="134">
        <v>86.51</v>
      </c>
      <c r="N101" s="134">
        <v>0</v>
      </c>
      <c r="O101" s="134">
        <v>0</v>
      </c>
      <c r="P101" s="134">
        <v>0.39</v>
      </c>
      <c r="Q101" s="134">
        <v>1.33</v>
      </c>
    </row>
    <row r="102" spans="1:22" customFormat="1">
      <c r="A102" s="112" t="s">
        <v>1003</v>
      </c>
      <c r="B102" s="134">
        <v>7.19</v>
      </c>
      <c r="C102" s="134">
        <v>17.55</v>
      </c>
      <c r="D102" s="134">
        <v>13.89</v>
      </c>
      <c r="E102" s="134">
        <v>6.35</v>
      </c>
      <c r="F102" s="134">
        <v>3.74</v>
      </c>
      <c r="G102" s="134">
        <v>32.33</v>
      </c>
      <c r="H102" s="134">
        <v>9.51</v>
      </c>
      <c r="I102" s="134">
        <v>5.01</v>
      </c>
      <c r="J102" s="134">
        <v>0.31</v>
      </c>
      <c r="K102" s="134">
        <v>254.27</v>
      </c>
      <c r="L102" s="134">
        <v>26.44</v>
      </c>
      <c r="M102" s="134">
        <v>86.52</v>
      </c>
      <c r="N102" s="134">
        <v>0</v>
      </c>
      <c r="O102" s="134">
        <v>0</v>
      </c>
      <c r="P102" s="134">
        <v>0.43</v>
      </c>
      <c r="Q102" s="134">
        <v>1.33</v>
      </c>
    </row>
    <row r="103" spans="1:22" customFormat="1">
      <c r="A103" s="112" t="s">
        <v>1004</v>
      </c>
      <c r="B103" s="134">
        <v>7.41</v>
      </c>
      <c r="C103" s="134">
        <v>19.28</v>
      </c>
      <c r="D103" s="134">
        <v>14.97</v>
      </c>
      <c r="E103" s="134">
        <v>6.97</v>
      </c>
      <c r="F103" s="134">
        <v>2.81</v>
      </c>
      <c r="G103" s="134">
        <v>32.26</v>
      </c>
      <c r="H103" s="134">
        <v>9.4600000000000009</v>
      </c>
      <c r="I103" s="134">
        <v>5.03</v>
      </c>
      <c r="J103" s="134">
        <v>0.35</v>
      </c>
      <c r="K103" s="134">
        <v>255.81</v>
      </c>
      <c r="L103" s="134">
        <v>26.45</v>
      </c>
      <c r="M103" s="134">
        <v>86.43</v>
      </c>
      <c r="N103" s="134">
        <v>0</v>
      </c>
      <c r="O103" s="134">
        <v>0</v>
      </c>
      <c r="P103" s="134">
        <v>0.44</v>
      </c>
      <c r="Q103" s="134">
        <v>1.38</v>
      </c>
    </row>
    <row r="104" spans="1:22" customFormat="1">
      <c r="A104" s="112" t="s">
        <v>1005</v>
      </c>
      <c r="B104" s="134">
        <v>7.12</v>
      </c>
      <c r="C104" s="134">
        <v>16.47</v>
      </c>
      <c r="D104" s="134">
        <v>13.27</v>
      </c>
      <c r="E104" s="134">
        <v>6.79</v>
      </c>
      <c r="F104" s="134">
        <v>5.46</v>
      </c>
      <c r="G104" s="134">
        <v>31.15</v>
      </c>
      <c r="H104" s="134">
        <v>8.64</v>
      </c>
      <c r="I104" s="134">
        <v>5.23</v>
      </c>
      <c r="J104" s="134">
        <v>0.42</v>
      </c>
      <c r="K104" s="134">
        <v>264.35000000000002</v>
      </c>
      <c r="L104" s="134">
        <v>26.42</v>
      </c>
      <c r="M104" s="134">
        <v>86.14</v>
      </c>
      <c r="N104" s="134">
        <v>0</v>
      </c>
      <c r="O104" s="134">
        <v>0</v>
      </c>
      <c r="P104" s="134">
        <v>0.41</v>
      </c>
      <c r="Q104" s="134">
        <v>1.4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4.55</v>
      </c>
      <c r="C106" s="183">
        <f>MIN(C9:C104)</f>
        <v>15.17</v>
      </c>
      <c r="D106" s="183">
        <f t="shared" ref="D106:Q106" si="0">MIN(D9:D104)</f>
        <v>10.53</v>
      </c>
      <c r="E106" s="183">
        <f t="shared" si="0"/>
        <v>5.48</v>
      </c>
      <c r="F106" s="183">
        <f t="shared" si="0"/>
        <v>1.53</v>
      </c>
      <c r="G106" s="183">
        <f t="shared" si="0"/>
        <v>13.65</v>
      </c>
      <c r="H106" s="183">
        <f t="shared" si="0"/>
        <v>2.35</v>
      </c>
      <c r="I106" s="183">
        <f t="shared" si="0"/>
        <v>5.01</v>
      </c>
      <c r="J106" s="183">
        <f t="shared" si="0"/>
        <v>0.21</v>
      </c>
      <c r="K106" s="183">
        <f t="shared" si="0"/>
        <v>254.27</v>
      </c>
      <c r="L106" s="183">
        <f t="shared" si="0"/>
        <v>25.12</v>
      </c>
      <c r="M106" s="183">
        <f t="shared" si="0"/>
        <v>64.37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1.1299999999999999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12.78</v>
      </c>
      <c r="C107" s="184">
        <f t="shared" ref="C107:Q107" si="1">MAX(C9:C104)</f>
        <v>20.66</v>
      </c>
      <c r="D107" s="184">
        <f t="shared" si="1"/>
        <v>18.91</v>
      </c>
      <c r="E107" s="184">
        <f t="shared" si="1"/>
        <v>8.0299999999999994</v>
      </c>
      <c r="F107" s="184">
        <f t="shared" si="1"/>
        <v>9.48</v>
      </c>
      <c r="G107" s="184">
        <f t="shared" si="1"/>
        <v>40.76</v>
      </c>
      <c r="H107" s="184">
        <f t="shared" si="1"/>
        <v>13.26</v>
      </c>
      <c r="I107" s="184">
        <f t="shared" si="1"/>
        <v>31.96</v>
      </c>
      <c r="J107" s="184">
        <f t="shared" si="1"/>
        <v>1.39</v>
      </c>
      <c r="K107" s="184">
        <f t="shared" si="1"/>
        <v>297.06</v>
      </c>
      <c r="L107" s="184">
        <f t="shared" si="1"/>
        <v>30.86</v>
      </c>
      <c r="M107" s="184">
        <f t="shared" si="1"/>
        <v>91.07</v>
      </c>
      <c r="N107" s="184">
        <f t="shared" si="1"/>
        <v>624.79999999999995</v>
      </c>
      <c r="O107" s="184">
        <f t="shared" si="1"/>
        <v>0</v>
      </c>
      <c r="P107" s="184">
        <f t="shared" si="1"/>
        <v>0.5</v>
      </c>
      <c r="Q107" s="184">
        <f t="shared" si="1"/>
        <v>1.63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8.9593749999999961</v>
      </c>
      <c r="C108" s="183">
        <f t="shared" ref="C108:Q108" si="2">AVERAGE(C9:C104)</f>
        <v>17.545104166666672</v>
      </c>
      <c r="D108" s="183">
        <f t="shared" si="2"/>
        <v>15.306041666666664</v>
      </c>
      <c r="E108" s="183">
        <f t="shared" si="2"/>
        <v>6.9278124999999973</v>
      </c>
      <c r="F108" s="183">
        <f t="shared" si="2"/>
        <v>3.8079166666666677</v>
      </c>
      <c r="G108" s="183">
        <f t="shared" si="2"/>
        <v>28.494375000000016</v>
      </c>
      <c r="H108" s="183">
        <f t="shared" si="2"/>
        <v>7.2047916666666616</v>
      </c>
      <c r="I108" s="183">
        <f t="shared" si="2"/>
        <v>12.722500000000004</v>
      </c>
      <c r="J108" s="183">
        <f t="shared" si="2"/>
        <v>0.6806249999999997</v>
      </c>
      <c r="K108" s="183">
        <f t="shared" si="2"/>
        <v>265.31697916666661</v>
      </c>
      <c r="L108" s="183">
        <f t="shared" si="2"/>
        <v>27.407916666666676</v>
      </c>
      <c r="M108" s="183">
        <f t="shared" si="2"/>
        <v>79.620625000000004</v>
      </c>
      <c r="N108" s="183">
        <f t="shared" si="2"/>
        <v>123.25104166666669</v>
      </c>
      <c r="O108" s="183">
        <f t="shared" si="2"/>
        <v>0</v>
      </c>
      <c r="P108" s="183">
        <f t="shared" si="2"/>
        <v>0.39937500000000009</v>
      </c>
      <c r="Q108" s="183">
        <f t="shared" si="2"/>
        <v>1.3480357142857144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2.7892095890375495</v>
      </c>
      <c r="C109" s="183">
        <f t="shared" ref="C109:Q109" si="3">STDEV(C9:C104)</f>
        <v>1.1879429321678279</v>
      </c>
      <c r="D109" s="183">
        <f t="shared" si="3"/>
        <v>2.2202500945740824</v>
      </c>
      <c r="E109" s="183">
        <f t="shared" si="3"/>
        <v>0.55515612431861094</v>
      </c>
      <c r="F109" s="183">
        <f t="shared" si="3"/>
        <v>1.5626562518364349</v>
      </c>
      <c r="G109" s="183">
        <f t="shared" si="3"/>
        <v>10.222478102330697</v>
      </c>
      <c r="H109" s="183">
        <f t="shared" si="3"/>
        <v>2.9713399349068057</v>
      </c>
      <c r="I109" s="183">
        <f t="shared" si="3"/>
        <v>7.1768512374306974</v>
      </c>
      <c r="J109" s="183">
        <f t="shared" si="3"/>
        <v>0.25824840143184974</v>
      </c>
      <c r="K109" s="183">
        <f t="shared" si="3"/>
        <v>7.3332022329309039</v>
      </c>
      <c r="L109" s="183">
        <f t="shared" si="3"/>
        <v>1.8649723670402605</v>
      </c>
      <c r="M109" s="183">
        <f t="shared" si="3"/>
        <v>8.7222489630647839</v>
      </c>
      <c r="N109" s="183">
        <f t="shared" si="3"/>
        <v>174.59423394035471</v>
      </c>
      <c r="O109" s="183">
        <f t="shared" si="3"/>
        <v>0</v>
      </c>
      <c r="P109" s="183">
        <f t="shared" si="3"/>
        <v>4.3086510283626041E-2</v>
      </c>
      <c r="Q109" s="183">
        <f t="shared" si="3"/>
        <v>0.13302658166160153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P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09/08/2023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1006</v>
      </c>
      <c r="B9" s="134">
        <v>10.53</v>
      </c>
      <c r="C9" s="134">
        <v>18.8</v>
      </c>
      <c r="D9" s="134">
        <v>17.22</v>
      </c>
      <c r="E9" s="134">
        <v>6.97</v>
      </c>
      <c r="F9" s="134">
        <v>4</v>
      </c>
      <c r="G9" s="134">
        <v>31.15</v>
      </c>
      <c r="H9" s="134">
        <v>8.64</v>
      </c>
      <c r="I9" s="134">
        <v>5.13</v>
      </c>
      <c r="J9" s="134">
        <v>0.45</v>
      </c>
      <c r="K9" s="134">
        <v>259.22000000000003</v>
      </c>
      <c r="L9" s="134">
        <v>26.34</v>
      </c>
      <c r="M9" s="134">
        <v>86.8</v>
      </c>
      <c r="N9" s="134">
        <v>0</v>
      </c>
      <c r="O9" s="134">
        <v>0</v>
      </c>
      <c r="P9" s="134">
        <v>0.43</v>
      </c>
      <c r="Q9" s="134">
        <v>1.4</v>
      </c>
    </row>
    <row r="10" spans="1:21" customFormat="1">
      <c r="A10" s="112" t="s">
        <v>1007</v>
      </c>
      <c r="B10" s="134">
        <v>10.94</v>
      </c>
      <c r="C10" s="134">
        <v>20.170000000000002</v>
      </c>
      <c r="D10" s="134">
        <v>18.260000000000002</v>
      </c>
      <c r="E10" s="134">
        <v>7.7</v>
      </c>
      <c r="F10" s="134">
        <v>2.21</v>
      </c>
      <c r="G10" s="134">
        <v>31.15</v>
      </c>
      <c r="H10" s="134">
        <v>8.64</v>
      </c>
      <c r="I10" s="134">
        <v>4.83</v>
      </c>
      <c r="J10" s="134">
        <v>0.52</v>
      </c>
      <c r="K10" s="134">
        <v>260.95999999999998</v>
      </c>
      <c r="L10" s="134">
        <v>26.22</v>
      </c>
      <c r="M10" s="134">
        <v>87.28</v>
      </c>
      <c r="N10" s="134">
        <v>0</v>
      </c>
      <c r="O10" s="134">
        <v>0</v>
      </c>
      <c r="P10" s="134">
        <v>0.45</v>
      </c>
      <c r="Q10" s="134">
        <v>1.49</v>
      </c>
    </row>
    <row r="11" spans="1:21" customFormat="1">
      <c r="A11" s="112" t="s">
        <v>1008</v>
      </c>
      <c r="B11" s="134">
        <v>11.04</v>
      </c>
      <c r="C11" s="134">
        <v>17.98</v>
      </c>
      <c r="D11" s="134">
        <v>17.2</v>
      </c>
      <c r="E11" s="134">
        <v>7.14</v>
      </c>
      <c r="F11" s="134">
        <v>3.53</v>
      </c>
      <c r="G11" s="134">
        <v>30.84</v>
      </c>
      <c r="H11" s="134">
        <v>8.58</v>
      </c>
      <c r="I11" s="134">
        <v>5.0999999999999996</v>
      </c>
      <c r="J11" s="134">
        <v>0.42</v>
      </c>
      <c r="K11" s="134">
        <v>261.63</v>
      </c>
      <c r="L11" s="134">
        <v>26.18</v>
      </c>
      <c r="M11" s="134">
        <v>87.55</v>
      </c>
      <c r="N11" s="134">
        <v>0</v>
      </c>
      <c r="O11" s="134">
        <v>0</v>
      </c>
      <c r="P11" s="134">
        <v>0.42</v>
      </c>
      <c r="Q11" s="134">
        <v>1.47</v>
      </c>
    </row>
    <row r="12" spans="1:21" customFormat="1">
      <c r="A12" s="112" t="s">
        <v>1009</v>
      </c>
      <c r="B12" s="134">
        <v>10.94</v>
      </c>
      <c r="C12" s="134">
        <v>17.22</v>
      </c>
      <c r="D12" s="134">
        <v>16.73</v>
      </c>
      <c r="E12" s="134">
        <v>7.24</v>
      </c>
      <c r="F12" s="134">
        <v>4.1399999999999997</v>
      </c>
      <c r="G12" s="134">
        <v>25.64</v>
      </c>
      <c r="H12" s="134">
        <v>7.76</v>
      </c>
      <c r="I12" s="134">
        <v>5.21</v>
      </c>
      <c r="J12" s="134">
        <v>0.35</v>
      </c>
      <c r="K12" s="134">
        <v>257.62</v>
      </c>
      <c r="L12" s="134">
        <v>26.09</v>
      </c>
      <c r="M12" s="134">
        <v>87.9</v>
      </c>
      <c r="N12" s="134">
        <v>0</v>
      </c>
      <c r="O12" s="134">
        <v>0</v>
      </c>
      <c r="P12" s="134">
        <v>0.42</v>
      </c>
      <c r="Q12" s="134">
        <v>1.42</v>
      </c>
    </row>
    <row r="13" spans="1:21" customFormat="1">
      <c r="A13" s="112" t="s">
        <v>1010</v>
      </c>
      <c r="B13" s="134">
        <v>11.59</v>
      </c>
      <c r="C13" s="134">
        <v>19.850000000000001</v>
      </c>
      <c r="D13" s="134">
        <v>18.62</v>
      </c>
      <c r="E13" s="134">
        <v>7.59</v>
      </c>
      <c r="F13" s="134">
        <v>2.2200000000000002</v>
      </c>
      <c r="G13" s="134">
        <v>25.64</v>
      </c>
      <c r="H13" s="134">
        <v>7.76</v>
      </c>
      <c r="I13" s="134">
        <v>5.0599999999999996</v>
      </c>
      <c r="J13" s="134">
        <v>0.4</v>
      </c>
      <c r="K13" s="134">
        <v>261.67</v>
      </c>
      <c r="L13" s="134">
        <v>25.99</v>
      </c>
      <c r="M13" s="134">
        <v>88.38</v>
      </c>
      <c r="N13" s="134">
        <v>0</v>
      </c>
      <c r="O13" s="134">
        <v>0</v>
      </c>
      <c r="P13" s="134">
        <v>0.45</v>
      </c>
      <c r="Q13" s="134">
        <v>1.5</v>
      </c>
    </row>
    <row r="14" spans="1:21" customFormat="1">
      <c r="A14" s="112" t="s">
        <v>1011</v>
      </c>
      <c r="B14" s="134">
        <v>11.74</v>
      </c>
      <c r="C14" s="134">
        <v>18.22</v>
      </c>
      <c r="D14" s="134">
        <v>17.89</v>
      </c>
      <c r="E14" s="134">
        <v>7.51</v>
      </c>
      <c r="F14" s="134">
        <v>3.12</v>
      </c>
      <c r="G14" s="134">
        <v>25.64</v>
      </c>
      <c r="H14" s="134">
        <v>7.76</v>
      </c>
      <c r="I14" s="134">
        <v>4.93</v>
      </c>
      <c r="J14" s="134">
        <v>0.36</v>
      </c>
      <c r="K14" s="134">
        <v>254.86</v>
      </c>
      <c r="L14" s="134">
        <v>25.97</v>
      </c>
      <c r="M14" s="134">
        <v>88.15</v>
      </c>
      <c r="N14" s="134">
        <v>0</v>
      </c>
      <c r="O14" s="134">
        <v>0</v>
      </c>
      <c r="P14" s="134">
        <v>0.42</v>
      </c>
      <c r="Q14" s="134">
        <v>1.46</v>
      </c>
    </row>
    <row r="15" spans="1:21" customFormat="1">
      <c r="A15" s="112" t="s">
        <v>1012</v>
      </c>
      <c r="B15" s="134">
        <v>11.55</v>
      </c>
      <c r="C15" s="134">
        <v>16.52</v>
      </c>
      <c r="D15" s="134">
        <v>16.850000000000001</v>
      </c>
      <c r="E15" s="134">
        <v>7.34</v>
      </c>
      <c r="F15" s="134">
        <v>4.75</v>
      </c>
      <c r="G15" s="134">
        <v>25.55</v>
      </c>
      <c r="H15" s="134">
        <v>7.71</v>
      </c>
      <c r="I15" s="134">
        <v>5.14</v>
      </c>
      <c r="J15" s="134">
        <v>0.36</v>
      </c>
      <c r="K15" s="134">
        <v>258.66000000000003</v>
      </c>
      <c r="L15" s="134">
        <v>25.91</v>
      </c>
      <c r="M15" s="134">
        <v>87.96</v>
      </c>
      <c r="N15" s="134">
        <v>0</v>
      </c>
      <c r="O15" s="134">
        <v>0</v>
      </c>
      <c r="P15" s="134">
        <v>0.41</v>
      </c>
      <c r="Q15" s="134">
        <v>1.43</v>
      </c>
    </row>
    <row r="16" spans="1:21" customFormat="1">
      <c r="A16" s="112" t="s">
        <v>1013</v>
      </c>
      <c r="B16" s="134">
        <v>12.08</v>
      </c>
      <c r="C16" s="134">
        <v>19.239999999999998</v>
      </c>
      <c r="D16" s="134">
        <v>18.690000000000001</v>
      </c>
      <c r="E16" s="134">
        <v>7.09</v>
      </c>
      <c r="F16" s="134">
        <v>2.4900000000000002</v>
      </c>
      <c r="G16" s="134">
        <v>23.79</v>
      </c>
      <c r="H16" s="134">
        <v>7.02</v>
      </c>
      <c r="I16" s="134">
        <v>4.91</v>
      </c>
      <c r="J16" s="134">
        <v>0.31</v>
      </c>
      <c r="K16" s="134">
        <v>261.52</v>
      </c>
      <c r="L16" s="134">
        <v>25.82</v>
      </c>
      <c r="M16" s="134">
        <v>88.3</v>
      </c>
      <c r="N16" s="134">
        <v>0</v>
      </c>
      <c r="O16" s="134">
        <v>0</v>
      </c>
      <c r="P16" s="134">
        <v>0.45</v>
      </c>
      <c r="Q16" s="134">
        <v>1.52</v>
      </c>
    </row>
    <row r="17" spans="1:17" customFormat="1">
      <c r="A17" s="112" t="s">
        <v>1014</v>
      </c>
      <c r="B17" s="134">
        <v>12.36</v>
      </c>
      <c r="C17" s="134">
        <v>20.55</v>
      </c>
      <c r="D17" s="134">
        <v>19.61</v>
      </c>
      <c r="E17" s="134">
        <v>6.9</v>
      </c>
      <c r="F17" s="134">
        <v>1.91</v>
      </c>
      <c r="G17" s="134">
        <v>23.79</v>
      </c>
      <c r="H17" s="134">
        <v>7.02</v>
      </c>
      <c r="I17" s="134">
        <v>4.78</v>
      </c>
      <c r="J17" s="134">
        <v>0.57999999999999996</v>
      </c>
      <c r="K17" s="134">
        <v>260.72000000000003</v>
      </c>
      <c r="L17" s="134">
        <v>25.85</v>
      </c>
      <c r="M17" s="134">
        <v>87.32</v>
      </c>
      <c r="N17" s="134">
        <v>0</v>
      </c>
      <c r="O17" s="134">
        <v>0</v>
      </c>
      <c r="P17" s="134">
        <v>0.45</v>
      </c>
      <c r="Q17" s="134">
        <v>1.58</v>
      </c>
    </row>
    <row r="18" spans="1:17" customFormat="1">
      <c r="A18" s="112" t="s">
        <v>1015</v>
      </c>
      <c r="B18" s="134">
        <v>12.13</v>
      </c>
      <c r="C18" s="134">
        <v>21.14</v>
      </c>
      <c r="D18" s="134">
        <v>19.73</v>
      </c>
      <c r="E18" s="134">
        <v>7.45</v>
      </c>
      <c r="F18" s="134">
        <v>2.41</v>
      </c>
      <c r="G18" s="134">
        <v>23.79</v>
      </c>
      <c r="H18" s="134">
        <v>7.02</v>
      </c>
      <c r="I18" s="134">
        <v>5.03</v>
      </c>
      <c r="J18" s="134">
        <v>0.57999999999999996</v>
      </c>
      <c r="K18" s="134">
        <v>262.95</v>
      </c>
      <c r="L18" s="134">
        <v>25.8</v>
      </c>
      <c r="M18" s="134">
        <v>87.32</v>
      </c>
      <c r="N18" s="134">
        <v>0</v>
      </c>
      <c r="O18" s="134">
        <v>0</v>
      </c>
      <c r="P18" s="134">
        <v>0.48</v>
      </c>
      <c r="Q18" s="134">
        <v>1.58</v>
      </c>
    </row>
    <row r="19" spans="1:17" customFormat="1">
      <c r="A19" s="112" t="s">
        <v>1016</v>
      </c>
      <c r="B19" s="134">
        <v>12.13</v>
      </c>
      <c r="C19" s="134">
        <v>21.17</v>
      </c>
      <c r="D19" s="134">
        <v>19.739999999999998</v>
      </c>
      <c r="E19" s="134">
        <v>7.53</v>
      </c>
      <c r="F19" s="134">
        <v>2.74</v>
      </c>
      <c r="G19" s="134">
        <v>23.79</v>
      </c>
      <c r="H19" s="134">
        <v>6.93</v>
      </c>
      <c r="I19" s="134">
        <v>5</v>
      </c>
      <c r="J19" s="134">
        <v>0.42</v>
      </c>
      <c r="K19" s="134">
        <v>260.44</v>
      </c>
      <c r="L19" s="134">
        <v>25.77</v>
      </c>
      <c r="M19" s="134">
        <v>87.39</v>
      </c>
      <c r="N19" s="134">
        <v>0</v>
      </c>
      <c r="O19" s="134">
        <v>0</v>
      </c>
      <c r="P19" s="134">
        <v>0.48</v>
      </c>
      <c r="Q19" s="134">
        <v>1.56</v>
      </c>
    </row>
    <row r="20" spans="1:17" customFormat="1">
      <c r="A20" s="112" t="s">
        <v>1017</v>
      </c>
      <c r="B20" s="134">
        <v>12.33</v>
      </c>
      <c r="C20" s="134">
        <v>17.84</v>
      </c>
      <c r="D20" s="134">
        <v>18.16</v>
      </c>
      <c r="E20" s="134">
        <v>6.81</v>
      </c>
      <c r="F20" s="134">
        <v>3.69</v>
      </c>
      <c r="G20" s="134">
        <v>23.74</v>
      </c>
      <c r="H20" s="134">
        <v>5.0199999999999996</v>
      </c>
      <c r="I20" s="134">
        <v>4.93</v>
      </c>
      <c r="J20" s="134">
        <v>0.61</v>
      </c>
      <c r="K20" s="134">
        <v>262.67</v>
      </c>
      <c r="L20" s="134">
        <v>25.76</v>
      </c>
      <c r="M20" s="134">
        <v>87.1</v>
      </c>
      <c r="N20" s="134">
        <v>0</v>
      </c>
      <c r="O20" s="134">
        <v>0</v>
      </c>
      <c r="P20" s="134">
        <v>0.42</v>
      </c>
      <c r="Q20" s="134">
        <v>1.51</v>
      </c>
    </row>
    <row r="21" spans="1:17" customFormat="1">
      <c r="A21" s="112" t="s">
        <v>1018</v>
      </c>
      <c r="B21" s="134">
        <v>12.27</v>
      </c>
      <c r="C21" s="134">
        <v>17.440000000000001</v>
      </c>
      <c r="D21" s="134">
        <v>17.91</v>
      </c>
      <c r="E21" s="134">
        <v>6.54</v>
      </c>
      <c r="F21" s="134">
        <v>3.37</v>
      </c>
      <c r="G21" s="134">
        <v>23.74</v>
      </c>
      <c r="H21" s="134">
        <v>5.0199999999999996</v>
      </c>
      <c r="I21" s="134">
        <v>4.76</v>
      </c>
      <c r="J21" s="134">
        <v>0.63</v>
      </c>
      <c r="K21" s="134">
        <v>265.39999999999998</v>
      </c>
      <c r="L21" s="134">
        <v>25.72</v>
      </c>
      <c r="M21" s="134">
        <v>86.73</v>
      </c>
      <c r="N21" s="134">
        <v>0</v>
      </c>
      <c r="O21" s="134">
        <v>0</v>
      </c>
      <c r="P21" s="134">
        <v>0.39</v>
      </c>
      <c r="Q21" s="134">
        <v>1.46</v>
      </c>
    </row>
    <row r="22" spans="1:17" customFormat="1">
      <c r="A22" s="112" t="s">
        <v>1019</v>
      </c>
      <c r="B22" s="134">
        <v>12.29</v>
      </c>
      <c r="C22" s="134">
        <v>17.260000000000002</v>
      </c>
      <c r="D22" s="134">
        <v>17.829999999999998</v>
      </c>
      <c r="E22" s="134">
        <v>6.53</v>
      </c>
      <c r="F22" s="134">
        <v>3.36</v>
      </c>
      <c r="G22" s="134">
        <v>23.74</v>
      </c>
      <c r="H22" s="134">
        <v>5.0199999999999996</v>
      </c>
      <c r="I22" s="134">
        <v>4.5599999999999996</v>
      </c>
      <c r="J22" s="134">
        <v>0.64</v>
      </c>
      <c r="K22" s="134">
        <v>262.02999999999997</v>
      </c>
      <c r="L22" s="134">
        <v>25.71</v>
      </c>
      <c r="M22" s="134">
        <v>86.75</v>
      </c>
      <c r="N22" s="134">
        <v>0</v>
      </c>
      <c r="O22" s="134">
        <v>0</v>
      </c>
      <c r="P22" s="134">
        <v>0.38</v>
      </c>
      <c r="Q22" s="134">
        <v>1.47</v>
      </c>
    </row>
    <row r="23" spans="1:17" customFormat="1">
      <c r="A23" s="112" t="s">
        <v>1020</v>
      </c>
      <c r="B23" s="134">
        <v>12.34</v>
      </c>
      <c r="C23" s="134">
        <v>19.239999999999998</v>
      </c>
      <c r="D23" s="134">
        <v>18.899999999999999</v>
      </c>
      <c r="E23" s="134">
        <v>6.81</v>
      </c>
      <c r="F23" s="134">
        <v>2.2599999999999998</v>
      </c>
      <c r="G23" s="134">
        <v>23.73</v>
      </c>
      <c r="H23" s="134">
        <v>5.0199999999999996</v>
      </c>
      <c r="I23" s="134">
        <v>4.51</v>
      </c>
      <c r="J23" s="134">
        <v>0.61</v>
      </c>
      <c r="K23" s="134">
        <v>262.45</v>
      </c>
      <c r="L23" s="134">
        <v>25.66</v>
      </c>
      <c r="M23" s="134">
        <v>87.01</v>
      </c>
      <c r="N23" s="134">
        <v>0</v>
      </c>
      <c r="O23" s="134">
        <v>0</v>
      </c>
      <c r="P23" s="134">
        <v>0.41</v>
      </c>
      <c r="Q23" s="134">
        <v>1.49</v>
      </c>
    </row>
    <row r="24" spans="1:17" customFormat="1">
      <c r="A24" s="112" t="s">
        <v>1021</v>
      </c>
      <c r="B24" s="134">
        <v>12.55</v>
      </c>
      <c r="C24" s="134">
        <v>20.190000000000001</v>
      </c>
      <c r="D24" s="134">
        <v>19.559999999999999</v>
      </c>
      <c r="E24" s="134">
        <v>7.39</v>
      </c>
      <c r="F24" s="134">
        <v>2.0499999999999998</v>
      </c>
      <c r="G24" s="134">
        <v>23.49</v>
      </c>
      <c r="H24" s="134">
        <v>4.93</v>
      </c>
      <c r="I24" s="134">
        <v>4.49</v>
      </c>
      <c r="J24" s="134">
        <v>0.56999999999999995</v>
      </c>
      <c r="K24" s="134">
        <v>263.91000000000003</v>
      </c>
      <c r="L24" s="134">
        <v>25.56</v>
      </c>
      <c r="M24" s="134">
        <v>87.4</v>
      </c>
      <c r="N24" s="134">
        <v>0</v>
      </c>
      <c r="O24" s="134">
        <v>0</v>
      </c>
      <c r="P24" s="134">
        <v>0.42</v>
      </c>
      <c r="Q24" s="134">
        <v>1.59</v>
      </c>
    </row>
    <row r="25" spans="1:17" customFormat="1">
      <c r="A25" s="112" t="s">
        <v>1022</v>
      </c>
      <c r="B25" s="134">
        <v>12.8</v>
      </c>
      <c r="C25" s="134">
        <v>18.329999999999998</v>
      </c>
      <c r="D25" s="134">
        <v>18.8</v>
      </c>
      <c r="E25" s="134">
        <v>7.34</v>
      </c>
      <c r="F25" s="134">
        <v>2.87</v>
      </c>
      <c r="G25" s="134">
        <v>23.49</v>
      </c>
      <c r="H25" s="134">
        <v>4.93</v>
      </c>
      <c r="I25" s="134">
        <v>4.55</v>
      </c>
      <c r="J25" s="134">
        <v>0.78</v>
      </c>
      <c r="K25" s="134">
        <v>265.64</v>
      </c>
      <c r="L25" s="134">
        <v>25.61</v>
      </c>
      <c r="M25" s="134">
        <v>86.78</v>
      </c>
      <c r="N25" s="134">
        <v>0</v>
      </c>
      <c r="O25" s="134">
        <v>0</v>
      </c>
      <c r="P25" s="134">
        <v>0.4</v>
      </c>
      <c r="Q25" s="134">
        <v>1.55</v>
      </c>
    </row>
    <row r="26" spans="1:17" customFormat="1">
      <c r="A26" s="112" t="s">
        <v>1023</v>
      </c>
      <c r="B26" s="134">
        <v>12.85</v>
      </c>
      <c r="C26" s="134">
        <v>18.91</v>
      </c>
      <c r="D26" s="134">
        <v>19.14</v>
      </c>
      <c r="E26" s="134">
        <v>7.44</v>
      </c>
      <c r="F26" s="134">
        <v>2.42</v>
      </c>
      <c r="G26" s="134">
        <v>23.49</v>
      </c>
      <c r="H26" s="134">
        <v>4.93</v>
      </c>
      <c r="I26" s="134">
        <v>4.5599999999999996</v>
      </c>
      <c r="J26" s="134">
        <v>0.56000000000000005</v>
      </c>
      <c r="K26" s="134">
        <v>263.10000000000002</v>
      </c>
      <c r="L26" s="134">
        <v>25.55</v>
      </c>
      <c r="M26" s="134">
        <v>87.02</v>
      </c>
      <c r="N26" s="134">
        <v>0</v>
      </c>
      <c r="O26" s="134">
        <v>0</v>
      </c>
      <c r="P26" s="134">
        <v>0.42</v>
      </c>
      <c r="Q26" s="134">
        <v>1.53</v>
      </c>
    </row>
    <row r="27" spans="1:17" customFormat="1">
      <c r="A27" s="112" t="s">
        <v>1024</v>
      </c>
      <c r="B27" s="134">
        <v>13.07</v>
      </c>
      <c r="C27" s="134">
        <v>20.54</v>
      </c>
      <c r="D27" s="134">
        <v>20.170000000000002</v>
      </c>
      <c r="E27" s="134">
        <v>7.5</v>
      </c>
      <c r="F27" s="134">
        <v>1.77</v>
      </c>
      <c r="G27" s="134">
        <v>23.5</v>
      </c>
      <c r="H27" s="134">
        <v>5.01</v>
      </c>
      <c r="I27" s="134">
        <v>4.4800000000000004</v>
      </c>
      <c r="J27" s="134">
        <v>0.51</v>
      </c>
      <c r="K27" s="134">
        <v>262.47000000000003</v>
      </c>
      <c r="L27" s="134">
        <v>25.49</v>
      </c>
      <c r="M27" s="134">
        <v>87.63</v>
      </c>
      <c r="N27" s="134">
        <v>0</v>
      </c>
      <c r="O27" s="134">
        <v>0</v>
      </c>
      <c r="P27" s="134">
        <v>0.44</v>
      </c>
      <c r="Q27" s="134">
        <v>1.59</v>
      </c>
    </row>
    <row r="28" spans="1:17" customFormat="1">
      <c r="A28" s="112" t="s">
        <v>1025</v>
      </c>
      <c r="B28" s="134">
        <v>13.35</v>
      </c>
      <c r="C28" s="134">
        <v>18.37</v>
      </c>
      <c r="D28" s="134">
        <v>19.260000000000002</v>
      </c>
      <c r="E28" s="134">
        <v>7.47</v>
      </c>
      <c r="F28" s="134">
        <v>2.83</v>
      </c>
      <c r="G28" s="134">
        <v>23.72</v>
      </c>
      <c r="H28" s="134">
        <v>6.21</v>
      </c>
      <c r="I28" s="134">
        <v>4.5</v>
      </c>
      <c r="J28" s="134">
        <v>0.61</v>
      </c>
      <c r="K28" s="134">
        <v>265.66000000000003</v>
      </c>
      <c r="L28" s="134">
        <v>25.56</v>
      </c>
      <c r="M28" s="134">
        <v>87.02</v>
      </c>
      <c r="N28" s="134">
        <v>0</v>
      </c>
      <c r="O28" s="134">
        <v>0</v>
      </c>
      <c r="P28" s="134">
        <v>0.42</v>
      </c>
      <c r="Q28" s="134">
        <v>1.6</v>
      </c>
    </row>
    <row r="29" spans="1:17" customFormat="1">
      <c r="A29" s="112" t="s">
        <v>1026</v>
      </c>
      <c r="B29" s="134">
        <v>13.34</v>
      </c>
      <c r="C29" s="134">
        <v>18.22</v>
      </c>
      <c r="D29" s="134">
        <v>19.170000000000002</v>
      </c>
      <c r="E29" s="134">
        <v>7.16</v>
      </c>
      <c r="F29" s="134">
        <v>2.87</v>
      </c>
      <c r="G29" s="134">
        <v>23.72</v>
      </c>
      <c r="H29" s="134">
        <v>6.21</v>
      </c>
      <c r="I29" s="134">
        <v>4.57</v>
      </c>
      <c r="J29" s="134">
        <v>0.65</v>
      </c>
      <c r="K29" s="134">
        <v>265.3</v>
      </c>
      <c r="L29" s="134">
        <v>25.58</v>
      </c>
      <c r="M29" s="134">
        <v>86.82</v>
      </c>
      <c r="N29" s="134">
        <v>0</v>
      </c>
      <c r="O29" s="134">
        <v>0</v>
      </c>
      <c r="P29" s="134">
        <v>0.41</v>
      </c>
      <c r="Q29" s="134">
        <v>1.55</v>
      </c>
    </row>
    <row r="30" spans="1:17" customFormat="1">
      <c r="A30" s="112" t="s">
        <v>1027</v>
      </c>
      <c r="B30" s="134">
        <v>13.6</v>
      </c>
      <c r="C30" s="134">
        <v>20.54</v>
      </c>
      <c r="D30" s="134">
        <v>20.59</v>
      </c>
      <c r="E30" s="134">
        <v>7.49</v>
      </c>
      <c r="F30" s="134">
        <v>1.53</v>
      </c>
      <c r="G30" s="134">
        <v>23.72</v>
      </c>
      <c r="H30" s="134">
        <v>6.21</v>
      </c>
      <c r="I30" s="134">
        <v>4.46</v>
      </c>
      <c r="J30" s="134">
        <v>0.72</v>
      </c>
      <c r="K30" s="134">
        <v>262.89999999999998</v>
      </c>
      <c r="L30" s="134">
        <v>25.55</v>
      </c>
      <c r="M30" s="134">
        <v>86.86</v>
      </c>
      <c r="N30" s="134">
        <v>0</v>
      </c>
      <c r="O30" s="134">
        <v>0</v>
      </c>
      <c r="P30" s="134">
        <v>0.45</v>
      </c>
      <c r="Q30" s="134">
        <v>1.63</v>
      </c>
    </row>
    <row r="31" spans="1:17" customFormat="1">
      <c r="A31" s="112" t="s">
        <v>1028</v>
      </c>
      <c r="B31" s="134">
        <v>13.89</v>
      </c>
      <c r="C31" s="134">
        <v>18.7</v>
      </c>
      <c r="D31" s="134">
        <v>19.86</v>
      </c>
      <c r="E31" s="134">
        <v>7.53</v>
      </c>
      <c r="F31" s="134">
        <v>2.74</v>
      </c>
      <c r="G31" s="134">
        <v>23.65</v>
      </c>
      <c r="H31" s="134">
        <v>6.32</v>
      </c>
      <c r="I31" s="134">
        <v>4.4400000000000004</v>
      </c>
      <c r="J31" s="134">
        <v>0.51</v>
      </c>
      <c r="K31" s="134">
        <v>260.45</v>
      </c>
      <c r="L31" s="134">
        <v>25.51</v>
      </c>
      <c r="M31" s="134">
        <v>87.31</v>
      </c>
      <c r="N31" s="134">
        <v>0</v>
      </c>
      <c r="O31" s="134">
        <v>0</v>
      </c>
      <c r="P31" s="134">
        <v>0.43</v>
      </c>
      <c r="Q31" s="134">
        <v>1.63</v>
      </c>
    </row>
    <row r="32" spans="1:17" customFormat="1">
      <c r="A32" s="112" t="s">
        <v>1029</v>
      </c>
      <c r="B32" s="134">
        <v>13.69</v>
      </c>
      <c r="C32" s="134">
        <v>17.71</v>
      </c>
      <c r="D32" s="134">
        <v>19.18</v>
      </c>
      <c r="E32" s="134">
        <v>7.17</v>
      </c>
      <c r="F32" s="134">
        <v>3.19</v>
      </c>
      <c r="G32" s="134">
        <v>22.23</v>
      </c>
      <c r="H32" s="134">
        <v>8.4600000000000009</v>
      </c>
      <c r="I32" s="134">
        <v>4.54</v>
      </c>
      <c r="J32" s="134">
        <v>0.61</v>
      </c>
      <c r="K32" s="134">
        <v>263.76</v>
      </c>
      <c r="L32" s="134">
        <v>25.46</v>
      </c>
      <c r="M32" s="134">
        <v>87.37</v>
      </c>
      <c r="N32" s="134">
        <v>1.2</v>
      </c>
      <c r="O32" s="134">
        <v>0</v>
      </c>
      <c r="P32" s="134">
        <v>0.42</v>
      </c>
      <c r="Q32" s="134">
        <v>1.64</v>
      </c>
    </row>
    <row r="33" spans="1:17" customFormat="1">
      <c r="A33" s="112" t="s">
        <v>1030</v>
      </c>
      <c r="B33" s="134">
        <v>14.14</v>
      </c>
      <c r="C33" s="134">
        <v>20.69</v>
      </c>
      <c r="D33" s="134">
        <v>21.1</v>
      </c>
      <c r="E33" s="134">
        <v>7.72</v>
      </c>
      <c r="F33" s="134">
        <v>1.72</v>
      </c>
      <c r="G33" s="134">
        <v>22.23</v>
      </c>
      <c r="H33" s="134">
        <v>8.4600000000000009</v>
      </c>
      <c r="I33" s="134">
        <v>4.45</v>
      </c>
      <c r="J33" s="134">
        <v>0.46</v>
      </c>
      <c r="K33" s="134">
        <v>262.69</v>
      </c>
      <c r="L33" s="134">
        <v>25.54</v>
      </c>
      <c r="M33" s="134">
        <v>87.13</v>
      </c>
      <c r="N33" s="134">
        <v>10</v>
      </c>
      <c r="O33" s="134">
        <v>0</v>
      </c>
      <c r="P33" s="134">
        <v>0.45</v>
      </c>
      <c r="Q33" s="134">
        <v>1.69</v>
      </c>
    </row>
    <row r="34" spans="1:17" customFormat="1">
      <c r="A34" s="112" t="s">
        <v>1031</v>
      </c>
      <c r="B34" s="134">
        <v>14.51</v>
      </c>
      <c r="C34" s="134">
        <v>19.100000000000001</v>
      </c>
      <c r="D34" s="134">
        <v>20.58</v>
      </c>
      <c r="E34" s="134">
        <v>7.35</v>
      </c>
      <c r="F34" s="134">
        <v>2.42</v>
      </c>
      <c r="G34" s="134">
        <v>22.23</v>
      </c>
      <c r="H34" s="134">
        <v>8.4600000000000009</v>
      </c>
      <c r="I34" s="134">
        <v>4.38</v>
      </c>
      <c r="J34" s="134">
        <v>0.53</v>
      </c>
      <c r="K34" s="134">
        <v>264.64</v>
      </c>
      <c r="L34" s="134">
        <v>25.58</v>
      </c>
      <c r="M34" s="134">
        <v>86.9</v>
      </c>
      <c r="N34" s="134">
        <v>19.399999999999999</v>
      </c>
      <c r="O34" s="134">
        <v>0</v>
      </c>
      <c r="P34" s="134">
        <v>0.44</v>
      </c>
      <c r="Q34" s="134">
        <v>1.68</v>
      </c>
    </row>
    <row r="35" spans="1:17" customFormat="1">
      <c r="A35" s="112" t="s">
        <v>1032</v>
      </c>
      <c r="B35" s="134">
        <v>14.64</v>
      </c>
      <c r="C35" s="134">
        <v>17.75</v>
      </c>
      <c r="D35" s="134">
        <v>19.97</v>
      </c>
      <c r="E35" s="134">
        <v>7.37</v>
      </c>
      <c r="F35" s="134">
        <v>2.73</v>
      </c>
      <c r="G35" s="134">
        <v>22.4</v>
      </c>
      <c r="H35" s="134">
        <v>8.43</v>
      </c>
      <c r="I35" s="134">
        <v>4.5599999999999996</v>
      </c>
      <c r="J35" s="134">
        <v>0.55000000000000004</v>
      </c>
      <c r="K35" s="134">
        <v>264.99</v>
      </c>
      <c r="L35" s="134">
        <v>25.7</v>
      </c>
      <c r="M35" s="134">
        <v>86.49</v>
      </c>
      <c r="N35" s="134">
        <v>35.1</v>
      </c>
      <c r="O35" s="134">
        <v>0</v>
      </c>
      <c r="P35" s="134">
        <v>0.44</v>
      </c>
      <c r="Q35" s="134">
        <v>1.62</v>
      </c>
    </row>
    <row r="36" spans="1:17" customFormat="1">
      <c r="A36" s="112" t="s">
        <v>1033</v>
      </c>
      <c r="B36" s="134">
        <v>14.83</v>
      </c>
      <c r="C36" s="134">
        <v>20.36</v>
      </c>
      <c r="D36" s="134">
        <v>21.49</v>
      </c>
      <c r="E36" s="134">
        <v>7.47</v>
      </c>
      <c r="F36" s="134">
        <v>1.61</v>
      </c>
      <c r="G36" s="134">
        <v>26.03</v>
      </c>
      <c r="H36" s="134">
        <v>8.0299999999999994</v>
      </c>
      <c r="I36" s="134">
        <v>4.51</v>
      </c>
      <c r="J36" s="134">
        <v>0.6</v>
      </c>
      <c r="K36" s="134">
        <v>261.7</v>
      </c>
      <c r="L36" s="134">
        <v>25.82</v>
      </c>
      <c r="M36" s="134">
        <v>86.72</v>
      </c>
      <c r="N36" s="134">
        <v>57.3</v>
      </c>
      <c r="O36" s="134">
        <v>0</v>
      </c>
      <c r="P36" s="134">
        <v>0.46</v>
      </c>
      <c r="Q36" s="134">
        <v>1.71</v>
      </c>
    </row>
    <row r="37" spans="1:17" customFormat="1">
      <c r="A37" s="112" t="s">
        <v>1034</v>
      </c>
      <c r="B37" s="134">
        <v>15.12</v>
      </c>
      <c r="C37" s="134">
        <v>19.46</v>
      </c>
      <c r="D37" s="134">
        <v>21.25</v>
      </c>
      <c r="E37" s="134">
        <v>7.59</v>
      </c>
      <c r="F37" s="134">
        <v>2.1800000000000002</v>
      </c>
      <c r="G37" s="134">
        <v>26.03</v>
      </c>
      <c r="H37" s="134">
        <v>8.0299999999999994</v>
      </c>
      <c r="I37" s="134">
        <v>4.54</v>
      </c>
      <c r="J37" s="134">
        <v>0.62</v>
      </c>
      <c r="K37" s="134">
        <v>262.26</v>
      </c>
      <c r="L37" s="134">
        <v>25.94</v>
      </c>
      <c r="M37" s="134">
        <v>86.4</v>
      </c>
      <c r="N37" s="134">
        <v>81.8</v>
      </c>
      <c r="O37" s="134">
        <v>0</v>
      </c>
      <c r="P37" s="134">
        <v>0.46</v>
      </c>
      <c r="Q37" s="134">
        <v>1.73</v>
      </c>
    </row>
    <row r="38" spans="1:17" customFormat="1">
      <c r="A38" s="112" t="s">
        <v>1035</v>
      </c>
      <c r="B38" s="134">
        <v>15.21</v>
      </c>
      <c r="C38" s="134">
        <v>18.72</v>
      </c>
      <c r="D38" s="134">
        <v>20.93</v>
      </c>
      <c r="E38" s="134">
        <v>7.53</v>
      </c>
      <c r="F38" s="134">
        <v>2.5</v>
      </c>
      <c r="G38" s="134">
        <v>26.03</v>
      </c>
      <c r="H38" s="134">
        <v>8.0299999999999994</v>
      </c>
      <c r="I38" s="134">
        <v>4.66</v>
      </c>
      <c r="J38" s="134">
        <v>0.42</v>
      </c>
      <c r="K38" s="134">
        <v>267.52</v>
      </c>
      <c r="L38" s="134">
        <v>26.18</v>
      </c>
      <c r="M38" s="134">
        <v>85.66</v>
      </c>
      <c r="N38" s="134">
        <v>105.4</v>
      </c>
      <c r="O38" s="134">
        <v>0</v>
      </c>
      <c r="P38" s="134">
        <v>0.48</v>
      </c>
      <c r="Q38" s="134">
        <v>1.71</v>
      </c>
    </row>
    <row r="39" spans="1:17" customFormat="1">
      <c r="A39" s="112" t="s">
        <v>1036</v>
      </c>
      <c r="B39" s="134">
        <v>14.75</v>
      </c>
      <c r="C39" s="134">
        <v>19.829999999999998</v>
      </c>
      <c r="D39" s="134">
        <v>21.15</v>
      </c>
      <c r="E39" s="134">
        <v>7.18</v>
      </c>
      <c r="F39" s="134">
        <v>2.58</v>
      </c>
      <c r="G39" s="134">
        <v>26.04</v>
      </c>
      <c r="H39" s="134">
        <v>8</v>
      </c>
      <c r="I39" s="134">
        <v>4.6500000000000004</v>
      </c>
      <c r="J39" s="134">
        <v>0.65</v>
      </c>
      <c r="K39" s="134">
        <v>269.64</v>
      </c>
      <c r="L39" s="134">
        <v>26.46</v>
      </c>
      <c r="M39" s="134">
        <v>84.33</v>
      </c>
      <c r="N39" s="134">
        <v>123.3</v>
      </c>
      <c r="O39" s="134">
        <v>0</v>
      </c>
      <c r="P39" s="134">
        <v>0.53</v>
      </c>
      <c r="Q39" s="134">
        <v>1.71</v>
      </c>
    </row>
    <row r="40" spans="1:17" customFormat="1">
      <c r="A40" s="112" t="s">
        <v>1037</v>
      </c>
      <c r="B40" s="134">
        <v>14.76</v>
      </c>
      <c r="C40" s="134">
        <v>19.8</v>
      </c>
      <c r="D40" s="134">
        <v>21.14</v>
      </c>
      <c r="E40" s="134">
        <v>7.01</v>
      </c>
      <c r="F40" s="134">
        <v>2.8</v>
      </c>
      <c r="G40" s="134">
        <v>26.25</v>
      </c>
      <c r="H40" s="134">
        <v>7.65</v>
      </c>
      <c r="I40" s="134">
        <v>4.6900000000000004</v>
      </c>
      <c r="J40" s="134">
        <v>0.64</v>
      </c>
      <c r="K40" s="134">
        <v>263.52</v>
      </c>
      <c r="L40" s="134">
        <v>26.69</v>
      </c>
      <c r="M40" s="134">
        <v>83.47</v>
      </c>
      <c r="N40" s="134">
        <v>155.19999999999999</v>
      </c>
      <c r="O40" s="134">
        <v>0</v>
      </c>
      <c r="P40" s="134">
        <v>0.53</v>
      </c>
      <c r="Q40" s="134">
        <v>1.72</v>
      </c>
    </row>
    <row r="41" spans="1:17" customFormat="1">
      <c r="A41" s="112" t="s">
        <v>1038</v>
      </c>
      <c r="B41" s="134">
        <v>15.02</v>
      </c>
      <c r="C41" s="134">
        <v>18.03</v>
      </c>
      <c r="D41" s="134">
        <v>20.420000000000002</v>
      </c>
      <c r="E41" s="134">
        <v>6.51</v>
      </c>
      <c r="F41" s="134">
        <v>3.02</v>
      </c>
      <c r="G41" s="134">
        <v>26.25</v>
      </c>
      <c r="H41" s="134">
        <v>7.65</v>
      </c>
      <c r="I41" s="134">
        <v>4.75</v>
      </c>
      <c r="J41" s="134">
        <v>1.1000000000000001</v>
      </c>
      <c r="K41" s="134">
        <v>265.56</v>
      </c>
      <c r="L41" s="134">
        <v>27.4</v>
      </c>
      <c r="M41" s="134">
        <v>79.97</v>
      </c>
      <c r="N41" s="134">
        <v>252.6</v>
      </c>
      <c r="O41" s="134">
        <v>0</v>
      </c>
      <c r="P41" s="134">
        <v>0.5</v>
      </c>
      <c r="Q41" s="134">
        <v>1.68</v>
      </c>
    </row>
    <row r="42" spans="1:17" customFormat="1">
      <c r="A42" s="112" t="s">
        <v>1039</v>
      </c>
      <c r="B42" s="134">
        <v>15</v>
      </c>
      <c r="C42" s="134">
        <v>17.97</v>
      </c>
      <c r="D42" s="134">
        <v>20.38</v>
      </c>
      <c r="E42" s="134">
        <v>6.72</v>
      </c>
      <c r="F42" s="134">
        <v>2.8</v>
      </c>
      <c r="G42" s="134">
        <v>26.25</v>
      </c>
      <c r="H42" s="134">
        <v>7.65</v>
      </c>
      <c r="I42" s="134">
        <v>4.7699999999999996</v>
      </c>
      <c r="J42" s="134">
        <v>0.94</v>
      </c>
      <c r="K42" s="134">
        <v>279.92</v>
      </c>
      <c r="L42" s="134">
        <v>28.09</v>
      </c>
      <c r="M42" s="134">
        <v>77.63</v>
      </c>
      <c r="N42" s="134">
        <v>256.3</v>
      </c>
      <c r="O42" s="134">
        <v>0</v>
      </c>
      <c r="P42" s="134">
        <v>0.5</v>
      </c>
      <c r="Q42" s="134">
        <v>1.64</v>
      </c>
    </row>
    <row r="43" spans="1:17" customFormat="1">
      <c r="A43" s="112" t="s">
        <v>1040</v>
      </c>
      <c r="B43" s="134">
        <v>15.08</v>
      </c>
      <c r="C43" s="134">
        <v>18.25</v>
      </c>
      <c r="D43" s="134">
        <v>20.58</v>
      </c>
      <c r="E43" s="134">
        <v>6.39</v>
      </c>
      <c r="F43" s="134">
        <v>2.7</v>
      </c>
      <c r="G43" s="134">
        <v>26.34</v>
      </c>
      <c r="H43" s="134">
        <v>7.72</v>
      </c>
      <c r="I43" s="134">
        <v>4.87</v>
      </c>
      <c r="J43" s="134">
        <v>0.91</v>
      </c>
      <c r="K43" s="134">
        <v>267.62</v>
      </c>
      <c r="L43" s="134">
        <v>28.19</v>
      </c>
      <c r="M43" s="134">
        <v>77.25</v>
      </c>
      <c r="N43" s="134">
        <v>250.7</v>
      </c>
      <c r="O43" s="134">
        <v>0</v>
      </c>
      <c r="P43" s="134">
        <v>0.51</v>
      </c>
      <c r="Q43" s="134">
        <v>1.64</v>
      </c>
    </row>
    <row r="44" spans="1:17" customFormat="1">
      <c r="A44" s="112" t="s">
        <v>1041</v>
      </c>
      <c r="B44" s="134">
        <v>15.12</v>
      </c>
      <c r="C44" s="134">
        <v>18.170000000000002</v>
      </c>
      <c r="D44" s="134">
        <v>20.57</v>
      </c>
      <c r="E44" s="134">
        <v>6.78</v>
      </c>
      <c r="F44" s="134">
        <v>2.8</v>
      </c>
      <c r="G44" s="134">
        <v>27.76</v>
      </c>
      <c r="H44" s="134">
        <v>8.8800000000000008</v>
      </c>
      <c r="I44" s="134">
        <v>5.12</v>
      </c>
      <c r="J44" s="134">
        <v>0.89</v>
      </c>
      <c r="K44" s="134">
        <v>268.66000000000003</v>
      </c>
      <c r="L44" s="134">
        <v>28.38</v>
      </c>
      <c r="M44" s="134">
        <v>76.14</v>
      </c>
      <c r="N44" s="134">
        <v>259.89999999999998</v>
      </c>
      <c r="O44" s="134">
        <v>0</v>
      </c>
      <c r="P44" s="134">
        <v>0.5</v>
      </c>
      <c r="Q44" s="134">
        <v>1.65</v>
      </c>
    </row>
    <row r="45" spans="1:17" customFormat="1">
      <c r="A45" s="112" t="s">
        <v>1042</v>
      </c>
      <c r="B45" s="134">
        <v>15.09</v>
      </c>
      <c r="C45" s="134">
        <v>18.100000000000001</v>
      </c>
      <c r="D45" s="134">
        <v>20.51</v>
      </c>
      <c r="E45" s="134">
        <v>7.05</v>
      </c>
      <c r="F45" s="134">
        <v>2.99</v>
      </c>
      <c r="G45" s="134">
        <v>27.76</v>
      </c>
      <c r="H45" s="134">
        <v>8.8800000000000008</v>
      </c>
      <c r="I45" s="134">
        <v>5.37</v>
      </c>
      <c r="J45" s="134">
        <v>0.83</v>
      </c>
      <c r="K45" s="134">
        <v>275.39999999999998</v>
      </c>
      <c r="L45" s="134">
        <v>28.55</v>
      </c>
      <c r="M45" s="134">
        <v>75.17</v>
      </c>
      <c r="N45" s="134">
        <v>302.89999999999998</v>
      </c>
      <c r="O45" s="134">
        <v>0</v>
      </c>
      <c r="P45" s="134">
        <v>0.5</v>
      </c>
      <c r="Q45" s="134">
        <v>1.64</v>
      </c>
    </row>
    <row r="46" spans="1:17" customFormat="1">
      <c r="A46" s="112" t="s">
        <v>1043</v>
      </c>
      <c r="B46" s="134">
        <v>15</v>
      </c>
      <c r="C46" s="134">
        <v>18.72</v>
      </c>
      <c r="D46" s="134">
        <v>20.76</v>
      </c>
      <c r="E46" s="134">
        <v>6.85</v>
      </c>
      <c r="F46" s="134">
        <v>2.67</v>
      </c>
      <c r="G46" s="134">
        <v>27.76</v>
      </c>
      <c r="H46" s="134">
        <v>8.8800000000000008</v>
      </c>
      <c r="I46" s="134">
        <v>5.57</v>
      </c>
      <c r="J46" s="134">
        <v>1.08</v>
      </c>
      <c r="K46" s="134">
        <v>263.58999999999997</v>
      </c>
      <c r="L46" s="134">
        <v>28.82</v>
      </c>
      <c r="M46" s="134">
        <v>74.069999999999993</v>
      </c>
      <c r="N46" s="134">
        <v>325</v>
      </c>
      <c r="O46" s="134">
        <v>0</v>
      </c>
      <c r="P46" s="134">
        <v>0.52</v>
      </c>
      <c r="Q46" s="134">
        <v>1.64</v>
      </c>
    </row>
    <row r="47" spans="1:17" customFormat="1">
      <c r="A47" s="112" t="s">
        <v>1044</v>
      </c>
      <c r="B47" s="134">
        <v>14.79</v>
      </c>
      <c r="C47" s="134">
        <v>20.49</v>
      </c>
      <c r="D47" s="134">
        <v>21.52</v>
      </c>
      <c r="E47" s="134">
        <v>7.41</v>
      </c>
      <c r="F47" s="134">
        <v>2.13</v>
      </c>
      <c r="G47" s="134">
        <v>28.02</v>
      </c>
      <c r="H47" s="134">
        <v>8.99</v>
      </c>
      <c r="I47" s="134">
        <v>5.75</v>
      </c>
      <c r="J47" s="134">
        <v>0.99</v>
      </c>
      <c r="K47" s="134">
        <v>272.49</v>
      </c>
      <c r="L47" s="134">
        <v>29.08</v>
      </c>
      <c r="M47" s="134">
        <v>73.05</v>
      </c>
      <c r="N47" s="134">
        <v>353.2</v>
      </c>
      <c r="O47" s="134">
        <v>0</v>
      </c>
      <c r="P47" s="134">
        <v>0.54</v>
      </c>
      <c r="Q47" s="134">
        <v>1.7</v>
      </c>
    </row>
    <row r="48" spans="1:17" customFormat="1">
      <c r="A48" s="112" t="s">
        <v>1045</v>
      </c>
      <c r="B48" s="134">
        <v>14.65</v>
      </c>
      <c r="C48" s="134">
        <v>19.489999999999998</v>
      </c>
      <c r="D48" s="134">
        <v>20.88</v>
      </c>
      <c r="E48" s="134">
        <v>7.27</v>
      </c>
      <c r="F48" s="134">
        <v>2.91</v>
      </c>
      <c r="G48" s="134">
        <v>33.42</v>
      </c>
      <c r="H48" s="134">
        <v>10.8</v>
      </c>
      <c r="I48" s="134">
        <v>5.82</v>
      </c>
      <c r="J48" s="134">
        <v>0.82</v>
      </c>
      <c r="K48" s="134">
        <v>262.87</v>
      </c>
      <c r="L48" s="134">
        <v>29.46</v>
      </c>
      <c r="M48" s="134">
        <v>71.56</v>
      </c>
      <c r="N48" s="134">
        <v>384.8</v>
      </c>
      <c r="O48" s="134">
        <v>0</v>
      </c>
      <c r="P48" s="134">
        <v>0.54</v>
      </c>
      <c r="Q48" s="134">
        <v>1.7</v>
      </c>
    </row>
    <row r="49" spans="1:17" customFormat="1">
      <c r="A49" s="112" t="s">
        <v>1046</v>
      </c>
      <c r="B49" s="134">
        <v>14.45</v>
      </c>
      <c r="C49" s="134">
        <v>18.89</v>
      </c>
      <c r="D49" s="134">
        <v>20.41</v>
      </c>
      <c r="E49" s="134">
        <v>5.72</v>
      </c>
      <c r="F49" s="134">
        <v>3.24</v>
      </c>
      <c r="G49" s="134">
        <v>33.42</v>
      </c>
      <c r="H49" s="134">
        <v>10.8</v>
      </c>
      <c r="I49" s="134">
        <v>5.89</v>
      </c>
      <c r="J49" s="134">
        <v>1.03</v>
      </c>
      <c r="K49" s="134">
        <v>265.82</v>
      </c>
      <c r="L49" s="134">
        <v>29.43</v>
      </c>
      <c r="M49" s="134">
        <v>71.06</v>
      </c>
      <c r="N49" s="134">
        <v>403.7</v>
      </c>
      <c r="O49" s="134">
        <v>0</v>
      </c>
      <c r="P49" s="134">
        <v>0.52</v>
      </c>
      <c r="Q49" s="134">
        <v>1.64</v>
      </c>
    </row>
    <row r="50" spans="1:17" customFormat="1">
      <c r="A50" s="112" t="s">
        <v>1047</v>
      </c>
      <c r="B50" s="134">
        <v>14.1</v>
      </c>
      <c r="C50" s="134">
        <v>18.899999999999999</v>
      </c>
      <c r="D50" s="134">
        <v>20.14</v>
      </c>
      <c r="E50" s="134">
        <v>6.96</v>
      </c>
      <c r="F50" s="134">
        <v>3.28</v>
      </c>
      <c r="G50" s="134">
        <v>33.42</v>
      </c>
      <c r="H50" s="134">
        <v>10.8</v>
      </c>
      <c r="I50" s="134">
        <v>5.83</v>
      </c>
      <c r="J50" s="134">
        <v>0.89</v>
      </c>
      <c r="K50" s="134">
        <v>267.02999999999997</v>
      </c>
      <c r="L50" s="134">
        <v>29.57</v>
      </c>
      <c r="M50" s="134">
        <v>70.52</v>
      </c>
      <c r="N50" s="134">
        <v>349.9</v>
      </c>
      <c r="O50" s="134">
        <v>0</v>
      </c>
      <c r="P50" s="134">
        <v>0.52</v>
      </c>
      <c r="Q50" s="134">
        <v>1.62</v>
      </c>
    </row>
    <row r="51" spans="1:17" customFormat="1">
      <c r="A51" s="112" t="s">
        <v>1048</v>
      </c>
      <c r="B51" s="134">
        <v>13.72</v>
      </c>
      <c r="C51" s="134">
        <v>18.690000000000001</v>
      </c>
      <c r="D51" s="134">
        <v>19.72</v>
      </c>
      <c r="E51" s="134">
        <v>7.11</v>
      </c>
      <c r="F51" s="134">
        <v>3.94</v>
      </c>
      <c r="G51" s="134">
        <v>33.590000000000003</v>
      </c>
      <c r="H51" s="134">
        <v>10.76</v>
      </c>
      <c r="I51" s="134">
        <v>5.8</v>
      </c>
      <c r="J51" s="134">
        <v>0.8</v>
      </c>
      <c r="K51" s="134">
        <v>304.92</v>
      </c>
      <c r="L51" s="134">
        <v>29.7</v>
      </c>
      <c r="M51" s="134">
        <v>69.12</v>
      </c>
      <c r="N51" s="134">
        <v>379</v>
      </c>
      <c r="O51" s="134">
        <v>0</v>
      </c>
      <c r="P51" s="134">
        <v>0.51</v>
      </c>
      <c r="Q51" s="134">
        <v>1.57</v>
      </c>
    </row>
    <row r="52" spans="1:17" customFormat="1">
      <c r="A52" s="112" t="s">
        <v>1049</v>
      </c>
      <c r="B52" s="134">
        <v>13.8</v>
      </c>
      <c r="C52" s="134">
        <v>18.53</v>
      </c>
      <c r="D52" s="134">
        <v>19.7</v>
      </c>
      <c r="E52" s="134">
        <v>7.61</v>
      </c>
      <c r="F52" s="134">
        <v>4.6100000000000003</v>
      </c>
      <c r="G52" s="134">
        <v>36.450000000000003</v>
      </c>
      <c r="H52" s="134">
        <v>10.039999999999999</v>
      </c>
      <c r="I52" s="134">
        <v>5.72</v>
      </c>
      <c r="J52" s="134">
        <v>0.79</v>
      </c>
      <c r="K52" s="134">
        <v>293.95</v>
      </c>
      <c r="L52" s="134">
        <v>29.77</v>
      </c>
      <c r="M52" s="134">
        <v>67.760000000000005</v>
      </c>
      <c r="N52" s="134">
        <v>440.6</v>
      </c>
      <c r="O52" s="134">
        <v>0</v>
      </c>
      <c r="P52" s="134">
        <v>0.5</v>
      </c>
      <c r="Q52" s="134">
        <v>1.58</v>
      </c>
    </row>
    <row r="53" spans="1:17" customFormat="1">
      <c r="A53" s="112" t="s">
        <v>1050</v>
      </c>
      <c r="B53" s="134">
        <v>11.34</v>
      </c>
      <c r="C53" s="134">
        <v>18.68</v>
      </c>
      <c r="D53" s="134">
        <v>17.809999999999999</v>
      </c>
      <c r="E53" s="134">
        <v>7.41</v>
      </c>
      <c r="F53" s="134">
        <v>10.15</v>
      </c>
      <c r="G53" s="134">
        <v>36.450000000000003</v>
      </c>
      <c r="H53" s="134">
        <v>10.039999999999999</v>
      </c>
      <c r="I53" s="134">
        <v>5.55</v>
      </c>
      <c r="J53" s="134">
        <v>1.01</v>
      </c>
      <c r="K53" s="134">
        <v>279.07</v>
      </c>
      <c r="L53" s="134">
        <v>29.94</v>
      </c>
      <c r="M53" s="134">
        <v>67.819999999999993</v>
      </c>
      <c r="N53" s="134">
        <v>476.1</v>
      </c>
      <c r="O53" s="134">
        <v>0</v>
      </c>
      <c r="P53" s="134">
        <v>0.45</v>
      </c>
      <c r="Q53" s="134">
        <v>1.53</v>
      </c>
    </row>
    <row r="54" spans="1:17" customFormat="1">
      <c r="A54" s="112" t="s">
        <v>1051</v>
      </c>
      <c r="B54" s="134">
        <v>8.48</v>
      </c>
      <c r="C54" s="134">
        <v>17.73</v>
      </c>
      <c r="D54" s="134">
        <v>15.02</v>
      </c>
      <c r="E54" s="134">
        <v>7.75</v>
      </c>
      <c r="F54" s="134">
        <v>13.01</v>
      </c>
      <c r="G54" s="134">
        <v>36.450000000000003</v>
      </c>
      <c r="H54" s="134">
        <v>10.039999999999999</v>
      </c>
      <c r="I54" s="134">
        <v>5.23</v>
      </c>
      <c r="J54" s="134">
        <v>1.1000000000000001</v>
      </c>
      <c r="K54" s="134">
        <v>273.89999999999998</v>
      </c>
      <c r="L54" s="134">
        <v>30.41</v>
      </c>
      <c r="M54" s="134">
        <v>66.27</v>
      </c>
      <c r="N54" s="134">
        <v>655.6</v>
      </c>
      <c r="O54" s="134">
        <v>0</v>
      </c>
      <c r="P54" s="134">
        <v>0.42</v>
      </c>
      <c r="Q54" s="134">
        <v>1.42</v>
      </c>
    </row>
    <row r="55" spans="1:17" customFormat="1">
      <c r="A55" s="112" t="s">
        <v>1052</v>
      </c>
      <c r="B55" s="134">
        <v>4.22</v>
      </c>
      <c r="C55" s="134">
        <v>14.33</v>
      </c>
      <c r="D55" s="134">
        <v>9.83</v>
      </c>
      <c r="E55" s="134">
        <v>7.29</v>
      </c>
      <c r="F55" s="134">
        <v>22.99</v>
      </c>
      <c r="G55" s="134">
        <v>36.6</v>
      </c>
      <c r="H55" s="134">
        <v>10.1</v>
      </c>
      <c r="I55" s="134">
        <v>4.43</v>
      </c>
      <c r="J55" s="134">
        <v>1.17</v>
      </c>
      <c r="K55" s="134">
        <v>266.37</v>
      </c>
      <c r="L55" s="134">
        <v>30.72</v>
      </c>
      <c r="M55" s="134">
        <v>64.62</v>
      </c>
      <c r="N55" s="134">
        <v>706</v>
      </c>
      <c r="O55" s="134">
        <v>0</v>
      </c>
      <c r="P55" s="134">
        <v>0.3</v>
      </c>
      <c r="Q55" s="134">
        <v>1.0900000000000001</v>
      </c>
    </row>
    <row r="56" spans="1:17" customFormat="1">
      <c r="A56" s="112" t="s">
        <v>1053</v>
      </c>
      <c r="B56" s="134">
        <v>1.92</v>
      </c>
      <c r="C56" s="134">
        <v>12.81</v>
      </c>
      <c r="D56" s="134">
        <v>7.19</v>
      </c>
      <c r="E56" s="134">
        <v>6.9</v>
      </c>
      <c r="F56" s="134">
        <v>19.53</v>
      </c>
      <c r="G56" s="134">
        <v>39.86</v>
      </c>
      <c r="H56" s="134">
        <v>10.97</v>
      </c>
      <c r="I56" s="134">
        <v>3.5</v>
      </c>
      <c r="J56" s="134">
        <v>0.91</v>
      </c>
      <c r="K56" s="134">
        <v>274.2</v>
      </c>
      <c r="L56" s="134">
        <v>31.36</v>
      </c>
      <c r="M56" s="134">
        <v>64.12</v>
      </c>
      <c r="N56" s="134">
        <v>776.3</v>
      </c>
      <c r="O56" s="134">
        <v>0</v>
      </c>
      <c r="P56" s="134">
        <v>0.27</v>
      </c>
      <c r="Q56" s="134">
        <v>0.79</v>
      </c>
    </row>
    <row r="57" spans="1:17" customFormat="1">
      <c r="A57" s="112" t="s">
        <v>1054</v>
      </c>
      <c r="B57" s="134">
        <v>3.01</v>
      </c>
      <c r="C57" s="134">
        <v>11.97</v>
      </c>
      <c r="D57" s="134">
        <v>7.62</v>
      </c>
      <c r="E57" s="134">
        <v>7.44</v>
      </c>
      <c r="F57" s="134">
        <v>18.73</v>
      </c>
      <c r="G57" s="134">
        <v>39.86</v>
      </c>
      <c r="H57" s="134">
        <v>10.97</v>
      </c>
      <c r="I57" s="134">
        <v>2.02</v>
      </c>
      <c r="J57" s="134">
        <v>0.9</v>
      </c>
      <c r="K57" s="134">
        <v>289.11</v>
      </c>
      <c r="L57" s="134">
        <v>31.04</v>
      </c>
      <c r="M57" s="134">
        <v>63.98</v>
      </c>
      <c r="N57" s="134">
        <v>433.2</v>
      </c>
      <c r="O57" s="134">
        <v>0</v>
      </c>
      <c r="P57" s="134">
        <v>0.28000000000000003</v>
      </c>
      <c r="Q57" s="134">
        <v>0.69</v>
      </c>
    </row>
    <row r="58" spans="1:17" customFormat="1">
      <c r="A58" s="112" t="s">
        <v>1055</v>
      </c>
      <c r="B58" s="134">
        <v>2.57</v>
      </c>
      <c r="C58" s="134">
        <v>13.93</v>
      </c>
      <c r="D58" s="134">
        <v>8.3000000000000007</v>
      </c>
      <c r="E58" s="134">
        <v>7.44</v>
      </c>
      <c r="F58" s="134">
        <v>15</v>
      </c>
      <c r="G58" s="134">
        <v>39.86</v>
      </c>
      <c r="H58" s="134">
        <v>10.97</v>
      </c>
      <c r="I58" s="134">
        <v>1.36</v>
      </c>
      <c r="J58" s="134">
        <v>0.79</v>
      </c>
      <c r="K58" s="134">
        <v>281.45</v>
      </c>
      <c r="L58" s="134">
        <v>30.79</v>
      </c>
      <c r="M58" s="134">
        <v>64.290000000000006</v>
      </c>
      <c r="N58" s="134">
        <v>426.3</v>
      </c>
      <c r="O58" s="134">
        <v>0</v>
      </c>
      <c r="P58" s="134">
        <v>0.28000000000000003</v>
      </c>
      <c r="Q58" s="134">
        <v>0.7</v>
      </c>
    </row>
    <row r="59" spans="1:17" customFormat="1">
      <c r="A59" s="112" t="s">
        <v>1056</v>
      </c>
      <c r="B59" s="134">
        <v>1.92</v>
      </c>
      <c r="C59" s="134">
        <v>16.04</v>
      </c>
      <c r="D59" s="134">
        <v>8.8800000000000008</v>
      </c>
      <c r="E59" s="134">
        <v>6.17</v>
      </c>
      <c r="F59" s="134">
        <v>8.85</v>
      </c>
      <c r="G59" s="134">
        <v>39.9</v>
      </c>
      <c r="H59" s="134">
        <v>11.04</v>
      </c>
      <c r="I59" s="134">
        <v>1.46</v>
      </c>
      <c r="J59" s="134">
        <v>0.78</v>
      </c>
      <c r="K59" s="134">
        <v>265.89</v>
      </c>
      <c r="L59" s="134">
        <v>30.46</v>
      </c>
      <c r="M59" s="134">
        <v>65.78</v>
      </c>
      <c r="N59" s="134">
        <v>261.60000000000002</v>
      </c>
      <c r="O59" s="134">
        <v>0</v>
      </c>
      <c r="P59" s="134">
        <v>0.32</v>
      </c>
      <c r="Q59" s="134">
        <v>0.74</v>
      </c>
    </row>
    <row r="60" spans="1:17" customFormat="1">
      <c r="A60" s="112" t="s">
        <v>1057</v>
      </c>
      <c r="B60" s="134">
        <v>1.85</v>
      </c>
      <c r="C60" s="134">
        <v>17.96</v>
      </c>
      <c r="D60" s="134">
        <v>9.82</v>
      </c>
      <c r="E60" s="134">
        <v>6.05</v>
      </c>
      <c r="F60" s="134">
        <v>7.46</v>
      </c>
      <c r="G60" s="134">
        <v>40.840000000000003</v>
      </c>
      <c r="H60" s="134">
        <v>12.26</v>
      </c>
      <c r="I60" s="134">
        <v>1.7</v>
      </c>
      <c r="J60" s="134">
        <v>0.63</v>
      </c>
      <c r="K60" s="134">
        <v>268.52</v>
      </c>
      <c r="L60" s="134">
        <v>30.39</v>
      </c>
      <c r="M60" s="134">
        <v>66.680000000000007</v>
      </c>
      <c r="N60" s="134">
        <v>291.10000000000002</v>
      </c>
      <c r="O60" s="134">
        <v>0</v>
      </c>
      <c r="P60" s="134">
        <v>0.38</v>
      </c>
      <c r="Q60" s="134">
        <v>0.9</v>
      </c>
    </row>
    <row r="61" spans="1:17" customFormat="1">
      <c r="A61" s="112" t="s">
        <v>1058</v>
      </c>
      <c r="B61" s="134">
        <v>2.0299999999999998</v>
      </c>
      <c r="C61" s="134">
        <v>17.88</v>
      </c>
      <c r="D61" s="134">
        <v>9.92</v>
      </c>
      <c r="E61" s="134">
        <v>5.33</v>
      </c>
      <c r="F61" s="134">
        <v>5.69</v>
      </c>
      <c r="G61" s="134">
        <v>40.840000000000003</v>
      </c>
      <c r="H61" s="134">
        <v>12.26</v>
      </c>
      <c r="I61" s="134">
        <v>2.17</v>
      </c>
      <c r="J61" s="134">
        <v>0.48</v>
      </c>
      <c r="K61" s="134">
        <v>261.73</v>
      </c>
      <c r="L61" s="134">
        <v>30.35</v>
      </c>
      <c r="M61" s="134">
        <v>69.650000000000006</v>
      </c>
      <c r="N61" s="134">
        <v>210.5</v>
      </c>
      <c r="O61" s="134">
        <v>0</v>
      </c>
      <c r="P61" s="134">
        <v>0.37</v>
      </c>
      <c r="Q61" s="134">
        <v>0.92</v>
      </c>
    </row>
    <row r="62" spans="1:17" customFormat="1">
      <c r="A62" s="112" t="s">
        <v>1059</v>
      </c>
      <c r="B62" s="134">
        <v>2.35</v>
      </c>
      <c r="C62" s="134">
        <v>16.88</v>
      </c>
      <c r="D62" s="134">
        <v>9.66</v>
      </c>
      <c r="E62" s="134">
        <v>5.05</v>
      </c>
      <c r="F62" s="134">
        <v>5.21</v>
      </c>
      <c r="G62" s="134">
        <v>40.840000000000003</v>
      </c>
      <c r="H62" s="134">
        <v>12.26</v>
      </c>
      <c r="I62" s="134">
        <v>2.37</v>
      </c>
      <c r="J62" s="134">
        <v>0.57999999999999996</v>
      </c>
      <c r="K62" s="134">
        <v>255.06</v>
      </c>
      <c r="L62" s="134">
        <v>30.09</v>
      </c>
      <c r="M62" s="134">
        <v>70.94</v>
      </c>
      <c r="N62" s="134">
        <v>192.6</v>
      </c>
      <c r="O62" s="134">
        <v>0</v>
      </c>
      <c r="P62" s="134">
        <v>0.35</v>
      </c>
      <c r="Q62" s="134">
        <v>0.88</v>
      </c>
    </row>
    <row r="63" spans="1:17" customFormat="1">
      <c r="A63" s="112" t="s">
        <v>1060</v>
      </c>
      <c r="B63" s="134">
        <v>2.75</v>
      </c>
      <c r="C63" s="134">
        <v>15.03</v>
      </c>
      <c r="D63" s="134">
        <v>9.01</v>
      </c>
      <c r="E63" s="134">
        <v>7.32</v>
      </c>
      <c r="F63" s="134">
        <v>11.48</v>
      </c>
      <c r="G63" s="151" t="s">
        <v>12</v>
      </c>
      <c r="H63" s="151" t="s">
        <v>12</v>
      </c>
      <c r="I63" s="134">
        <v>2.27</v>
      </c>
      <c r="J63" s="134">
        <v>0.5</v>
      </c>
      <c r="K63" s="134">
        <v>260.55</v>
      </c>
      <c r="L63" s="134">
        <v>30.34</v>
      </c>
      <c r="M63" s="134">
        <v>70.13</v>
      </c>
      <c r="N63" s="134">
        <v>371.9</v>
      </c>
      <c r="O63" s="134">
        <v>0</v>
      </c>
      <c r="P63" s="134">
        <v>0.32</v>
      </c>
      <c r="Q63" s="134">
        <v>0.89</v>
      </c>
    </row>
    <row r="64" spans="1:17" customFormat="1">
      <c r="A64" s="112" t="s">
        <v>1061</v>
      </c>
      <c r="B64" s="134">
        <v>3.1</v>
      </c>
      <c r="C64" s="134">
        <v>14.99</v>
      </c>
      <c r="D64" s="134">
        <v>9.27</v>
      </c>
      <c r="E64" s="134">
        <v>6.6</v>
      </c>
      <c r="F64" s="134">
        <v>6.84</v>
      </c>
      <c r="G64" s="151" t="s">
        <v>12</v>
      </c>
      <c r="H64" s="151" t="s">
        <v>12</v>
      </c>
      <c r="I64" s="134">
        <v>2.31</v>
      </c>
      <c r="J64" s="134">
        <v>0.76</v>
      </c>
      <c r="K64" s="134">
        <v>261.01</v>
      </c>
      <c r="L64" s="134">
        <v>30.49</v>
      </c>
      <c r="M64" s="134">
        <v>68.099999999999994</v>
      </c>
      <c r="N64" s="134">
        <v>258.39999999999998</v>
      </c>
      <c r="O64" s="134">
        <v>0</v>
      </c>
      <c r="P64" s="134">
        <v>0.31</v>
      </c>
      <c r="Q64" s="134">
        <v>3.25</v>
      </c>
    </row>
    <row r="65" spans="1:17" customFormat="1">
      <c r="A65" s="112" t="s">
        <v>1062</v>
      </c>
      <c r="B65" s="134">
        <v>3.44</v>
      </c>
      <c r="C65" s="134">
        <v>15.98</v>
      </c>
      <c r="D65" s="134">
        <v>10.07</v>
      </c>
      <c r="E65" s="134">
        <v>6.72</v>
      </c>
      <c r="F65" s="134">
        <v>6.78</v>
      </c>
      <c r="G65" s="151" t="s">
        <v>12</v>
      </c>
      <c r="H65" s="151" t="s">
        <v>12</v>
      </c>
      <c r="I65" s="134">
        <v>2.2799999999999998</v>
      </c>
      <c r="J65" s="134">
        <v>0.8</v>
      </c>
      <c r="K65" s="134">
        <v>259.70999999999998</v>
      </c>
      <c r="L65" s="134">
        <v>30.79</v>
      </c>
      <c r="M65" s="134">
        <v>67.66</v>
      </c>
      <c r="N65" s="134">
        <v>431.4</v>
      </c>
      <c r="O65" s="134">
        <v>0</v>
      </c>
      <c r="P65" s="134">
        <v>0.36</v>
      </c>
      <c r="Q65" s="134">
        <v>4.03</v>
      </c>
    </row>
    <row r="66" spans="1:17" customFormat="1">
      <c r="A66" s="112" t="s">
        <v>1063</v>
      </c>
      <c r="B66" s="134">
        <v>3.51</v>
      </c>
      <c r="C66" s="134">
        <v>15.57</v>
      </c>
      <c r="D66" s="134">
        <v>9.91</v>
      </c>
      <c r="E66" s="134">
        <v>6.93</v>
      </c>
      <c r="F66" s="134">
        <v>6.62</v>
      </c>
      <c r="G66" s="151" t="s">
        <v>12</v>
      </c>
      <c r="H66" s="151" t="s">
        <v>12</v>
      </c>
      <c r="I66" s="134">
        <v>2.37</v>
      </c>
      <c r="J66" s="134">
        <v>0.56999999999999995</v>
      </c>
      <c r="K66" s="134">
        <v>252.92</v>
      </c>
      <c r="L66" s="134">
        <v>31.45</v>
      </c>
      <c r="M66" s="134">
        <v>67.569999999999993</v>
      </c>
      <c r="N66" s="134">
        <v>476.3</v>
      </c>
      <c r="O66" s="134">
        <v>0</v>
      </c>
      <c r="P66" s="134">
        <v>0.39</v>
      </c>
      <c r="Q66" s="134">
        <v>3.97</v>
      </c>
    </row>
    <row r="67" spans="1:17" customFormat="1">
      <c r="A67" s="112" t="s">
        <v>1064</v>
      </c>
      <c r="B67" s="134">
        <v>2.71</v>
      </c>
      <c r="C67" s="134">
        <v>15.72</v>
      </c>
      <c r="D67" s="134">
        <v>9.34</v>
      </c>
      <c r="E67" s="134">
        <v>6.74</v>
      </c>
      <c r="F67" s="134">
        <v>5.93</v>
      </c>
      <c r="G67" s="151" t="s">
        <v>12</v>
      </c>
      <c r="H67" s="151" t="s">
        <v>12</v>
      </c>
      <c r="I67" s="134">
        <v>2.52</v>
      </c>
      <c r="J67" s="134">
        <v>0.55000000000000004</v>
      </c>
      <c r="K67" s="134">
        <v>262.01</v>
      </c>
      <c r="L67" s="134">
        <v>31.25</v>
      </c>
      <c r="M67" s="134">
        <v>67.34</v>
      </c>
      <c r="N67" s="134">
        <v>381.6</v>
      </c>
      <c r="O67" s="134">
        <v>0</v>
      </c>
      <c r="P67" s="134">
        <v>0.4</v>
      </c>
      <c r="Q67" s="134">
        <v>3.87</v>
      </c>
    </row>
    <row r="68" spans="1:17" customFormat="1">
      <c r="A68" s="112" t="s">
        <v>1065</v>
      </c>
      <c r="B68" s="134">
        <v>2.67</v>
      </c>
      <c r="C68" s="134">
        <v>15.81</v>
      </c>
      <c r="D68" s="134">
        <v>9.35</v>
      </c>
      <c r="E68" s="134">
        <v>5.84</v>
      </c>
      <c r="F68" s="134">
        <v>5.61</v>
      </c>
      <c r="G68" s="151" t="s">
        <v>12</v>
      </c>
      <c r="H68" s="151" t="s">
        <v>12</v>
      </c>
      <c r="I68" s="134">
        <v>2.54</v>
      </c>
      <c r="J68" s="134">
        <v>0.77</v>
      </c>
      <c r="K68" s="134">
        <v>257.49</v>
      </c>
      <c r="L68" s="134">
        <v>30.9</v>
      </c>
      <c r="M68" s="134">
        <v>67.510000000000005</v>
      </c>
      <c r="N68" s="134">
        <v>290.39999999999998</v>
      </c>
      <c r="O68" s="134">
        <v>0</v>
      </c>
      <c r="P68" s="134">
        <v>0.4</v>
      </c>
      <c r="Q68" s="134">
        <v>3.83</v>
      </c>
    </row>
    <row r="69" spans="1:17" customFormat="1">
      <c r="A69" s="112" t="s">
        <v>1066</v>
      </c>
      <c r="B69" s="134">
        <v>2.97</v>
      </c>
      <c r="C69" s="134">
        <v>15.38</v>
      </c>
      <c r="D69" s="134">
        <v>9.3699999999999992</v>
      </c>
      <c r="E69" s="134">
        <v>6.1</v>
      </c>
      <c r="F69" s="134">
        <v>6.98</v>
      </c>
      <c r="G69" s="134">
        <v>41.63</v>
      </c>
      <c r="H69" s="134">
        <v>36.6</v>
      </c>
      <c r="I69" s="134">
        <v>2.5299999999999998</v>
      </c>
      <c r="J69" s="134">
        <v>0.84</v>
      </c>
      <c r="K69" s="134">
        <v>261.37</v>
      </c>
      <c r="L69" s="134">
        <v>30.6</v>
      </c>
      <c r="M69" s="134">
        <v>68</v>
      </c>
      <c r="N69" s="134">
        <v>255.2</v>
      </c>
      <c r="O69" s="134">
        <v>0</v>
      </c>
      <c r="P69" s="134">
        <v>0.4</v>
      </c>
      <c r="Q69" s="134">
        <v>3.88</v>
      </c>
    </row>
    <row r="70" spans="1:17" customFormat="1">
      <c r="A70" s="112" t="s">
        <v>1067</v>
      </c>
      <c r="B70" s="134">
        <v>3.18</v>
      </c>
      <c r="C70" s="134">
        <v>15.5</v>
      </c>
      <c r="D70" s="134">
        <v>9.6</v>
      </c>
      <c r="E70" s="134">
        <v>5.93</v>
      </c>
      <c r="F70" s="134">
        <v>6.17</v>
      </c>
      <c r="G70" s="134">
        <v>41.63</v>
      </c>
      <c r="H70" s="134">
        <v>36.6</v>
      </c>
      <c r="I70" s="134">
        <v>2.66</v>
      </c>
      <c r="J70" s="134">
        <v>0.81</v>
      </c>
      <c r="K70" s="134">
        <v>257.51</v>
      </c>
      <c r="L70" s="134">
        <v>30.62</v>
      </c>
      <c r="M70" s="134">
        <v>68.010000000000005</v>
      </c>
      <c r="N70" s="134">
        <v>249.9</v>
      </c>
      <c r="O70" s="134">
        <v>0</v>
      </c>
      <c r="P70" s="134">
        <v>0.4</v>
      </c>
      <c r="Q70" s="134">
        <v>3.84</v>
      </c>
    </row>
    <row r="71" spans="1:17" customFormat="1">
      <c r="A71" s="112" t="s">
        <v>1068</v>
      </c>
      <c r="B71" s="134">
        <v>3.41</v>
      </c>
      <c r="C71" s="134">
        <v>15.17</v>
      </c>
      <c r="D71" s="134">
        <v>9.6199999999999992</v>
      </c>
      <c r="E71" s="134">
        <v>6.03</v>
      </c>
      <c r="F71" s="134">
        <v>7.35</v>
      </c>
      <c r="G71" s="134">
        <v>41.63</v>
      </c>
      <c r="H71" s="134">
        <v>36.6</v>
      </c>
      <c r="I71" s="134">
        <v>2.87</v>
      </c>
      <c r="J71" s="134">
        <v>0.63</v>
      </c>
      <c r="K71" s="134">
        <v>265.48</v>
      </c>
      <c r="L71" s="134">
        <v>30.42</v>
      </c>
      <c r="M71" s="134">
        <v>68.14</v>
      </c>
      <c r="N71" s="134">
        <v>161</v>
      </c>
      <c r="O71" s="134">
        <v>0</v>
      </c>
      <c r="P71" s="134">
        <v>0.41</v>
      </c>
      <c r="Q71" s="134">
        <v>3.86</v>
      </c>
    </row>
    <row r="72" spans="1:17" customFormat="1">
      <c r="A72" s="112" t="s">
        <v>1069</v>
      </c>
      <c r="B72" s="134">
        <v>5.67</v>
      </c>
      <c r="C72" s="134">
        <v>18.5</v>
      </c>
      <c r="D72" s="134">
        <v>13.17</v>
      </c>
      <c r="E72" s="134">
        <v>6.24</v>
      </c>
      <c r="F72" s="134">
        <v>6.8</v>
      </c>
      <c r="G72" s="134">
        <v>41.63</v>
      </c>
      <c r="H72" s="134">
        <v>36.6</v>
      </c>
      <c r="I72" s="134">
        <v>2.95</v>
      </c>
      <c r="J72" s="134">
        <v>1.1200000000000001</v>
      </c>
      <c r="K72" s="134">
        <v>27.71</v>
      </c>
      <c r="L72" s="134">
        <v>28.8</v>
      </c>
      <c r="M72" s="134">
        <v>73.25</v>
      </c>
      <c r="N72" s="134">
        <v>47.4</v>
      </c>
      <c r="O72" s="134">
        <v>1.2</v>
      </c>
      <c r="P72" s="134">
        <v>0.42</v>
      </c>
      <c r="Q72" s="134">
        <v>3.89</v>
      </c>
    </row>
    <row r="73" spans="1:17" customFormat="1">
      <c r="A73" s="112" t="s">
        <v>1070</v>
      </c>
      <c r="B73" s="134">
        <v>6.48</v>
      </c>
      <c r="C73" s="134">
        <v>17.28</v>
      </c>
      <c r="D73" s="134">
        <v>13.18</v>
      </c>
      <c r="E73" s="134">
        <v>5.96</v>
      </c>
      <c r="F73" s="134">
        <v>5.2</v>
      </c>
      <c r="G73" s="134">
        <v>42.29</v>
      </c>
      <c r="H73" s="134">
        <v>27.58</v>
      </c>
      <c r="I73" s="134">
        <v>2.95</v>
      </c>
      <c r="J73" s="134">
        <v>0.88</v>
      </c>
      <c r="K73" s="134">
        <v>32.380000000000003</v>
      </c>
      <c r="L73" s="134">
        <v>25.81</v>
      </c>
      <c r="M73" s="134">
        <v>92.5</v>
      </c>
      <c r="N73" s="134">
        <v>27.2</v>
      </c>
      <c r="O73" s="134">
        <v>1.4</v>
      </c>
      <c r="P73" s="134">
        <v>0.43</v>
      </c>
      <c r="Q73" s="134">
        <v>3.96</v>
      </c>
    </row>
    <row r="74" spans="1:17" customFormat="1">
      <c r="A74" s="112" t="s">
        <v>1071</v>
      </c>
      <c r="B74" s="134">
        <v>6.66</v>
      </c>
      <c r="C74" s="134">
        <v>17.32</v>
      </c>
      <c r="D74" s="134">
        <v>13.35</v>
      </c>
      <c r="E74" s="134">
        <v>5.99</v>
      </c>
      <c r="F74" s="134">
        <v>4.26</v>
      </c>
      <c r="G74" s="134">
        <v>42.55</v>
      </c>
      <c r="H74" s="134">
        <v>27.15</v>
      </c>
      <c r="I74" s="134">
        <v>3</v>
      </c>
      <c r="J74" s="134">
        <v>0.62</v>
      </c>
      <c r="K74" s="134">
        <v>44.43</v>
      </c>
      <c r="L74" s="134">
        <v>25.69</v>
      </c>
      <c r="M74" s="134">
        <v>92.99</v>
      </c>
      <c r="N74" s="134">
        <v>46.8</v>
      </c>
      <c r="O74" s="134">
        <v>0</v>
      </c>
      <c r="P74" s="134">
        <v>0.43</v>
      </c>
      <c r="Q74" s="134">
        <v>4.03</v>
      </c>
    </row>
    <row r="75" spans="1:17" customFormat="1">
      <c r="A75" s="112" t="s">
        <v>1072</v>
      </c>
      <c r="B75" s="134">
        <v>7.8</v>
      </c>
      <c r="C75" s="134">
        <v>17.72</v>
      </c>
      <c r="D75" s="134">
        <v>14.47</v>
      </c>
      <c r="E75" s="134">
        <v>5.89</v>
      </c>
      <c r="F75" s="134">
        <v>4.79</v>
      </c>
      <c r="G75" s="134">
        <v>42.55</v>
      </c>
      <c r="H75" s="134">
        <v>27.15</v>
      </c>
      <c r="I75" s="134">
        <v>3</v>
      </c>
      <c r="J75" s="134">
        <v>0.54</v>
      </c>
      <c r="K75" s="134">
        <v>25.65</v>
      </c>
      <c r="L75" s="134">
        <v>26.04</v>
      </c>
      <c r="M75" s="134">
        <v>90.45</v>
      </c>
      <c r="N75" s="134">
        <v>31.4</v>
      </c>
      <c r="O75" s="134">
        <v>0.2</v>
      </c>
      <c r="P75" s="134">
        <v>0.43</v>
      </c>
      <c r="Q75" s="134">
        <v>4.1100000000000003</v>
      </c>
    </row>
    <row r="76" spans="1:17" customFormat="1">
      <c r="A76" s="112" t="s">
        <v>1073</v>
      </c>
      <c r="B76" s="134">
        <v>8.93</v>
      </c>
      <c r="C76" s="134">
        <v>19.32</v>
      </c>
      <c r="D76" s="134">
        <v>16.21</v>
      </c>
      <c r="E76" s="134">
        <v>5.97</v>
      </c>
      <c r="F76" s="134">
        <v>4.68</v>
      </c>
      <c r="G76" s="134">
        <v>42.55</v>
      </c>
      <c r="H76" s="134">
        <v>27.15</v>
      </c>
      <c r="I76" s="134">
        <v>3.03</v>
      </c>
      <c r="J76" s="134">
        <v>0.18</v>
      </c>
      <c r="K76" s="134">
        <v>340.28</v>
      </c>
      <c r="L76" s="134">
        <v>26.36</v>
      </c>
      <c r="M76" s="134">
        <v>90.1</v>
      </c>
      <c r="N76" s="134">
        <v>40.799999999999997</v>
      </c>
      <c r="O76" s="134">
        <v>0</v>
      </c>
      <c r="P76" s="134">
        <v>0.46</v>
      </c>
      <c r="Q76" s="134">
        <v>4.17</v>
      </c>
    </row>
    <row r="77" spans="1:17" customFormat="1">
      <c r="A77" s="112" t="s">
        <v>1074</v>
      </c>
      <c r="B77" s="134">
        <v>8.44</v>
      </c>
      <c r="C77" s="134">
        <v>19.04</v>
      </c>
      <c r="D77" s="134">
        <v>15.67</v>
      </c>
      <c r="E77" s="134">
        <v>6.34</v>
      </c>
      <c r="F77" s="134">
        <v>4.5199999999999996</v>
      </c>
      <c r="G77" s="134">
        <v>44.55</v>
      </c>
      <c r="H77" s="134">
        <v>17.04</v>
      </c>
      <c r="I77" s="134">
        <v>3.02</v>
      </c>
      <c r="J77" s="134">
        <v>0.22</v>
      </c>
      <c r="K77" s="134">
        <v>182.43</v>
      </c>
      <c r="L77" s="134">
        <v>26.26</v>
      </c>
      <c r="M77" s="134">
        <v>92.11</v>
      </c>
      <c r="N77" s="134">
        <v>29.6</v>
      </c>
      <c r="O77" s="134">
        <v>0</v>
      </c>
      <c r="P77" s="134">
        <v>0.46</v>
      </c>
      <c r="Q77" s="134">
        <v>4.25</v>
      </c>
    </row>
    <row r="78" spans="1:17" customFormat="1">
      <c r="A78" s="112" t="s">
        <v>1075</v>
      </c>
      <c r="B78" s="134">
        <v>8.67</v>
      </c>
      <c r="C78" s="134">
        <v>19.850000000000001</v>
      </c>
      <c r="D78" s="134">
        <v>16.28</v>
      </c>
      <c r="E78" s="134">
        <v>6.14</v>
      </c>
      <c r="F78" s="134">
        <v>2.85</v>
      </c>
      <c r="G78" s="134">
        <v>45.35</v>
      </c>
      <c r="H78" s="134">
        <v>16.55</v>
      </c>
      <c r="I78" s="134">
        <v>3.09</v>
      </c>
      <c r="J78" s="134">
        <v>0.14000000000000001</v>
      </c>
      <c r="K78" s="134">
        <v>198.98</v>
      </c>
      <c r="L78" s="134">
        <v>26.4</v>
      </c>
      <c r="M78" s="134">
        <v>92.08</v>
      </c>
      <c r="N78" s="134">
        <v>14.2</v>
      </c>
      <c r="O78" s="134">
        <v>0.2</v>
      </c>
      <c r="P78" s="134">
        <v>0.48</v>
      </c>
      <c r="Q78" s="134">
        <v>4.33</v>
      </c>
    </row>
    <row r="79" spans="1:17" customFormat="1">
      <c r="A79" s="112" t="s">
        <v>1076</v>
      </c>
      <c r="B79" s="134">
        <v>8.85</v>
      </c>
      <c r="C79" s="134">
        <v>19.22</v>
      </c>
      <c r="D79" s="134">
        <v>16.09</v>
      </c>
      <c r="E79" s="134">
        <v>6.05</v>
      </c>
      <c r="F79" s="134">
        <v>3.59</v>
      </c>
      <c r="G79" s="134">
        <v>45.35</v>
      </c>
      <c r="H79" s="134">
        <v>16.55</v>
      </c>
      <c r="I79" s="134">
        <v>3.22</v>
      </c>
      <c r="J79" s="134">
        <v>0.15</v>
      </c>
      <c r="K79" s="134">
        <v>196.64</v>
      </c>
      <c r="L79" s="134">
        <v>26.35</v>
      </c>
      <c r="M79" s="134">
        <v>93.77</v>
      </c>
      <c r="N79" s="134">
        <v>17.5</v>
      </c>
      <c r="O79" s="134">
        <v>0</v>
      </c>
      <c r="P79" s="134">
        <v>0.48</v>
      </c>
      <c r="Q79" s="134">
        <v>4.34</v>
      </c>
    </row>
    <row r="80" spans="1:17" customFormat="1">
      <c r="A80" s="112" t="s">
        <v>1077</v>
      </c>
      <c r="B80" s="134">
        <v>9.5500000000000007</v>
      </c>
      <c r="C80" s="134">
        <v>20.61</v>
      </c>
      <c r="D80" s="134">
        <v>17.38</v>
      </c>
      <c r="E80" s="134">
        <v>6.25</v>
      </c>
      <c r="F80" s="134">
        <v>3.03</v>
      </c>
      <c r="G80" s="134">
        <v>45.35</v>
      </c>
      <c r="H80" s="134">
        <v>16.55</v>
      </c>
      <c r="I80" s="134">
        <v>3.42</v>
      </c>
      <c r="J80" s="134">
        <v>0.21</v>
      </c>
      <c r="K80" s="134">
        <v>193.34</v>
      </c>
      <c r="L80" s="134">
        <v>26.47</v>
      </c>
      <c r="M80" s="134">
        <v>92.78</v>
      </c>
      <c r="N80" s="134">
        <v>9.6999999999999993</v>
      </c>
      <c r="O80" s="134">
        <v>0</v>
      </c>
      <c r="P80" s="134">
        <v>0.52</v>
      </c>
      <c r="Q80" s="134">
        <v>4.37</v>
      </c>
    </row>
    <row r="81" spans="1:17" customFormat="1">
      <c r="A81" s="112" t="s">
        <v>1078</v>
      </c>
      <c r="B81" s="134">
        <v>10.44</v>
      </c>
      <c r="C81" s="134">
        <v>21.91</v>
      </c>
      <c r="D81" s="134">
        <v>18.77</v>
      </c>
      <c r="E81" s="134">
        <v>4.9400000000000004</v>
      </c>
      <c r="F81" s="134">
        <v>2.91</v>
      </c>
      <c r="G81" s="134">
        <v>42.36</v>
      </c>
      <c r="H81" s="134">
        <v>20.48</v>
      </c>
      <c r="I81" s="134">
        <v>3.47</v>
      </c>
      <c r="J81" s="134">
        <v>0.37</v>
      </c>
      <c r="K81" s="134">
        <v>297.91000000000003</v>
      </c>
      <c r="L81" s="134">
        <v>26.52</v>
      </c>
      <c r="M81" s="134">
        <v>93.22</v>
      </c>
      <c r="N81" s="134">
        <v>1</v>
      </c>
      <c r="O81" s="134">
        <v>0.6</v>
      </c>
      <c r="P81" s="134">
        <v>0.56000000000000005</v>
      </c>
      <c r="Q81" s="134">
        <v>4.5</v>
      </c>
    </row>
    <row r="82" spans="1:17" customFormat="1">
      <c r="A82" s="112" t="s">
        <v>1079</v>
      </c>
      <c r="B82" s="134">
        <v>11.35</v>
      </c>
      <c r="C82" s="134">
        <v>20.56</v>
      </c>
      <c r="D82" s="134">
        <v>18.8</v>
      </c>
      <c r="E82" s="134">
        <v>4.8600000000000003</v>
      </c>
      <c r="F82" s="134">
        <v>4.57</v>
      </c>
      <c r="G82" s="134">
        <v>41.14</v>
      </c>
      <c r="H82" s="134">
        <v>20.66</v>
      </c>
      <c r="I82" s="134">
        <v>3.65</v>
      </c>
      <c r="J82" s="134">
        <v>0.39</v>
      </c>
      <c r="K82" s="134">
        <v>351.68</v>
      </c>
      <c r="L82" s="134">
        <v>24.17</v>
      </c>
      <c r="M82" s="134">
        <v>94.86</v>
      </c>
      <c r="N82" s="134">
        <v>0.4</v>
      </c>
      <c r="O82" s="134">
        <v>10</v>
      </c>
      <c r="P82" s="134">
        <v>0.51</v>
      </c>
      <c r="Q82" s="134">
        <v>4.5199999999999996</v>
      </c>
    </row>
    <row r="83" spans="1:17" customFormat="1">
      <c r="A83" s="112" t="s">
        <v>1080</v>
      </c>
      <c r="B83" s="134">
        <v>11.57</v>
      </c>
      <c r="C83" s="134">
        <v>19.93</v>
      </c>
      <c r="D83" s="134">
        <v>18.649999999999999</v>
      </c>
      <c r="E83" s="134">
        <v>4.38</v>
      </c>
      <c r="F83" s="134">
        <v>3.48</v>
      </c>
      <c r="G83" s="134">
        <v>41.14</v>
      </c>
      <c r="H83" s="134">
        <v>20.66</v>
      </c>
      <c r="I83" s="134">
        <v>3.73</v>
      </c>
      <c r="J83" s="134">
        <v>0.27</v>
      </c>
      <c r="K83" s="134">
        <v>202.92</v>
      </c>
      <c r="L83" s="134">
        <v>23.75</v>
      </c>
      <c r="M83" s="134">
        <v>97.23</v>
      </c>
      <c r="N83" s="134">
        <v>0</v>
      </c>
      <c r="O83" s="134">
        <v>0.4</v>
      </c>
      <c r="P83" s="134">
        <v>0.48</v>
      </c>
      <c r="Q83" s="134">
        <v>4.46</v>
      </c>
    </row>
    <row r="84" spans="1:17" customFormat="1">
      <c r="A84" s="112" t="s">
        <v>1081</v>
      </c>
      <c r="B84" s="134">
        <v>11.44</v>
      </c>
      <c r="C84" s="134">
        <v>19.89</v>
      </c>
      <c r="D84" s="134">
        <v>18.52</v>
      </c>
      <c r="E84" s="134">
        <v>4.4800000000000004</v>
      </c>
      <c r="F84" s="134">
        <v>3.33</v>
      </c>
      <c r="G84" s="134">
        <v>41.14</v>
      </c>
      <c r="H84" s="134">
        <v>20.66</v>
      </c>
      <c r="I84" s="134">
        <v>3.68</v>
      </c>
      <c r="J84" s="134">
        <v>-0.11</v>
      </c>
      <c r="K84" s="134">
        <v>-0.11</v>
      </c>
      <c r="L84" s="134">
        <v>23.86</v>
      </c>
      <c r="M84" s="134">
        <v>97.72</v>
      </c>
      <c r="N84" s="134">
        <v>0</v>
      </c>
      <c r="O84" s="134">
        <v>0</v>
      </c>
      <c r="P84" s="134">
        <v>0.47</v>
      </c>
      <c r="Q84" s="134">
        <v>4.46</v>
      </c>
    </row>
    <row r="85" spans="1:17" customFormat="1">
      <c r="A85" s="112" t="s">
        <v>1082</v>
      </c>
      <c r="B85" s="134">
        <v>11.43</v>
      </c>
      <c r="C85" s="134">
        <v>21.53</v>
      </c>
      <c r="D85" s="134">
        <v>19.37</v>
      </c>
      <c r="E85" s="134">
        <v>5.13</v>
      </c>
      <c r="F85" s="134">
        <v>1.8</v>
      </c>
      <c r="G85" s="134">
        <v>39.869999999999997</v>
      </c>
      <c r="H85" s="134">
        <v>13.22</v>
      </c>
      <c r="I85" s="134">
        <v>3.64</v>
      </c>
      <c r="J85" s="134">
        <v>0.13</v>
      </c>
      <c r="K85" s="134">
        <v>230.33</v>
      </c>
      <c r="L85" s="134">
        <v>24.1</v>
      </c>
      <c r="M85" s="134">
        <v>98.61</v>
      </c>
      <c r="N85" s="134">
        <v>0</v>
      </c>
      <c r="O85" s="134">
        <v>0</v>
      </c>
      <c r="P85" s="134">
        <v>0.51</v>
      </c>
      <c r="Q85" s="167" t="s">
        <v>14</v>
      </c>
    </row>
    <row r="86" spans="1:17" customFormat="1">
      <c r="A86" s="112" t="s">
        <v>1083</v>
      </c>
      <c r="B86" s="134">
        <v>11.9</v>
      </c>
      <c r="C86" s="134">
        <v>21.6</v>
      </c>
      <c r="D86" s="134">
        <v>19.78</v>
      </c>
      <c r="E86" s="134">
        <v>5.78</v>
      </c>
      <c r="F86" s="134">
        <v>1.94</v>
      </c>
      <c r="G86" s="134">
        <v>38.21</v>
      </c>
      <c r="H86" s="134">
        <v>13.22</v>
      </c>
      <c r="I86" s="134">
        <v>3.65</v>
      </c>
      <c r="J86" s="134">
        <v>0.15</v>
      </c>
      <c r="K86" s="134">
        <v>226.38</v>
      </c>
      <c r="L86" s="134">
        <v>23.94</v>
      </c>
      <c r="M86" s="134">
        <v>98.74</v>
      </c>
      <c r="N86" s="134">
        <v>0</v>
      </c>
      <c r="O86" s="134">
        <v>0</v>
      </c>
      <c r="P86" s="134">
        <v>0.52</v>
      </c>
      <c r="Q86" s="134">
        <v>4.62</v>
      </c>
    </row>
    <row r="87" spans="1:17" customFormat="1">
      <c r="A87" s="112" t="s">
        <v>1084</v>
      </c>
      <c r="B87" s="134">
        <v>12.13</v>
      </c>
      <c r="C87" s="134">
        <v>20</v>
      </c>
      <c r="D87" s="134">
        <v>19.13</v>
      </c>
      <c r="E87" s="134">
        <v>5.67</v>
      </c>
      <c r="F87" s="134">
        <v>3.09</v>
      </c>
      <c r="G87" s="134">
        <v>38.21</v>
      </c>
      <c r="H87" s="134">
        <v>13.22</v>
      </c>
      <c r="I87" s="134">
        <v>3.79</v>
      </c>
      <c r="J87" s="134">
        <v>0.12</v>
      </c>
      <c r="K87" s="134">
        <v>189.66</v>
      </c>
      <c r="L87" s="134">
        <v>23.97</v>
      </c>
      <c r="M87" s="134">
        <v>98.94</v>
      </c>
      <c r="N87" s="134">
        <v>0</v>
      </c>
      <c r="O87" s="134">
        <v>0</v>
      </c>
      <c r="P87" s="134">
        <v>0.49</v>
      </c>
      <c r="Q87" s="134">
        <v>4.5599999999999996</v>
      </c>
    </row>
    <row r="88" spans="1:17" customFormat="1">
      <c r="A88" s="112" t="s">
        <v>1085</v>
      </c>
      <c r="B88" s="134">
        <v>12.25</v>
      </c>
      <c r="C88" s="134">
        <v>19.93</v>
      </c>
      <c r="D88" s="134">
        <v>19.190000000000001</v>
      </c>
      <c r="E88" s="134">
        <v>5.34</v>
      </c>
      <c r="F88" s="134">
        <v>2.68</v>
      </c>
      <c r="G88" s="134">
        <v>38.21</v>
      </c>
      <c r="H88" s="134">
        <v>13.22</v>
      </c>
      <c r="I88" s="134">
        <v>3.8</v>
      </c>
      <c r="J88" s="134">
        <v>0.23</v>
      </c>
      <c r="K88" s="134">
        <v>176.83</v>
      </c>
      <c r="L88" s="134">
        <v>24.13</v>
      </c>
      <c r="M88" s="134">
        <v>99.13</v>
      </c>
      <c r="N88" s="134">
        <v>0</v>
      </c>
      <c r="O88" s="134">
        <v>0</v>
      </c>
      <c r="P88" s="134">
        <v>0.51</v>
      </c>
      <c r="Q88" s="134">
        <v>4.55</v>
      </c>
    </row>
    <row r="89" spans="1:17" customFormat="1">
      <c r="A89" s="112" t="s">
        <v>1086</v>
      </c>
      <c r="B89" s="134">
        <v>12.33</v>
      </c>
      <c r="C89" s="134">
        <v>21.68</v>
      </c>
      <c r="D89" s="134">
        <v>20.170000000000002</v>
      </c>
      <c r="E89" s="134">
        <v>5.93</v>
      </c>
      <c r="F89" s="134">
        <v>1.65</v>
      </c>
      <c r="G89" s="134">
        <v>33.5</v>
      </c>
      <c r="H89" s="134">
        <v>9.0500000000000007</v>
      </c>
      <c r="I89" s="134">
        <v>3.75</v>
      </c>
      <c r="J89" s="134">
        <v>0.12</v>
      </c>
      <c r="K89" s="134">
        <v>205.55</v>
      </c>
      <c r="L89" s="134">
        <v>24.36</v>
      </c>
      <c r="M89" s="134">
        <v>99.18</v>
      </c>
      <c r="N89" s="134">
        <v>0</v>
      </c>
      <c r="O89" s="134">
        <v>0</v>
      </c>
      <c r="P89" s="134">
        <v>0.54</v>
      </c>
      <c r="Q89" s="134">
        <v>4.66</v>
      </c>
    </row>
    <row r="90" spans="1:17" customFormat="1">
      <c r="A90" s="112" t="s">
        <v>1087</v>
      </c>
      <c r="B90" s="134">
        <v>12.54</v>
      </c>
      <c r="C90" s="134">
        <v>19.96</v>
      </c>
      <c r="D90" s="134">
        <v>19.440000000000001</v>
      </c>
      <c r="E90" s="134">
        <v>6.12</v>
      </c>
      <c r="F90" s="134">
        <v>2.85</v>
      </c>
      <c r="G90" s="134">
        <v>31.59</v>
      </c>
      <c r="H90" s="134">
        <v>8.73</v>
      </c>
      <c r="I90" s="134">
        <v>3.78</v>
      </c>
      <c r="J90" s="134">
        <v>0.1</v>
      </c>
      <c r="K90" s="134">
        <v>179.95</v>
      </c>
      <c r="L90" s="134">
        <v>24.48</v>
      </c>
      <c r="M90" s="134">
        <v>99.18</v>
      </c>
      <c r="N90" s="134">
        <v>0</v>
      </c>
      <c r="O90" s="134">
        <v>0</v>
      </c>
      <c r="P90" s="134">
        <v>0.51</v>
      </c>
      <c r="Q90" s="134">
        <v>4.62</v>
      </c>
    </row>
    <row r="91" spans="1:17" customFormat="1">
      <c r="A91" s="112" t="s">
        <v>1088</v>
      </c>
      <c r="B91" s="134">
        <v>12.67</v>
      </c>
      <c r="C91" s="134">
        <v>19.48</v>
      </c>
      <c r="D91" s="134">
        <v>19.29</v>
      </c>
      <c r="E91" s="134">
        <v>5.97</v>
      </c>
      <c r="F91" s="134">
        <v>3.01</v>
      </c>
      <c r="G91" s="134">
        <v>31.59</v>
      </c>
      <c r="H91" s="134">
        <v>8.73</v>
      </c>
      <c r="I91" s="134">
        <v>3.86</v>
      </c>
      <c r="J91" s="134">
        <v>0.09</v>
      </c>
      <c r="K91" s="134">
        <v>206.43</v>
      </c>
      <c r="L91" s="134">
        <v>24.57</v>
      </c>
      <c r="M91" s="134">
        <v>99.18</v>
      </c>
      <c r="N91" s="134">
        <v>0</v>
      </c>
      <c r="O91" s="134">
        <v>0</v>
      </c>
      <c r="P91" s="134">
        <v>0.52</v>
      </c>
      <c r="Q91" s="134">
        <v>4.6100000000000003</v>
      </c>
    </row>
    <row r="92" spans="1:17" customFormat="1">
      <c r="A92" s="112" t="s">
        <v>1089</v>
      </c>
      <c r="B92" s="134">
        <v>13.23</v>
      </c>
      <c r="C92" s="134">
        <v>21.74</v>
      </c>
      <c r="D92" s="134">
        <v>20.92</v>
      </c>
      <c r="E92" s="134">
        <v>6.65</v>
      </c>
      <c r="F92" s="134">
        <v>1.4</v>
      </c>
      <c r="G92" s="134">
        <v>31.59</v>
      </c>
      <c r="H92" s="134">
        <v>8.73</v>
      </c>
      <c r="I92" s="134">
        <v>3.87</v>
      </c>
      <c r="J92" s="134">
        <v>0.03</v>
      </c>
      <c r="K92" s="134">
        <v>-0.12</v>
      </c>
      <c r="L92" s="134">
        <v>24.68</v>
      </c>
      <c r="M92" s="134">
        <v>99.22</v>
      </c>
      <c r="N92" s="134">
        <v>0</v>
      </c>
      <c r="O92" s="134">
        <v>0</v>
      </c>
      <c r="P92" s="134">
        <v>0.56000000000000005</v>
      </c>
      <c r="Q92" s="134">
        <v>4.7</v>
      </c>
    </row>
    <row r="93" spans="1:17" customFormat="1">
      <c r="A93" s="112" t="s">
        <v>1090</v>
      </c>
      <c r="B93" s="134">
        <v>13.25</v>
      </c>
      <c r="C93" s="134">
        <v>19.79</v>
      </c>
      <c r="D93" s="134">
        <v>19.920000000000002</v>
      </c>
      <c r="E93" s="134">
        <v>6.23</v>
      </c>
      <c r="F93" s="134">
        <v>3.18</v>
      </c>
      <c r="G93" s="134">
        <v>27.71</v>
      </c>
      <c r="H93" s="134">
        <v>6.6</v>
      </c>
      <c r="I93" s="134">
        <v>3.99</v>
      </c>
      <c r="J93" s="134">
        <v>0.13</v>
      </c>
      <c r="K93" s="134">
        <v>171.69</v>
      </c>
      <c r="L93" s="134">
        <v>24.69</v>
      </c>
      <c r="M93" s="134">
        <v>99.23</v>
      </c>
      <c r="N93" s="134">
        <v>0</v>
      </c>
      <c r="O93" s="134">
        <v>0</v>
      </c>
      <c r="P93" s="134">
        <v>0.54</v>
      </c>
      <c r="Q93" s="134">
        <v>4.6900000000000004</v>
      </c>
    </row>
    <row r="94" spans="1:17" customFormat="1">
      <c r="A94" s="112" t="s">
        <v>1091</v>
      </c>
      <c r="B94" s="134">
        <v>13.41</v>
      </c>
      <c r="C94" s="134">
        <v>18.77</v>
      </c>
      <c r="D94" s="134">
        <v>19.510000000000002</v>
      </c>
      <c r="E94" s="134">
        <v>6.06</v>
      </c>
      <c r="F94" s="134">
        <v>3.85</v>
      </c>
      <c r="G94" s="134">
        <v>27.35</v>
      </c>
      <c r="H94" s="134">
        <v>6.6</v>
      </c>
      <c r="I94" s="134">
        <v>4.08</v>
      </c>
      <c r="J94" s="134">
        <v>0.09</v>
      </c>
      <c r="K94" s="134">
        <v>195.45</v>
      </c>
      <c r="L94" s="134">
        <v>24.67</v>
      </c>
      <c r="M94" s="134">
        <v>99.21</v>
      </c>
      <c r="N94" s="134">
        <v>0</v>
      </c>
      <c r="O94" s="134">
        <v>0</v>
      </c>
      <c r="P94" s="134">
        <v>0.53</v>
      </c>
      <c r="Q94" s="134">
        <v>4.6399999999999997</v>
      </c>
    </row>
    <row r="95" spans="1:17" customFormat="1">
      <c r="A95" s="112" t="s">
        <v>1092</v>
      </c>
      <c r="B95" s="134">
        <v>13.85</v>
      </c>
      <c r="C95" s="134">
        <v>21.27</v>
      </c>
      <c r="D95" s="134">
        <v>21.17</v>
      </c>
      <c r="E95" s="134">
        <v>6.12</v>
      </c>
      <c r="F95" s="134">
        <v>1.99</v>
      </c>
      <c r="G95" s="134">
        <v>27.35</v>
      </c>
      <c r="H95" s="134">
        <v>6.6</v>
      </c>
      <c r="I95" s="134">
        <v>4.0599999999999996</v>
      </c>
      <c r="J95" s="134">
        <v>0.09</v>
      </c>
      <c r="K95" s="134">
        <v>221.23</v>
      </c>
      <c r="L95" s="134">
        <v>24.7</v>
      </c>
      <c r="M95" s="134">
        <v>99.21</v>
      </c>
      <c r="N95" s="134">
        <v>0</v>
      </c>
      <c r="O95" s="134">
        <v>0</v>
      </c>
      <c r="P95" s="134">
        <v>0.56999999999999995</v>
      </c>
      <c r="Q95" s="134">
        <v>4.71</v>
      </c>
    </row>
    <row r="96" spans="1:17" customFormat="1">
      <c r="A96" s="112" t="s">
        <v>1093</v>
      </c>
      <c r="B96" s="134">
        <v>14.16</v>
      </c>
      <c r="C96" s="134">
        <v>20.27</v>
      </c>
      <c r="D96" s="134">
        <v>20.9</v>
      </c>
      <c r="E96" s="134">
        <v>6.69</v>
      </c>
      <c r="F96" s="134">
        <v>2.67</v>
      </c>
      <c r="G96" s="134">
        <v>27.35</v>
      </c>
      <c r="H96" s="134">
        <v>6.6</v>
      </c>
      <c r="I96" s="134">
        <v>4.0599999999999996</v>
      </c>
      <c r="J96" s="134">
        <v>0.14000000000000001</v>
      </c>
      <c r="K96" s="134">
        <v>228.86</v>
      </c>
      <c r="L96" s="134">
        <v>24.82</v>
      </c>
      <c r="M96" s="134">
        <v>99.23</v>
      </c>
      <c r="N96" s="134">
        <v>0</v>
      </c>
      <c r="O96" s="134">
        <v>0</v>
      </c>
      <c r="P96" s="134">
        <v>0.55000000000000004</v>
      </c>
      <c r="Q96" s="134">
        <v>4.7</v>
      </c>
    </row>
    <row r="97" spans="1:22" customFormat="1">
      <c r="A97" s="112" t="s">
        <v>1094</v>
      </c>
      <c r="B97" s="134">
        <v>13.74</v>
      </c>
      <c r="C97" s="134">
        <v>17.739999999999998</v>
      </c>
      <c r="D97" s="134">
        <v>19.239999999999998</v>
      </c>
      <c r="E97" s="134">
        <v>6.41</v>
      </c>
      <c r="F97" s="134">
        <v>4.29</v>
      </c>
      <c r="G97" s="134">
        <v>26.06</v>
      </c>
      <c r="H97" s="134">
        <v>6.05</v>
      </c>
      <c r="I97" s="134">
        <v>4.1500000000000004</v>
      </c>
      <c r="J97" s="134">
        <v>0.27</v>
      </c>
      <c r="K97" s="134">
        <v>260.47000000000003</v>
      </c>
      <c r="L97" s="134">
        <v>25.03</v>
      </c>
      <c r="M97" s="134">
        <v>99.23</v>
      </c>
      <c r="N97" s="134">
        <v>0</v>
      </c>
      <c r="O97" s="134">
        <v>0</v>
      </c>
      <c r="P97" s="134">
        <v>0.52</v>
      </c>
      <c r="Q97" s="134">
        <v>4.6399999999999997</v>
      </c>
    </row>
    <row r="98" spans="1:22" customFormat="1">
      <c r="A98" s="112" t="s">
        <v>1095</v>
      </c>
      <c r="B98" s="134">
        <v>14.3</v>
      </c>
      <c r="C98" s="134">
        <v>20.440000000000001</v>
      </c>
      <c r="D98" s="134">
        <v>21.1</v>
      </c>
      <c r="E98" s="134">
        <v>6.6</v>
      </c>
      <c r="F98" s="134">
        <v>2.4700000000000002</v>
      </c>
      <c r="G98" s="134">
        <v>25.54</v>
      </c>
      <c r="H98" s="134">
        <v>6.02</v>
      </c>
      <c r="I98" s="134">
        <v>4.01</v>
      </c>
      <c r="J98" s="134">
        <v>0.18</v>
      </c>
      <c r="K98" s="134">
        <v>248.49</v>
      </c>
      <c r="L98" s="134">
        <v>25.12</v>
      </c>
      <c r="M98" s="134">
        <v>99.23</v>
      </c>
      <c r="N98" s="134">
        <v>0</v>
      </c>
      <c r="O98" s="134">
        <v>0</v>
      </c>
      <c r="P98" s="134">
        <v>0.56000000000000005</v>
      </c>
      <c r="Q98" s="134">
        <v>4.72</v>
      </c>
    </row>
    <row r="99" spans="1:22" customFormat="1">
      <c r="A99" s="112" t="s">
        <v>1096</v>
      </c>
      <c r="B99" s="134">
        <v>14.67</v>
      </c>
      <c r="C99" s="134">
        <v>20.81</v>
      </c>
      <c r="D99" s="134">
        <v>21.59</v>
      </c>
      <c r="E99" s="134">
        <v>6.73</v>
      </c>
      <c r="F99" s="134">
        <v>2.35</v>
      </c>
      <c r="G99" s="134">
        <v>25.54</v>
      </c>
      <c r="H99" s="134">
        <v>6.02</v>
      </c>
      <c r="I99" s="134">
        <v>3.91</v>
      </c>
      <c r="J99" s="134">
        <v>0.32</v>
      </c>
      <c r="K99" s="134">
        <v>258.95999999999998</v>
      </c>
      <c r="L99" s="134">
        <v>25.16</v>
      </c>
      <c r="M99" s="134">
        <v>99.23</v>
      </c>
      <c r="N99" s="134">
        <v>0</v>
      </c>
      <c r="O99" s="134">
        <v>0</v>
      </c>
      <c r="P99" s="134">
        <v>0.56000000000000005</v>
      </c>
      <c r="Q99" s="134">
        <v>4.75</v>
      </c>
    </row>
    <row r="100" spans="1:22" customFormat="1">
      <c r="A100" s="112" t="s">
        <v>1097</v>
      </c>
      <c r="B100" s="134">
        <v>14.81</v>
      </c>
      <c r="C100" s="134">
        <v>19.690000000000001</v>
      </c>
      <c r="D100" s="134">
        <v>21.12</v>
      </c>
      <c r="E100" s="134">
        <v>6.63</v>
      </c>
      <c r="F100" s="134">
        <v>3.06</v>
      </c>
      <c r="G100" s="134">
        <v>25.54</v>
      </c>
      <c r="H100" s="134">
        <v>6.02</v>
      </c>
      <c r="I100" s="134">
        <v>4.13</v>
      </c>
      <c r="J100" s="134">
        <v>0.24</v>
      </c>
      <c r="K100" s="134">
        <v>251.54</v>
      </c>
      <c r="L100" s="134">
        <v>25.15</v>
      </c>
      <c r="M100" s="134">
        <v>99.23</v>
      </c>
      <c r="N100" s="134">
        <v>0</v>
      </c>
      <c r="O100" s="134">
        <v>0</v>
      </c>
      <c r="P100" s="134">
        <v>0.56000000000000005</v>
      </c>
      <c r="Q100" s="134">
        <v>4.67</v>
      </c>
    </row>
    <row r="101" spans="1:22" customFormat="1">
      <c r="A101" s="112" t="s">
        <v>1098</v>
      </c>
      <c r="B101" s="134">
        <v>14.43</v>
      </c>
      <c r="C101" s="134">
        <v>20.78</v>
      </c>
      <c r="D101" s="134">
        <v>21.38</v>
      </c>
      <c r="E101" s="134">
        <v>6.45</v>
      </c>
      <c r="F101" s="134">
        <v>2.75</v>
      </c>
      <c r="G101" s="134">
        <v>23.43</v>
      </c>
      <c r="H101" s="134">
        <v>7.23</v>
      </c>
      <c r="I101" s="134">
        <v>4.08</v>
      </c>
      <c r="J101" s="134">
        <v>0.13</v>
      </c>
      <c r="K101" s="134">
        <v>235.67</v>
      </c>
      <c r="L101" s="134">
        <v>25.08</v>
      </c>
      <c r="M101" s="134">
        <v>99.24</v>
      </c>
      <c r="N101" s="134">
        <v>0</v>
      </c>
      <c r="O101" s="134">
        <v>0</v>
      </c>
      <c r="P101" s="134">
        <v>0.57999999999999996</v>
      </c>
      <c r="Q101" s="134">
        <v>4.6900000000000004</v>
      </c>
    </row>
    <row r="102" spans="1:22" customFormat="1">
      <c r="A102" s="112" t="s">
        <v>1099</v>
      </c>
      <c r="B102" s="134">
        <v>14.36</v>
      </c>
      <c r="C102" s="134">
        <v>20.05</v>
      </c>
      <c r="D102" s="134">
        <v>20.95</v>
      </c>
      <c r="E102" s="134">
        <v>6.27</v>
      </c>
      <c r="F102" s="134">
        <v>2.9</v>
      </c>
      <c r="G102" s="134">
        <v>22.52</v>
      </c>
      <c r="H102" s="134">
        <v>7.28</v>
      </c>
      <c r="I102" s="134">
        <v>4.07</v>
      </c>
      <c r="J102" s="134">
        <v>0.3</v>
      </c>
      <c r="K102" s="134">
        <v>258.60000000000002</v>
      </c>
      <c r="L102" s="134">
        <v>25.03</v>
      </c>
      <c r="M102" s="134">
        <v>99.23</v>
      </c>
      <c r="N102" s="134">
        <v>0</v>
      </c>
      <c r="O102" s="134">
        <v>0</v>
      </c>
      <c r="P102" s="134">
        <v>0.54</v>
      </c>
      <c r="Q102" s="134">
        <v>4.68</v>
      </c>
    </row>
    <row r="103" spans="1:22" customFormat="1">
      <c r="A103" s="112" t="s">
        <v>1100</v>
      </c>
      <c r="B103" s="134">
        <v>14.25</v>
      </c>
      <c r="C103" s="134">
        <v>18.079999999999998</v>
      </c>
      <c r="D103" s="134">
        <v>19.829999999999998</v>
      </c>
      <c r="E103" s="134">
        <v>5.85</v>
      </c>
      <c r="F103" s="134">
        <v>3.57</v>
      </c>
      <c r="G103" s="134">
        <v>22.52</v>
      </c>
      <c r="H103" s="134">
        <v>7.28</v>
      </c>
      <c r="I103" s="134">
        <v>4.01</v>
      </c>
      <c r="J103" s="134">
        <v>0.39</v>
      </c>
      <c r="K103" s="134">
        <v>259.83</v>
      </c>
      <c r="L103" s="134">
        <v>25.02</v>
      </c>
      <c r="M103" s="134">
        <v>99.23</v>
      </c>
      <c r="N103" s="134">
        <v>0</v>
      </c>
      <c r="O103" s="134">
        <v>0</v>
      </c>
      <c r="P103" s="134">
        <v>0.5</v>
      </c>
      <c r="Q103" s="134">
        <v>4.6399999999999997</v>
      </c>
    </row>
    <row r="104" spans="1:22" customFormat="1">
      <c r="A104" s="112" t="s">
        <v>1101</v>
      </c>
      <c r="B104" s="134">
        <v>14.05</v>
      </c>
      <c r="C104" s="134">
        <v>17.809999999999999</v>
      </c>
      <c r="D104" s="134">
        <v>19.52</v>
      </c>
      <c r="E104" s="134">
        <v>5.35</v>
      </c>
      <c r="F104" s="134">
        <v>3.7</v>
      </c>
      <c r="G104" s="134">
        <v>22.52</v>
      </c>
      <c r="H104" s="134">
        <v>7.28</v>
      </c>
      <c r="I104" s="134">
        <v>3.86</v>
      </c>
      <c r="J104" s="134">
        <v>0.46</v>
      </c>
      <c r="K104" s="134">
        <v>262.94</v>
      </c>
      <c r="L104" s="134">
        <v>24.98</v>
      </c>
      <c r="M104" s="134">
        <v>99.24</v>
      </c>
      <c r="N104" s="134">
        <v>0</v>
      </c>
      <c r="O104" s="134">
        <v>0</v>
      </c>
      <c r="P104" s="134">
        <v>0.48</v>
      </c>
      <c r="Q104" s="134">
        <v>4.63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1.85</v>
      </c>
      <c r="C106" s="183">
        <f>MIN(C9:C104)</f>
        <v>11.97</v>
      </c>
      <c r="D106" s="183">
        <f t="shared" ref="D106:Q106" si="0">MIN(D9:D104)</f>
        <v>7.19</v>
      </c>
      <c r="E106" s="183">
        <f t="shared" si="0"/>
        <v>4.38</v>
      </c>
      <c r="F106" s="183">
        <f t="shared" si="0"/>
        <v>1.4</v>
      </c>
      <c r="G106" s="183">
        <f t="shared" si="0"/>
        <v>22.23</v>
      </c>
      <c r="H106" s="183">
        <f t="shared" si="0"/>
        <v>4.93</v>
      </c>
      <c r="I106" s="183">
        <f t="shared" si="0"/>
        <v>1.36</v>
      </c>
      <c r="J106" s="183">
        <f t="shared" si="0"/>
        <v>-0.11</v>
      </c>
      <c r="K106" s="183">
        <f t="shared" si="0"/>
        <v>-0.12</v>
      </c>
      <c r="L106" s="183">
        <f t="shared" si="0"/>
        <v>23.75</v>
      </c>
      <c r="M106" s="183">
        <f t="shared" si="0"/>
        <v>63.98</v>
      </c>
      <c r="N106" s="183">
        <f t="shared" si="0"/>
        <v>0</v>
      </c>
      <c r="O106" s="183">
        <f t="shared" si="0"/>
        <v>0</v>
      </c>
      <c r="P106" s="183">
        <f t="shared" si="0"/>
        <v>0.27</v>
      </c>
      <c r="Q106" s="183">
        <f t="shared" si="0"/>
        <v>0.69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15.21</v>
      </c>
      <c r="C107" s="184">
        <f t="shared" ref="C107:Q107" si="1">MAX(C9:C104)</f>
        <v>21.91</v>
      </c>
      <c r="D107" s="184">
        <f t="shared" si="1"/>
        <v>21.59</v>
      </c>
      <c r="E107" s="184">
        <f t="shared" si="1"/>
        <v>7.75</v>
      </c>
      <c r="F107" s="184">
        <f t="shared" si="1"/>
        <v>22.99</v>
      </c>
      <c r="G107" s="184">
        <f t="shared" si="1"/>
        <v>45.35</v>
      </c>
      <c r="H107" s="184">
        <f t="shared" si="1"/>
        <v>36.6</v>
      </c>
      <c r="I107" s="184">
        <f t="shared" si="1"/>
        <v>5.89</v>
      </c>
      <c r="J107" s="184">
        <f t="shared" si="1"/>
        <v>1.17</v>
      </c>
      <c r="K107" s="184">
        <f t="shared" si="1"/>
        <v>351.68</v>
      </c>
      <c r="L107" s="184">
        <f t="shared" si="1"/>
        <v>31.45</v>
      </c>
      <c r="M107" s="184">
        <f t="shared" si="1"/>
        <v>99.24</v>
      </c>
      <c r="N107" s="184">
        <f t="shared" si="1"/>
        <v>776.3</v>
      </c>
      <c r="O107" s="184">
        <f t="shared" si="1"/>
        <v>10</v>
      </c>
      <c r="P107" s="184">
        <f t="shared" si="1"/>
        <v>0.57999999999999996</v>
      </c>
      <c r="Q107" s="184">
        <f t="shared" si="1"/>
        <v>4.75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10.835624999999995</v>
      </c>
      <c r="C108" s="183">
        <f t="shared" ref="C108:Q108" si="2">AVERAGE(C9:C104)</f>
        <v>18.583541666666665</v>
      </c>
      <c r="D108" s="183">
        <f t="shared" si="2"/>
        <v>17.353333333333335</v>
      </c>
      <c r="E108" s="183">
        <f t="shared" si="2"/>
        <v>6.6223958333333348</v>
      </c>
      <c r="F108" s="183">
        <f t="shared" si="2"/>
        <v>4.4134375000000006</v>
      </c>
      <c r="G108" s="183">
        <f t="shared" si="2"/>
        <v>31.277222222222214</v>
      </c>
      <c r="H108" s="183">
        <f t="shared" si="2"/>
        <v>11.314000000000002</v>
      </c>
      <c r="I108" s="183">
        <f t="shared" si="2"/>
        <v>4.0528124999999999</v>
      </c>
      <c r="J108" s="183">
        <f t="shared" si="2"/>
        <v>0.53718750000000015</v>
      </c>
      <c r="K108" s="183">
        <f t="shared" si="2"/>
        <v>240.69906250000005</v>
      </c>
      <c r="L108" s="183">
        <f t="shared" si="2"/>
        <v>26.933125000000004</v>
      </c>
      <c r="M108" s="183">
        <f t="shared" si="2"/>
        <v>84.574374999999961</v>
      </c>
      <c r="N108" s="183">
        <f t="shared" si="2"/>
        <v>126.23645833333335</v>
      </c>
      <c r="O108" s="183">
        <f t="shared" si="2"/>
        <v>0.14583333333333334</v>
      </c>
      <c r="P108" s="183">
        <f t="shared" si="2"/>
        <v>0.45635416666666667</v>
      </c>
      <c r="Q108" s="183">
        <f t="shared" si="2"/>
        <v>2.6828421052631581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4.2625457707065815</v>
      </c>
      <c r="C109" s="183">
        <f t="shared" ref="C109:Q109" si="3">STDEV(C9:C104)</f>
        <v>2.0038652014579461</v>
      </c>
      <c r="D109" s="183">
        <f t="shared" si="3"/>
        <v>4.2072092679781736</v>
      </c>
      <c r="E109" s="183">
        <f t="shared" si="3"/>
        <v>0.78850123624595225</v>
      </c>
      <c r="F109" s="183">
        <f t="shared" si="3"/>
        <v>3.7470083022466434</v>
      </c>
      <c r="G109" s="183">
        <f t="shared" si="3"/>
        <v>7.6051890960066677</v>
      </c>
      <c r="H109" s="183">
        <f t="shared" si="3"/>
        <v>7.5514445079933807</v>
      </c>
      <c r="I109" s="183">
        <f t="shared" si="3"/>
        <v>1.066832698495392</v>
      </c>
      <c r="J109" s="183">
        <f t="shared" si="3"/>
        <v>0.29695543924086737</v>
      </c>
      <c r="K109" s="183">
        <f t="shared" si="3"/>
        <v>64.307109586128732</v>
      </c>
      <c r="L109" s="183">
        <f t="shared" si="3"/>
        <v>2.2929118754153857</v>
      </c>
      <c r="M109" s="183">
        <f t="shared" si="3"/>
        <v>11.687808926399036</v>
      </c>
      <c r="N109" s="183">
        <f t="shared" si="3"/>
        <v>185.18442194332235</v>
      </c>
      <c r="O109" s="183">
        <f t="shared" si="3"/>
        <v>1.0359756821639625</v>
      </c>
      <c r="P109" s="183">
        <f t="shared" si="3"/>
        <v>7.0712461369849586E-2</v>
      </c>
      <c r="Q109" s="183">
        <f t="shared" si="3"/>
        <v>1.4736469908113801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P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51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10/08/2023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1102</v>
      </c>
      <c r="B9" s="134">
        <v>12.42</v>
      </c>
      <c r="C9" s="134">
        <v>15.94</v>
      </c>
      <c r="D9" s="134">
        <v>17.25</v>
      </c>
      <c r="E9" s="134">
        <v>5.68</v>
      </c>
      <c r="F9" s="134">
        <v>4.08</v>
      </c>
      <c r="G9" s="134">
        <v>22.91</v>
      </c>
      <c r="H9" s="134">
        <v>5.85</v>
      </c>
      <c r="I9" s="134">
        <v>3.71</v>
      </c>
      <c r="J9" s="134">
        <v>0.44</v>
      </c>
      <c r="K9" s="134">
        <v>260.35000000000002</v>
      </c>
      <c r="L9" s="134">
        <v>25.03</v>
      </c>
      <c r="M9" s="134">
        <v>99.24</v>
      </c>
      <c r="N9" s="134">
        <v>0</v>
      </c>
      <c r="O9" s="134">
        <v>0</v>
      </c>
      <c r="P9" s="134">
        <v>0.47</v>
      </c>
      <c r="Q9" s="134">
        <v>4.6399999999999997</v>
      </c>
    </row>
    <row r="10" spans="1:21" customFormat="1">
      <c r="A10" s="112" t="s">
        <v>1103</v>
      </c>
      <c r="B10" s="134">
        <v>14.57</v>
      </c>
      <c r="C10" s="134">
        <v>20.99</v>
      </c>
      <c r="D10" s="134">
        <v>21.61</v>
      </c>
      <c r="E10" s="134">
        <v>6.76</v>
      </c>
      <c r="F10" s="134">
        <v>1.85</v>
      </c>
      <c r="G10" s="134">
        <v>23.07</v>
      </c>
      <c r="H10" s="134">
        <v>5.76</v>
      </c>
      <c r="I10" s="134">
        <v>3.62</v>
      </c>
      <c r="J10" s="134">
        <v>0.44</v>
      </c>
      <c r="K10" s="134">
        <v>260.23</v>
      </c>
      <c r="L10" s="134">
        <v>25.07</v>
      </c>
      <c r="M10" s="134">
        <v>99.24</v>
      </c>
      <c r="N10" s="134">
        <v>0</v>
      </c>
      <c r="O10" s="134">
        <v>0</v>
      </c>
      <c r="P10" s="134">
        <v>0.53</v>
      </c>
      <c r="Q10" s="134">
        <v>4.7300000000000004</v>
      </c>
    </row>
    <row r="11" spans="1:21" customFormat="1">
      <c r="A11" s="112" t="s">
        <v>1104</v>
      </c>
      <c r="B11" s="134">
        <v>15.29</v>
      </c>
      <c r="C11" s="134">
        <v>20.39</v>
      </c>
      <c r="D11" s="134">
        <v>21.87</v>
      </c>
      <c r="E11" s="134">
        <v>6.86</v>
      </c>
      <c r="F11" s="134">
        <v>2.5099999999999998</v>
      </c>
      <c r="G11" s="134">
        <v>23.07</v>
      </c>
      <c r="H11" s="134">
        <v>5.76</v>
      </c>
      <c r="I11" s="134">
        <v>3.59</v>
      </c>
      <c r="J11" s="134">
        <v>0.32</v>
      </c>
      <c r="K11" s="134">
        <v>256.52999999999997</v>
      </c>
      <c r="L11" s="134">
        <v>25.06</v>
      </c>
      <c r="M11" s="134">
        <v>99.24</v>
      </c>
      <c r="N11" s="134">
        <v>0</v>
      </c>
      <c r="O11" s="134">
        <v>0</v>
      </c>
      <c r="P11" s="134">
        <v>0.52</v>
      </c>
      <c r="Q11" s="134">
        <v>4.71</v>
      </c>
    </row>
    <row r="12" spans="1:21" customFormat="1">
      <c r="A12" s="112" t="s">
        <v>1105</v>
      </c>
      <c r="B12" s="134">
        <v>15.21</v>
      </c>
      <c r="C12" s="134">
        <v>18.43</v>
      </c>
      <c r="D12" s="134">
        <v>20.79</v>
      </c>
      <c r="E12" s="134">
        <v>6.22</v>
      </c>
      <c r="F12" s="134">
        <v>3.34</v>
      </c>
      <c r="G12" s="134">
        <v>23.07</v>
      </c>
      <c r="H12" s="134">
        <v>5.76</v>
      </c>
      <c r="I12" s="134">
        <v>3.79</v>
      </c>
      <c r="J12" s="134">
        <v>0.33</v>
      </c>
      <c r="K12" s="134">
        <v>262.36</v>
      </c>
      <c r="L12" s="134">
        <v>25.06</v>
      </c>
      <c r="M12" s="134">
        <v>99.25</v>
      </c>
      <c r="N12" s="134">
        <v>0</v>
      </c>
      <c r="O12" s="134">
        <v>0</v>
      </c>
      <c r="P12" s="134">
        <v>0.48</v>
      </c>
      <c r="Q12" s="134">
        <v>4.67</v>
      </c>
    </row>
    <row r="13" spans="1:21" customFormat="1">
      <c r="A13" s="112" t="s">
        <v>1106</v>
      </c>
      <c r="B13" s="134">
        <v>15.46</v>
      </c>
      <c r="C13" s="134">
        <v>20.62</v>
      </c>
      <c r="D13" s="134">
        <v>22.13</v>
      </c>
      <c r="E13" s="134">
        <v>6.59</v>
      </c>
      <c r="F13" s="134">
        <v>1.8</v>
      </c>
      <c r="G13" s="134">
        <v>21.34</v>
      </c>
      <c r="H13" s="134">
        <v>4.87</v>
      </c>
      <c r="I13" s="134">
        <v>3.7</v>
      </c>
      <c r="J13" s="134">
        <v>0.33</v>
      </c>
      <c r="K13" s="134">
        <v>260.17</v>
      </c>
      <c r="L13" s="134">
        <v>25.01</v>
      </c>
      <c r="M13" s="134">
        <v>99.25</v>
      </c>
      <c r="N13" s="134">
        <v>0</v>
      </c>
      <c r="O13" s="134">
        <v>0</v>
      </c>
      <c r="P13" s="134">
        <v>0.52</v>
      </c>
      <c r="Q13" s="134">
        <v>4.74</v>
      </c>
    </row>
    <row r="14" spans="1:21" customFormat="1">
      <c r="A14" s="112" t="s">
        <v>1107</v>
      </c>
      <c r="B14" s="134">
        <v>15.87</v>
      </c>
      <c r="C14" s="134">
        <v>21</v>
      </c>
      <c r="D14" s="134">
        <v>22.66</v>
      </c>
      <c r="E14" s="134">
        <v>7.04</v>
      </c>
      <c r="F14" s="134">
        <v>1.97</v>
      </c>
      <c r="G14" s="134">
        <v>20.63</v>
      </c>
      <c r="H14" s="134">
        <v>4.83</v>
      </c>
      <c r="I14" s="134">
        <v>3.61</v>
      </c>
      <c r="J14" s="134">
        <v>0.23</v>
      </c>
      <c r="K14" s="134">
        <v>251.02</v>
      </c>
      <c r="L14" s="134">
        <v>24.97</v>
      </c>
      <c r="M14" s="134">
        <v>99.25</v>
      </c>
      <c r="N14" s="134">
        <v>0</v>
      </c>
      <c r="O14" s="134">
        <v>0</v>
      </c>
      <c r="P14" s="134">
        <v>0.51</v>
      </c>
      <c r="Q14" s="134">
        <v>4.76</v>
      </c>
    </row>
    <row r="15" spans="1:21" customFormat="1">
      <c r="A15" s="112" t="s">
        <v>1108</v>
      </c>
      <c r="B15" s="134">
        <v>15.92</v>
      </c>
      <c r="C15" s="134">
        <v>18.510000000000002</v>
      </c>
      <c r="D15" s="134">
        <v>21.39</v>
      </c>
      <c r="E15" s="134">
        <v>6.94</v>
      </c>
      <c r="F15" s="134">
        <v>3.13</v>
      </c>
      <c r="G15" s="134">
        <v>20.63</v>
      </c>
      <c r="H15" s="134">
        <v>4.83</v>
      </c>
      <c r="I15" s="134">
        <v>3.76</v>
      </c>
      <c r="J15" s="134">
        <v>0.21</v>
      </c>
      <c r="K15" s="134">
        <v>248.71</v>
      </c>
      <c r="L15" s="134">
        <v>24.89</v>
      </c>
      <c r="M15" s="134">
        <v>99.25</v>
      </c>
      <c r="N15" s="134">
        <v>0</v>
      </c>
      <c r="O15" s="134">
        <v>0</v>
      </c>
      <c r="P15" s="134">
        <v>0.48</v>
      </c>
      <c r="Q15" s="134">
        <v>4.72</v>
      </c>
    </row>
    <row r="16" spans="1:21" customFormat="1">
      <c r="A16" s="112" t="s">
        <v>1109</v>
      </c>
      <c r="B16" s="134">
        <v>15.93</v>
      </c>
      <c r="C16" s="134">
        <v>19.04</v>
      </c>
      <c r="D16" s="134">
        <v>21.68</v>
      </c>
      <c r="E16" s="134">
        <v>6.51</v>
      </c>
      <c r="F16" s="134">
        <v>2.77</v>
      </c>
      <c r="G16" s="134">
        <v>20.63</v>
      </c>
      <c r="H16" s="134">
        <v>4.83</v>
      </c>
      <c r="I16" s="134">
        <v>3.7</v>
      </c>
      <c r="J16" s="134">
        <v>0.32</v>
      </c>
      <c r="K16" s="134">
        <v>261.02</v>
      </c>
      <c r="L16" s="134">
        <v>24.86</v>
      </c>
      <c r="M16" s="134">
        <v>99.25</v>
      </c>
      <c r="N16" s="134">
        <v>0</v>
      </c>
      <c r="O16" s="134">
        <v>0</v>
      </c>
      <c r="P16" s="134">
        <v>0.49</v>
      </c>
      <c r="Q16" s="134">
        <v>4.72</v>
      </c>
    </row>
    <row r="17" spans="1:17" customFormat="1">
      <c r="A17" s="112" t="s">
        <v>1110</v>
      </c>
      <c r="B17" s="134">
        <v>16.18</v>
      </c>
      <c r="C17" s="134">
        <v>21.21</v>
      </c>
      <c r="D17" s="134">
        <v>23.01</v>
      </c>
      <c r="E17" s="134">
        <v>6.1</v>
      </c>
      <c r="F17" s="134">
        <v>1.78</v>
      </c>
      <c r="G17" s="134">
        <v>22.38</v>
      </c>
      <c r="H17" s="134">
        <v>4.6500000000000004</v>
      </c>
      <c r="I17" s="134">
        <v>3.58</v>
      </c>
      <c r="J17" s="134">
        <v>0.3</v>
      </c>
      <c r="K17" s="134">
        <v>259.64999999999998</v>
      </c>
      <c r="L17" s="134">
        <v>24.82</v>
      </c>
      <c r="M17" s="134">
        <v>99.23</v>
      </c>
      <c r="N17" s="134">
        <v>0</v>
      </c>
      <c r="O17" s="134">
        <v>0</v>
      </c>
      <c r="P17" s="134">
        <v>0.51</v>
      </c>
      <c r="Q17" s="134">
        <v>4.8</v>
      </c>
    </row>
    <row r="18" spans="1:17" customFormat="1">
      <c r="A18" s="112" t="s">
        <v>1111</v>
      </c>
      <c r="B18" s="134">
        <v>16.440000000000001</v>
      </c>
      <c r="C18" s="134">
        <v>18.96</v>
      </c>
      <c r="D18" s="134">
        <v>22.04</v>
      </c>
      <c r="E18" s="134">
        <v>7.13</v>
      </c>
      <c r="F18" s="134">
        <v>2.91</v>
      </c>
      <c r="G18" s="134">
        <v>23.09</v>
      </c>
      <c r="H18" s="134">
        <v>4.5999999999999996</v>
      </c>
      <c r="I18" s="134">
        <v>3.59</v>
      </c>
      <c r="J18" s="134">
        <v>0.36</v>
      </c>
      <c r="K18" s="134">
        <v>263.54000000000002</v>
      </c>
      <c r="L18" s="134">
        <v>24.82</v>
      </c>
      <c r="M18" s="134">
        <v>99.06</v>
      </c>
      <c r="N18" s="134">
        <v>0</v>
      </c>
      <c r="O18" s="134">
        <v>0</v>
      </c>
      <c r="P18" s="134">
        <v>0.48</v>
      </c>
      <c r="Q18" s="134">
        <v>4.78</v>
      </c>
    </row>
    <row r="19" spans="1:17" customFormat="1">
      <c r="A19" s="112" t="s">
        <v>1112</v>
      </c>
      <c r="B19" s="134">
        <v>16.28</v>
      </c>
      <c r="C19" s="134">
        <v>18.47</v>
      </c>
      <c r="D19" s="134">
        <v>21.66</v>
      </c>
      <c r="E19" s="134">
        <v>7.06</v>
      </c>
      <c r="F19" s="134">
        <v>3.44</v>
      </c>
      <c r="G19" s="134">
        <v>23.09</v>
      </c>
      <c r="H19" s="134">
        <v>4.5999999999999996</v>
      </c>
      <c r="I19" s="134">
        <v>3.66</v>
      </c>
      <c r="J19" s="134">
        <v>0.34</v>
      </c>
      <c r="K19" s="134">
        <v>258.83999999999997</v>
      </c>
      <c r="L19" s="134">
        <v>24.84</v>
      </c>
      <c r="M19" s="134">
        <v>98.14</v>
      </c>
      <c r="N19" s="134">
        <v>0</v>
      </c>
      <c r="O19" s="134">
        <v>0</v>
      </c>
      <c r="P19" s="134">
        <v>0.47</v>
      </c>
      <c r="Q19" s="134">
        <v>4.7</v>
      </c>
    </row>
    <row r="20" spans="1:17" customFormat="1">
      <c r="A20" s="112" t="s">
        <v>1113</v>
      </c>
      <c r="B20" s="134">
        <v>16.559999999999999</v>
      </c>
      <c r="C20" s="134">
        <v>21.57</v>
      </c>
      <c r="D20" s="134">
        <v>23.5</v>
      </c>
      <c r="E20" s="134">
        <v>7.16</v>
      </c>
      <c r="F20" s="134">
        <v>1.45</v>
      </c>
      <c r="G20" s="134">
        <v>23.09</v>
      </c>
      <c r="H20" s="134">
        <v>4.5999999999999996</v>
      </c>
      <c r="I20" s="134">
        <v>3.55</v>
      </c>
      <c r="J20" s="134">
        <v>0.4</v>
      </c>
      <c r="K20" s="134">
        <v>264.04000000000002</v>
      </c>
      <c r="L20" s="134">
        <v>24.81</v>
      </c>
      <c r="M20" s="134">
        <v>97.2</v>
      </c>
      <c r="N20" s="134">
        <v>0</v>
      </c>
      <c r="O20" s="134">
        <v>0</v>
      </c>
      <c r="P20" s="134">
        <v>0.51</v>
      </c>
      <c r="Q20" s="134">
        <v>4.8099999999999996</v>
      </c>
    </row>
    <row r="21" spans="1:17" customFormat="1">
      <c r="A21" s="112" t="s">
        <v>1114</v>
      </c>
      <c r="B21" s="134">
        <v>16.68</v>
      </c>
      <c r="C21" s="134">
        <v>20</v>
      </c>
      <c r="D21" s="134">
        <v>22.78</v>
      </c>
      <c r="E21" s="134">
        <v>7.58</v>
      </c>
      <c r="F21" s="134">
        <v>2.75</v>
      </c>
      <c r="G21" s="134">
        <v>20.46</v>
      </c>
      <c r="H21" s="134">
        <v>3.98</v>
      </c>
      <c r="I21" s="134">
        <v>3.54</v>
      </c>
      <c r="J21" s="134">
        <v>0.31</v>
      </c>
      <c r="K21" s="134">
        <v>263.27</v>
      </c>
      <c r="L21" s="134">
        <v>24.79</v>
      </c>
      <c r="M21" s="134">
        <v>96.59</v>
      </c>
      <c r="N21" s="134">
        <v>0</v>
      </c>
      <c r="O21" s="134">
        <v>0</v>
      </c>
      <c r="P21" s="134">
        <v>0.48</v>
      </c>
      <c r="Q21" s="134">
        <v>4.82</v>
      </c>
    </row>
    <row r="22" spans="1:17" customFormat="1">
      <c r="A22" s="112" t="s">
        <v>1115</v>
      </c>
      <c r="B22" s="134">
        <v>16.739999999999998</v>
      </c>
      <c r="C22" s="134">
        <v>18.350000000000001</v>
      </c>
      <c r="D22" s="134">
        <v>21.97</v>
      </c>
      <c r="E22" s="134">
        <v>7.4</v>
      </c>
      <c r="F22" s="134">
        <v>3.24</v>
      </c>
      <c r="G22" s="134">
        <v>19.39</v>
      </c>
      <c r="H22" s="134">
        <v>3.94</v>
      </c>
      <c r="I22" s="134">
        <v>3.63</v>
      </c>
      <c r="J22" s="134">
        <v>0.47</v>
      </c>
      <c r="K22" s="134">
        <v>263.18</v>
      </c>
      <c r="L22" s="134">
        <v>24.78</v>
      </c>
      <c r="M22" s="134">
        <v>96.61</v>
      </c>
      <c r="N22" s="134">
        <v>0</v>
      </c>
      <c r="O22" s="134">
        <v>0</v>
      </c>
      <c r="P22" s="134">
        <v>0.46</v>
      </c>
      <c r="Q22" s="134">
        <v>4.75</v>
      </c>
    </row>
    <row r="23" spans="1:17" customFormat="1">
      <c r="A23" s="112" t="s">
        <v>1116</v>
      </c>
      <c r="B23" s="134">
        <v>16.920000000000002</v>
      </c>
      <c r="C23" s="134">
        <v>20.87</v>
      </c>
      <c r="D23" s="134">
        <v>23.43</v>
      </c>
      <c r="E23" s="134">
        <v>6.82</v>
      </c>
      <c r="F23" s="134">
        <v>1.84</v>
      </c>
      <c r="G23" s="134">
        <v>19.39</v>
      </c>
      <c r="H23" s="134">
        <v>3.94</v>
      </c>
      <c r="I23" s="134">
        <v>3.52</v>
      </c>
      <c r="J23" s="134">
        <v>0.41</v>
      </c>
      <c r="K23" s="134">
        <v>262.14</v>
      </c>
      <c r="L23" s="134">
        <v>24.76</v>
      </c>
      <c r="M23" s="134">
        <v>96.37</v>
      </c>
      <c r="N23" s="134">
        <v>0</v>
      </c>
      <c r="O23" s="134">
        <v>0</v>
      </c>
      <c r="P23" s="134">
        <v>0.49</v>
      </c>
      <c r="Q23" s="134">
        <v>4.7699999999999996</v>
      </c>
    </row>
    <row r="24" spans="1:17" customFormat="1">
      <c r="A24" s="112" t="s">
        <v>1117</v>
      </c>
      <c r="B24" s="134">
        <v>17.3</v>
      </c>
      <c r="C24" s="134">
        <v>21.02</v>
      </c>
      <c r="D24" s="134">
        <v>23.81</v>
      </c>
      <c r="E24" s="134">
        <v>7.72</v>
      </c>
      <c r="F24" s="134">
        <v>1.96</v>
      </c>
      <c r="G24" s="134">
        <v>19.39</v>
      </c>
      <c r="H24" s="134">
        <v>3.94</v>
      </c>
      <c r="I24" s="134">
        <v>3.49</v>
      </c>
      <c r="J24" s="134">
        <v>0.42</v>
      </c>
      <c r="K24" s="134">
        <v>261.31</v>
      </c>
      <c r="L24" s="134">
        <v>24.77</v>
      </c>
      <c r="M24" s="134">
        <v>96.04</v>
      </c>
      <c r="N24" s="134">
        <v>0</v>
      </c>
      <c r="O24" s="134">
        <v>0</v>
      </c>
      <c r="P24" s="134">
        <v>0.49</v>
      </c>
      <c r="Q24" s="134">
        <v>4.83</v>
      </c>
    </row>
    <row r="25" spans="1:17" customFormat="1">
      <c r="A25" s="112" t="s">
        <v>1118</v>
      </c>
      <c r="B25" s="134">
        <v>17.14</v>
      </c>
      <c r="C25" s="134">
        <v>20.53</v>
      </c>
      <c r="D25" s="134">
        <v>23.43</v>
      </c>
      <c r="E25" s="134">
        <v>7.31</v>
      </c>
      <c r="F25" s="134">
        <v>2.6</v>
      </c>
      <c r="G25" s="134">
        <v>19.23</v>
      </c>
      <c r="H25" s="134">
        <v>4.6900000000000004</v>
      </c>
      <c r="I25" s="134">
        <v>3.6</v>
      </c>
      <c r="J25" s="134">
        <v>0.32</v>
      </c>
      <c r="K25" s="134">
        <v>256.81</v>
      </c>
      <c r="L25" s="134">
        <v>24.76</v>
      </c>
      <c r="M25" s="134">
        <v>96.07</v>
      </c>
      <c r="N25" s="134">
        <v>0</v>
      </c>
      <c r="O25" s="134">
        <v>0</v>
      </c>
      <c r="P25" s="134">
        <v>0.5</v>
      </c>
      <c r="Q25" s="134">
        <v>4.8</v>
      </c>
    </row>
    <row r="26" spans="1:17" customFormat="1">
      <c r="A26" s="112" t="s">
        <v>1119</v>
      </c>
      <c r="B26" s="134">
        <v>16.7</v>
      </c>
      <c r="C26" s="134">
        <v>21.65</v>
      </c>
      <c r="D26" s="134">
        <v>23.66</v>
      </c>
      <c r="E26" s="134">
        <v>6.89</v>
      </c>
      <c r="F26" s="134">
        <v>2.58</v>
      </c>
      <c r="G26" s="134">
        <v>19.16</v>
      </c>
      <c r="H26" s="134">
        <v>4.7300000000000004</v>
      </c>
      <c r="I26" s="134">
        <v>3.56</v>
      </c>
      <c r="J26" s="134">
        <v>0.31</v>
      </c>
      <c r="K26" s="134">
        <v>261.12</v>
      </c>
      <c r="L26" s="134">
        <v>24.67</v>
      </c>
      <c r="M26" s="134">
        <v>96.33</v>
      </c>
      <c r="N26" s="134">
        <v>0</v>
      </c>
      <c r="O26" s="134">
        <v>0</v>
      </c>
      <c r="P26" s="134">
        <v>0.51</v>
      </c>
      <c r="Q26" s="134">
        <v>4.8</v>
      </c>
    </row>
    <row r="27" spans="1:17" customFormat="1">
      <c r="A27" s="112" t="s">
        <v>1120</v>
      </c>
      <c r="B27" s="134">
        <v>16.940000000000001</v>
      </c>
      <c r="C27" s="134">
        <v>19.91</v>
      </c>
      <c r="D27" s="134">
        <v>22.94</v>
      </c>
      <c r="E27" s="134">
        <v>6.68</v>
      </c>
      <c r="F27" s="134">
        <v>2.87</v>
      </c>
      <c r="G27" s="134">
        <v>19.16</v>
      </c>
      <c r="H27" s="134">
        <v>4.7300000000000004</v>
      </c>
      <c r="I27" s="134">
        <v>3.54</v>
      </c>
      <c r="J27" s="134">
        <v>0.28999999999999998</v>
      </c>
      <c r="K27" s="134">
        <v>258.13</v>
      </c>
      <c r="L27" s="134">
        <v>24.61</v>
      </c>
      <c r="M27" s="134">
        <v>96.61</v>
      </c>
      <c r="N27" s="134">
        <v>0</v>
      </c>
      <c r="O27" s="134">
        <v>0</v>
      </c>
      <c r="P27" s="134">
        <v>0.47</v>
      </c>
      <c r="Q27" s="134">
        <v>4.7699999999999996</v>
      </c>
    </row>
    <row r="28" spans="1:17" customFormat="1">
      <c r="A28" s="112" t="s">
        <v>1121</v>
      </c>
      <c r="B28" s="134">
        <v>16.98</v>
      </c>
      <c r="C28" s="134">
        <v>18.47</v>
      </c>
      <c r="D28" s="134">
        <v>22.22</v>
      </c>
      <c r="E28" s="134">
        <v>6.22</v>
      </c>
      <c r="F28" s="134">
        <v>2.9</v>
      </c>
      <c r="G28" s="134">
        <v>19.16</v>
      </c>
      <c r="H28" s="134">
        <v>4.7300000000000004</v>
      </c>
      <c r="I28" s="134">
        <v>3.43</v>
      </c>
      <c r="J28" s="134">
        <v>0.28999999999999998</v>
      </c>
      <c r="K28" s="134">
        <v>261.75</v>
      </c>
      <c r="L28" s="134">
        <v>24.61</v>
      </c>
      <c r="M28" s="134">
        <v>96.6</v>
      </c>
      <c r="N28" s="134">
        <v>0</v>
      </c>
      <c r="O28" s="134">
        <v>0</v>
      </c>
      <c r="P28" s="134">
        <v>0.44</v>
      </c>
      <c r="Q28" s="134">
        <v>4.75</v>
      </c>
    </row>
    <row r="29" spans="1:17" customFormat="1">
      <c r="A29" s="112" t="s">
        <v>1122</v>
      </c>
      <c r="B29" s="134">
        <v>16.739999999999998</v>
      </c>
      <c r="C29" s="134">
        <v>18.62</v>
      </c>
      <c r="D29" s="134">
        <v>22.11</v>
      </c>
      <c r="E29" s="134">
        <v>6.25</v>
      </c>
      <c r="F29" s="134">
        <v>2.77</v>
      </c>
      <c r="G29" s="134">
        <v>19</v>
      </c>
      <c r="H29" s="134">
        <v>3.61</v>
      </c>
      <c r="I29" s="134">
        <v>3.33</v>
      </c>
      <c r="J29" s="134">
        <v>0.3</v>
      </c>
      <c r="K29" s="134">
        <v>260.69</v>
      </c>
      <c r="L29" s="134">
        <v>24.59</v>
      </c>
      <c r="M29" s="134">
        <v>96.42</v>
      </c>
      <c r="N29" s="134">
        <v>0</v>
      </c>
      <c r="O29" s="134">
        <v>0</v>
      </c>
      <c r="P29" s="134">
        <v>0.43</v>
      </c>
      <c r="Q29" s="134">
        <v>4.75</v>
      </c>
    </row>
    <row r="30" spans="1:17" customFormat="1">
      <c r="A30" s="112" t="s">
        <v>1123</v>
      </c>
      <c r="B30" s="134">
        <v>16.899999999999999</v>
      </c>
      <c r="C30" s="134">
        <v>21.69</v>
      </c>
      <c r="D30" s="134">
        <v>23.85</v>
      </c>
      <c r="E30" s="134">
        <v>7.11</v>
      </c>
      <c r="F30" s="134">
        <v>1.54</v>
      </c>
      <c r="G30" s="134">
        <v>18.93</v>
      </c>
      <c r="H30" s="134">
        <v>3.54</v>
      </c>
      <c r="I30" s="134">
        <v>3.26</v>
      </c>
      <c r="J30" s="134">
        <v>0.2</v>
      </c>
      <c r="K30" s="134">
        <v>262.73</v>
      </c>
      <c r="L30" s="134">
        <v>24.53</v>
      </c>
      <c r="M30" s="134">
        <v>96.65</v>
      </c>
      <c r="N30" s="134">
        <v>0</v>
      </c>
      <c r="O30" s="134">
        <v>0</v>
      </c>
      <c r="P30" s="134">
        <v>0.46</v>
      </c>
      <c r="Q30" s="134">
        <v>4.82</v>
      </c>
    </row>
    <row r="31" spans="1:17" customFormat="1">
      <c r="A31" s="112" t="s">
        <v>1124</v>
      </c>
      <c r="B31" s="134">
        <v>17.3</v>
      </c>
      <c r="C31" s="134">
        <v>20.37</v>
      </c>
      <c r="D31" s="134">
        <v>23.47</v>
      </c>
      <c r="E31" s="134">
        <v>7.43</v>
      </c>
      <c r="F31" s="134">
        <v>2.35</v>
      </c>
      <c r="G31" s="134">
        <v>18.93</v>
      </c>
      <c r="H31" s="134">
        <v>3.54</v>
      </c>
      <c r="I31" s="134">
        <v>3.26</v>
      </c>
      <c r="J31" s="134">
        <v>0.2</v>
      </c>
      <c r="K31" s="134">
        <v>251.37</v>
      </c>
      <c r="L31" s="134">
        <v>24.47</v>
      </c>
      <c r="M31" s="134">
        <v>97</v>
      </c>
      <c r="N31" s="134">
        <v>0.2</v>
      </c>
      <c r="O31" s="134">
        <v>0</v>
      </c>
      <c r="P31" s="134">
        <v>0.45</v>
      </c>
      <c r="Q31" s="134">
        <v>4.8</v>
      </c>
    </row>
    <row r="32" spans="1:17" customFormat="1">
      <c r="A32" s="112" t="s">
        <v>1125</v>
      </c>
      <c r="B32" s="134">
        <v>17.32</v>
      </c>
      <c r="C32" s="134">
        <v>18.97</v>
      </c>
      <c r="D32" s="134">
        <v>22.76</v>
      </c>
      <c r="E32" s="134">
        <v>7.06</v>
      </c>
      <c r="F32" s="134">
        <v>2.73</v>
      </c>
      <c r="G32" s="134">
        <v>18.93</v>
      </c>
      <c r="H32" s="134">
        <v>3.54</v>
      </c>
      <c r="I32" s="134">
        <v>3.39</v>
      </c>
      <c r="J32" s="134">
        <v>0.1</v>
      </c>
      <c r="K32" s="134">
        <v>260.94</v>
      </c>
      <c r="L32" s="134">
        <v>24.48</v>
      </c>
      <c r="M32" s="134">
        <v>97.14</v>
      </c>
      <c r="N32" s="134">
        <v>7.8</v>
      </c>
      <c r="O32" s="134">
        <v>0</v>
      </c>
      <c r="P32" s="134">
        <v>0.43</v>
      </c>
      <c r="Q32" s="134">
        <v>4.76</v>
      </c>
    </row>
    <row r="33" spans="1:17" customFormat="1">
      <c r="A33" s="112" t="s">
        <v>1126</v>
      </c>
      <c r="B33" s="134">
        <v>17.510000000000002</v>
      </c>
      <c r="C33" s="134">
        <v>21.58</v>
      </c>
      <c r="D33" s="134">
        <v>24.27</v>
      </c>
      <c r="E33" s="134">
        <v>7.28</v>
      </c>
      <c r="F33" s="134">
        <v>1.47</v>
      </c>
      <c r="G33" s="134">
        <v>18.27</v>
      </c>
      <c r="H33" s="134">
        <v>3.64</v>
      </c>
      <c r="I33" s="134">
        <v>3.28</v>
      </c>
      <c r="J33" s="134">
        <v>0.17</v>
      </c>
      <c r="K33" s="134">
        <v>239.99</v>
      </c>
      <c r="L33" s="134">
        <v>24.58</v>
      </c>
      <c r="M33" s="134">
        <v>97.32</v>
      </c>
      <c r="N33" s="134">
        <v>20.7</v>
      </c>
      <c r="O33" s="134">
        <v>0</v>
      </c>
      <c r="P33" s="134">
        <v>0.46</v>
      </c>
      <c r="Q33" s="134">
        <v>4.82</v>
      </c>
    </row>
    <row r="34" spans="1:17" customFormat="1">
      <c r="A34" s="112" t="s">
        <v>1127</v>
      </c>
      <c r="B34" s="134">
        <v>17.86</v>
      </c>
      <c r="C34" s="134">
        <v>20.91</v>
      </c>
      <c r="D34" s="134">
        <v>24.2</v>
      </c>
      <c r="E34" s="134">
        <v>7.5</v>
      </c>
      <c r="F34" s="134">
        <v>2.11</v>
      </c>
      <c r="G34" s="134">
        <v>18.010000000000002</v>
      </c>
      <c r="H34" s="134">
        <v>3.64</v>
      </c>
      <c r="I34" s="134">
        <v>3.26</v>
      </c>
      <c r="J34" s="134">
        <v>0.2</v>
      </c>
      <c r="K34" s="134">
        <v>256.95</v>
      </c>
      <c r="L34" s="134">
        <v>24.79</v>
      </c>
      <c r="M34" s="134">
        <v>96.91</v>
      </c>
      <c r="N34" s="134">
        <v>42.2</v>
      </c>
      <c r="O34" s="134">
        <v>0</v>
      </c>
      <c r="P34" s="134">
        <v>0.45</v>
      </c>
      <c r="Q34" s="134">
        <v>4.8499999999999996</v>
      </c>
    </row>
    <row r="35" spans="1:17" customFormat="1">
      <c r="A35" s="112" t="s">
        <v>1128</v>
      </c>
      <c r="B35" s="134">
        <v>17.93</v>
      </c>
      <c r="C35" s="134">
        <v>18.7</v>
      </c>
      <c r="D35" s="134">
        <v>23.1</v>
      </c>
      <c r="E35" s="134">
        <v>7.27</v>
      </c>
      <c r="F35" s="134">
        <v>2.91</v>
      </c>
      <c r="G35" s="134">
        <v>18.010000000000002</v>
      </c>
      <c r="H35" s="134">
        <v>3.64</v>
      </c>
      <c r="I35" s="134">
        <v>3.37</v>
      </c>
      <c r="J35" s="134">
        <v>0.32</v>
      </c>
      <c r="K35" s="134">
        <v>260.57</v>
      </c>
      <c r="L35" s="134">
        <v>25.1</v>
      </c>
      <c r="M35" s="134">
        <v>95.48</v>
      </c>
      <c r="N35" s="134">
        <v>33.200000000000003</v>
      </c>
      <c r="O35" s="134">
        <v>0</v>
      </c>
      <c r="P35" s="134">
        <v>0.43</v>
      </c>
      <c r="Q35" s="134">
        <v>4.8099999999999996</v>
      </c>
    </row>
    <row r="36" spans="1:17" customFormat="1">
      <c r="A36" s="112" t="s">
        <v>1129</v>
      </c>
      <c r="B36" s="134">
        <v>17.920000000000002</v>
      </c>
      <c r="C36" s="134">
        <v>20.62</v>
      </c>
      <c r="D36" s="134">
        <v>24.1</v>
      </c>
      <c r="E36" s="134">
        <v>7.13</v>
      </c>
      <c r="F36" s="134">
        <v>1.93</v>
      </c>
      <c r="G36" s="134">
        <v>18.010000000000002</v>
      </c>
      <c r="H36" s="134">
        <v>3.64</v>
      </c>
      <c r="I36" s="134">
        <v>3.33</v>
      </c>
      <c r="J36" s="134">
        <v>0.5</v>
      </c>
      <c r="K36" s="134">
        <v>265.95</v>
      </c>
      <c r="L36" s="134">
        <v>25.19</v>
      </c>
      <c r="M36" s="134">
        <v>94.47</v>
      </c>
      <c r="N36" s="134">
        <v>45</v>
      </c>
      <c r="O36" s="134">
        <v>0</v>
      </c>
      <c r="P36" s="134">
        <v>0.46</v>
      </c>
      <c r="Q36" s="134">
        <v>4.83</v>
      </c>
    </row>
    <row r="37" spans="1:17" customFormat="1">
      <c r="A37" s="112" t="s">
        <v>1130</v>
      </c>
      <c r="B37" s="134">
        <v>17.98</v>
      </c>
      <c r="C37" s="134">
        <v>21.32</v>
      </c>
      <c r="D37" s="134">
        <v>24.51</v>
      </c>
      <c r="E37" s="134">
        <v>7.91</v>
      </c>
      <c r="F37" s="134">
        <v>1.98</v>
      </c>
      <c r="G37" s="134">
        <v>20.99</v>
      </c>
      <c r="H37" s="134">
        <v>3.69</v>
      </c>
      <c r="I37" s="134">
        <v>3.27</v>
      </c>
      <c r="J37" s="134">
        <v>0.47</v>
      </c>
      <c r="K37" s="134">
        <v>260.22000000000003</v>
      </c>
      <c r="L37" s="134">
        <v>25.39</v>
      </c>
      <c r="M37" s="134">
        <v>93.41</v>
      </c>
      <c r="N37" s="134">
        <v>79.5</v>
      </c>
      <c r="O37" s="134">
        <v>0</v>
      </c>
      <c r="P37" s="134">
        <v>0.45</v>
      </c>
      <c r="Q37" s="134">
        <v>4.8899999999999997</v>
      </c>
    </row>
    <row r="38" spans="1:17" customFormat="1">
      <c r="A38" s="112" t="s">
        <v>1131</v>
      </c>
      <c r="B38" s="134">
        <v>18.079999999999998</v>
      </c>
      <c r="C38" s="134">
        <v>18.91</v>
      </c>
      <c r="D38" s="134">
        <v>23.34</v>
      </c>
      <c r="E38" s="134">
        <v>7.93</v>
      </c>
      <c r="F38" s="134">
        <v>2.94</v>
      </c>
      <c r="G38" s="134">
        <v>22.21</v>
      </c>
      <c r="H38" s="134">
        <v>3.69</v>
      </c>
      <c r="I38" s="134">
        <v>3.36</v>
      </c>
      <c r="J38" s="134">
        <v>0.47</v>
      </c>
      <c r="K38" s="134">
        <v>263.74</v>
      </c>
      <c r="L38" s="134">
        <v>25.75</v>
      </c>
      <c r="M38" s="134">
        <v>92.26</v>
      </c>
      <c r="N38" s="134">
        <v>105.2</v>
      </c>
      <c r="O38" s="134">
        <v>0</v>
      </c>
      <c r="P38" s="134">
        <v>0.43</v>
      </c>
      <c r="Q38" s="134">
        <v>4.8600000000000003</v>
      </c>
    </row>
    <row r="39" spans="1:17" customFormat="1">
      <c r="A39" s="112" t="s">
        <v>1132</v>
      </c>
      <c r="B39" s="134">
        <v>17.989999999999998</v>
      </c>
      <c r="C39" s="134">
        <v>19.100000000000001</v>
      </c>
      <c r="D39" s="134">
        <v>23.36</v>
      </c>
      <c r="E39" s="134">
        <v>7.46</v>
      </c>
      <c r="F39" s="134">
        <v>2.7</v>
      </c>
      <c r="G39" s="134">
        <v>22.21</v>
      </c>
      <c r="H39" s="134">
        <v>3.69</v>
      </c>
      <c r="I39" s="134">
        <v>3.38</v>
      </c>
      <c r="J39" s="134">
        <v>0.56000000000000005</v>
      </c>
      <c r="K39" s="134">
        <v>262.23</v>
      </c>
      <c r="L39" s="134">
        <v>26.12</v>
      </c>
      <c r="M39" s="134">
        <v>91.12</v>
      </c>
      <c r="N39" s="134">
        <v>135.5</v>
      </c>
      <c r="O39" s="134">
        <v>0</v>
      </c>
      <c r="P39" s="134">
        <v>0.44</v>
      </c>
      <c r="Q39" s="134">
        <v>4.82</v>
      </c>
    </row>
    <row r="40" spans="1:17" customFormat="1">
      <c r="A40" s="112" t="s">
        <v>1133</v>
      </c>
      <c r="B40" s="134">
        <v>18.18</v>
      </c>
      <c r="C40" s="134">
        <v>21.5</v>
      </c>
      <c r="D40" s="134">
        <v>24.76</v>
      </c>
      <c r="E40" s="134">
        <v>7.45</v>
      </c>
      <c r="F40" s="134">
        <v>1.76</v>
      </c>
      <c r="G40" s="134">
        <v>22.21</v>
      </c>
      <c r="H40" s="134">
        <v>3.69</v>
      </c>
      <c r="I40" s="134">
        <v>3.34</v>
      </c>
      <c r="J40" s="134">
        <v>0.71</v>
      </c>
      <c r="K40" s="134">
        <v>265.77999999999997</v>
      </c>
      <c r="L40" s="134">
        <v>26.66</v>
      </c>
      <c r="M40" s="134">
        <v>88.83</v>
      </c>
      <c r="N40" s="134">
        <v>154.30000000000001</v>
      </c>
      <c r="O40" s="134">
        <v>0</v>
      </c>
      <c r="P40" s="134">
        <v>0.47</v>
      </c>
      <c r="Q40" s="134">
        <v>4.9000000000000004</v>
      </c>
    </row>
    <row r="41" spans="1:17" customFormat="1">
      <c r="A41" s="112" t="s">
        <v>1134</v>
      </c>
      <c r="B41" s="134">
        <v>18.03</v>
      </c>
      <c r="C41" s="134">
        <v>19.559999999999999</v>
      </c>
      <c r="D41" s="134">
        <v>23.63</v>
      </c>
      <c r="E41" s="134">
        <v>7.3</v>
      </c>
      <c r="F41" s="134">
        <v>2.92</v>
      </c>
      <c r="G41" s="134">
        <v>23.72</v>
      </c>
      <c r="H41" s="134">
        <v>6.21</v>
      </c>
      <c r="I41" s="134">
        <v>3.36</v>
      </c>
      <c r="J41" s="134">
        <v>0.6</v>
      </c>
      <c r="K41" s="134">
        <v>280.94</v>
      </c>
      <c r="L41" s="134">
        <v>27.11</v>
      </c>
      <c r="M41" s="134">
        <v>86.35</v>
      </c>
      <c r="N41" s="134">
        <v>147.1</v>
      </c>
      <c r="O41" s="134">
        <v>0</v>
      </c>
      <c r="P41" s="134">
        <v>0.47</v>
      </c>
      <c r="Q41" s="134">
        <v>4.8600000000000003</v>
      </c>
    </row>
    <row r="42" spans="1:17" customFormat="1">
      <c r="A42" s="112" t="s">
        <v>1135</v>
      </c>
      <c r="B42" s="134">
        <v>18.079999999999998</v>
      </c>
      <c r="C42" s="134">
        <v>18.62</v>
      </c>
      <c r="D42" s="134">
        <v>23.18</v>
      </c>
      <c r="E42" s="134">
        <v>7.99</v>
      </c>
      <c r="F42" s="134">
        <v>3.35</v>
      </c>
      <c r="G42" s="134">
        <v>24.34</v>
      </c>
      <c r="H42" s="134">
        <v>6.4</v>
      </c>
      <c r="I42" s="134">
        <v>3.49</v>
      </c>
      <c r="J42" s="134">
        <v>0.59</v>
      </c>
      <c r="K42" s="134">
        <v>277.74</v>
      </c>
      <c r="L42" s="134">
        <v>27.76</v>
      </c>
      <c r="M42" s="134">
        <v>83.44</v>
      </c>
      <c r="N42" s="134">
        <v>163.5</v>
      </c>
      <c r="O42" s="134">
        <v>0</v>
      </c>
      <c r="P42" s="134">
        <v>0.46</v>
      </c>
      <c r="Q42" s="134">
        <v>4.84</v>
      </c>
    </row>
    <row r="43" spans="1:17" customFormat="1">
      <c r="A43" s="112" t="s">
        <v>1136</v>
      </c>
      <c r="B43" s="134">
        <v>18.3</v>
      </c>
      <c r="C43" s="134">
        <v>18.75</v>
      </c>
      <c r="D43" s="134">
        <v>23.42</v>
      </c>
      <c r="E43" s="134">
        <v>7.64</v>
      </c>
      <c r="F43" s="134">
        <v>3.49</v>
      </c>
      <c r="G43" s="134">
        <v>24.34</v>
      </c>
      <c r="H43" s="134">
        <v>6.4</v>
      </c>
      <c r="I43" s="134">
        <v>3.55</v>
      </c>
      <c r="J43" s="134">
        <v>0.59</v>
      </c>
      <c r="K43" s="134">
        <v>295.17</v>
      </c>
      <c r="L43" s="134">
        <v>28.45</v>
      </c>
      <c r="M43" s="134">
        <v>79.989999999999995</v>
      </c>
      <c r="N43" s="134">
        <v>186.6</v>
      </c>
      <c r="O43" s="134">
        <v>0</v>
      </c>
      <c r="P43" s="134">
        <v>0.47</v>
      </c>
      <c r="Q43" s="134">
        <v>4.83</v>
      </c>
    </row>
    <row r="44" spans="1:17" customFormat="1">
      <c r="A44" s="112" t="s">
        <v>1137</v>
      </c>
      <c r="B44" s="134">
        <v>18.59</v>
      </c>
      <c r="C44" s="134">
        <v>19.440000000000001</v>
      </c>
      <c r="D44" s="134">
        <v>24.02</v>
      </c>
      <c r="E44" s="134">
        <v>7.21</v>
      </c>
      <c r="F44" s="134">
        <v>3.23</v>
      </c>
      <c r="G44" s="134">
        <v>24.34</v>
      </c>
      <c r="H44" s="134">
        <v>6.4</v>
      </c>
      <c r="I44" s="134">
        <v>3.63</v>
      </c>
      <c r="J44" s="134">
        <v>0.51</v>
      </c>
      <c r="K44" s="134">
        <v>288.14</v>
      </c>
      <c r="L44" s="134">
        <v>29.08</v>
      </c>
      <c r="M44" s="134">
        <v>77.239999999999995</v>
      </c>
      <c r="N44" s="134">
        <v>246.1</v>
      </c>
      <c r="O44" s="134">
        <v>0.2</v>
      </c>
      <c r="P44" s="134">
        <v>0.47</v>
      </c>
      <c r="Q44" s="134">
        <v>4.82</v>
      </c>
    </row>
    <row r="45" spans="1:17" customFormat="1">
      <c r="A45" s="112" t="s">
        <v>1138</v>
      </c>
      <c r="B45" s="134">
        <v>18.22</v>
      </c>
      <c r="C45" s="134">
        <v>22.36</v>
      </c>
      <c r="D45" s="134">
        <v>25.25</v>
      </c>
      <c r="E45" s="134">
        <v>7.83</v>
      </c>
      <c r="F45" s="134">
        <v>2.0499999999999998</v>
      </c>
      <c r="G45" s="134">
        <v>28.46</v>
      </c>
      <c r="H45" s="134">
        <v>7.58</v>
      </c>
      <c r="I45" s="134">
        <v>3.7</v>
      </c>
      <c r="J45" s="134">
        <v>0.51</v>
      </c>
      <c r="K45" s="134">
        <v>284.63</v>
      </c>
      <c r="L45" s="134">
        <v>29.6</v>
      </c>
      <c r="M45" s="134">
        <v>75.23</v>
      </c>
      <c r="N45" s="134">
        <v>319.5</v>
      </c>
      <c r="O45" s="134">
        <v>0</v>
      </c>
      <c r="P45" s="134">
        <v>0.52</v>
      </c>
      <c r="Q45" s="134">
        <v>4.92</v>
      </c>
    </row>
    <row r="46" spans="1:17" customFormat="1">
      <c r="A46" s="112" t="s">
        <v>1139</v>
      </c>
      <c r="B46" s="134">
        <v>17.87</v>
      </c>
      <c r="C46" s="134">
        <v>24.45</v>
      </c>
      <c r="D46" s="134">
        <v>26.06</v>
      </c>
      <c r="E46" s="134">
        <v>8.06</v>
      </c>
      <c r="F46" s="134">
        <v>2.0099999999999998</v>
      </c>
      <c r="G46" s="134">
        <v>30.14</v>
      </c>
      <c r="H46" s="134">
        <v>7.63</v>
      </c>
      <c r="I46" s="134">
        <v>3.8</v>
      </c>
      <c r="J46" s="134">
        <v>0.56000000000000005</v>
      </c>
      <c r="K46" s="134">
        <v>299.48</v>
      </c>
      <c r="L46" s="134">
        <v>30.06</v>
      </c>
      <c r="M46" s="134">
        <v>71.7</v>
      </c>
      <c r="N46" s="134">
        <v>298.5</v>
      </c>
      <c r="O46" s="134">
        <v>0</v>
      </c>
      <c r="P46" s="134">
        <v>0.56999999999999995</v>
      </c>
      <c r="Q46" s="134">
        <v>4.95</v>
      </c>
    </row>
    <row r="47" spans="1:17" customFormat="1">
      <c r="A47" s="112" t="s">
        <v>1140</v>
      </c>
      <c r="B47" s="134">
        <v>17.670000000000002</v>
      </c>
      <c r="C47" s="134">
        <v>25.7</v>
      </c>
      <c r="D47" s="134">
        <v>26.55</v>
      </c>
      <c r="E47" s="134">
        <v>8.01</v>
      </c>
      <c r="F47" s="134">
        <v>2.6</v>
      </c>
      <c r="G47" s="134">
        <v>30.14</v>
      </c>
      <c r="H47" s="134">
        <v>7.63</v>
      </c>
      <c r="I47" s="134">
        <v>3.96</v>
      </c>
      <c r="J47" s="134">
        <v>0.65</v>
      </c>
      <c r="K47" s="134">
        <v>314.27999999999997</v>
      </c>
      <c r="L47" s="134">
        <v>30.33</v>
      </c>
      <c r="M47" s="134">
        <v>69.95</v>
      </c>
      <c r="N47" s="134">
        <v>309.8</v>
      </c>
      <c r="O47" s="134">
        <v>0</v>
      </c>
      <c r="P47" s="134">
        <v>0.57999999999999996</v>
      </c>
      <c r="Q47" s="134">
        <v>5.01</v>
      </c>
    </row>
    <row r="48" spans="1:17" customFormat="1">
      <c r="A48" s="112" t="s">
        <v>1141</v>
      </c>
      <c r="B48" s="134">
        <v>18.27</v>
      </c>
      <c r="C48" s="134">
        <v>22.67</v>
      </c>
      <c r="D48" s="134">
        <v>25.44</v>
      </c>
      <c r="E48" s="134">
        <v>7.79</v>
      </c>
      <c r="F48" s="134">
        <v>4.7300000000000004</v>
      </c>
      <c r="G48" s="134">
        <v>30.14</v>
      </c>
      <c r="H48" s="134">
        <v>7.63</v>
      </c>
      <c r="I48" s="134">
        <v>4.08</v>
      </c>
      <c r="J48" s="134">
        <v>0.6</v>
      </c>
      <c r="K48" s="134">
        <v>323.60000000000002</v>
      </c>
      <c r="L48" s="134">
        <v>30.6</v>
      </c>
      <c r="M48" s="134">
        <v>68.59</v>
      </c>
      <c r="N48" s="134">
        <v>313.5</v>
      </c>
      <c r="O48" s="134">
        <v>0</v>
      </c>
      <c r="P48" s="134">
        <v>0.54</v>
      </c>
      <c r="Q48" s="134">
        <v>4.95</v>
      </c>
    </row>
    <row r="49" spans="1:17" customFormat="1">
      <c r="A49" s="112" t="s">
        <v>1142</v>
      </c>
      <c r="B49" s="134">
        <v>17.63</v>
      </c>
      <c r="C49" s="134">
        <v>20.22</v>
      </c>
      <c r="D49" s="134">
        <v>23.66</v>
      </c>
      <c r="E49" s="134">
        <v>8.84</v>
      </c>
      <c r="F49" s="134">
        <v>7.29</v>
      </c>
      <c r="G49" s="134">
        <v>36.19</v>
      </c>
      <c r="H49" s="134">
        <v>8.99</v>
      </c>
      <c r="I49" s="134">
        <v>4.08</v>
      </c>
      <c r="J49" s="134">
        <v>0.63</v>
      </c>
      <c r="K49" s="134">
        <v>320.60000000000002</v>
      </c>
      <c r="L49" s="134">
        <v>30.83</v>
      </c>
      <c r="M49" s="134">
        <v>67.34</v>
      </c>
      <c r="N49" s="134">
        <v>348.8</v>
      </c>
      <c r="O49" s="134">
        <v>0</v>
      </c>
      <c r="P49" s="134">
        <v>0.51</v>
      </c>
      <c r="Q49" s="134">
        <v>4.91</v>
      </c>
    </row>
    <row r="50" spans="1:17" customFormat="1">
      <c r="A50" s="112" t="s">
        <v>1143</v>
      </c>
      <c r="B50" s="134">
        <v>17.2</v>
      </c>
      <c r="C50" s="134">
        <v>20.49</v>
      </c>
      <c r="D50" s="134">
        <v>23.46</v>
      </c>
      <c r="E50" s="134">
        <v>9.7799999999999994</v>
      </c>
      <c r="F50" s="134">
        <v>6.06</v>
      </c>
      <c r="G50" s="134">
        <v>38.65</v>
      </c>
      <c r="H50" s="134">
        <v>9.0500000000000007</v>
      </c>
      <c r="I50" s="134">
        <v>3.97</v>
      </c>
      <c r="J50" s="134">
        <v>0.54</v>
      </c>
      <c r="K50" s="134">
        <v>347.51</v>
      </c>
      <c r="L50" s="134">
        <v>30.92</v>
      </c>
      <c r="M50" s="134">
        <v>66.78</v>
      </c>
      <c r="N50" s="134">
        <v>350.6</v>
      </c>
      <c r="O50" s="134">
        <v>0</v>
      </c>
      <c r="P50" s="134">
        <v>0.51</v>
      </c>
      <c r="Q50" s="134">
        <v>4.88</v>
      </c>
    </row>
    <row r="51" spans="1:17" customFormat="1">
      <c r="A51" s="112" t="s">
        <v>1144</v>
      </c>
      <c r="B51" s="134">
        <v>16.809999999999999</v>
      </c>
      <c r="C51" s="134">
        <v>21.37</v>
      </c>
      <c r="D51" s="134">
        <v>23.6</v>
      </c>
      <c r="E51" s="134">
        <v>9.6999999999999993</v>
      </c>
      <c r="F51" s="134">
        <v>5.39</v>
      </c>
      <c r="G51" s="134">
        <v>38.65</v>
      </c>
      <c r="H51" s="134">
        <v>9.0500000000000007</v>
      </c>
      <c r="I51" s="134">
        <v>3.87</v>
      </c>
      <c r="J51" s="134">
        <v>0.55000000000000004</v>
      </c>
      <c r="K51" s="134">
        <v>300.38</v>
      </c>
      <c r="L51" s="134">
        <v>30.45</v>
      </c>
      <c r="M51" s="134">
        <v>69.17</v>
      </c>
      <c r="N51" s="134">
        <v>341.9</v>
      </c>
      <c r="O51" s="134">
        <v>0</v>
      </c>
      <c r="P51" s="134">
        <v>0.5</v>
      </c>
      <c r="Q51" s="134">
        <v>4.84</v>
      </c>
    </row>
    <row r="52" spans="1:17" customFormat="1">
      <c r="A52" s="112" t="s">
        <v>1145</v>
      </c>
      <c r="B52" s="134">
        <v>16.760000000000002</v>
      </c>
      <c r="C52" s="134">
        <v>21.18</v>
      </c>
      <c r="D52" s="134">
        <v>23.46</v>
      </c>
      <c r="E52" s="134">
        <v>9.01</v>
      </c>
      <c r="F52" s="134">
        <v>5.45</v>
      </c>
      <c r="G52" s="134">
        <v>38.65</v>
      </c>
      <c r="H52" s="134">
        <v>9.0500000000000007</v>
      </c>
      <c r="I52" s="134">
        <v>3.89</v>
      </c>
      <c r="J52" s="134">
        <v>0.67</v>
      </c>
      <c r="K52" s="134">
        <v>322.63</v>
      </c>
      <c r="L52" s="134">
        <v>31.1</v>
      </c>
      <c r="M52" s="134">
        <v>65.739999999999995</v>
      </c>
      <c r="N52" s="134">
        <v>576.29999999999995</v>
      </c>
      <c r="O52" s="134">
        <v>0</v>
      </c>
      <c r="P52" s="134">
        <v>0.5</v>
      </c>
      <c r="Q52" s="134">
        <v>4.84</v>
      </c>
    </row>
    <row r="53" spans="1:17" customFormat="1">
      <c r="A53" s="112" t="s">
        <v>1146</v>
      </c>
      <c r="B53" s="134">
        <v>17.079999999999998</v>
      </c>
      <c r="C53" s="134">
        <v>21.55</v>
      </c>
      <c r="D53" s="134">
        <v>23.91</v>
      </c>
      <c r="E53" s="134">
        <v>9.58</v>
      </c>
      <c r="F53" s="134">
        <v>5.38</v>
      </c>
      <c r="G53" s="134">
        <v>42.44</v>
      </c>
      <c r="H53" s="134">
        <v>8.3000000000000007</v>
      </c>
      <c r="I53" s="134">
        <v>3.86</v>
      </c>
      <c r="J53" s="134">
        <v>0.57999999999999996</v>
      </c>
      <c r="K53" s="134">
        <v>304.89999999999998</v>
      </c>
      <c r="L53" s="134">
        <v>30.9</v>
      </c>
      <c r="M53" s="134">
        <v>66.400000000000006</v>
      </c>
      <c r="N53" s="134">
        <v>566.70000000000005</v>
      </c>
      <c r="O53" s="134">
        <v>0</v>
      </c>
      <c r="P53" s="134">
        <v>0.51</v>
      </c>
      <c r="Q53" s="134">
        <v>4.83</v>
      </c>
    </row>
    <row r="54" spans="1:17" customFormat="1">
      <c r="A54" s="112" t="s">
        <v>1147</v>
      </c>
      <c r="B54" s="134">
        <v>16.5</v>
      </c>
      <c r="C54" s="134">
        <v>21.11</v>
      </c>
      <c r="D54" s="134">
        <v>23.21</v>
      </c>
      <c r="E54" s="134">
        <v>8.86</v>
      </c>
      <c r="F54" s="134">
        <v>6.34</v>
      </c>
      <c r="G54" s="134">
        <v>43.98</v>
      </c>
      <c r="H54" s="134">
        <v>8.26</v>
      </c>
      <c r="I54" s="134">
        <v>3.79</v>
      </c>
      <c r="J54" s="134">
        <v>0.4</v>
      </c>
      <c r="K54" s="134">
        <v>332.33</v>
      </c>
      <c r="L54" s="134">
        <v>31.03</v>
      </c>
      <c r="M54" s="134">
        <v>66.540000000000006</v>
      </c>
      <c r="N54" s="134">
        <v>379.7</v>
      </c>
      <c r="O54" s="134">
        <v>0</v>
      </c>
      <c r="P54" s="134">
        <v>0.51</v>
      </c>
      <c r="Q54" s="134">
        <v>4.8</v>
      </c>
    </row>
    <row r="55" spans="1:17" customFormat="1">
      <c r="A55" s="112" t="s">
        <v>1148</v>
      </c>
      <c r="B55" s="134">
        <v>16.170000000000002</v>
      </c>
      <c r="C55" s="134">
        <v>21.17</v>
      </c>
      <c r="D55" s="134">
        <v>22.99</v>
      </c>
      <c r="E55" s="134">
        <v>9.3699999999999992</v>
      </c>
      <c r="F55" s="134">
        <v>5.8</v>
      </c>
      <c r="G55" s="134">
        <v>43.98</v>
      </c>
      <c r="H55" s="134">
        <v>8.26</v>
      </c>
      <c r="I55" s="134">
        <v>3.76</v>
      </c>
      <c r="J55" s="134">
        <v>0.47</v>
      </c>
      <c r="K55" s="134">
        <v>313.13</v>
      </c>
      <c r="L55" s="134">
        <v>30.86</v>
      </c>
      <c r="M55" s="134">
        <v>66.63</v>
      </c>
      <c r="N55" s="134">
        <v>304</v>
      </c>
      <c r="O55" s="134">
        <v>0</v>
      </c>
      <c r="P55" s="134">
        <v>0.51</v>
      </c>
      <c r="Q55" s="134">
        <v>4.79</v>
      </c>
    </row>
    <row r="56" spans="1:17" customFormat="1">
      <c r="A56" s="112" t="s">
        <v>1149</v>
      </c>
      <c r="B56" s="134">
        <v>19.23</v>
      </c>
      <c r="C56" s="134">
        <v>23.17</v>
      </c>
      <c r="D56" s="134">
        <v>26.48</v>
      </c>
      <c r="E56" s="134">
        <v>8.89</v>
      </c>
      <c r="F56" s="134">
        <v>5.69</v>
      </c>
      <c r="G56" s="134">
        <v>43.98</v>
      </c>
      <c r="H56" s="134">
        <v>8.26</v>
      </c>
      <c r="I56" s="134">
        <v>3.76</v>
      </c>
      <c r="J56" s="134">
        <v>0.39</v>
      </c>
      <c r="K56" s="134">
        <v>311.25</v>
      </c>
      <c r="L56" s="134">
        <v>30.58</v>
      </c>
      <c r="M56" s="134">
        <v>68.349999999999994</v>
      </c>
      <c r="N56" s="134">
        <v>260.10000000000002</v>
      </c>
      <c r="O56" s="134">
        <v>0</v>
      </c>
      <c r="P56" s="134">
        <v>0.52</v>
      </c>
      <c r="Q56" s="134">
        <v>4.7699999999999996</v>
      </c>
    </row>
    <row r="57" spans="1:17" customFormat="1">
      <c r="A57" s="112" t="s">
        <v>1150</v>
      </c>
      <c r="B57" s="134">
        <v>16.23</v>
      </c>
      <c r="C57" s="134">
        <v>21.9</v>
      </c>
      <c r="D57" s="134">
        <v>23.41</v>
      </c>
      <c r="E57" s="134">
        <v>9.6199999999999992</v>
      </c>
      <c r="F57" s="134">
        <v>5.91</v>
      </c>
      <c r="G57" s="134">
        <v>46.69</v>
      </c>
      <c r="H57" s="134">
        <v>11.34</v>
      </c>
      <c r="I57" s="134">
        <v>3.79</v>
      </c>
      <c r="J57" s="134">
        <v>0.51</v>
      </c>
      <c r="K57" s="134">
        <v>294.39</v>
      </c>
      <c r="L57" s="134">
        <v>30.36</v>
      </c>
      <c r="M57" s="134">
        <v>69.36</v>
      </c>
      <c r="N57" s="134">
        <v>149.4</v>
      </c>
      <c r="O57" s="134">
        <v>0</v>
      </c>
      <c r="P57" s="134">
        <v>0.53</v>
      </c>
      <c r="Q57" s="134">
        <v>4.78</v>
      </c>
    </row>
    <row r="58" spans="1:17" customFormat="1">
      <c r="A58" s="112" t="s">
        <v>1151</v>
      </c>
      <c r="B58" s="134">
        <v>15.55</v>
      </c>
      <c r="C58" s="134">
        <v>22.27</v>
      </c>
      <c r="D58" s="134">
        <v>23.06</v>
      </c>
      <c r="E58" s="134">
        <v>9.65</v>
      </c>
      <c r="F58" s="134">
        <v>4.62</v>
      </c>
      <c r="G58" s="134">
        <v>47.78</v>
      </c>
      <c r="H58" s="134">
        <v>11.49</v>
      </c>
      <c r="I58" s="134">
        <v>3.76</v>
      </c>
      <c r="J58" s="134">
        <v>0.56999999999999995</v>
      </c>
      <c r="K58" s="134">
        <v>264.16000000000003</v>
      </c>
      <c r="L58" s="134">
        <v>29.93</v>
      </c>
      <c r="M58" s="134">
        <v>73</v>
      </c>
      <c r="N58" s="134">
        <v>239</v>
      </c>
      <c r="O58" s="134">
        <v>0</v>
      </c>
      <c r="P58" s="134">
        <v>0.53</v>
      </c>
      <c r="Q58" s="134">
        <v>4.82</v>
      </c>
    </row>
    <row r="59" spans="1:17" customFormat="1">
      <c r="A59" s="112" t="s">
        <v>1152</v>
      </c>
      <c r="B59" s="134">
        <v>14.84</v>
      </c>
      <c r="C59" s="134">
        <v>21.23</v>
      </c>
      <c r="D59" s="134">
        <v>21.95</v>
      </c>
      <c r="E59" s="134">
        <v>9.84</v>
      </c>
      <c r="F59" s="134">
        <v>5.87</v>
      </c>
      <c r="G59" s="134">
        <v>47.78</v>
      </c>
      <c r="H59" s="134">
        <v>11.49</v>
      </c>
      <c r="I59" s="134">
        <v>3.8</v>
      </c>
      <c r="J59" s="134">
        <v>0.75</v>
      </c>
      <c r="K59" s="134">
        <v>266.55</v>
      </c>
      <c r="L59" s="134">
        <v>31.19</v>
      </c>
      <c r="M59" s="134">
        <v>69.099999999999994</v>
      </c>
      <c r="N59" s="134">
        <v>876.9</v>
      </c>
      <c r="O59" s="134">
        <v>0</v>
      </c>
      <c r="P59" s="134">
        <v>0.52</v>
      </c>
      <c r="Q59" s="134">
        <v>4.78</v>
      </c>
    </row>
    <row r="60" spans="1:17" customFormat="1">
      <c r="A60" s="112" t="s">
        <v>1153</v>
      </c>
      <c r="B60" s="134">
        <v>14.03</v>
      </c>
      <c r="C60" s="134">
        <v>21.16</v>
      </c>
      <c r="D60" s="134">
        <v>21.26</v>
      </c>
      <c r="E60" s="134">
        <v>10.1</v>
      </c>
      <c r="F60" s="134">
        <v>6.44</v>
      </c>
      <c r="G60" s="134">
        <v>47.78</v>
      </c>
      <c r="H60" s="134">
        <v>11.49</v>
      </c>
      <c r="I60" s="134">
        <v>3.89</v>
      </c>
      <c r="J60" s="134">
        <v>0.44</v>
      </c>
      <c r="K60" s="134">
        <v>253.47</v>
      </c>
      <c r="L60" s="134">
        <v>32.11</v>
      </c>
      <c r="M60" s="134">
        <v>66.150000000000006</v>
      </c>
      <c r="N60" s="134">
        <v>611.79999999999995</v>
      </c>
      <c r="O60" s="134">
        <v>0</v>
      </c>
      <c r="P60" s="134">
        <v>0.52</v>
      </c>
      <c r="Q60" s="134">
        <v>4.71</v>
      </c>
    </row>
    <row r="61" spans="1:17" customFormat="1">
      <c r="A61" s="112" t="s">
        <v>1154</v>
      </c>
      <c r="B61" s="134">
        <v>13.46</v>
      </c>
      <c r="C61" s="134">
        <v>21.22</v>
      </c>
      <c r="D61" s="134">
        <v>20.83</v>
      </c>
      <c r="E61" s="134">
        <v>9.83</v>
      </c>
      <c r="F61" s="134">
        <v>8.35</v>
      </c>
      <c r="G61" s="134">
        <v>48.5</v>
      </c>
      <c r="H61" s="134">
        <v>12.51</v>
      </c>
      <c r="I61" s="134">
        <v>3.89</v>
      </c>
      <c r="J61" s="134">
        <v>0.48</v>
      </c>
      <c r="K61" s="134">
        <v>276.16000000000003</v>
      </c>
      <c r="L61" s="134">
        <v>31.86</v>
      </c>
      <c r="M61" s="134">
        <v>65.2</v>
      </c>
      <c r="N61" s="134">
        <v>442.9</v>
      </c>
      <c r="O61" s="134">
        <v>0</v>
      </c>
      <c r="P61" s="134">
        <v>0.53</v>
      </c>
      <c r="Q61" s="134">
        <v>4.66</v>
      </c>
    </row>
    <row r="62" spans="1:17" customFormat="1">
      <c r="A62" s="112" t="s">
        <v>1155</v>
      </c>
      <c r="B62" s="134">
        <v>12.93</v>
      </c>
      <c r="C62" s="134">
        <v>20.81</v>
      </c>
      <c r="D62" s="134">
        <v>20.190000000000001</v>
      </c>
      <c r="E62" s="134">
        <v>8.9499999999999993</v>
      </c>
      <c r="F62" s="134">
        <v>6.63</v>
      </c>
      <c r="G62" s="134">
        <v>48.78</v>
      </c>
      <c r="H62" s="134">
        <v>12.56</v>
      </c>
      <c r="I62" s="134">
        <v>3.91</v>
      </c>
      <c r="J62" s="134">
        <v>0.5</v>
      </c>
      <c r="K62" s="134">
        <v>260.07</v>
      </c>
      <c r="L62" s="134">
        <v>31.84</v>
      </c>
      <c r="M62" s="134">
        <v>64.5</v>
      </c>
      <c r="N62" s="134">
        <v>489.3</v>
      </c>
      <c r="O62" s="134">
        <v>0</v>
      </c>
      <c r="P62" s="134">
        <v>0.51</v>
      </c>
      <c r="Q62" s="134">
        <v>4.5999999999999996</v>
      </c>
    </row>
    <row r="63" spans="1:17" customFormat="1">
      <c r="A63" s="112" t="s">
        <v>1156</v>
      </c>
      <c r="B63" s="134">
        <v>12.78</v>
      </c>
      <c r="C63" s="134">
        <v>21.55</v>
      </c>
      <c r="D63" s="134">
        <v>20.46</v>
      </c>
      <c r="E63" s="134">
        <v>9.57</v>
      </c>
      <c r="F63" s="134">
        <v>6.06</v>
      </c>
      <c r="G63" s="134">
        <v>48.78</v>
      </c>
      <c r="H63" s="134">
        <v>12.56</v>
      </c>
      <c r="I63" s="134">
        <v>3.89</v>
      </c>
      <c r="J63" s="134">
        <v>0.56000000000000005</v>
      </c>
      <c r="K63" s="134">
        <v>281.45</v>
      </c>
      <c r="L63" s="134">
        <v>32.11</v>
      </c>
      <c r="M63" s="134">
        <v>60.5</v>
      </c>
      <c r="N63" s="134">
        <v>471.8</v>
      </c>
      <c r="O63" s="134">
        <v>0</v>
      </c>
      <c r="P63" s="134">
        <v>0.51</v>
      </c>
      <c r="Q63" s="134">
        <v>4.57</v>
      </c>
    </row>
    <row r="64" spans="1:17" customFormat="1">
      <c r="A64" s="112" t="s">
        <v>1157</v>
      </c>
      <c r="B64" s="134">
        <v>12.38</v>
      </c>
      <c r="C64" s="134">
        <v>21.69</v>
      </c>
      <c r="D64" s="134">
        <v>20.21</v>
      </c>
      <c r="E64" s="134">
        <v>9.4700000000000006</v>
      </c>
      <c r="F64" s="134">
        <v>6.52</v>
      </c>
      <c r="G64" s="134">
        <v>48.78</v>
      </c>
      <c r="H64" s="134">
        <v>12.56</v>
      </c>
      <c r="I64" s="134">
        <v>3.9</v>
      </c>
      <c r="J64" s="134">
        <v>0.53</v>
      </c>
      <c r="K64" s="134">
        <v>276.10000000000002</v>
      </c>
      <c r="L64" s="134">
        <v>31.82</v>
      </c>
      <c r="M64" s="134">
        <v>61.88</v>
      </c>
      <c r="N64" s="134">
        <v>305.60000000000002</v>
      </c>
      <c r="O64" s="134">
        <v>0</v>
      </c>
      <c r="P64" s="134">
        <v>0.51</v>
      </c>
      <c r="Q64" s="134">
        <v>4.55</v>
      </c>
    </row>
    <row r="65" spans="1:17" customFormat="1">
      <c r="A65" s="112" t="s">
        <v>1158</v>
      </c>
      <c r="B65" s="134">
        <v>11.56</v>
      </c>
      <c r="C65" s="134">
        <v>20.58</v>
      </c>
      <c r="D65" s="134">
        <v>18.98</v>
      </c>
      <c r="E65" s="134">
        <v>9.42</v>
      </c>
      <c r="F65" s="134">
        <v>9.92</v>
      </c>
      <c r="G65" s="134">
        <v>51.99</v>
      </c>
      <c r="H65" s="134">
        <v>14.41</v>
      </c>
      <c r="I65" s="134">
        <v>3.86</v>
      </c>
      <c r="J65" s="134">
        <v>0.7</v>
      </c>
      <c r="K65" s="134">
        <v>272.12</v>
      </c>
      <c r="L65" s="134">
        <v>31.6</v>
      </c>
      <c r="M65" s="134">
        <v>63.16</v>
      </c>
      <c r="N65" s="134">
        <v>343.8</v>
      </c>
      <c r="O65" s="134">
        <v>0</v>
      </c>
      <c r="P65" s="134">
        <v>0.37</v>
      </c>
      <c r="Q65" s="134">
        <v>4.5599999999999996</v>
      </c>
    </row>
    <row r="66" spans="1:17" customFormat="1">
      <c r="A66" s="112" t="s">
        <v>1159</v>
      </c>
      <c r="B66" s="134">
        <v>11.39</v>
      </c>
      <c r="C66" s="134">
        <v>21.95</v>
      </c>
      <c r="D66" s="134">
        <v>19.55</v>
      </c>
      <c r="E66" s="134">
        <v>9.02</v>
      </c>
      <c r="F66" s="134">
        <v>4.08</v>
      </c>
      <c r="G66" s="134">
        <v>53.3</v>
      </c>
      <c r="H66" s="134">
        <v>14.55</v>
      </c>
      <c r="I66" s="134">
        <v>3.88</v>
      </c>
      <c r="J66" s="134">
        <v>0.7</v>
      </c>
      <c r="K66" s="134">
        <v>290.52999999999997</v>
      </c>
      <c r="L66" s="134">
        <v>31.98</v>
      </c>
      <c r="M66" s="134">
        <v>60.29</v>
      </c>
      <c r="N66" s="134">
        <v>477.6</v>
      </c>
      <c r="O66" s="134">
        <v>0</v>
      </c>
      <c r="P66" s="134">
        <v>0.42</v>
      </c>
      <c r="Q66" s="134">
        <v>4.51</v>
      </c>
    </row>
    <row r="67" spans="1:17" customFormat="1">
      <c r="A67" s="112" t="s">
        <v>1160</v>
      </c>
      <c r="B67" s="134">
        <v>10.71</v>
      </c>
      <c r="C67" s="134">
        <v>24.16</v>
      </c>
      <c r="D67" s="134">
        <v>20.170000000000002</v>
      </c>
      <c r="E67" s="134">
        <v>8.9600000000000009</v>
      </c>
      <c r="F67" s="134">
        <v>3.43</v>
      </c>
      <c r="G67" s="134">
        <v>53.3</v>
      </c>
      <c r="H67" s="134">
        <v>14.55</v>
      </c>
      <c r="I67" s="134">
        <v>3.89</v>
      </c>
      <c r="J67" s="134">
        <v>0.71</v>
      </c>
      <c r="K67" s="134">
        <v>289.45999999999998</v>
      </c>
      <c r="L67" s="134">
        <v>32.28</v>
      </c>
      <c r="M67" s="134">
        <v>58.47</v>
      </c>
      <c r="N67" s="134">
        <v>529.1</v>
      </c>
      <c r="O67" s="134">
        <v>0</v>
      </c>
      <c r="P67" s="134">
        <v>0.45</v>
      </c>
      <c r="Q67" s="134">
        <v>4.46</v>
      </c>
    </row>
    <row r="68" spans="1:17" customFormat="1">
      <c r="A68" s="112" t="s">
        <v>1161</v>
      </c>
      <c r="B68" s="134">
        <v>10.27</v>
      </c>
      <c r="C68" s="134">
        <v>23.87</v>
      </c>
      <c r="D68" s="134">
        <v>19.66</v>
      </c>
      <c r="E68" s="134">
        <v>9.0399999999999991</v>
      </c>
      <c r="F68" s="134">
        <v>4.92</v>
      </c>
      <c r="G68" s="134">
        <v>53.3</v>
      </c>
      <c r="H68" s="134">
        <v>14.55</v>
      </c>
      <c r="I68" s="134">
        <v>4.0999999999999996</v>
      </c>
      <c r="J68" s="134">
        <v>0.43</v>
      </c>
      <c r="K68" s="134">
        <v>332.87</v>
      </c>
      <c r="L68" s="134">
        <v>31.95</v>
      </c>
      <c r="M68" s="134">
        <v>62.46</v>
      </c>
      <c r="N68" s="134">
        <v>271.3</v>
      </c>
      <c r="O68" s="134">
        <v>0</v>
      </c>
      <c r="P68" s="134">
        <v>0.44</v>
      </c>
      <c r="Q68" s="134">
        <v>4.5</v>
      </c>
    </row>
    <row r="69" spans="1:17" customFormat="1">
      <c r="A69" s="112" t="s">
        <v>1162</v>
      </c>
      <c r="B69" s="134">
        <v>10.65</v>
      </c>
      <c r="C69" s="134">
        <v>21.15</v>
      </c>
      <c r="D69" s="134">
        <v>18.54</v>
      </c>
      <c r="E69" s="134">
        <v>8.82</v>
      </c>
      <c r="F69" s="134">
        <v>9.4</v>
      </c>
      <c r="G69" s="134">
        <v>52.12</v>
      </c>
      <c r="H69" s="134">
        <v>12.53</v>
      </c>
      <c r="I69" s="134">
        <v>4.09</v>
      </c>
      <c r="J69" s="134">
        <v>0.35</v>
      </c>
      <c r="K69" s="134">
        <v>289.3</v>
      </c>
      <c r="L69" s="134">
        <v>31</v>
      </c>
      <c r="M69" s="134">
        <v>68.14</v>
      </c>
      <c r="N69" s="134">
        <v>130.1</v>
      </c>
      <c r="O69" s="134">
        <v>0</v>
      </c>
      <c r="P69" s="134">
        <v>0.39</v>
      </c>
      <c r="Q69" s="134">
        <v>4.45</v>
      </c>
    </row>
    <row r="70" spans="1:17" customFormat="1">
      <c r="A70" s="112" t="s">
        <v>1163</v>
      </c>
      <c r="B70" s="134">
        <v>11.05</v>
      </c>
      <c r="C70" s="134">
        <v>20.350000000000001</v>
      </c>
      <c r="D70" s="134">
        <v>18.45</v>
      </c>
      <c r="E70" s="134">
        <v>9.64</v>
      </c>
      <c r="F70" s="134">
        <v>9.5500000000000007</v>
      </c>
      <c r="G70" s="134">
        <v>51.65</v>
      </c>
      <c r="H70" s="134">
        <v>12.44</v>
      </c>
      <c r="I70" s="134">
        <v>3.8</v>
      </c>
      <c r="J70" s="134">
        <v>0.23</v>
      </c>
      <c r="K70" s="134">
        <v>334.22</v>
      </c>
      <c r="L70" s="134">
        <v>31.34</v>
      </c>
      <c r="M70" s="134">
        <v>67.55</v>
      </c>
      <c r="N70" s="134">
        <v>219.3</v>
      </c>
      <c r="O70" s="134">
        <v>0</v>
      </c>
      <c r="P70" s="134">
        <v>0.37</v>
      </c>
      <c r="Q70" s="134">
        <v>4.4000000000000004</v>
      </c>
    </row>
    <row r="71" spans="1:17" customFormat="1">
      <c r="A71" s="112" t="s">
        <v>1164</v>
      </c>
      <c r="B71" s="134">
        <v>10.44</v>
      </c>
      <c r="C71" s="134">
        <v>21.12</v>
      </c>
      <c r="D71" s="134">
        <v>18.36</v>
      </c>
      <c r="E71" s="134">
        <v>10.16</v>
      </c>
      <c r="F71" s="134">
        <v>8.34</v>
      </c>
      <c r="G71" s="134">
        <v>51.65</v>
      </c>
      <c r="H71" s="134">
        <v>12.44</v>
      </c>
      <c r="I71" s="134">
        <v>3.4</v>
      </c>
      <c r="J71" s="134">
        <v>0.35</v>
      </c>
      <c r="K71" s="134">
        <v>305.86</v>
      </c>
      <c r="L71" s="134">
        <v>31.28</v>
      </c>
      <c r="M71" s="134">
        <v>64.94</v>
      </c>
      <c r="N71" s="134">
        <v>197.9</v>
      </c>
      <c r="O71" s="134">
        <v>0</v>
      </c>
      <c r="P71" s="134">
        <v>0.37</v>
      </c>
      <c r="Q71" s="134">
        <v>4.4000000000000004</v>
      </c>
    </row>
    <row r="72" spans="1:17" customFormat="1">
      <c r="A72" s="112" t="s">
        <v>1165</v>
      </c>
      <c r="B72" s="134">
        <v>11.41</v>
      </c>
      <c r="C72" s="134">
        <v>22.58</v>
      </c>
      <c r="D72" s="134">
        <v>19.899999999999999</v>
      </c>
      <c r="E72" s="134">
        <v>10.57</v>
      </c>
      <c r="F72" s="134">
        <v>7.19</v>
      </c>
      <c r="G72" s="134">
        <v>51.65</v>
      </c>
      <c r="H72" s="134">
        <v>12.44</v>
      </c>
      <c r="I72" s="134">
        <v>3.33</v>
      </c>
      <c r="J72" s="134">
        <v>0.33</v>
      </c>
      <c r="K72" s="134">
        <v>318.87</v>
      </c>
      <c r="L72" s="134">
        <v>31.18</v>
      </c>
      <c r="M72" s="134">
        <v>65.83</v>
      </c>
      <c r="N72" s="134">
        <v>102.9</v>
      </c>
      <c r="O72" s="134">
        <v>0</v>
      </c>
      <c r="P72" s="134">
        <v>0.39</v>
      </c>
      <c r="Q72" s="134">
        <v>4.47</v>
      </c>
    </row>
    <row r="73" spans="1:17" customFormat="1">
      <c r="A73" s="112" t="s">
        <v>1166</v>
      </c>
      <c r="B73" s="134">
        <v>11.78</v>
      </c>
      <c r="C73" s="134">
        <v>23.05</v>
      </c>
      <c r="D73" s="134">
        <v>20.440000000000001</v>
      </c>
      <c r="E73" s="134">
        <v>10.83</v>
      </c>
      <c r="F73" s="134">
        <v>9.1199999999999992</v>
      </c>
      <c r="G73" s="134">
        <v>53.11</v>
      </c>
      <c r="H73" s="134">
        <v>13.36</v>
      </c>
      <c r="I73" s="134">
        <v>3.64</v>
      </c>
      <c r="J73" s="134">
        <v>0.4</v>
      </c>
      <c r="K73" s="134">
        <v>316.45</v>
      </c>
      <c r="L73" s="134">
        <v>31.16</v>
      </c>
      <c r="M73" s="134">
        <v>65.03</v>
      </c>
      <c r="N73" s="134">
        <v>129.80000000000001</v>
      </c>
      <c r="O73" s="134">
        <v>0</v>
      </c>
      <c r="P73" s="134">
        <v>0.4</v>
      </c>
      <c r="Q73" s="134">
        <v>4.49</v>
      </c>
    </row>
    <row r="74" spans="1:17" customFormat="1">
      <c r="A74" s="112" t="s">
        <v>1167</v>
      </c>
      <c r="B74" s="134">
        <v>12.16</v>
      </c>
      <c r="C74" s="134">
        <v>23.46</v>
      </c>
      <c r="D74" s="134">
        <v>20.96</v>
      </c>
      <c r="E74" s="134">
        <v>10.28</v>
      </c>
      <c r="F74" s="134">
        <v>6.43</v>
      </c>
      <c r="G74" s="134">
        <v>53.71</v>
      </c>
      <c r="H74" s="134">
        <v>13.41</v>
      </c>
      <c r="I74" s="134">
        <v>3.68</v>
      </c>
      <c r="J74" s="134">
        <v>0.31</v>
      </c>
      <c r="K74" s="134">
        <v>309.19</v>
      </c>
      <c r="L74" s="134">
        <v>31.63</v>
      </c>
      <c r="M74" s="134">
        <v>63.76</v>
      </c>
      <c r="N74" s="134">
        <v>239</v>
      </c>
      <c r="O74" s="134">
        <v>0</v>
      </c>
      <c r="P74" s="134">
        <v>0.41</v>
      </c>
      <c r="Q74" s="134">
        <v>4.53</v>
      </c>
    </row>
    <row r="75" spans="1:17" customFormat="1">
      <c r="A75" s="112" t="s">
        <v>1168</v>
      </c>
      <c r="B75" s="134">
        <v>11.64</v>
      </c>
      <c r="C75" s="134">
        <v>22.94</v>
      </c>
      <c r="D75" s="134">
        <v>20.28</v>
      </c>
      <c r="E75" s="134">
        <v>10.24</v>
      </c>
      <c r="F75" s="134">
        <v>6.82</v>
      </c>
      <c r="G75" s="134">
        <v>53.71</v>
      </c>
      <c r="H75" s="134">
        <v>13.41</v>
      </c>
      <c r="I75" s="134">
        <v>3.68</v>
      </c>
      <c r="J75" s="134">
        <v>0.56999999999999995</v>
      </c>
      <c r="K75" s="134">
        <v>274.47000000000003</v>
      </c>
      <c r="L75" s="134">
        <v>31.99</v>
      </c>
      <c r="M75" s="134">
        <v>61.77</v>
      </c>
      <c r="N75" s="134">
        <v>155</v>
      </c>
      <c r="O75" s="134">
        <v>0</v>
      </c>
      <c r="P75" s="134">
        <v>0.42</v>
      </c>
      <c r="Q75" s="134">
        <v>4.57</v>
      </c>
    </row>
    <row r="76" spans="1:17" customFormat="1">
      <c r="A76" s="112" t="s">
        <v>1169</v>
      </c>
      <c r="B76" s="134">
        <v>11.74</v>
      </c>
      <c r="C76" s="134">
        <v>22.44</v>
      </c>
      <c r="D76" s="134">
        <v>20.09</v>
      </c>
      <c r="E76" s="134">
        <v>10.02</v>
      </c>
      <c r="F76" s="134">
        <v>6.39</v>
      </c>
      <c r="G76" s="134">
        <v>53.71</v>
      </c>
      <c r="H76" s="134">
        <v>13.41</v>
      </c>
      <c r="I76" s="134">
        <v>3.76</v>
      </c>
      <c r="J76" s="134">
        <v>0.63</v>
      </c>
      <c r="K76" s="134">
        <v>275.2</v>
      </c>
      <c r="L76" s="134">
        <v>31.35</v>
      </c>
      <c r="M76" s="134">
        <v>61.89</v>
      </c>
      <c r="N76" s="134">
        <v>90.3</v>
      </c>
      <c r="O76" s="134">
        <v>0</v>
      </c>
      <c r="P76" s="134">
        <v>0.41</v>
      </c>
      <c r="Q76" s="134">
        <v>4.55</v>
      </c>
    </row>
    <row r="77" spans="1:17" customFormat="1">
      <c r="A77" s="112" t="s">
        <v>1170</v>
      </c>
      <c r="B77" s="134">
        <v>11.05</v>
      </c>
      <c r="C77" s="134">
        <v>21.16</v>
      </c>
      <c r="D77" s="134">
        <v>18.88</v>
      </c>
      <c r="E77" s="134">
        <v>10.32</v>
      </c>
      <c r="F77" s="134">
        <v>8.59</v>
      </c>
      <c r="G77" s="134">
        <v>54.5</v>
      </c>
      <c r="H77" s="134">
        <v>14.56</v>
      </c>
      <c r="I77" s="134">
        <v>3.8</v>
      </c>
      <c r="J77" s="134">
        <v>0.66</v>
      </c>
      <c r="K77" s="134">
        <v>267.87</v>
      </c>
      <c r="L77" s="134">
        <v>31.06</v>
      </c>
      <c r="M77" s="134">
        <v>63.43</v>
      </c>
      <c r="N77" s="134">
        <v>75</v>
      </c>
      <c r="O77" s="134">
        <v>0</v>
      </c>
      <c r="P77" s="134">
        <v>0.39</v>
      </c>
      <c r="Q77" s="134">
        <v>4.53</v>
      </c>
    </row>
    <row r="78" spans="1:17" customFormat="1">
      <c r="A78" s="112" t="s">
        <v>1171</v>
      </c>
      <c r="B78" s="134">
        <v>10.29</v>
      </c>
      <c r="C78" s="134">
        <v>19.82</v>
      </c>
      <c r="D78" s="134">
        <v>17.559999999999999</v>
      </c>
      <c r="E78" s="134">
        <v>10.59</v>
      </c>
      <c r="F78" s="134">
        <v>10.75</v>
      </c>
      <c r="G78" s="134">
        <v>54.83</v>
      </c>
      <c r="H78" s="134">
        <v>14.62</v>
      </c>
      <c r="I78" s="134">
        <v>3.75</v>
      </c>
      <c r="J78" s="134">
        <v>0.6</v>
      </c>
      <c r="K78" s="134">
        <v>262.33</v>
      </c>
      <c r="L78" s="134">
        <v>30.88</v>
      </c>
      <c r="M78" s="134">
        <v>64.61</v>
      </c>
      <c r="N78" s="134">
        <v>57.5</v>
      </c>
      <c r="O78" s="134">
        <v>0</v>
      </c>
      <c r="P78" s="134">
        <v>0.38</v>
      </c>
      <c r="Q78" s="134">
        <v>4.51</v>
      </c>
    </row>
    <row r="79" spans="1:17" customFormat="1">
      <c r="A79" s="112" t="s">
        <v>1172</v>
      </c>
      <c r="B79" s="134">
        <v>9.9499999999999993</v>
      </c>
      <c r="C79" s="134">
        <v>19.489999999999998</v>
      </c>
      <c r="D79" s="134">
        <v>17.12</v>
      </c>
      <c r="E79" s="134">
        <v>10.77</v>
      </c>
      <c r="F79" s="134">
        <v>10.14</v>
      </c>
      <c r="G79" s="134">
        <v>54.83</v>
      </c>
      <c r="H79" s="134">
        <v>14.62</v>
      </c>
      <c r="I79" s="134">
        <v>3.62</v>
      </c>
      <c r="J79" s="134">
        <v>0.76</v>
      </c>
      <c r="K79" s="134">
        <v>268.27999999999997</v>
      </c>
      <c r="L79" s="134">
        <v>30.58</v>
      </c>
      <c r="M79" s="134">
        <v>64</v>
      </c>
      <c r="N79" s="134">
        <v>38.200000000000003</v>
      </c>
      <c r="O79" s="134">
        <v>0</v>
      </c>
      <c r="P79" s="134">
        <v>0.39</v>
      </c>
      <c r="Q79" s="134">
        <v>4.46</v>
      </c>
    </row>
    <row r="80" spans="1:17" customFormat="1">
      <c r="A80" s="112" t="s">
        <v>1173</v>
      </c>
      <c r="B80" s="134">
        <v>9.68</v>
      </c>
      <c r="C80" s="134">
        <v>19.14</v>
      </c>
      <c r="D80" s="134">
        <v>16.72</v>
      </c>
      <c r="E80" s="134">
        <v>10.31</v>
      </c>
      <c r="F80" s="134">
        <v>9.77</v>
      </c>
      <c r="G80" s="134">
        <v>54.83</v>
      </c>
      <c r="H80" s="134">
        <v>14.62</v>
      </c>
      <c r="I80" s="134">
        <v>3.57</v>
      </c>
      <c r="J80" s="134">
        <v>0.62</v>
      </c>
      <c r="K80" s="134">
        <v>267.19</v>
      </c>
      <c r="L80" s="134">
        <v>30.35</v>
      </c>
      <c r="M80" s="134">
        <v>64.650000000000006</v>
      </c>
      <c r="N80" s="134">
        <v>22.1</v>
      </c>
      <c r="O80" s="134">
        <v>0</v>
      </c>
      <c r="P80" s="134">
        <v>0.38</v>
      </c>
      <c r="Q80" s="134">
        <v>4.38</v>
      </c>
    </row>
    <row r="81" spans="1:17" customFormat="1">
      <c r="A81" s="112" t="s">
        <v>1174</v>
      </c>
      <c r="B81" s="134">
        <v>8.9700000000000006</v>
      </c>
      <c r="C81" s="134">
        <v>17.64</v>
      </c>
      <c r="D81" s="134">
        <v>15.37</v>
      </c>
      <c r="E81" s="134">
        <v>6.55</v>
      </c>
      <c r="F81" s="134">
        <v>13.21</v>
      </c>
      <c r="G81" s="134">
        <v>55.52</v>
      </c>
      <c r="H81" s="134">
        <v>14.29</v>
      </c>
      <c r="I81" s="134">
        <v>3.52</v>
      </c>
      <c r="J81" s="134">
        <v>0.64</v>
      </c>
      <c r="K81" s="134">
        <v>268.06</v>
      </c>
      <c r="L81" s="134">
        <v>30</v>
      </c>
      <c r="M81" s="134">
        <v>67.849999999999994</v>
      </c>
      <c r="N81" s="134">
        <v>7.5</v>
      </c>
      <c r="O81" s="134">
        <v>0</v>
      </c>
      <c r="P81" s="134">
        <v>0.36</v>
      </c>
      <c r="Q81" s="134">
        <v>4.4000000000000004</v>
      </c>
    </row>
    <row r="82" spans="1:17" customFormat="1">
      <c r="A82" s="112" t="s">
        <v>1175</v>
      </c>
      <c r="B82" s="134">
        <v>8.6</v>
      </c>
      <c r="C82" s="134">
        <v>17.11</v>
      </c>
      <c r="D82" s="134">
        <v>14.79</v>
      </c>
      <c r="E82" s="134">
        <v>7.33</v>
      </c>
      <c r="F82" s="134">
        <v>14.78</v>
      </c>
      <c r="G82" s="134">
        <v>55.81</v>
      </c>
      <c r="H82" s="134">
        <v>14.28</v>
      </c>
      <c r="I82" s="134">
        <v>3.48</v>
      </c>
      <c r="J82" s="134">
        <v>0.39</v>
      </c>
      <c r="K82" s="134">
        <v>261.7</v>
      </c>
      <c r="L82" s="134">
        <v>29.67</v>
      </c>
      <c r="M82" s="134">
        <v>71.17</v>
      </c>
      <c r="N82" s="134">
        <v>0.1</v>
      </c>
      <c r="O82" s="134">
        <v>0</v>
      </c>
      <c r="P82" s="134">
        <v>0.34</v>
      </c>
      <c r="Q82" s="134">
        <v>4.37</v>
      </c>
    </row>
    <row r="83" spans="1:17" customFormat="1">
      <c r="A83" s="112" t="s">
        <v>1176</v>
      </c>
      <c r="B83" s="134">
        <v>7.86</v>
      </c>
      <c r="C83" s="134">
        <v>16.329999999999998</v>
      </c>
      <c r="D83" s="134">
        <v>13.79</v>
      </c>
      <c r="E83" s="134">
        <v>7.94</v>
      </c>
      <c r="F83" s="134">
        <v>17.52</v>
      </c>
      <c r="G83" s="134">
        <v>55.81</v>
      </c>
      <c r="H83" s="134">
        <v>14.28</v>
      </c>
      <c r="I83" s="134">
        <v>3.3</v>
      </c>
      <c r="J83" s="134">
        <v>0.2</v>
      </c>
      <c r="K83" s="134">
        <v>250.17</v>
      </c>
      <c r="L83" s="134">
        <v>29.14</v>
      </c>
      <c r="M83" s="134">
        <v>74.56</v>
      </c>
      <c r="N83" s="134">
        <v>0</v>
      </c>
      <c r="O83" s="134">
        <v>0</v>
      </c>
      <c r="P83" s="134">
        <v>0.34</v>
      </c>
      <c r="Q83" s="134">
        <v>4.33</v>
      </c>
    </row>
    <row r="84" spans="1:17" customFormat="1">
      <c r="A84" s="112" t="s">
        <v>1177</v>
      </c>
      <c r="B84" s="134">
        <v>7.52</v>
      </c>
      <c r="C84" s="134">
        <v>15.73</v>
      </c>
      <c r="D84" s="134">
        <v>13.2</v>
      </c>
      <c r="E84" s="134">
        <v>7.64</v>
      </c>
      <c r="F84" s="134">
        <v>16.34</v>
      </c>
      <c r="G84" s="134">
        <v>55.81</v>
      </c>
      <c r="H84" s="134">
        <v>14.28</v>
      </c>
      <c r="I84" s="134">
        <v>3.18</v>
      </c>
      <c r="J84" s="134">
        <v>0.24</v>
      </c>
      <c r="K84" s="134">
        <v>259.14</v>
      </c>
      <c r="L84" s="134">
        <v>28.88</v>
      </c>
      <c r="M84" s="134">
        <v>75.8</v>
      </c>
      <c r="N84" s="134">
        <v>0</v>
      </c>
      <c r="O84" s="134">
        <v>0</v>
      </c>
      <c r="P84" s="134">
        <v>0.34</v>
      </c>
      <c r="Q84" s="134">
        <v>4.3099999999999996</v>
      </c>
    </row>
    <row r="85" spans="1:17" customFormat="1">
      <c r="A85" s="112" t="s">
        <v>1178</v>
      </c>
      <c r="B85" s="134">
        <v>8.33</v>
      </c>
      <c r="C85" s="134">
        <v>18.7</v>
      </c>
      <c r="D85" s="134">
        <v>15.41</v>
      </c>
      <c r="E85" s="134">
        <v>7.93</v>
      </c>
      <c r="F85" s="134">
        <v>7.96</v>
      </c>
      <c r="G85" s="134">
        <v>49.44</v>
      </c>
      <c r="H85" s="134">
        <v>13.62</v>
      </c>
      <c r="I85" s="134">
        <v>2.98</v>
      </c>
      <c r="J85" s="134">
        <v>0.48</v>
      </c>
      <c r="K85" s="134">
        <v>259.04000000000002</v>
      </c>
      <c r="L85" s="134">
        <v>28.87</v>
      </c>
      <c r="M85" s="134">
        <v>74.44</v>
      </c>
      <c r="N85" s="134">
        <v>0</v>
      </c>
      <c r="O85" s="134">
        <v>0</v>
      </c>
      <c r="P85" s="134">
        <v>0.39</v>
      </c>
      <c r="Q85" s="134">
        <v>4.34</v>
      </c>
    </row>
    <row r="86" spans="1:17" customFormat="1">
      <c r="A86" s="112" t="s">
        <v>1179</v>
      </c>
      <c r="B86" s="134">
        <v>8.64</v>
      </c>
      <c r="C86" s="134">
        <v>20.57</v>
      </c>
      <c r="D86" s="134">
        <v>16.63</v>
      </c>
      <c r="E86" s="134">
        <v>7.65</v>
      </c>
      <c r="F86" s="134">
        <v>8.39</v>
      </c>
      <c r="G86" s="134">
        <v>46.85</v>
      </c>
      <c r="H86" s="134">
        <v>13.59</v>
      </c>
      <c r="I86" s="134">
        <v>3.12</v>
      </c>
      <c r="J86" s="134">
        <v>0.35</v>
      </c>
      <c r="K86" s="134">
        <v>255.12</v>
      </c>
      <c r="L86" s="134">
        <v>28.82</v>
      </c>
      <c r="M86" s="134">
        <v>73.680000000000007</v>
      </c>
      <c r="N86" s="134">
        <v>0</v>
      </c>
      <c r="O86" s="134">
        <v>0</v>
      </c>
      <c r="P86" s="134">
        <v>0.39</v>
      </c>
      <c r="Q86" s="134">
        <v>4.41</v>
      </c>
    </row>
    <row r="87" spans="1:17" customFormat="1">
      <c r="A87" s="112" t="s">
        <v>1180</v>
      </c>
      <c r="B87" s="134">
        <v>9.17</v>
      </c>
      <c r="C87" s="134">
        <v>22.14</v>
      </c>
      <c r="D87" s="134">
        <v>17.87</v>
      </c>
      <c r="E87" s="134">
        <v>7.59</v>
      </c>
      <c r="F87" s="134">
        <v>4.17</v>
      </c>
      <c r="G87" s="134">
        <v>46.85</v>
      </c>
      <c r="H87" s="134">
        <v>13.59</v>
      </c>
      <c r="I87" s="134">
        <v>3.46</v>
      </c>
      <c r="J87" s="134">
        <v>0.2</v>
      </c>
      <c r="K87" s="134">
        <v>247.57</v>
      </c>
      <c r="L87" s="134">
        <v>28.5</v>
      </c>
      <c r="M87" s="134">
        <v>75.42</v>
      </c>
      <c r="N87" s="134">
        <v>0</v>
      </c>
      <c r="O87" s="134">
        <v>0</v>
      </c>
      <c r="P87" s="134">
        <v>0.43</v>
      </c>
      <c r="Q87" s="134">
        <v>4.37</v>
      </c>
    </row>
    <row r="88" spans="1:17" customFormat="1">
      <c r="A88" s="112" t="s">
        <v>1181</v>
      </c>
      <c r="B88" s="134">
        <v>8.8000000000000007</v>
      </c>
      <c r="C88" s="134">
        <v>23.83</v>
      </c>
      <c r="D88" s="134">
        <v>18.46</v>
      </c>
      <c r="E88" s="134">
        <v>7.22</v>
      </c>
      <c r="F88" s="134">
        <v>3.87</v>
      </c>
      <c r="G88" s="134">
        <v>46.85</v>
      </c>
      <c r="H88" s="134">
        <v>13.59</v>
      </c>
      <c r="I88" s="134">
        <v>3.59</v>
      </c>
      <c r="J88" s="134">
        <v>0.23</v>
      </c>
      <c r="K88" s="134">
        <v>248.09</v>
      </c>
      <c r="L88" s="134">
        <v>28.37</v>
      </c>
      <c r="M88" s="134">
        <v>74.94</v>
      </c>
      <c r="N88" s="134">
        <v>0</v>
      </c>
      <c r="O88" s="134">
        <v>0</v>
      </c>
      <c r="P88" s="134">
        <v>0.45</v>
      </c>
      <c r="Q88" s="134">
        <v>4.34</v>
      </c>
    </row>
    <row r="89" spans="1:17" customFormat="1">
      <c r="A89" s="112" t="s">
        <v>1182</v>
      </c>
      <c r="B89" s="134">
        <v>7.6</v>
      </c>
      <c r="C89" s="134">
        <v>20.260000000000002</v>
      </c>
      <c r="D89" s="134">
        <v>15.64</v>
      </c>
      <c r="E89" s="134">
        <v>7.6</v>
      </c>
      <c r="F89" s="134">
        <v>13.62</v>
      </c>
      <c r="G89" s="134">
        <v>50.13</v>
      </c>
      <c r="H89" s="134">
        <v>13.4</v>
      </c>
      <c r="I89" s="134">
        <v>3.85</v>
      </c>
      <c r="J89" s="134">
        <v>0.14000000000000001</v>
      </c>
      <c r="K89" s="134">
        <v>232.93</v>
      </c>
      <c r="L89" s="134">
        <v>28.15</v>
      </c>
      <c r="M89" s="134">
        <v>76.180000000000007</v>
      </c>
      <c r="N89" s="134">
        <v>0</v>
      </c>
      <c r="O89" s="134">
        <v>0</v>
      </c>
      <c r="P89" s="134">
        <v>0.43</v>
      </c>
      <c r="Q89" s="134">
        <v>4.3899999999999997</v>
      </c>
    </row>
    <row r="90" spans="1:17" customFormat="1">
      <c r="A90" s="112" t="s">
        <v>1183</v>
      </c>
      <c r="B90" s="134">
        <v>7.23</v>
      </c>
      <c r="C90" s="134">
        <v>17.690000000000001</v>
      </c>
      <c r="D90" s="134">
        <v>13.99</v>
      </c>
      <c r="E90" s="134">
        <v>6.83</v>
      </c>
      <c r="F90" s="134">
        <v>12.83</v>
      </c>
      <c r="G90" s="134">
        <v>51.47</v>
      </c>
      <c r="H90" s="134">
        <v>13.39</v>
      </c>
      <c r="I90" s="134">
        <v>3.74</v>
      </c>
      <c r="J90" s="134">
        <v>0.08</v>
      </c>
      <c r="K90" s="134">
        <v>191.37</v>
      </c>
      <c r="L90" s="134">
        <v>27.97</v>
      </c>
      <c r="M90" s="134">
        <v>77.69</v>
      </c>
      <c r="N90" s="134">
        <v>0</v>
      </c>
      <c r="O90" s="134">
        <v>0</v>
      </c>
      <c r="P90" s="134">
        <v>0.4</v>
      </c>
      <c r="Q90" s="134">
        <v>4.3</v>
      </c>
    </row>
    <row r="91" spans="1:17" customFormat="1">
      <c r="A91" s="112" t="s">
        <v>1184</v>
      </c>
      <c r="B91" s="134">
        <v>7.34</v>
      </c>
      <c r="C91" s="134">
        <v>17.37</v>
      </c>
      <c r="D91" s="134">
        <v>13.91</v>
      </c>
      <c r="E91" s="134">
        <v>6.95</v>
      </c>
      <c r="F91" s="134">
        <v>12.14</v>
      </c>
      <c r="G91" s="134">
        <v>51.47</v>
      </c>
      <c r="H91" s="134">
        <v>13.39</v>
      </c>
      <c r="I91" s="134">
        <v>3.42</v>
      </c>
      <c r="J91" s="134">
        <v>0.14000000000000001</v>
      </c>
      <c r="K91" s="134">
        <v>173.39</v>
      </c>
      <c r="L91" s="134">
        <v>27.83</v>
      </c>
      <c r="M91" s="134">
        <v>78.64</v>
      </c>
      <c r="N91" s="134">
        <v>0</v>
      </c>
      <c r="O91" s="134">
        <v>0</v>
      </c>
      <c r="P91" s="134">
        <v>0.38</v>
      </c>
      <c r="Q91" s="134">
        <v>4.28</v>
      </c>
    </row>
    <row r="92" spans="1:17" customFormat="1">
      <c r="A92" s="112" t="s">
        <v>1185</v>
      </c>
      <c r="B92" s="134">
        <v>7.44</v>
      </c>
      <c r="C92" s="134">
        <v>17.39</v>
      </c>
      <c r="D92" s="134">
        <v>14.01</v>
      </c>
      <c r="E92" s="134">
        <v>7.11</v>
      </c>
      <c r="F92" s="134">
        <v>12.43</v>
      </c>
      <c r="G92" s="134">
        <v>51.47</v>
      </c>
      <c r="H92" s="134">
        <v>13.39</v>
      </c>
      <c r="I92" s="134">
        <v>3.42</v>
      </c>
      <c r="J92" s="134">
        <v>0.11</v>
      </c>
      <c r="K92" s="134">
        <v>195.21</v>
      </c>
      <c r="L92" s="134">
        <v>27.67</v>
      </c>
      <c r="M92" s="134">
        <v>79.28</v>
      </c>
      <c r="N92" s="134">
        <v>0</v>
      </c>
      <c r="O92" s="134">
        <v>0</v>
      </c>
      <c r="P92" s="134">
        <v>0.39</v>
      </c>
      <c r="Q92" s="134">
        <v>4.29</v>
      </c>
    </row>
    <row r="93" spans="1:17" customFormat="1">
      <c r="A93" s="112" t="s">
        <v>1186</v>
      </c>
      <c r="B93" s="134">
        <v>7.88</v>
      </c>
      <c r="C93" s="134">
        <v>18.14</v>
      </c>
      <c r="D93" s="134">
        <v>14.76</v>
      </c>
      <c r="E93" s="134">
        <v>6.96</v>
      </c>
      <c r="F93" s="134">
        <v>7.59</v>
      </c>
      <c r="G93" s="134">
        <v>49.53</v>
      </c>
      <c r="H93" s="134">
        <v>13.89</v>
      </c>
      <c r="I93" s="134">
        <v>3.42</v>
      </c>
      <c r="J93" s="134">
        <v>0.11</v>
      </c>
      <c r="K93" s="134">
        <v>186.73</v>
      </c>
      <c r="L93" s="134">
        <v>27.52</v>
      </c>
      <c r="M93" s="134">
        <v>81.59</v>
      </c>
      <c r="N93" s="134">
        <v>0</v>
      </c>
      <c r="O93" s="134">
        <v>0</v>
      </c>
      <c r="P93" s="134">
        <v>0.39</v>
      </c>
      <c r="Q93" s="134">
        <v>4.29</v>
      </c>
    </row>
    <row r="94" spans="1:17" customFormat="1">
      <c r="A94" s="112" t="s">
        <v>1187</v>
      </c>
      <c r="B94" s="134">
        <v>8.92</v>
      </c>
      <c r="C94" s="134">
        <v>22.08</v>
      </c>
      <c r="D94" s="134">
        <v>17.64</v>
      </c>
      <c r="E94" s="134">
        <v>7.87</v>
      </c>
      <c r="F94" s="134">
        <v>3.79</v>
      </c>
      <c r="G94" s="134">
        <v>48.75</v>
      </c>
      <c r="H94" s="134">
        <v>13.91</v>
      </c>
      <c r="I94" s="134">
        <v>3.46</v>
      </c>
      <c r="J94" s="134">
        <v>0.11</v>
      </c>
      <c r="K94" s="134">
        <v>210.14</v>
      </c>
      <c r="L94" s="134">
        <v>27.32</v>
      </c>
      <c r="M94" s="134">
        <v>82.96</v>
      </c>
      <c r="N94" s="134">
        <v>0</v>
      </c>
      <c r="O94" s="134">
        <v>0</v>
      </c>
      <c r="P94" s="134">
        <v>0.44</v>
      </c>
      <c r="Q94" s="134">
        <v>4.4000000000000004</v>
      </c>
    </row>
    <row r="95" spans="1:17" customFormat="1">
      <c r="A95" s="112" t="s">
        <v>1188</v>
      </c>
      <c r="B95" s="134">
        <v>8.67</v>
      </c>
      <c r="C95" s="134">
        <v>20.2</v>
      </c>
      <c r="D95" s="134">
        <v>16.46</v>
      </c>
      <c r="E95" s="134">
        <v>8.3699999999999992</v>
      </c>
      <c r="F95" s="134">
        <v>6.42</v>
      </c>
      <c r="G95" s="134">
        <v>48.75</v>
      </c>
      <c r="H95" s="134">
        <v>13.91</v>
      </c>
      <c r="I95" s="134">
        <v>3.69</v>
      </c>
      <c r="J95" s="134">
        <v>0.21</v>
      </c>
      <c r="K95" s="134">
        <v>250.12</v>
      </c>
      <c r="L95" s="134">
        <v>27.41</v>
      </c>
      <c r="M95" s="134">
        <v>82.7</v>
      </c>
      <c r="N95" s="134">
        <v>0</v>
      </c>
      <c r="O95" s="134">
        <v>0</v>
      </c>
      <c r="P95" s="134">
        <v>0.44</v>
      </c>
      <c r="Q95" s="134">
        <v>4.37</v>
      </c>
    </row>
    <row r="96" spans="1:17" customFormat="1">
      <c r="A96" s="112" t="s">
        <v>1189</v>
      </c>
      <c r="B96" s="134">
        <v>8.5399999999999991</v>
      </c>
      <c r="C96" s="134">
        <v>17.84</v>
      </c>
      <c r="D96" s="134">
        <v>15.13</v>
      </c>
      <c r="E96" s="134">
        <v>7.32</v>
      </c>
      <c r="F96" s="134">
        <v>9.76</v>
      </c>
      <c r="G96" s="134">
        <v>48.75</v>
      </c>
      <c r="H96" s="134">
        <v>13.91</v>
      </c>
      <c r="I96" s="134">
        <v>3.93</v>
      </c>
      <c r="J96" s="134">
        <v>0.31</v>
      </c>
      <c r="K96" s="134">
        <v>254.94</v>
      </c>
      <c r="L96" s="134">
        <v>27.62</v>
      </c>
      <c r="M96" s="134">
        <v>81</v>
      </c>
      <c r="N96" s="134">
        <v>0</v>
      </c>
      <c r="O96" s="134">
        <v>0</v>
      </c>
      <c r="P96" s="134">
        <v>0.41</v>
      </c>
      <c r="Q96" s="134">
        <v>4.34</v>
      </c>
    </row>
    <row r="97" spans="1:22" customFormat="1">
      <c r="A97" s="112" t="s">
        <v>1190</v>
      </c>
      <c r="B97" s="134">
        <v>8.59</v>
      </c>
      <c r="C97" s="134">
        <v>17.37</v>
      </c>
      <c r="D97" s="134">
        <v>14.92</v>
      </c>
      <c r="E97" s="134">
        <v>7.35</v>
      </c>
      <c r="F97" s="134">
        <v>8.61</v>
      </c>
      <c r="G97" s="134">
        <v>47.95</v>
      </c>
      <c r="H97" s="134">
        <v>14.36</v>
      </c>
      <c r="I97" s="134">
        <v>3.84</v>
      </c>
      <c r="J97" s="134">
        <v>0.35</v>
      </c>
      <c r="K97" s="134">
        <v>264.07</v>
      </c>
      <c r="L97" s="134">
        <v>27.65</v>
      </c>
      <c r="M97" s="134">
        <v>80.95</v>
      </c>
      <c r="N97" s="134">
        <v>0</v>
      </c>
      <c r="O97" s="134">
        <v>0</v>
      </c>
      <c r="P97" s="134">
        <v>0.41</v>
      </c>
      <c r="Q97" s="134">
        <v>4.32</v>
      </c>
    </row>
    <row r="98" spans="1:22" customFormat="1">
      <c r="A98" s="112" t="s">
        <v>1191</v>
      </c>
      <c r="B98" s="134">
        <v>9.5</v>
      </c>
      <c r="C98" s="134">
        <v>21.57</v>
      </c>
      <c r="D98" s="134">
        <v>17.850000000000001</v>
      </c>
      <c r="E98" s="134">
        <v>7.93</v>
      </c>
      <c r="F98" s="134">
        <v>4.46</v>
      </c>
      <c r="G98" s="134">
        <v>47.63</v>
      </c>
      <c r="H98" s="134">
        <v>14.38</v>
      </c>
      <c r="I98" s="134">
        <v>3.67</v>
      </c>
      <c r="J98" s="134">
        <v>0.3</v>
      </c>
      <c r="K98" s="134">
        <v>258.88</v>
      </c>
      <c r="L98" s="134">
        <v>27.65</v>
      </c>
      <c r="M98" s="134">
        <v>80.97</v>
      </c>
      <c r="N98" s="134">
        <v>0</v>
      </c>
      <c r="O98" s="134">
        <v>0</v>
      </c>
      <c r="P98" s="134">
        <v>0.45</v>
      </c>
      <c r="Q98" s="134">
        <v>4.42</v>
      </c>
    </row>
    <row r="99" spans="1:22" customFormat="1">
      <c r="A99" s="112" t="s">
        <v>1192</v>
      </c>
      <c r="B99" s="134">
        <v>9.11</v>
      </c>
      <c r="C99" s="134">
        <v>19.989999999999998</v>
      </c>
      <c r="D99" s="134">
        <v>16.7</v>
      </c>
      <c r="E99" s="134">
        <v>8.2799999999999994</v>
      </c>
      <c r="F99" s="134">
        <v>7.17</v>
      </c>
      <c r="G99" s="134">
        <v>47.63</v>
      </c>
      <c r="H99" s="134">
        <v>14.38</v>
      </c>
      <c r="I99" s="134">
        <v>3.71</v>
      </c>
      <c r="J99" s="134">
        <v>0.22</v>
      </c>
      <c r="K99" s="134">
        <v>239.41</v>
      </c>
      <c r="L99" s="134">
        <v>27.47</v>
      </c>
      <c r="M99" s="134">
        <v>82.95</v>
      </c>
      <c r="N99" s="134">
        <v>0</v>
      </c>
      <c r="O99" s="134">
        <v>0</v>
      </c>
      <c r="P99" s="134">
        <v>0.45</v>
      </c>
      <c r="Q99" s="134">
        <v>4.41</v>
      </c>
    </row>
    <row r="100" spans="1:22" customFormat="1">
      <c r="A100" s="112" t="s">
        <v>1193</v>
      </c>
      <c r="B100" s="134">
        <v>9</v>
      </c>
      <c r="C100" s="134">
        <v>18.12</v>
      </c>
      <c r="D100" s="134">
        <v>15.64</v>
      </c>
      <c r="E100" s="134">
        <v>8.1300000000000008</v>
      </c>
      <c r="F100" s="134">
        <v>9.4700000000000006</v>
      </c>
      <c r="G100" s="134">
        <v>47.63</v>
      </c>
      <c r="H100" s="134">
        <v>14.38</v>
      </c>
      <c r="I100" s="134">
        <v>4.05</v>
      </c>
      <c r="J100" s="134">
        <v>0.31</v>
      </c>
      <c r="K100" s="134">
        <v>253.54</v>
      </c>
      <c r="L100" s="134">
        <v>27.4</v>
      </c>
      <c r="M100" s="134">
        <v>82.37</v>
      </c>
      <c r="N100" s="134">
        <v>0</v>
      </c>
      <c r="O100" s="134">
        <v>0</v>
      </c>
      <c r="P100" s="134">
        <v>0.43</v>
      </c>
      <c r="Q100" s="134">
        <v>4.38</v>
      </c>
    </row>
    <row r="101" spans="1:22" customFormat="1">
      <c r="A101" s="112" t="s">
        <v>1194</v>
      </c>
      <c r="B101" s="134">
        <v>8.98</v>
      </c>
      <c r="C101" s="134">
        <v>17.71</v>
      </c>
      <c r="D101" s="134">
        <v>15.41</v>
      </c>
      <c r="E101" s="134">
        <v>8.31</v>
      </c>
      <c r="F101" s="134">
        <v>8.0500000000000007</v>
      </c>
      <c r="G101" s="134">
        <v>47.88</v>
      </c>
      <c r="H101" s="134">
        <v>15.28</v>
      </c>
      <c r="I101" s="134">
        <v>3.99</v>
      </c>
      <c r="J101" s="134">
        <v>0.28000000000000003</v>
      </c>
      <c r="K101" s="134">
        <v>255.26</v>
      </c>
      <c r="L101" s="134">
        <v>27.56</v>
      </c>
      <c r="M101" s="134">
        <v>81.010000000000005</v>
      </c>
      <c r="N101" s="134">
        <v>0</v>
      </c>
      <c r="O101" s="134">
        <v>0</v>
      </c>
      <c r="P101" s="134">
        <v>0.41</v>
      </c>
      <c r="Q101" s="134">
        <v>4.37</v>
      </c>
    </row>
    <row r="102" spans="1:22" customFormat="1">
      <c r="A102" s="112" t="s">
        <v>1195</v>
      </c>
      <c r="B102" s="134">
        <v>10.11</v>
      </c>
      <c r="C102" s="134">
        <v>21.63</v>
      </c>
      <c r="D102" s="134">
        <v>18.36</v>
      </c>
      <c r="E102" s="134">
        <v>8.1300000000000008</v>
      </c>
      <c r="F102" s="134">
        <v>3.78</v>
      </c>
      <c r="G102" s="134">
        <v>47.98</v>
      </c>
      <c r="H102" s="134">
        <v>15.32</v>
      </c>
      <c r="I102" s="134">
        <v>3.91</v>
      </c>
      <c r="J102" s="134">
        <v>0.3</v>
      </c>
      <c r="K102" s="134">
        <v>253.59</v>
      </c>
      <c r="L102" s="134">
        <v>27.55</v>
      </c>
      <c r="M102" s="134">
        <v>80.64</v>
      </c>
      <c r="N102" s="134">
        <v>0</v>
      </c>
      <c r="O102" s="134">
        <v>0</v>
      </c>
      <c r="P102" s="134">
        <v>0.45</v>
      </c>
      <c r="Q102" s="134">
        <v>4.43</v>
      </c>
    </row>
    <row r="103" spans="1:22" customFormat="1">
      <c r="A103" s="112" t="s">
        <v>1196</v>
      </c>
      <c r="B103" s="134">
        <v>9.9700000000000006</v>
      </c>
      <c r="C103" s="134">
        <v>20.03</v>
      </c>
      <c r="D103" s="134">
        <v>17.41</v>
      </c>
      <c r="E103" s="134">
        <v>8.42</v>
      </c>
      <c r="F103" s="134">
        <v>6.61</v>
      </c>
      <c r="G103" s="134">
        <v>47.98</v>
      </c>
      <c r="H103" s="134">
        <v>15.32</v>
      </c>
      <c r="I103" s="134">
        <v>3.77</v>
      </c>
      <c r="J103" s="134">
        <v>0.37</v>
      </c>
      <c r="K103" s="134">
        <v>258.89999999999998</v>
      </c>
      <c r="L103" s="134">
        <v>27.52</v>
      </c>
      <c r="M103" s="134">
        <v>80.819999999999993</v>
      </c>
      <c r="N103" s="134">
        <v>0</v>
      </c>
      <c r="O103" s="134">
        <v>0</v>
      </c>
      <c r="P103" s="134">
        <v>0.43</v>
      </c>
      <c r="Q103" s="134">
        <v>4.4400000000000004</v>
      </c>
    </row>
    <row r="104" spans="1:22" customFormat="1">
      <c r="A104" s="112" t="s">
        <v>1197</v>
      </c>
      <c r="B104" s="134">
        <v>9.57</v>
      </c>
      <c r="C104" s="134">
        <v>17.95</v>
      </c>
      <c r="D104" s="134">
        <v>16</v>
      </c>
      <c r="E104" s="134">
        <v>8.24</v>
      </c>
      <c r="F104" s="134">
        <v>9.6199999999999992</v>
      </c>
      <c r="G104" s="134">
        <v>47.98</v>
      </c>
      <c r="H104" s="134">
        <v>15.32</v>
      </c>
      <c r="I104" s="134">
        <v>4.0199999999999996</v>
      </c>
      <c r="J104" s="134">
        <v>0.34</v>
      </c>
      <c r="K104" s="134">
        <v>254.41</v>
      </c>
      <c r="L104" s="134">
        <v>27.44</v>
      </c>
      <c r="M104" s="134">
        <v>81.28</v>
      </c>
      <c r="N104" s="134">
        <v>0</v>
      </c>
      <c r="O104" s="134">
        <v>0</v>
      </c>
      <c r="P104" s="134">
        <v>0.4</v>
      </c>
      <c r="Q104" s="134">
        <v>4.3899999999999997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7.23</v>
      </c>
      <c r="C106" s="183">
        <f>MIN(C9:C104)</f>
        <v>15.73</v>
      </c>
      <c r="D106" s="183">
        <f t="shared" ref="D106:Q106" si="0">MIN(D9:D104)</f>
        <v>13.2</v>
      </c>
      <c r="E106" s="183">
        <f t="shared" si="0"/>
        <v>5.68</v>
      </c>
      <c r="F106" s="183">
        <f t="shared" si="0"/>
        <v>1.45</v>
      </c>
      <c r="G106" s="183">
        <f t="shared" si="0"/>
        <v>18.010000000000002</v>
      </c>
      <c r="H106" s="183">
        <f t="shared" si="0"/>
        <v>3.54</v>
      </c>
      <c r="I106" s="183">
        <f t="shared" si="0"/>
        <v>2.98</v>
      </c>
      <c r="J106" s="183">
        <f t="shared" si="0"/>
        <v>0.08</v>
      </c>
      <c r="K106" s="183">
        <f t="shared" si="0"/>
        <v>173.39</v>
      </c>
      <c r="L106" s="183">
        <f t="shared" si="0"/>
        <v>24.47</v>
      </c>
      <c r="M106" s="183">
        <f t="shared" si="0"/>
        <v>58.47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19.23</v>
      </c>
      <c r="C107" s="184">
        <f t="shared" ref="C107:Q107" si="1">MAX(C9:C104)</f>
        <v>25.7</v>
      </c>
      <c r="D107" s="184">
        <f t="shared" si="1"/>
        <v>26.55</v>
      </c>
      <c r="E107" s="184">
        <f t="shared" si="1"/>
        <v>10.83</v>
      </c>
      <c r="F107" s="184">
        <f t="shared" si="1"/>
        <v>17.52</v>
      </c>
      <c r="G107" s="184">
        <f t="shared" si="1"/>
        <v>55.81</v>
      </c>
      <c r="H107" s="184">
        <f t="shared" si="1"/>
        <v>15.32</v>
      </c>
      <c r="I107" s="184">
        <f t="shared" si="1"/>
        <v>4.0999999999999996</v>
      </c>
      <c r="J107" s="184">
        <f t="shared" si="1"/>
        <v>0.76</v>
      </c>
      <c r="K107" s="184">
        <f t="shared" si="1"/>
        <v>347.51</v>
      </c>
      <c r="L107" s="184">
        <f t="shared" si="1"/>
        <v>32.28</v>
      </c>
      <c r="M107" s="184">
        <f t="shared" si="1"/>
        <v>99.25</v>
      </c>
      <c r="N107" s="184">
        <f t="shared" si="1"/>
        <v>876.9</v>
      </c>
      <c r="O107" s="184">
        <f t="shared" si="1"/>
        <v>0.2</v>
      </c>
      <c r="P107" s="184">
        <f t="shared" si="1"/>
        <v>0.57999999999999996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13.645416666666664</v>
      </c>
      <c r="C108" s="183">
        <f t="shared" ref="C108:Q108" si="2">AVERAGE(C9:C104)</f>
        <v>20.380312499999999</v>
      </c>
      <c r="D108" s="183">
        <f t="shared" si="2"/>
        <v>20.545416666666679</v>
      </c>
      <c r="E108" s="183">
        <f t="shared" si="2"/>
        <v>8.1247916666666669</v>
      </c>
      <c r="F108" s="183">
        <f t="shared" si="2"/>
        <v>5.7142708333333312</v>
      </c>
      <c r="G108" s="183">
        <f t="shared" si="2"/>
        <v>37.845520833333332</v>
      </c>
      <c r="H108" s="183">
        <f t="shared" si="2"/>
        <v>9.5795833333333338</v>
      </c>
      <c r="I108" s="183">
        <f t="shared" si="2"/>
        <v>3.6432291666666674</v>
      </c>
      <c r="J108" s="183">
        <f t="shared" si="2"/>
        <v>0.40604166666666669</v>
      </c>
      <c r="K108" s="183">
        <f t="shared" si="2"/>
        <v>269.27479166666654</v>
      </c>
      <c r="L108" s="183">
        <f t="shared" si="2"/>
        <v>28.178229166666657</v>
      </c>
      <c r="M108" s="183">
        <f t="shared" si="2"/>
        <v>79.935729166666661</v>
      </c>
      <c r="N108" s="183">
        <f t="shared" si="2"/>
        <v>129.26562499999997</v>
      </c>
      <c r="O108" s="183">
        <f t="shared" si="2"/>
        <v>2.0833333333333333E-3</v>
      </c>
      <c r="P108" s="183">
        <f t="shared" si="2"/>
        <v>0.45427083333333362</v>
      </c>
      <c r="Q108" s="183">
        <f t="shared" si="2"/>
        <v>4.6328124999999982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3.7922530219456876</v>
      </c>
      <c r="C109" s="183">
        <f t="shared" ref="C109:Q109" si="3">STDEV(C9:C104)</f>
        <v>1.945171865292781</v>
      </c>
      <c r="D109" s="183">
        <f t="shared" si="3"/>
        <v>3.4468688817126516</v>
      </c>
      <c r="E109" s="183">
        <f t="shared" si="3"/>
        <v>1.2655899220826539</v>
      </c>
      <c r="F109" s="183">
        <f t="shared" si="3"/>
        <v>3.6375219282512643</v>
      </c>
      <c r="G109" s="183">
        <f t="shared" si="3"/>
        <v>14.193402831470806</v>
      </c>
      <c r="H109" s="183">
        <f t="shared" si="3"/>
        <v>4.3603531765857424</v>
      </c>
      <c r="I109" s="183">
        <f t="shared" si="3"/>
        <v>0.24280594283746693</v>
      </c>
      <c r="J109" s="183">
        <f t="shared" si="3"/>
        <v>0.17099386979880843</v>
      </c>
      <c r="K109" s="183">
        <f t="shared" si="3"/>
        <v>30.439406556881487</v>
      </c>
      <c r="L109" s="183">
        <f t="shared" si="3"/>
        <v>2.6772086778630282</v>
      </c>
      <c r="M109" s="183">
        <f t="shared" si="3"/>
        <v>13.494382593063774</v>
      </c>
      <c r="N109" s="183">
        <f t="shared" si="3"/>
        <v>183.9615817032545</v>
      </c>
      <c r="O109" s="183">
        <f t="shared" si="3"/>
        <v>2.0412414523193152E-2</v>
      </c>
      <c r="P109" s="183">
        <f t="shared" si="3"/>
        <v>5.4594096300579854E-2</v>
      </c>
      <c r="Q109" s="183">
        <f t="shared" si="3"/>
        <v>0.20630433893443997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A9" sqref="A9:Q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11/08/2023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189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189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189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81" t="s">
        <v>43</v>
      </c>
      <c r="M8" s="156" t="s">
        <v>44</v>
      </c>
      <c r="N8" s="156" t="s">
        <v>45</v>
      </c>
      <c r="O8" s="181" t="s">
        <v>46</v>
      </c>
      <c r="P8" s="156" t="s">
        <v>47</v>
      </c>
      <c r="Q8" s="156" t="s">
        <v>39</v>
      </c>
      <c r="R8" s="174"/>
      <c r="S8" s="175"/>
      <c r="T8" s="174"/>
      <c r="U8" s="174"/>
    </row>
    <row r="9" spans="1:21" customFormat="1">
      <c r="A9" s="112" t="s">
        <v>1293</v>
      </c>
      <c r="B9" s="134">
        <v>8.4600000000000009</v>
      </c>
      <c r="C9" s="134">
        <v>17.53</v>
      </c>
      <c r="D9" s="134">
        <v>14.9</v>
      </c>
      <c r="E9" s="134">
        <v>7.78</v>
      </c>
      <c r="F9" s="134">
        <v>7.01</v>
      </c>
      <c r="G9" s="134">
        <v>48.82</v>
      </c>
      <c r="H9" s="134">
        <v>14.07</v>
      </c>
      <c r="I9" s="134">
        <v>3.76</v>
      </c>
      <c r="J9" s="134">
        <v>0.31</v>
      </c>
      <c r="K9" s="134">
        <v>258</v>
      </c>
      <c r="L9" s="134">
        <v>27.27</v>
      </c>
      <c r="M9" s="134">
        <v>81.96</v>
      </c>
      <c r="N9" s="134">
        <v>0</v>
      </c>
      <c r="O9" s="134">
        <v>0</v>
      </c>
      <c r="P9" s="134">
        <v>0.4</v>
      </c>
      <c r="Q9" s="134">
        <v>4.3899999999999997</v>
      </c>
    </row>
    <row r="10" spans="1:21" customFormat="1">
      <c r="A10" s="112" t="s">
        <v>1292</v>
      </c>
      <c r="B10" s="134">
        <v>9.4</v>
      </c>
      <c r="C10" s="134">
        <v>21.63</v>
      </c>
      <c r="D10" s="134">
        <v>17.8</v>
      </c>
      <c r="E10" s="134">
        <v>8.1</v>
      </c>
      <c r="F10" s="134">
        <v>3.31</v>
      </c>
      <c r="G10" s="134">
        <v>49.17</v>
      </c>
      <c r="H10" s="134">
        <v>14.01</v>
      </c>
      <c r="I10" s="134">
        <v>3.6</v>
      </c>
      <c r="J10" s="134">
        <v>0.31</v>
      </c>
      <c r="K10" s="134">
        <v>253.48</v>
      </c>
      <c r="L10" s="134">
        <v>27.1</v>
      </c>
      <c r="M10" s="134">
        <v>82.97</v>
      </c>
      <c r="N10" s="134">
        <v>0</v>
      </c>
      <c r="O10" s="134">
        <v>0</v>
      </c>
      <c r="P10" s="134">
        <v>0.44</v>
      </c>
      <c r="Q10" s="134">
        <v>4.47</v>
      </c>
    </row>
    <row r="11" spans="1:21" customFormat="1">
      <c r="A11" s="112" t="s">
        <v>1291</v>
      </c>
      <c r="B11" s="134">
        <v>9.5399999999999991</v>
      </c>
      <c r="C11" s="134">
        <v>20.48</v>
      </c>
      <c r="D11" s="134">
        <v>17.309999999999999</v>
      </c>
      <c r="E11" s="134">
        <v>8.3000000000000007</v>
      </c>
      <c r="F11" s="134">
        <v>4.5</v>
      </c>
      <c r="G11" s="134">
        <v>49.17</v>
      </c>
      <c r="H11" s="134">
        <v>14.01</v>
      </c>
      <c r="I11" s="134">
        <v>3.68</v>
      </c>
      <c r="J11" s="134">
        <v>0.27</v>
      </c>
      <c r="K11" s="134">
        <v>256.12</v>
      </c>
      <c r="L11" s="134">
        <v>27</v>
      </c>
      <c r="M11" s="134">
        <v>83.8</v>
      </c>
      <c r="N11" s="134">
        <v>0</v>
      </c>
      <c r="O11" s="134">
        <v>0</v>
      </c>
      <c r="P11" s="134">
        <v>0.43</v>
      </c>
      <c r="Q11" s="134">
        <v>4.4400000000000004</v>
      </c>
    </row>
    <row r="12" spans="1:21" customFormat="1">
      <c r="A12" s="112" t="s">
        <v>1290</v>
      </c>
      <c r="B12" s="134">
        <v>9.61</v>
      </c>
      <c r="C12" s="134">
        <v>21.48</v>
      </c>
      <c r="D12" s="134">
        <v>17.88</v>
      </c>
      <c r="E12" s="134">
        <v>8.51</v>
      </c>
      <c r="F12" s="134">
        <v>3.67</v>
      </c>
      <c r="G12" s="134">
        <v>49.17</v>
      </c>
      <c r="H12" s="134">
        <v>14.01</v>
      </c>
      <c r="I12" s="134">
        <v>3.96</v>
      </c>
      <c r="J12" s="134">
        <v>0.14000000000000001</v>
      </c>
      <c r="K12" s="134">
        <v>239.8</v>
      </c>
      <c r="L12" s="134">
        <v>26.79</v>
      </c>
      <c r="M12" s="134">
        <v>85.24</v>
      </c>
      <c r="N12" s="134">
        <v>0</v>
      </c>
      <c r="O12" s="134">
        <v>0</v>
      </c>
      <c r="P12" s="134">
        <v>0.45</v>
      </c>
      <c r="Q12" s="134">
        <v>4.4000000000000004</v>
      </c>
    </row>
    <row r="13" spans="1:21" customFormat="1">
      <c r="A13" s="112" t="s">
        <v>1289</v>
      </c>
      <c r="B13" s="134">
        <v>9.3699999999999992</v>
      </c>
      <c r="C13" s="134">
        <v>22.58</v>
      </c>
      <c r="D13" s="134">
        <v>18.260000000000002</v>
      </c>
      <c r="E13" s="134">
        <v>7.78</v>
      </c>
      <c r="F13" s="134">
        <v>3.23</v>
      </c>
      <c r="G13" s="134">
        <v>44.37</v>
      </c>
      <c r="H13" s="134">
        <v>12.67</v>
      </c>
      <c r="I13" s="134">
        <v>3.87</v>
      </c>
      <c r="J13" s="134">
        <v>0.18</v>
      </c>
      <c r="K13" s="134">
        <v>241.97</v>
      </c>
      <c r="L13" s="134">
        <v>26.67</v>
      </c>
      <c r="M13" s="134">
        <v>86.14</v>
      </c>
      <c r="N13" s="134">
        <v>0</v>
      </c>
      <c r="O13" s="134">
        <v>0</v>
      </c>
      <c r="P13" s="134">
        <v>0.46</v>
      </c>
      <c r="Q13" s="134">
        <v>4.4400000000000004</v>
      </c>
    </row>
    <row r="14" spans="1:21" customFormat="1">
      <c r="A14" s="112" t="s">
        <v>1288</v>
      </c>
      <c r="B14" s="134">
        <v>9.0500000000000007</v>
      </c>
      <c r="C14" s="134">
        <v>19.32</v>
      </c>
      <c r="D14" s="134">
        <v>16.309999999999999</v>
      </c>
      <c r="E14" s="134">
        <v>7.27</v>
      </c>
      <c r="F14" s="134">
        <v>5.6</v>
      </c>
      <c r="G14" s="134">
        <v>42.42</v>
      </c>
      <c r="H14" s="134">
        <v>12.59</v>
      </c>
      <c r="I14" s="134">
        <v>3.95</v>
      </c>
      <c r="J14" s="134">
        <v>0.09</v>
      </c>
      <c r="K14" s="134">
        <v>196.38</v>
      </c>
      <c r="L14" s="134">
        <v>26.5</v>
      </c>
      <c r="M14" s="134">
        <v>87.13</v>
      </c>
      <c r="N14" s="134">
        <v>0</v>
      </c>
      <c r="O14" s="134">
        <v>0</v>
      </c>
      <c r="P14" s="134">
        <v>0.4</v>
      </c>
      <c r="Q14" s="134">
        <v>4.4000000000000004</v>
      </c>
    </row>
    <row r="15" spans="1:21" customFormat="1">
      <c r="A15" s="112" t="s">
        <v>1287</v>
      </c>
      <c r="B15" s="134">
        <v>8.75</v>
      </c>
      <c r="C15" s="134">
        <v>17.260000000000002</v>
      </c>
      <c r="D15" s="134">
        <v>14.99</v>
      </c>
      <c r="E15" s="134">
        <v>6.72</v>
      </c>
      <c r="F15" s="134">
        <v>6.49</v>
      </c>
      <c r="G15" s="134">
        <v>42.42</v>
      </c>
      <c r="H15" s="134">
        <v>12.59</v>
      </c>
      <c r="I15" s="134">
        <v>3.79</v>
      </c>
      <c r="J15" s="134">
        <v>0.17</v>
      </c>
      <c r="K15" s="134">
        <v>242.68</v>
      </c>
      <c r="L15" s="134">
        <v>26.42</v>
      </c>
      <c r="M15" s="134">
        <v>87.78</v>
      </c>
      <c r="N15" s="134">
        <v>0</v>
      </c>
      <c r="O15" s="134">
        <v>0</v>
      </c>
      <c r="P15" s="134">
        <v>0.37</v>
      </c>
      <c r="Q15" s="134">
        <v>4.38</v>
      </c>
    </row>
    <row r="16" spans="1:21" customFormat="1">
      <c r="A16" s="112" t="s">
        <v>1286</v>
      </c>
      <c r="B16" s="134">
        <v>8.76</v>
      </c>
      <c r="C16" s="134">
        <v>17.11</v>
      </c>
      <c r="D16" s="134">
        <v>14.92</v>
      </c>
      <c r="E16" s="134">
        <v>6.92</v>
      </c>
      <c r="F16" s="134">
        <v>6.23</v>
      </c>
      <c r="G16" s="134">
        <v>42.42</v>
      </c>
      <c r="H16" s="134">
        <v>12.59</v>
      </c>
      <c r="I16" s="134">
        <v>3.44</v>
      </c>
      <c r="J16" s="134">
        <v>0.21</v>
      </c>
      <c r="K16" s="134">
        <v>249.11</v>
      </c>
      <c r="L16" s="134">
        <v>26.45</v>
      </c>
      <c r="M16" s="134">
        <v>87.59</v>
      </c>
      <c r="N16" s="134">
        <v>0</v>
      </c>
      <c r="O16" s="134">
        <v>0</v>
      </c>
      <c r="P16" s="134">
        <v>0.36</v>
      </c>
      <c r="Q16" s="134">
        <v>4.3899999999999997</v>
      </c>
    </row>
    <row r="17" spans="1:17" customFormat="1">
      <c r="A17" s="112" t="s">
        <v>1285</v>
      </c>
      <c r="B17" s="134">
        <v>8.89</v>
      </c>
      <c r="C17" s="134">
        <v>17.29</v>
      </c>
      <c r="D17" s="134">
        <v>15.12</v>
      </c>
      <c r="E17" s="134">
        <v>6.77</v>
      </c>
      <c r="F17" s="134">
        <v>5.79</v>
      </c>
      <c r="G17" s="134">
        <v>40.28</v>
      </c>
      <c r="H17" s="134">
        <v>10.49</v>
      </c>
      <c r="I17" s="134">
        <v>3.3</v>
      </c>
      <c r="J17" s="134">
        <v>0.11</v>
      </c>
      <c r="K17" s="134">
        <v>232.87</v>
      </c>
      <c r="L17" s="134">
        <v>26.34</v>
      </c>
      <c r="M17" s="134">
        <v>88.64</v>
      </c>
      <c r="N17" s="134">
        <v>0</v>
      </c>
      <c r="O17" s="134">
        <v>0</v>
      </c>
      <c r="P17" s="134">
        <v>0.36</v>
      </c>
      <c r="Q17" s="134">
        <v>4.38</v>
      </c>
    </row>
    <row r="18" spans="1:17" customFormat="1">
      <c r="A18" s="112" t="s">
        <v>1284</v>
      </c>
      <c r="B18" s="134">
        <v>9.91</v>
      </c>
      <c r="C18" s="134">
        <v>21.5</v>
      </c>
      <c r="D18" s="134">
        <v>18.14</v>
      </c>
      <c r="E18" s="134">
        <v>8.43</v>
      </c>
      <c r="F18" s="134">
        <v>2.87</v>
      </c>
      <c r="G18" s="134">
        <v>39.409999999999997</v>
      </c>
      <c r="H18" s="134">
        <v>10.27</v>
      </c>
      <c r="I18" s="134">
        <v>3.28</v>
      </c>
      <c r="J18" s="134">
        <v>0.1</v>
      </c>
      <c r="K18" s="134">
        <v>237.14</v>
      </c>
      <c r="L18" s="134">
        <v>26.39</v>
      </c>
      <c r="M18" s="134">
        <v>87.67</v>
      </c>
      <c r="N18" s="134">
        <v>0</v>
      </c>
      <c r="O18" s="134">
        <v>0</v>
      </c>
      <c r="P18" s="134">
        <v>0.4</v>
      </c>
      <c r="Q18" s="134">
        <v>4.4800000000000004</v>
      </c>
    </row>
    <row r="19" spans="1:17" customFormat="1">
      <c r="A19" s="112" t="s">
        <v>1283</v>
      </c>
      <c r="B19" s="134">
        <v>9.8000000000000007</v>
      </c>
      <c r="C19" s="134">
        <v>19.45</v>
      </c>
      <c r="D19" s="134">
        <v>16.97</v>
      </c>
      <c r="E19" s="134">
        <v>8.27</v>
      </c>
      <c r="F19" s="134">
        <v>4.4800000000000004</v>
      </c>
      <c r="G19" s="134">
        <v>39.409999999999997</v>
      </c>
      <c r="H19" s="134">
        <v>10.27</v>
      </c>
      <c r="I19" s="134">
        <v>3.32</v>
      </c>
      <c r="J19" s="134">
        <v>0.12</v>
      </c>
      <c r="K19" s="134">
        <v>231.13</v>
      </c>
      <c r="L19" s="134">
        <v>26.35</v>
      </c>
      <c r="M19" s="134">
        <v>87.89</v>
      </c>
      <c r="N19" s="134">
        <v>0</v>
      </c>
      <c r="O19" s="134">
        <v>0</v>
      </c>
      <c r="P19" s="134">
        <v>0.37</v>
      </c>
      <c r="Q19" s="134">
        <v>4.46</v>
      </c>
    </row>
    <row r="20" spans="1:17" customFormat="1">
      <c r="A20" s="112" t="s">
        <v>1282</v>
      </c>
      <c r="B20" s="134">
        <v>9.6300000000000008</v>
      </c>
      <c r="C20" s="134">
        <v>17.13</v>
      </c>
      <c r="D20" s="134">
        <v>15.63</v>
      </c>
      <c r="E20" s="134">
        <v>8.16</v>
      </c>
      <c r="F20" s="134">
        <v>5.96</v>
      </c>
      <c r="G20" s="134">
        <v>39.409999999999997</v>
      </c>
      <c r="H20" s="134">
        <v>10.27</v>
      </c>
      <c r="I20" s="134">
        <v>3.59</v>
      </c>
      <c r="J20" s="134">
        <v>0.34</v>
      </c>
      <c r="K20" s="134">
        <v>258.13</v>
      </c>
      <c r="L20" s="134">
        <v>26.38</v>
      </c>
      <c r="M20" s="134">
        <v>86.84</v>
      </c>
      <c r="N20" s="134">
        <v>0</v>
      </c>
      <c r="O20" s="134">
        <v>0</v>
      </c>
      <c r="P20" s="134">
        <v>0.35</v>
      </c>
      <c r="Q20" s="134">
        <v>4.41</v>
      </c>
    </row>
    <row r="21" spans="1:17" customFormat="1">
      <c r="A21" s="112" t="s">
        <v>1281</v>
      </c>
      <c r="B21" s="134">
        <v>9.94</v>
      </c>
      <c r="C21" s="134">
        <v>17.72</v>
      </c>
      <c r="D21" s="134">
        <v>16.190000000000001</v>
      </c>
      <c r="E21" s="134">
        <v>8.42</v>
      </c>
      <c r="F21" s="134">
        <v>5.24</v>
      </c>
      <c r="G21" s="134">
        <v>32.729999999999997</v>
      </c>
      <c r="H21" s="134">
        <v>8.89</v>
      </c>
      <c r="I21" s="134">
        <v>3.33</v>
      </c>
      <c r="J21" s="134">
        <v>0.36</v>
      </c>
      <c r="K21" s="134">
        <v>264.41000000000003</v>
      </c>
      <c r="L21" s="134">
        <v>26.48</v>
      </c>
      <c r="M21" s="134">
        <v>85.88</v>
      </c>
      <c r="N21" s="134">
        <v>0</v>
      </c>
      <c r="O21" s="134">
        <v>0</v>
      </c>
      <c r="P21" s="134">
        <v>0.36</v>
      </c>
      <c r="Q21" s="134">
        <v>4.41</v>
      </c>
    </row>
    <row r="22" spans="1:17" customFormat="1">
      <c r="A22" s="112" t="s">
        <v>1280</v>
      </c>
      <c r="B22" s="134">
        <v>10.87</v>
      </c>
      <c r="C22" s="134">
        <v>21.76</v>
      </c>
      <c r="D22" s="134">
        <v>19.04</v>
      </c>
      <c r="E22" s="134">
        <v>8.91</v>
      </c>
      <c r="F22" s="134">
        <v>2.46</v>
      </c>
      <c r="G22" s="134">
        <v>29.87</v>
      </c>
      <c r="H22" s="134">
        <v>8.8000000000000007</v>
      </c>
      <c r="I22" s="134">
        <v>3.21</v>
      </c>
      <c r="J22" s="134">
        <v>0.2</v>
      </c>
      <c r="K22" s="134">
        <v>245.23</v>
      </c>
      <c r="L22" s="134">
        <v>26.39</v>
      </c>
      <c r="M22" s="134">
        <v>86.46</v>
      </c>
      <c r="N22" s="134">
        <v>0</v>
      </c>
      <c r="O22" s="134">
        <v>0</v>
      </c>
      <c r="P22" s="134">
        <v>0.4</v>
      </c>
      <c r="Q22" s="134">
        <v>4.5199999999999996</v>
      </c>
    </row>
    <row r="23" spans="1:17" customFormat="1">
      <c r="A23" s="112" t="s">
        <v>1279</v>
      </c>
      <c r="B23" s="134">
        <v>10.78</v>
      </c>
      <c r="C23" s="134">
        <v>19.41</v>
      </c>
      <c r="D23" s="134">
        <v>17.739999999999998</v>
      </c>
      <c r="E23" s="134">
        <v>8.61</v>
      </c>
      <c r="F23" s="134">
        <v>4.05</v>
      </c>
      <c r="G23" s="134">
        <v>29.87</v>
      </c>
      <c r="H23" s="134">
        <v>8.8000000000000007</v>
      </c>
      <c r="I23" s="134">
        <v>3.34</v>
      </c>
      <c r="J23" s="134">
        <v>0.16</v>
      </c>
      <c r="K23" s="134">
        <v>241.17</v>
      </c>
      <c r="L23" s="134">
        <v>26.34</v>
      </c>
      <c r="M23" s="134">
        <v>87.24</v>
      </c>
      <c r="N23" s="134">
        <v>0</v>
      </c>
      <c r="O23" s="134">
        <v>0</v>
      </c>
      <c r="P23" s="134">
        <v>0.37</v>
      </c>
      <c r="Q23" s="134">
        <v>4.5199999999999996</v>
      </c>
    </row>
    <row r="24" spans="1:17" customFormat="1">
      <c r="A24" s="112" t="s">
        <v>1278</v>
      </c>
      <c r="B24" s="134">
        <v>10.28</v>
      </c>
      <c r="C24" s="134">
        <v>16.89</v>
      </c>
      <c r="D24" s="134">
        <v>16.02</v>
      </c>
      <c r="E24" s="134">
        <v>8.32</v>
      </c>
      <c r="F24" s="134">
        <v>5.85</v>
      </c>
      <c r="G24" s="134">
        <v>29.87</v>
      </c>
      <c r="H24" s="134">
        <v>8.8000000000000007</v>
      </c>
      <c r="I24" s="134">
        <v>3.54</v>
      </c>
      <c r="J24" s="134">
        <v>0.2</v>
      </c>
      <c r="K24" s="134">
        <v>248.2</v>
      </c>
      <c r="L24" s="134">
        <v>26.28</v>
      </c>
      <c r="M24" s="134">
        <v>88.01</v>
      </c>
      <c r="N24" s="134">
        <v>0</v>
      </c>
      <c r="O24" s="134">
        <v>0</v>
      </c>
      <c r="P24" s="134">
        <v>0.34</v>
      </c>
      <c r="Q24" s="134">
        <v>4.45</v>
      </c>
    </row>
    <row r="25" spans="1:17" customFormat="1">
      <c r="A25" s="112" t="s">
        <v>1277</v>
      </c>
      <c r="B25" s="134">
        <v>10.63</v>
      </c>
      <c r="C25" s="134">
        <v>17.63</v>
      </c>
      <c r="D25" s="134">
        <v>16.690000000000001</v>
      </c>
      <c r="E25" s="134">
        <v>8.2100000000000009</v>
      </c>
      <c r="F25" s="134">
        <v>4.9400000000000004</v>
      </c>
      <c r="G25" s="134">
        <v>27.15</v>
      </c>
      <c r="H25" s="134">
        <v>7</v>
      </c>
      <c r="I25" s="134">
        <v>3.28</v>
      </c>
      <c r="J25" s="134">
        <v>0.15</v>
      </c>
      <c r="K25" s="134">
        <v>249.93</v>
      </c>
      <c r="L25" s="134">
        <v>26.24</v>
      </c>
      <c r="M25" s="134">
        <v>87.61</v>
      </c>
      <c r="N25" s="134">
        <v>0</v>
      </c>
      <c r="O25" s="134">
        <v>0</v>
      </c>
      <c r="P25" s="134">
        <v>0.35</v>
      </c>
      <c r="Q25" s="134">
        <v>4.47</v>
      </c>
    </row>
    <row r="26" spans="1:17" customFormat="1">
      <c r="A26" s="112" t="s">
        <v>1276</v>
      </c>
      <c r="B26" s="134">
        <v>11.62</v>
      </c>
      <c r="C26" s="134">
        <v>21.59</v>
      </c>
      <c r="D26" s="134">
        <v>19.55</v>
      </c>
      <c r="E26" s="134">
        <v>9.06</v>
      </c>
      <c r="F26" s="134">
        <v>2.54</v>
      </c>
      <c r="G26" s="134">
        <v>26.04</v>
      </c>
      <c r="H26" s="134">
        <v>6.89</v>
      </c>
      <c r="I26" s="134">
        <v>3.14</v>
      </c>
      <c r="J26" s="134">
        <v>0.21</v>
      </c>
      <c r="K26" s="134">
        <v>253.86</v>
      </c>
      <c r="L26" s="134">
        <v>26.21</v>
      </c>
      <c r="M26" s="134">
        <v>87.54</v>
      </c>
      <c r="N26" s="134">
        <v>0</v>
      </c>
      <c r="O26" s="134">
        <v>0</v>
      </c>
      <c r="P26" s="134">
        <v>0.39</v>
      </c>
      <c r="Q26" s="134">
        <v>4.5599999999999996</v>
      </c>
    </row>
    <row r="27" spans="1:17" customFormat="1">
      <c r="A27" s="112" t="s">
        <v>1275</v>
      </c>
      <c r="B27" s="134">
        <v>11.5</v>
      </c>
      <c r="C27" s="134">
        <v>19.34</v>
      </c>
      <c r="D27" s="134">
        <v>18.28</v>
      </c>
      <c r="E27" s="134">
        <v>8.83</v>
      </c>
      <c r="F27" s="134">
        <v>3.92</v>
      </c>
      <c r="G27" s="134">
        <v>26.04</v>
      </c>
      <c r="H27" s="134">
        <v>6.89</v>
      </c>
      <c r="I27" s="134">
        <v>3.29</v>
      </c>
      <c r="J27" s="134">
        <v>0.1</v>
      </c>
      <c r="K27" s="134">
        <v>207.15</v>
      </c>
      <c r="L27" s="134">
        <v>26.27</v>
      </c>
      <c r="M27" s="134">
        <v>87.66</v>
      </c>
      <c r="N27" s="134">
        <v>0</v>
      </c>
      <c r="O27" s="134">
        <v>0</v>
      </c>
      <c r="P27" s="134">
        <v>0.37</v>
      </c>
      <c r="Q27" s="134">
        <v>4.5199999999999996</v>
      </c>
    </row>
    <row r="28" spans="1:17" customFormat="1">
      <c r="A28" s="112" t="s">
        <v>1274</v>
      </c>
      <c r="B28" s="134">
        <v>10.83</v>
      </c>
      <c r="C28" s="134">
        <v>16.600000000000001</v>
      </c>
      <c r="D28" s="134">
        <v>16.309999999999999</v>
      </c>
      <c r="E28" s="134">
        <v>8.0500000000000007</v>
      </c>
      <c r="F28" s="134">
        <v>5.74</v>
      </c>
      <c r="G28" s="134">
        <v>26.04</v>
      </c>
      <c r="H28" s="134">
        <v>6.89</v>
      </c>
      <c r="I28" s="134">
        <v>3.47</v>
      </c>
      <c r="J28" s="134">
        <v>0.11</v>
      </c>
      <c r="K28" s="134">
        <v>166.72</v>
      </c>
      <c r="L28" s="134">
        <v>26.12</v>
      </c>
      <c r="M28" s="134">
        <v>88.15</v>
      </c>
      <c r="N28" s="134">
        <v>0</v>
      </c>
      <c r="O28" s="134">
        <v>0</v>
      </c>
      <c r="P28" s="134">
        <v>0.34</v>
      </c>
      <c r="Q28" s="134">
        <v>4.5199999999999996</v>
      </c>
    </row>
    <row r="29" spans="1:17" customFormat="1">
      <c r="A29" s="112" t="s">
        <v>1273</v>
      </c>
      <c r="B29" s="134">
        <v>11.51</v>
      </c>
      <c r="C29" s="134">
        <v>17.850000000000001</v>
      </c>
      <c r="D29" s="134">
        <v>17.510000000000002</v>
      </c>
      <c r="E29" s="134">
        <v>8.41</v>
      </c>
      <c r="F29" s="134">
        <v>4.5199999999999996</v>
      </c>
      <c r="G29" s="134">
        <v>26.84</v>
      </c>
      <c r="H29" s="134">
        <v>8.26</v>
      </c>
      <c r="I29" s="134">
        <v>3.25</v>
      </c>
      <c r="J29" s="134">
        <v>0.14000000000000001</v>
      </c>
      <c r="K29" s="134">
        <v>196.63</v>
      </c>
      <c r="L29" s="134">
        <v>26.04</v>
      </c>
      <c r="M29" s="134">
        <v>87.65</v>
      </c>
      <c r="N29" s="134">
        <v>0</v>
      </c>
      <c r="O29" s="134">
        <v>0</v>
      </c>
      <c r="P29" s="134">
        <v>0.36</v>
      </c>
      <c r="Q29" s="134">
        <v>4.5199999999999996</v>
      </c>
    </row>
    <row r="30" spans="1:17" customFormat="1">
      <c r="A30" s="112" t="s">
        <v>1272</v>
      </c>
      <c r="B30" s="134">
        <v>12.64</v>
      </c>
      <c r="C30" s="134">
        <v>21.95</v>
      </c>
      <c r="D30" s="134">
        <v>20.56</v>
      </c>
      <c r="E30" s="134">
        <v>8.9600000000000009</v>
      </c>
      <c r="F30" s="134">
        <v>2.27</v>
      </c>
      <c r="G30" s="134">
        <v>27.17</v>
      </c>
      <c r="H30" s="134">
        <v>8.32</v>
      </c>
      <c r="I30" s="134">
        <v>3.1</v>
      </c>
      <c r="J30" s="134">
        <v>0.1</v>
      </c>
      <c r="K30" s="134">
        <v>180.45</v>
      </c>
      <c r="L30" s="134">
        <v>25.82</v>
      </c>
      <c r="M30" s="134">
        <v>89.4</v>
      </c>
      <c r="N30" s="134">
        <v>0</v>
      </c>
      <c r="O30" s="134">
        <v>0</v>
      </c>
      <c r="P30" s="134">
        <v>0.4</v>
      </c>
      <c r="Q30" s="134">
        <v>4.5999999999999996</v>
      </c>
    </row>
    <row r="31" spans="1:17" customFormat="1">
      <c r="A31" s="112" t="s">
        <v>1271</v>
      </c>
      <c r="B31" s="134">
        <v>12.69</v>
      </c>
      <c r="C31" s="134">
        <v>20.03</v>
      </c>
      <c r="D31" s="134">
        <v>19.600000000000001</v>
      </c>
      <c r="E31" s="134">
        <v>9.2200000000000006</v>
      </c>
      <c r="F31" s="134">
        <v>3.18</v>
      </c>
      <c r="G31" s="134">
        <v>27.17</v>
      </c>
      <c r="H31" s="134">
        <v>8.32</v>
      </c>
      <c r="I31" s="134">
        <v>3.35</v>
      </c>
      <c r="J31" s="134">
        <v>0.11</v>
      </c>
      <c r="K31" s="134">
        <v>185.71</v>
      </c>
      <c r="L31" s="134">
        <v>25.78</v>
      </c>
      <c r="M31" s="134">
        <v>89.83</v>
      </c>
      <c r="N31" s="134">
        <v>0</v>
      </c>
      <c r="O31" s="134">
        <v>0</v>
      </c>
      <c r="P31" s="134">
        <v>0.38</v>
      </c>
      <c r="Q31" s="134">
        <v>4.6100000000000003</v>
      </c>
    </row>
    <row r="32" spans="1:17" customFormat="1">
      <c r="A32" s="112" t="s">
        <v>1270</v>
      </c>
      <c r="B32" s="134">
        <v>12.86</v>
      </c>
      <c r="C32" s="134">
        <v>19.010000000000002</v>
      </c>
      <c r="D32" s="134">
        <v>19.21</v>
      </c>
      <c r="E32" s="134">
        <v>8.8800000000000008</v>
      </c>
      <c r="F32" s="134">
        <v>3.56</v>
      </c>
      <c r="G32" s="134">
        <v>27.17</v>
      </c>
      <c r="H32" s="134">
        <v>8.32</v>
      </c>
      <c r="I32" s="134">
        <v>3.53</v>
      </c>
      <c r="J32" s="134">
        <v>0.09</v>
      </c>
      <c r="K32" s="134">
        <v>183.2</v>
      </c>
      <c r="L32" s="134">
        <v>25.75</v>
      </c>
      <c r="M32" s="134">
        <v>90.8</v>
      </c>
      <c r="N32" s="134">
        <v>1.8</v>
      </c>
      <c r="O32" s="134">
        <v>0</v>
      </c>
      <c r="P32" s="134">
        <v>0.37</v>
      </c>
      <c r="Q32" s="134">
        <v>4.53</v>
      </c>
    </row>
    <row r="33" spans="1:17" customFormat="1">
      <c r="A33" s="112" t="s">
        <v>1269</v>
      </c>
      <c r="B33" s="134">
        <v>12.94</v>
      </c>
      <c r="C33" s="134">
        <v>20.3</v>
      </c>
      <c r="D33" s="134">
        <v>19.940000000000001</v>
      </c>
      <c r="E33" s="134">
        <v>8.2100000000000009</v>
      </c>
      <c r="F33" s="134">
        <v>3.09</v>
      </c>
      <c r="G33" s="134">
        <v>25.54</v>
      </c>
      <c r="H33" s="134">
        <v>7.04</v>
      </c>
      <c r="I33" s="134">
        <v>3.46</v>
      </c>
      <c r="J33" s="134">
        <v>7.0000000000000007E-2</v>
      </c>
      <c r="K33" s="134">
        <v>197.49</v>
      </c>
      <c r="L33" s="134">
        <v>25.84</v>
      </c>
      <c r="M33" s="134">
        <v>91.32</v>
      </c>
      <c r="N33" s="134">
        <v>14.1</v>
      </c>
      <c r="O33" s="134">
        <v>0</v>
      </c>
      <c r="P33" s="134">
        <v>0.4</v>
      </c>
      <c r="Q33" s="134">
        <v>4.54</v>
      </c>
    </row>
    <row r="34" spans="1:17" customFormat="1">
      <c r="A34" s="112" t="s">
        <v>1268</v>
      </c>
      <c r="B34" s="134">
        <v>13.02</v>
      </c>
      <c r="C34" s="134">
        <v>20.96</v>
      </c>
      <c r="D34" s="134">
        <v>20.350000000000001</v>
      </c>
      <c r="E34" s="134">
        <v>8.32</v>
      </c>
      <c r="F34" s="134">
        <v>2.8</v>
      </c>
      <c r="G34" s="134">
        <v>24.88</v>
      </c>
      <c r="H34" s="134">
        <v>6.98</v>
      </c>
      <c r="I34" s="134">
        <v>3.48</v>
      </c>
      <c r="J34" s="134">
        <v>0.18</v>
      </c>
      <c r="K34" s="134">
        <v>247.65</v>
      </c>
      <c r="L34" s="134">
        <v>26.15</v>
      </c>
      <c r="M34" s="134">
        <v>90.74</v>
      </c>
      <c r="N34" s="134">
        <v>34.299999999999997</v>
      </c>
      <c r="O34" s="134">
        <v>0</v>
      </c>
      <c r="P34" s="134">
        <v>0.4</v>
      </c>
      <c r="Q34" s="134">
        <v>4.58</v>
      </c>
    </row>
    <row r="35" spans="1:17" customFormat="1">
      <c r="A35" s="112" t="s">
        <v>1267</v>
      </c>
      <c r="B35" s="134">
        <v>13.23</v>
      </c>
      <c r="C35" s="134">
        <v>19.05</v>
      </c>
      <c r="D35" s="134">
        <v>19.52</v>
      </c>
      <c r="E35" s="134">
        <v>7.52</v>
      </c>
      <c r="F35" s="134">
        <v>3.2</v>
      </c>
      <c r="G35" s="134">
        <v>24.88</v>
      </c>
      <c r="H35" s="134">
        <v>6.98</v>
      </c>
      <c r="I35" s="134">
        <v>3.54</v>
      </c>
      <c r="J35" s="134">
        <v>0.33</v>
      </c>
      <c r="K35" s="134">
        <v>257.95</v>
      </c>
      <c r="L35" s="134">
        <v>26.39</v>
      </c>
      <c r="M35" s="134">
        <v>88.57</v>
      </c>
      <c r="N35" s="134">
        <v>39.1</v>
      </c>
      <c r="O35" s="134">
        <v>0</v>
      </c>
      <c r="P35" s="134">
        <v>0.37</v>
      </c>
      <c r="Q35" s="134">
        <v>4.53</v>
      </c>
    </row>
    <row r="36" spans="1:17" customFormat="1">
      <c r="A36" s="112" t="s">
        <v>1266</v>
      </c>
      <c r="B36" s="134">
        <v>13.01</v>
      </c>
      <c r="C36" s="134">
        <v>18.3</v>
      </c>
      <c r="D36" s="134">
        <v>18.95</v>
      </c>
      <c r="E36" s="134">
        <v>7.82</v>
      </c>
      <c r="F36" s="134">
        <v>3.28</v>
      </c>
      <c r="G36" s="134">
        <v>24.88</v>
      </c>
      <c r="H36" s="134">
        <v>6.98</v>
      </c>
      <c r="I36" s="134">
        <v>3.52</v>
      </c>
      <c r="J36" s="134">
        <v>0.23</v>
      </c>
      <c r="K36" s="134">
        <v>255.62</v>
      </c>
      <c r="L36" s="134">
        <v>26.42</v>
      </c>
      <c r="M36" s="134">
        <v>88.09</v>
      </c>
      <c r="N36" s="134">
        <v>55.2</v>
      </c>
      <c r="O36" s="134">
        <v>0</v>
      </c>
      <c r="P36" s="134">
        <v>0.35</v>
      </c>
      <c r="Q36" s="134">
        <v>4.54</v>
      </c>
    </row>
    <row r="37" spans="1:17" customFormat="1">
      <c r="A37" s="112" t="s">
        <v>1265</v>
      </c>
      <c r="B37" s="134">
        <v>12.5</v>
      </c>
      <c r="C37" s="134">
        <v>17.32</v>
      </c>
      <c r="D37" s="134">
        <v>18.03</v>
      </c>
      <c r="E37" s="134">
        <v>8.06</v>
      </c>
      <c r="F37" s="134">
        <v>4.08</v>
      </c>
      <c r="G37" s="134">
        <v>27.55</v>
      </c>
      <c r="H37" s="134">
        <v>7.67</v>
      </c>
      <c r="I37" s="134">
        <v>3.47</v>
      </c>
      <c r="J37" s="134">
        <v>0.45</v>
      </c>
      <c r="K37" s="134">
        <v>263.27</v>
      </c>
      <c r="L37" s="134">
        <v>26.79</v>
      </c>
      <c r="M37" s="134">
        <v>85.98</v>
      </c>
      <c r="N37" s="134">
        <v>83.2</v>
      </c>
      <c r="O37" s="134">
        <v>0</v>
      </c>
      <c r="P37" s="134">
        <v>0.35</v>
      </c>
      <c r="Q37" s="134">
        <v>4.58</v>
      </c>
    </row>
    <row r="38" spans="1:17" customFormat="1">
      <c r="A38" s="112" t="s">
        <v>1264</v>
      </c>
      <c r="B38" s="134">
        <v>12.83</v>
      </c>
      <c r="C38" s="134">
        <v>18.22</v>
      </c>
      <c r="D38" s="134">
        <v>18.760000000000002</v>
      </c>
      <c r="E38" s="134">
        <v>8.31</v>
      </c>
      <c r="F38" s="134">
        <v>3.57</v>
      </c>
      <c r="G38" s="134">
        <v>28.64</v>
      </c>
      <c r="H38" s="134">
        <v>7.7</v>
      </c>
      <c r="I38" s="134">
        <v>3.44</v>
      </c>
      <c r="J38" s="134">
        <v>0.41</v>
      </c>
      <c r="K38" s="134">
        <v>270.02</v>
      </c>
      <c r="L38" s="134">
        <v>27.3</v>
      </c>
      <c r="M38" s="134">
        <v>83.82</v>
      </c>
      <c r="N38" s="134">
        <v>95</v>
      </c>
      <c r="O38" s="134">
        <v>0</v>
      </c>
      <c r="P38" s="134">
        <v>0.35</v>
      </c>
      <c r="Q38" s="134">
        <v>4.59</v>
      </c>
    </row>
    <row r="39" spans="1:17" customFormat="1">
      <c r="A39" s="112" t="s">
        <v>1263</v>
      </c>
      <c r="B39" s="134">
        <v>13.31</v>
      </c>
      <c r="C39" s="134">
        <v>21.5</v>
      </c>
      <c r="D39" s="134">
        <v>20.86</v>
      </c>
      <c r="E39" s="134">
        <v>8.2100000000000009</v>
      </c>
      <c r="F39" s="134">
        <v>1.87</v>
      </c>
      <c r="G39" s="134">
        <v>28.64</v>
      </c>
      <c r="H39" s="134">
        <v>7.7</v>
      </c>
      <c r="I39" s="134">
        <v>3.42</v>
      </c>
      <c r="J39" s="134">
        <v>0.36</v>
      </c>
      <c r="K39" s="134">
        <v>269.2</v>
      </c>
      <c r="L39" s="134">
        <v>27.66</v>
      </c>
      <c r="M39" s="134">
        <v>82.01</v>
      </c>
      <c r="N39" s="134">
        <v>130.80000000000001</v>
      </c>
      <c r="O39" s="134">
        <v>0</v>
      </c>
      <c r="P39" s="134">
        <v>0.4</v>
      </c>
      <c r="Q39" s="134">
        <v>4.63</v>
      </c>
    </row>
    <row r="40" spans="1:17" customFormat="1">
      <c r="A40" s="112" t="s">
        <v>1262</v>
      </c>
      <c r="B40" s="134">
        <v>13.74</v>
      </c>
      <c r="C40" s="134">
        <v>21.01</v>
      </c>
      <c r="D40" s="134">
        <v>20.95</v>
      </c>
      <c r="E40" s="134">
        <v>9.0500000000000007</v>
      </c>
      <c r="F40" s="134">
        <v>2.64</v>
      </c>
      <c r="G40" s="134">
        <v>28.64</v>
      </c>
      <c r="H40" s="134">
        <v>7.7</v>
      </c>
      <c r="I40" s="134">
        <v>3.59</v>
      </c>
      <c r="J40" s="134">
        <v>0.47</v>
      </c>
      <c r="K40" s="134">
        <v>272.66000000000003</v>
      </c>
      <c r="L40" s="134">
        <v>28.58</v>
      </c>
      <c r="M40" s="134">
        <v>78.39</v>
      </c>
      <c r="N40" s="134">
        <v>156.4</v>
      </c>
      <c r="O40" s="134">
        <v>0</v>
      </c>
      <c r="P40" s="134">
        <v>0.41</v>
      </c>
      <c r="Q40" s="134">
        <v>4.67</v>
      </c>
    </row>
    <row r="41" spans="1:17" customFormat="1">
      <c r="A41" s="112" t="s">
        <v>1261</v>
      </c>
      <c r="B41" s="134">
        <v>13.35</v>
      </c>
      <c r="C41" s="134">
        <v>19.43</v>
      </c>
      <c r="D41" s="134">
        <v>19.82</v>
      </c>
      <c r="E41" s="134">
        <v>9.49</v>
      </c>
      <c r="F41" s="134">
        <v>4.8099999999999996</v>
      </c>
      <c r="G41" s="134">
        <v>31.08</v>
      </c>
      <c r="H41" s="134">
        <v>10.119999999999999</v>
      </c>
      <c r="I41" s="134">
        <v>3.76</v>
      </c>
      <c r="J41" s="134">
        <v>0.23</v>
      </c>
      <c r="K41" s="134">
        <v>288.85000000000002</v>
      </c>
      <c r="L41" s="134">
        <v>28.8</v>
      </c>
      <c r="M41" s="134">
        <v>78.14</v>
      </c>
      <c r="N41" s="134">
        <v>135.5</v>
      </c>
      <c r="O41" s="134">
        <v>0</v>
      </c>
      <c r="P41" s="134">
        <v>0.45</v>
      </c>
      <c r="Q41" s="134">
        <v>4.66</v>
      </c>
    </row>
    <row r="42" spans="1:17" customFormat="1">
      <c r="A42" s="112" t="s">
        <v>1260</v>
      </c>
      <c r="B42" s="134">
        <v>13.6</v>
      </c>
      <c r="C42" s="134">
        <v>18.86</v>
      </c>
      <c r="D42" s="134">
        <v>19.71</v>
      </c>
      <c r="E42" s="134">
        <v>9.4700000000000006</v>
      </c>
      <c r="F42" s="134">
        <v>4.68</v>
      </c>
      <c r="G42" s="134">
        <v>32.08</v>
      </c>
      <c r="H42" s="134">
        <v>10.36</v>
      </c>
      <c r="I42" s="134">
        <v>3.94</v>
      </c>
      <c r="J42" s="134">
        <v>0.31</v>
      </c>
      <c r="K42" s="134">
        <v>259.67</v>
      </c>
      <c r="L42" s="134">
        <v>28.91</v>
      </c>
      <c r="M42" s="134">
        <v>78.540000000000006</v>
      </c>
      <c r="N42" s="134">
        <v>163.5</v>
      </c>
      <c r="O42" s="134">
        <v>0</v>
      </c>
      <c r="P42" s="134">
        <v>0.4</v>
      </c>
      <c r="Q42" s="134">
        <v>4.6399999999999997</v>
      </c>
    </row>
    <row r="43" spans="1:17" customFormat="1">
      <c r="A43" s="112" t="s">
        <v>1259</v>
      </c>
      <c r="B43" s="134">
        <v>13.59</v>
      </c>
      <c r="C43" s="134">
        <v>19.05</v>
      </c>
      <c r="D43" s="134">
        <v>19.809999999999999</v>
      </c>
      <c r="E43" s="134">
        <v>9.1999999999999993</v>
      </c>
      <c r="F43" s="134">
        <v>4.43</v>
      </c>
      <c r="G43" s="134">
        <v>32.08</v>
      </c>
      <c r="H43" s="134">
        <v>10.36</v>
      </c>
      <c r="I43" s="134">
        <v>4.17</v>
      </c>
      <c r="J43" s="134">
        <v>0.39</v>
      </c>
      <c r="K43" s="134">
        <v>277.97000000000003</v>
      </c>
      <c r="L43" s="134">
        <v>30</v>
      </c>
      <c r="M43" s="134">
        <v>73.989999999999995</v>
      </c>
      <c r="N43" s="134">
        <v>251</v>
      </c>
      <c r="O43" s="134">
        <v>0</v>
      </c>
      <c r="P43" s="134">
        <v>0.41</v>
      </c>
      <c r="Q43" s="134">
        <v>4.63</v>
      </c>
    </row>
    <row r="44" spans="1:17" customFormat="1">
      <c r="A44" s="112" t="s">
        <v>1258</v>
      </c>
      <c r="B44" s="134">
        <v>13.64</v>
      </c>
      <c r="C44" s="134">
        <v>19.37</v>
      </c>
      <c r="D44" s="134">
        <v>20.010000000000002</v>
      </c>
      <c r="E44" s="134">
        <v>9.9</v>
      </c>
      <c r="F44" s="134">
        <v>5.37</v>
      </c>
      <c r="G44" s="134">
        <v>32.08</v>
      </c>
      <c r="H44" s="134">
        <v>10.36</v>
      </c>
      <c r="I44" s="134">
        <v>4.0599999999999996</v>
      </c>
      <c r="J44" s="134">
        <v>0.45</v>
      </c>
      <c r="K44" s="134">
        <v>341.51</v>
      </c>
      <c r="L44" s="134">
        <v>30.19</v>
      </c>
      <c r="M44" s="134">
        <v>71.900000000000006</v>
      </c>
      <c r="N44" s="134">
        <v>239.6</v>
      </c>
      <c r="O44" s="134">
        <v>0</v>
      </c>
      <c r="P44" s="134">
        <v>0.43</v>
      </c>
      <c r="Q44" s="134">
        <v>4.6500000000000004</v>
      </c>
    </row>
    <row r="45" spans="1:17" customFormat="1">
      <c r="A45" s="112" t="s">
        <v>1257</v>
      </c>
      <c r="B45" s="134">
        <v>13.71</v>
      </c>
      <c r="C45" s="134">
        <v>20.22</v>
      </c>
      <c r="D45" s="134">
        <v>20.52</v>
      </c>
      <c r="E45" s="134">
        <v>10.32</v>
      </c>
      <c r="F45" s="134">
        <v>6.68</v>
      </c>
      <c r="G45" s="134">
        <v>36.11</v>
      </c>
      <c r="H45" s="134">
        <v>10.199999999999999</v>
      </c>
      <c r="I45" s="134">
        <v>4.0999999999999996</v>
      </c>
      <c r="J45" s="134">
        <v>0.41</v>
      </c>
      <c r="K45" s="134">
        <v>321.76</v>
      </c>
      <c r="L45" s="134">
        <v>30.65</v>
      </c>
      <c r="M45" s="134">
        <v>69.83</v>
      </c>
      <c r="N45" s="134">
        <v>310.2</v>
      </c>
      <c r="O45" s="134">
        <v>0</v>
      </c>
      <c r="P45" s="134">
        <v>0.44</v>
      </c>
      <c r="Q45" s="134">
        <v>4.6900000000000004</v>
      </c>
    </row>
    <row r="46" spans="1:17" customFormat="1">
      <c r="A46" s="112" t="s">
        <v>1256</v>
      </c>
      <c r="B46" s="134">
        <v>13.78</v>
      </c>
      <c r="C46" s="134">
        <v>22.68</v>
      </c>
      <c r="D46" s="134">
        <v>21.86</v>
      </c>
      <c r="E46" s="134">
        <v>9.49</v>
      </c>
      <c r="F46" s="134">
        <v>3.26</v>
      </c>
      <c r="G46" s="134">
        <v>37.75</v>
      </c>
      <c r="H46" s="134">
        <v>10.19</v>
      </c>
      <c r="I46" s="134">
        <v>4.09</v>
      </c>
      <c r="J46" s="134">
        <v>0.6</v>
      </c>
      <c r="K46" s="134">
        <v>288.87</v>
      </c>
      <c r="L46" s="134">
        <v>30.85</v>
      </c>
      <c r="M46" s="134">
        <v>68.45</v>
      </c>
      <c r="N46" s="134">
        <v>294.39999999999998</v>
      </c>
      <c r="O46" s="134">
        <v>0</v>
      </c>
      <c r="P46" s="134">
        <v>0.46</v>
      </c>
      <c r="Q46" s="134">
        <v>4.74</v>
      </c>
    </row>
    <row r="47" spans="1:17" customFormat="1">
      <c r="A47" s="112" t="s">
        <v>1255</v>
      </c>
      <c r="B47" s="134">
        <v>13.55</v>
      </c>
      <c r="C47" s="134">
        <v>22.01</v>
      </c>
      <c r="D47" s="134">
        <v>21.32</v>
      </c>
      <c r="E47" s="134">
        <v>9.44</v>
      </c>
      <c r="F47" s="134">
        <v>4.09</v>
      </c>
      <c r="G47" s="134">
        <v>37.75</v>
      </c>
      <c r="H47" s="134">
        <v>10.19</v>
      </c>
      <c r="I47" s="134">
        <v>4.12</v>
      </c>
      <c r="J47" s="134">
        <v>0.6</v>
      </c>
      <c r="K47" s="134">
        <v>312.44</v>
      </c>
      <c r="L47" s="134">
        <v>31.04</v>
      </c>
      <c r="M47" s="134">
        <v>67.23</v>
      </c>
      <c r="N47" s="134">
        <v>285.3</v>
      </c>
      <c r="O47" s="134">
        <v>0</v>
      </c>
      <c r="P47" s="134">
        <v>0.46</v>
      </c>
      <c r="Q47" s="134">
        <v>4.7</v>
      </c>
    </row>
    <row r="48" spans="1:17" customFormat="1">
      <c r="A48" s="112" t="s">
        <v>1254</v>
      </c>
      <c r="B48" s="134">
        <v>13.71</v>
      </c>
      <c r="C48" s="134">
        <v>21.65</v>
      </c>
      <c r="D48" s="134">
        <v>21.26</v>
      </c>
      <c r="E48" s="134">
        <v>9.1999999999999993</v>
      </c>
      <c r="F48" s="134">
        <v>4.83</v>
      </c>
      <c r="G48" s="134">
        <v>37.75</v>
      </c>
      <c r="H48" s="134">
        <v>10.19</v>
      </c>
      <c r="I48" s="134">
        <v>4.2300000000000004</v>
      </c>
      <c r="J48" s="134">
        <v>0.48</v>
      </c>
      <c r="K48" s="134">
        <v>309.36</v>
      </c>
      <c r="L48" s="134">
        <v>31.62</v>
      </c>
      <c r="M48" s="134">
        <v>64.23</v>
      </c>
      <c r="N48" s="134">
        <v>261.5</v>
      </c>
      <c r="O48" s="134">
        <v>0</v>
      </c>
      <c r="P48" s="134">
        <v>0.46</v>
      </c>
      <c r="Q48" s="134">
        <v>4.6399999999999997</v>
      </c>
    </row>
    <row r="49" spans="1:17" customFormat="1">
      <c r="A49" s="112" t="s">
        <v>1253</v>
      </c>
      <c r="B49" s="134">
        <v>13.3</v>
      </c>
      <c r="C49" s="134">
        <v>21.22</v>
      </c>
      <c r="D49" s="134">
        <v>20.71</v>
      </c>
      <c r="E49" s="134">
        <v>8.01</v>
      </c>
      <c r="F49" s="134">
        <v>6.21</v>
      </c>
      <c r="G49" s="134">
        <v>41.15</v>
      </c>
      <c r="H49" s="134">
        <v>13.57</v>
      </c>
      <c r="I49" s="134">
        <v>4.1900000000000004</v>
      </c>
      <c r="J49" s="134">
        <v>0.57999999999999996</v>
      </c>
      <c r="K49" s="134">
        <v>300.89999999999998</v>
      </c>
      <c r="L49" s="134">
        <v>31.94</v>
      </c>
      <c r="M49" s="134">
        <v>63.55</v>
      </c>
      <c r="N49" s="134">
        <v>336.9</v>
      </c>
      <c r="O49" s="134">
        <v>0</v>
      </c>
      <c r="P49" s="134">
        <v>0.46</v>
      </c>
      <c r="Q49" s="134">
        <v>4.66</v>
      </c>
    </row>
    <row r="50" spans="1:17" customFormat="1">
      <c r="A50" s="112" t="s">
        <v>1252</v>
      </c>
      <c r="B50" s="134">
        <v>12.83</v>
      </c>
      <c r="C50" s="134">
        <v>21.74</v>
      </c>
      <c r="D50" s="134">
        <v>20.6</v>
      </c>
      <c r="E50" s="134">
        <v>8.8800000000000008</v>
      </c>
      <c r="F50" s="134">
        <v>5.64</v>
      </c>
      <c r="G50" s="134">
        <v>42.54</v>
      </c>
      <c r="H50" s="134">
        <v>13.73</v>
      </c>
      <c r="I50" s="134">
        <v>4.1399999999999997</v>
      </c>
      <c r="J50" s="134">
        <v>0.57999999999999996</v>
      </c>
      <c r="K50" s="134">
        <v>288.67</v>
      </c>
      <c r="L50" s="134">
        <v>32.28</v>
      </c>
      <c r="M50" s="134">
        <v>61.96</v>
      </c>
      <c r="N50" s="134">
        <v>436.3</v>
      </c>
      <c r="O50" s="134">
        <v>0</v>
      </c>
      <c r="P50" s="134">
        <v>0.46</v>
      </c>
      <c r="Q50" s="134">
        <v>4.67</v>
      </c>
    </row>
    <row r="51" spans="1:17" customFormat="1">
      <c r="A51" s="112" t="s">
        <v>1251</v>
      </c>
      <c r="B51" s="134">
        <v>12.78</v>
      </c>
      <c r="C51" s="134">
        <v>21.99</v>
      </c>
      <c r="D51" s="134">
        <v>20.69</v>
      </c>
      <c r="E51" s="134">
        <v>8.65</v>
      </c>
      <c r="F51" s="134">
        <v>5.42</v>
      </c>
      <c r="G51" s="134">
        <v>42.54</v>
      </c>
      <c r="H51" s="134">
        <v>13.73</v>
      </c>
      <c r="I51" s="134">
        <v>4.1500000000000004</v>
      </c>
      <c r="J51" s="134">
        <v>0.55000000000000004</v>
      </c>
      <c r="K51" s="134">
        <v>291.02999999999997</v>
      </c>
      <c r="L51" s="134">
        <v>32.229999999999997</v>
      </c>
      <c r="M51" s="134">
        <v>62.43</v>
      </c>
      <c r="N51" s="134">
        <v>448.3</v>
      </c>
      <c r="O51" s="134">
        <v>0</v>
      </c>
      <c r="P51" s="134">
        <v>0.46</v>
      </c>
      <c r="Q51" s="134">
        <v>4.63</v>
      </c>
    </row>
    <row r="52" spans="1:17" customFormat="1">
      <c r="A52" s="112" t="s">
        <v>1250</v>
      </c>
      <c r="B52" s="134">
        <v>12.7</v>
      </c>
      <c r="C52" s="134">
        <v>21.8</v>
      </c>
      <c r="D52" s="134">
        <v>20.53</v>
      </c>
      <c r="E52" s="134">
        <v>8.4</v>
      </c>
      <c r="F52" s="134">
        <v>5.54</v>
      </c>
      <c r="G52" s="134">
        <v>42.54</v>
      </c>
      <c r="H52" s="134">
        <v>13.73</v>
      </c>
      <c r="I52" s="134">
        <v>4.16</v>
      </c>
      <c r="J52" s="134">
        <v>0.68</v>
      </c>
      <c r="K52" s="134">
        <v>309.07</v>
      </c>
      <c r="L52" s="134">
        <v>32.619999999999997</v>
      </c>
      <c r="M52" s="134">
        <v>58.12</v>
      </c>
      <c r="N52" s="134">
        <v>767.9</v>
      </c>
      <c r="O52" s="134">
        <v>0</v>
      </c>
      <c r="P52" s="134">
        <v>0.47</v>
      </c>
      <c r="Q52" s="134">
        <v>4.62</v>
      </c>
    </row>
    <row r="53" spans="1:17" customFormat="1">
      <c r="A53" s="112" t="s">
        <v>1249</v>
      </c>
      <c r="B53" s="134">
        <v>12.28</v>
      </c>
      <c r="C53" s="134">
        <v>23.17</v>
      </c>
      <c r="D53" s="134">
        <v>20.91</v>
      </c>
      <c r="E53" s="134">
        <v>7.72</v>
      </c>
      <c r="F53" s="134">
        <v>3.89</v>
      </c>
      <c r="G53" s="134">
        <v>42.87</v>
      </c>
      <c r="H53" s="134">
        <v>12.89</v>
      </c>
      <c r="I53" s="134">
        <v>4.09</v>
      </c>
      <c r="J53" s="134">
        <v>0.63</v>
      </c>
      <c r="K53" s="134">
        <v>298.05</v>
      </c>
      <c r="L53" s="134">
        <v>32.76</v>
      </c>
      <c r="M53" s="134">
        <v>57.82</v>
      </c>
      <c r="N53" s="134">
        <v>568.79999999999995</v>
      </c>
      <c r="O53" s="134">
        <v>0</v>
      </c>
      <c r="P53" s="134">
        <v>0.49</v>
      </c>
      <c r="Q53" s="134">
        <v>4.59</v>
      </c>
    </row>
    <row r="54" spans="1:17" customFormat="1">
      <c r="A54" s="112" t="s">
        <v>1248</v>
      </c>
      <c r="B54" s="134">
        <v>11.49</v>
      </c>
      <c r="C54" s="134">
        <v>25.4</v>
      </c>
      <c r="D54" s="134">
        <v>21.44</v>
      </c>
      <c r="E54" s="134">
        <v>7.84</v>
      </c>
      <c r="F54" s="134">
        <v>3.29</v>
      </c>
      <c r="G54" s="134">
        <v>43</v>
      </c>
      <c r="H54" s="134">
        <v>12.85</v>
      </c>
      <c r="I54" s="134">
        <v>4.13</v>
      </c>
      <c r="J54" s="134">
        <v>0.66</v>
      </c>
      <c r="K54" s="134">
        <v>268.39</v>
      </c>
      <c r="L54" s="134">
        <v>33.36</v>
      </c>
      <c r="M54" s="134">
        <v>55.28</v>
      </c>
      <c r="N54" s="134">
        <v>825.3</v>
      </c>
      <c r="O54" s="134">
        <v>0</v>
      </c>
      <c r="P54" s="134">
        <v>0.52</v>
      </c>
      <c r="Q54" s="134">
        <v>4.6100000000000003</v>
      </c>
    </row>
    <row r="55" spans="1:17" customFormat="1">
      <c r="A55" s="112" t="s">
        <v>1247</v>
      </c>
      <c r="B55" s="134">
        <v>10.92</v>
      </c>
      <c r="C55" s="134">
        <v>25.47</v>
      </c>
      <c r="D55" s="134">
        <v>21.02</v>
      </c>
      <c r="E55" s="134">
        <v>8.1199999999999992</v>
      </c>
      <c r="F55" s="134">
        <v>3.8</v>
      </c>
      <c r="G55" s="134">
        <v>43</v>
      </c>
      <c r="H55" s="134">
        <v>12.85</v>
      </c>
      <c r="I55" s="134">
        <v>4.2699999999999996</v>
      </c>
      <c r="J55" s="134">
        <v>0.68</v>
      </c>
      <c r="K55" s="134">
        <v>308.2</v>
      </c>
      <c r="L55" s="134">
        <v>33.51</v>
      </c>
      <c r="M55" s="134">
        <v>54.44</v>
      </c>
      <c r="N55" s="134">
        <v>834.1</v>
      </c>
      <c r="O55" s="134">
        <v>0</v>
      </c>
      <c r="P55" s="134">
        <v>0.5</v>
      </c>
      <c r="Q55" s="134">
        <v>4.63</v>
      </c>
    </row>
    <row r="56" spans="1:17" customFormat="1">
      <c r="A56" s="112" t="s">
        <v>1246</v>
      </c>
      <c r="B56" s="134">
        <v>10.85</v>
      </c>
      <c r="C56" s="134">
        <v>24.05</v>
      </c>
      <c r="D56" s="134">
        <v>20.22</v>
      </c>
      <c r="E56" s="134">
        <v>7.95</v>
      </c>
      <c r="F56" s="134">
        <v>5.74</v>
      </c>
      <c r="G56" s="134">
        <v>43</v>
      </c>
      <c r="H56" s="134">
        <v>12.85</v>
      </c>
      <c r="I56" s="134">
        <v>4.22</v>
      </c>
      <c r="J56" s="134">
        <v>0.67</v>
      </c>
      <c r="K56" s="134">
        <v>303.14999999999998</v>
      </c>
      <c r="L56" s="134">
        <v>33.44</v>
      </c>
      <c r="M56" s="134">
        <v>53.21</v>
      </c>
      <c r="N56" s="134">
        <v>733.1</v>
      </c>
      <c r="O56" s="134">
        <v>0</v>
      </c>
      <c r="P56" s="134">
        <v>0.47</v>
      </c>
      <c r="Q56" s="134">
        <v>4.5599999999999996</v>
      </c>
    </row>
    <row r="57" spans="1:17" customFormat="1">
      <c r="A57" s="112" t="s">
        <v>1245</v>
      </c>
      <c r="B57" s="134">
        <v>11.17</v>
      </c>
      <c r="C57" s="134">
        <v>23.55</v>
      </c>
      <c r="D57" s="134">
        <v>20.22</v>
      </c>
      <c r="E57" s="134">
        <v>8.23</v>
      </c>
      <c r="F57" s="134">
        <v>8.77</v>
      </c>
      <c r="G57" s="134">
        <v>45.31</v>
      </c>
      <c r="H57" s="134">
        <v>10.5</v>
      </c>
      <c r="I57" s="134">
        <v>4.0599999999999996</v>
      </c>
      <c r="J57" s="134">
        <v>0.64</v>
      </c>
      <c r="K57" s="134">
        <v>322.85000000000002</v>
      </c>
      <c r="L57" s="134">
        <v>33.35</v>
      </c>
      <c r="M57" s="134">
        <v>52.6</v>
      </c>
      <c r="N57" s="134">
        <v>739.4</v>
      </c>
      <c r="O57" s="134">
        <v>0</v>
      </c>
      <c r="P57" s="134">
        <v>0.45</v>
      </c>
      <c r="Q57" s="134">
        <v>4.53</v>
      </c>
    </row>
    <row r="58" spans="1:17" customFormat="1">
      <c r="A58" s="112" t="s">
        <v>1244</v>
      </c>
      <c r="B58" s="134">
        <v>10.81</v>
      </c>
      <c r="C58" s="134">
        <v>22.64</v>
      </c>
      <c r="D58" s="134">
        <v>19.46</v>
      </c>
      <c r="E58" s="134">
        <v>7.96</v>
      </c>
      <c r="F58" s="134">
        <v>10.48</v>
      </c>
      <c r="G58" s="134">
        <v>46.24</v>
      </c>
      <c r="H58" s="134">
        <v>10.39</v>
      </c>
      <c r="I58" s="134">
        <v>3.96</v>
      </c>
      <c r="J58" s="134">
        <v>0.51</v>
      </c>
      <c r="K58" s="134">
        <v>272.51</v>
      </c>
      <c r="L58" s="134">
        <v>32.94</v>
      </c>
      <c r="M58" s="134">
        <v>58.75</v>
      </c>
      <c r="N58" s="134">
        <v>416.6</v>
      </c>
      <c r="O58" s="134">
        <v>0</v>
      </c>
      <c r="P58" s="134">
        <v>0.44</v>
      </c>
      <c r="Q58" s="134">
        <v>4.51</v>
      </c>
    </row>
    <row r="59" spans="1:17" customFormat="1">
      <c r="A59" s="112" t="s">
        <v>1243</v>
      </c>
      <c r="B59" s="134">
        <v>9.42</v>
      </c>
      <c r="C59" s="134">
        <v>20.92</v>
      </c>
      <c r="D59" s="134">
        <v>17.440000000000001</v>
      </c>
      <c r="E59" s="134">
        <v>7.72</v>
      </c>
      <c r="F59" s="134">
        <v>10.06</v>
      </c>
      <c r="G59" s="134">
        <v>46.24</v>
      </c>
      <c r="H59" s="134">
        <v>10.39</v>
      </c>
      <c r="I59" s="134">
        <v>3.83</v>
      </c>
      <c r="J59" s="134">
        <v>0.79</v>
      </c>
      <c r="K59" s="134">
        <v>262.01</v>
      </c>
      <c r="L59" s="134">
        <v>32.21</v>
      </c>
      <c r="M59" s="134">
        <v>63.75</v>
      </c>
      <c r="N59" s="134">
        <v>215.3</v>
      </c>
      <c r="O59" s="134">
        <v>0</v>
      </c>
      <c r="P59" s="134">
        <v>0.43</v>
      </c>
      <c r="Q59" s="134">
        <v>4.45</v>
      </c>
    </row>
    <row r="60" spans="1:17" customFormat="1">
      <c r="A60" s="112" t="s">
        <v>1242</v>
      </c>
      <c r="B60" s="134">
        <v>8.4499999999999993</v>
      </c>
      <c r="C60" s="134">
        <v>20.43</v>
      </c>
      <c r="D60" s="134">
        <v>16.41</v>
      </c>
      <c r="E60" s="134">
        <v>8.51</v>
      </c>
      <c r="F60" s="134">
        <v>10.220000000000001</v>
      </c>
      <c r="G60" s="134">
        <v>46.24</v>
      </c>
      <c r="H60" s="134">
        <v>10.39</v>
      </c>
      <c r="I60" s="134">
        <v>3.8</v>
      </c>
      <c r="J60" s="134">
        <v>0.82</v>
      </c>
      <c r="K60" s="134">
        <v>271.56</v>
      </c>
      <c r="L60" s="134">
        <v>32.729999999999997</v>
      </c>
      <c r="M60" s="134">
        <v>61.59</v>
      </c>
      <c r="N60" s="134">
        <v>815</v>
      </c>
      <c r="O60" s="134">
        <v>0</v>
      </c>
      <c r="P60" s="134">
        <v>0.42</v>
      </c>
      <c r="Q60" s="134">
        <v>4.37</v>
      </c>
    </row>
    <row r="61" spans="1:17" customFormat="1">
      <c r="A61" s="112" t="s">
        <v>1241</v>
      </c>
      <c r="B61" s="134">
        <v>8.1</v>
      </c>
      <c r="C61" s="134">
        <v>21.32</v>
      </c>
      <c r="D61" s="134">
        <v>16.59</v>
      </c>
      <c r="E61" s="134">
        <v>9.7799999999999994</v>
      </c>
      <c r="F61" s="134">
        <v>8.49</v>
      </c>
      <c r="G61" s="134">
        <v>48.46</v>
      </c>
      <c r="H61" s="134">
        <v>13.21</v>
      </c>
      <c r="I61" s="134">
        <v>3.9</v>
      </c>
      <c r="J61" s="134">
        <v>0.98</v>
      </c>
      <c r="K61" s="134">
        <v>268.35000000000002</v>
      </c>
      <c r="L61" s="134">
        <v>32.93</v>
      </c>
      <c r="M61" s="134">
        <v>59.72</v>
      </c>
      <c r="N61" s="134">
        <v>563.5</v>
      </c>
      <c r="O61" s="134">
        <v>0</v>
      </c>
      <c r="P61" s="134">
        <v>0.44</v>
      </c>
      <c r="Q61" s="134">
        <v>4.3600000000000003</v>
      </c>
    </row>
    <row r="62" spans="1:17" customFormat="1">
      <c r="A62" s="112" t="s">
        <v>1240</v>
      </c>
      <c r="B62" s="134">
        <v>7.76</v>
      </c>
      <c r="C62" s="134">
        <v>21.46</v>
      </c>
      <c r="D62" s="134">
        <v>16.399999999999999</v>
      </c>
      <c r="E62" s="134">
        <v>8.58</v>
      </c>
      <c r="F62" s="134">
        <v>7.41</v>
      </c>
      <c r="G62" s="134">
        <v>49.35</v>
      </c>
      <c r="H62" s="134">
        <v>13.34</v>
      </c>
      <c r="I62" s="134">
        <v>3.94</v>
      </c>
      <c r="J62" s="134">
        <v>0.93</v>
      </c>
      <c r="K62" s="134">
        <v>259.93</v>
      </c>
      <c r="L62" s="134">
        <v>33.21</v>
      </c>
      <c r="M62" s="134">
        <v>58.71</v>
      </c>
      <c r="N62" s="134">
        <v>725.8</v>
      </c>
      <c r="O62" s="134">
        <v>0</v>
      </c>
      <c r="P62" s="134">
        <v>0.44</v>
      </c>
      <c r="Q62" s="134">
        <v>4.34</v>
      </c>
    </row>
    <row r="63" spans="1:17" customFormat="1">
      <c r="A63" s="112" t="s">
        <v>1239</v>
      </c>
      <c r="B63" s="134">
        <v>7.28</v>
      </c>
      <c r="C63" s="134">
        <v>20.93</v>
      </c>
      <c r="D63" s="134">
        <v>15.73</v>
      </c>
      <c r="E63" s="134">
        <v>8.36</v>
      </c>
      <c r="F63" s="134">
        <v>6.78</v>
      </c>
      <c r="G63" s="134">
        <v>49.35</v>
      </c>
      <c r="H63" s="134">
        <v>13.34</v>
      </c>
      <c r="I63" s="134">
        <v>4.05</v>
      </c>
      <c r="J63" s="134">
        <v>0.9</v>
      </c>
      <c r="K63" s="134">
        <v>267.44</v>
      </c>
      <c r="L63" s="134">
        <v>33.29</v>
      </c>
      <c r="M63" s="134">
        <v>59.32</v>
      </c>
      <c r="N63" s="134">
        <v>607.79999999999995</v>
      </c>
      <c r="O63" s="134">
        <v>0</v>
      </c>
      <c r="P63" s="134">
        <v>0.43</v>
      </c>
      <c r="Q63" s="134">
        <v>4.29</v>
      </c>
    </row>
    <row r="64" spans="1:17" customFormat="1">
      <c r="A64" s="112" t="s">
        <v>1238</v>
      </c>
      <c r="B64" s="134">
        <v>6.85</v>
      </c>
      <c r="C64" s="134">
        <v>20.49</v>
      </c>
      <c r="D64" s="134">
        <v>15.15</v>
      </c>
      <c r="E64" s="134">
        <v>8</v>
      </c>
      <c r="F64" s="134">
        <v>7.2</v>
      </c>
      <c r="G64" s="134">
        <v>49.35</v>
      </c>
      <c r="H64" s="134">
        <v>13.34</v>
      </c>
      <c r="I64" s="134">
        <v>3.95</v>
      </c>
      <c r="J64" s="134">
        <v>0.66</v>
      </c>
      <c r="K64" s="134">
        <v>274.94</v>
      </c>
      <c r="L64" s="134">
        <v>33</v>
      </c>
      <c r="M64" s="134">
        <v>60.29</v>
      </c>
      <c r="N64" s="134">
        <v>525.6</v>
      </c>
      <c r="O64" s="134">
        <v>0</v>
      </c>
      <c r="P64" s="134">
        <v>0.44</v>
      </c>
      <c r="Q64" s="134">
        <v>4.24</v>
      </c>
    </row>
    <row r="65" spans="1:17" customFormat="1">
      <c r="A65" s="112" t="s">
        <v>1237</v>
      </c>
      <c r="B65" s="134">
        <v>6.76</v>
      </c>
      <c r="C65" s="134">
        <v>20.02</v>
      </c>
      <c r="D65" s="134">
        <v>14.84</v>
      </c>
      <c r="E65" s="134">
        <v>7.54</v>
      </c>
      <c r="F65" s="134">
        <v>7.61</v>
      </c>
      <c r="G65" s="134">
        <v>45.78</v>
      </c>
      <c r="H65" s="134">
        <v>11.34</v>
      </c>
      <c r="I65" s="134">
        <v>3.87</v>
      </c>
      <c r="J65" s="134">
        <v>0.85</v>
      </c>
      <c r="K65" s="134">
        <v>262.73</v>
      </c>
      <c r="L65" s="134">
        <v>33.14</v>
      </c>
      <c r="M65" s="134">
        <v>59.95</v>
      </c>
      <c r="N65" s="134">
        <v>451.2</v>
      </c>
      <c r="O65" s="134">
        <v>0</v>
      </c>
      <c r="P65" s="134">
        <v>0.42</v>
      </c>
      <c r="Q65" s="134">
        <v>4.2300000000000004</v>
      </c>
    </row>
    <row r="66" spans="1:17" customFormat="1">
      <c r="A66" s="112" t="s">
        <v>1236</v>
      </c>
      <c r="B66" s="134">
        <v>6.54</v>
      </c>
      <c r="C66" s="134">
        <v>20.09</v>
      </c>
      <c r="D66" s="134">
        <v>14.69</v>
      </c>
      <c r="E66" s="134">
        <v>8.06</v>
      </c>
      <c r="F66" s="134">
        <v>6.45</v>
      </c>
      <c r="G66" s="134">
        <v>44.33</v>
      </c>
      <c r="H66" s="134">
        <v>11.19</v>
      </c>
      <c r="I66" s="134">
        <v>3.88</v>
      </c>
      <c r="J66" s="134">
        <v>0.82</v>
      </c>
      <c r="K66" s="134">
        <v>261.3</v>
      </c>
      <c r="L66" s="134">
        <v>31.62</v>
      </c>
      <c r="M66" s="134">
        <v>66.010000000000005</v>
      </c>
      <c r="N66" s="134">
        <v>81.599999999999994</v>
      </c>
      <c r="O66" s="134">
        <v>0</v>
      </c>
      <c r="P66" s="134">
        <v>0.42</v>
      </c>
      <c r="Q66" s="134">
        <v>4.22</v>
      </c>
    </row>
    <row r="67" spans="1:17" customFormat="1">
      <c r="A67" s="112" t="s">
        <v>1235</v>
      </c>
      <c r="B67" s="134">
        <v>6.17</v>
      </c>
      <c r="C67" s="134">
        <v>18.95</v>
      </c>
      <c r="D67" s="134">
        <v>13.81</v>
      </c>
      <c r="E67" s="134">
        <v>8.01</v>
      </c>
      <c r="F67" s="134">
        <v>9.8000000000000007</v>
      </c>
      <c r="G67" s="134">
        <v>44.33</v>
      </c>
      <c r="H67" s="134">
        <v>11.19</v>
      </c>
      <c r="I67" s="134">
        <v>3.75</v>
      </c>
      <c r="J67" s="134">
        <v>0.74</v>
      </c>
      <c r="K67" s="134">
        <v>267.11</v>
      </c>
      <c r="L67" s="134">
        <v>30.65</v>
      </c>
      <c r="M67" s="134">
        <v>69.959999999999994</v>
      </c>
      <c r="N67" s="134">
        <v>123.3</v>
      </c>
      <c r="O67" s="134">
        <v>0</v>
      </c>
      <c r="P67" s="134">
        <v>0.41</v>
      </c>
      <c r="Q67" s="134">
        <v>4.18</v>
      </c>
    </row>
    <row r="68" spans="1:17" customFormat="1">
      <c r="A68" s="112" t="s">
        <v>1234</v>
      </c>
      <c r="B68" s="134">
        <v>5.95</v>
      </c>
      <c r="C68" s="134">
        <v>18.7</v>
      </c>
      <c r="D68" s="134">
        <v>13.5</v>
      </c>
      <c r="E68" s="134">
        <v>8.7799999999999994</v>
      </c>
      <c r="F68" s="134">
        <v>9.6</v>
      </c>
      <c r="G68" s="134">
        <v>44.33</v>
      </c>
      <c r="H68" s="134">
        <v>11.19</v>
      </c>
      <c r="I68" s="134">
        <v>3.76</v>
      </c>
      <c r="J68" s="134">
        <v>0.96</v>
      </c>
      <c r="K68" s="134">
        <v>261.91000000000003</v>
      </c>
      <c r="L68" s="134">
        <v>31.74</v>
      </c>
      <c r="M68" s="134">
        <v>64.56</v>
      </c>
      <c r="N68" s="134">
        <v>411.2</v>
      </c>
      <c r="O68" s="134">
        <v>0</v>
      </c>
      <c r="P68" s="134">
        <v>0.42</v>
      </c>
      <c r="Q68" s="134">
        <v>4.1500000000000004</v>
      </c>
    </row>
    <row r="69" spans="1:17" customFormat="1">
      <c r="A69" s="112" t="s">
        <v>1233</v>
      </c>
      <c r="B69" s="134">
        <v>5.72</v>
      </c>
      <c r="C69" s="134">
        <v>18.91</v>
      </c>
      <c r="D69" s="134">
        <v>13.42</v>
      </c>
      <c r="E69" s="134">
        <v>9.44</v>
      </c>
      <c r="F69" s="134">
        <v>8.9</v>
      </c>
      <c r="G69" s="134">
        <v>42.82</v>
      </c>
      <c r="H69" s="134">
        <v>8.24</v>
      </c>
      <c r="I69" s="134">
        <v>3.62</v>
      </c>
      <c r="J69" s="134">
        <v>1.33</v>
      </c>
      <c r="K69" s="134">
        <v>265.48</v>
      </c>
      <c r="L69" s="134">
        <v>31.8</v>
      </c>
      <c r="M69" s="134">
        <v>63.36</v>
      </c>
      <c r="N69" s="134">
        <v>323.7</v>
      </c>
      <c r="O69" s="134">
        <v>0</v>
      </c>
      <c r="P69" s="134">
        <v>0.41</v>
      </c>
      <c r="Q69" s="134">
        <v>4.1500000000000004</v>
      </c>
    </row>
    <row r="70" spans="1:17" customFormat="1">
      <c r="A70" s="112" t="s">
        <v>1232</v>
      </c>
      <c r="B70" s="134">
        <v>5.53</v>
      </c>
      <c r="C70" s="134">
        <v>19.22</v>
      </c>
      <c r="D70" s="134">
        <v>13.43</v>
      </c>
      <c r="E70" s="134">
        <v>8.44</v>
      </c>
      <c r="F70" s="134">
        <v>7.91</v>
      </c>
      <c r="G70" s="134">
        <v>42.21</v>
      </c>
      <c r="H70" s="134">
        <v>8.1</v>
      </c>
      <c r="I70" s="134">
        <v>3.56</v>
      </c>
      <c r="J70" s="134">
        <v>0.97</v>
      </c>
      <c r="K70" s="134">
        <v>261.56</v>
      </c>
      <c r="L70" s="134">
        <v>31.84</v>
      </c>
      <c r="M70" s="134">
        <v>63.79</v>
      </c>
      <c r="N70" s="134">
        <v>389</v>
      </c>
      <c r="O70" s="134">
        <v>0</v>
      </c>
      <c r="P70" s="134">
        <v>0.41</v>
      </c>
      <c r="Q70" s="134">
        <v>4.12</v>
      </c>
    </row>
    <row r="71" spans="1:17" customFormat="1">
      <c r="A71" s="112" t="s">
        <v>1231</v>
      </c>
      <c r="B71" s="134">
        <v>5.25</v>
      </c>
      <c r="C71" s="134">
        <v>18.7</v>
      </c>
      <c r="D71" s="134">
        <v>12.93</v>
      </c>
      <c r="E71" s="134">
        <v>8.58</v>
      </c>
      <c r="F71" s="134">
        <v>8</v>
      </c>
      <c r="G71" s="134">
        <v>42.21</v>
      </c>
      <c r="H71" s="134">
        <v>8.1</v>
      </c>
      <c r="I71" s="134">
        <v>3.53</v>
      </c>
      <c r="J71" s="134">
        <v>0.83</v>
      </c>
      <c r="K71" s="134">
        <v>268.72000000000003</v>
      </c>
      <c r="L71" s="134">
        <v>32.19</v>
      </c>
      <c r="M71" s="134">
        <v>63.12</v>
      </c>
      <c r="N71" s="134">
        <v>443.2</v>
      </c>
      <c r="O71" s="134">
        <v>0</v>
      </c>
      <c r="P71" s="134">
        <v>0.41</v>
      </c>
      <c r="Q71" s="134">
        <v>4.09</v>
      </c>
    </row>
    <row r="72" spans="1:17" customFormat="1">
      <c r="A72" s="112" t="s">
        <v>1230</v>
      </c>
      <c r="B72" s="134">
        <v>5.13</v>
      </c>
      <c r="C72" s="134">
        <v>18.920000000000002</v>
      </c>
      <c r="D72" s="134">
        <v>12.95</v>
      </c>
      <c r="E72" s="134">
        <v>8.8800000000000008</v>
      </c>
      <c r="F72" s="134">
        <v>7.65</v>
      </c>
      <c r="G72" s="134">
        <v>42.21</v>
      </c>
      <c r="H72" s="134">
        <v>8.1</v>
      </c>
      <c r="I72" s="134">
        <v>3.55</v>
      </c>
      <c r="J72" s="134">
        <v>0.93</v>
      </c>
      <c r="K72" s="134">
        <v>271.51</v>
      </c>
      <c r="L72" s="134">
        <v>32.17</v>
      </c>
      <c r="M72" s="134">
        <v>61.82</v>
      </c>
      <c r="N72" s="134">
        <v>261.60000000000002</v>
      </c>
      <c r="O72" s="134">
        <v>0</v>
      </c>
      <c r="P72" s="134">
        <v>0.4</v>
      </c>
      <c r="Q72" s="134">
        <v>4.09</v>
      </c>
    </row>
    <row r="73" spans="1:17" customFormat="1">
      <c r="A73" s="112" t="s">
        <v>1229</v>
      </c>
      <c r="B73" s="134">
        <v>4.99</v>
      </c>
      <c r="C73" s="134">
        <v>19.61</v>
      </c>
      <c r="D73" s="134">
        <v>13.2</v>
      </c>
      <c r="E73" s="134">
        <v>9.61</v>
      </c>
      <c r="F73" s="134">
        <v>7.25</v>
      </c>
      <c r="G73" s="134">
        <v>38.28</v>
      </c>
      <c r="H73" s="134">
        <v>6.58</v>
      </c>
      <c r="I73" s="134">
        <v>3.45</v>
      </c>
      <c r="J73" s="134">
        <v>1.01</v>
      </c>
      <c r="K73" s="134">
        <v>270.85000000000002</v>
      </c>
      <c r="L73" s="134">
        <v>32.03</v>
      </c>
      <c r="M73" s="134">
        <v>61.08</v>
      </c>
      <c r="N73" s="134">
        <v>359.3</v>
      </c>
      <c r="O73" s="134">
        <v>0</v>
      </c>
      <c r="P73" s="134">
        <v>0.43</v>
      </c>
      <c r="Q73" s="134">
        <v>4.07</v>
      </c>
    </row>
    <row r="74" spans="1:17" customFormat="1">
      <c r="A74" s="112" t="s">
        <v>1228</v>
      </c>
      <c r="B74" s="134">
        <v>4.7300000000000004</v>
      </c>
      <c r="C74" s="134">
        <v>22.09</v>
      </c>
      <c r="D74" s="134">
        <v>14.29</v>
      </c>
      <c r="E74" s="134">
        <v>8.3699999999999992</v>
      </c>
      <c r="F74" s="134">
        <v>3.88</v>
      </c>
      <c r="G74" s="134">
        <v>36.68</v>
      </c>
      <c r="H74" s="134">
        <v>6.5</v>
      </c>
      <c r="I74" s="134">
        <v>3.44</v>
      </c>
      <c r="J74" s="134">
        <v>1.06</v>
      </c>
      <c r="K74" s="134">
        <v>266.64</v>
      </c>
      <c r="L74" s="134">
        <v>31.59</v>
      </c>
      <c r="M74" s="134">
        <v>62.48</v>
      </c>
      <c r="N74" s="134">
        <v>161.80000000000001</v>
      </c>
      <c r="O74" s="134">
        <v>0</v>
      </c>
      <c r="P74" s="134">
        <v>0.46</v>
      </c>
      <c r="Q74" s="134">
        <v>4.07</v>
      </c>
    </row>
    <row r="75" spans="1:17" customFormat="1">
      <c r="A75" s="112" t="s">
        <v>1227</v>
      </c>
      <c r="B75" s="134">
        <v>4.33</v>
      </c>
      <c r="C75" s="134">
        <v>23.75</v>
      </c>
      <c r="D75" s="134">
        <v>14.84</v>
      </c>
      <c r="E75" s="134">
        <v>8.56</v>
      </c>
      <c r="F75" s="134">
        <v>3.7</v>
      </c>
      <c r="G75" s="134">
        <v>36.68</v>
      </c>
      <c r="H75" s="134">
        <v>6.5</v>
      </c>
      <c r="I75" s="134">
        <v>3.55</v>
      </c>
      <c r="J75" s="134">
        <v>0.92</v>
      </c>
      <c r="K75" s="134">
        <v>266.31</v>
      </c>
      <c r="L75" s="134">
        <v>31.88</v>
      </c>
      <c r="M75" s="134">
        <v>62.22</v>
      </c>
      <c r="N75" s="134">
        <v>169</v>
      </c>
      <c r="O75" s="134">
        <v>0</v>
      </c>
      <c r="P75" s="134">
        <v>0.48</v>
      </c>
      <c r="Q75" s="134">
        <v>4.1399999999999997</v>
      </c>
    </row>
    <row r="76" spans="1:17" customFormat="1">
      <c r="A76" s="112" t="s">
        <v>1226</v>
      </c>
      <c r="B76" s="134">
        <v>4.3899999999999997</v>
      </c>
      <c r="C76" s="134">
        <v>22.09</v>
      </c>
      <c r="D76" s="134">
        <v>14.01</v>
      </c>
      <c r="E76" s="134">
        <v>8.09</v>
      </c>
      <c r="F76" s="134">
        <v>7.01</v>
      </c>
      <c r="G76" s="134">
        <v>36.68</v>
      </c>
      <c r="H76" s="134">
        <v>6.5</v>
      </c>
      <c r="I76" s="134">
        <v>3.71</v>
      </c>
      <c r="J76" s="134">
        <v>0.97</v>
      </c>
      <c r="K76" s="134">
        <v>264.70999999999998</v>
      </c>
      <c r="L76" s="134">
        <v>31.58</v>
      </c>
      <c r="M76" s="134">
        <v>62.68</v>
      </c>
      <c r="N76" s="134">
        <v>109.2</v>
      </c>
      <c r="O76" s="134">
        <v>0</v>
      </c>
      <c r="P76" s="134">
        <v>0.45</v>
      </c>
      <c r="Q76" s="134">
        <v>4.12</v>
      </c>
    </row>
    <row r="77" spans="1:17" customFormat="1">
      <c r="A77" s="112" t="s">
        <v>1225</v>
      </c>
      <c r="B77" s="134">
        <v>4.2300000000000004</v>
      </c>
      <c r="C77" s="134">
        <v>19.2</v>
      </c>
      <c r="D77" s="134">
        <v>12.38</v>
      </c>
      <c r="E77" s="134">
        <v>9.07</v>
      </c>
      <c r="F77" s="134">
        <v>12.37</v>
      </c>
      <c r="G77" s="134">
        <v>35.979999999999997</v>
      </c>
      <c r="H77" s="134">
        <v>10.8</v>
      </c>
      <c r="I77" s="134">
        <v>3.66</v>
      </c>
      <c r="J77" s="134">
        <v>0.75</v>
      </c>
      <c r="K77" s="134">
        <v>265.77999999999997</v>
      </c>
      <c r="L77" s="134">
        <v>31.26</v>
      </c>
      <c r="M77" s="134">
        <v>64.239999999999995</v>
      </c>
      <c r="N77" s="134">
        <v>71.7</v>
      </c>
      <c r="O77" s="134">
        <v>0</v>
      </c>
      <c r="P77" s="134">
        <v>0.4</v>
      </c>
      <c r="Q77" s="134">
        <v>4.07</v>
      </c>
    </row>
    <row r="78" spans="1:17" customFormat="1">
      <c r="A78" s="112" t="s">
        <v>1224</v>
      </c>
      <c r="B78" s="134">
        <v>3.87</v>
      </c>
      <c r="C78" s="134">
        <v>17.73</v>
      </c>
      <c r="D78" s="134">
        <v>11.32</v>
      </c>
      <c r="E78" s="134">
        <v>9.3000000000000007</v>
      </c>
      <c r="F78" s="134">
        <v>15.27</v>
      </c>
      <c r="G78" s="134">
        <v>35.700000000000003</v>
      </c>
      <c r="H78" s="134">
        <v>11</v>
      </c>
      <c r="I78" s="134">
        <v>3.44</v>
      </c>
      <c r="J78" s="134">
        <v>0.83</v>
      </c>
      <c r="K78" s="134">
        <v>267.82</v>
      </c>
      <c r="L78" s="134">
        <v>30.81</v>
      </c>
      <c r="M78" s="134">
        <v>65.34</v>
      </c>
      <c r="N78" s="134">
        <v>38</v>
      </c>
      <c r="O78" s="134">
        <v>0</v>
      </c>
      <c r="P78" s="134">
        <v>0.37</v>
      </c>
      <c r="Q78" s="134">
        <v>4.0199999999999996</v>
      </c>
    </row>
    <row r="79" spans="1:17" customFormat="1">
      <c r="A79" s="112" t="s">
        <v>1223</v>
      </c>
      <c r="B79" s="134">
        <v>3.92</v>
      </c>
      <c r="C79" s="134">
        <v>17.82</v>
      </c>
      <c r="D79" s="134">
        <v>11.41</v>
      </c>
      <c r="E79" s="134">
        <v>8.2100000000000009</v>
      </c>
      <c r="F79" s="134">
        <v>13.67</v>
      </c>
      <c r="G79" s="134">
        <v>35.700000000000003</v>
      </c>
      <c r="H79" s="134">
        <v>11</v>
      </c>
      <c r="I79" s="134">
        <v>3.11</v>
      </c>
      <c r="J79" s="134">
        <v>0.77</v>
      </c>
      <c r="K79" s="134">
        <v>266.23</v>
      </c>
      <c r="L79" s="134">
        <v>30.52</v>
      </c>
      <c r="M79" s="134">
        <v>66.319999999999993</v>
      </c>
      <c r="N79" s="134">
        <v>19</v>
      </c>
      <c r="O79" s="134">
        <v>0</v>
      </c>
      <c r="P79" s="134">
        <v>0.36</v>
      </c>
      <c r="Q79" s="134">
        <v>4</v>
      </c>
    </row>
    <row r="80" spans="1:17" customFormat="1">
      <c r="A80" s="112" t="s">
        <v>1222</v>
      </c>
      <c r="B80" s="134">
        <v>3.78</v>
      </c>
      <c r="C80" s="134">
        <v>17.68</v>
      </c>
      <c r="D80" s="134">
        <v>11.23</v>
      </c>
      <c r="E80" s="134">
        <v>8.43</v>
      </c>
      <c r="F80" s="134">
        <v>13.4</v>
      </c>
      <c r="G80" s="134">
        <v>35.700000000000003</v>
      </c>
      <c r="H80" s="134">
        <v>11</v>
      </c>
      <c r="I80" s="134">
        <v>2.95</v>
      </c>
      <c r="J80" s="134">
        <v>0.75</v>
      </c>
      <c r="K80" s="134">
        <v>265.63</v>
      </c>
      <c r="L80" s="134">
        <v>30.35</v>
      </c>
      <c r="M80" s="134">
        <v>67.349999999999994</v>
      </c>
      <c r="N80" s="134">
        <v>9</v>
      </c>
      <c r="O80" s="134">
        <v>0</v>
      </c>
      <c r="P80" s="134">
        <v>0.36</v>
      </c>
      <c r="Q80" s="134">
        <v>4.05</v>
      </c>
    </row>
    <row r="81" spans="1:17" customFormat="1">
      <c r="A81" s="112" t="s">
        <v>1221</v>
      </c>
      <c r="B81" s="134">
        <v>3.63</v>
      </c>
      <c r="C81" s="134">
        <v>17.149999999999999</v>
      </c>
      <c r="D81" s="134">
        <v>10.82</v>
      </c>
      <c r="E81" s="134">
        <v>6.03</v>
      </c>
      <c r="F81" s="134">
        <v>16.77</v>
      </c>
      <c r="G81" s="134">
        <v>35.270000000000003</v>
      </c>
      <c r="H81" s="134">
        <v>10.01</v>
      </c>
      <c r="I81" s="134">
        <v>2.98</v>
      </c>
      <c r="J81" s="134">
        <v>0.56999999999999995</v>
      </c>
      <c r="K81" s="134">
        <v>262.08999999999997</v>
      </c>
      <c r="L81" s="134">
        <v>30.17</v>
      </c>
      <c r="M81" s="134">
        <v>68.58</v>
      </c>
      <c r="N81" s="134">
        <v>7.6</v>
      </c>
      <c r="O81" s="134">
        <v>0</v>
      </c>
      <c r="P81" s="134">
        <v>0.35</v>
      </c>
      <c r="Q81" s="134">
        <v>4.05</v>
      </c>
    </row>
    <row r="82" spans="1:17" customFormat="1">
      <c r="A82" s="112" t="s">
        <v>1220</v>
      </c>
      <c r="B82" s="134">
        <v>3.89</v>
      </c>
      <c r="C82" s="134">
        <v>18.690000000000001</v>
      </c>
      <c r="D82" s="134">
        <v>11.84</v>
      </c>
      <c r="E82" s="134">
        <v>7.03</v>
      </c>
      <c r="F82" s="134">
        <v>8.5500000000000007</v>
      </c>
      <c r="G82" s="134">
        <v>35.1</v>
      </c>
      <c r="H82" s="134">
        <v>9.9700000000000006</v>
      </c>
      <c r="I82" s="134">
        <v>2.86</v>
      </c>
      <c r="J82" s="134">
        <v>0.51</v>
      </c>
      <c r="K82" s="134">
        <v>265.22000000000003</v>
      </c>
      <c r="L82" s="134">
        <v>29.95</v>
      </c>
      <c r="M82" s="134">
        <v>69.599999999999994</v>
      </c>
      <c r="N82" s="134">
        <v>0</v>
      </c>
      <c r="O82" s="134">
        <v>0</v>
      </c>
      <c r="P82" s="134">
        <v>0.38</v>
      </c>
      <c r="Q82" s="134">
        <v>4.04</v>
      </c>
    </row>
    <row r="83" spans="1:17" customFormat="1">
      <c r="A83" s="112" t="s">
        <v>1219</v>
      </c>
      <c r="B83" s="134">
        <v>4.05</v>
      </c>
      <c r="C83" s="134">
        <v>19.989999999999998</v>
      </c>
      <c r="D83" s="134">
        <v>12.64</v>
      </c>
      <c r="E83" s="134">
        <v>7.11</v>
      </c>
      <c r="F83" s="134">
        <v>10.19</v>
      </c>
      <c r="G83" s="134">
        <v>35.1</v>
      </c>
      <c r="H83" s="134">
        <v>9.9700000000000006</v>
      </c>
      <c r="I83" s="134">
        <v>2.85</v>
      </c>
      <c r="J83" s="134">
        <v>0.45</v>
      </c>
      <c r="K83" s="134">
        <v>264.08</v>
      </c>
      <c r="L83" s="134">
        <v>29.74</v>
      </c>
      <c r="M83" s="134">
        <v>70.48</v>
      </c>
      <c r="N83" s="134">
        <v>0</v>
      </c>
      <c r="O83" s="134">
        <v>0</v>
      </c>
      <c r="P83" s="134">
        <v>0.4</v>
      </c>
      <c r="Q83" s="134">
        <v>4.0999999999999996</v>
      </c>
    </row>
    <row r="84" spans="1:17" customFormat="1">
      <c r="A84" s="112" t="s">
        <v>1218</v>
      </c>
      <c r="B84" s="134">
        <v>3.97</v>
      </c>
      <c r="C84" s="134">
        <v>18.48</v>
      </c>
      <c r="D84" s="134">
        <v>11.8</v>
      </c>
      <c r="E84" s="134">
        <v>7.64</v>
      </c>
      <c r="F84" s="134">
        <v>12.71</v>
      </c>
      <c r="G84" s="134">
        <v>35.1</v>
      </c>
      <c r="H84" s="134">
        <v>9.9700000000000006</v>
      </c>
      <c r="I84" s="134">
        <v>3.06</v>
      </c>
      <c r="J84" s="134">
        <v>0.41</v>
      </c>
      <c r="K84" s="134">
        <v>259.13</v>
      </c>
      <c r="L84" s="134">
        <v>29.48</v>
      </c>
      <c r="M84" s="134">
        <v>71.88</v>
      </c>
      <c r="N84" s="134">
        <v>0</v>
      </c>
      <c r="O84" s="134">
        <v>0</v>
      </c>
      <c r="P84" s="134">
        <v>0.4</v>
      </c>
      <c r="Q84" s="134">
        <v>4.1100000000000003</v>
      </c>
    </row>
    <row r="85" spans="1:17" customFormat="1">
      <c r="A85" s="112" t="s">
        <v>1217</v>
      </c>
      <c r="B85" s="134">
        <v>3.94</v>
      </c>
      <c r="C85" s="134">
        <v>16.98</v>
      </c>
      <c r="D85" s="134">
        <v>10.99</v>
      </c>
      <c r="E85" s="134">
        <v>7.34</v>
      </c>
      <c r="F85" s="134">
        <v>14.09</v>
      </c>
      <c r="G85" s="134">
        <v>33.17</v>
      </c>
      <c r="H85" s="134">
        <v>9.26</v>
      </c>
      <c r="I85" s="134">
        <v>3.07</v>
      </c>
      <c r="J85" s="134">
        <v>0.5</v>
      </c>
      <c r="K85" s="134">
        <v>264.41000000000003</v>
      </c>
      <c r="L85" s="134">
        <v>29.48</v>
      </c>
      <c r="M85" s="134">
        <v>70.900000000000006</v>
      </c>
      <c r="N85" s="134">
        <v>0</v>
      </c>
      <c r="O85" s="134">
        <v>0</v>
      </c>
      <c r="P85" s="134">
        <v>0.38</v>
      </c>
      <c r="Q85" s="134">
        <v>4.0999999999999996</v>
      </c>
    </row>
    <row r="86" spans="1:17" customFormat="1">
      <c r="A86" s="112" t="s">
        <v>1216</v>
      </c>
      <c r="B86" s="134">
        <v>4.09</v>
      </c>
      <c r="C86" s="134">
        <v>17.079999999999998</v>
      </c>
      <c r="D86" s="134">
        <v>11.16</v>
      </c>
      <c r="E86" s="134">
        <v>7.22</v>
      </c>
      <c r="F86" s="134">
        <v>12.21</v>
      </c>
      <c r="G86" s="134">
        <v>32.380000000000003</v>
      </c>
      <c r="H86" s="134">
        <v>9.23</v>
      </c>
      <c r="I86" s="134">
        <v>2.98</v>
      </c>
      <c r="J86" s="134">
        <v>0.55000000000000004</v>
      </c>
      <c r="K86" s="134">
        <v>262.45999999999998</v>
      </c>
      <c r="L86" s="134">
        <v>29.47</v>
      </c>
      <c r="M86" s="134">
        <v>69.989999999999995</v>
      </c>
      <c r="N86" s="134">
        <v>0</v>
      </c>
      <c r="O86" s="134">
        <v>0</v>
      </c>
      <c r="P86" s="134">
        <v>0.38</v>
      </c>
      <c r="Q86" s="134">
        <v>4.08</v>
      </c>
    </row>
    <row r="87" spans="1:17" customFormat="1">
      <c r="A87" s="112" t="s">
        <v>1215</v>
      </c>
      <c r="B87" s="134">
        <v>4.04</v>
      </c>
      <c r="C87" s="134">
        <v>16.91</v>
      </c>
      <c r="D87" s="134">
        <v>11.04</v>
      </c>
      <c r="E87" s="134">
        <v>7.12</v>
      </c>
      <c r="F87" s="134">
        <v>12.17</v>
      </c>
      <c r="G87" s="134">
        <v>32.380000000000003</v>
      </c>
      <c r="H87" s="134">
        <v>9.23</v>
      </c>
      <c r="I87" s="134">
        <v>2.92</v>
      </c>
      <c r="J87" s="134">
        <v>0.41</v>
      </c>
      <c r="K87" s="134">
        <v>268.48</v>
      </c>
      <c r="L87" s="134">
        <v>29.32</v>
      </c>
      <c r="M87" s="134">
        <v>70.180000000000007</v>
      </c>
      <c r="N87" s="134">
        <v>0</v>
      </c>
      <c r="O87" s="134">
        <v>0</v>
      </c>
      <c r="P87" s="134">
        <v>0.39</v>
      </c>
      <c r="Q87" s="134">
        <v>4.07</v>
      </c>
    </row>
    <row r="88" spans="1:17" customFormat="1">
      <c r="A88" s="112" t="s">
        <v>1214</v>
      </c>
      <c r="B88" s="134">
        <v>4.22</v>
      </c>
      <c r="C88" s="134">
        <v>16.71</v>
      </c>
      <c r="D88" s="134">
        <v>11.07</v>
      </c>
      <c r="E88" s="134">
        <v>6.97</v>
      </c>
      <c r="F88" s="134">
        <v>11.63</v>
      </c>
      <c r="G88" s="134">
        <v>32.380000000000003</v>
      </c>
      <c r="H88" s="134">
        <v>9.23</v>
      </c>
      <c r="I88" s="134">
        <v>3.01</v>
      </c>
      <c r="J88" s="134">
        <v>0.48</v>
      </c>
      <c r="K88" s="134">
        <v>262.43</v>
      </c>
      <c r="L88" s="134">
        <v>29.34</v>
      </c>
      <c r="M88" s="134">
        <v>69.14</v>
      </c>
      <c r="N88" s="134">
        <v>0</v>
      </c>
      <c r="O88" s="134">
        <v>0</v>
      </c>
      <c r="P88" s="134">
        <v>0.38</v>
      </c>
      <c r="Q88" s="134">
        <v>4.0599999999999996</v>
      </c>
    </row>
    <row r="89" spans="1:17" customFormat="1">
      <c r="A89" s="112" t="s">
        <v>1213</v>
      </c>
      <c r="B89" s="134">
        <v>4.53</v>
      </c>
      <c r="C89" s="134">
        <v>17.97</v>
      </c>
      <c r="D89" s="134">
        <v>11.97</v>
      </c>
      <c r="E89" s="134">
        <v>7.64</v>
      </c>
      <c r="F89" s="134">
        <v>8.24</v>
      </c>
      <c r="G89" s="134">
        <v>33.450000000000003</v>
      </c>
      <c r="H89" s="134">
        <v>7.96</v>
      </c>
      <c r="I89" s="134">
        <v>3.09</v>
      </c>
      <c r="J89" s="134">
        <v>0.46</v>
      </c>
      <c r="K89" s="134">
        <v>266.91000000000003</v>
      </c>
      <c r="L89" s="134">
        <v>29.18</v>
      </c>
      <c r="M89" s="134">
        <v>69.52</v>
      </c>
      <c r="N89" s="134">
        <v>0</v>
      </c>
      <c r="O89" s="134">
        <v>0</v>
      </c>
      <c r="P89" s="134">
        <v>0.4</v>
      </c>
      <c r="Q89" s="134">
        <v>4.13</v>
      </c>
    </row>
    <row r="90" spans="1:17" customFormat="1">
      <c r="A90" s="112" t="s">
        <v>1212</v>
      </c>
      <c r="B90" s="134">
        <v>5.2</v>
      </c>
      <c r="C90" s="134">
        <v>20.68</v>
      </c>
      <c r="D90" s="134">
        <v>13.93</v>
      </c>
      <c r="E90" s="134">
        <v>7.49</v>
      </c>
      <c r="F90" s="134">
        <v>5.99</v>
      </c>
      <c r="G90" s="134">
        <v>33.880000000000003</v>
      </c>
      <c r="H90" s="134">
        <v>7.86</v>
      </c>
      <c r="I90" s="134">
        <v>3.08</v>
      </c>
      <c r="J90" s="134">
        <v>0.39</v>
      </c>
      <c r="K90" s="134">
        <v>265.95999999999998</v>
      </c>
      <c r="L90" s="134">
        <v>29.06</v>
      </c>
      <c r="M90" s="134">
        <v>70.36</v>
      </c>
      <c r="N90" s="134">
        <v>0</v>
      </c>
      <c r="O90" s="134">
        <v>0</v>
      </c>
      <c r="P90" s="134">
        <v>0.44</v>
      </c>
      <c r="Q90" s="134">
        <v>4.2</v>
      </c>
    </row>
    <row r="91" spans="1:17" customFormat="1">
      <c r="A91" s="112" t="s">
        <v>1211</v>
      </c>
      <c r="B91" s="134">
        <v>5.2</v>
      </c>
      <c r="C91" s="134">
        <v>19.34</v>
      </c>
      <c r="D91" s="134">
        <v>13.23</v>
      </c>
      <c r="E91" s="134">
        <v>8</v>
      </c>
      <c r="F91" s="134">
        <v>8.0500000000000007</v>
      </c>
      <c r="G91" s="134">
        <v>33.880000000000003</v>
      </c>
      <c r="H91" s="134">
        <v>7.86</v>
      </c>
      <c r="I91" s="134">
        <v>3.17</v>
      </c>
      <c r="J91" s="134">
        <v>0.46</v>
      </c>
      <c r="K91" s="134">
        <v>265.75</v>
      </c>
      <c r="L91" s="134">
        <v>28.93</v>
      </c>
      <c r="M91" s="134">
        <v>70.94</v>
      </c>
      <c r="N91" s="134">
        <v>0</v>
      </c>
      <c r="O91" s="134">
        <v>0</v>
      </c>
      <c r="P91" s="134">
        <v>0.43</v>
      </c>
      <c r="Q91" s="134">
        <v>4.18</v>
      </c>
    </row>
    <row r="92" spans="1:17" customFormat="1">
      <c r="A92" s="112" t="s">
        <v>1210</v>
      </c>
      <c r="B92" s="134">
        <v>5.2</v>
      </c>
      <c r="C92" s="134">
        <v>18.420000000000002</v>
      </c>
      <c r="D92" s="134">
        <v>12.75</v>
      </c>
      <c r="E92" s="134">
        <v>7.89</v>
      </c>
      <c r="F92" s="134">
        <v>9.25</v>
      </c>
      <c r="G92" s="134">
        <v>33.880000000000003</v>
      </c>
      <c r="H92" s="134">
        <v>7.86</v>
      </c>
      <c r="I92" s="134">
        <v>3.35</v>
      </c>
      <c r="J92" s="134">
        <v>0.45</v>
      </c>
      <c r="K92" s="134">
        <v>265</v>
      </c>
      <c r="L92" s="134">
        <v>28.82</v>
      </c>
      <c r="M92" s="134">
        <v>71.34</v>
      </c>
      <c r="N92" s="134">
        <v>0</v>
      </c>
      <c r="O92" s="134">
        <v>0</v>
      </c>
      <c r="P92" s="134">
        <v>0.44</v>
      </c>
      <c r="Q92" s="134">
        <v>4.16</v>
      </c>
    </row>
    <row r="93" spans="1:17" customFormat="1">
      <c r="A93" s="112" t="s">
        <v>1209</v>
      </c>
      <c r="B93" s="134">
        <v>5.12</v>
      </c>
      <c r="C93" s="134">
        <v>18.05</v>
      </c>
      <c r="D93" s="134">
        <v>12.49</v>
      </c>
      <c r="E93" s="134">
        <v>8.69</v>
      </c>
      <c r="F93" s="134">
        <v>10.06</v>
      </c>
      <c r="G93" s="134">
        <v>34.880000000000003</v>
      </c>
      <c r="H93" s="134">
        <v>6.85</v>
      </c>
      <c r="I93" s="134">
        <v>3.37</v>
      </c>
      <c r="J93" s="134">
        <v>0.46</v>
      </c>
      <c r="K93" s="134">
        <v>262.58999999999997</v>
      </c>
      <c r="L93" s="134">
        <v>28.85</v>
      </c>
      <c r="M93" s="134">
        <v>71.17</v>
      </c>
      <c r="N93" s="134">
        <v>0</v>
      </c>
      <c r="O93" s="134">
        <v>0</v>
      </c>
      <c r="P93" s="134">
        <v>0.46</v>
      </c>
      <c r="Q93" s="134">
        <v>4.16</v>
      </c>
    </row>
    <row r="94" spans="1:17" customFormat="1">
      <c r="A94" s="112" t="s">
        <v>1208</v>
      </c>
      <c r="B94" s="134">
        <v>5.45</v>
      </c>
      <c r="C94" s="134">
        <v>18.68</v>
      </c>
      <c r="D94" s="134">
        <v>13.09</v>
      </c>
      <c r="E94" s="134">
        <v>8.1300000000000008</v>
      </c>
      <c r="F94" s="134">
        <v>6.49</v>
      </c>
      <c r="G94" s="134">
        <v>35.29</v>
      </c>
      <c r="H94" s="134">
        <v>6.8</v>
      </c>
      <c r="I94" s="134">
        <v>3.65</v>
      </c>
      <c r="J94" s="134">
        <v>0.41</v>
      </c>
      <c r="K94" s="134">
        <v>258.17</v>
      </c>
      <c r="L94" s="134">
        <v>28.74</v>
      </c>
      <c r="M94" s="134">
        <v>72.260000000000005</v>
      </c>
      <c r="N94" s="134">
        <v>0</v>
      </c>
      <c r="O94" s="134">
        <v>0</v>
      </c>
      <c r="P94" s="134">
        <v>0.45</v>
      </c>
      <c r="Q94" s="134">
        <v>4.13</v>
      </c>
    </row>
    <row r="95" spans="1:17" customFormat="1">
      <c r="A95" s="112" t="s">
        <v>1207</v>
      </c>
      <c r="B95" s="134">
        <v>6.08</v>
      </c>
      <c r="C95" s="134">
        <v>20.95</v>
      </c>
      <c r="D95" s="134">
        <v>14.78</v>
      </c>
      <c r="E95" s="134">
        <v>7.31</v>
      </c>
      <c r="F95" s="134">
        <v>3.84</v>
      </c>
      <c r="G95" s="134">
        <v>35.29</v>
      </c>
      <c r="H95" s="134">
        <v>6.8</v>
      </c>
      <c r="I95" s="134">
        <v>3.89</v>
      </c>
      <c r="J95" s="134">
        <v>0.45</v>
      </c>
      <c r="K95" s="134">
        <v>269.37</v>
      </c>
      <c r="L95" s="134">
        <v>28.66</v>
      </c>
      <c r="M95" s="134">
        <v>72.680000000000007</v>
      </c>
      <c r="N95" s="134">
        <v>0</v>
      </c>
      <c r="O95" s="134">
        <v>0</v>
      </c>
      <c r="P95" s="134">
        <v>0.49</v>
      </c>
      <c r="Q95" s="134">
        <v>4.1100000000000003</v>
      </c>
    </row>
    <row r="96" spans="1:17" customFormat="1">
      <c r="A96" s="112" t="s">
        <v>1206</v>
      </c>
      <c r="B96" s="134">
        <v>5.87</v>
      </c>
      <c r="C96" s="134">
        <v>21.57</v>
      </c>
      <c r="D96" s="134">
        <v>14.93</v>
      </c>
      <c r="E96" s="134">
        <v>7.57</v>
      </c>
      <c r="F96" s="134">
        <v>5</v>
      </c>
      <c r="G96" s="134">
        <v>35.29</v>
      </c>
      <c r="H96" s="134">
        <v>6.8</v>
      </c>
      <c r="I96" s="134">
        <v>3.86</v>
      </c>
      <c r="J96" s="134">
        <v>0.26</v>
      </c>
      <c r="K96" s="134">
        <v>255.18</v>
      </c>
      <c r="L96" s="134">
        <v>28.66</v>
      </c>
      <c r="M96" s="134">
        <v>72.89</v>
      </c>
      <c r="N96" s="134">
        <v>0</v>
      </c>
      <c r="O96" s="134">
        <v>0</v>
      </c>
      <c r="P96" s="134">
        <v>0.51</v>
      </c>
      <c r="Q96" s="134">
        <v>4.18</v>
      </c>
    </row>
    <row r="97" spans="1:22" customFormat="1">
      <c r="A97" s="112" t="s">
        <v>1205</v>
      </c>
      <c r="B97" s="134">
        <v>5.41</v>
      </c>
      <c r="C97" s="134">
        <v>19</v>
      </c>
      <c r="D97" s="134">
        <v>13.22</v>
      </c>
      <c r="E97" s="134">
        <v>7.6</v>
      </c>
      <c r="F97" s="134">
        <v>9.3000000000000007</v>
      </c>
      <c r="G97" s="134">
        <v>34.54</v>
      </c>
      <c r="H97" s="134">
        <v>8.65</v>
      </c>
      <c r="I97" s="134">
        <v>3.89</v>
      </c>
      <c r="J97" s="134">
        <v>0.35</v>
      </c>
      <c r="K97" s="134">
        <v>257.70999999999998</v>
      </c>
      <c r="L97" s="134">
        <v>28.38</v>
      </c>
      <c r="M97" s="134">
        <v>75.599999999999994</v>
      </c>
      <c r="N97" s="134">
        <v>0</v>
      </c>
      <c r="O97" s="134">
        <v>0</v>
      </c>
      <c r="P97" s="134">
        <v>0.47</v>
      </c>
      <c r="Q97" s="134">
        <v>4.18</v>
      </c>
    </row>
    <row r="98" spans="1:22" customFormat="1">
      <c r="A98" s="112" t="s">
        <v>1204</v>
      </c>
      <c r="B98" s="134">
        <v>5.67</v>
      </c>
      <c r="C98" s="134">
        <v>18.93</v>
      </c>
      <c r="D98" s="134">
        <v>13.39</v>
      </c>
      <c r="E98" s="134">
        <v>8.1</v>
      </c>
      <c r="F98" s="134">
        <v>8.3000000000000007</v>
      </c>
      <c r="G98" s="134">
        <v>34.24</v>
      </c>
      <c r="H98" s="134">
        <v>8.74</v>
      </c>
      <c r="I98" s="134">
        <v>3.84</v>
      </c>
      <c r="J98" s="134">
        <v>0.39</v>
      </c>
      <c r="K98" s="134">
        <v>265.72000000000003</v>
      </c>
      <c r="L98" s="134">
        <v>28.51</v>
      </c>
      <c r="M98" s="134">
        <v>74.83</v>
      </c>
      <c r="N98" s="134">
        <v>0</v>
      </c>
      <c r="O98" s="134">
        <v>0</v>
      </c>
      <c r="P98" s="134">
        <v>0.47</v>
      </c>
      <c r="Q98" s="134">
        <v>4.17</v>
      </c>
    </row>
    <row r="99" spans="1:22" customFormat="1">
      <c r="A99" s="112" t="s">
        <v>1203</v>
      </c>
      <c r="B99" s="134">
        <v>5.47</v>
      </c>
      <c r="C99" s="134">
        <v>18.09</v>
      </c>
      <c r="D99" s="134">
        <v>12.79</v>
      </c>
      <c r="E99" s="134">
        <v>8.4</v>
      </c>
      <c r="F99" s="134">
        <v>11.95</v>
      </c>
      <c r="G99" s="134">
        <v>34.24</v>
      </c>
      <c r="H99" s="134">
        <v>8.74</v>
      </c>
      <c r="I99" s="134">
        <v>3.7</v>
      </c>
      <c r="J99" s="134">
        <v>0.33</v>
      </c>
      <c r="K99" s="134">
        <v>255.86</v>
      </c>
      <c r="L99" s="134">
        <v>28.42</v>
      </c>
      <c r="M99" s="134">
        <v>75.92</v>
      </c>
      <c r="N99" s="134">
        <v>0</v>
      </c>
      <c r="O99" s="134">
        <v>0</v>
      </c>
      <c r="P99" s="134">
        <v>0.46</v>
      </c>
      <c r="Q99" s="134">
        <v>4.2</v>
      </c>
    </row>
    <row r="100" spans="1:22" customFormat="1">
      <c r="A100" s="112" t="s">
        <v>1202</v>
      </c>
      <c r="B100" s="134">
        <v>5.36</v>
      </c>
      <c r="C100" s="134">
        <v>17.57</v>
      </c>
      <c r="D100" s="134">
        <v>12.43</v>
      </c>
      <c r="E100" s="134">
        <v>8.81</v>
      </c>
      <c r="F100" s="134">
        <v>11.99</v>
      </c>
      <c r="G100" s="134">
        <v>34.24</v>
      </c>
      <c r="H100" s="134">
        <v>8.74</v>
      </c>
      <c r="I100" s="134">
        <v>3.7</v>
      </c>
      <c r="J100" s="134">
        <v>0.22</v>
      </c>
      <c r="K100" s="134">
        <v>257.58</v>
      </c>
      <c r="L100" s="134">
        <v>28.29</v>
      </c>
      <c r="M100" s="134">
        <v>77.33</v>
      </c>
      <c r="N100" s="134">
        <v>0</v>
      </c>
      <c r="O100" s="134">
        <v>0</v>
      </c>
      <c r="P100" s="134">
        <v>0.43</v>
      </c>
      <c r="Q100" s="134">
        <v>4.16</v>
      </c>
    </row>
    <row r="101" spans="1:22" customFormat="1">
      <c r="A101" s="112" t="s">
        <v>1201</v>
      </c>
      <c r="B101" s="134">
        <v>5.6</v>
      </c>
      <c r="C101" s="134">
        <v>17.920000000000002</v>
      </c>
      <c r="D101" s="134">
        <v>12.81</v>
      </c>
      <c r="E101" s="134">
        <v>8.43</v>
      </c>
      <c r="F101" s="134">
        <v>8.4700000000000006</v>
      </c>
      <c r="G101" s="134">
        <v>35.83</v>
      </c>
      <c r="H101" s="134">
        <v>9.77</v>
      </c>
      <c r="I101" s="134">
        <v>3.58</v>
      </c>
      <c r="J101" s="134">
        <v>0.4</v>
      </c>
      <c r="K101" s="134">
        <v>256.69</v>
      </c>
      <c r="L101" s="134">
        <v>28.19</v>
      </c>
      <c r="M101" s="134">
        <v>77.97</v>
      </c>
      <c r="N101" s="134">
        <v>0</v>
      </c>
      <c r="O101" s="134">
        <v>0</v>
      </c>
      <c r="P101" s="134">
        <v>0.44</v>
      </c>
      <c r="Q101" s="134">
        <v>4.21</v>
      </c>
    </row>
    <row r="102" spans="1:22" customFormat="1">
      <c r="A102" s="112" t="s">
        <v>1200</v>
      </c>
      <c r="B102" s="134">
        <v>6.42</v>
      </c>
      <c r="C102" s="134">
        <v>21.7</v>
      </c>
      <c r="D102" s="134">
        <v>15.44</v>
      </c>
      <c r="E102" s="134">
        <v>8.27</v>
      </c>
      <c r="F102" s="134">
        <v>4.74</v>
      </c>
      <c r="G102" s="134">
        <v>36.479999999999997</v>
      </c>
      <c r="H102" s="134">
        <v>9.81</v>
      </c>
      <c r="I102" s="134">
        <v>3.5</v>
      </c>
      <c r="J102" s="134">
        <v>0.44</v>
      </c>
      <c r="K102" s="134">
        <v>256.05</v>
      </c>
      <c r="L102" s="134">
        <v>28.13</v>
      </c>
      <c r="M102" s="134">
        <v>78.239999999999995</v>
      </c>
      <c r="N102" s="134">
        <v>0</v>
      </c>
      <c r="O102" s="134">
        <v>0</v>
      </c>
      <c r="P102" s="134">
        <v>0.49</v>
      </c>
      <c r="Q102" s="134">
        <v>4.25</v>
      </c>
    </row>
    <row r="103" spans="1:22" customFormat="1">
      <c r="A103" s="112" t="s">
        <v>1199</v>
      </c>
      <c r="B103" s="134">
        <v>6.39</v>
      </c>
      <c r="C103" s="134">
        <v>20.29</v>
      </c>
      <c r="D103" s="134">
        <v>14.68</v>
      </c>
      <c r="E103" s="134">
        <v>7.97</v>
      </c>
      <c r="F103" s="134">
        <v>8.1199999999999992</v>
      </c>
      <c r="G103" s="134">
        <v>36.479999999999997</v>
      </c>
      <c r="H103" s="134">
        <v>9.81</v>
      </c>
      <c r="I103" s="134">
        <v>3.58</v>
      </c>
      <c r="J103" s="134">
        <v>0.41</v>
      </c>
      <c r="K103" s="134">
        <v>256.92</v>
      </c>
      <c r="L103" s="134">
        <v>28.09</v>
      </c>
      <c r="M103" s="134">
        <v>78.38</v>
      </c>
      <c r="N103" s="134">
        <v>0</v>
      </c>
      <c r="O103" s="134">
        <v>0</v>
      </c>
      <c r="P103" s="134">
        <v>0.46</v>
      </c>
      <c r="Q103" s="134">
        <v>4.2300000000000004</v>
      </c>
    </row>
    <row r="104" spans="1:22" customFormat="1">
      <c r="A104" s="112" t="s">
        <v>1198</v>
      </c>
      <c r="B104" s="134">
        <v>6.01</v>
      </c>
      <c r="C104" s="134">
        <v>18.18</v>
      </c>
      <c r="D104" s="134">
        <v>13.27</v>
      </c>
      <c r="E104" s="134">
        <v>7.61</v>
      </c>
      <c r="F104" s="134">
        <v>10.25</v>
      </c>
      <c r="G104" s="134">
        <v>36.479999999999997</v>
      </c>
      <c r="H104" s="134">
        <v>9.81</v>
      </c>
      <c r="I104" s="134">
        <v>3.83</v>
      </c>
      <c r="J104" s="134">
        <v>0.36</v>
      </c>
      <c r="K104" s="134">
        <v>256.01</v>
      </c>
      <c r="L104" s="134">
        <v>27.99</v>
      </c>
      <c r="M104" s="134">
        <v>79.38</v>
      </c>
      <c r="N104" s="134">
        <v>0</v>
      </c>
      <c r="O104" s="134">
        <v>0</v>
      </c>
      <c r="P104" s="134">
        <v>0.43</v>
      </c>
      <c r="Q104" s="134">
        <v>4.22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3.63</v>
      </c>
      <c r="C106" s="183">
        <f>MIN(C9:C104)</f>
        <v>16.600000000000001</v>
      </c>
      <c r="D106" s="183">
        <f t="shared" ref="D106:Q106" si="0">MIN(D9:D104)</f>
        <v>10.82</v>
      </c>
      <c r="E106" s="183">
        <f t="shared" si="0"/>
        <v>6.03</v>
      </c>
      <c r="F106" s="183">
        <f t="shared" si="0"/>
        <v>1.87</v>
      </c>
      <c r="G106" s="183">
        <f t="shared" si="0"/>
        <v>24.88</v>
      </c>
      <c r="H106" s="183">
        <f t="shared" si="0"/>
        <v>6.5</v>
      </c>
      <c r="I106" s="183">
        <f t="shared" si="0"/>
        <v>2.85</v>
      </c>
      <c r="J106" s="183">
        <f t="shared" si="0"/>
        <v>7.0000000000000007E-2</v>
      </c>
      <c r="K106" s="183">
        <f t="shared" si="0"/>
        <v>166.72</v>
      </c>
      <c r="L106" s="183">
        <f t="shared" si="0"/>
        <v>25.75</v>
      </c>
      <c r="M106" s="183">
        <f t="shared" si="0"/>
        <v>52.6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13.78</v>
      </c>
      <c r="C107" s="184">
        <f t="shared" ref="C107:Q107" si="1">MAX(C9:C104)</f>
        <v>25.47</v>
      </c>
      <c r="D107" s="184">
        <f t="shared" si="1"/>
        <v>21.86</v>
      </c>
      <c r="E107" s="184">
        <f t="shared" si="1"/>
        <v>10.32</v>
      </c>
      <c r="F107" s="184">
        <f t="shared" si="1"/>
        <v>16.77</v>
      </c>
      <c r="G107" s="184">
        <f t="shared" si="1"/>
        <v>49.35</v>
      </c>
      <c r="H107" s="184">
        <f t="shared" si="1"/>
        <v>14.07</v>
      </c>
      <c r="I107" s="184">
        <f t="shared" si="1"/>
        <v>4.2699999999999996</v>
      </c>
      <c r="J107" s="184">
        <f t="shared" si="1"/>
        <v>1.33</v>
      </c>
      <c r="K107" s="184">
        <f t="shared" si="1"/>
        <v>341.51</v>
      </c>
      <c r="L107" s="184">
        <f t="shared" si="1"/>
        <v>33.51</v>
      </c>
      <c r="M107" s="184">
        <f t="shared" si="1"/>
        <v>91.32</v>
      </c>
      <c r="N107" s="184">
        <f t="shared" si="1"/>
        <v>834.1</v>
      </c>
      <c r="O107" s="184">
        <f t="shared" si="1"/>
        <v>0</v>
      </c>
      <c r="P107" s="184">
        <f t="shared" si="1"/>
        <v>0.52</v>
      </c>
      <c r="Q107" s="184">
        <f t="shared" si="1"/>
        <v>4.74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8.6449999999999996</v>
      </c>
      <c r="C108" s="183">
        <f t="shared" ref="C108:Q108" si="2">AVERAGE(C9:C104)</f>
        <v>19.811041666666668</v>
      </c>
      <c r="D108" s="183">
        <f t="shared" si="2"/>
        <v>16.238854166666673</v>
      </c>
      <c r="E108" s="183">
        <f t="shared" si="2"/>
        <v>8.2640624999999996</v>
      </c>
      <c r="F108" s="183">
        <f t="shared" si="2"/>
        <v>6.7693749999999993</v>
      </c>
      <c r="G108" s="183">
        <f t="shared" si="2"/>
        <v>36.904270833333314</v>
      </c>
      <c r="H108" s="183">
        <f t="shared" si="2"/>
        <v>9.8218750000000039</v>
      </c>
      <c r="I108" s="183">
        <f t="shared" si="2"/>
        <v>3.6066666666666669</v>
      </c>
      <c r="J108" s="183">
        <f t="shared" si="2"/>
        <v>0.48041666666666649</v>
      </c>
      <c r="K108" s="183">
        <f t="shared" si="2"/>
        <v>260.9882291666666</v>
      </c>
      <c r="L108" s="183">
        <f t="shared" si="2"/>
        <v>29.326979166666657</v>
      </c>
      <c r="M108" s="183">
        <f t="shared" si="2"/>
        <v>73.609270833333355</v>
      </c>
      <c r="N108" s="183">
        <f t="shared" si="2"/>
        <v>161.87500000000003</v>
      </c>
      <c r="O108" s="183">
        <f t="shared" si="2"/>
        <v>0</v>
      </c>
      <c r="P108" s="183">
        <f t="shared" si="2"/>
        <v>0.41687500000000005</v>
      </c>
      <c r="Q108" s="183">
        <f t="shared" si="2"/>
        <v>4.3603125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3.4487398156122908</v>
      </c>
      <c r="C109" s="183">
        <f t="shared" ref="C109:Q109" si="3">STDEV(C9:C104)</f>
        <v>2.0265025506322862</v>
      </c>
      <c r="D109" s="183">
        <f t="shared" si="3"/>
        <v>3.2879402830380684</v>
      </c>
      <c r="E109" s="183">
        <f t="shared" si="3"/>
        <v>0.76218049820373235</v>
      </c>
      <c r="F109" s="183">
        <f t="shared" si="3"/>
        <v>3.3159648314115029</v>
      </c>
      <c r="G109" s="183">
        <f t="shared" si="3"/>
        <v>6.8535987849323163</v>
      </c>
      <c r="H109" s="183">
        <f t="shared" si="3"/>
        <v>2.2333936002604085</v>
      </c>
      <c r="I109" s="183">
        <f t="shared" si="3"/>
        <v>0.36725057175740816</v>
      </c>
      <c r="J109" s="183">
        <f t="shared" si="3"/>
        <v>0.27930333130342899</v>
      </c>
      <c r="K109" s="183">
        <f t="shared" si="3"/>
        <v>29.171672813294634</v>
      </c>
      <c r="L109" s="183">
        <f t="shared" si="3"/>
        <v>2.4758216583131314</v>
      </c>
      <c r="M109" s="183">
        <f t="shared" si="3"/>
        <v>11.037095083570152</v>
      </c>
      <c r="N109" s="183">
        <f t="shared" si="3"/>
        <v>238.80409544226828</v>
      </c>
      <c r="O109" s="183">
        <f t="shared" si="3"/>
        <v>0</v>
      </c>
      <c r="P109" s="183">
        <f t="shared" si="3"/>
        <v>4.3000917982857483E-2</v>
      </c>
      <c r="Q109" s="183">
        <f t="shared" si="3"/>
        <v>0.21689897296595584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sqref="A1:XFD1048576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12/08/2023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1294</v>
      </c>
      <c r="B9" s="134">
        <v>6.14</v>
      </c>
      <c r="C9" s="134">
        <v>15.58</v>
      </c>
      <c r="D9" s="134">
        <v>12.02</v>
      </c>
      <c r="E9" s="134">
        <v>8.16</v>
      </c>
      <c r="F9" s="134">
        <v>14.19</v>
      </c>
      <c r="G9" s="134">
        <v>33.99</v>
      </c>
      <c r="H9" s="134">
        <v>11.69</v>
      </c>
      <c r="I9" s="134">
        <v>3.57</v>
      </c>
      <c r="J9" s="134">
        <v>0.37</v>
      </c>
      <c r="K9" s="134">
        <v>257.85000000000002</v>
      </c>
      <c r="L9" s="134">
        <v>27.94</v>
      </c>
      <c r="M9" s="134">
        <v>79.47</v>
      </c>
      <c r="N9" s="134">
        <v>0</v>
      </c>
      <c r="O9" s="134">
        <v>0</v>
      </c>
      <c r="P9" s="134">
        <v>0.4</v>
      </c>
      <c r="Q9" s="134">
        <v>4.1900000000000004</v>
      </c>
    </row>
    <row r="10" spans="1:21" customFormat="1">
      <c r="A10" s="112" t="s">
        <v>1295</v>
      </c>
      <c r="B10" s="134">
        <v>6.81</v>
      </c>
      <c r="C10" s="134">
        <v>17.28</v>
      </c>
      <c r="D10" s="134">
        <v>13.45</v>
      </c>
      <c r="E10" s="134">
        <v>7.98</v>
      </c>
      <c r="F10" s="134">
        <v>8.16</v>
      </c>
      <c r="G10" s="134">
        <v>32.97</v>
      </c>
      <c r="H10" s="134">
        <v>11.78</v>
      </c>
      <c r="I10" s="134">
        <v>3.32</v>
      </c>
      <c r="J10" s="134">
        <v>0.37</v>
      </c>
      <c r="K10" s="134">
        <v>261.41000000000003</v>
      </c>
      <c r="L10" s="134">
        <v>27.91</v>
      </c>
      <c r="M10" s="134">
        <v>79.7</v>
      </c>
      <c r="N10" s="134">
        <v>0</v>
      </c>
      <c r="O10" s="134">
        <v>0</v>
      </c>
      <c r="P10" s="134">
        <v>0.41</v>
      </c>
      <c r="Q10" s="134">
        <v>4.2</v>
      </c>
    </row>
    <row r="11" spans="1:21" customFormat="1">
      <c r="A11" s="112" t="s">
        <v>1296</v>
      </c>
      <c r="B11" s="134">
        <v>7.63</v>
      </c>
      <c r="C11" s="134">
        <v>21.98</v>
      </c>
      <c r="D11" s="134">
        <v>16.559999999999999</v>
      </c>
      <c r="E11" s="134">
        <v>8.57</v>
      </c>
      <c r="F11" s="134">
        <v>3.87</v>
      </c>
      <c r="G11" s="134">
        <v>32.97</v>
      </c>
      <c r="H11" s="134">
        <v>11.78</v>
      </c>
      <c r="I11" s="134">
        <v>3.14</v>
      </c>
      <c r="J11" s="134">
        <v>0.48</v>
      </c>
      <c r="K11" s="134">
        <v>261.45</v>
      </c>
      <c r="L11" s="134">
        <v>27.84</v>
      </c>
      <c r="M11" s="134">
        <v>80.48</v>
      </c>
      <c r="N11" s="134">
        <v>0</v>
      </c>
      <c r="O11" s="134">
        <v>0</v>
      </c>
      <c r="P11" s="134">
        <v>0.47</v>
      </c>
      <c r="Q11" s="134">
        <v>4.29</v>
      </c>
    </row>
    <row r="12" spans="1:21" customFormat="1">
      <c r="A12" s="112" t="s">
        <v>1297</v>
      </c>
      <c r="B12" s="134">
        <v>7.79</v>
      </c>
      <c r="C12" s="134">
        <v>20.84</v>
      </c>
      <c r="D12" s="134">
        <v>16.09</v>
      </c>
      <c r="E12" s="134">
        <v>8.89</v>
      </c>
      <c r="F12" s="134">
        <v>6.18</v>
      </c>
      <c r="G12" s="134">
        <v>32.97</v>
      </c>
      <c r="H12" s="134">
        <v>11.78</v>
      </c>
      <c r="I12" s="134">
        <v>3.37</v>
      </c>
      <c r="J12" s="134">
        <v>0.48</v>
      </c>
      <c r="K12" s="134">
        <v>259.19</v>
      </c>
      <c r="L12" s="134">
        <v>27.91</v>
      </c>
      <c r="M12" s="134">
        <v>79.489999999999995</v>
      </c>
      <c r="N12" s="134">
        <v>0</v>
      </c>
      <c r="O12" s="134">
        <v>0</v>
      </c>
      <c r="P12" s="134">
        <v>0.45</v>
      </c>
      <c r="Q12" s="134">
        <v>4.2699999999999996</v>
      </c>
    </row>
    <row r="13" spans="1:21" customFormat="1">
      <c r="A13" s="112" t="s">
        <v>1298</v>
      </c>
      <c r="B13" s="134">
        <v>7.43</v>
      </c>
      <c r="C13" s="134">
        <v>18.440000000000001</v>
      </c>
      <c r="D13" s="134">
        <v>14.55</v>
      </c>
      <c r="E13" s="134">
        <v>8.0500000000000007</v>
      </c>
      <c r="F13" s="134">
        <v>9.41</v>
      </c>
      <c r="G13" s="134">
        <v>32.880000000000003</v>
      </c>
      <c r="H13" s="134">
        <v>9.1</v>
      </c>
      <c r="I13" s="134">
        <v>3.69</v>
      </c>
      <c r="J13" s="134">
        <v>0.59</v>
      </c>
      <c r="K13" s="134">
        <v>260.11</v>
      </c>
      <c r="L13" s="134">
        <v>27.91</v>
      </c>
      <c r="M13" s="134">
        <v>79.39</v>
      </c>
      <c r="N13" s="134">
        <v>0</v>
      </c>
      <c r="O13" s="134">
        <v>0</v>
      </c>
      <c r="P13" s="134">
        <v>0.42</v>
      </c>
      <c r="Q13" s="134">
        <v>4.2300000000000004</v>
      </c>
    </row>
    <row r="14" spans="1:21" customFormat="1">
      <c r="A14" s="112" t="s">
        <v>1299</v>
      </c>
      <c r="B14" s="134">
        <v>7.36</v>
      </c>
      <c r="C14" s="134">
        <v>17.29</v>
      </c>
      <c r="D14" s="134">
        <v>13.89</v>
      </c>
      <c r="E14" s="134">
        <v>8.0500000000000007</v>
      </c>
      <c r="F14" s="134">
        <v>9.74</v>
      </c>
      <c r="G14" s="134">
        <v>32.85</v>
      </c>
      <c r="H14" s="134">
        <v>8.93</v>
      </c>
      <c r="I14" s="134">
        <v>3.49</v>
      </c>
      <c r="J14" s="134">
        <v>0.49</v>
      </c>
      <c r="K14" s="134">
        <v>256.48</v>
      </c>
      <c r="L14" s="134">
        <v>27.82</v>
      </c>
      <c r="M14" s="134">
        <v>80.290000000000006</v>
      </c>
      <c r="N14" s="134">
        <v>0</v>
      </c>
      <c r="O14" s="134">
        <v>0</v>
      </c>
      <c r="P14" s="134">
        <v>0.41</v>
      </c>
      <c r="Q14" s="134">
        <v>4.2300000000000004</v>
      </c>
    </row>
    <row r="15" spans="1:21" customFormat="1">
      <c r="A15" s="112" t="s">
        <v>1300</v>
      </c>
      <c r="B15" s="134">
        <v>7.55</v>
      </c>
      <c r="C15" s="134">
        <v>17.77</v>
      </c>
      <c r="D15" s="134">
        <v>14.3</v>
      </c>
      <c r="E15" s="134">
        <v>7.36</v>
      </c>
      <c r="F15" s="134">
        <v>7.25</v>
      </c>
      <c r="G15" s="134">
        <v>32.85</v>
      </c>
      <c r="H15" s="134">
        <v>8.93</v>
      </c>
      <c r="I15" s="134">
        <v>3.27</v>
      </c>
      <c r="J15" s="134">
        <v>0.5</v>
      </c>
      <c r="K15" s="134">
        <v>261.97000000000003</v>
      </c>
      <c r="L15" s="134">
        <v>27.68</v>
      </c>
      <c r="M15" s="134">
        <v>81.08</v>
      </c>
      <c r="N15" s="134">
        <v>0</v>
      </c>
      <c r="O15" s="134">
        <v>0</v>
      </c>
      <c r="P15" s="134">
        <v>0.42</v>
      </c>
      <c r="Q15" s="134">
        <v>4.2</v>
      </c>
    </row>
    <row r="16" spans="1:21" customFormat="1">
      <c r="A16" s="112" t="s">
        <v>1301</v>
      </c>
      <c r="B16" s="134">
        <v>8.09</v>
      </c>
      <c r="C16" s="134">
        <v>21.76</v>
      </c>
      <c r="D16" s="134">
        <v>16.809999999999999</v>
      </c>
      <c r="E16" s="134">
        <v>8.24</v>
      </c>
      <c r="F16" s="134">
        <v>3.31</v>
      </c>
      <c r="G16" s="134">
        <v>32.85</v>
      </c>
      <c r="H16" s="134">
        <v>8.93</v>
      </c>
      <c r="I16" s="134">
        <v>3.2</v>
      </c>
      <c r="J16" s="134">
        <v>0.63</v>
      </c>
      <c r="K16" s="134">
        <v>261.27999999999997</v>
      </c>
      <c r="L16" s="134">
        <v>27.67</v>
      </c>
      <c r="M16" s="134">
        <v>80.989999999999995</v>
      </c>
      <c r="N16" s="134">
        <v>0</v>
      </c>
      <c r="O16" s="134">
        <v>0</v>
      </c>
      <c r="P16" s="134">
        <v>0.46</v>
      </c>
      <c r="Q16" s="134">
        <v>4.2699999999999996</v>
      </c>
    </row>
    <row r="17" spans="1:17" customFormat="1">
      <c r="A17" s="112" t="s">
        <v>1302</v>
      </c>
      <c r="B17" s="134">
        <v>7.9</v>
      </c>
      <c r="C17" s="134">
        <v>20.149999999999999</v>
      </c>
      <c r="D17" s="134">
        <v>15.82</v>
      </c>
      <c r="E17" s="134">
        <v>6.13</v>
      </c>
      <c r="F17" s="134">
        <v>7.43</v>
      </c>
      <c r="G17" s="134">
        <v>32.65</v>
      </c>
      <c r="H17" s="134">
        <v>11.08</v>
      </c>
      <c r="I17" s="134">
        <v>3.32</v>
      </c>
      <c r="J17" s="134">
        <v>0.65</v>
      </c>
      <c r="K17" s="134">
        <v>265.93</v>
      </c>
      <c r="L17" s="134">
        <v>27.67</v>
      </c>
      <c r="M17" s="134">
        <v>80.11</v>
      </c>
      <c r="N17" s="134">
        <v>0</v>
      </c>
      <c r="O17" s="134">
        <v>0</v>
      </c>
      <c r="P17" s="134">
        <v>0.44</v>
      </c>
      <c r="Q17" s="134">
        <v>4.3</v>
      </c>
    </row>
    <row r="18" spans="1:17" customFormat="1">
      <c r="A18" s="112" t="s">
        <v>1303</v>
      </c>
      <c r="B18" s="134">
        <v>7.81</v>
      </c>
      <c r="C18" s="134">
        <v>18.75</v>
      </c>
      <c r="D18" s="134">
        <v>15.02</v>
      </c>
      <c r="E18" s="134">
        <v>7.11</v>
      </c>
      <c r="F18" s="134">
        <v>7.95</v>
      </c>
      <c r="G18" s="134">
        <v>32.57</v>
      </c>
      <c r="H18" s="134">
        <v>11.3</v>
      </c>
      <c r="I18" s="134">
        <v>3.51</v>
      </c>
      <c r="J18" s="134">
        <v>0.56000000000000005</v>
      </c>
      <c r="K18" s="134">
        <v>261.98</v>
      </c>
      <c r="L18" s="134">
        <v>27.63</v>
      </c>
      <c r="M18" s="134">
        <v>80.540000000000006</v>
      </c>
      <c r="N18" s="134">
        <v>0</v>
      </c>
      <c r="O18" s="134">
        <v>0</v>
      </c>
      <c r="P18" s="134">
        <v>0.41</v>
      </c>
      <c r="Q18" s="134">
        <v>4.25</v>
      </c>
    </row>
    <row r="19" spans="1:17" customFormat="1">
      <c r="A19" s="112" t="s">
        <v>1304</v>
      </c>
      <c r="B19" s="134">
        <v>8.23</v>
      </c>
      <c r="C19" s="134">
        <v>19.149999999999999</v>
      </c>
      <c r="D19" s="134">
        <v>15.56</v>
      </c>
      <c r="E19" s="134">
        <v>6.74</v>
      </c>
      <c r="F19" s="134">
        <v>5.3</v>
      </c>
      <c r="G19" s="134">
        <v>32.57</v>
      </c>
      <c r="H19" s="134">
        <v>11.3</v>
      </c>
      <c r="I19" s="134">
        <v>3.24</v>
      </c>
      <c r="J19" s="134">
        <v>0.55000000000000004</v>
      </c>
      <c r="K19" s="134">
        <v>260.75</v>
      </c>
      <c r="L19" s="134">
        <v>27.52</v>
      </c>
      <c r="M19" s="134">
        <v>81.27</v>
      </c>
      <c r="N19" s="134">
        <v>0</v>
      </c>
      <c r="O19" s="134">
        <v>0</v>
      </c>
      <c r="P19" s="134">
        <v>0.43</v>
      </c>
      <c r="Q19" s="134">
        <v>4.2300000000000004</v>
      </c>
    </row>
    <row r="20" spans="1:17" customFormat="1">
      <c r="A20" s="112" t="s">
        <v>1305</v>
      </c>
      <c r="B20" s="134">
        <v>8.1999999999999993</v>
      </c>
      <c r="C20" s="134">
        <v>20.81</v>
      </c>
      <c r="D20" s="134">
        <v>16.399999999999999</v>
      </c>
      <c r="E20" s="134">
        <v>6.29</v>
      </c>
      <c r="F20" s="134">
        <v>3.7</v>
      </c>
      <c r="G20" s="134">
        <v>32.57</v>
      </c>
      <c r="H20" s="134">
        <v>11.3</v>
      </c>
      <c r="I20" s="134">
        <v>3.26</v>
      </c>
      <c r="J20" s="134">
        <v>0.62</v>
      </c>
      <c r="K20" s="134">
        <v>265.33</v>
      </c>
      <c r="L20" s="134">
        <v>27.44</v>
      </c>
      <c r="M20" s="134">
        <v>81.349999999999994</v>
      </c>
      <c r="N20" s="134">
        <v>0</v>
      </c>
      <c r="O20" s="134">
        <v>0</v>
      </c>
      <c r="P20" s="134">
        <v>0.47</v>
      </c>
      <c r="Q20" s="134">
        <v>4.22</v>
      </c>
    </row>
    <row r="21" spans="1:17" customFormat="1">
      <c r="A21" s="112" t="s">
        <v>1306</v>
      </c>
      <c r="B21" s="134">
        <v>8.01</v>
      </c>
      <c r="C21" s="134">
        <v>20.97</v>
      </c>
      <c r="D21" s="134">
        <v>16.34</v>
      </c>
      <c r="E21" s="134">
        <v>6.09</v>
      </c>
      <c r="F21" s="134">
        <v>4.26</v>
      </c>
      <c r="G21" s="134">
        <v>30.33</v>
      </c>
      <c r="H21" s="134">
        <v>11.23</v>
      </c>
      <c r="I21" s="134">
        <v>3.43</v>
      </c>
      <c r="J21" s="134">
        <v>0.46</v>
      </c>
      <c r="K21" s="134">
        <v>266.87</v>
      </c>
      <c r="L21" s="134">
        <v>27.42</v>
      </c>
      <c r="M21" s="134">
        <v>81.44</v>
      </c>
      <c r="N21" s="134">
        <v>0</v>
      </c>
      <c r="O21" s="134">
        <v>0</v>
      </c>
      <c r="P21" s="134">
        <v>0.46</v>
      </c>
      <c r="Q21" s="134">
        <v>4.24</v>
      </c>
    </row>
    <row r="22" spans="1:17" customFormat="1">
      <c r="A22" s="112" t="s">
        <v>1307</v>
      </c>
      <c r="B22" s="134">
        <v>8</v>
      </c>
      <c r="C22" s="134">
        <v>19.62</v>
      </c>
      <c r="D22" s="134">
        <v>15.62</v>
      </c>
      <c r="E22" s="134">
        <v>6.2</v>
      </c>
      <c r="F22" s="134">
        <v>4.93</v>
      </c>
      <c r="G22" s="134">
        <v>29.37</v>
      </c>
      <c r="H22" s="134">
        <v>11.23</v>
      </c>
      <c r="I22" s="134">
        <v>3.43</v>
      </c>
      <c r="J22" s="134">
        <v>0.54</v>
      </c>
      <c r="K22" s="134">
        <v>269.52999999999997</v>
      </c>
      <c r="L22" s="134">
        <v>27.3</v>
      </c>
      <c r="M22" s="134">
        <v>81.819999999999993</v>
      </c>
      <c r="N22" s="134">
        <v>0</v>
      </c>
      <c r="O22" s="134">
        <v>0</v>
      </c>
      <c r="P22" s="134">
        <v>0.44</v>
      </c>
      <c r="Q22" s="134">
        <v>4.2</v>
      </c>
    </row>
    <row r="23" spans="1:17" customFormat="1">
      <c r="A23" s="112" t="s">
        <v>1308</v>
      </c>
      <c r="B23" s="134">
        <v>7.94</v>
      </c>
      <c r="C23" s="134">
        <v>19.39</v>
      </c>
      <c r="D23" s="134">
        <v>15.46</v>
      </c>
      <c r="E23" s="134">
        <v>6.03</v>
      </c>
      <c r="F23" s="134">
        <v>5.0199999999999996</v>
      </c>
      <c r="G23" s="134">
        <v>29.37</v>
      </c>
      <c r="H23" s="134">
        <v>11.23</v>
      </c>
      <c r="I23" s="134">
        <v>3.27</v>
      </c>
      <c r="J23" s="134">
        <v>0.5</v>
      </c>
      <c r="K23" s="134">
        <v>269.31</v>
      </c>
      <c r="L23" s="134">
        <v>27.25</v>
      </c>
      <c r="M23" s="134">
        <v>82.23</v>
      </c>
      <c r="N23" s="134">
        <v>0</v>
      </c>
      <c r="O23" s="134">
        <v>0</v>
      </c>
      <c r="P23" s="134">
        <v>0.43</v>
      </c>
      <c r="Q23" s="134">
        <v>4.2</v>
      </c>
    </row>
    <row r="24" spans="1:17" customFormat="1">
      <c r="A24" s="112" t="s">
        <v>1309</v>
      </c>
      <c r="B24" s="134">
        <v>7.76</v>
      </c>
      <c r="C24" s="134">
        <v>18.670000000000002</v>
      </c>
      <c r="D24" s="134">
        <v>14.93</v>
      </c>
      <c r="E24" s="134">
        <v>5.96</v>
      </c>
      <c r="F24" s="134">
        <v>5.46</v>
      </c>
      <c r="G24" s="134">
        <v>29.37</v>
      </c>
      <c r="H24" s="134">
        <v>11.23</v>
      </c>
      <c r="I24" s="134">
        <v>3.26</v>
      </c>
      <c r="J24" s="134">
        <v>0.34</v>
      </c>
      <c r="K24" s="134">
        <v>268.52999999999997</v>
      </c>
      <c r="L24" s="134">
        <v>27.2</v>
      </c>
      <c r="M24" s="134">
        <v>83.2</v>
      </c>
      <c r="N24" s="134">
        <v>0</v>
      </c>
      <c r="O24" s="134">
        <v>0</v>
      </c>
      <c r="P24" s="134">
        <v>0.41</v>
      </c>
      <c r="Q24" s="134">
        <v>4.21</v>
      </c>
    </row>
    <row r="25" spans="1:17" customFormat="1">
      <c r="A25" s="112" t="s">
        <v>1310</v>
      </c>
      <c r="B25" s="134">
        <v>7.37</v>
      </c>
      <c r="C25" s="134">
        <v>17.739999999999998</v>
      </c>
      <c r="D25" s="134">
        <v>14.13</v>
      </c>
      <c r="E25" s="134">
        <v>6.63</v>
      </c>
      <c r="F25" s="134">
        <v>6.49</v>
      </c>
      <c r="G25" s="134">
        <v>29.45</v>
      </c>
      <c r="H25" s="134">
        <v>8.25</v>
      </c>
      <c r="I25" s="134">
        <v>3.32</v>
      </c>
      <c r="J25" s="134">
        <v>0.41</v>
      </c>
      <c r="K25" s="134">
        <v>267.51</v>
      </c>
      <c r="L25" s="134">
        <v>27.11</v>
      </c>
      <c r="M25" s="134">
        <v>83.56</v>
      </c>
      <c r="N25" s="134">
        <v>0</v>
      </c>
      <c r="O25" s="134">
        <v>0</v>
      </c>
      <c r="P25" s="134">
        <v>0.41</v>
      </c>
      <c r="Q25" s="134">
        <v>4.22</v>
      </c>
    </row>
    <row r="26" spans="1:17" customFormat="1">
      <c r="A26" s="112" t="s">
        <v>1311</v>
      </c>
      <c r="B26" s="134">
        <v>8.33</v>
      </c>
      <c r="C26" s="134">
        <v>20.350000000000001</v>
      </c>
      <c r="D26" s="134">
        <v>16.27</v>
      </c>
      <c r="E26" s="134">
        <v>6.66</v>
      </c>
      <c r="F26" s="134">
        <v>3.69</v>
      </c>
      <c r="G26" s="134">
        <v>29.49</v>
      </c>
      <c r="H26" s="134">
        <v>8.06</v>
      </c>
      <c r="I26" s="134">
        <v>3.28</v>
      </c>
      <c r="J26" s="134">
        <v>0.47</v>
      </c>
      <c r="K26" s="134">
        <v>260.98</v>
      </c>
      <c r="L26" s="134">
        <v>27.11</v>
      </c>
      <c r="M26" s="134">
        <v>83.53</v>
      </c>
      <c r="N26" s="134">
        <v>0</v>
      </c>
      <c r="O26" s="134">
        <v>0</v>
      </c>
      <c r="P26" s="134">
        <v>0.44</v>
      </c>
      <c r="Q26" s="134">
        <v>4.25</v>
      </c>
    </row>
    <row r="27" spans="1:17" customFormat="1">
      <c r="A27" s="112" t="s">
        <v>1312</v>
      </c>
      <c r="B27" s="134">
        <v>8.9499999999999993</v>
      </c>
      <c r="C27" s="134">
        <v>22.5</v>
      </c>
      <c r="D27" s="134">
        <v>17.89</v>
      </c>
      <c r="E27" s="134">
        <v>7.2</v>
      </c>
      <c r="F27" s="134">
        <v>2.5299999999999998</v>
      </c>
      <c r="G27" s="134">
        <v>29.49</v>
      </c>
      <c r="H27" s="134">
        <v>8.06</v>
      </c>
      <c r="I27" s="134">
        <v>3.3</v>
      </c>
      <c r="J27" s="134">
        <v>0.52</v>
      </c>
      <c r="K27" s="134">
        <v>265.14999999999998</v>
      </c>
      <c r="L27" s="134">
        <v>27.01</v>
      </c>
      <c r="M27" s="134">
        <v>83.99</v>
      </c>
      <c r="N27" s="134">
        <v>0</v>
      </c>
      <c r="O27" s="134">
        <v>0</v>
      </c>
      <c r="P27" s="134">
        <v>0.47</v>
      </c>
      <c r="Q27" s="134">
        <v>4.3499999999999996</v>
      </c>
    </row>
    <row r="28" spans="1:17" customFormat="1">
      <c r="A28" s="112" t="s">
        <v>1313</v>
      </c>
      <c r="B28" s="134">
        <v>8.94</v>
      </c>
      <c r="C28" s="134">
        <v>20.47</v>
      </c>
      <c r="D28" s="134">
        <v>16.82</v>
      </c>
      <c r="E28" s="134">
        <v>7.55</v>
      </c>
      <c r="F28" s="134">
        <v>4.04</v>
      </c>
      <c r="G28" s="134">
        <v>29.49</v>
      </c>
      <c r="H28" s="134">
        <v>8.06</v>
      </c>
      <c r="I28" s="134">
        <v>3.47</v>
      </c>
      <c r="J28" s="134">
        <v>0.28999999999999998</v>
      </c>
      <c r="K28" s="134">
        <v>260.86</v>
      </c>
      <c r="L28" s="134">
        <v>26.86</v>
      </c>
      <c r="M28" s="134">
        <v>84.87</v>
      </c>
      <c r="N28" s="134">
        <v>0</v>
      </c>
      <c r="O28" s="134">
        <v>0</v>
      </c>
      <c r="P28" s="134">
        <v>0.45</v>
      </c>
      <c r="Q28" s="134">
        <v>4.33</v>
      </c>
    </row>
    <row r="29" spans="1:17" customFormat="1">
      <c r="A29" s="112" t="s">
        <v>1314</v>
      </c>
      <c r="B29" s="134">
        <v>8.36</v>
      </c>
      <c r="C29" s="134">
        <v>18.239999999999998</v>
      </c>
      <c r="D29" s="134">
        <v>15.19</v>
      </c>
      <c r="E29" s="134">
        <v>7.26</v>
      </c>
      <c r="F29" s="134">
        <v>5.44</v>
      </c>
      <c r="G29" s="134">
        <v>29.68</v>
      </c>
      <c r="H29" s="134">
        <v>8.48</v>
      </c>
      <c r="I29" s="134">
        <v>3.53</v>
      </c>
      <c r="J29" s="134">
        <v>0.3</v>
      </c>
      <c r="K29" s="134">
        <v>258.08999999999997</v>
      </c>
      <c r="L29" s="134">
        <v>26.74</v>
      </c>
      <c r="M29" s="134">
        <v>85.78</v>
      </c>
      <c r="N29" s="134">
        <v>0</v>
      </c>
      <c r="O29" s="134">
        <v>0</v>
      </c>
      <c r="P29" s="134">
        <v>0.43</v>
      </c>
      <c r="Q29" s="134">
        <v>4.32</v>
      </c>
    </row>
    <row r="30" spans="1:17" customFormat="1">
      <c r="A30" s="112" t="s">
        <v>1315</v>
      </c>
      <c r="B30" s="134">
        <v>8.9600000000000009</v>
      </c>
      <c r="C30" s="134">
        <v>19.239999999999998</v>
      </c>
      <c r="D30" s="134">
        <v>16.2</v>
      </c>
      <c r="E30" s="134">
        <v>7.15</v>
      </c>
      <c r="F30" s="134">
        <v>4.4400000000000004</v>
      </c>
      <c r="G30" s="134">
        <v>29.76</v>
      </c>
      <c r="H30" s="134">
        <v>8.5</v>
      </c>
      <c r="I30" s="134">
        <v>3.43</v>
      </c>
      <c r="J30" s="134">
        <v>0.2</v>
      </c>
      <c r="K30" s="134">
        <v>245.62</v>
      </c>
      <c r="L30" s="134">
        <v>26.67</v>
      </c>
      <c r="M30" s="134">
        <v>86.23</v>
      </c>
      <c r="N30" s="134">
        <v>0</v>
      </c>
      <c r="O30" s="134">
        <v>0</v>
      </c>
      <c r="P30" s="134">
        <v>0.44</v>
      </c>
      <c r="Q30" s="134">
        <v>4.32</v>
      </c>
    </row>
    <row r="31" spans="1:17" customFormat="1">
      <c r="A31" s="112" t="s">
        <v>1316</v>
      </c>
      <c r="B31" s="134">
        <v>9.85</v>
      </c>
      <c r="C31" s="134">
        <v>22.66</v>
      </c>
      <c r="D31" s="134">
        <v>18.690000000000001</v>
      </c>
      <c r="E31" s="134">
        <v>7.16</v>
      </c>
      <c r="F31" s="134">
        <v>2.42</v>
      </c>
      <c r="G31" s="134">
        <v>29.76</v>
      </c>
      <c r="H31" s="134">
        <v>8.5</v>
      </c>
      <c r="I31" s="134">
        <v>3.39</v>
      </c>
      <c r="J31" s="134">
        <v>0.1</v>
      </c>
      <c r="K31" s="134">
        <v>197.99</v>
      </c>
      <c r="L31" s="134">
        <v>26.42</v>
      </c>
      <c r="M31" s="134">
        <v>88.46</v>
      </c>
      <c r="N31" s="134">
        <v>0</v>
      </c>
      <c r="O31" s="134">
        <v>0</v>
      </c>
      <c r="P31" s="134">
        <v>0.48</v>
      </c>
      <c r="Q31" s="134">
        <v>4.4000000000000004</v>
      </c>
    </row>
    <row r="32" spans="1:17" customFormat="1">
      <c r="A32" s="112" t="s">
        <v>1317</v>
      </c>
      <c r="B32" s="134">
        <v>10.18</v>
      </c>
      <c r="C32" s="134">
        <v>20.74</v>
      </c>
      <c r="D32" s="134">
        <v>17.96</v>
      </c>
      <c r="E32" s="134">
        <v>7</v>
      </c>
      <c r="F32" s="134">
        <v>3.25</v>
      </c>
      <c r="G32" s="134">
        <v>29.76</v>
      </c>
      <c r="H32" s="134">
        <v>8.5</v>
      </c>
      <c r="I32" s="134">
        <v>3.53</v>
      </c>
      <c r="J32" s="134">
        <v>0.24</v>
      </c>
      <c r="K32" s="134">
        <v>251.56</v>
      </c>
      <c r="L32" s="134">
        <v>26.41</v>
      </c>
      <c r="M32" s="134">
        <v>89.79</v>
      </c>
      <c r="N32" s="134">
        <v>6.4</v>
      </c>
      <c r="O32" s="134">
        <v>0</v>
      </c>
      <c r="P32" s="134">
        <v>0.47</v>
      </c>
      <c r="Q32" s="134">
        <v>4.42</v>
      </c>
    </row>
    <row r="33" spans="1:17" customFormat="1">
      <c r="A33" s="112" t="s">
        <v>1318</v>
      </c>
      <c r="B33" s="134">
        <v>9.84</v>
      </c>
      <c r="C33" s="134">
        <v>18.329999999999998</v>
      </c>
      <c r="D33" s="134">
        <v>16.43</v>
      </c>
      <c r="E33" s="134">
        <v>6.64</v>
      </c>
      <c r="F33" s="134">
        <v>4.45</v>
      </c>
      <c r="G33" s="134">
        <v>29.77</v>
      </c>
      <c r="H33" s="134">
        <v>8.16</v>
      </c>
      <c r="I33" s="134">
        <v>3.68</v>
      </c>
      <c r="J33" s="134">
        <v>0.24</v>
      </c>
      <c r="K33" s="134">
        <v>256.82</v>
      </c>
      <c r="L33" s="134">
        <v>26.49</v>
      </c>
      <c r="M33" s="134">
        <v>90.05</v>
      </c>
      <c r="N33" s="134">
        <v>17.8</v>
      </c>
      <c r="O33" s="134">
        <v>0</v>
      </c>
      <c r="P33" s="134">
        <v>0.46</v>
      </c>
      <c r="Q33" s="134">
        <v>4.4000000000000004</v>
      </c>
    </row>
    <row r="34" spans="1:17" customFormat="1">
      <c r="A34" s="112" t="s">
        <v>1319</v>
      </c>
      <c r="B34" s="134">
        <v>10.48</v>
      </c>
      <c r="C34" s="134">
        <v>19.2</v>
      </c>
      <c r="D34" s="134">
        <v>17.39</v>
      </c>
      <c r="E34" s="134">
        <v>6.64</v>
      </c>
      <c r="F34" s="134">
        <v>3.86</v>
      </c>
      <c r="G34" s="134">
        <v>29.77</v>
      </c>
      <c r="H34" s="134">
        <v>8.14</v>
      </c>
      <c r="I34" s="134">
        <v>3.69</v>
      </c>
      <c r="J34" s="134">
        <v>0.3</v>
      </c>
      <c r="K34" s="134">
        <v>255.3</v>
      </c>
      <c r="L34" s="134">
        <v>26.6</v>
      </c>
      <c r="M34" s="134">
        <v>89.71</v>
      </c>
      <c r="N34" s="134">
        <v>30.6</v>
      </c>
      <c r="O34" s="134">
        <v>0</v>
      </c>
      <c r="P34" s="134">
        <v>0.46</v>
      </c>
      <c r="Q34" s="134">
        <v>4.42</v>
      </c>
    </row>
    <row r="35" spans="1:17" customFormat="1">
      <c r="A35" s="112" t="s">
        <v>1320</v>
      </c>
      <c r="B35" s="134">
        <v>11.35</v>
      </c>
      <c r="C35" s="134">
        <v>22.97</v>
      </c>
      <c r="D35" s="134">
        <v>20.059999999999999</v>
      </c>
      <c r="E35" s="134">
        <v>7</v>
      </c>
      <c r="F35" s="134">
        <v>1.99</v>
      </c>
      <c r="G35" s="134">
        <v>29.77</v>
      </c>
      <c r="H35" s="134">
        <v>8.14</v>
      </c>
      <c r="I35" s="134">
        <v>3.78</v>
      </c>
      <c r="J35" s="134">
        <v>0.52</v>
      </c>
      <c r="K35" s="134">
        <v>260</v>
      </c>
      <c r="L35" s="134">
        <v>27</v>
      </c>
      <c r="M35" s="134">
        <v>87.03</v>
      </c>
      <c r="N35" s="134">
        <v>53.4</v>
      </c>
      <c r="O35" s="134">
        <v>0</v>
      </c>
      <c r="P35" s="134">
        <v>0.51</v>
      </c>
      <c r="Q35" s="134">
        <v>4.5</v>
      </c>
    </row>
    <row r="36" spans="1:17" customFormat="1">
      <c r="A36" s="112" t="s">
        <v>1321</v>
      </c>
      <c r="B36" s="134">
        <v>11.84</v>
      </c>
      <c r="C36" s="134">
        <v>21.52</v>
      </c>
      <c r="D36" s="134">
        <v>19.7</v>
      </c>
      <c r="E36" s="134">
        <v>7.41</v>
      </c>
      <c r="F36" s="134">
        <v>2.76</v>
      </c>
      <c r="G36" s="134">
        <v>29.77</v>
      </c>
      <c r="H36" s="134">
        <v>8.14</v>
      </c>
      <c r="I36" s="134">
        <v>3.89</v>
      </c>
      <c r="J36" s="134">
        <v>0.44</v>
      </c>
      <c r="K36" s="134">
        <v>260.04000000000002</v>
      </c>
      <c r="L36" s="134">
        <v>27.36</v>
      </c>
      <c r="M36" s="134">
        <v>86.28</v>
      </c>
      <c r="N36" s="134">
        <v>69.8</v>
      </c>
      <c r="O36" s="134">
        <v>0</v>
      </c>
      <c r="P36" s="134">
        <v>0.5</v>
      </c>
      <c r="Q36" s="134">
        <v>4.5</v>
      </c>
    </row>
    <row r="37" spans="1:17" customFormat="1">
      <c r="A37" s="112" t="s">
        <v>1322</v>
      </c>
      <c r="B37" s="134">
        <v>11.83</v>
      </c>
      <c r="C37" s="134">
        <v>19.64</v>
      </c>
      <c r="D37" s="134">
        <v>18.7</v>
      </c>
      <c r="E37" s="134">
        <v>7.3</v>
      </c>
      <c r="F37" s="134">
        <v>3.68</v>
      </c>
      <c r="G37" s="134">
        <v>30.39</v>
      </c>
      <c r="H37" s="134">
        <v>11.43</v>
      </c>
      <c r="I37" s="134">
        <v>4</v>
      </c>
      <c r="J37" s="134">
        <v>0.38</v>
      </c>
      <c r="K37" s="134">
        <v>260.56</v>
      </c>
      <c r="L37" s="134">
        <v>27.72</v>
      </c>
      <c r="M37" s="134">
        <v>85.17</v>
      </c>
      <c r="N37" s="134">
        <v>80.2</v>
      </c>
      <c r="O37" s="134">
        <v>0</v>
      </c>
      <c r="P37" s="134">
        <v>0.49</v>
      </c>
      <c r="Q37" s="134">
        <v>4.51</v>
      </c>
    </row>
    <row r="38" spans="1:17" customFormat="1">
      <c r="A38" s="112" t="s">
        <v>1323</v>
      </c>
      <c r="B38" s="134">
        <v>12.13</v>
      </c>
      <c r="C38" s="134">
        <v>19.45</v>
      </c>
      <c r="D38" s="134">
        <v>18.84</v>
      </c>
      <c r="E38" s="134">
        <v>6.92</v>
      </c>
      <c r="F38" s="134">
        <v>3.83</v>
      </c>
      <c r="G38" s="134">
        <v>30.64</v>
      </c>
      <c r="H38" s="134">
        <v>11.64</v>
      </c>
      <c r="I38" s="134">
        <v>3.98</v>
      </c>
      <c r="J38" s="134">
        <v>0.42</v>
      </c>
      <c r="K38" s="134">
        <v>278.45999999999998</v>
      </c>
      <c r="L38" s="134">
        <v>28.24</v>
      </c>
      <c r="M38" s="134">
        <v>80.66</v>
      </c>
      <c r="N38" s="134">
        <v>95</v>
      </c>
      <c r="O38" s="134">
        <v>0</v>
      </c>
      <c r="P38" s="134">
        <v>0.47</v>
      </c>
      <c r="Q38" s="134">
        <v>4.4800000000000004</v>
      </c>
    </row>
    <row r="39" spans="1:17" customFormat="1">
      <c r="A39" s="112" t="s">
        <v>1324</v>
      </c>
      <c r="B39" s="134">
        <v>12.34</v>
      </c>
      <c r="C39" s="134">
        <v>19.46</v>
      </c>
      <c r="D39" s="134">
        <v>19.02</v>
      </c>
      <c r="E39" s="134">
        <v>7.09</v>
      </c>
      <c r="F39" s="134">
        <v>4.45</v>
      </c>
      <c r="G39" s="134">
        <v>30.64</v>
      </c>
      <c r="H39" s="134">
        <v>11.64</v>
      </c>
      <c r="I39" s="134">
        <v>4</v>
      </c>
      <c r="J39" s="134">
        <v>0.47</v>
      </c>
      <c r="K39" s="134">
        <v>287.51</v>
      </c>
      <c r="L39" s="134">
        <v>28.77</v>
      </c>
      <c r="M39" s="134">
        <v>78.12</v>
      </c>
      <c r="N39" s="134">
        <v>105.7</v>
      </c>
      <c r="O39" s="134">
        <v>0</v>
      </c>
      <c r="P39" s="134">
        <v>0.47</v>
      </c>
      <c r="Q39" s="134">
        <v>4.49</v>
      </c>
    </row>
    <row r="40" spans="1:17" customFormat="1">
      <c r="A40" s="112" t="s">
        <v>1325</v>
      </c>
      <c r="B40" s="134">
        <v>12.47</v>
      </c>
      <c r="C40" s="134">
        <v>20.32</v>
      </c>
      <c r="D40" s="134">
        <v>19.57</v>
      </c>
      <c r="E40" s="134">
        <v>6.45</v>
      </c>
      <c r="F40" s="134">
        <v>3.58</v>
      </c>
      <c r="G40" s="134">
        <v>30.64</v>
      </c>
      <c r="H40" s="134">
        <v>11.64</v>
      </c>
      <c r="I40" s="134">
        <v>4.0199999999999996</v>
      </c>
      <c r="J40" s="134">
        <v>0.56999999999999995</v>
      </c>
      <c r="K40" s="134">
        <v>265.16000000000003</v>
      </c>
      <c r="L40" s="134">
        <v>28.7</v>
      </c>
      <c r="M40" s="134">
        <v>77.69</v>
      </c>
      <c r="N40" s="134">
        <v>111.2</v>
      </c>
      <c r="O40" s="134">
        <v>0</v>
      </c>
      <c r="P40" s="134">
        <v>0.5</v>
      </c>
      <c r="Q40" s="134">
        <v>4.4800000000000004</v>
      </c>
    </row>
    <row r="41" spans="1:17" customFormat="1">
      <c r="A41" s="112" t="s">
        <v>1326</v>
      </c>
      <c r="B41" s="134">
        <v>12.15</v>
      </c>
      <c r="C41" s="134">
        <v>22.12</v>
      </c>
      <c r="D41" s="134">
        <v>20.260000000000002</v>
      </c>
      <c r="E41" s="134">
        <v>6.55</v>
      </c>
      <c r="F41" s="134">
        <v>2.96</v>
      </c>
      <c r="G41" s="134">
        <v>32.479999999999997</v>
      </c>
      <c r="H41" s="134">
        <v>12.1</v>
      </c>
      <c r="I41" s="134">
        <v>4.05</v>
      </c>
      <c r="J41" s="134">
        <v>0.67</v>
      </c>
      <c r="K41" s="134">
        <v>268.87</v>
      </c>
      <c r="L41" s="134">
        <v>28.65</v>
      </c>
      <c r="M41" s="134">
        <v>78.09</v>
      </c>
      <c r="N41" s="134">
        <v>129</v>
      </c>
      <c r="O41" s="134">
        <v>0</v>
      </c>
      <c r="P41" s="134">
        <v>0.54</v>
      </c>
      <c r="Q41" s="134">
        <v>4.5199999999999996</v>
      </c>
    </row>
    <row r="42" spans="1:17" customFormat="1">
      <c r="A42" s="112" t="s">
        <v>1327</v>
      </c>
      <c r="B42" s="134">
        <v>12.05</v>
      </c>
      <c r="C42" s="134">
        <v>22.06</v>
      </c>
      <c r="D42" s="134">
        <v>20.14</v>
      </c>
      <c r="E42" s="134">
        <v>6.63</v>
      </c>
      <c r="F42" s="134">
        <v>3.56</v>
      </c>
      <c r="G42" s="134">
        <v>33.270000000000003</v>
      </c>
      <c r="H42" s="134">
        <v>12.15</v>
      </c>
      <c r="I42" s="134">
        <v>4.1500000000000004</v>
      </c>
      <c r="J42" s="134">
        <v>0.68</v>
      </c>
      <c r="K42" s="134">
        <v>271.81</v>
      </c>
      <c r="L42" s="134">
        <v>29</v>
      </c>
      <c r="M42" s="134">
        <v>76.95</v>
      </c>
      <c r="N42" s="134">
        <v>168.2</v>
      </c>
      <c r="O42" s="134">
        <v>0</v>
      </c>
      <c r="P42" s="134">
        <v>0.54</v>
      </c>
      <c r="Q42" s="134">
        <v>4.55</v>
      </c>
    </row>
    <row r="43" spans="1:17" customFormat="1">
      <c r="A43" s="112" t="s">
        <v>1328</v>
      </c>
      <c r="B43" s="134">
        <v>12.08</v>
      </c>
      <c r="C43" s="134">
        <v>21.08</v>
      </c>
      <c r="D43" s="134">
        <v>19.649999999999999</v>
      </c>
      <c r="E43" s="134">
        <v>6.44</v>
      </c>
      <c r="F43" s="134">
        <v>4.1900000000000004</v>
      </c>
      <c r="G43" s="134">
        <v>33.270000000000003</v>
      </c>
      <c r="H43" s="134">
        <v>12.15</v>
      </c>
      <c r="I43" s="134">
        <v>4.2</v>
      </c>
      <c r="J43" s="134">
        <v>0.71</v>
      </c>
      <c r="K43" s="134">
        <v>287.39999999999998</v>
      </c>
      <c r="L43" s="134">
        <v>29.62</v>
      </c>
      <c r="M43" s="134">
        <v>73.12</v>
      </c>
      <c r="N43" s="134">
        <v>196.2</v>
      </c>
      <c r="O43" s="134">
        <v>0</v>
      </c>
      <c r="P43" s="134">
        <v>0.53</v>
      </c>
      <c r="Q43" s="134">
        <v>4.5</v>
      </c>
    </row>
    <row r="44" spans="1:17" customFormat="1">
      <c r="A44" s="112" t="s">
        <v>1329</v>
      </c>
      <c r="B44" s="134">
        <v>12.2</v>
      </c>
      <c r="C44" s="134">
        <v>21.35</v>
      </c>
      <c r="D44" s="134">
        <v>19.89</v>
      </c>
      <c r="E44" s="134">
        <v>6.05</v>
      </c>
      <c r="F44" s="134">
        <v>4.45</v>
      </c>
      <c r="G44" s="134">
        <v>33.270000000000003</v>
      </c>
      <c r="H44" s="134">
        <v>12.15</v>
      </c>
      <c r="I44" s="134">
        <v>4.26</v>
      </c>
      <c r="J44" s="134">
        <v>0.8</v>
      </c>
      <c r="K44" s="134">
        <v>307.13</v>
      </c>
      <c r="L44" s="134">
        <v>30.22</v>
      </c>
      <c r="M44" s="134">
        <v>66.42</v>
      </c>
      <c r="N44" s="134">
        <v>273.2</v>
      </c>
      <c r="O44" s="134">
        <v>0</v>
      </c>
      <c r="P44" s="134">
        <v>0.51</v>
      </c>
      <c r="Q44" s="134">
        <v>4.49</v>
      </c>
    </row>
    <row r="45" spans="1:17" customFormat="1">
      <c r="A45" s="112" t="s">
        <v>1330</v>
      </c>
      <c r="B45" s="134">
        <v>12.28</v>
      </c>
      <c r="C45" s="134">
        <v>21.33</v>
      </c>
      <c r="D45" s="134">
        <v>19.95</v>
      </c>
      <c r="E45" s="134">
        <v>6.4</v>
      </c>
      <c r="F45" s="134">
        <v>5.21</v>
      </c>
      <c r="G45" s="134">
        <v>32.299999999999997</v>
      </c>
      <c r="H45" s="134">
        <v>11.47</v>
      </c>
      <c r="I45" s="134">
        <v>4.26</v>
      </c>
      <c r="J45" s="134">
        <v>0.88</v>
      </c>
      <c r="K45" s="134">
        <v>317.24</v>
      </c>
      <c r="L45" s="134">
        <v>30.52</v>
      </c>
      <c r="M45" s="134">
        <v>63.34</v>
      </c>
      <c r="N45" s="134">
        <v>354.8</v>
      </c>
      <c r="O45" s="134">
        <v>0</v>
      </c>
      <c r="P45" s="134">
        <v>0.51</v>
      </c>
      <c r="Q45" s="134">
        <v>4.53</v>
      </c>
    </row>
    <row r="46" spans="1:17" customFormat="1">
      <c r="A46" s="112" t="s">
        <v>1331</v>
      </c>
      <c r="B46" s="134">
        <v>12.16</v>
      </c>
      <c r="C46" s="134">
        <v>21.26</v>
      </c>
      <c r="D46" s="134">
        <v>19.809999999999999</v>
      </c>
      <c r="E46" s="134">
        <v>6.38</v>
      </c>
      <c r="F46" s="134">
        <v>4.71</v>
      </c>
      <c r="G46" s="134">
        <v>31.91</v>
      </c>
      <c r="H46" s="134">
        <v>11.43</v>
      </c>
      <c r="I46" s="134">
        <v>4.2</v>
      </c>
      <c r="J46" s="134">
        <v>0.8</v>
      </c>
      <c r="K46" s="134">
        <v>282.63</v>
      </c>
      <c r="L46" s="134">
        <v>30.68</v>
      </c>
      <c r="M46" s="134">
        <v>62.09</v>
      </c>
      <c r="N46" s="134">
        <v>306.7</v>
      </c>
      <c r="O46" s="134">
        <v>0</v>
      </c>
      <c r="P46" s="134">
        <v>0.51</v>
      </c>
      <c r="Q46" s="134">
        <v>4.5199999999999996</v>
      </c>
    </row>
    <row r="47" spans="1:17" customFormat="1">
      <c r="A47" s="112" t="s">
        <v>1332</v>
      </c>
      <c r="B47" s="134">
        <v>11.91</v>
      </c>
      <c r="C47" s="134">
        <v>21.44</v>
      </c>
      <c r="D47" s="134">
        <v>19.71</v>
      </c>
      <c r="E47" s="134">
        <v>6.02</v>
      </c>
      <c r="F47" s="134">
        <v>4.18</v>
      </c>
      <c r="G47" s="134">
        <v>31.91</v>
      </c>
      <c r="H47" s="134">
        <v>11.43</v>
      </c>
      <c r="I47" s="134">
        <v>4.1399999999999997</v>
      </c>
      <c r="J47" s="134">
        <v>0.78</v>
      </c>
      <c r="K47" s="134">
        <v>273.57</v>
      </c>
      <c r="L47" s="134">
        <v>30.42</v>
      </c>
      <c r="M47" s="134">
        <v>63.65</v>
      </c>
      <c r="N47" s="134">
        <v>316.39999999999998</v>
      </c>
      <c r="O47" s="134">
        <v>0</v>
      </c>
      <c r="P47" s="134">
        <v>0.5</v>
      </c>
      <c r="Q47" s="134">
        <v>4.5199999999999996</v>
      </c>
    </row>
    <row r="48" spans="1:17" customFormat="1">
      <c r="A48" s="112" t="s">
        <v>1333</v>
      </c>
      <c r="B48" s="134">
        <v>11.63</v>
      </c>
      <c r="C48" s="134">
        <v>21.23</v>
      </c>
      <c r="D48" s="134">
        <v>19.37</v>
      </c>
      <c r="E48" s="134">
        <v>6.61</v>
      </c>
      <c r="F48" s="134">
        <v>5.0599999999999996</v>
      </c>
      <c r="G48" s="134">
        <v>31.91</v>
      </c>
      <c r="H48" s="134">
        <v>11.43</v>
      </c>
      <c r="I48" s="134">
        <v>4.12</v>
      </c>
      <c r="J48" s="134">
        <v>0.68</v>
      </c>
      <c r="K48" s="134">
        <v>294.77999999999997</v>
      </c>
      <c r="L48" s="134">
        <v>30.79</v>
      </c>
      <c r="M48" s="134">
        <v>64.010000000000005</v>
      </c>
      <c r="N48" s="134">
        <v>357.3</v>
      </c>
      <c r="O48" s="134">
        <v>0</v>
      </c>
      <c r="P48" s="134">
        <v>0.5</v>
      </c>
      <c r="Q48" s="134">
        <v>4.5199999999999996</v>
      </c>
    </row>
    <row r="49" spans="1:17" customFormat="1">
      <c r="A49" s="112" t="s">
        <v>1334</v>
      </c>
      <c r="B49" s="134">
        <v>12.11</v>
      </c>
      <c r="C49" s="134">
        <v>20.87</v>
      </c>
      <c r="D49" s="134">
        <v>19.57</v>
      </c>
      <c r="E49" s="134">
        <v>6.9</v>
      </c>
      <c r="F49" s="134">
        <v>5.08</v>
      </c>
      <c r="G49" s="134">
        <v>33.119999999999997</v>
      </c>
      <c r="H49" s="134">
        <v>10.41</v>
      </c>
      <c r="I49" s="134">
        <v>4.1100000000000003</v>
      </c>
      <c r="J49" s="134">
        <v>0.72</v>
      </c>
      <c r="K49" s="134">
        <v>302.67</v>
      </c>
      <c r="L49" s="134">
        <v>30.77</v>
      </c>
      <c r="M49" s="134">
        <v>63.56</v>
      </c>
      <c r="N49" s="134">
        <v>355.8</v>
      </c>
      <c r="O49" s="134">
        <v>0</v>
      </c>
      <c r="P49" s="134">
        <v>0.49</v>
      </c>
      <c r="Q49" s="134">
        <v>4.4800000000000004</v>
      </c>
    </row>
    <row r="50" spans="1:17" customFormat="1">
      <c r="A50" s="112" t="s">
        <v>1335</v>
      </c>
      <c r="B50" s="134">
        <v>11.49</v>
      </c>
      <c r="C50" s="134">
        <v>21.28</v>
      </c>
      <c r="D50" s="134">
        <v>19.28</v>
      </c>
      <c r="E50" s="134">
        <v>8.59</v>
      </c>
      <c r="F50" s="134">
        <v>4.8899999999999997</v>
      </c>
      <c r="G50" s="134">
        <v>33.64</v>
      </c>
      <c r="H50" s="134">
        <v>10.37</v>
      </c>
      <c r="I50" s="134">
        <v>4.07</v>
      </c>
      <c r="J50" s="134">
        <v>0.57999999999999996</v>
      </c>
      <c r="K50" s="134">
        <v>302.37</v>
      </c>
      <c r="L50" s="134">
        <v>31.02</v>
      </c>
      <c r="M50" s="134">
        <v>64.540000000000006</v>
      </c>
      <c r="N50" s="134">
        <v>414.1</v>
      </c>
      <c r="O50" s="134">
        <v>0</v>
      </c>
      <c r="P50" s="134">
        <v>0.5</v>
      </c>
      <c r="Q50" s="134">
        <v>4.45</v>
      </c>
    </row>
    <row r="51" spans="1:17" customFormat="1">
      <c r="A51" s="112" t="s">
        <v>1336</v>
      </c>
      <c r="B51" s="134">
        <v>11.28</v>
      </c>
      <c r="C51" s="134">
        <v>21.22</v>
      </c>
      <c r="D51" s="134">
        <v>19.079999999999998</v>
      </c>
      <c r="E51" s="134">
        <v>8.56</v>
      </c>
      <c r="F51" s="134">
        <v>5.46</v>
      </c>
      <c r="G51" s="134">
        <v>33.64</v>
      </c>
      <c r="H51" s="134">
        <v>10.37</v>
      </c>
      <c r="I51" s="134">
        <v>4.03</v>
      </c>
      <c r="J51" s="134">
        <v>0.8</v>
      </c>
      <c r="K51" s="134">
        <v>299.75</v>
      </c>
      <c r="L51" s="134">
        <v>31.95</v>
      </c>
      <c r="M51" s="134">
        <v>60.63</v>
      </c>
      <c r="N51" s="134">
        <v>570</v>
      </c>
      <c r="O51" s="134">
        <v>0</v>
      </c>
      <c r="P51" s="134">
        <v>0.49</v>
      </c>
      <c r="Q51" s="134">
        <v>4.46</v>
      </c>
    </row>
    <row r="52" spans="1:17" customFormat="1">
      <c r="A52" s="112" t="s">
        <v>1337</v>
      </c>
      <c r="B52" s="134">
        <v>11.05</v>
      </c>
      <c r="C52" s="134">
        <v>21.62</v>
      </c>
      <c r="D52" s="134">
        <v>19.11</v>
      </c>
      <c r="E52" s="134">
        <v>8.77</v>
      </c>
      <c r="F52" s="134">
        <v>5.69</v>
      </c>
      <c r="G52" s="134">
        <v>33.64</v>
      </c>
      <c r="H52" s="134">
        <v>10.37</v>
      </c>
      <c r="I52" s="134">
        <v>3.99</v>
      </c>
      <c r="J52" s="134">
        <v>0.91</v>
      </c>
      <c r="K52" s="134">
        <v>287.95</v>
      </c>
      <c r="L52" s="134">
        <v>32.17</v>
      </c>
      <c r="M52" s="134">
        <v>59.48</v>
      </c>
      <c r="N52" s="134">
        <v>765.8</v>
      </c>
      <c r="O52" s="134">
        <v>0</v>
      </c>
      <c r="P52" s="134">
        <v>0.49</v>
      </c>
      <c r="Q52" s="134">
        <v>4.4400000000000004</v>
      </c>
    </row>
    <row r="53" spans="1:17" customFormat="1">
      <c r="A53" s="112" t="s">
        <v>1338</v>
      </c>
      <c r="B53" s="134">
        <v>10.73</v>
      </c>
      <c r="C53" s="134">
        <v>21.68</v>
      </c>
      <c r="D53" s="134">
        <v>18.89</v>
      </c>
      <c r="E53" s="134">
        <v>8.6</v>
      </c>
      <c r="F53" s="134">
        <v>5.52</v>
      </c>
      <c r="G53" s="134">
        <v>38.33</v>
      </c>
      <c r="H53" s="134">
        <v>10.96</v>
      </c>
      <c r="I53" s="134">
        <v>3.95</v>
      </c>
      <c r="J53" s="134">
        <v>0.87</v>
      </c>
      <c r="K53" s="134">
        <v>283.39</v>
      </c>
      <c r="L53" s="134">
        <v>31.99</v>
      </c>
      <c r="M53" s="134">
        <v>58.78</v>
      </c>
      <c r="N53" s="134">
        <v>585.1</v>
      </c>
      <c r="O53" s="134">
        <v>0</v>
      </c>
      <c r="P53" s="134">
        <v>0.49</v>
      </c>
      <c r="Q53" s="134">
        <v>4.45</v>
      </c>
    </row>
    <row r="54" spans="1:17" customFormat="1">
      <c r="A54" s="112" t="s">
        <v>1339</v>
      </c>
      <c r="B54" s="134">
        <v>10.38</v>
      </c>
      <c r="C54" s="134">
        <v>21.84</v>
      </c>
      <c r="D54" s="134">
        <v>18.690000000000001</v>
      </c>
      <c r="E54" s="134">
        <v>8.4499999999999993</v>
      </c>
      <c r="F54" s="134">
        <v>5.52</v>
      </c>
      <c r="G54" s="134">
        <v>40.24</v>
      </c>
      <c r="H54" s="134">
        <v>11</v>
      </c>
      <c r="I54" s="134">
        <v>3.93</v>
      </c>
      <c r="J54" s="134">
        <v>0.91</v>
      </c>
      <c r="K54" s="134">
        <v>280.97000000000003</v>
      </c>
      <c r="L54" s="134">
        <v>32.119999999999997</v>
      </c>
      <c r="M54" s="134">
        <v>58.3</v>
      </c>
      <c r="N54" s="134">
        <v>747.6</v>
      </c>
      <c r="O54" s="134">
        <v>0</v>
      </c>
      <c r="P54" s="134">
        <v>0.49</v>
      </c>
      <c r="Q54" s="134">
        <v>4.43</v>
      </c>
    </row>
    <row r="55" spans="1:17" customFormat="1">
      <c r="A55" s="112" t="s">
        <v>1340</v>
      </c>
      <c r="B55" s="134">
        <v>10.11</v>
      </c>
      <c r="C55" s="134">
        <v>21.47</v>
      </c>
      <c r="D55" s="134">
        <v>18.28</v>
      </c>
      <c r="E55" s="134">
        <v>9.26</v>
      </c>
      <c r="F55" s="134">
        <v>6.67</v>
      </c>
      <c r="G55" s="134">
        <v>40.24</v>
      </c>
      <c r="H55" s="134">
        <v>11</v>
      </c>
      <c r="I55" s="134">
        <v>3.88</v>
      </c>
      <c r="J55" s="134">
        <v>0.65</v>
      </c>
      <c r="K55" s="134">
        <v>308.62</v>
      </c>
      <c r="L55" s="134">
        <v>32.659999999999997</v>
      </c>
      <c r="M55" s="134">
        <v>57.2</v>
      </c>
      <c r="N55" s="134">
        <v>823.9</v>
      </c>
      <c r="O55" s="134">
        <v>0</v>
      </c>
      <c r="P55" s="134">
        <v>0.48</v>
      </c>
      <c r="Q55" s="134">
        <v>4.38</v>
      </c>
    </row>
    <row r="56" spans="1:17" customFormat="1">
      <c r="A56" s="112" t="s">
        <v>1341</v>
      </c>
      <c r="B56" s="134">
        <v>10.08</v>
      </c>
      <c r="C56" s="134">
        <v>21.7</v>
      </c>
      <c r="D56" s="134">
        <v>18.37</v>
      </c>
      <c r="E56" s="134">
        <v>9.43</v>
      </c>
      <c r="F56" s="134">
        <v>5.79</v>
      </c>
      <c r="G56" s="134">
        <v>40.24</v>
      </c>
      <c r="H56" s="134">
        <v>11</v>
      </c>
      <c r="I56" s="134">
        <v>3.85</v>
      </c>
      <c r="J56" s="134">
        <v>0.95</v>
      </c>
      <c r="K56" s="134">
        <v>297.93</v>
      </c>
      <c r="L56" s="134">
        <v>32.6</v>
      </c>
      <c r="M56" s="134">
        <v>55.57</v>
      </c>
      <c r="N56" s="134">
        <v>840.7</v>
      </c>
      <c r="O56" s="134">
        <v>0</v>
      </c>
      <c r="P56" s="134">
        <v>0.48</v>
      </c>
      <c r="Q56" s="134">
        <v>4.38</v>
      </c>
    </row>
    <row r="57" spans="1:17" customFormat="1">
      <c r="A57" s="112" t="s">
        <v>1342</v>
      </c>
      <c r="B57" s="134">
        <v>10.76</v>
      </c>
      <c r="C57" s="134">
        <v>22.32</v>
      </c>
      <c r="D57" s="134">
        <v>19.239999999999998</v>
      </c>
      <c r="E57" s="134">
        <v>8.5399999999999991</v>
      </c>
      <c r="F57" s="134">
        <v>6.38</v>
      </c>
      <c r="G57" s="134">
        <v>39.159999999999997</v>
      </c>
      <c r="H57" s="134">
        <v>10.77</v>
      </c>
      <c r="I57" s="134">
        <v>3.71</v>
      </c>
      <c r="J57" s="134">
        <v>0.86</v>
      </c>
      <c r="K57" s="134">
        <v>302.5</v>
      </c>
      <c r="L57" s="134">
        <v>32.89</v>
      </c>
      <c r="M57" s="134">
        <v>55.13</v>
      </c>
      <c r="N57" s="134">
        <v>892.1</v>
      </c>
      <c r="O57" s="134">
        <v>0</v>
      </c>
      <c r="P57" s="134">
        <v>0.47</v>
      </c>
      <c r="Q57" s="134">
        <v>4.38</v>
      </c>
    </row>
    <row r="58" spans="1:17" customFormat="1">
      <c r="A58" s="112" t="s">
        <v>1343</v>
      </c>
      <c r="B58" s="134">
        <v>10.11</v>
      </c>
      <c r="C58" s="134">
        <v>21.92</v>
      </c>
      <c r="D58" s="134">
        <v>18.52</v>
      </c>
      <c r="E58" s="134">
        <v>8.33</v>
      </c>
      <c r="F58" s="134">
        <v>5.29</v>
      </c>
      <c r="G58" s="134">
        <v>38.729999999999997</v>
      </c>
      <c r="H58" s="134">
        <v>10.76</v>
      </c>
      <c r="I58" s="134">
        <v>3.7</v>
      </c>
      <c r="J58" s="134">
        <v>0.79</v>
      </c>
      <c r="K58" s="134">
        <v>305.07</v>
      </c>
      <c r="L58" s="134">
        <v>33.229999999999997</v>
      </c>
      <c r="M58" s="134">
        <v>53.65</v>
      </c>
      <c r="N58" s="134">
        <v>802.2</v>
      </c>
      <c r="O58" s="134">
        <v>0</v>
      </c>
      <c r="P58" s="134">
        <v>0.46</v>
      </c>
      <c r="Q58" s="134">
        <v>4.38</v>
      </c>
    </row>
    <row r="59" spans="1:17" customFormat="1">
      <c r="A59" s="112" t="s">
        <v>1344</v>
      </c>
      <c r="B59" s="134">
        <v>9.84</v>
      </c>
      <c r="C59" s="134">
        <v>21.52</v>
      </c>
      <c r="D59" s="134">
        <v>18.09</v>
      </c>
      <c r="E59" s="134">
        <v>7.73</v>
      </c>
      <c r="F59" s="134">
        <v>5.6</v>
      </c>
      <c r="G59" s="134">
        <v>38.729999999999997</v>
      </c>
      <c r="H59" s="134">
        <v>10.76</v>
      </c>
      <c r="I59" s="134">
        <v>3.66</v>
      </c>
      <c r="J59" s="134">
        <v>0.82</v>
      </c>
      <c r="K59" s="134">
        <v>305.08999999999997</v>
      </c>
      <c r="L59" s="134">
        <v>33.08</v>
      </c>
      <c r="M59" s="134">
        <v>53.78</v>
      </c>
      <c r="N59" s="134">
        <v>852.8</v>
      </c>
      <c r="O59" s="134">
        <v>0</v>
      </c>
      <c r="P59" s="134">
        <v>0.47</v>
      </c>
      <c r="Q59" s="134">
        <v>4.38</v>
      </c>
    </row>
    <row r="60" spans="1:17" customFormat="1">
      <c r="A60" s="112" t="s">
        <v>1345</v>
      </c>
      <c r="B60" s="134">
        <v>9.74</v>
      </c>
      <c r="C60" s="134">
        <v>21.72</v>
      </c>
      <c r="D60" s="134">
        <v>18.11</v>
      </c>
      <c r="E60" s="134">
        <v>8.07</v>
      </c>
      <c r="F60" s="134">
        <v>4.97</v>
      </c>
      <c r="G60" s="134">
        <v>38.729999999999997</v>
      </c>
      <c r="H60" s="134">
        <v>10.76</v>
      </c>
      <c r="I60" s="134">
        <v>3.69</v>
      </c>
      <c r="J60" s="134">
        <v>1.01</v>
      </c>
      <c r="K60" s="134">
        <v>308</v>
      </c>
      <c r="L60" s="134">
        <v>33.17</v>
      </c>
      <c r="M60" s="134">
        <v>53.93</v>
      </c>
      <c r="N60" s="134">
        <v>767.2</v>
      </c>
      <c r="O60" s="134">
        <v>0</v>
      </c>
      <c r="P60" s="134">
        <v>0.47</v>
      </c>
      <c r="Q60" s="134">
        <v>4.3899999999999997</v>
      </c>
    </row>
    <row r="61" spans="1:17" customFormat="1">
      <c r="A61" s="112" t="s">
        <v>1346</v>
      </c>
      <c r="B61" s="134">
        <v>9.64</v>
      </c>
      <c r="C61" s="134">
        <v>23.34</v>
      </c>
      <c r="D61" s="134">
        <v>18.88</v>
      </c>
      <c r="E61" s="134">
        <v>7.86</v>
      </c>
      <c r="F61" s="134">
        <v>3.74</v>
      </c>
      <c r="G61" s="134">
        <v>39.53</v>
      </c>
      <c r="H61" s="134">
        <v>11.79</v>
      </c>
      <c r="I61" s="134">
        <v>3.63</v>
      </c>
      <c r="J61" s="134">
        <v>1.06</v>
      </c>
      <c r="K61" s="134">
        <v>290.08999999999997</v>
      </c>
      <c r="L61" s="134">
        <v>33.130000000000003</v>
      </c>
      <c r="M61" s="134">
        <v>54.12</v>
      </c>
      <c r="N61" s="134">
        <v>850.5</v>
      </c>
      <c r="O61" s="134">
        <v>0</v>
      </c>
      <c r="P61" s="134">
        <v>0.49</v>
      </c>
      <c r="Q61" s="134">
        <v>4.37</v>
      </c>
    </row>
    <row r="62" spans="1:17" customFormat="1">
      <c r="A62" s="112" t="s">
        <v>1347</v>
      </c>
      <c r="B62" s="134">
        <v>9.3000000000000007</v>
      </c>
      <c r="C62" s="134">
        <v>24.84</v>
      </c>
      <c r="D62" s="134">
        <v>19.39</v>
      </c>
      <c r="E62" s="134">
        <v>7.82</v>
      </c>
      <c r="F62" s="134">
        <v>3.81</v>
      </c>
      <c r="G62" s="134">
        <v>39.880000000000003</v>
      </c>
      <c r="H62" s="134">
        <v>11.84</v>
      </c>
      <c r="I62" s="134">
        <v>3.72</v>
      </c>
      <c r="J62" s="134">
        <v>1.02</v>
      </c>
      <c r="K62" s="134">
        <v>302.08</v>
      </c>
      <c r="L62" s="134">
        <v>33.36</v>
      </c>
      <c r="M62" s="134">
        <v>52.46</v>
      </c>
      <c r="N62" s="134">
        <v>804.8</v>
      </c>
      <c r="O62" s="134">
        <v>0</v>
      </c>
      <c r="P62" s="134">
        <v>0.51</v>
      </c>
      <c r="Q62" s="134">
        <v>4.41</v>
      </c>
    </row>
    <row r="63" spans="1:17" customFormat="1">
      <c r="A63" s="112" t="s">
        <v>1348</v>
      </c>
      <c r="B63" s="134">
        <v>9.31</v>
      </c>
      <c r="C63" s="134">
        <v>24.13</v>
      </c>
      <c r="D63" s="134">
        <v>19.03</v>
      </c>
      <c r="E63" s="134">
        <v>7.41</v>
      </c>
      <c r="F63" s="134">
        <v>4.3</v>
      </c>
      <c r="G63" s="134">
        <v>39.880000000000003</v>
      </c>
      <c r="H63" s="134">
        <v>11.84</v>
      </c>
      <c r="I63" s="134">
        <v>3.79</v>
      </c>
      <c r="J63" s="134">
        <v>1.06</v>
      </c>
      <c r="K63" s="134">
        <v>273.18</v>
      </c>
      <c r="L63" s="134">
        <v>33.11</v>
      </c>
      <c r="M63" s="134">
        <v>53.81</v>
      </c>
      <c r="N63" s="134">
        <v>589</v>
      </c>
      <c r="O63" s="134">
        <v>0</v>
      </c>
      <c r="P63" s="134">
        <v>0.48</v>
      </c>
      <c r="Q63" s="134">
        <v>4.41</v>
      </c>
    </row>
    <row r="64" spans="1:17" customFormat="1">
      <c r="A64" s="112" t="s">
        <v>1349</v>
      </c>
      <c r="B64" s="134">
        <v>9.26</v>
      </c>
      <c r="C64" s="134">
        <v>22.82</v>
      </c>
      <c r="D64" s="134">
        <v>18.309999999999999</v>
      </c>
      <c r="E64" s="134">
        <v>7.45</v>
      </c>
      <c r="F64" s="134">
        <v>5.88</v>
      </c>
      <c r="G64" s="134">
        <v>39.880000000000003</v>
      </c>
      <c r="H64" s="134">
        <v>11.84</v>
      </c>
      <c r="I64" s="134">
        <v>3.7</v>
      </c>
      <c r="J64" s="134">
        <v>1.04</v>
      </c>
      <c r="K64" s="134">
        <v>300.45999999999998</v>
      </c>
      <c r="L64" s="134">
        <v>33</v>
      </c>
      <c r="M64" s="134">
        <v>52.62</v>
      </c>
      <c r="N64" s="134">
        <v>620.4</v>
      </c>
      <c r="O64" s="134">
        <v>0</v>
      </c>
      <c r="P64" s="134">
        <v>0.44</v>
      </c>
      <c r="Q64" s="134">
        <v>4.37</v>
      </c>
    </row>
    <row r="65" spans="1:17" customFormat="1">
      <c r="A65" s="112" t="s">
        <v>1350</v>
      </c>
      <c r="B65" s="134">
        <v>9.25</v>
      </c>
      <c r="C65" s="134">
        <v>21.69</v>
      </c>
      <c r="D65" s="134">
        <v>17.7</v>
      </c>
      <c r="E65" s="134">
        <v>7.11</v>
      </c>
      <c r="F65" s="134">
        <v>7.05</v>
      </c>
      <c r="G65" s="134">
        <v>42.2</v>
      </c>
      <c r="H65" s="134">
        <v>9.52</v>
      </c>
      <c r="I65" s="134">
        <v>3.56</v>
      </c>
      <c r="J65" s="134">
        <v>1.1399999999999999</v>
      </c>
      <c r="K65" s="134">
        <v>288.27999999999997</v>
      </c>
      <c r="L65" s="134">
        <v>33.47</v>
      </c>
      <c r="M65" s="134">
        <v>51.76</v>
      </c>
      <c r="N65" s="134">
        <v>744.4</v>
      </c>
      <c r="O65" s="134">
        <v>0</v>
      </c>
      <c r="P65" s="134">
        <v>0.35</v>
      </c>
      <c r="Q65" s="134">
        <v>4.3600000000000003</v>
      </c>
    </row>
    <row r="66" spans="1:17" customFormat="1">
      <c r="A66" s="112" t="s">
        <v>1351</v>
      </c>
      <c r="B66" s="134">
        <v>9</v>
      </c>
      <c r="C66" s="134">
        <v>20.97</v>
      </c>
      <c r="D66" s="134">
        <v>17.13</v>
      </c>
      <c r="E66" s="134">
        <v>7.17</v>
      </c>
      <c r="F66" s="134">
        <v>6.88</v>
      </c>
      <c r="G66" s="134">
        <v>43.14</v>
      </c>
      <c r="H66" s="134">
        <v>9.35</v>
      </c>
      <c r="I66" s="134">
        <v>3.38</v>
      </c>
      <c r="J66" s="134">
        <v>1.1200000000000001</v>
      </c>
      <c r="K66" s="134">
        <v>279.66000000000003</v>
      </c>
      <c r="L66" s="134">
        <v>33.590000000000003</v>
      </c>
      <c r="M66" s="134">
        <v>51.37</v>
      </c>
      <c r="N66" s="134">
        <v>688.9</v>
      </c>
      <c r="O66" s="134">
        <v>0</v>
      </c>
      <c r="P66" s="134">
        <v>0.35</v>
      </c>
      <c r="Q66" s="134">
        <v>4.3099999999999996</v>
      </c>
    </row>
    <row r="67" spans="1:17" customFormat="1">
      <c r="A67" s="112" t="s">
        <v>1352</v>
      </c>
      <c r="B67" s="134">
        <v>8.61</v>
      </c>
      <c r="C67" s="134">
        <v>20.440000000000001</v>
      </c>
      <c r="D67" s="134">
        <v>16.54</v>
      </c>
      <c r="E67" s="134">
        <v>7.23</v>
      </c>
      <c r="F67" s="134">
        <v>7.43</v>
      </c>
      <c r="G67" s="134">
        <v>43.14</v>
      </c>
      <c r="H67" s="134">
        <v>9.35</v>
      </c>
      <c r="I67" s="134">
        <v>3.2</v>
      </c>
      <c r="J67" s="134">
        <v>0.94</v>
      </c>
      <c r="K67" s="134">
        <v>270.07</v>
      </c>
      <c r="L67" s="134">
        <v>33.520000000000003</v>
      </c>
      <c r="M67" s="134">
        <v>53.19</v>
      </c>
      <c r="N67" s="134">
        <v>638.29999999999995</v>
      </c>
      <c r="O67" s="134">
        <v>0</v>
      </c>
      <c r="P67" s="134">
        <v>0.33</v>
      </c>
      <c r="Q67" s="134">
        <v>4.2699999999999996</v>
      </c>
    </row>
    <row r="68" spans="1:17" customFormat="1">
      <c r="A68" s="112" t="s">
        <v>1353</v>
      </c>
      <c r="B68" s="134">
        <v>8.1199999999999992</v>
      </c>
      <c r="C68" s="134">
        <v>20.41</v>
      </c>
      <c r="D68" s="134">
        <v>16.13</v>
      </c>
      <c r="E68" s="134">
        <v>7.04</v>
      </c>
      <c r="F68" s="134">
        <v>7.37</v>
      </c>
      <c r="G68" s="134">
        <v>43.14</v>
      </c>
      <c r="H68" s="134">
        <v>9.35</v>
      </c>
      <c r="I68" s="134">
        <v>3.16</v>
      </c>
      <c r="J68" s="134">
        <v>0.87</v>
      </c>
      <c r="K68" s="134">
        <v>282.05</v>
      </c>
      <c r="L68" s="134">
        <v>33.36</v>
      </c>
      <c r="M68" s="134">
        <v>53.56</v>
      </c>
      <c r="N68" s="134">
        <v>411</v>
      </c>
      <c r="O68" s="134">
        <v>0</v>
      </c>
      <c r="P68" s="134">
        <v>0.32</v>
      </c>
      <c r="Q68" s="134">
        <v>4.2300000000000004</v>
      </c>
    </row>
    <row r="69" spans="1:17" customFormat="1">
      <c r="A69" s="112" t="s">
        <v>1354</v>
      </c>
      <c r="B69" s="134">
        <v>8.06</v>
      </c>
      <c r="C69" s="134">
        <v>21.77</v>
      </c>
      <c r="D69" s="134">
        <v>16.79</v>
      </c>
      <c r="E69" s="134">
        <v>7.27</v>
      </c>
      <c r="F69" s="134">
        <v>6.48</v>
      </c>
      <c r="G69" s="134">
        <v>42.69</v>
      </c>
      <c r="H69" s="134">
        <v>9.01</v>
      </c>
      <c r="I69" s="134">
        <v>3.09</v>
      </c>
      <c r="J69" s="134">
        <v>0.92</v>
      </c>
      <c r="K69" s="134">
        <v>275.01</v>
      </c>
      <c r="L69" s="134">
        <v>32.72</v>
      </c>
      <c r="M69" s="134">
        <v>56.02</v>
      </c>
      <c r="N69" s="134">
        <v>371.5</v>
      </c>
      <c r="O69" s="134">
        <v>0</v>
      </c>
      <c r="P69" s="134">
        <v>0.34</v>
      </c>
      <c r="Q69" s="134">
        <v>4.26</v>
      </c>
    </row>
    <row r="70" spans="1:17" customFormat="1">
      <c r="A70" s="112" t="s">
        <v>1355</v>
      </c>
      <c r="B70" s="134">
        <v>7.62</v>
      </c>
      <c r="C70" s="134">
        <v>21.46</v>
      </c>
      <c r="D70" s="134">
        <v>16.28</v>
      </c>
      <c r="E70" s="134">
        <v>8.41</v>
      </c>
      <c r="F70" s="134">
        <v>8.24</v>
      </c>
      <c r="G70" s="134">
        <v>42.51</v>
      </c>
      <c r="H70" s="134">
        <v>8.99</v>
      </c>
      <c r="I70" s="134">
        <v>3.09</v>
      </c>
      <c r="J70" s="134">
        <v>0.57999999999999996</v>
      </c>
      <c r="K70" s="134">
        <v>270.7</v>
      </c>
      <c r="L70" s="134">
        <v>33.01</v>
      </c>
      <c r="M70" s="134">
        <v>59.31</v>
      </c>
      <c r="N70" s="134">
        <v>464.8</v>
      </c>
      <c r="O70" s="134">
        <v>0</v>
      </c>
      <c r="P70" s="134">
        <v>0.35</v>
      </c>
      <c r="Q70" s="134">
        <v>4.26</v>
      </c>
    </row>
    <row r="71" spans="1:17" customFormat="1">
      <c r="A71" s="112" t="s">
        <v>1356</v>
      </c>
      <c r="B71" s="134">
        <v>7.67</v>
      </c>
      <c r="C71" s="134">
        <v>20.87</v>
      </c>
      <c r="D71" s="134">
        <v>16.010000000000002</v>
      </c>
      <c r="E71" s="134">
        <v>8.7200000000000006</v>
      </c>
      <c r="F71" s="134">
        <v>7.39</v>
      </c>
      <c r="G71" s="134">
        <v>42.51</v>
      </c>
      <c r="H71" s="134">
        <v>8.99</v>
      </c>
      <c r="I71" s="134">
        <v>3.17</v>
      </c>
      <c r="J71" s="134">
        <v>1.03</v>
      </c>
      <c r="K71" s="134">
        <v>265.83999999999997</v>
      </c>
      <c r="L71" s="134">
        <v>32.979999999999997</v>
      </c>
      <c r="M71" s="134">
        <v>57.76</v>
      </c>
      <c r="N71" s="134">
        <v>400.8</v>
      </c>
      <c r="O71" s="134">
        <v>0</v>
      </c>
      <c r="P71" s="134">
        <v>0.36</v>
      </c>
      <c r="Q71" s="134">
        <v>4.22</v>
      </c>
    </row>
    <row r="72" spans="1:17" customFormat="1">
      <c r="A72" s="112" t="s">
        <v>1357</v>
      </c>
      <c r="B72" s="134">
        <v>7.31</v>
      </c>
      <c r="C72" s="134">
        <v>21.26</v>
      </c>
      <c r="D72" s="134">
        <v>15.93</v>
      </c>
      <c r="E72" s="134">
        <v>9.1</v>
      </c>
      <c r="F72" s="134">
        <v>7.56</v>
      </c>
      <c r="G72" s="134">
        <v>42.51</v>
      </c>
      <c r="H72" s="134">
        <v>8.99</v>
      </c>
      <c r="I72" s="134">
        <v>3.21</v>
      </c>
      <c r="J72" s="134">
        <v>0.86</v>
      </c>
      <c r="K72" s="134">
        <v>267.77</v>
      </c>
      <c r="L72" s="134">
        <v>32.35</v>
      </c>
      <c r="M72" s="134">
        <v>59.27</v>
      </c>
      <c r="N72" s="134">
        <v>223.6</v>
      </c>
      <c r="O72" s="134">
        <v>0</v>
      </c>
      <c r="P72" s="134">
        <v>0.36</v>
      </c>
      <c r="Q72" s="134">
        <v>4.1900000000000004</v>
      </c>
    </row>
    <row r="73" spans="1:17" customFormat="1">
      <c r="A73" s="112" t="s">
        <v>1358</v>
      </c>
      <c r="B73" s="134">
        <v>6.88</v>
      </c>
      <c r="C73" s="134">
        <v>20.41</v>
      </c>
      <c r="D73" s="134">
        <v>15.14</v>
      </c>
      <c r="E73" s="134">
        <v>9.17</v>
      </c>
      <c r="F73" s="134">
        <v>8.86</v>
      </c>
      <c r="G73" s="134">
        <v>39.56</v>
      </c>
      <c r="H73" s="134">
        <v>7.61</v>
      </c>
      <c r="I73" s="134">
        <v>3.23</v>
      </c>
      <c r="J73" s="134">
        <v>0.87</v>
      </c>
      <c r="K73" s="134">
        <v>259.24</v>
      </c>
      <c r="L73" s="134">
        <v>31.78</v>
      </c>
      <c r="M73" s="134">
        <v>61.51</v>
      </c>
      <c r="N73" s="134">
        <v>167</v>
      </c>
      <c r="O73" s="134">
        <v>0</v>
      </c>
      <c r="P73" s="134">
        <v>0.35</v>
      </c>
      <c r="Q73" s="134">
        <v>4.21</v>
      </c>
    </row>
    <row r="74" spans="1:17" customFormat="1">
      <c r="A74" s="112" t="s">
        <v>1359</v>
      </c>
      <c r="B74" s="134">
        <v>6.4</v>
      </c>
      <c r="C74" s="134">
        <v>19.55</v>
      </c>
      <c r="D74" s="134">
        <v>14.3</v>
      </c>
      <c r="E74" s="134">
        <v>8.6999999999999993</v>
      </c>
      <c r="F74" s="134">
        <v>8.65</v>
      </c>
      <c r="G74" s="134">
        <v>38.36</v>
      </c>
      <c r="H74" s="134">
        <v>7.54</v>
      </c>
      <c r="I74" s="134">
        <v>3.24</v>
      </c>
      <c r="J74" s="134">
        <v>0.9</v>
      </c>
      <c r="K74" s="134">
        <v>263.76</v>
      </c>
      <c r="L74" s="134">
        <v>31.45</v>
      </c>
      <c r="M74" s="134">
        <v>63.07</v>
      </c>
      <c r="N74" s="134">
        <v>104.5</v>
      </c>
      <c r="O74" s="134">
        <v>0</v>
      </c>
      <c r="P74" s="134">
        <v>0.33</v>
      </c>
      <c r="Q74" s="134">
        <v>4.18</v>
      </c>
    </row>
    <row r="75" spans="1:17" customFormat="1">
      <c r="A75" s="112" t="s">
        <v>1360</v>
      </c>
      <c r="B75" s="134">
        <v>6.2</v>
      </c>
      <c r="C75" s="134">
        <v>19.690000000000001</v>
      </c>
      <c r="D75" s="134">
        <v>14.22</v>
      </c>
      <c r="E75" s="134">
        <v>7.92</v>
      </c>
      <c r="F75" s="134">
        <v>8.7100000000000009</v>
      </c>
      <c r="G75" s="134">
        <v>38.36</v>
      </c>
      <c r="H75" s="134">
        <v>7.54</v>
      </c>
      <c r="I75" s="134">
        <v>3.17</v>
      </c>
      <c r="J75" s="134">
        <v>0.96</v>
      </c>
      <c r="K75" s="134">
        <v>265.58999999999997</v>
      </c>
      <c r="L75" s="134">
        <v>31.13</v>
      </c>
      <c r="M75" s="134">
        <v>63.33</v>
      </c>
      <c r="N75" s="134">
        <v>89.9</v>
      </c>
      <c r="O75" s="134">
        <v>0</v>
      </c>
      <c r="P75" s="134">
        <v>0.34</v>
      </c>
      <c r="Q75" s="134">
        <v>4.1399999999999997</v>
      </c>
    </row>
    <row r="76" spans="1:17" customFormat="1">
      <c r="A76" s="112" t="s">
        <v>1361</v>
      </c>
      <c r="B76" s="134">
        <v>5.95</v>
      </c>
      <c r="C76" s="134">
        <v>19.32</v>
      </c>
      <c r="D76" s="134">
        <v>13.82</v>
      </c>
      <c r="E76" s="134">
        <v>7.87</v>
      </c>
      <c r="F76" s="134">
        <v>9.3800000000000008</v>
      </c>
      <c r="G76" s="134">
        <v>38.36</v>
      </c>
      <c r="H76" s="134">
        <v>7.54</v>
      </c>
      <c r="I76" s="134">
        <v>3.02</v>
      </c>
      <c r="J76" s="134">
        <v>0.84</v>
      </c>
      <c r="K76" s="134">
        <v>265.43</v>
      </c>
      <c r="L76" s="134">
        <v>31.03</v>
      </c>
      <c r="M76" s="134">
        <v>63.85</v>
      </c>
      <c r="N76" s="134">
        <v>70.8</v>
      </c>
      <c r="O76" s="134">
        <v>0</v>
      </c>
      <c r="P76" s="134">
        <v>0.33</v>
      </c>
      <c r="Q76" s="134">
        <v>4.1500000000000004</v>
      </c>
    </row>
    <row r="77" spans="1:17" customFormat="1">
      <c r="A77" s="112" t="s">
        <v>1362</v>
      </c>
      <c r="B77" s="134">
        <v>5.72</v>
      </c>
      <c r="C77" s="134">
        <v>19.309999999999999</v>
      </c>
      <c r="D77" s="134">
        <v>13.63</v>
      </c>
      <c r="E77" s="134">
        <v>7.78</v>
      </c>
      <c r="F77" s="134">
        <v>8.25</v>
      </c>
      <c r="G77" s="134">
        <v>37.47</v>
      </c>
      <c r="H77" s="134">
        <v>7.97</v>
      </c>
      <c r="I77" s="134">
        <v>2.98</v>
      </c>
      <c r="J77" s="134">
        <v>0.98</v>
      </c>
      <c r="K77" s="134">
        <v>265.06</v>
      </c>
      <c r="L77" s="134">
        <v>30.79</v>
      </c>
      <c r="M77" s="134">
        <v>64</v>
      </c>
      <c r="N77" s="134">
        <v>59.8</v>
      </c>
      <c r="O77" s="134">
        <v>0</v>
      </c>
      <c r="P77" s="134">
        <v>0.33</v>
      </c>
      <c r="Q77" s="134">
        <v>4.12</v>
      </c>
    </row>
    <row r="78" spans="1:17" customFormat="1">
      <c r="A78" s="112" t="s">
        <v>1363</v>
      </c>
      <c r="B78" s="134">
        <v>5.61</v>
      </c>
      <c r="C78" s="134">
        <v>19.09</v>
      </c>
      <c r="D78" s="134">
        <v>13.43</v>
      </c>
      <c r="E78" s="134">
        <v>8.16</v>
      </c>
      <c r="F78" s="134">
        <v>9.19</v>
      </c>
      <c r="G78" s="134">
        <v>37.1</v>
      </c>
      <c r="H78" s="134">
        <v>7.99</v>
      </c>
      <c r="I78" s="134">
        <v>2.9</v>
      </c>
      <c r="J78" s="134">
        <v>0.77</v>
      </c>
      <c r="K78" s="134">
        <v>263.99</v>
      </c>
      <c r="L78" s="134">
        <v>30.59</v>
      </c>
      <c r="M78" s="134">
        <v>64.45</v>
      </c>
      <c r="N78" s="134">
        <v>41.2</v>
      </c>
      <c r="O78" s="134">
        <v>0</v>
      </c>
      <c r="P78" s="134">
        <v>0.33</v>
      </c>
      <c r="Q78" s="134">
        <v>4.08</v>
      </c>
    </row>
    <row r="79" spans="1:17" customFormat="1">
      <c r="A79" s="112" t="s">
        <v>1364</v>
      </c>
      <c r="B79" s="134">
        <v>5.52</v>
      </c>
      <c r="C79" s="134">
        <v>19.05</v>
      </c>
      <c r="D79" s="134">
        <v>13.34</v>
      </c>
      <c r="E79" s="134">
        <v>7.81</v>
      </c>
      <c r="F79" s="134">
        <v>8.4</v>
      </c>
      <c r="G79" s="134">
        <v>37.1</v>
      </c>
      <c r="H79" s="134">
        <v>7.99</v>
      </c>
      <c r="I79" s="134">
        <v>2.89</v>
      </c>
      <c r="J79" s="134">
        <v>0.94</v>
      </c>
      <c r="K79" s="134">
        <v>262.89999999999998</v>
      </c>
      <c r="L79" s="134">
        <v>30.55</v>
      </c>
      <c r="M79" s="134">
        <v>63.11</v>
      </c>
      <c r="N79" s="134">
        <v>31.4</v>
      </c>
      <c r="O79" s="134">
        <v>0</v>
      </c>
      <c r="P79" s="134">
        <v>0.33</v>
      </c>
      <c r="Q79" s="134">
        <v>4.08</v>
      </c>
    </row>
    <row r="80" spans="1:17" customFormat="1">
      <c r="A80" s="112" t="s">
        <v>1365</v>
      </c>
      <c r="B80" s="134">
        <v>5.46</v>
      </c>
      <c r="C80" s="134">
        <v>18.239999999999998</v>
      </c>
      <c r="D80" s="134">
        <v>12.86</v>
      </c>
      <c r="E80" s="134">
        <v>7.98</v>
      </c>
      <c r="F80" s="134">
        <v>10.06</v>
      </c>
      <c r="G80" s="134">
        <v>37.1</v>
      </c>
      <c r="H80" s="134">
        <v>7.99</v>
      </c>
      <c r="I80" s="134">
        <v>2.86</v>
      </c>
      <c r="J80" s="134">
        <v>0.78</v>
      </c>
      <c r="K80" s="134">
        <v>265.55</v>
      </c>
      <c r="L80" s="134">
        <v>30.36</v>
      </c>
      <c r="M80" s="134">
        <v>63.58</v>
      </c>
      <c r="N80" s="134">
        <v>24</v>
      </c>
      <c r="O80" s="134">
        <v>0</v>
      </c>
      <c r="P80" s="134">
        <v>0.32</v>
      </c>
      <c r="Q80" s="134">
        <v>4.09</v>
      </c>
    </row>
    <row r="81" spans="1:17" customFormat="1">
      <c r="A81" s="112" t="s">
        <v>1366</v>
      </c>
      <c r="B81" s="134">
        <v>5.77</v>
      </c>
      <c r="C81" s="134">
        <v>20.98</v>
      </c>
      <c r="D81" s="134">
        <v>14.54</v>
      </c>
      <c r="E81" s="134">
        <v>5.07</v>
      </c>
      <c r="F81" s="134">
        <v>4.33</v>
      </c>
      <c r="G81" s="134">
        <v>32.85</v>
      </c>
      <c r="H81" s="134">
        <v>10.16</v>
      </c>
      <c r="I81" s="134">
        <v>2.83</v>
      </c>
      <c r="J81" s="134">
        <v>0.89</v>
      </c>
      <c r="K81" s="134">
        <v>264.70999999999998</v>
      </c>
      <c r="L81" s="134">
        <v>30.3</v>
      </c>
      <c r="M81" s="134">
        <v>62.8</v>
      </c>
      <c r="N81" s="134">
        <v>9.8000000000000007</v>
      </c>
      <c r="O81" s="134">
        <v>0</v>
      </c>
      <c r="P81" s="134">
        <v>0.36</v>
      </c>
      <c r="Q81" s="134">
        <v>4.13</v>
      </c>
    </row>
    <row r="82" spans="1:17" customFormat="1">
      <c r="A82" s="112" t="s">
        <v>1367</v>
      </c>
      <c r="B82" s="134">
        <v>5.82</v>
      </c>
      <c r="C82" s="134">
        <v>23.55</v>
      </c>
      <c r="D82" s="134">
        <v>15.93</v>
      </c>
      <c r="E82" s="134">
        <v>6.67</v>
      </c>
      <c r="F82" s="134">
        <v>2.81</v>
      </c>
      <c r="G82" s="134">
        <v>31.13</v>
      </c>
      <c r="H82" s="134">
        <v>10.26</v>
      </c>
      <c r="I82" s="134">
        <v>2.84</v>
      </c>
      <c r="J82" s="134">
        <v>0.96</v>
      </c>
      <c r="K82" s="134">
        <v>263.77999999999997</v>
      </c>
      <c r="L82" s="134">
        <v>30.13</v>
      </c>
      <c r="M82" s="134">
        <v>63.26</v>
      </c>
      <c r="N82" s="134">
        <v>0.2</v>
      </c>
      <c r="O82" s="134">
        <v>0</v>
      </c>
      <c r="P82" s="134">
        <v>0.4</v>
      </c>
      <c r="Q82" s="134">
        <v>4.16</v>
      </c>
    </row>
    <row r="83" spans="1:17" customFormat="1">
      <c r="A83" s="112" t="s">
        <v>1368</v>
      </c>
      <c r="B83" s="134">
        <v>5.59</v>
      </c>
      <c r="C83" s="134">
        <v>23.33</v>
      </c>
      <c r="D83" s="134">
        <v>15.63</v>
      </c>
      <c r="E83" s="134">
        <v>6.98</v>
      </c>
      <c r="F83" s="134">
        <v>5.29</v>
      </c>
      <c r="G83" s="134">
        <v>31.13</v>
      </c>
      <c r="H83" s="134">
        <v>10.26</v>
      </c>
      <c r="I83" s="134">
        <v>3.11</v>
      </c>
      <c r="J83" s="134">
        <v>0.64</v>
      </c>
      <c r="K83" s="134">
        <v>268.89999999999998</v>
      </c>
      <c r="L83" s="134">
        <v>29.86</v>
      </c>
      <c r="M83" s="134">
        <v>64.349999999999994</v>
      </c>
      <c r="N83" s="134">
        <v>0</v>
      </c>
      <c r="O83" s="134">
        <v>0</v>
      </c>
      <c r="P83" s="134">
        <v>0.4</v>
      </c>
      <c r="Q83" s="134">
        <v>4.18</v>
      </c>
    </row>
    <row r="84" spans="1:17" customFormat="1">
      <c r="A84" s="112" t="s">
        <v>1369</v>
      </c>
      <c r="B84" s="134">
        <v>5.67</v>
      </c>
      <c r="C84" s="134">
        <v>20.010000000000002</v>
      </c>
      <c r="D84" s="134">
        <v>13.96</v>
      </c>
      <c r="E84" s="134">
        <v>7.26</v>
      </c>
      <c r="F84" s="134">
        <v>9.4</v>
      </c>
      <c r="G84" s="134">
        <v>31.13</v>
      </c>
      <c r="H84" s="134">
        <v>10.26</v>
      </c>
      <c r="I84" s="134">
        <v>3.15</v>
      </c>
      <c r="J84" s="134">
        <v>0.9</v>
      </c>
      <c r="K84" s="134">
        <v>269.75</v>
      </c>
      <c r="L84" s="134">
        <v>29.78</v>
      </c>
      <c r="M84" s="134">
        <v>64.12</v>
      </c>
      <c r="N84" s="134">
        <v>0</v>
      </c>
      <c r="O84" s="134">
        <v>0</v>
      </c>
      <c r="P84" s="134">
        <v>0.35</v>
      </c>
      <c r="Q84" s="134">
        <v>4.12</v>
      </c>
    </row>
    <row r="85" spans="1:17" customFormat="1">
      <c r="A85" s="112" t="s">
        <v>1370</v>
      </c>
      <c r="B85" s="134">
        <v>5.38</v>
      </c>
      <c r="C85" s="134">
        <v>18.100000000000001</v>
      </c>
      <c r="D85" s="134">
        <v>12.73</v>
      </c>
      <c r="E85" s="134">
        <v>7.53</v>
      </c>
      <c r="F85" s="134">
        <v>12.81</v>
      </c>
      <c r="G85" s="134">
        <v>30.93</v>
      </c>
      <c r="H85" s="134">
        <v>8.1999999999999993</v>
      </c>
      <c r="I85" s="134">
        <v>2.98</v>
      </c>
      <c r="J85" s="134">
        <v>0.7</v>
      </c>
      <c r="K85" s="134">
        <v>264.43</v>
      </c>
      <c r="L85" s="134">
        <v>29.71</v>
      </c>
      <c r="M85" s="134">
        <v>65.06</v>
      </c>
      <c r="N85" s="134">
        <v>0</v>
      </c>
      <c r="O85" s="134">
        <v>0</v>
      </c>
      <c r="P85" s="134">
        <v>0.32</v>
      </c>
      <c r="Q85" s="134">
        <v>4.12</v>
      </c>
    </row>
    <row r="86" spans="1:17" customFormat="1">
      <c r="A86" s="112" t="s">
        <v>1371</v>
      </c>
      <c r="B86" s="134">
        <v>5.39</v>
      </c>
      <c r="C86" s="134">
        <v>19.27</v>
      </c>
      <c r="D86" s="134">
        <v>13.34</v>
      </c>
      <c r="E86" s="134">
        <v>7.59</v>
      </c>
      <c r="F86" s="134">
        <v>10.210000000000001</v>
      </c>
      <c r="G86" s="134">
        <v>30.85</v>
      </c>
      <c r="H86" s="134">
        <v>8.11</v>
      </c>
      <c r="I86" s="134">
        <v>2.8</v>
      </c>
      <c r="J86" s="134">
        <v>0.63</v>
      </c>
      <c r="K86" s="134">
        <v>264.02</v>
      </c>
      <c r="L86" s="134">
        <v>29.58</v>
      </c>
      <c r="M86" s="134">
        <v>65.92</v>
      </c>
      <c r="N86" s="134">
        <v>0</v>
      </c>
      <c r="O86" s="134">
        <v>0</v>
      </c>
      <c r="P86" s="134">
        <v>0.33</v>
      </c>
      <c r="Q86" s="134">
        <v>4.1100000000000003</v>
      </c>
    </row>
    <row r="87" spans="1:17" customFormat="1">
      <c r="A87" s="112" t="s">
        <v>1372</v>
      </c>
      <c r="B87" s="134">
        <v>5.34</v>
      </c>
      <c r="C87" s="134">
        <v>19.329999999999998</v>
      </c>
      <c r="D87" s="134">
        <v>13.33</v>
      </c>
      <c r="E87" s="134">
        <v>8.0500000000000007</v>
      </c>
      <c r="F87" s="134">
        <v>11.48</v>
      </c>
      <c r="G87" s="134">
        <v>30.85</v>
      </c>
      <c r="H87" s="134">
        <v>8.11</v>
      </c>
      <c r="I87" s="134">
        <v>2.79</v>
      </c>
      <c r="J87" s="134">
        <v>0.59</v>
      </c>
      <c r="K87" s="134">
        <v>266.51</v>
      </c>
      <c r="L87" s="134">
        <v>29.48</v>
      </c>
      <c r="M87" s="134">
        <v>66.5</v>
      </c>
      <c r="N87" s="134">
        <v>0</v>
      </c>
      <c r="O87" s="134">
        <v>0</v>
      </c>
      <c r="P87" s="134">
        <v>0.34</v>
      </c>
      <c r="Q87" s="134">
        <v>4.0999999999999996</v>
      </c>
    </row>
    <row r="88" spans="1:17" customFormat="1">
      <c r="A88" s="112" t="s">
        <v>1373</v>
      </c>
      <c r="B88" s="134">
        <v>5.41</v>
      </c>
      <c r="C88" s="134">
        <v>20.04</v>
      </c>
      <c r="D88" s="134">
        <v>13.76</v>
      </c>
      <c r="E88" s="134">
        <v>7.99</v>
      </c>
      <c r="F88" s="134">
        <v>10.029999999999999</v>
      </c>
      <c r="G88" s="134">
        <v>30.85</v>
      </c>
      <c r="H88" s="134">
        <v>8.11</v>
      </c>
      <c r="I88" s="134">
        <v>2.99</v>
      </c>
      <c r="J88" s="134">
        <v>0.73</v>
      </c>
      <c r="K88" s="134">
        <v>270.52</v>
      </c>
      <c r="L88" s="134">
        <v>29.43</v>
      </c>
      <c r="M88" s="134">
        <v>66.61</v>
      </c>
      <c r="N88" s="134">
        <v>0</v>
      </c>
      <c r="O88" s="134">
        <v>0</v>
      </c>
      <c r="P88" s="134">
        <v>0.36</v>
      </c>
      <c r="Q88" s="134">
        <v>4.13</v>
      </c>
    </row>
    <row r="89" spans="1:17" customFormat="1">
      <c r="A89" s="112" t="s">
        <v>1374</v>
      </c>
      <c r="B89" s="134">
        <v>5.62</v>
      </c>
      <c r="C89" s="134">
        <v>21.24</v>
      </c>
      <c r="D89" s="134">
        <v>14.56</v>
      </c>
      <c r="E89" s="134">
        <v>8.27</v>
      </c>
      <c r="F89" s="134">
        <v>7.01</v>
      </c>
      <c r="G89" s="134">
        <v>33.67</v>
      </c>
      <c r="H89" s="134">
        <v>11.32</v>
      </c>
      <c r="I89" s="134">
        <v>3.15</v>
      </c>
      <c r="J89" s="134">
        <v>0.76</v>
      </c>
      <c r="K89" s="134">
        <v>264.39999999999998</v>
      </c>
      <c r="L89" s="134">
        <v>29.42</v>
      </c>
      <c r="M89" s="134">
        <v>66.19</v>
      </c>
      <c r="N89" s="134">
        <v>0</v>
      </c>
      <c r="O89" s="134">
        <v>0</v>
      </c>
      <c r="P89" s="134">
        <v>0.38</v>
      </c>
      <c r="Q89" s="134">
        <v>4.16</v>
      </c>
    </row>
    <row r="90" spans="1:17" customFormat="1">
      <c r="A90" s="112" t="s">
        <v>1375</v>
      </c>
      <c r="B90" s="134">
        <v>5.98</v>
      </c>
      <c r="C90" s="134">
        <v>23.57</v>
      </c>
      <c r="D90" s="134">
        <v>16.059999999999999</v>
      </c>
      <c r="E90" s="134">
        <v>8.36</v>
      </c>
      <c r="F90" s="134">
        <v>6.59</v>
      </c>
      <c r="G90" s="134">
        <v>34.82</v>
      </c>
      <c r="H90" s="134">
        <v>11.56</v>
      </c>
      <c r="I90" s="134">
        <v>3.18</v>
      </c>
      <c r="J90" s="134">
        <v>0.68</v>
      </c>
      <c r="K90" s="134">
        <v>265.19</v>
      </c>
      <c r="L90" s="134">
        <v>29.34</v>
      </c>
      <c r="M90" s="134">
        <v>66.680000000000007</v>
      </c>
      <c r="N90" s="134">
        <v>0</v>
      </c>
      <c r="O90" s="134">
        <v>0</v>
      </c>
      <c r="P90" s="134">
        <v>0.4</v>
      </c>
      <c r="Q90" s="134">
        <v>4.2300000000000004</v>
      </c>
    </row>
    <row r="91" spans="1:17" customFormat="1">
      <c r="A91" s="112" t="s">
        <v>1376</v>
      </c>
      <c r="B91" s="134">
        <v>5.84</v>
      </c>
      <c r="C91" s="134">
        <v>21.97</v>
      </c>
      <c r="D91" s="134">
        <v>15.11</v>
      </c>
      <c r="E91" s="134">
        <v>9.1300000000000008</v>
      </c>
      <c r="F91" s="134">
        <v>10.86</v>
      </c>
      <c r="G91" s="134">
        <v>34.82</v>
      </c>
      <c r="H91" s="134">
        <v>11.56</v>
      </c>
      <c r="I91" s="134">
        <v>3.29</v>
      </c>
      <c r="J91" s="134">
        <v>0.38</v>
      </c>
      <c r="K91" s="134">
        <v>260.13</v>
      </c>
      <c r="L91" s="134">
        <v>29.07</v>
      </c>
      <c r="M91" s="134">
        <v>69.12</v>
      </c>
      <c r="N91" s="134">
        <v>0</v>
      </c>
      <c r="O91" s="134">
        <v>0</v>
      </c>
      <c r="P91" s="134">
        <v>0.42</v>
      </c>
      <c r="Q91" s="134">
        <v>4.1900000000000004</v>
      </c>
    </row>
    <row r="92" spans="1:17" customFormat="1">
      <c r="A92" s="112" t="s">
        <v>1377</v>
      </c>
      <c r="B92" s="134">
        <v>5.62</v>
      </c>
      <c r="C92" s="134">
        <v>20.64</v>
      </c>
      <c r="D92" s="134">
        <v>14.25</v>
      </c>
      <c r="E92" s="134">
        <v>9.85</v>
      </c>
      <c r="F92" s="134">
        <v>12.51</v>
      </c>
      <c r="G92" s="134">
        <v>34.82</v>
      </c>
      <c r="H92" s="134">
        <v>11.56</v>
      </c>
      <c r="I92" s="134">
        <v>3.41</v>
      </c>
      <c r="J92" s="134">
        <v>0.42</v>
      </c>
      <c r="K92" s="134">
        <v>258.75</v>
      </c>
      <c r="L92" s="134">
        <v>28.7</v>
      </c>
      <c r="M92" s="134">
        <v>71.98</v>
      </c>
      <c r="N92" s="134">
        <v>0</v>
      </c>
      <c r="O92" s="134">
        <v>0</v>
      </c>
      <c r="P92" s="134">
        <v>0.46</v>
      </c>
      <c r="Q92" s="134">
        <v>4.18</v>
      </c>
    </row>
    <row r="93" spans="1:17" customFormat="1">
      <c r="A93" s="112" t="s">
        <v>1378</v>
      </c>
      <c r="B93" s="134">
        <v>5.59</v>
      </c>
      <c r="C93" s="134">
        <v>19.18</v>
      </c>
      <c r="D93" s="134">
        <v>13.46</v>
      </c>
      <c r="E93" s="134">
        <v>9.08</v>
      </c>
      <c r="F93" s="134">
        <v>14.51</v>
      </c>
      <c r="G93" s="134">
        <v>38.94</v>
      </c>
      <c r="H93" s="134">
        <v>12.62</v>
      </c>
      <c r="I93" s="134">
        <v>3.8</v>
      </c>
      <c r="J93" s="134">
        <v>0.43</v>
      </c>
      <c r="K93" s="134">
        <v>257.19</v>
      </c>
      <c r="L93" s="134">
        <v>28.56</v>
      </c>
      <c r="M93" s="134">
        <v>73.83</v>
      </c>
      <c r="N93" s="134">
        <v>0</v>
      </c>
      <c r="O93" s="134">
        <v>0</v>
      </c>
      <c r="P93" s="134">
        <v>0.4</v>
      </c>
      <c r="Q93" s="134">
        <v>4.18</v>
      </c>
    </row>
    <row r="94" spans="1:17" customFormat="1">
      <c r="A94" s="112" t="s">
        <v>1379</v>
      </c>
      <c r="B94" s="134">
        <v>6.07</v>
      </c>
      <c r="C94" s="134">
        <v>20.100000000000001</v>
      </c>
      <c r="D94" s="134">
        <v>14.33</v>
      </c>
      <c r="E94" s="134">
        <v>8.49</v>
      </c>
      <c r="F94" s="134">
        <v>7.86</v>
      </c>
      <c r="G94" s="134">
        <v>40.619999999999997</v>
      </c>
      <c r="H94" s="134">
        <v>12.67</v>
      </c>
      <c r="I94" s="134">
        <v>4.3099999999999996</v>
      </c>
      <c r="J94" s="134">
        <v>0.36</v>
      </c>
      <c r="K94" s="134">
        <v>260.77999999999997</v>
      </c>
      <c r="L94" s="134">
        <v>28.41</v>
      </c>
      <c r="M94" s="134">
        <v>75.44</v>
      </c>
      <c r="N94" s="134">
        <v>0</v>
      </c>
      <c r="O94" s="134">
        <v>0</v>
      </c>
      <c r="P94" s="134">
        <v>0.4</v>
      </c>
      <c r="Q94" s="134">
        <v>4.18</v>
      </c>
    </row>
    <row r="95" spans="1:17" customFormat="1">
      <c r="A95" s="112" t="s">
        <v>1380</v>
      </c>
      <c r="B95" s="134">
        <v>6.43</v>
      </c>
      <c r="C95" s="134">
        <v>22.64</v>
      </c>
      <c r="D95" s="134">
        <v>15.94</v>
      </c>
      <c r="E95" s="134">
        <v>8.7799999999999994</v>
      </c>
      <c r="F95" s="134">
        <v>5.94</v>
      </c>
      <c r="G95" s="134">
        <v>40.619999999999997</v>
      </c>
      <c r="H95" s="134">
        <v>12.67</v>
      </c>
      <c r="I95" s="134">
        <v>3.73</v>
      </c>
      <c r="J95" s="134">
        <v>0.32</v>
      </c>
      <c r="K95" s="134">
        <v>253.84</v>
      </c>
      <c r="L95" s="134">
        <v>28.25</v>
      </c>
      <c r="M95" s="134">
        <v>77.290000000000006</v>
      </c>
      <c r="N95" s="134">
        <v>0</v>
      </c>
      <c r="O95" s="134">
        <v>0</v>
      </c>
      <c r="P95" s="134">
        <v>0.42</v>
      </c>
      <c r="Q95" s="134">
        <v>4.24</v>
      </c>
    </row>
    <row r="96" spans="1:17" customFormat="1">
      <c r="A96" s="112" t="s">
        <v>1381</v>
      </c>
      <c r="B96" s="134">
        <v>6.32</v>
      </c>
      <c r="C96" s="134">
        <v>20.239999999999998</v>
      </c>
      <c r="D96" s="134">
        <v>14.6</v>
      </c>
      <c r="E96" s="134">
        <v>7.66</v>
      </c>
      <c r="F96" s="134">
        <v>9.4499999999999993</v>
      </c>
      <c r="G96" s="134">
        <v>40.619999999999997</v>
      </c>
      <c r="H96" s="134">
        <v>12.67</v>
      </c>
      <c r="I96" s="134">
        <v>3.57</v>
      </c>
      <c r="J96" s="134">
        <v>0.33</v>
      </c>
      <c r="K96" s="134">
        <v>258.37</v>
      </c>
      <c r="L96" s="134">
        <v>28.05</v>
      </c>
      <c r="M96" s="134">
        <v>78.86</v>
      </c>
      <c r="N96" s="134">
        <v>0</v>
      </c>
      <c r="O96" s="134">
        <v>0</v>
      </c>
      <c r="P96" s="134">
        <v>0.4</v>
      </c>
      <c r="Q96" s="134">
        <v>4.22</v>
      </c>
    </row>
    <row r="97" spans="1:22" customFormat="1">
      <c r="A97" s="112" t="s">
        <v>1382</v>
      </c>
      <c r="B97" s="134">
        <v>6.23</v>
      </c>
      <c r="C97" s="134">
        <v>18.579999999999998</v>
      </c>
      <c r="D97" s="134">
        <v>13.66</v>
      </c>
      <c r="E97" s="134">
        <v>7.55</v>
      </c>
      <c r="F97" s="134">
        <v>12.02</v>
      </c>
      <c r="G97" s="134">
        <v>40.32</v>
      </c>
      <c r="H97" s="134">
        <v>14.19</v>
      </c>
      <c r="I97" s="134">
        <v>3.6</v>
      </c>
      <c r="J97" s="134">
        <v>0.49</v>
      </c>
      <c r="K97" s="134">
        <v>254.97</v>
      </c>
      <c r="L97" s="134">
        <v>28.03</v>
      </c>
      <c r="M97" s="134">
        <v>79.31</v>
      </c>
      <c r="N97" s="134">
        <v>0</v>
      </c>
      <c r="O97" s="134">
        <v>0</v>
      </c>
      <c r="P97" s="134">
        <v>0.39</v>
      </c>
      <c r="Q97" s="134">
        <v>4.2</v>
      </c>
    </row>
    <row r="98" spans="1:22" customFormat="1">
      <c r="A98" s="112" t="s">
        <v>1383</v>
      </c>
      <c r="B98" s="134">
        <v>6.29</v>
      </c>
      <c r="C98" s="134">
        <v>17.96</v>
      </c>
      <c r="D98" s="134">
        <v>13.39</v>
      </c>
      <c r="E98" s="134">
        <v>7.6</v>
      </c>
      <c r="F98" s="134">
        <v>10.210000000000001</v>
      </c>
      <c r="G98" s="134">
        <v>40.200000000000003</v>
      </c>
      <c r="H98" s="134">
        <v>14.27</v>
      </c>
      <c r="I98" s="134">
        <v>3.41</v>
      </c>
      <c r="J98" s="134">
        <v>0.47</v>
      </c>
      <c r="K98" s="134">
        <v>257.93</v>
      </c>
      <c r="L98" s="134">
        <v>27.95</v>
      </c>
      <c r="M98" s="134">
        <v>79.41</v>
      </c>
      <c r="N98" s="134">
        <v>0</v>
      </c>
      <c r="O98" s="134">
        <v>0</v>
      </c>
      <c r="P98" s="134">
        <v>0.38</v>
      </c>
      <c r="Q98" s="134">
        <v>4.18</v>
      </c>
    </row>
    <row r="99" spans="1:22" customFormat="1">
      <c r="A99" s="112" t="s">
        <v>1384</v>
      </c>
      <c r="B99" s="134">
        <v>6.59</v>
      </c>
      <c r="C99" s="134">
        <v>19.079999999999998</v>
      </c>
      <c r="D99" s="134">
        <v>14.2</v>
      </c>
      <c r="E99" s="134">
        <v>7.49</v>
      </c>
      <c r="F99" s="134">
        <v>6.1</v>
      </c>
      <c r="G99" s="134">
        <v>40.200000000000003</v>
      </c>
      <c r="H99" s="134">
        <v>14.27</v>
      </c>
      <c r="I99" s="134">
        <v>3.36</v>
      </c>
      <c r="J99" s="134">
        <v>0.46</v>
      </c>
      <c r="K99" s="134">
        <v>261.89</v>
      </c>
      <c r="L99" s="134">
        <v>27.97</v>
      </c>
      <c r="M99" s="134">
        <v>78.58</v>
      </c>
      <c r="N99" s="134">
        <v>0</v>
      </c>
      <c r="O99" s="134">
        <v>0</v>
      </c>
      <c r="P99" s="134">
        <v>0.39</v>
      </c>
      <c r="Q99" s="134">
        <v>4.18</v>
      </c>
    </row>
    <row r="100" spans="1:22" customFormat="1">
      <c r="A100" s="112" t="s">
        <v>1385</v>
      </c>
      <c r="B100" s="134">
        <v>7.23</v>
      </c>
      <c r="C100" s="134">
        <v>22.95</v>
      </c>
      <c r="D100" s="134">
        <v>16.739999999999998</v>
      </c>
      <c r="E100" s="134">
        <v>8.48</v>
      </c>
      <c r="F100" s="134">
        <v>3.48</v>
      </c>
      <c r="G100" s="134">
        <v>40.200000000000003</v>
      </c>
      <c r="H100" s="134">
        <v>14.27</v>
      </c>
      <c r="I100" s="134">
        <v>3.31</v>
      </c>
      <c r="J100" s="134">
        <v>0.44</v>
      </c>
      <c r="K100" s="134">
        <v>262.56</v>
      </c>
      <c r="L100" s="134">
        <v>27.96</v>
      </c>
      <c r="M100" s="134">
        <v>77.900000000000006</v>
      </c>
      <c r="N100" s="134">
        <v>0</v>
      </c>
      <c r="O100" s="134">
        <v>0</v>
      </c>
      <c r="P100" s="134">
        <v>0.42</v>
      </c>
      <c r="Q100" s="134">
        <v>4.25</v>
      </c>
    </row>
    <row r="101" spans="1:22" customFormat="1">
      <c r="A101" s="112" t="s">
        <v>1386</v>
      </c>
      <c r="B101" s="134">
        <v>7.21</v>
      </c>
      <c r="C101" s="134">
        <v>20.88</v>
      </c>
      <c r="D101" s="134">
        <v>15.65</v>
      </c>
      <c r="E101" s="134">
        <v>8.25</v>
      </c>
      <c r="F101" s="134">
        <v>7.39</v>
      </c>
      <c r="G101" s="134">
        <v>36.79</v>
      </c>
      <c r="H101" s="134">
        <v>10.61</v>
      </c>
      <c r="I101" s="134">
        <v>3.44</v>
      </c>
      <c r="J101" s="134">
        <v>0.48</v>
      </c>
      <c r="K101" s="134">
        <v>257.94</v>
      </c>
      <c r="L101" s="134">
        <v>27.94</v>
      </c>
      <c r="M101" s="134">
        <v>77.33</v>
      </c>
      <c r="N101" s="134">
        <v>0</v>
      </c>
      <c r="O101" s="134">
        <v>0</v>
      </c>
      <c r="P101" s="134">
        <v>0.4</v>
      </c>
      <c r="Q101" s="134">
        <v>4.25</v>
      </c>
    </row>
    <row r="102" spans="1:22" customFormat="1">
      <c r="A102" s="112" t="s">
        <v>1387</v>
      </c>
      <c r="B102" s="134">
        <v>7.7</v>
      </c>
      <c r="C102" s="134">
        <v>21.21</v>
      </c>
      <c r="D102" s="134">
        <v>16.21</v>
      </c>
      <c r="E102" s="134">
        <v>7.43</v>
      </c>
      <c r="F102" s="134">
        <v>4.71</v>
      </c>
      <c r="G102" s="134">
        <v>35.4</v>
      </c>
      <c r="H102" s="134">
        <v>10.44</v>
      </c>
      <c r="I102" s="134">
        <v>3.61</v>
      </c>
      <c r="J102" s="134">
        <v>0.35</v>
      </c>
      <c r="K102" s="134">
        <v>260.19</v>
      </c>
      <c r="L102" s="134">
        <v>27.76</v>
      </c>
      <c r="M102" s="134">
        <v>78.900000000000006</v>
      </c>
      <c r="N102" s="134">
        <v>0</v>
      </c>
      <c r="O102" s="134">
        <v>0</v>
      </c>
      <c r="P102" s="134">
        <v>0.42</v>
      </c>
      <c r="Q102" s="134">
        <v>4.2</v>
      </c>
    </row>
    <row r="103" spans="1:22" customFormat="1">
      <c r="A103" s="112" t="s">
        <v>1388</v>
      </c>
      <c r="B103" s="134">
        <v>7.66</v>
      </c>
      <c r="C103" s="134">
        <v>22.61</v>
      </c>
      <c r="D103" s="134">
        <v>16.91</v>
      </c>
      <c r="E103" s="134">
        <v>7.15</v>
      </c>
      <c r="F103" s="134">
        <v>3.48</v>
      </c>
      <c r="G103" s="134">
        <v>35.4</v>
      </c>
      <c r="H103" s="134">
        <v>10.44</v>
      </c>
      <c r="I103" s="134">
        <v>3.48</v>
      </c>
      <c r="J103" s="134">
        <v>0.31</v>
      </c>
      <c r="K103" s="134">
        <v>252.63</v>
      </c>
      <c r="L103" s="134">
        <v>27.7</v>
      </c>
      <c r="M103" s="134">
        <v>79.510000000000005</v>
      </c>
      <c r="N103" s="134">
        <v>0</v>
      </c>
      <c r="O103" s="134">
        <v>0</v>
      </c>
      <c r="P103" s="134">
        <v>0.45</v>
      </c>
      <c r="Q103" s="134">
        <v>4.1900000000000004</v>
      </c>
    </row>
    <row r="104" spans="1:22" customFormat="1">
      <c r="A104" s="112" t="s">
        <v>1389</v>
      </c>
      <c r="B104" s="134">
        <v>7.49</v>
      </c>
      <c r="C104" s="134">
        <v>21.99</v>
      </c>
      <c r="D104" s="134">
        <v>16.45</v>
      </c>
      <c r="E104" s="134">
        <v>7</v>
      </c>
      <c r="F104" s="134">
        <v>5.45</v>
      </c>
      <c r="G104" s="134">
        <v>35.4</v>
      </c>
      <c r="H104" s="134">
        <v>10.44</v>
      </c>
      <c r="I104" s="134">
        <v>3.67</v>
      </c>
      <c r="J104" s="134">
        <v>0.34</v>
      </c>
      <c r="K104" s="134">
        <v>254.22</v>
      </c>
      <c r="L104" s="134">
        <v>27.59</v>
      </c>
      <c r="M104" s="134">
        <v>79.64</v>
      </c>
      <c r="N104" s="134">
        <v>0</v>
      </c>
      <c r="O104" s="134">
        <v>0</v>
      </c>
      <c r="P104" s="134">
        <v>0.42</v>
      </c>
      <c r="Q104" s="134">
        <v>4.24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5.34</v>
      </c>
      <c r="C106" s="183">
        <f>MIN(C9:C104)</f>
        <v>15.58</v>
      </c>
      <c r="D106" s="183">
        <f t="shared" ref="D106:Q106" si="0">MIN(D9:D104)</f>
        <v>12.02</v>
      </c>
      <c r="E106" s="183">
        <f t="shared" si="0"/>
        <v>5.07</v>
      </c>
      <c r="F106" s="183">
        <f t="shared" si="0"/>
        <v>1.99</v>
      </c>
      <c r="G106" s="183">
        <f t="shared" si="0"/>
        <v>29.37</v>
      </c>
      <c r="H106" s="183">
        <f t="shared" si="0"/>
        <v>7.54</v>
      </c>
      <c r="I106" s="183">
        <f t="shared" si="0"/>
        <v>2.79</v>
      </c>
      <c r="J106" s="183">
        <f t="shared" si="0"/>
        <v>0.1</v>
      </c>
      <c r="K106" s="183">
        <f t="shared" si="0"/>
        <v>197.99</v>
      </c>
      <c r="L106" s="183">
        <f t="shared" si="0"/>
        <v>26.41</v>
      </c>
      <c r="M106" s="183">
        <f t="shared" si="0"/>
        <v>51.37</v>
      </c>
      <c r="N106" s="183">
        <f t="shared" si="0"/>
        <v>0</v>
      </c>
      <c r="O106" s="183">
        <f t="shared" si="0"/>
        <v>0</v>
      </c>
      <c r="P106" s="183">
        <f t="shared" si="0"/>
        <v>0.32</v>
      </c>
      <c r="Q106" s="183">
        <f t="shared" si="0"/>
        <v>4.08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12.47</v>
      </c>
      <c r="C107" s="184">
        <f t="shared" ref="C107:Q107" si="1">MAX(C9:C104)</f>
        <v>24.84</v>
      </c>
      <c r="D107" s="184">
        <f t="shared" si="1"/>
        <v>20.260000000000002</v>
      </c>
      <c r="E107" s="184">
        <f t="shared" si="1"/>
        <v>9.85</v>
      </c>
      <c r="F107" s="184">
        <f t="shared" si="1"/>
        <v>14.51</v>
      </c>
      <c r="G107" s="184">
        <f t="shared" si="1"/>
        <v>43.14</v>
      </c>
      <c r="H107" s="184">
        <f t="shared" si="1"/>
        <v>14.27</v>
      </c>
      <c r="I107" s="184">
        <f t="shared" si="1"/>
        <v>4.3099999999999996</v>
      </c>
      <c r="J107" s="184">
        <f t="shared" si="1"/>
        <v>1.1399999999999999</v>
      </c>
      <c r="K107" s="184">
        <f t="shared" si="1"/>
        <v>317.24</v>
      </c>
      <c r="L107" s="184">
        <f t="shared" si="1"/>
        <v>33.590000000000003</v>
      </c>
      <c r="M107" s="184">
        <f t="shared" si="1"/>
        <v>90.05</v>
      </c>
      <c r="N107" s="184">
        <f t="shared" si="1"/>
        <v>892.1</v>
      </c>
      <c r="O107" s="184">
        <f t="shared" si="1"/>
        <v>0</v>
      </c>
      <c r="P107" s="184">
        <f t="shared" si="1"/>
        <v>0.54</v>
      </c>
      <c r="Q107" s="184">
        <f t="shared" si="1"/>
        <v>4.55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8.4285416666666695</v>
      </c>
      <c r="C108" s="183">
        <f t="shared" ref="C108:Q108" si="2">AVERAGE(C9:C104)</f>
        <v>20.629375</v>
      </c>
      <c r="D108" s="183">
        <f t="shared" si="2"/>
        <v>16.49260416666667</v>
      </c>
      <c r="E108" s="183">
        <f t="shared" si="2"/>
        <v>7.5615625</v>
      </c>
      <c r="F108" s="183">
        <f t="shared" si="2"/>
        <v>6.3520833333333364</v>
      </c>
      <c r="G108" s="183">
        <f t="shared" si="2"/>
        <v>34.970208333333346</v>
      </c>
      <c r="H108" s="183">
        <f t="shared" si="2"/>
        <v>10.344374999999999</v>
      </c>
      <c r="I108" s="183">
        <f t="shared" si="2"/>
        <v>3.5084375000000012</v>
      </c>
      <c r="J108" s="183">
        <f t="shared" si="2"/>
        <v>0.64177083333333329</v>
      </c>
      <c r="K108" s="183">
        <f t="shared" si="2"/>
        <v>270.60031250000003</v>
      </c>
      <c r="L108" s="183">
        <f t="shared" si="2"/>
        <v>29.595000000000013</v>
      </c>
      <c r="M108" s="183">
        <f t="shared" si="2"/>
        <v>70.695104166666695</v>
      </c>
      <c r="N108" s="183">
        <f t="shared" si="2"/>
        <v>192.66458333333333</v>
      </c>
      <c r="O108" s="183">
        <f t="shared" si="2"/>
        <v>0</v>
      </c>
      <c r="P108" s="183">
        <f t="shared" si="2"/>
        <v>0.42760416666666673</v>
      </c>
      <c r="Q108" s="183">
        <f t="shared" si="2"/>
        <v>4.2947916666666677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2.2167510503658643</v>
      </c>
      <c r="C109" s="183">
        <f t="shared" ref="C109:Q109" si="3">STDEV(C9:C104)</f>
        <v>1.6814447500195921</v>
      </c>
      <c r="D109" s="183">
        <f t="shared" si="3"/>
        <v>2.2154473207775012</v>
      </c>
      <c r="E109" s="183">
        <f t="shared" si="3"/>
        <v>0.93559362312468264</v>
      </c>
      <c r="F109" s="183">
        <f t="shared" si="3"/>
        <v>2.7257458338732095</v>
      </c>
      <c r="G109" s="183">
        <f t="shared" si="3"/>
        <v>4.3442000000402743</v>
      </c>
      <c r="H109" s="183">
        <f t="shared" si="3"/>
        <v>1.7225866795087661</v>
      </c>
      <c r="I109" s="183">
        <f t="shared" si="3"/>
        <v>0.39019921531388596</v>
      </c>
      <c r="J109" s="183">
        <f t="shared" si="3"/>
        <v>0.24657653788446254</v>
      </c>
      <c r="K109" s="183">
        <f t="shared" si="3"/>
        <v>17.701351922983051</v>
      </c>
      <c r="L109" s="183">
        <f t="shared" si="3"/>
        <v>2.2131144998559868</v>
      </c>
      <c r="M109" s="183">
        <f t="shared" si="3"/>
        <v>11.363220354773471</v>
      </c>
      <c r="N109" s="183">
        <f t="shared" si="3"/>
        <v>284.20263229980884</v>
      </c>
      <c r="O109" s="183">
        <f t="shared" si="3"/>
        <v>0</v>
      </c>
      <c r="P109" s="183">
        <f t="shared" si="3"/>
        <v>6.0449975693986552E-2</v>
      </c>
      <c r="Q109" s="183">
        <f t="shared" si="3"/>
        <v>0.13136513329501168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13/08/2023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1390</v>
      </c>
      <c r="B9" s="134">
        <v>6.73</v>
      </c>
      <c r="C9" s="134">
        <v>17.239999999999998</v>
      </c>
      <c r="D9" s="134">
        <v>13.36</v>
      </c>
      <c r="E9" s="134">
        <v>6.99</v>
      </c>
      <c r="F9" s="134">
        <v>8.36</v>
      </c>
      <c r="G9" s="134">
        <v>34.08</v>
      </c>
      <c r="H9" s="134">
        <v>8.68</v>
      </c>
      <c r="I9" s="134">
        <v>3.64</v>
      </c>
      <c r="J9" s="134">
        <v>0.28000000000000003</v>
      </c>
      <c r="K9" s="134">
        <v>250.08</v>
      </c>
      <c r="L9" s="134">
        <v>27.5</v>
      </c>
      <c r="M9" s="134">
        <v>80.38</v>
      </c>
      <c r="N9" s="134">
        <v>0</v>
      </c>
      <c r="O9" s="134">
        <v>0</v>
      </c>
      <c r="P9" s="134">
        <v>0.37</v>
      </c>
      <c r="Q9" s="134">
        <v>4.2</v>
      </c>
    </row>
    <row r="10" spans="1:21" customFormat="1">
      <c r="A10" s="112" t="s">
        <v>1391</v>
      </c>
      <c r="B10" s="134">
        <v>7.01</v>
      </c>
      <c r="C10" s="134">
        <v>18.37</v>
      </c>
      <c r="D10" s="134">
        <v>14.17</v>
      </c>
      <c r="E10" s="134">
        <v>7.33</v>
      </c>
      <c r="F10" s="134">
        <v>6.69</v>
      </c>
      <c r="G10" s="134">
        <v>33.54</v>
      </c>
      <c r="H10" s="134">
        <v>8.6</v>
      </c>
      <c r="I10" s="134">
        <v>3.35</v>
      </c>
      <c r="J10" s="134">
        <v>0.32</v>
      </c>
      <c r="K10" s="134">
        <v>255.14</v>
      </c>
      <c r="L10" s="134">
        <v>27.39</v>
      </c>
      <c r="M10" s="134">
        <v>80.73</v>
      </c>
      <c r="N10" s="134">
        <v>0</v>
      </c>
      <c r="O10" s="134">
        <v>0</v>
      </c>
      <c r="P10" s="134">
        <v>0.36</v>
      </c>
      <c r="Q10" s="134">
        <v>4.21</v>
      </c>
    </row>
    <row r="11" spans="1:21" customFormat="1">
      <c r="A11" s="112" t="s">
        <v>1392</v>
      </c>
      <c r="B11" s="134">
        <v>6.82</v>
      </c>
      <c r="C11" s="134">
        <v>18.3</v>
      </c>
      <c r="D11" s="134">
        <v>13.98</v>
      </c>
      <c r="E11" s="134">
        <v>7.3</v>
      </c>
      <c r="F11" s="134">
        <v>7.75</v>
      </c>
      <c r="G11" s="134">
        <v>33.54</v>
      </c>
      <c r="H11" s="134">
        <v>8.6</v>
      </c>
      <c r="I11" s="134">
        <v>3.13</v>
      </c>
      <c r="J11" s="134">
        <v>0.31</v>
      </c>
      <c r="K11" s="134">
        <v>256.64</v>
      </c>
      <c r="L11" s="134">
        <v>27.23</v>
      </c>
      <c r="M11" s="134">
        <v>81.95</v>
      </c>
      <c r="N11" s="134">
        <v>0</v>
      </c>
      <c r="O11" s="134">
        <v>0</v>
      </c>
      <c r="P11" s="134">
        <v>0.36</v>
      </c>
      <c r="Q11" s="134">
        <v>4.2300000000000004</v>
      </c>
    </row>
    <row r="12" spans="1:21" customFormat="1">
      <c r="A12" s="112" t="s">
        <v>1393</v>
      </c>
      <c r="B12" s="134">
        <v>6.87</v>
      </c>
      <c r="C12" s="134">
        <v>17.78</v>
      </c>
      <c r="D12" s="134">
        <v>13.75</v>
      </c>
      <c r="E12" s="134">
        <v>7.23</v>
      </c>
      <c r="F12" s="134">
        <v>7.83</v>
      </c>
      <c r="G12" s="134">
        <v>33.54</v>
      </c>
      <c r="H12" s="134">
        <v>8.6</v>
      </c>
      <c r="I12" s="134">
        <v>3.21</v>
      </c>
      <c r="J12" s="134">
        <v>0.28999999999999998</v>
      </c>
      <c r="K12" s="134">
        <v>256.08999999999997</v>
      </c>
      <c r="L12" s="134">
        <v>27.16</v>
      </c>
      <c r="M12" s="134">
        <v>82.38</v>
      </c>
      <c r="N12" s="134">
        <v>0</v>
      </c>
      <c r="O12" s="134">
        <v>0</v>
      </c>
      <c r="P12" s="134">
        <v>0.38</v>
      </c>
      <c r="Q12" s="134">
        <v>4.22</v>
      </c>
    </row>
    <row r="13" spans="1:21" customFormat="1">
      <c r="A13" s="112" t="s">
        <v>1394</v>
      </c>
      <c r="B13" s="134">
        <v>7.41</v>
      </c>
      <c r="C13" s="134">
        <v>19.36</v>
      </c>
      <c r="D13" s="134">
        <v>15.02</v>
      </c>
      <c r="E13" s="134">
        <v>7.86</v>
      </c>
      <c r="F13" s="134">
        <v>5.69</v>
      </c>
      <c r="G13" s="134">
        <v>33.11</v>
      </c>
      <c r="H13" s="134">
        <v>9.8699999999999992</v>
      </c>
      <c r="I13" s="134">
        <v>3.12</v>
      </c>
      <c r="J13" s="134">
        <v>0.24</v>
      </c>
      <c r="K13" s="134">
        <v>254.8</v>
      </c>
      <c r="L13" s="134">
        <v>27.08</v>
      </c>
      <c r="M13" s="134">
        <v>82.96</v>
      </c>
      <c r="N13" s="134">
        <v>0</v>
      </c>
      <c r="O13" s="134">
        <v>0</v>
      </c>
      <c r="P13" s="134">
        <v>0.39</v>
      </c>
      <c r="Q13" s="134">
        <v>4.25</v>
      </c>
    </row>
    <row r="14" spans="1:21" customFormat="1">
      <c r="A14" s="112" t="s">
        <v>1395</v>
      </c>
      <c r="B14" s="134">
        <v>8.2799999999999994</v>
      </c>
      <c r="C14" s="134">
        <v>23.11</v>
      </c>
      <c r="D14" s="134">
        <v>17.670000000000002</v>
      </c>
      <c r="E14" s="134">
        <v>8.58</v>
      </c>
      <c r="F14" s="134">
        <v>2.89</v>
      </c>
      <c r="G14" s="134">
        <v>32.93</v>
      </c>
      <c r="H14" s="134">
        <v>9.93</v>
      </c>
      <c r="I14" s="134">
        <v>3.21</v>
      </c>
      <c r="J14" s="134">
        <v>0.31</v>
      </c>
      <c r="K14" s="134">
        <v>260.17</v>
      </c>
      <c r="L14" s="134">
        <v>27</v>
      </c>
      <c r="M14" s="134">
        <v>83.24</v>
      </c>
      <c r="N14" s="134">
        <v>0</v>
      </c>
      <c r="O14" s="134">
        <v>0</v>
      </c>
      <c r="P14" s="134">
        <v>0.42</v>
      </c>
      <c r="Q14" s="134">
        <v>4.33</v>
      </c>
    </row>
    <row r="15" spans="1:21" customFormat="1">
      <c r="A15" s="112" t="s">
        <v>1396</v>
      </c>
      <c r="B15" s="134">
        <v>8.3699999999999992</v>
      </c>
      <c r="C15" s="134">
        <v>20.96</v>
      </c>
      <c r="D15" s="134">
        <v>16.62</v>
      </c>
      <c r="E15" s="134">
        <v>7.62</v>
      </c>
      <c r="F15" s="134">
        <v>4.66</v>
      </c>
      <c r="G15" s="134">
        <v>32.93</v>
      </c>
      <c r="H15" s="134">
        <v>9.93</v>
      </c>
      <c r="I15" s="134">
        <v>3.4</v>
      </c>
      <c r="J15" s="134">
        <v>0.24</v>
      </c>
      <c r="K15" s="134">
        <v>255.7</v>
      </c>
      <c r="L15" s="134">
        <v>26.93</v>
      </c>
      <c r="M15" s="134">
        <v>83.81</v>
      </c>
      <c r="N15" s="134">
        <v>0</v>
      </c>
      <c r="O15" s="134">
        <v>0</v>
      </c>
      <c r="P15" s="134">
        <v>0.4</v>
      </c>
      <c r="Q15" s="134">
        <v>4.33</v>
      </c>
    </row>
    <row r="16" spans="1:21" customFormat="1">
      <c r="A16" s="112" t="s">
        <v>1397</v>
      </c>
      <c r="B16" s="134">
        <v>7.88</v>
      </c>
      <c r="C16" s="134">
        <v>18.29</v>
      </c>
      <c r="D16" s="134">
        <v>14.83</v>
      </c>
      <c r="E16" s="134">
        <v>7.55</v>
      </c>
      <c r="F16" s="134">
        <v>7.54</v>
      </c>
      <c r="G16" s="134">
        <v>32.93</v>
      </c>
      <c r="H16" s="134">
        <v>9.93</v>
      </c>
      <c r="I16" s="134">
        <v>3.52</v>
      </c>
      <c r="J16" s="134">
        <v>0.11</v>
      </c>
      <c r="K16" s="134">
        <v>243.08</v>
      </c>
      <c r="L16" s="134">
        <v>26.74</v>
      </c>
      <c r="M16" s="134">
        <v>84.68</v>
      </c>
      <c r="N16" s="134">
        <v>0</v>
      </c>
      <c r="O16" s="134">
        <v>0</v>
      </c>
      <c r="P16" s="134">
        <v>0.38</v>
      </c>
      <c r="Q16" s="134">
        <v>4.29</v>
      </c>
    </row>
    <row r="17" spans="1:17" customFormat="1">
      <c r="A17" s="112" t="s">
        <v>1398</v>
      </c>
      <c r="B17" s="134">
        <v>8.0299999999999994</v>
      </c>
      <c r="C17" s="134">
        <v>18.309999999999999</v>
      </c>
      <c r="D17" s="134">
        <v>14.96</v>
      </c>
      <c r="E17" s="134">
        <v>6.97</v>
      </c>
      <c r="F17" s="134">
        <v>6.6</v>
      </c>
      <c r="G17" s="134">
        <v>31.36</v>
      </c>
      <c r="H17" s="134">
        <v>10.75</v>
      </c>
      <c r="I17" s="134">
        <v>3.36</v>
      </c>
      <c r="J17" s="134">
        <v>0.31</v>
      </c>
      <c r="K17" s="134">
        <v>265</v>
      </c>
      <c r="L17" s="134">
        <v>26.78</v>
      </c>
      <c r="M17" s="134">
        <v>83.93</v>
      </c>
      <c r="N17" s="134">
        <v>0</v>
      </c>
      <c r="O17" s="134">
        <v>0</v>
      </c>
      <c r="P17" s="134">
        <v>0.39</v>
      </c>
      <c r="Q17" s="134">
        <v>4.3099999999999996</v>
      </c>
    </row>
    <row r="18" spans="1:17" customFormat="1">
      <c r="A18" s="112" t="s">
        <v>1399</v>
      </c>
      <c r="B18" s="134">
        <v>9.32</v>
      </c>
      <c r="C18" s="134">
        <v>23.08</v>
      </c>
      <c r="D18" s="134">
        <v>18.489999999999998</v>
      </c>
      <c r="E18" s="134">
        <v>8.3000000000000007</v>
      </c>
      <c r="F18" s="134">
        <v>2.9</v>
      </c>
      <c r="G18" s="134">
        <v>30.72</v>
      </c>
      <c r="H18" s="134">
        <v>10.92</v>
      </c>
      <c r="I18" s="134">
        <v>3.27</v>
      </c>
      <c r="J18" s="134">
        <v>0.22</v>
      </c>
      <c r="K18" s="134">
        <v>222.99</v>
      </c>
      <c r="L18" s="134">
        <v>26.83</v>
      </c>
      <c r="M18" s="134">
        <v>84.46</v>
      </c>
      <c r="N18" s="134">
        <v>0</v>
      </c>
      <c r="O18" s="134">
        <v>0</v>
      </c>
      <c r="P18" s="134">
        <v>0.43</v>
      </c>
      <c r="Q18" s="134">
        <v>4.42</v>
      </c>
    </row>
    <row r="19" spans="1:17" customFormat="1">
      <c r="A19" s="112" t="s">
        <v>1400</v>
      </c>
      <c r="B19" s="134">
        <v>9.77</v>
      </c>
      <c r="C19" s="134">
        <v>22.22</v>
      </c>
      <c r="D19" s="134">
        <v>18.399999999999999</v>
      </c>
      <c r="E19" s="134">
        <v>8.6999999999999993</v>
      </c>
      <c r="F19" s="134">
        <v>3.48</v>
      </c>
      <c r="G19" s="134">
        <v>30.72</v>
      </c>
      <c r="H19" s="134">
        <v>10.92</v>
      </c>
      <c r="I19" s="134">
        <v>3.46</v>
      </c>
      <c r="J19" s="134">
        <v>0.23</v>
      </c>
      <c r="K19" s="134">
        <v>242.45</v>
      </c>
      <c r="L19" s="134">
        <v>26.56</v>
      </c>
      <c r="M19" s="134">
        <v>86.33</v>
      </c>
      <c r="N19" s="134">
        <v>0</v>
      </c>
      <c r="O19" s="134">
        <v>0</v>
      </c>
      <c r="P19" s="134">
        <v>0.43</v>
      </c>
      <c r="Q19" s="134">
        <v>4.41</v>
      </c>
    </row>
    <row r="20" spans="1:17" customFormat="1">
      <c r="A20" s="112" t="s">
        <v>1401</v>
      </c>
      <c r="B20" s="134">
        <v>9.58</v>
      </c>
      <c r="C20" s="134">
        <v>19.739999999999998</v>
      </c>
      <c r="D20" s="134">
        <v>16.96</v>
      </c>
      <c r="E20" s="134">
        <v>8.8000000000000007</v>
      </c>
      <c r="F20" s="134">
        <v>5.05</v>
      </c>
      <c r="G20" s="134">
        <v>30.72</v>
      </c>
      <c r="H20" s="134">
        <v>10.92</v>
      </c>
      <c r="I20" s="134">
        <v>3.68</v>
      </c>
      <c r="J20" s="134">
        <v>0.17</v>
      </c>
      <c r="K20" s="134">
        <v>240.26</v>
      </c>
      <c r="L20" s="134">
        <v>26.49</v>
      </c>
      <c r="M20" s="134">
        <v>87.05</v>
      </c>
      <c r="N20" s="134">
        <v>0</v>
      </c>
      <c r="O20" s="134">
        <v>0</v>
      </c>
      <c r="P20" s="134">
        <v>0.43</v>
      </c>
      <c r="Q20" s="134">
        <v>4.37</v>
      </c>
    </row>
    <row r="21" spans="1:17" customFormat="1">
      <c r="A21" s="112" t="s">
        <v>1402</v>
      </c>
      <c r="B21" s="134">
        <v>9.5500000000000007</v>
      </c>
      <c r="C21" s="134">
        <v>19.04</v>
      </c>
      <c r="D21" s="134">
        <v>16.559999999999999</v>
      </c>
      <c r="E21" s="134">
        <v>7.95</v>
      </c>
      <c r="F21" s="134">
        <v>5.34</v>
      </c>
      <c r="G21" s="134">
        <v>32.590000000000003</v>
      </c>
      <c r="H21" s="134">
        <v>8.14</v>
      </c>
      <c r="I21" s="134">
        <v>3.68</v>
      </c>
      <c r="J21" s="134">
        <v>0.15</v>
      </c>
      <c r="K21" s="134">
        <v>234.73</v>
      </c>
      <c r="L21" s="134">
        <v>26.34</v>
      </c>
      <c r="M21" s="134">
        <v>87.88</v>
      </c>
      <c r="N21" s="134">
        <v>0</v>
      </c>
      <c r="O21" s="134">
        <v>0</v>
      </c>
      <c r="P21" s="134">
        <v>0.41</v>
      </c>
      <c r="Q21" s="134">
        <v>4.3899999999999997</v>
      </c>
    </row>
    <row r="22" spans="1:17" customFormat="1">
      <c r="A22" s="112" t="s">
        <v>1403</v>
      </c>
      <c r="B22" s="134">
        <v>10.55</v>
      </c>
      <c r="C22" s="134">
        <v>23.26</v>
      </c>
      <c r="D22" s="134">
        <v>19.57</v>
      </c>
      <c r="E22" s="134">
        <v>8.5299999999999994</v>
      </c>
      <c r="F22" s="134">
        <v>2.5</v>
      </c>
      <c r="G22" s="134">
        <v>33.39</v>
      </c>
      <c r="H22" s="134">
        <v>8.01</v>
      </c>
      <c r="I22" s="134">
        <v>3.59</v>
      </c>
      <c r="J22" s="134">
        <v>0.19</v>
      </c>
      <c r="K22" s="134">
        <v>242.73</v>
      </c>
      <c r="L22" s="134">
        <v>26.35</v>
      </c>
      <c r="M22" s="134">
        <v>87.76</v>
      </c>
      <c r="N22" s="134">
        <v>0</v>
      </c>
      <c r="O22" s="134">
        <v>0</v>
      </c>
      <c r="P22" s="134">
        <v>0.45</v>
      </c>
      <c r="Q22" s="134">
        <v>4.46</v>
      </c>
    </row>
    <row r="23" spans="1:17" customFormat="1">
      <c r="A23" s="112" t="s">
        <v>1404</v>
      </c>
      <c r="B23" s="134">
        <v>10.89</v>
      </c>
      <c r="C23" s="134">
        <v>21.76</v>
      </c>
      <c r="D23" s="134">
        <v>19.059999999999999</v>
      </c>
      <c r="E23" s="134">
        <v>8.7799999999999994</v>
      </c>
      <c r="F23" s="134">
        <v>3.48</v>
      </c>
      <c r="G23" s="134">
        <v>33.39</v>
      </c>
      <c r="H23" s="134">
        <v>8.01</v>
      </c>
      <c r="I23" s="134">
        <v>3.56</v>
      </c>
      <c r="J23" s="134">
        <v>0.16</v>
      </c>
      <c r="K23" s="134">
        <v>228.63</v>
      </c>
      <c r="L23" s="134">
        <v>26.37</v>
      </c>
      <c r="M23" s="134">
        <v>87.63</v>
      </c>
      <c r="N23" s="134">
        <v>0</v>
      </c>
      <c r="O23" s="134">
        <v>0</v>
      </c>
      <c r="P23" s="134">
        <v>0.43</v>
      </c>
      <c r="Q23" s="134">
        <v>4.47</v>
      </c>
    </row>
    <row r="24" spans="1:17" customFormat="1">
      <c r="A24" s="112" t="s">
        <v>1405</v>
      </c>
      <c r="B24" s="134">
        <v>10.48</v>
      </c>
      <c r="C24" s="134">
        <v>19.21</v>
      </c>
      <c r="D24" s="134">
        <v>17.39</v>
      </c>
      <c r="E24" s="134">
        <v>7.92</v>
      </c>
      <c r="F24" s="134">
        <v>5.09</v>
      </c>
      <c r="G24" s="134">
        <v>33.39</v>
      </c>
      <c r="H24" s="134">
        <v>8.01</v>
      </c>
      <c r="I24" s="134">
        <v>3.75</v>
      </c>
      <c r="J24" s="134">
        <v>0.15</v>
      </c>
      <c r="K24" s="134">
        <v>232.17</v>
      </c>
      <c r="L24" s="134">
        <v>26.22</v>
      </c>
      <c r="M24" s="134">
        <v>88.58</v>
      </c>
      <c r="N24" s="134">
        <v>0</v>
      </c>
      <c r="O24" s="134">
        <v>0</v>
      </c>
      <c r="P24" s="134">
        <v>0.39</v>
      </c>
      <c r="Q24" s="134">
        <v>4.4400000000000004</v>
      </c>
    </row>
    <row r="25" spans="1:17" customFormat="1">
      <c r="A25" s="112" t="s">
        <v>1406</v>
      </c>
      <c r="B25" s="134">
        <v>10.58</v>
      </c>
      <c r="C25" s="134">
        <v>18.809999999999999</v>
      </c>
      <c r="D25" s="134">
        <v>17.27</v>
      </c>
      <c r="E25" s="134">
        <v>7.64</v>
      </c>
      <c r="F25" s="134">
        <v>4.97</v>
      </c>
      <c r="G25" s="134">
        <v>29.52</v>
      </c>
      <c r="H25" s="134">
        <v>7.61</v>
      </c>
      <c r="I25" s="134">
        <v>3.61</v>
      </c>
      <c r="J25" s="134">
        <v>0.1</v>
      </c>
      <c r="K25" s="134">
        <v>173.87</v>
      </c>
      <c r="L25" s="134">
        <v>26.11</v>
      </c>
      <c r="M25" s="134">
        <v>88.71</v>
      </c>
      <c r="N25" s="134">
        <v>0</v>
      </c>
      <c r="O25" s="134">
        <v>0</v>
      </c>
      <c r="P25" s="134">
        <v>0.4</v>
      </c>
      <c r="Q25" s="134">
        <v>4.43</v>
      </c>
    </row>
    <row r="26" spans="1:17" customFormat="1">
      <c r="A26" s="112" t="s">
        <v>1407</v>
      </c>
      <c r="B26" s="134">
        <v>11.6</v>
      </c>
      <c r="C26" s="134">
        <v>23.06</v>
      </c>
      <c r="D26" s="134">
        <v>20.309999999999999</v>
      </c>
      <c r="E26" s="134">
        <v>8.14</v>
      </c>
      <c r="F26" s="134">
        <v>2.25</v>
      </c>
      <c r="G26" s="134">
        <v>27.95</v>
      </c>
      <c r="H26" s="134">
        <v>7.59</v>
      </c>
      <c r="I26" s="134">
        <v>3.44</v>
      </c>
      <c r="J26" s="134">
        <v>0.09</v>
      </c>
      <c r="K26" s="134">
        <v>208.63</v>
      </c>
      <c r="L26" s="134">
        <v>25.96</v>
      </c>
      <c r="M26" s="134">
        <v>89.7</v>
      </c>
      <c r="N26" s="134">
        <v>0</v>
      </c>
      <c r="O26" s="134">
        <v>0</v>
      </c>
      <c r="P26" s="134">
        <v>0.44</v>
      </c>
      <c r="Q26" s="134">
        <v>4.5599999999999996</v>
      </c>
    </row>
    <row r="27" spans="1:17" customFormat="1">
      <c r="A27" s="112" t="s">
        <v>1408</v>
      </c>
      <c r="B27" s="134">
        <v>11.97</v>
      </c>
      <c r="C27" s="134">
        <v>23.53</v>
      </c>
      <c r="D27" s="134">
        <v>20.85</v>
      </c>
      <c r="E27" s="134">
        <v>8.6999999999999993</v>
      </c>
      <c r="F27" s="134">
        <v>2.46</v>
      </c>
      <c r="G27" s="134">
        <v>27.95</v>
      </c>
      <c r="H27" s="134">
        <v>7.59</v>
      </c>
      <c r="I27" s="134">
        <v>3.54</v>
      </c>
      <c r="J27" s="134">
        <v>0.13</v>
      </c>
      <c r="K27" s="134">
        <v>227.13</v>
      </c>
      <c r="L27" s="134">
        <v>25.89</v>
      </c>
      <c r="M27" s="134">
        <v>89.97</v>
      </c>
      <c r="N27" s="134">
        <v>0</v>
      </c>
      <c r="O27" s="134">
        <v>0</v>
      </c>
      <c r="P27" s="134">
        <v>0.46</v>
      </c>
      <c r="Q27" s="134">
        <v>4.51</v>
      </c>
    </row>
    <row r="28" spans="1:17" customFormat="1">
      <c r="A28" s="112" t="s">
        <v>1409</v>
      </c>
      <c r="B28" s="134">
        <v>11.87</v>
      </c>
      <c r="C28" s="134">
        <v>24.35</v>
      </c>
      <c r="D28" s="134">
        <v>21.2</v>
      </c>
      <c r="E28" s="134">
        <v>8.6</v>
      </c>
      <c r="F28" s="134">
        <v>2.5299999999999998</v>
      </c>
      <c r="G28" s="134">
        <v>27.95</v>
      </c>
      <c r="H28" s="134">
        <v>7.59</v>
      </c>
      <c r="I28" s="134">
        <v>3.78</v>
      </c>
      <c r="J28" s="134">
        <v>0.27</v>
      </c>
      <c r="K28" s="134">
        <v>254.12</v>
      </c>
      <c r="L28" s="134">
        <v>25.88</v>
      </c>
      <c r="M28" s="134">
        <v>89.99</v>
      </c>
      <c r="N28" s="134">
        <v>0</v>
      </c>
      <c r="O28" s="134">
        <v>0</v>
      </c>
      <c r="P28" s="134">
        <v>0.48</v>
      </c>
      <c r="Q28" s="134">
        <v>4.5</v>
      </c>
    </row>
    <row r="29" spans="1:17" customFormat="1">
      <c r="A29" s="112" t="s">
        <v>1410</v>
      </c>
      <c r="B29" s="134">
        <v>12.03</v>
      </c>
      <c r="C29" s="134">
        <v>22.61</v>
      </c>
      <c r="D29" s="134">
        <v>20.420000000000002</v>
      </c>
      <c r="E29" s="134">
        <v>7.8</v>
      </c>
      <c r="F29" s="134">
        <v>3.43</v>
      </c>
      <c r="G29" s="134">
        <v>26.68</v>
      </c>
      <c r="H29" s="134">
        <v>8.4700000000000006</v>
      </c>
      <c r="I29" s="134">
        <v>3.8</v>
      </c>
      <c r="J29" s="134">
        <v>0.25</v>
      </c>
      <c r="K29" s="134">
        <v>251.32</v>
      </c>
      <c r="L29" s="134">
        <v>25.97</v>
      </c>
      <c r="M29" s="134">
        <v>89</v>
      </c>
      <c r="N29" s="134">
        <v>0</v>
      </c>
      <c r="O29" s="134">
        <v>0</v>
      </c>
      <c r="P29" s="134">
        <v>0.44</v>
      </c>
      <c r="Q29" s="134">
        <v>4.55</v>
      </c>
    </row>
    <row r="30" spans="1:17" customFormat="1">
      <c r="A30" s="112" t="s">
        <v>1411</v>
      </c>
      <c r="B30" s="134">
        <v>12.14</v>
      </c>
      <c r="C30" s="134">
        <v>19.7</v>
      </c>
      <c r="D30" s="134">
        <v>18.98</v>
      </c>
      <c r="E30" s="134">
        <v>7.39</v>
      </c>
      <c r="F30" s="134">
        <v>3.98</v>
      </c>
      <c r="G30" s="134">
        <v>26.14</v>
      </c>
      <c r="H30" s="134">
        <v>8.5299999999999994</v>
      </c>
      <c r="I30" s="134">
        <v>3.74</v>
      </c>
      <c r="J30" s="134">
        <v>0.23</v>
      </c>
      <c r="K30" s="134">
        <v>253.44</v>
      </c>
      <c r="L30" s="134">
        <v>25.87</v>
      </c>
      <c r="M30" s="134">
        <v>89.78</v>
      </c>
      <c r="N30" s="134">
        <v>0</v>
      </c>
      <c r="O30" s="134">
        <v>0</v>
      </c>
      <c r="P30" s="134">
        <v>0.4</v>
      </c>
      <c r="Q30" s="134">
        <v>4.5199999999999996</v>
      </c>
    </row>
    <row r="31" spans="1:17" customFormat="1">
      <c r="A31" s="112" t="s">
        <v>1412</v>
      </c>
      <c r="B31" s="134">
        <v>12.16</v>
      </c>
      <c r="C31" s="134">
        <v>19.45</v>
      </c>
      <c r="D31" s="134">
        <v>18.87</v>
      </c>
      <c r="E31" s="134">
        <v>7.32</v>
      </c>
      <c r="F31" s="134">
        <v>3.79</v>
      </c>
      <c r="G31" s="134">
        <v>26.14</v>
      </c>
      <c r="H31" s="134">
        <v>8.5299999999999994</v>
      </c>
      <c r="I31" s="134">
        <v>3.54</v>
      </c>
      <c r="J31" s="134">
        <v>0.15</v>
      </c>
      <c r="K31" s="134">
        <v>235.14</v>
      </c>
      <c r="L31" s="134">
        <v>25.9</v>
      </c>
      <c r="M31" s="134">
        <v>89.46</v>
      </c>
      <c r="N31" s="134">
        <v>0</v>
      </c>
      <c r="O31" s="134">
        <v>0</v>
      </c>
      <c r="P31" s="134">
        <v>0.38</v>
      </c>
      <c r="Q31" s="134">
        <v>4.4800000000000004</v>
      </c>
    </row>
    <row r="32" spans="1:17" customFormat="1">
      <c r="A32" s="112" t="s">
        <v>1413</v>
      </c>
      <c r="B32" s="134">
        <v>11.88</v>
      </c>
      <c r="C32" s="134">
        <v>19.190000000000001</v>
      </c>
      <c r="D32" s="134">
        <v>18.510000000000002</v>
      </c>
      <c r="E32" s="134">
        <v>7.27</v>
      </c>
      <c r="F32" s="134">
        <v>4.3499999999999996</v>
      </c>
      <c r="G32" s="134">
        <v>26.14</v>
      </c>
      <c r="H32" s="134">
        <v>8.5299999999999994</v>
      </c>
      <c r="I32" s="134">
        <v>3.43</v>
      </c>
      <c r="J32" s="134">
        <v>0.31</v>
      </c>
      <c r="K32" s="134">
        <v>262.52999999999997</v>
      </c>
      <c r="L32" s="134">
        <v>25.86</v>
      </c>
      <c r="M32" s="134">
        <v>89.43</v>
      </c>
      <c r="N32" s="134">
        <v>2.9</v>
      </c>
      <c r="O32" s="134">
        <v>0</v>
      </c>
      <c r="P32" s="134">
        <v>0.36</v>
      </c>
      <c r="Q32" s="134">
        <v>4.5</v>
      </c>
    </row>
    <row r="33" spans="1:17" customFormat="1">
      <c r="A33" s="112" t="s">
        <v>1414</v>
      </c>
      <c r="B33" s="134">
        <v>12.42</v>
      </c>
      <c r="C33" s="134">
        <v>23.05</v>
      </c>
      <c r="D33" s="134">
        <v>20.96</v>
      </c>
      <c r="E33" s="134">
        <v>7.66</v>
      </c>
      <c r="F33" s="134">
        <v>2.06</v>
      </c>
      <c r="G33" s="134">
        <v>24.96</v>
      </c>
      <c r="H33" s="134">
        <v>6.17</v>
      </c>
      <c r="I33" s="134">
        <v>3.39</v>
      </c>
      <c r="J33" s="134">
        <v>0.33</v>
      </c>
      <c r="K33" s="134">
        <v>261.61</v>
      </c>
      <c r="L33" s="134">
        <v>26.01</v>
      </c>
      <c r="M33" s="134">
        <v>88.01</v>
      </c>
      <c r="N33" s="134">
        <v>13.6</v>
      </c>
      <c r="O33" s="134">
        <v>0</v>
      </c>
      <c r="P33" s="134">
        <v>0.42</v>
      </c>
      <c r="Q33" s="134">
        <v>4.58</v>
      </c>
    </row>
    <row r="34" spans="1:17" customFormat="1">
      <c r="A34" s="112" t="s">
        <v>1415</v>
      </c>
      <c r="B34" s="134">
        <v>12.76</v>
      </c>
      <c r="C34" s="134">
        <v>22.64</v>
      </c>
      <c r="D34" s="134">
        <v>21.02</v>
      </c>
      <c r="E34" s="134">
        <v>8.44</v>
      </c>
      <c r="F34" s="134">
        <v>2.61</v>
      </c>
      <c r="G34" s="134">
        <v>24.48</v>
      </c>
      <c r="H34" s="134">
        <v>6.02</v>
      </c>
      <c r="I34" s="134">
        <v>3.35</v>
      </c>
      <c r="J34" s="134">
        <v>0.36</v>
      </c>
      <c r="K34" s="134">
        <v>264.68</v>
      </c>
      <c r="L34" s="134">
        <v>26.2</v>
      </c>
      <c r="M34" s="134">
        <v>86.82</v>
      </c>
      <c r="N34" s="134">
        <v>33.799999999999997</v>
      </c>
      <c r="O34" s="134">
        <v>0</v>
      </c>
      <c r="P34" s="134">
        <v>0.41</v>
      </c>
      <c r="Q34" s="134">
        <v>4.58</v>
      </c>
    </row>
    <row r="35" spans="1:17" customFormat="1">
      <c r="A35" s="112" t="s">
        <v>1416</v>
      </c>
      <c r="B35" s="134">
        <v>12.72</v>
      </c>
      <c r="C35" s="134">
        <v>20.54</v>
      </c>
      <c r="D35" s="134">
        <v>19.89</v>
      </c>
      <c r="E35" s="134">
        <v>8.08</v>
      </c>
      <c r="F35" s="134">
        <v>3.83</v>
      </c>
      <c r="G35" s="134">
        <v>24.48</v>
      </c>
      <c r="H35" s="134">
        <v>6.02</v>
      </c>
      <c r="I35" s="134">
        <v>3.56</v>
      </c>
      <c r="J35" s="134">
        <v>0.36</v>
      </c>
      <c r="K35" s="134">
        <v>256.77</v>
      </c>
      <c r="L35" s="134">
        <v>26.42</v>
      </c>
      <c r="M35" s="134">
        <v>85.59</v>
      </c>
      <c r="N35" s="134">
        <v>48.5</v>
      </c>
      <c r="O35" s="134">
        <v>0</v>
      </c>
      <c r="P35" s="134">
        <v>0.39</v>
      </c>
      <c r="Q35" s="134">
        <v>4.53</v>
      </c>
    </row>
    <row r="36" spans="1:17" customFormat="1">
      <c r="A36" s="112" t="s">
        <v>1417</v>
      </c>
      <c r="B36" s="134">
        <v>12.76</v>
      </c>
      <c r="C36" s="134">
        <v>19.53</v>
      </c>
      <c r="D36" s="134">
        <v>19.39</v>
      </c>
      <c r="E36" s="134">
        <v>8.2100000000000009</v>
      </c>
      <c r="F36" s="134">
        <v>3.9</v>
      </c>
      <c r="G36" s="134">
        <v>24.48</v>
      </c>
      <c r="H36" s="134">
        <v>6.02</v>
      </c>
      <c r="I36" s="134">
        <v>3.49</v>
      </c>
      <c r="J36" s="134">
        <v>0.54</v>
      </c>
      <c r="K36" s="134">
        <v>261.08</v>
      </c>
      <c r="L36" s="134">
        <v>26.64</v>
      </c>
      <c r="M36" s="134">
        <v>84.26</v>
      </c>
      <c r="N36" s="134">
        <v>51.2</v>
      </c>
      <c r="O36" s="134">
        <v>0</v>
      </c>
      <c r="P36" s="134">
        <v>0.38</v>
      </c>
      <c r="Q36" s="134">
        <v>4.51</v>
      </c>
    </row>
    <row r="37" spans="1:17" customFormat="1">
      <c r="A37" s="112" t="s">
        <v>1418</v>
      </c>
      <c r="B37" s="134">
        <v>12.78</v>
      </c>
      <c r="C37" s="134">
        <v>20.28</v>
      </c>
      <c r="D37" s="134">
        <v>19.79</v>
      </c>
      <c r="E37" s="134">
        <v>7.46</v>
      </c>
      <c r="F37" s="134">
        <v>3.19</v>
      </c>
      <c r="G37" s="134">
        <v>24.12</v>
      </c>
      <c r="H37" s="134">
        <v>6.27</v>
      </c>
      <c r="I37" s="134">
        <v>3.4</v>
      </c>
      <c r="J37" s="134">
        <v>0.64</v>
      </c>
      <c r="K37" s="134">
        <v>261.52999999999997</v>
      </c>
      <c r="L37" s="134">
        <v>26.76</v>
      </c>
      <c r="M37" s="134">
        <v>83.5</v>
      </c>
      <c r="N37" s="134">
        <v>63.4</v>
      </c>
      <c r="O37" s="134">
        <v>0</v>
      </c>
      <c r="P37" s="134">
        <v>0.39</v>
      </c>
      <c r="Q37" s="134">
        <v>4.5199999999999996</v>
      </c>
    </row>
    <row r="38" spans="1:17" customFormat="1">
      <c r="A38" s="112" t="s">
        <v>1419</v>
      </c>
      <c r="B38" s="134">
        <v>13</v>
      </c>
      <c r="C38" s="134">
        <v>23.67</v>
      </c>
      <c r="D38" s="134">
        <v>21.75</v>
      </c>
      <c r="E38" s="134">
        <v>8.08</v>
      </c>
      <c r="F38" s="134">
        <v>1.65</v>
      </c>
      <c r="G38" s="134">
        <v>23.98</v>
      </c>
      <c r="H38" s="134">
        <v>6.28</v>
      </c>
      <c r="I38" s="134">
        <v>3.42</v>
      </c>
      <c r="J38" s="134">
        <v>0.79</v>
      </c>
      <c r="K38" s="134">
        <v>262.72000000000003</v>
      </c>
      <c r="L38" s="134">
        <v>26.97</v>
      </c>
      <c r="M38" s="134">
        <v>82.17</v>
      </c>
      <c r="N38" s="134">
        <v>85.9</v>
      </c>
      <c r="O38" s="134">
        <v>0</v>
      </c>
      <c r="P38" s="134">
        <v>0.42</v>
      </c>
      <c r="Q38" s="134">
        <v>4.63</v>
      </c>
    </row>
    <row r="39" spans="1:17" customFormat="1">
      <c r="A39" s="112" t="s">
        <v>1420</v>
      </c>
      <c r="B39" s="134">
        <v>13.02</v>
      </c>
      <c r="C39" s="134">
        <v>22.31</v>
      </c>
      <c r="D39" s="134">
        <v>21.05</v>
      </c>
      <c r="E39" s="134">
        <v>8.4700000000000006</v>
      </c>
      <c r="F39" s="134">
        <v>2.75</v>
      </c>
      <c r="G39" s="134">
        <v>23.98</v>
      </c>
      <c r="H39" s="134">
        <v>6.28</v>
      </c>
      <c r="I39" s="134">
        <v>3.44</v>
      </c>
      <c r="J39" s="134">
        <v>0.61</v>
      </c>
      <c r="K39" s="134">
        <v>263.39999999999998</v>
      </c>
      <c r="L39" s="134">
        <v>27.38</v>
      </c>
      <c r="M39" s="134">
        <v>80.650000000000006</v>
      </c>
      <c r="N39" s="134">
        <v>109.1</v>
      </c>
      <c r="O39" s="134">
        <v>0</v>
      </c>
      <c r="P39" s="134">
        <v>0.41</v>
      </c>
      <c r="Q39" s="134">
        <v>4.59</v>
      </c>
    </row>
    <row r="40" spans="1:17" customFormat="1">
      <c r="A40" s="112" t="s">
        <v>1421</v>
      </c>
      <c r="B40" s="134">
        <v>12.8</v>
      </c>
      <c r="C40" s="134">
        <v>20.2</v>
      </c>
      <c r="D40" s="134">
        <v>19.78</v>
      </c>
      <c r="E40" s="134">
        <v>8.5500000000000007</v>
      </c>
      <c r="F40" s="134">
        <v>3.91</v>
      </c>
      <c r="G40" s="134">
        <v>23.98</v>
      </c>
      <c r="H40" s="134">
        <v>6.28</v>
      </c>
      <c r="I40" s="134">
        <v>3.54</v>
      </c>
      <c r="J40" s="134">
        <v>0.56999999999999995</v>
      </c>
      <c r="K40" s="134">
        <v>265.58999999999997</v>
      </c>
      <c r="L40" s="134">
        <v>28.05</v>
      </c>
      <c r="M40" s="134">
        <v>79.02</v>
      </c>
      <c r="N40" s="134">
        <v>119.2</v>
      </c>
      <c r="O40" s="134">
        <v>0</v>
      </c>
      <c r="P40" s="134">
        <v>0.4</v>
      </c>
      <c r="Q40" s="134">
        <v>4.5199999999999996</v>
      </c>
    </row>
    <row r="41" spans="1:17" customFormat="1">
      <c r="A41" s="112" t="s">
        <v>1422</v>
      </c>
      <c r="B41" s="134">
        <v>12.56</v>
      </c>
      <c r="C41" s="134">
        <v>19.600000000000001</v>
      </c>
      <c r="D41" s="134">
        <v>19.27</v>
      </c>
      <c r="E41" s="134">
        <v>8.6300000000000008</v>
      </c>
      <c r="F41" s="134">
        <v>4.4000000000000004</v>
      </c>
      <c r="G41" s="134">
        <v>24.63</v>
      </c>
      <c r="H41" s="134">
        <v>8.77</v>
      </c>
      <c r="I41" s="134">
        <v>3.51</v>
      </c>
      <c r="J41" s="134">
        <v>0.81</v>
      </c>
      <c r="K41" s="134">
        <v>262.13</v>
      </c>
      <c r="L41" s="134">
        <v>28.67</v>
      </c>
      <c r="M41" s="134">
        <v>76.42</v>
      </c>
      <c r="N41" s="134">
        <v>122.1</v>
      </c>
      <c r="O41" s="134">
        <v>0</v>
      </c>
      <c r="P41" s="134">
        <v>0.43</v>
      </c>
      <c r="Q41" s="134">
        <v>4.55</v>
      </c>
    </row>
    <row r="42" spans="1:17" customFormat="1">
      <c r="A42" s="112" t="s">
        <v>1423</v>
      </c>
      <c r="B42" s="134">
        <v>12.68</v>
      </c>
      <c r="C42" s="134">
        <v>20.18</v>
      </c>
      <c r="D42" s="134">
        <v>19.670000000000002</v>
      </c>
      <c r="E42" s="134">
        <v>8.4</v>
      </c>
      <c r="F42" s="134">
        <v>3.76</v>
      </c>
      <c r="G42" s="134">
        <v>24.89</v>
      </c>
      <c r="H42" s="134">
        <v>9.4</v>
      </c>
      <c r="I42" s="134">
        <v>3.65</v>
      </c>
      <c r="J42" s="134">
        <v>0.64</v>
      </c>
      <c r="K42" s="134">
        <v>262.44</v>
      </c>
      <c r="L42" s="134">
        <v>29.13</v>
      </c>
      <c r="M42" s="134">
        <v>75.17</v>
      </c>
      <c r="N42" s="134">
        <v>136.6</v>
      </c>
      <c r="O42" s="134">
        <v>0</v>
      </c>
      <c r="P42" s="134">
        <v>0.44</v>
      </c>
      <c r="Q42" s="134">
        <v>4.53</v>
      </c>
    </row>
    <row r="43" spans="1:17" customFormat="1">
      <c r="A43" s="112" t="s">
        <v>1424</v>
      </c>
      <c r="B43" s="134">
        <v>12.89</v>
      </c>
      <c r="C43" s="134">
        <v>23.18</v>
      </c>
      <c r="D43" s="134">
        <v>21.4</v>
      </c>
      <c r="E43" s="134">
        <v>9</v>
      </c>
      <c r="F43" s="134">
        <v>2.08</v>
      </c>
      <c r="G43" s="134">
        <v>24.89</v>
      </c>
      <c r="H43" s="134">
        <v>9.4</v>
      </c>
      <c r="I43" s="134">
        <v>4.1100000000000003</v>
      </c>
      <c r="J43" s="134">
        <v>0.64</v>
      </c>
      <c r="K43" s="134">
        <v>263.94</v>
      </c>
      <c r="L43" s="134">
        <v>29.62</v>
      </c>
      <c r="M43" s="134">
        <v>73.14</v>
      </c>
      <c r="N43" s="134">
        <v>193.6</v>
      </c>
      <c r="O43" s="134">
        <v>0</v>
      </c>
      <c r="P43" s="134">
        <v>0.49</v>
      </c>
      <c r="Q43" s="134">
        <v>4.6100000000000003</v>
      </c>
    </row>
    <row r="44" spans="1:17" customFormat="1">
      <c r="A44" s="112" t="s">
        <v>1425</v>
      </c>
      <c r="B44" s="134">
        <v>13.24</v>
      </c>
      <c r="C44" s="134">
        <v>22.9</v>
      </c>
      <c r="D44" s="134">
        <v>21.54</v>
      </c>
      <c r="E44" s="134">
        <v>8.9600000000000009</v>
      </c>
      <c r="F44" s="134">
        <v>2.61</v>
      </c>
      <c r="G44" s="134">
        <v>24.89</v>
      </c>
      <c r="H44" s="134">
        <v>9.4</v>
      </c>
      <c r="I44" s="134">
        <v>4.32</v>
      </c>
      <c r="J44" s="134">
        <v>0.61</v>
      </c>
      <c r="K44" s="134">
        <v>276.45999999999998</v>
      </c>
      <c r="L44" s="134">
        <v>30.14</v>
      </c>
      <c r="M44" s="134">
        <v>70.77</v>
      </c>
      <c r="N44" s="134">
        <v>280.3</v>
      </c>
      <c r="O44" s="134">
        <v>0</v>
      </c>
      <c r="P44" s="134">
        <v>0.55000000000000004</v>
      </c>
      <c r="Q44" s="134">
        <v>4.5999999999999996</v>
      </c>
    </row>
    <row r="45" spans="1:17" customFormat="1">
      <c r="A45" s="112" t="s">
        <v>1426</v>
      </c>
      <c r="B45" s="134">
        <v>13.09</v>
      </c>
      <c r="C45" s="134">
        <v>21.61</v>
      </c>
      <c r="D45" s="134">
        <v>20.74</v>
      </c>
      <c r="E45" s="134">
        <v>9.11</v>
      </c>
      <c r="F45" s="134">
        <v>4.05</v>
      </c>
      <c r="G45" s="134">
        <v>32.75</v>
      </c>
      <c r="H45" s="134">
        <v>13.39</v>
      </c>
      <c r="I45" s="134">
        <v>4.75</v>
      </c>
      <c r="J45" s="134">
        <v>0.8</v>
      </c>
      <c r="K45" s="134">
        <v>274.23</v>
      </c>
      <c r="L45" s="134">
        <v>30.08</v>
      </c>
      <c r="M45" s="134">
        <v>69.53</v>
      </c>
      <c r="N45" s="134">
        <v>301.3</v>
      </c>
      <c r="O45" s="134">
        <v>0</v>
      </c>
      <c r="P45" s="134">
        <v>0.56000000000000005</v>
      </c>
      <c r="Q45" s="134">
        <v>4.5999999999999996</v>
      </c>
    </row>
    <row r="46" spans="1:17" customFormat="1">
      <c r="A46" s="112" t="s">
        <v>1427</v>
      </c>
      <c r="B46" s="134">
        <v>12.97</v>
      </c>
      <c r="C46" s="134">
        <v>21.58</v>
      </c>
      <c r="D46" s="134">
        <v>20.63</v>
      </c>
      <c r="E46" s="134">
        <v>8.49</v>
      </c>
      <c r="F46" s="134">
        <v>4.2300000000000004</v>
      </c>
      <c r="G46" s="134">
        <v>35.94</v>
      </c>
      <c r="H46" s="134">
        <v>13.58</v>
      </c>
      <c r="I46" s="134">
        <v>5.23</v>
      </c>
      <c r="J46" s="134">
        <v>0.89</v>
      </c>
      <c r="K46" s="134">
        <v>276.2</v>
      </c>
      <c r="L46" s="134">
        <v>30.32</v>
      </c>
      <c r="M46" s="134">
        <v>68.62</v>
      </c>
      <c r="N46" s="134">
        <v>333.5</v>
      </c>
      <c r="O46" s="134">
        <v>0</v>
      </c>
      <c r="P46" s="134">
        <v>0.56000000000000005</v>
      </c>
      <c r="Q46" s="134">
        <v>4.55</v>
      </c>
    </row>
    <row r="47" spans="1:17" customFormat="1">
      <c r="A47" s="112" t="s">
        <v>1428</v>
      </c>
      <c r="B47" s="134">
        <v>12.69</v>
      </c>
      <c r="C47" s="134">
        <v>21.83</v>
      </c>
      <c r="D47" s="134">
        <v>20.54</v>
      </c>
      <c r="E47" s="134">
        <v>8.34</v>
      </c>
      <c r="F47" s="134">
        <v>3.96</v>
      </c>
      <c r="G47" s="134">
        <v>35.94</v>
      </c>
      <c r="H47" s="134">
        <v>13.58</v>
      </c>
      <c r="I47" s="134">
        <v>5.42</v>
      </c>
      <c r="J47" s="134">
        <v>0.78</v>
      </c>
      <c r="K47" s="134">
        <v>283.38</v>
      </c>
      <c r="L47" s="134">
        <v>30.82</v>
      </c>
      <c r="M47" s="134">
        <v>65.72</v>
      </c>
      <c r="N47" s="134">
        <v>287.2</v>
      </c>
      <c r="O47" s="134">
        <v>0</v>
      </c>
      <c r="P47" s="134">
        <v>0.56999999999999995</v>
      </c>
      <c r="Q47" s="134">
        <v>4.57</v>
      </c>
    </row>
    <row r="48" spans="1:17" customFormat="1">
      <c r="A48" s="112" t="s">
        <v>1429</v>
      </c>
      <c r="B48" s="134">
        <v>12.18</v>
      </c>
      <c r="C48" s="134">
        <v>23.09</v>
      </c>
      <c r="D48" s="134">
        <v>20.78</v>
      </c>
      <c r="E48" s="134">
        <v>8.27</v>
      </c>
      <c r="F48" s="134">
        <v>3.51</v>
      </c>
      <c r="G48" s="134">
        <v>35.94</v>
      </c>
      <c r="H48" s="134">
        <v>13.58</v>
      </c>
      <c r="I48" s="134">
        <v>5.49</v>
      </c>
      <c r="J48" s="134">
        <v>0.87</v>
      </c>
      <c r="K48" s="134">
        <v>290.76</v>
      </c>
      <c r="L48" s="134">
        <v>30.47</v>
      </c>
      <c r="M48" s="134">
        <v>65.78</v>
      </c>
      <c r="N48" s="134">
        <v>225.1</v>
      </c>
      <c r="O48" s="134">
        <v>0</v>
      </c>
      <c r="P48" s="134">
        <v>0.6</v>
      </c>
      <c r="Q48" s="134">
        <v>4.5199999999999996</v>
      </c>
    </row>
    <row r="49" spans="1:17" customFormat="1">
      <c r="A49" s="112" t="s">
        <v>1430</v>
      </c>
      <c r="B49" s="134">
        <v>11.42</v>
      </c>
      <c r="C49" s="134">
        <v>25.36</v>
      </c>
      <c r="D49" s="134">
        <v>21.36</v>
      </c>
      <c r="E49" s="134">
        <v>6.33</v>
      </c>
      <c r="F49" s="134">
        <v>3.33</v>
      </c>
      <c r="G49" s="134">
        <v>38.96</v>
      </c>
      <c r="H49" s="134">
        <v>11.2</v>
      </c>
      <c r="I49" s="134">
        <v>5.52</v>
      </c>
      <c r="J49" s="134">
        <v>0.65</v>
      </c>
      <c r="K49" s="134">
        <v>272.70999999999998</v>
      </c>
      <c r="L49" s="134">
        <v>30.12</v>
      </c>
      <c r="M49" s="134">
        <v>67.06</v>
      </c>
      <c r="N49" s="134">
        <v>192.6</v>
      </c>
      <c r="O49" s="134">
        <v>0</v>
      </c>
      <c r="P49" s="134">
        <v>0.64</v>
      </c>
      <c r="Q49" s="134">
        <v>4.5599999999999996</v>
      </c>
    </row>
    <row r="50" spans="1:17" customFormat="1">
      <c r="A50" s="112" t="s">
        <v>1431</v>
      </c>
      <c r="B50" s="134">
        <v>11.08</v>
      </c>
      <c r="C50" s="134">
        <v>24.43</v>
      </c>
      <c r="D50" s="134">
        <v>20.61</v>
      </c>
      <c r="E50" s="134">
        <v>7.51</v>
      </c>
      <c r="F50" s="134">
        <v>4.0599999999999996</v>
      </c>
      <c r="G50" s="134">
        <v>40.19</v>
      </c>
      <c r="H50" s="134">
        <v>10.82</v>
      </c>
      <c r="I50" s="134">
        <v>5.54</v>
      </c>
      <c r="J50" s="134">
        <v>0.64</v>
      </c>
      <c r="K50" s="134">
        <v>259.13</v>
      </c>
      <c r="L50" s="134">
        <v>29.94</v>
      </c>
      <c r="M50" s="134">
        <v>69.709999999999994</v>
      </c>
      <c r="N50" s="134">
        <v>197.9</v>
      </c>
      <c r="O50" s="134">
        <v>0</v>
      </c>
      <c r="P50" s="134">
        <v>0.61</v>
      </c>
      <c r="Q50" s="134">
        <v>4.53</v>
      </c>
    </row>
    <row r="51" spans="1:17" customFormat="1">
      <c r="A51" s="112" t="s">
        <v>1432</v>
      </c>
      <c r="B51" s="134">
        <v>10.63</v>
      </c>
      <c r="C51" s="134">
        <v>22.27</v>
      </c>
      <c r="D51" s="134">
        <v>19.11</v>
      </c>
      <c r="E51" s="134">
        <v>8.6300000000000008</v>
      </c>
      <c r="F51" s="134">
        <v>6.56</v>
      </c>
      <c r="G51" s="134">
        <v>40.19</v>
      </c>
      <c r="H51" s="134">
        <v>10.82</v>
      </c>
      <c r="I51" s="134">
        <v>5.46</v>
      </c>
      <c r="J51" s="134">
        <v>0.65</v>
      </c>
      <c r="K51" s="134">
        <v>256.52</v>
      </c>
      <c r="L51" s="134">
        <v>30.68</v>
      </c>
      <c r="M51" s="134">
        <v>67.89</v>
      </c>
      <c r="N51" s="134">
        <v>563.70000000000005</v>
      </c>
      <c r="O51" s="134">
        <v>0</v>
      </c>
      <c r="P51" s="134">
        <v>0.57999999999999996</v>
      </c>
      <c r="Q51" s="134">
        <v>4.47</v>
      </c>
    </row>
    <row r="52" spans="1:17" customFormat="1">
      <c r="A52" s="112" t="s">
        <v>1433</v>
      </c>
      <c r="B52" s="134">
        <v>10.34</v>
      </c>
      <c r="C52" s="134">
        <v>21.95</v>
      </c>
      <c r="D52" s="134">
        <v>18.72</v>
      </c>
      <c r="E52" s="134">
        <v>10.53</v>
      </c>
      <c r="F52" s="134">
        <v>6.19</v>
      </c>
      <c r="G52" s="134">
        <v>40.19</v>
      </c>
      <c r="H52" s="134">
        <v>10.82</v>
      </c>
      <c r="I52" s="134">
        <v>5.4</v>
      </c>
      <c r="J52" s="134">
        <v>0.91</v>
      </c>
      <c r="K52" s="134">
        <v>270.02999999999997</v>
      </c>
      <c r="L52" s="134">
        <v>31.57</v>
      </c>
      <c r="M52" s="134">
        <v>63.1</v>
      </c>
      <c r="N52" s="134">
        <v>658</v>
      </c>
      <c r="O52" s="134">
        <v>0</v>
      </c>
      <c r="P52" s="134">
        <v>0.59</v>
      </c>
      <c r="Q52" s="134">
        <v>4.42</v>
      </c>
    </row>
    <row r="53" spans="1:17" customFormat="1">
      <c r="A53" s="112" t="s">
        <v>1434</v>
      </c>
      <c r="B53" s="134">
        <v>9.76</v>
      </c>
      <c r="C53" s="134">
        <v>22.13</v>
      </c>
      <c r="D53" s="134">
        <v>18.34</v>
      </c>
      <c r="E53" s="134">
        <v>10.66</v>
      </c>
      <c r="F53" s="134">
        <v>6.59</v>
      </c>
      <c r="G53" s="134">
        <v>41.14</v>
      </c>
      <c r="H53" s="134">
        <v>12.58</v>
      </c>
      <c r="I53" s="134">
        <v>5.35</v>
      </c>
      <c r="J53" s="134">
        <v>0.81</v>
      </c>
      <c r="K53" s="134">
        <v>266.64</v>
      </c>
      <c r="L53" s="134">
        <v>32.06</v>
      </c>
      <c r="M53" s="134">
        <v>61.16</v>
      </c>
      <c r="N53" s="134">
        <v>720.2</v>
      </c>
      <c r="O53" s="134">
        <v>0</v>
      </c>
      <c r="P53" s="134">
        <v>0.57999999999999996</v>
      </c>
      <c r="Q53" s="134">
        <v>4.4400000000000004</v>
      </c>
    </row>
    <row r="54" spans="1:17" customFormat="1">
      <c r="A54" s="112" t="s">
        <v>1435</v>
      </c>
      <c r="B54" s="134">
        <v>9.36</v>
      </c>
      <c r="C54" s="134">
        <v>22.59</v>
      </c>
      <c r="D54" s="134">
        <v>18.260000000000002</v>
      </c>
      <c r="E54" s="134">
        <v>8.14</v>
      </c>
      <c r="F54" s="134">
        <v>6.1</v>
      </c>
      <c r="G54" s="134">
        <v>41.53</v>
      </c>
      <c r="H54" s="134">
        <v>12.67</v>
      </c>
      <c r="I54" s="134">
        <v>5.43</v>
      </c>
      <c r="J54" s="134">
        <v>1.01</v>
      </c>
      <c r="K54" s="134">
        <v>263.51</v>
      </c>
      <c r="L54" s="134">
        <v>32.020000000000003</v>
      </c>
      <c r="M54" s="134">
        <v>61.02</v>
      </c>
      <c r="N54" s="134">
        <v>664</v>
      </c>
      <c r="O54" s="134">
        <v>0</v>
      </c>
      <c r="P54" s="134">
        <v>0.56000000000000005</v>
      </c>
      <c r="Q54" s="134">
        <v>4.4400000000000004</v>
      </c>
    </row>
    <row r="55" spans="1:17" customFormat="1">
      <c r="A55" s="112" t="s">
        <v>1436</v>
      </c>
      <c r="B55" s="134">
        <v>8.8699999999999992</v>
      </c>
      <c r="C55" s="134">
        <v>22.91</v>
      </c>
      <c r="D55" s="134">
        <v>18.04</v>
      </c>
      <c r="E55" s="134">
        <v>7.83</v>
      </c>
      <c r="F55" s="134">
        <v>5.58</v>
      </c>
      <c r="G55" s="134">
        <v>41.53</v>
      </c>
      <c r="H55" s="134">
        <v>12.67</v>
      </c>
      <c r="I55" s="134">
        <v>5.36</v>
      </c>
      <c r="J55" s="134">
        <v>0.87</v>
      </c>
      <c r="K55" s="134">
        <v>263.07</v>
      </c>
      <c r="L55" s="134">
        <v>32.32</v>
      </c>
      <c r="M55" s="134">
        <v>60.6</v>
      </c>
      <c r="N55" s="134">
        <v>774.3</v>
      </c>
      <c r="O55" s="134">
        <v>0</v>
      </c>
      <c r="P55" s="134">
        <v>0.56000000000000005</v>
      </c>
      <c r="Q55" s="134">
        <v>4.37</v>
      </c>
    </row>
    <row r="56" spans="1:17" customFormat="1">
      <c r="A56" s="112" t="s">
        <v>1437</v>
      </c>
      <c r="B56" s="134">
        <v>8.3800000000000008</v>
      </c>
      <c r="C56" s="134">
        <v>22.85</v>
      </c>
      <c r="D56" s="134">
        <v>17.62</v>
      </c>
      <c r="E56" s="134">
        <v>7.13</v>
      </c>
      <c r="F56" s="134">
        <v>5.4</v>
      </c>
      <c r="G56" s="134">
        <v>41.53</v>
      </c>
      <c r="H56" s="134">
        <v>12.67</v>
      </c>
      <c r="I56" s="134">
        <v>5.32</v>
      </c>
      <c r="J56" s="134">
        <v>0.89</v>
      </c>
      <c r="K56" s="134">
        <v>255.26</v>
      </c>
      <c r="L56" s="134">
        <v>32.26</v>
      </c>
      <c r="M56" s="134">
        <v>60.89</v>
      </c>
      <c r="N56" s="134">
        <v>695.4</v>
      </c>
      <c r="O56" s="134">
        <v>0</v>
      </c>
      <c r="P56" s="134">
        <v>0.56999999999999995</v>
      </c>
      <c r="Q56" s="134">
        <v>4.3600000000000003</v>
      </c>
    </row>
    <row r="57" spans="1:17" customFormat="1">
      <c r="A57" s="112" t="s">
        <v>1438</v>
      </c>
      <c r="B57" s="134">
        <v>7.82</v>
      </c>
      <c r="C57" s="134">
        <v>22.03</v>
      </c>
      <c r="D57" s="134">
        <v>16.739999999999998</v>
      </c>
      <c r="E57" s="134">
        <v>7.56</v>
      </c>
      <c r="F57" s="134">
        <v>7.15</v>
      </c>
      <c r="G57" s="134">
        <v>38.299999999999997</v>
      </c>
      <c r="H57" s="134">
        <v>12.32</v>
      </c>
      <c r="I57" s="134">
        <v>5.28</v>
      </c>
      <c r="J57" s="134">
        <v>0.79</v>
      </c>
      <c r="K57" s="134">
        <v>265.83999999999997</v>
      </c>
      <c r="L57" s="134">
        <v>32.33</v>
      </c>
      <c r="M57" s="134">
        <v>61.24</v>
      </c>
      <c r="N57" s="134">
        <v>659.4</v>
      </c>
      <c r="O57" s="134">
        <v>0</v>
      </c>
      <c r="P57" s="134">
        <v>0.56000000000000005</v>
      </c>
      <c r="Q57" s="134">
        <v>4.32</v>
      </c>
    </row>
    <row r="58" spans="1:17" customFormat="1">
      <c r="A58" s="112" t="s">
        <v>1439</v>
      </c>
      <c r="B58" s="134">
        <v>7.51</v>
      </c>
      <c r="C58" s="134">
        <v>22.17</v>
      </c>
      <c r="D58" s="134">
        <v>16.57</v>
      </c>
      <c r="E58" s="134">
        <v>7.42</v>
      </c>
      <c r="F58" s="134">
        <v>6.09</v>
      </c>
      <c r="G58" s="134">
        <v>36.99</v>
      </c>
      <c r="H58" s="134">
        <v>12.31</v>
      </c>
      <c r="I58" s="134">
        <v>5.2</v>
      </c>
      <c r="J58" s="134">
        <v>0.76</v>
      </c>
      <c r="K58" s="134">
        <v>263.38</v>
      </c>
      <c r="L58" s="134">
        <v>32.270000000000003</v>
      </c>
      <c r="M58" s="134">
        <v>61.43</v>
      </c>
      <c r="N58" s="134">
        <v>536.9</v>
      </c>
      <c r="O58" s="134">
        <v>0</v>
      </c>
      <c r="P58" s="134">
        <v>0.55000000000000004</v>
      </c>
      <c r="Q58" s="134">
        <v>4.25</v>
      </c>
    </row>
    <row r="59" spans="1:17" customFormat="1">
      <c r="A59" s="112" t="s">
        <v>1440</v>
      </c>
      <c r="B59" s="134">
        <v>7.06</v>
      </c>
      <c r="C59" s="134">
        <v>21.88</v>
      </c>
      <c r="D59" s="134">
        <v>16.05</v>
      </c>
      <c r="E59" s="134">
        <v>6.94</v>
      </c>
      <c r="F59" s="134">
        <v>6.35</v>
      </c>
      <c r="G59" s="134">
        <v>36.99</v>
      </c>
      <c r="H59" s="134">
        <v>12.31</v>
      </c>
      <c r="I59" s="134">
        <v>5.12</v>
      </c>
      <c r="J59" s="134">
        <v>0.89</v>
      </c>
      <c r="K59" s="134">
        <v>258.92</v>
      </c>
      <c r="L59" s="134">
        <v>32.01</v>
      </c>
      <c r="M59" s="134">
        <v>62.03</v>
      </c>
      <c r="N59" s="134">
        <v>436.9</v>
      </c>
      <c r="O59" s="134">
        <v>0</v>
      </c>
      <c r="P59" s="134">
        <v>0.53</v>
      </c>
      <c r="Q59" s="134">
        <v>4.25</v>
      </c>
    </row>
    <row r="60" spans="1:17" customFormat="1">
      <c r="A60" s="112" t="s">
        <v>1441</v>
      </c>
      <c r="B60" s="134">
        <v>6.61</v>
      </c>
      <c r="C60" s="134">
        <v>21.4</v>
      </c>
      <c r="D60" s="134">
        <v>15.44</v>
      </c>
      <c r="E60" s="134">
        <v>7.3</v>
      </c>
      <c r="F60" s="134">
        <v>7.41</v>
      </c>
      <c r="G60" s="134">
        <v>36.99</v>
      </c>
      <c r="H60" s="134">
        <v>12.31</v>
      </c>
      <c r="I60" s="134">
        <v>5.0999999999999996</v>
      </c>
      <c r="J60" s="134">
        <v>1.04</v>
      </c>
      <c r="K60" s="134">
        <v>264.49</v>
      </c>
      <c r="L60" s="134">
        <v>31.73</v>
      </c>
      <c r="M60" s="134">
        <v>62</v>
      </c>
      <c r="N60" s="134">
        <v>542.29999999999995</v>
      </c>
      <c r="O60" s="134">
        <v>0</v>
      </c>
      <c r="P60" s="134">
        <v>0.53</v>
      </c>
      <c r="Q60" s="134">
        <v>4.22</v>
      </c>
    </row>
    <row r="61" spans="1:17" customFormat="1">
      <c r="A61" s="112" t="s">
        <v>1442</v>
      </c>
      <c r="B61" s="134">
        <v>6.12</v>
      </c>
      <c r="C61" s="134">
        <v>20.82</v>
      </c>
      <c r="D61" s="134">
        <v>14.74</v>
      </c>
      <c r="E61" s="134">
        <v>7.6</v>
      </c>
      <c r="F61" s="134">
        <v>8.01</v>
      </c>
      <c r="G61" s="134">
        <v>38.21</v>
      </c>
      <c r="H61" s="134">
        <v>12.49</v>
      </c>
      <c r="I61" s="134">
        <v>4.93</v>
      </c>
      <c r="J61" s="134">
        <v>0.91</v>
      </c>
      <c r="K61" s="134">
        <v>266.3</v>
      </c>
      <c r="L61" s="134">
        <v>32.28</v>
      </c>
      <c r="M61" s="134">
        <v>60.47</v>
      </c>
      <c r="N61" s="134">
        <v>682.3</v>
      </c>
      <c r="O61" s="134">
        <v>0</v>
      </c>
      <c r="P61" s="134">
        <v>0.52</v>
      </c>
      <c r="Q61" s="134">
        <v>4.1900000000000004</v>
      </c>
    </row>
    <row r="62" spans="1:17" customFormat="1">
      <c r="A62" s="112" t="s">
        <v>1443</v>
      </c>
      <c r="B62" s="134">
        <v>5.95</v>
      </c>
      <c r="C62" s="134">
        <v>21.15</v>
      </c>
      <c r="D62" s="134">
        <v>14.78</v>
      </c>
      <c r="E62" s="134">
        <v>6.69</v>
      </c>
      <c r="F62" s="134">
        <v>6.74</v>
      </c>
      <c r="G62" s="134">
        <v>38.71</v>
      </c>
      <c r="H62" s="134">
        <v>12.5</v>
      </c>
      <c r="I62" s="134">
        <v>4.74</v>
      </c>
      <c r="J62" s="134">
        <v>0.84</v>
      </c>
      <c r="K62" s="134">
        <v>262.54000000000002</v>
      </c>
      <c r="L62" s="134">
        <v>32.89</v>
      </c>
      <c r="M62" s="134">
        <v>59.11</v>
      </c>
      <c r="N62" s="134">
        <v>794.3</v>
      </c>
      <c r="O62" s="134">
        <v>0</v>
      </c>
      <c r="P62" s="134">
        <v>0.51</v>
      </c>
      <c r="Q62" s="134">
        <v>4.1500000000000004</v>
      </c>
    </row>
    <row r="63" spans="1:17" customFormat="1">
      <c r="A63" s="112" t="s">
        <v>1444</v>
      </c>
      <c r="B63" s="134">
        <v>5.69</v>
      </c>
      <c r="C63" s="134">
        <v>21.29</v>
      </c>
      <c r="D63" s="134">
        <v>14.64</v>
      </c>
      <c r="E63" s="134">
        <v>7.53</v>
      </c>
      <c r="F63" s="134">
        <v>7.28</v>
      </c>
      <c r="G63" s="134">
        <v>38.71</v>
      </c>
      <c r="H63" s="134">
        <v>12.5</v>
      </c>
      <c r="I63" s="134">
        <v>4.63</v>
      </c>
      <c r="J63" s="134">
        <v>0.82</v>
      </c>
      <c r="K63" s="134">
        <v>267.02</v>
      </c>
      <c r="L63" s="134">
        <v>32.74</v>
      </c>
      <c r="M63" s="134">
        <v>59.2</v>
      </c>
      <c r="N63" s="134">
        <v>458.5</v>
      </c>
      <c r="O63" s="134">
        <v>0</v>
      </c>
      <c r="P63" s="134">
        <v>0.5</v>
      </c>
      <c r="Q63" s="134">
        <v>4.1399999999999997</v>
      </c>
    </row>
    <row r="64" spans="1:17" customFormat="1">
      <c r="A64" s="112" t="s">
        <v>1445</v>
      </c>
      <c r="B64" s="134">
        <v>5.5</v>
      </c>
      <c r="C64" s="134">
        <v>21.3</v>
      </c>
      <c r="D64" s="134">
        <v>14.49</v>
      </c>
      <c r="E64" s="134">
        <v>6.63</v>
      </c>
      <c r="F64" s="134">
        <v>6.42</v>
      </c>
      <c r="G64" s="134">
        <v>38.71</v>
      </c>
      <c r="H64" s="134">
        <v>12.5</v>
      </c>
      <c r="I64" s="134">
        <v>4.66</v>
      </c>
      <c r="J64" s="134">
        <v>0.73</v>
      </c>
      <c r="K64" s="134">
        <v>259.95</v>
      </c>
      <c r="L64" s="134">
        <v>32.409999999999997</v>
      </c>
      <c r="M64" s="134">
        <v>59.81</v>
      </c>
      <c r="N64" s="134">
        <v>408.1</v>
      </c>
      <c r="O64" s="134">
        <v>0</v>
      </c>
      <c r="P64" s="134">
        <v>0.5</v>
      </c>
      <c r="Q64" s="134">
        <v>4.1100000000000003</v>
      </c>
    </row>
    <row r="65" spans="1:17" customFormat="1">
      <c r="A65" s="112" t="s">
        <v>1446</v>
      </c>
      <c r="B65" s="134">
        <v>5.21</v>
      </c>
      <c r="C65" s="134">
        <v>20.6</v>
      </c>
      <c r="D65" s="134">
        <v>13.89</v>
      </c>
      <c r="E65" s="134">
        <v>6.99</v>
      </c>
      <c r="F65" s="134">
        <v>7.54</v>
      </c>
      <c r="G65" s="134">
        <v>36.159999999999997</v>
      </c>
      <c r="H65" s="134">
        <v>10.33</v>
      </c>
      <c r="I65" s="134">
        <v>4.5599999999999996</v>
      </c>
      <c r="J65" s="134">
        <v>1.26</v>
      </c>
      <c r="K65" s="134">
        <v>264.56</v>
      </c>
      <c r="L65" s="134">
        <v>32.03</v>
      </c>
      <c r="M65" s="134">
        <v>59.48</v>
      </c>
      <c r="N65" s="134">
        <v>434.5</v>
      </c>
      <c r="O65" s="134">
        <v>0</v>
      </c>
      <c r="P65" s="134">
        <v>0.46</v>
      </c>
      <c r="Q65" s="134">
        <v>4.0999999999999996</v>
      </c>
    </row>
    <row r="66" spans="1:17" customFormat="1">
      <c r="A66" s="112" t="s">
        <v>1447</v>
      </c>
      <c r="B66" s="134">
        <v>5.04</v>
      </c>
      <c r="C66" s="134">
        <v>20.65</v>
      </c>
      <c r="D66" s="134">
        <v>13.78</v>
      </c>
      <c r="E66" s="134">
        <v>7.06</v>
      </c>
      <c r="F66" s="134">
        <v>7.04</v>
      </c>
      <c r="G66" s="134">
        <v>35.130000000000003</v>
      </c>
      <c r="H66" s="134">
        <v>10.17</v>
      </c>
      <c r="I66" s="134">
        <v>4.53</v>
      </c>
      <c r="J66" s="134">
        <v>0.81</v>
      </c>
      <c r="K66" s="134">
        <v>264.27</v>
      </c>
      <c r="L66" s="134">
        <v>32.28</v>
      </c>
      <c r="M66" s="134">
        <v>59.78</v>
      </c>
      <c r="N66" s="134">
        <v>501.6</v>
      </c>
      <c r="O66" s="134">
        <v>0</v>
      </c>
      <c r="P66" s="134">
        <v>0.47</v>
      </c>
      <c r="Q66" s="134">
        <v>4.1100000000000003</v>
      </c>
    </row>
    <row r="67" spans="1:17" customFormat="1">
      <c r="A67" s="112" t="s">
        <v>1448</v>
      </c>
      <c r="B67" s="134">
        <v>4.95</v>
      </c>
      <c r="C67" s="134">
        <v>20.37</v>
      </c>
      <c r="D67" s="134">
        <v>13.56</v>
      </c>
      <c r="E67" s="134">
        <v>6.45</v>
      </c>
      <c r="F67" s="134">
        <v>7.79</v>
      </c>
      <c r="G67" s="134">
        <v>35.130000000000003</v>
      </c>
      <c r="H67" s="134">
        <v>10.17</v>
      </c>
      <c r="I67" s="134">
        <v>4.3499999999999996</v>
      </c>
      <c r="J67" s="134">
        <v>0.78</v>
      </c>
      <c r="K67" s="134">
        <v>259.94</v>
      </c>
      <c r="L67" s="134">
        <v>32.15</v>
      </c>
      <c r="M67" s="134">
        <v>59.91</v>
      </c>
      <c r="N67" s="134">
        <v>360.7</v>
      </c>
      <c r="O67" s="134">
        <v>0</v>
      </c>
      <c r="P67" s="134">
        <v>0.46</v>
      </c>
      <c r="Q67" s="134">
        <v>4.09</v>
      </c>
    </row>
    <row r="68" spans="1:17" customFormat="1">
      <c r="A68" s="112" t="s">
        <v>1449</v>
      </c>
      <c r="B68" s="134">
        <v>4.9800000000000004</v>
      </c>
      <c r="C68" s="134">
        <v>20.37</v>
      </c>
      <c r="D68" s="134">
        <v>13.59</v>
      </c>
      <c r="E68" s="134">
        <v>6.13</v>
      </c>
      <c r="F68" s="134">
        <v>6.05</v>
      </c>
      <c r="G68" s="134">
        <v>35.130000000000003</v>
      </c>
      <c r="H68" s="134">
        <v>10.17</v>
      </c>
      <c r="I68" s="134">
        <v>4.33</v>
      </c>
      <c r="J68" s="134">
        <v>0.91</v>
      </c>
      <c r="K68" s="134">
        <v>267.69</v>
      </c>
      <c r="L68" s="134">
        <v>32.229999999999997</v>
      </c>
      <c r="M68" s="134">
        <v>59.73</v>
      </c>
      <c r="N68" s="134">
        <v>442.1</v>
      </c>
      <c r="O68" s="134">
        <v>0</v>
      </c>
      <c r="P68" s="134">
        <v>0.47</v>
      </c>
      <c r="Q68" s="134">
        <v>4.07</v>
      </c>
    </row>
    <row r="69" spans="1:17" customFormat="1">
      <c r="A69" s="112" t="s">
        <v>1450</v>
      </c>
      <c r="B69" s="134">
        <v>4.7699999999999996</v>
      </c>
      <c r="C69" s="134">
        <v>22.15</v>
      </c>
      <c r="D69" s="134">
        <v>14.35</v>
      </c>
      <c r="E69" s="134">
        <v>6.03</v>
      </c>
      <c r="F69" s="134">
        <v>4.01</v>
      </c>
      <c r="G69" s="134">
        <v>31</v>
      </c>
      <c r="H69" s="134">
        <v>9.07</v>
      </c>
      <c r="I69" s="134">
        <v>4.2300000000000004</v>
      </c>
      <c r="J69" s="134">
        <v>0.79</v>
      </c>
      <c r="K69" s="134">
        <v>264.58999999999997</v>
      </c>
      <c r="L69" s="134">
        <v>32.14</v>
      </c>
      <c r="M69" s="134">
        <v>60.56</v>
      </c>
      <c r="N69" s="134">
        <v>257.39999999999998</v>
      </c>
      <c r="O69" s="134">
        <v>0</v>
      </c>
      <c r="P69" s="134">
        <v>0.5</v>
      </c>
      <c r="Q69" s="134">
        <v>4.04</v>
      </c>
    </row>
    <row r="70" spans="1:17" customFormat="1">
      <c r="A70" s="112" t="s">
        <v>1451</v>
      </c>
      <c r="B70" s="134">
        <v>4.58</v>
      </c>
      <c r="C70" s="134">
        <v>23.53</v>
      </c>
      <c r="D70" s="134">
        <v>14.92</v>
      </c>
      <c r="E70" s="134">
        <v>6.39</v>
      </c>
      <c r="F70" s="134">
        <v>3.9</v>
      </c>
      <c r="G70" s="134">
        <v>29.33</v>
      </c>
      <c r="H70" s="134">
        <v>9.02</v>
      </c>
      <c r="I70" s="134">
        <v>4.3099999999999996</v>
      </c>
      <c r="J70" s="134">
        <v>0.72</v>
      </c>
      <c r="K70" s="134">
        <v>271.48</v>
      </c>
      <c r="L70" s="134">
        <v>31.67</v>
      </c>
      <c r="M70" s="134">
        <v>61.33</v>
      </c>
      <c r="N70" s="134">
        <v>236</v>
      </c>
      <c r="O70" s="134">
        <v>0</v>
      </c>
      <c r="P70" s="134">
        <v>0.52</v>
      </c>
      <c r="Q70" s="134">
        <v>4.0999999999999996</v>
      </c>
    </row>
    <row r="71" spans="1:17" customFormat="1">
      <c r="A71" s="112" t="s">
        <v>1452</v>
      </c>
      <c r="B71" s="134">
        <v>4.72</v>
      </c>
      <c r="C71" s="134">
        <v>21.88</v>
      </c>
      <c r="D71" s="134">
        <v>14.17</v>
      </c>
      <c r="E71" s="134">
        <v>6.19</v>
      </c>
      <c r="F71" s="134">
        <v>6.07</v>
      </c>
      <c r="G71" s="134">
        <v>29.33</v>
      </c>
      <c r="H71" s="134">
        <v>9.02</v>
      </c>
      <c r="I71" s="134">
        <v>4.38</v>
      </c>
      <c r="J71" s="134">
        <v>0.69</v>
      </c>
      <c r="K71" s="134">
        <v>266.11</v>
      </c>
      <c r="L71" s="134">
        <v>31.36</v>
      </c>
      <c r="M71" s="134">
        <v>62.75</v>
      </c>
      <c r="N71" s="134">
        <v>156.80000000000001</v>
      </c>
      <c r="O71" s="134">
        <v>0</v>
      </c>
      <c r="P71" s="134">
        <v>0.47</v>
      </c>
      <c r="Q71" s="134">
        <v>4.07</v>
      </c>
    </row>
    <row r="72" spans="1:17" customFormat="1">
      <c r="A72" s="112" t="s">
        <v>1453</v>
      </c>
      <c r="B72" s="134">
        <v>4.82</v>
      </c>
      <c r="C72" s="134">
        <v>19.940000000000001</v>
      </c>
      <c r="D72" s="134">
        <v>13.24</v>
      </c>
      <c r="E72" s="134">
        <v>5.8</v>
      </c>
      <c r="F72" s="134">
        <v>7.86</v>
      </c>
      <c r="G72" s="134">
        <v>29.33</v>
      </c>
      <c r="H72" s="134">
        <v>9.02</v>
      </c>
      <c r="I72" s="134">
        <v>4.24</v>
      </c>
      <c r="J72" s="134">
        <v>0.69</v>
      </c>
      <c r="K72" s="134">
        <v>258.41000000000003</v>
      </c>
      <c r="L72" s="134">
        <v>31.07</v>
      </c>
      <c r="M72" s="134">
        <v>62.5</v>
      </c>
      <c r="N72" s="134">
        <v>116.6</v>
      </c>
      <c r="O72" s="134">
        <v>0</v>
      </c>
      <c r="P72" s="134">
        <v>0.42</v>
      </c>
      <c r="Q72" s="134">
        <v>4.03</v>
      </c>
    </row>
    <row r="73" spans="1:17" customFormat="1">
      <c r="A73" s="112" t="s">
        <v>1454</v>
      </c>
      <c r="B73" s="134">
        <v>4.45</v>
      </c>
      <c r="C73" s="134">
        <v>17.61</v>
      </c>
      <c r="D73" s="134">
        <v>11.72</v>
      </c>
      <c r="E73" s="134">
        <v>6.5</v>
      </c>
      <c r="F73" s="134">
        <v>12.89</v>
      </c>
      <c r="G73" s="134">
        <v>29.54</v>
      </c>
      <c r="H73" s="134">
        <v>7.46</v>
      </c>
      <c r="I73" s="134">
        <v>3.95</v>
      </c>
      <c r="J73" s="134">
        <v>0.71</v>
      </c>
      <c r="K73" s="134">
        <v>263.92</v>
      </c>
      <c r="L73" s="134">
        <v>30.9</v>
      </c>
      <c r="M73" s="134">
        <v>61.89</v>
      </c>
      <c r="N73" s="134">
        <v>110</v>
      </c>
      <c r="O73" s="134">
        <v>0</v>
      </c>
      <c r="P73" s="134">
        <v>0.37</v>
      </c>
      <c r="Q73" s="134">
        <v>4.0599999999999996</v>
      </c>
    </row>
    <row r="74" spans="1:17" customFormat="1">
      <c r="A74" s="112" t="s">
        <v>1455</v>
      </c>
      <c r="B74" s="134">
        <v>4.37</v>
      </c>
      <c r="C74" s="134">
        <v>17.84</v>
      </c>
      <c r="D74" s="134">
        <v>11.78</v>
      </c>
      <c r="E74" s="134">
        <v>6.08</v>
      </c>
      <c r="F74" s="134">
        <v>10.71</v>
      </c>
      <c r="G74" s="134">
        <v>29.63</v>
      </c>
      <c r="H74" s="134">
        <v>7.39</v>
      </c>
      <c r="I74" s="134">
        <v>3.63</v>
      </c>
      <c r="J74" s="134">
        <v>0.82</v>
      </c>
      <c r="K74" s="134">
        <v>265.60000000000002</v>
      </c>
      <c r="L74" s="134">
        <v>30.87</v>
      </c>
      <c r="M74" s="134">
        <v>60.76</v>
      </c>
      <c r="N74" s="134">
        <v>109.5</v>
      </c>
      <c r="O74" s="134">
        <v>0</v>
      </c>
      <c r="P74" s="134">
        <v>0.36</v>
      </c>
      <c r="Q74" s="134">
        <v>4.03</v>
      </c>
    </row>
    <row r="75" spans="1:17" customFormat="1">
      <c r="A75" s="112" t="s">
        <v>1456</v>
      </c>
      <c r="B75" s="134">
        <v>4.41</v>
      </c>
      <c r="C75" s="134">
        <v>18.73</v>
      </c>
      <c r="D75" s="134">
        <v>12.28</v>
      </c>
      <c r="E75" s="134">
        <v>6.17</v>
      </c>
      <c r="F75" s="134">
        <v>9.73</v>
      </c>
      <c r="G75" s="134">
        <v>29.63</v>
      </c>
      <c r="H75" s="134">
        <v>7.39</v>
      </c>
      <c r="I75" s="134">
        <v>3.24</v>
      </c>
      <c r="J75" s="134">
        <v>0.59</v>
      </c>
      <c r="K75" s="134">
        <v>266.14</v>
      </c>
      <c r="L75" s="134">
        <v>30.82</v>
      </c>
      <c r="M75" s="134">
        <v>62.43</v>
      </c>
      <c r="N75" s="134">
        <v>98.6</v>
      </c>
      <c r="O75" s="134">
        <v>0</v>
      </c>
      <c r="P75" s="134">
        <v>0.37</v>
      </c>
      <c r="Q75" s="134">
        <v>4.04</v>
      </c>
    </row>
    <row r="76" spans="1:17" customFormat="1">
      <c r="A76" s="112" t="s">
        <v>1457</v>
      </c>
      <c r="B76" s="134">
        <v>4.46</v>
      </c>
      <c r="C76" s="134">
        <v>18.510000000000002</v>
      </c>
      <c r="D76" s="134">
        <v>12.2</v>
      </c>
      <c r="E76" s="134">
        <v>6.43</v>
      </c>
      <c r="F76" s="134">
        <v>10.16</v>
      </c>
      <c r="G76" s="134">
        <v>29.63</v>
      </c>
      <c r="H76" s="134">
        <v>7.39</v>
      </c>
      <c r="I76" s="134">
        <v>3.28</v>
      </c>
      <c r="J76" s="134">
        <v>0.66</v>
      </c>
      <c r="K76" s="134">
        <v>259.57</v>
      </c>
      <c r="L76" s="134">
        <v>30.77</v>
      </c>
      <c r="M76" s="134">
        <v>62.57</v>
      </c>
      <c r="N76" s="134">
        <v>90</v>
      </c>
      <c r="O76" s="134">
        <v>0</v>
      </c>
      <c r="P76" s="134">
        <v>0.37</v>
      </c>
      <c r="Q76" s="134">
        <v>4.03</v>
      </c>
    </row>
    <row r="77" spans="1:17" customFormat="1">
      <c r="A77" s="112" t="s">
        <v>1458</v>
      </c>
      <c r="B77" s="134">
        <v>4.57</v>
      </c>
      <c r="C77" s="134">
        <v>19.440000000000001</v>
      </c>
      <c r="D77" s="134">
        <v>12.78</v>
      </c>
      <c r="E77" s="134">
        <v>6.81</v>
      </c>
      <c r="F77" s="134">
        <v>7.35</v>
      </c>
      <c r="G77" s="134">
        <v>27.58</v>
      </c>
      <c r="H77" s="134">
        <v>8.93</v>
      </c>
      <c r="I77" s="134">
        <v>3.31</v>
      </c>
      <c r="J77" s="134">
        <v>0.46</v>
      </c>
      <c r="K77" s="134">
        <v>257.3</v>
      </c>
      <c r="L77" s="134">
        <v>30.56</v>
      </c>
      <c r="M77" s="134">
        <v>64.31</v>
      </c>
      <c r="N77" s="134">
        <v>44.1</v>
      </c>
      <c r="O77" s="134">
        <v>0</v>
      </c>
      <c r="P77" s="134">
        <v>0.39</v>
      </c>
      <c r="Q77" s="134">
        <v>4.05</v>
      </c>
    </row>
    <row r="78" spans="1:17" customFormat="1">
      <c r="A78" s="112" t="s">
        <v>1459</v>
      </c>
      <c r="B78" s="134">
        <v>4.9000000000000004</v>
      </c>
      <c r="C78" s="134">
        <v>21.01</v>
      </c>
      <c r="D78" s="134">
        <v>13.86</v>
      </c>
      <c r="E78" s="134">
        <v>7</v>
      </c>
      <c r="F78" s="134">
        <v>6.28</v>
      </c>
      <c r="G78" s="134">
        <v>26.74</v>
      </c>
      <c r="H78" s="134">
        <v>9</v>
      </c>
      <c r="I78" s="134">
        <v>3.28</v>
      </c>
      <c r="J78" s="134">
        <v>0.52</v>
      </c>
      <c r="K78" s="134">
        <v>258.22000000000003</v>
      </c>
      <c r="L78" s="134">
        <v>30.38</v>
      </c>
      <c r="M78" s="134">
        <v>63.93</v>
      </c>
      <c r="N78" s="134">
        <v>27.3</v>
      </c>
      <c r="O78" s="134">
        <v>0</v>
      </c>
      <c r="P78" s="134">
        <v>0.4</v>
      </c>
      <c r="Q78" s="134">
        <v>4.1100000000000003</v>
      </c>
    </row>
    <row r="79" spans="1:17" customFormat="1">
      <c r="A79" s="112" t="s">
        <v>1460</v>
      </c>
      <c r="B79" s="134">
        <v>5</v>
      </c>
      <c r="C79" s="134">
        <v>19.559999999999999</v>
      </c>
      <c r="D79" s="134">
        <v>13.19</v>
      </c>
      <c r="E79" s="134">
        <v>6.75</v>
      </c>
      <c r="F79" s="134">
        <v>8.0299999999999994</v>
      </c>
      <c r="G79" s="134">
        <v>26.74</v>
      </c>
      <c r="H79" s="134">
        <v>9</v>
      </c>
      <c r="I79" s="134">
        <v>3.35</v>
      </c>
      <c r="J79" s="134">
        <v>0.45</v>
      </c>
      <c r="K79" s="134">
        <v>262.8</v>
      </c>
      <c r="L79" s="134">
        <v>30.2</v>
      </c>
      <c r="M79" s="134">
        <v>65.44</v>
      </c>
      <c r="N79" s="134">
        <v>22.7</v>
      </c>
      <c r="O79" s="134">
        <v>0</v>
      </c>
      <c r="P79" s="134">
        <v>0.39</v>
      </c>
      <c r="Q79" s="134">
        <v>4.09</v>
      </c>
    </row>
    <row r="80" spans="1:17" customFormat="1">
      <c r="A80" s="112" t="s">
        <v>1461</v>
      </c>
      <c r="B80" s="134">
        <v>4.97</v>
      </c>
      <c r="C80" s="134">
        <v>18.350000000000001</v>
      </c>
      <c r="D80" s="134">
        <v>12.53</v>
      </c>
      <c r="E80" s="134">
        <v>6.59</v>
      </c>
      <c r="F80" s="134">
        <v>8.93</v>
      </c>
      <c r="G80" s="134">
        <v>26.74</v>
      </c>
      <c r="H80" s="134">
        <v>9</v>
      </c>
      <c r="I80" s="134">
        <v>3.36</v>
      </c>
      <c r="J80" s="134">
        <v>0.47</v>
      </c>
      <c r="K80" s="134">
        <v>261.25</v>
      </c>
      <c r="L80" s="134">
        <v>30.06</v>
      </c>
      <c r="M80" s="134">
        <v>66.36</v>
      </c>
      <c r="N80" s="134">
        <v>12.9</v>
      </c>
      <c r="O80" s="134">
        <v>0</v>
      </c>
      <c r="P80" s="134">
        <v>0.37</v>
      </c>
      <c r="Q80" s="134">
        <v>4.09</v>
      </c>
    </row>
    <row r="81" spans="1:17" customFormat="1">
      <c r="A81" s="112" t="s">
        <v>1462</v>
      </c>
      <c r="B81" s="134">
        <v>4.8099999999999996</v>
      </c>
      <c r="C81" s="134">
        <v>17.190000000000001</v>
      </c>
      <c r="D81" s="134">
        <v>11.79</v>
      </c>
      <c r="E81" s="134">
        <v>5.88</v>
      </c>
      <c r="F81" s="134">
        <v>11.09</v>
      </c>
      <c r="G81" s="134">
        <v>26.19</v>
      </c>
      <c r="H81" s="134">
        <v>7.94</v>
      </c>
      <c r="I81" s="134">
        <v>3.14</v>
      </c>
      <c r="J81" s="134">
        <v>0.23</v>
      </c>
      <c r="K81" s="134">
        <v>236.56</v>
      </c>
      <c r="L81" s="134">
        <v>29.88</v>
      </c>
      <c r="M81" s="134">
        <v>68.06</v>
      </c>
      <c r="N81" s="134">
        <v>1.5</v>
      </c>
      <c r="O81" s="134">
        <v>0</v>
      </c>
      <c r="P81" s="134">
        <v>0.36</v>
      </c>
      <c r="Q81" s="134">
        <v>4.1100000000000003</v>
      </c>
    </row>
    <row r="82" spans="1:17" customFormat="1">
      <c r="A82" s="112" t="s">
        <v>1463</v>
      </c>
      <c r="B82" s="134">
        <v>4.9000000000000004</v>
      </c>
      <c r="C82" s="134">
        <v>16.68</v>
      </c>
      <c r="D82" s="134">
        <v>11.6</v>
      </c>
      <c r="E82" s="134">
        <v>6.98</v>
      </c>
      <c r="F82" s="134">
        <v>10.89</v>
      </c>
      <c r="G82" s="134">
        <v>25.97</v>
      </c>
      <c r="H82" s="134">
        <v>7.89</v>
      </c>
      <c r="I82" s="134">
        <v>3</v>
      </c>
      <c r="J82" s="134">
        <v>0.33</v>
      </c>
      <c r="K82" s="134">
        <v>255.34</v>
      </c>
      <c r="L82" s="134">
        <v>29.68</v>
      </c>
      <c r="M82" s="134">
        <v>67.900000000000006</v>
      </c>
      <c r="N82" s="134">
        <v>0</v>
      </c>
      <c r="O82" s="134">
        <v>0</v>
      </c>
      <c r="P82" s="134">
        <v>0.34</v>
      </c>
      <c r="Q82" s="134">
        <v>4.0999999999999996</v>
      </c>
    </row>
    <row r="83" spans="1:17" customFormat="1">
      <c r="A83" s="112" t="s">
        <v>1464</v>
      </c>
      <c r="B83" s="134">
        <v>4.97</v>
      </c>
      <c r="C83" s="134">
        <v>16.420000000000002</v>
      </c>
      <c r="D83" s="134">
        <v>11.52</v>
      </c>
      <c r="E83" s="134">
        <v>7.33</v>
      </c>
      <c r="F83" s="134">
        <v>10.8</v>
      </c>
      <c r="G83" s="134">
        <v>25.97</v>
      </c>
      <c r="H83" s="134">
        <v>7.89</v>
      </c>
      <c r="I83" s="134">
        <v>2.84</v>
      </c>
      <c r="J83" s="134">
        <v>0.28999999999999998</v>
      </c>
      <c r="K83" s="134">
        <v>256.85000000000002</v>
      </c>
      <c r="L83" s="134">
        <v>29.53</v>
      </c>
      <c r="M83" s="134">
        <v>68.89</v>
      </c>
      <c r="N83" s="134">
        <v>0</v>
      </c>
      <c r="O83" s="134">
        <v>0</v>
      </c>
      <c r="P83" s="134">
        <v>0.35</v>
      </c>
      <c r="Q83" s="134">
        <v>4.08</v>
      </c>
    </row>
    <row r="84" spans="1:17" customFormat="1">
      <c r="A84" s="112" t="s">
        <v>1465</v>
      </c>
      <c r="B84" s="134">
        <v>5.07</v>
      </c>
      <c r="C84" s="134">
        <v>16.309999999999999</v>
      </c>
      <c r="D84" s="134">
        <v>11.54</v>
      </c>
      <c r="E84" s="134">
        <v>7.01</v>
      </c>
      <c r="F84" s="134">
        <v>10.62</v>
      </c>
      <c r="G84" s="134">
        <v>25.97</v>
      </c>
      <c r="H84" s="134">
        <v>7.89</v>
      </c>
      <c r="I84" s="134">
        <v>2.82</v>
      </c>
      <c r="J84" s="134">
        <v>0.38</v>
      </c>
      <c r="K84" s="134">
        <v>257.92</v>
      </c>
      <c r="L84" s="134">
        <v>29.41</v>
      </c>
      <c r="M84" s="134">
        <v>69.83</v>
      </c>
      <c r="N84" s="134">
        <v>0</v>
      </c>
      <c r="O84" s="134">
        <v>0</v>
      </c>
      <c r="P84" s="134">
        <v>0.34</v>
      </c>
      <c r="Q84" s="134">
        <v>4.1100000000000003</v>
      </c>
    </row>
    <row r="85" spans="1:17" customFormat="1">
      <c r="A85" s="112" t="s">
        <v>1466</v>
      </c>
      <c r="B85" s="134">
        <v>5</v>
      </c>
      <c r="C85" s="134">
        <v>15.92</v>
      </c>
      <c r="D85" s="134">
        <v>11.28</v>
      </c>
      <c r="E85" s="134">
        <v>7.36</v>
      </c>
      <c r="F85" s="134">
        <v>12.01</v>
      </c>
      <c r="G85" s="134">
        <v>26.92</v>
      </c>
      <c r="H85" s="134">
        <v>5.81</v>
      </c>
      <c r="I85" s="134">
        <v>2.81</v>
      </c>
      <c r="J85" s="134">
        <v>0.4</v>
      </c>
      <c r="K85" s="134">
        <v>258.88</v>
      </c>
      <c r="L85" s="134">
        <v>29.4</v>
      </c>
      <c r="M85" s="134">
        <v>69.459999999999994</v>
      </c>
      <c r="N85" s="134">
        <v>0</v>
      </c>
      <c r="O85" s="134">
        <v>0</v>
      </c>
      <c r="P85" s="134">
        <v>0.34</v>
      </c>
      <c r="Q85" s="134">
        <v>4.1100000000000003</v>
      </c>
    </row>
    <row r="86" spans="1:17" customFormat="1">
      <c r="A86" s="112" t="s">
        <v>1467</v>
      </c>
      <c r="B86" s="134">
        <v>5.83</v>
      </c>
      <c r="C86" s="134">
        <v>18.75</v>
      </c>
      <c r="D86" s="134">
        <v>13.43</v>
      </c>
      <c r="E86" s="134">
        <v>7.41</v>
      </c>
      <c r="F86" s="134">
        <v>5.87</v>
      </c>
      <c r="G86" s="134">
        <v>27.3</v>
      </c>
      <c r="H86" s="134">
        <v>5.71</v>
      </c>
      <c r="I86" s="134">
        <v>2.83</v>
      </c>
      <c r="J86" s="134">
        <v>0.42</v>
      </c>
      <c r="K86" s="134">
        <v>254.76</v>
      </c>
      <c r="L86" s="134">
        <v>29.39</v>
      </c>
      <c r="M86" s="134">
        <v>70.02</v>
      </c>
      <c r="N86" s="134">
        <v>0</v>
      </c>
      <c r="O86" s="134">
        <v>0</v>
      </c>
      <c r="P86" s="134">
        <v>0.37</v>
      </c>
      <c r="Q86" s="134">
        <v>4.13</v>
      </c>
    </row>
    <row r="87" spans="1:17" customFormat="1">
      <c r="A87" s="112" t="s">
        <v>1468</v>
      </c>
      <c r="B87" s="134">
        <v>6.27</v>
      </c>
      <c r="C87" s="134">
        <v>20.51</v>
      </c>
      <c r="D87" s="134">
        <v>14.7</v>
      </c>
      <c r="E87" s="134">
        <v>7.43</v>
      </c>
      <c r="F87" s="134">
        <v>5.87</v>
      </c>
      <c r="G87" s="134">
        <v>27.3</v>
      </c>
      <c r="H87" s="134">
        <v>5.71</v>
      </c>
      <c r="I87" s="134">
        <v>2.88</v>
      </c>
      <c r="J87" s="134">
        <v>0.4</v>
      </c>
      <c r="K87" s="134">
        <v>259.61</v>
      </c>
      <c r="L87" s="134">
        <v>29.25</v>
      </c>
      <c r="M87" s="134">
        <v>71.290000000000006</v>
      </c>
      <c r="N87" s="134">
        <v>0</v>
      </c>
      <c r="O87" s="134">
        <v>0</v>
      </c>
      <c r="P87" s="134">
        <v>0.39</v>
      </c>
      <c r="Q87" s="134">
        <v>4.2</v>
      </c>
    </row>
    <row r="88" spans="1:17" customFormat="1">
      <c r="A88" s="112" t="s">
        <v>1469</v>
      </c>
      <c r="B88" s="134">
        <v>6.26</v>
      </c>
      <c r="C88" s="134">
        <v>19.010000000000002</v>
      </c>
      <c r="D88" s="134">
        <v>13.91</v>
      </c>
      <c r="E88" s="134">
        <v>7.71</v>
      </c>
      <c r="F88" s="134">
        <v>7.61</v>
      </c>
      <c r="G88" s="134">
        <v>27.3</v>
      </c>
      <c r="H88" s="134">
        <v>5.71</v>
      </c>
      <c r="I88" s="134">
        <v>3.14</v>
      </c>
      <c r="J88" s="134">
        <v>0.47</v>
      </c>
      <c r="K88" s="134">
        <v>264.81</v>
      </c>
      <c r="L88" s="134">
        <v>29.17</v>
      </c>
      <c r="M88" s="134">
        <v>71.63</v>
      </c>
      <c r="N88" s="134">
        <v>0</v>
      </c>
      <c r="O88" s="134">
        <v>0</v>
      </c>
      <c r="P88" s="134">
        <v>0.38</v>
      </c>
      <c r="Q88" s="134">
        <v>4.1900000000000004</v>
      </c>
    </row>
    <row r="89" spans="1:17" customFormat="1">
      <c r="A89" s="112" t="s">
        <v>1470</v>
      </c>
      <c r="B89" s="134">
        <v>6.72</v>
      </c>
      <c r="C89" s="134">
        <v>19.23</v>
      </c>
      <c r="D89" s="134">
        <v>14.39</v>
      </c>
      <c r="E89" s="134">
        <v>7.76</v>
      </c>
      <c r="F89" s="134">
        <v>5.84</v>
      </c>
      <c r="G89" s="134">
        <v>28.82</v>
      </c>
      <c r="H89" s="134">
        <v>6.38</v>
      </c>
      <c r="I89" s="134">
        <v>3.18</v>
      </c>
      <c r="J89" s="134">
        <v>0.53</v>
      </c>
      <c r="K89" s="134">
        <v>263.77</v>
      </c>
      <c r="L89" s="134">
        <v>29.17</v>
      </c>
      <c r="M89" s="134">
        <v>71.150000000000006</v>
      </c>
      <c r="N89" s="134">
        <v>0</v>
      </c>
      <c r="O89" s="134">
        <v>0</v>
      </c>
      <c r="P89" s="134">
        <v>0.39</v>
      </c>
      <c r="Q89" s="134">
        <v>4.2</v>
      </c>
    </row>
    <row r="90" spans="1:17" customFormat="1">
      <c r="A90" s="112" t="s">
        <v>1471</v>
      </c>
      <c r="B90" s="134">
        <v>7.1</v>
      </c>
      <c r="C90" s="134">
        <v>21.6</v>
      </c>
      <c r="D90" s="134">
        <v>15.93</v>
      </c>
      <c r="E90" s="134">
        <v>7.21</v>
      </c>
      <c r="F90" s="134">
        <v>3.88</v>
      </c>
      <c r="G90" s="134">
        <v>29.43</v>
      </c>
      <c r="H90" s="134">
        <v>6.43</v>
      </c>
      <c r="I90" s="134">
        <v>3.15</v>
      </c>
      <c r="J90" s="134">
        <v>0.21</v>
      </c>
      <c r="K90" s="134">
        <v>249.53</v>
      </c>
      <c r="L90" s="134">
        <v>29</v>
      </c>
      <c r="M90" s="134">
        <v>72.7</v>
      </c>
      <c r="N90" s="134">
        <v>0</v>
      </c>
      <c r="O90" s="134">
        <v>0</v>
      </c>
      <c r="P90" s="134">
        <v>0.42</v>
      </c>
      <c r="Q90" s="134">
        <v>4.17</v>
      </c>
    </row>
    <row r="91" spans="1:17" customFormat="1">
      <c r="A91" s="112" t="s">
        <v>1472</v>
      </c>
      <c r="B91" s="134">
        <v>6.85</v>
      </c>
      <c r="C91" s="134">
        <v>21.35</v>
      </c>
      <c r="D91" s="134">
        <v>15.6</v>
      </c>
      <c r="E91" s="134">
        <v>7.4</v>
      </c>
      <c r="F91" s="134">
        <v>5.41</v>
      </c>
      <c r="G91" s="134">
        <v>29.43</v>
      </c>
      <c r="H91" s="134">
        <v>6.43</v>
      </c>
      <c r="I91" s="134">
        <v>3.28</v>
      </c>
      <c r="J91" s="134">
        <v>0.22</v>
      </c>
      <c r="K91" s="134">
        <v>244.39</v>
      </c>
      <c r="L91" s="134">
        <v>28.84</v>
      </c>
      <c r="M91" s="134">
        <v>73.48</v>
      </c>
      <c r="N91" s="134">
        <v>0</v>
      </c>
      <c r="O91" s="134">
        <v>0</v>
      </c>
      <c r="P91" s="134">
        <v>0.42</v>
      </c>
      <c r="Q91" s="134">
        <v>4.21</v>
      </c>
    </row>
    <row r="92" spans="1:17" customFormat="1">
      <c r="A92" s="112" t="s">
        <v>1473</v>
      </c>
      <c r="B92" s="134">
        <v>6.33</v>
      </c>
      <c r="C92" s="134">
        <v>17.57</v>
      </c>
      <c r="D92" s="134">
        <v>13.21</v>
      </c>
      <c r="E92" s="134">
        <v>6.8</v>
      </c>
      <c r="F92" s="134">
        <v>8.5299999999999994</v>
      </c>
      <c r="G92" s="134">
        <v>29.43</v>
      </c>
      <c r="H92" s="134">
        <v>6.43</v>
      </c>
      <c r="I92" s="134">
        <v>3.41</v>
      </c>
      <c r="J92" s="134">
        <v>0.1</v>
      </c>
      <c r="K92" s="134">
        <v>215.54</v>
      </c>
      <c r="L92" s="134">
        <v>28.65</v>
      </c>
      <c r="M92" s="134">
        <v>74.52</v>
      </c>
      <c r="N92" s="134">
        <v>0</v>
      </c>
      <c r="O92" s="134">
        <v>0</v>
      </c>
      <c r="P92" s="134">
        <v>0.37</v>
      </c>
      <c r="Q92" s="134">
        <v>4.1900000000000004</v>
      </c>
    </row>
    <row r="93" spans="1:17" customFormat="1">
      <c r="A93" s="112" t="s">
        <v>1474</v>
      </c>
      <c r="B93" s="134">
        <v>6.05</v>
      </c>
      <c r="C93" s="134">
        <v>16.03</v>
      </c>
      <c r="D93" s="134">
        <v>12.18</v>
      </c>
      <c r="E93" s="134">
        <v>6.73</v>
      </c>
      <c r="F93" s="134">
        <v>10.09</v>
      </c>
      <c r="G93" s="134">
        <v>22.29</v>
      </c>
      <c r="H93" s="134">
        <v>4.95</v>
      </c>
      <c r="I93" s="134">
        <v>3.12</v>
      </c>
      <c r="J93" s="134">
        <v>0.11</v>
      </c>
      <c r="K93" s="134">
        <v>191.53</v>
      </c>
      <c r="L93" s="134">
        <v>28.43</v>
      </c>
      <c r="M93" s="134">
        <v>76.19</v>
      </c>
      <c r="N93" s="134">
        <v>0</v>
      </c>
      <c r="O93" s="134">
        <v>0</v>
      </c>
      <c r="P93" s="134">
        <v>0.35</v>
      </c>
      <c r="Q93" s="134">
        <v>4.2</v>
      </c>
    </row>
    <row r="94" spans="1:17" customFormat="1">
      <c r="A94" s="112" t="s">
        <v>1475</v>
      </c>
      <c r="B94" s="134">
        <v>6.36</v>
      </c>
      <c r="C94" s="134">
        <v>16.8</v>
      </c>
      <c r="D94" s="134">
        <v>12.83</v>
      </c>
      <c r="E94" s="134">
        <v>6.58</v>
      </c>
      <c r="F94" s="134">
        <v>8.59</v>
      </c>
      <c r="G94" s="134">
        <v>19.39</v>
      </c>
      <c r="H94" s="134">
        <v>4.8899999999999997</v>
      </c>
      <c r="I94" s="134">
        <v>2.8</v>
      </c>
      <c r="J94" s="134">
        <v>0.21</v>
      </c>
      <c r="K94" s="134">
        <v>238.97</v>
      </c>
      <c r="L94" s="134">
        <v>28.35</v>
      </c>
      <c r="M94" s="134">
        <v>76.75</v>
      </c>
      <c r="N94" s="134">
        <v>0</v>
      </c>
      <c r="O94" s="134">
        <v>0</v>
      </c>
      <c r="P94" s="134">
        <v>0.34</v>
      </c>
      <c r="Q94" s="134">
        <v>4.21</v>
      </c>
    </row>
    <row r="95" spans="1:17" customFormat="1">
      <c r="A95" s="112" t="s">
        <v>1476</v>
      </c>
      <c r="B95" s="134">
        <v>6.36</v>
      </c>
      <c r="C95" s="134">
        <v>16.27</v>
      </c>
      <c r="D95" s="134">
        <v>12.56</v>
      </c>
      <c r="E95" s="134">
        <v>7.02</v>
      </c>
      <c r="F95" s="134">
        <v>9.02</v>
      </c>
      <c r="G95" s="134">
        <v>19.39</v>
      </c>
      <c r="H95" s="134">
        <v>4.8899999999999997</v>
      </c>
      <c r="I95" s="134">
        <v>2.75</v>
      </c>
      <c r="J95" s="134">
        <v>0.18</v>
      </c>
      <c r="K95" s="134">
        <v>240.58</v>
      </c>
      <c r="L95" s="134">
        <v>28.31</v>
      </c>
      <c r="M95" s="134">
        <v>77.08</v>
      </c>
      <c r="N95" s="134">
        <v>0</v>
      </c>
      <c r="O95" s="134">
        <v>0</v>
      </c>
      <c r="P95" s="134">
        <v>0.34</v>
      </c>
      <c r="Q95" s="134">
        <v>4.22</v>
      </c>
    </row>
    <row r="96" spans="1:17" customFormat="1">
      <c r="A96" s="112" t="s">
        <v>1477</v>
      </c>
      <c r="B96" s="134">
        <v>6.43</v>
      </c>
      <c r="C96" s="134">
        <v>15.98</v>
      </c>
      <c r="D96" s="134">
        <v>12.46</v>
      </c>
      <c r="E96" s="134">
        <v>7.53</v>
      </c>
      <c r="F96" s="134">
        <v>9.06</v>
      </c>
      <c r="G96" s="134">
        <v>19.39</v>
      </c>
      <c r="H96" s="134">
        <v>4.8899999999999997</v>
      </c>
      <c r="I96" s="134">
        <v>2.82</v>
      </c>
      <c r="J96" s="134">
        <v>0.18</v>
      </c>
      <c r="K96" s="134">
        <v>240.69</v>
      </c>
      <c r="L96" s="134">
        <v>28.23</v>
      </c>
      <c r="M96" s="134">
        <v>77.8</v>
      </c>
      <c r="N96" s="134">
        <v>0</v>
      </c>
      <c r="O96" s="134">
        <v>0</v>
      </c>
      <c r="P96" s="134">
        <v>0.33</v>
      </c>
      <c r="Q96" s="134">
        <v>4.22</v>
      </c>
    </row>
    <row r="97" spans="1:22" customFormat="1">
      <c r="A97" s="112" t="s">
        <v>1478</v>
      </c>
      <c r="B97" s="134">
        <v>7.07</v>
      </c>
      <c r="C97" s="134">
        <v>17.91</v>
      </c>
      <c r="D97" s="134">
        <v>13.98</v>
      </c>
      <c r="E97" s="134">
        <v>7.36</v>
      </c>
      <c r="F97" s="134">
        <v>6.56</v>
      </c>
      <c r="G97" s="134">
        <v>23.56</v>
      </c>
      <c r="H97" s="134">
        <v>5.69</v>
      </c>
      <c r="I97" s="134">
        <v>2.75</v>
      </c>
      <c r="J97" s="134">
        <v>0.15</v>
      </c>
      <c r="K97" s="134">
        <v>231.97</v>
      </c>
      <c r="L97" s="134">
        <v>28.19</v>
      </c>
      <c r="M97" s="134">
        <v>77.7</v>
      </c>
      <c r="N97" s="134">
        <v>0</v>
      </c>
      <c r="O97" s="134">
        <v>0</v>
      </c>
      <c r="P97" s="134">
        <v>0.36</v>
      </c>
      <c r="Q97" s="134">
        <v>4.25</v>
      </c>
    </row>
    <row r="98" spans="1:22" customFormat="1">
      <c r="A98" s="112" t="s">
        <v>1479</v>
      </c>
      <c r="B98" s="134">
        <v>7.86</v>
      </c>
      <c r="C98" s="134">
        <v>21.17</v>
      </c>
      <c r="D98" s="134">
        <v>16.309999999999999</v>
      </c>
      <c r="E98" s="134">
        <v>8.41</v>
      </c>
      <c r="F98" s="134">
        <v>4.6100000000000003</v>
      </c>
      <c r="G98" s="134">
        <v>25.26</v>
      </c>
      <c r="H98" s="134">
        <v>5.73</v>
      </c>
      <c r="I98" s="134">
        <v>2.77</v>
      </c>
      <c r="J98" s="134">
        <v>0.36</v>
      </c>
      <c r="K98" s="134">
        <v>246.82</v>
      </c>
      <c r="L98" s="134">
        <v>28.29</v>
      </c>
      <c r="M98" s="134">
        <v>76.900000000000006</v>
      </c>
      <c r="N98" s="134">
        <v>0</v>
      </c>
      <c r="O98" s="134">
        <v>0</v>
      </c>
      <c r="P98" s="134">
        <v>0.39</v>
      </c>
      <c r="Q98" s="134">
        <v>4.3499999999999996</v>
      </c>
    </row>
    <row r="99" spans="1:22" customFormat="1">
      <c r="A99" s="112" t="s">
        <v>1480</v>
      </c>
      <c r="B99" s="134">
        <v>7.59</v>
      </c>
      <c r="C99" s="134">
        <v>19.14</v>
      </c>
      <c r="D99" s="134">
        <v>15.04</v>
      </c>
      <c r="E99" s="134">
        <v>8.35</v>
      </c>
      <c r="F99" s="134">
        <v>6.41</v>
      </c>
      <c r="G99" s="134">
        <v>25.26</v>
      </c>
      <c r="H99" s="134">
        <v>5.73</v>
      </c>
      <c r="I99" s="134">
        <v>3.01</v>
      </c>
      <c r="J99" s="134">
        <v>0.14000000000000001</v>
      </c>
      <c r="K99" s="134">
        <v>217.15</v>
      </c>
      <c r="L99" s="134">
        <v>28.21</v>
      </c>
      <c r="M99" s="134">
        <v>77.27</v>
      </c>
      <c r="N99" s="134">
        <v>0</v>
      </c>
      <c r="O99" s="134">
        <v>0</v>
      </c>
      <c r="P99" s="134">
        <v>0.39</v>
      </c>
      <c r="Q99" s="134">
        <v>4.34</v>
      </c>
    </row>
    <row r="100" spans="1:22" customFormat="1">
      <c r="A100" s="112" t="s">
        <v>1481</v>
      </c>
      <c r="B100" s="134">
        <v>9.11</v>
      </c>
      <c r="C100" s="134">
        <v>18.43</v>
      </c>
      <c r="D100" s="134">
        <v>15.89</v>
      </c>
      <c r="E100" s="134">
        <v>7.96</v>
      </c>
      <c r="F100" s="134">
        <v>6.96</v>
      </c>
      <c r="G100" s="134">
        <v>25.26</v>
      </c>
      <c r="H100" s="134">
        <v>5.73</v>
      </c>
      <c r="I100" s="134">
        <v>3.19</v>
      </c>
      <c r="J100" s="134">
        <v>0.25</v>
      </c>
      <c r="K100" s="134">
        <v>270.57</v>
      </c>
      <c r="L100" s="134">
        <v>28.08</v>
      </c>
      <c r="M100" s="134">
        <v>77.819999999999993</v>
      </c>
      <c r="N100" s="134">
        <v>0</v>
      </c>
      <c r="O100" s="134">
        <v>0</v>
      </c>
      <c r="P100" s="134">
        <v>0.38</v>
      </c>
      <c r="Q100" s="134">
        <v>4.2699999999999996</v>
      </c>
    </row>
    <row r="101" spans="1:22" customFormat="1">
      <c r="A101" s="112" t="s">
        <v>1482</v>
      </c>
      <c r="B101" s="134">
        <v>11.53</v>
      </c>
      <c r="C101" s="134">
        <v>20.48</v>
      </c>
      <c r="D101" s="134">
        <v>18.899999999999999</v>
      </c>
      <c r="E101" s="134">
        <v>8.89</v>
      </c>
      <c r="F101" s="134">
        <v>5.6</v>
      </c>
      <c r="G101" s="134">
        <v>27.41</v>
      </c>
      <c r="H101" s="134">
        <v>6.72</v>
      </c>
      <c r="I101" s="134">
        <v>3.12</v>
      </c>
      <c r="J101" s="134">
        <v>0.34</v>
      </c>
      <c r="K101" s="134">
        <v>321.33</v>
      </c>
      <c r="L101" s="134">
        <v>28.2</v>
      </c>
      <c r="M101" s="134">
        <v>76.58</v>
      </c>
      <c r="N101" s="134">
        <v>0</v>
      </c>
      <c r="O101" s="134">
        <v>0</v>
      </c>
      <c r="P101" s="134">
        <v>0.38</v>
      </c>
      <c r="Q101" s="134">
        <v>4.32</v>
      </c>
    </row>
    <row r="102" spans="1:22" customFormat="1">
      <c r="A102" s="112" t="s">
        <v>1483</v>
      </c>
      <c r="B102" s="134">
        <v>10.6</v>
      </c>
      <c r="C102" s="134">
        <v>21.08</v>
      </c>
      <c r="D102" s="134">
        <v>18.47</v>
      </c>
      <c r="E102" s="134">
        <v>9.15</v>
      </c>
      <c r="F102" s="134">
        <v>4.78</v>
      </c>
      <c r="G102" s="134">
        <v>28.29</v>
      </c>
      <c r="H102" s="134">
        <v>6.83</v>
      </c>
      <c r="I102" s="134">
        <v>3.16</v>
      </c>
      <c r="J102" s="134">
        <v>0.25</v>
      </c>
      <c r="K102" s="134">
        <v>319.2</v>
      </c>
      <c r="L102" s="134">
        <v>27.96</v>
      </c>
      <c r="M102" s="134">
        <v>75.41</v>
      </c>
      <c r="N102" s="134">
        <v>0</v>
      </c>
      <c r="O102" s="134">
        <v>0</v>
      </c>
      <c r="P102" s="134">
        <v>0.38</v>
      </c>
      <c r="Q102" s="134">
        <v>4.3600000000000003</v>
      </c>
    </row>
    <row r="103" spans="1:22" customFormat="1">
      <c r="A103" s="112" t="s">
        <v>1484</v>
      </c>
      <c r="B103" s="134">
        <v>10.72</v>
      </c>
      <c r="C103" s="134">
        <v>23.96</v>
      </c>
      <c r="D103" s="134">
        <v>20.07</v>
      </c>
      <c r="E103" s="134">
        <v>9.1</v>
      </c>
      <c r="F103" s="134">
        <v>3</v>
      </c>
      <c r="G103" s="134">
        <v>28.29</v>
      </c>
      <c r="H103" s="134">
        <v>6.83</v>
      </c>
      <c r="I103" s="134">
        <v>3.4</v>
      </c>
      <c r="J103" s="134">
        <v>0.39</v>
      </c>
      <c r="K103" s="134">
        <v>305.76</v>
      </c>
      <c r="L103" s="134">
        <v>27.75</v>
      </c>
      <c r="M103" s="134">
        <v>74.489999999999995</v>
      </c>
      <c r="N103" s="134">
        <v>0</v>
      </c>
      <c r="O103" s="134">
        <v>0</v>
      </c>
      <c r="P103" s="134">
        <v>0.42</v>
      </c>
      <c r="Q103" s="134">
        <v>4.51</v>
      </c>
    </row>
    <row r="104" spans="1:22" customFormat="1">
      <c r="A104" s="112" t="s">
        <v>1485</v>
      </c>
      <c r="B104" s="134">
        <v>11.14</v>
      </c>
      <c r="C104" s="134">
        <v>22.89</v>
      </c>
      <c r="D104" s="134">
        <v>19.84</v>
      </c>
      <c r="E104" s="134">
        <v>9.0399999999999991</v>
      </c>
      <c r="F104" s="134">
        <v>4.1399999999999997</v>
      </c>
      <c r="G104" s="134">
        <v>28.29</v>
      </c>
      <c r="H104" s="134">
        <v>6.83</v>
      </c>
      <c r="I104" s="134">
        <v>3.46</v>
      </c>
      <c r="J104" s="134">
        <v>0.35</v>
      </c>
      <c r="K104" s="134">
        <v>307.60000000000002</v>
      </c>
      <c r="L104" s="134">
        <v>27.55</v>
      </c>
      <c r="M104" s="134">
        <v>74.62</v>
      </c>
      <c r="N104" s="134">
        <v>0</v>
      </c>
      <c r="O104" s="134">
        <v>0</v>
      </c>
      <c r="P104" s="134">
        <v>0.41</v>
      </c>
      <c r="Q104" s="134">
        <v>4.5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4.37</v>
      </c>
      <c r="C106" s="183">
        <f>MIN(C9:C104)</f>
        <v>15.92</v>
      </c>
      <c r="D106" s="183">
        <f t="shared" ref="D106:Q106" si="0">MIN(D9:D104)</f>
        <v>11.28</v>
      </c>
      <c r="E106" s="183">
        <f t="shared" si="0"/>
        <v>5.8</v>
      </c>
      <c r="F106" s="183">
        <f t="shared" si="0"/>
        <v>1.65</v>
      </c>
      <c r="G106" s="183">
        <f t="shared" si="0"/>
        <v>19.39</v>
      </c>
      <c r="H106" s="183">
        <f t="shared" si="0"/>
        <v>4.8899999999999997</v>
      </c>
      <c r="I106" s="183">
        <f t="shared" si="0"/>
        <v>2.75</v>
      </c>
      <c r="J106" s="183">
        <f t="shared" si="0"/>
        <v>0.09</v>
      </c>
      <c r="K106" s="183">
        <f t="shared" si="0"/>
        <v>173.87</v>
      </c>
      <c r="L106" s="183">
        <f t="shared" si="0"/>
        <v>25.86</v>
      </c>
      <c r="M106" s="183">
        <f t="shared" si="0"/>
        <v>59.11</v>
      </c>
      <c r="N106" s="183">
        <f t="shared" si="0"/>
        <v>0</v>
      </c>
      <c r="O106" s="183">
        <f t="shared" si="0"/>
        <v>0</v>
      </c>
      <c r="P106" s="183">
        <f t="shared" si="0"/>
        <v>0.33</v>
      </c>
      <c r="Q106" s="183">
        <f t="shared" si="0"/>
        <v>4.03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13.24</v>
      </c>
      <c r="C107" s="184">
        <f t="shared" ref="C107:Q107" si="1">MAX(C9:C104)</f>
        <v>25.36</v>
      </c>
      <c r="D107" s="184">
        <f t="shared" si="1"/>
        <v>21.75</v>
      </c>
      <c r="E107" s="184">
        <f t="shared" si="1"/>
        <v>10.66</v>
      </c>
      <c r="F107" s="184">
        <f t="shared" si="1"/>
        <v>12.89</v>
      </c>
      <c r="G107" s="184">
        <f t="shared" si="1"/>
        <v>41.53</v>
      </c>
      <c r="H107" s="184">
        <f t="shared" si="1"/>
        <v>13.58</v>
      </c>
      <c r="I107" s="184">
        <f t="shared" si="1"/>
        <v>5.54</v>
      </c>
      <c r="J107" s="184">
        <f t="shared" si="1"/>
        <v>1.26</v>
      </c>
      <c r="K107" s="184">
        <f t="shared" si="1"/>
        <v>321.33</v>
      </c>
      <c r="L107" s="184">
        <f t="shared" si="1"/>
        <v>32.89</v>
      </c>
      <c r="M107" s="184">
        <f t="shared" si="1"/>
        <v>89.99</v>
      </c>
      <c r="N107" s="184">
        <f t="shared" si="1"/>
        <v>794.3</v>
      </c>
      <c r="O107" s="184">
        <f t="shared" si="1"/>
        <v>0</v>
      </c>
      <c r="P107" s="184">
        <f t="shared" si="1"/>
        <v>0.64</v>
      </c>
      <c r="Q107" s="184">
        <f t="shared" si="1"/>
        <v>4.63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8.4954166666666726</v>
      </c>
      <c r="C108" s="183">
        <f t="shared" ref="C108:Q108" si="2">AVERAGE(C9:C104)</f>
        <v>20.4653125</v>
      </c>
      <c r="D108" s="183">
        <f t="shared" si="2"/>
        <v>16.46020833333333</v>
      </c>
      <c r="E108" s="183">
        <f t="shared" si="2"/>
        <v>7.641874999999998</v>
      </c>
      <c r="F108" s="183">
        <f t="shared" si="2"/>
        <v>5.9057291666666663</v>
      </c>
      <c r="G108" s="183">
        <f t="shared" si="2"/>
        <v>30.34822916666667</v>
      </c>
      <c r="H108" s="183">
        <f t="shared" si="2"/>
        <v>8.7567708333333325</v>
      </c>
      <c r="I108" s="183">
        <f t="shared" si="2"/>
        <v>3.8133333333333321</v>
      </c>
      <c r="J108" s="183">
        <f t="shared" si="2"/>
        <v>0.48833333333333334</v>
      </c>
      <c r="K108" s="183">
        <f t="shared" si="2"/>
        <v>256.99010416666664</v>
      </c>
      <c r="L108" s="183">
        <f t="shared" si="2"/>
        <v>29.04302083333333</v>
      </c>
      <c r="M108" s="183">
        <f t="shared" si="2"/>
        <v>73.572395833333317</v>
      </c>
      <c r="N108" s="183">
        <f t="shared" si="2"/>
        <v>150.14999999999998</v>
      </c>
      <c r="O108" s="183">
        <f t="shared" si="2"/>
        <v>0</v>
      </c>
      <c r="P108" s="183">
        <f t="shared" si="2"/>
        <v>0.43562500000000032</v>
      </c>
      <c r="Q108" s="183">
        <f t="shared" si="2"/>
        <v>4.315104166666667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2.9759116839847732</v>
      </c>
      <c r="C109" s="183">
        <f t="shared" ref="C109:Q109" si="3">STDEV(C9:C104)</f>
        <v>2.2416154668710591</v>
      </c>
      <c r="D109" s="183">
        <f t="shared" si="3"/>
        <v>3.1493467924790899</v>
      </c>
      <c r="E109" s="183">
        <f t="shared" si="3"/>
        <v>0.95318669127358691</v>
      </c>
      <c r="F109" s="183">
        <f t="shared" si="3"/>
        <v>2.5335029815368606</v>
      </c>
      <c r="G109" s="183">
        <f t="shared" si="3"/>
        <v>5.499409345277841</v>
      </c>
      <c r="H109" s="183">
        <f t="shared" si="3"/>
        <v>2.4113117176261998</v>
      </c>
      <c r="I109" s="183">
        <f t="shared" si="3"/>
        <v>0.82627211863591954</v>
      </c>
      <c r="J109" s="183">
        <f t="shared" si="3"/>
        <v>0.28028431680280286</v>
      </c>
      <c r="K109" s="183">
        <f t="shared" si="3"/>
        <v>21.268433317442582</v>
      </c>
      <c r="L109" s="183">
        <f t="shared" si="3"/>
        <v>2.1701298141096883</v>
      </c>
      <c r="M109" s="183">
        <f t="shared" si="3"/>
        <v>10.147004198262749</v>
      </c>
      <c r="N109" s="183">
        <f t="shared" si="3"/>
        <v>226.79881091306223</v>
      </c>
      <c r="O109" s="183">
        <f t="shared" si="3"/>
        <v>0</v>
      </c>
      <c r="P109" s="183">
        <f t="shared" si="3"/>
        <v>7.6733475848480559E-2</v>
      </c>
      <c r="Q109" s="183">
        <f t="shared" si="3"/>
        <v>0.18357843464487869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14/08/2023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1486</v>
      </c>
      <c r="B9" s="134">
        <v>11.27</v>
      </c>
      <c r="C9" s="134">
        <v>20.68</v>
      </c>
      <c r="D9" s="134">
        <v>18.8</v>
      </c>
      <c r="E9" s="134">
        <v>10.4</v>
      </c>
      <c r="F9" s="134">
        <v>6.2</v>
      </c>
      <c r="G9" s="134">
        <v>28.05</v>
      </c>
      <c r="H9" s="134">
        <v>7.49</v>
      </c>
      <c r="I9" s="134">
        <v>3.51</v>
      </c>
      <c r="J9" s="134">
        <v>0.13</v>
      </c>
      <c r="K9" s="134">
        <v>310.86</v>
      </c>
      <c r="L9" s="134">
        <v>27.46</v>
      </c>
      <c r="M9" s="134">
        <v>74.91</v>
      </c>
      <c r="N9" s="134">
        <v>0</v>
      </c>
      <c r="O9" s="134">
        <v>0</v>
      </c>
      <c r="P9" s="134">
        <v>0.39</v>
      </c>
      <c r="Q9" s="134">
        <v>4.4800000000000004</v>
      </c>
    </row>
    <row r="10" spans="1:21" customFormat="1">
      <c r="A10" s="112" t="s">
        <v>1487</v>
      </c>
      <c r="B10" s="134">
        <v>12.41</v>
      </c>
      <c r="C10" s="134">
        <v>22.13</v>
      </c>
      <c r="D10" s="134">
        <v>20.47</v>
      </c>
      <c r="E10" s="134">
        <v>10.74</v>
      </c>
      <c r="F10" s="134">
        <v>5.17</v>
      </c>
      <c r="G10" s="134">
        <v>27.95</v>
      </c>
      <c r="H10" s="134">
        <v>7.52</v>
      </c>
      <c r="I10" s="134">
        <v>3.31</v>
      </c>
      <c r="J10" s="134">
        <v>0.08</v>
      </c>
      <c r="K10" s="134">
        <v>232.87</v>
      </c>
      <c r="L10" s="134">
        <v>27.3</v>
      </c>
      <c r="M10" s="134">
        <v>75.900000000000006</v>
      </c>
      <c r="N10" s="134">
        <v>0</v>
      </c>
      <c r="O10" s="134">
        <v>0</v>
      </c>
      <c r="P10" s="134">
        <v>0.38</v>
      </c>
      <c r="Q10" s="134">
        <v>4.51</v>
      </c>
    </row>
    <row r="11" spans="1:21" customFormat="1">
      <c r="A11" s="112" t="s">
        <v>1488</v>
      </c>
      <c r="B11" s="134">
        <v>12.16</v>
      </c>
      <c r="C11" s="134">
        <v>22.7</v>
      </c>
      <c r="D11" s="134">
        <v>20.57</v>
      </c>
      <c r="E11" s="134">
        <v>11</v>
      </c>
      <c r="F11" s="134">
        <v>4.28</v>
      </c>
      <c r="G11" s="134">
        <v>27.95</v>
      </c>
      <c r="H11" s="134">
        <v>7.52</v>
      </c>
      <c r="I11" s="134">
        <v>3.08</v>
      </c>
      <c r="J11" s="134">
        <v>0.12</v>
      </c>
      <c r="K11" s="134">
        <v>201.44</v>
      </c>
      <c r="L11" s="134">
        <v>27.14</v>
      </c>
      <c r="M11" s="134">
        <v>76.06</v>
      </c>
      <c r="N11" s="134">
        <v>0</v>
      </c>
      <c r="O11" s="134">
        <v>0</v>
      </c>
      <c r="P11" s="134">
        <v>0.38</v>
      </c>
      <c r="Q11" s="134">
        <v>4.53</v>
      </c>
    </row>
    <row r="12" spans="1:21" customFormat="1">
      <c r="A12" s="112" t="s">
        <v>1489</v>
      </c>
      <c r="B12" s="134">
        <v>12.98</v>
      </c>
      <c r="C12" s="134">
        <v>25.06</v>
      </c>
      <c r="D12" s="134">
        <v>22.46</v>
      </c>
      <c r="E12" s="134">
        <v>9.18</v>
      </c>
      <c r="F12" s="134">
        <v>2.56</v>
      </c>
      <c r="G12" s="134">
        <v>27.95</v>
      </c>
      <c r="H12" s="134">
        <v>7.52</v>
      </c>
      <c r="I12" s="134">
        <v>3.1</v>
      </c>
      <c r="J12" s="134">
        <v>0.15</v>
      </c>
      <c r="K12" s="134">
        <v>192.49</v>
      </c>
      <c r="L12" s="134">
        <v>27</v>
      </c>
      <c r="M12" s="134">
        <v>77.959999999999994</v>
      </c>
      <c r="N12" s="134">
        <v>0</v>
      </c>
      <c r="O12" s="134">
        <v>0</v>
      </c>
      <c r="P12" s="134">
        <v>0.43</v>
      </c>
      <c r="Q12" s="134">
        <v>4.62</v>
      </c>
    </row>
    <row r="13" spans="1:21" customFormat="1">
      <c r="A13" s="112" t="s">
        <v>1490</v>
      </c>
      <c r="B13" s="134">
        <v>12.26</v>
      </c>
      <c r="C13" s="134">
        <v>23.37</v>
      </c>
      <c r="D13" s="134">
        <v>21</v>
      </c>
      <c r="E13" s="134">
        <v>9.6</v>
      </c>
      <c r="F13" s="134">
        <v>4.42</v>
      </c>
      <c r="G13" s="134">
        <v>30.33</v>
      </c>
      <c r="H13" s="134">
        <v>8.2100000000000009</v>
      </c>
      <c r="I13" s="134">
        <v>3.22</v>
      </c>
      <c r="J13" s="134">
        <v>0.11</v>
      </c>
      <c r="K13" s="134">
        <v>175.99</v>
      </c>
      <c r="L13" s="134">
        <v>26.81</v>
      </c>
      <c r="M13" s="134">
        <v>78.400000000000006</v>
      </c>
      <c r="N13" s="134">
        <v>0</v>
      </c>
      <c r="O13" s="134">
        <v>0</v>
      </c>
      <c r="P13" s="134">
        <v>0.4</v>
      </c>
      <c r="Q13" s="134">
        <v>4.6900000000000004</v>
      </c>
    </row>
    <row r="14" spans="1:21" customFormat="1">
      <c r="A14" s="112" t="s">
        <v>1491</v>
      </c>
      <c r="B14" s="134">
        <v>13.19</v>
      </c>
      <c r="C14" s="134">
        <v>22.84</v>
      </c>
      <c r="D14" s="134">
        <v>21.46</v>
      </c>
      <c r="E14" s="134">
        <v>8.5299999999999994</v>
      </c>
      <c r="F14" s="134">
        <v>4.01</v>
      </c>
      <c r="G14" s="134">
        <v>31.3</v>
      </c>
      <c r="H14" s="134">
        <v>8.25</v>
      </c>
      <c r="I14" s="134">
        <v>3.45</v>
      </c>
      <c r="J14" s="134">
        <v>0.17</v>
      </c>
      <c r="K14" s="134">
        <v>177.85</v>
      </c>
      <c r="L14" s="134">
        <v>26.94</v>
      </c>
      <c r="M14" s="134">
        <v>79.75</v>
      </c>
      <c r="N14" s="134">
        <v>0</v>
      </c>
      <c r="O14" s="134">
        <v>0</v>
      </c>
      <c r="P14" s="134">
        <v>0.43</v>
      </c>
      <c r="Q14" s="134">
        <v>4.62</v>
      </c>
    </row>
    <row r="15" spans="1:21" customFormat="1">
      <c r="A15" s="112" t="s">
        <v>1492</v>
      </c>
      <c r="B15" s="134">
        <v>13.51</v>
      </c>
      <c r="C15" s="134">
        <v>24.16</v>
      </c>
      <c r="D15" s="134">
        <v>22.42</v>
      </c>
      <c r="E15" s="134">
        <v>8.1300000000000008</v>
      </c>
      <c r="F15" s="134">
        <v>3.23</v>
      </c>
      <c r="G15" s="134">
        <v>31.3</v>
      </c>
      <c r="H15" s="134">
        <v>8.25</v>
      </c>
      <c r="I15" s="134">
        <v>3.23</v>
      </c>
      <c r="J15" s="134">
        <v>0.14000000000000001</v>
      </c>
      <c r="K15" s="134">
        <v>165.5</v>
      </c>
      <c r="L15" s="134">
        <v>26.71</v>
      </c>
      <c r="M15" s="134">
        <v>81.98</v>
      </c>
      <c r="N15" s="134">
        <v>0</v>
      </c>
      <c r="O15" s="134">
        <v>0</v>
      </c>
      <c r="P15" s="134">
        <v>0.46</v>
      </c>
      <c r="Q15" s="134">
        <v>4.6100000000000003</v>
      </c>
    </row>
    <row r="16" spans="1:21" customFormat="1">
      <c r="A16" s="112" t="s">
        <v>1493</v>
      </c>
      <c r="B16" s="134">
        <v>13.43</v>
      </c>
      <c r="C16" s="134">
        <v>23.59</v>
      </c>
      <c r="D16" s="134">
        <v>22.05</v>
      </c>
      <c r="E16" s="134">
        <v>7.75</v>
      </c>
      <c r="F16" s="134">
        <v>3.39</v>
      </c>
      <c r="G16" s="134">
        <v>31.3</v>
      </c>
      <c r="H16" s="134">
        <v>8.25</v>
      </c>
      <c r="I16" s="134">
        <v>3.48</v>
      </c>
      <c r="J16" s="134">
        <v>0.09</v>
      </c>
      <c r="K16" s="134">
        <v>173.75</v>
      </c>
      <c r="L16" s="134">
        <v>26.69</v>
      </c>
      <c r="M16" s="134">
        <v>81.58</v>
      </c>
      <c r="N16" s="134">
        <v>0</v>
      </c>
      <c r="O16" s="134">
        <v>0</v>
      </c>
      <c r="P16" s="134">
        <v>0.43</v>
      </c>
      <c r="Q16" s="134">
        <v>4.63</v>
      </c>
    </row>
    <row r="17" spans="1:17" customFormat="1">
      <c r="A17" s="112" t="s">
        <v>1494</v>
      </c>
      <c r="B17" s="134">
        <v>12.46</v>
      </c>
      <c r="C17" s="134">
        <v>21.06</v>
      </c>
      <c r="D17" s="134">
        <v>19.95</v>
      </c>
      <c r="E17" s="134">
        <v>6.49</v>
      </c>
      <c r="F17" s="134">
        <v>4.6500000000000004</v>
      </c>
      <c r="G17" s="134">
        <v>29.66</v>
      </c>
      <c r="H17" s="134">
        <v>9.3800000000000008</v>
      </c>
      <c r="I17" s="134">
        <v>3.41</v>
      </c>
      <c r="J17" s="134">
        <v>0.23</v>
      </c>
      <c r="K17" s="134">
        <v>173.06</v>
      </c>
      <c r="L17" s="134">
        <v>26.74</v>
      </c>
      <c r="M17" s="134">
        <v>81.64</v>
      </c>
      <c r="N17" s="134">
        <v>0</v>
      </c>
      <c r="O17" s="134">
        <v>0</v>
      </c>
      <c r="P17" s="134">
        <v>0.39</v>
      </c>
      <c r="Q17" s="134">
        <v>4.6399999999999997</v>
      </c>
    </row>
    <row r="18" spans="1:17" customFormat="1">
      <c r="A18" s="112" t="s">
        <v>1495</v>
      </c>
      <c r="B18" s="134">
        <v>12.27</v>
      </c>
      <c r="C18" s="134">
        <v>19.75</v>
      </c>
      <c r="D18" s="134">
        <v>19.12</v>
      </c>
      <c r="E18" s="134">
        <v>6.6</v>
      </c>
      <c r="F18" s="134">
        <v>5.91</v>
      </c>
      <c r="G18" s="134">
        <v>29</v>
      </c>
      <c r="H18" s="134">
        <v>9.4499999999999993</v>
      </c>
      <c r="I18" s="134">
        <v>3.18</v>
      </c>
      <c r="J18" s="134">
        <v>0.22</v>
      </c>
      <c r="K18" s="134">
        <v>166.88</v>
      </c>
      <c r="L18" s="134">
        <v>26.65</v>
      </c>
      <c r="M18" s="134">
        <v>82.59</v>
      </c>
      <c r="N18" s="134">
        <v>0</v>
      </c>
      <c r="O18" s="134">
        <v>0</v>
      </c>
      <c r="P18" s="134">
        <v>0.37</v>
      </c>
      <c r="Q18" s="134">
        <v>4.62</v>
      </c>
    </row>
    <row r="19" spans="1:17" customFormat="1">
      <c r="A19" s="112" t="s">
        <v>1496</v>
      </c>
      <c r="B19" s="134">
        <v>12.69</v>
      </c>
      <c r="C19" s="134">
        <v>20.03</v>
      </c>
      <c r="D19" s="134">
        <v>19.600000000000001</v>
      </c>
      <c r="E19" s="134">
        <v>6.9</v>
      </c>
      <c r="F19" s="134">
        <v>5.71</v>
      </c>
      <c r="G19" s="134">
        <v>29</v>
      </c>
      <c r="H19" s="134">
        <v>9.4499999999999993</v>
      </c>
      <c r="I19" s="134">
        <v>2.94</v>
      </c>
      <c r="J19" s="134">
        <v>0.15</v>
      </c>
      <c r="K19" s="134">
        <v>193.65</v>
      </c>
      <c r="L19" s="134">
        <v>26.65</v>
      </c>
      <c r="M19" s="134">
        <v>83.39</v>
      </c>
      <c r="N19" s="134">
        <v>0</v>
      </c>
      <c r="O19" s="134">
        <v>0</v>
      </c>
      <c r="P19" s="134">
        <v>0.38</v>
      </c>
      <c r="Q19" s="134">
        <v>4.62</v>
      </c>
    </row>
    <row r="20" spans="1:17" customFormat="1">
      <c r="A20" s="112" t="s">
        <v>1497</v>
      </c>
      <c r="B20" s="134">
        <v>13.75</v>
      </c>
      <c r="C20" s="134">
        <v>24.02</v>
      </c>
      <c r="D20" s="134">
        <v>22.53</v>
      </c>
      <c r="E20" s="134">
        <v>7.14</v>
      </c>
      <c r="F20" s="134">
        <v>2.79</v>
      </c>
      <c r="G20" s="134">
        <v>29</v>
      </c>
      <c r="H20" s="134">
        <v>9.4499999999999993</v>
      </c>
      <c r="I20" s="134">
        <v>2.95</v>
      </c>
      <c r="J20" s="134">
        <v>0.2</v>
      </c>
      <c r="K20" s="134">
        <v>191.48</v>
      </c>
      <c r="L20" s="134">
        <v>26.46</v>
      </c>
      <c r="M20" s="134">
        <v>84.7</v>
      </c>
      <c r="N20" s="134">
        <v>0</v>
      </c>
      <c r="O20" s="134">
        <v>0</v>
      </c>
      <c r="P20" s="134">
        <v>0.43</v>
      </c>
      <c r="Q20" s="134">
        <v>4.72</v>
      </c>
    </row>
    <row r="21" spans="1:17" customFormat="1">
      <c r="A21" s="112" t="s">
        <v>1498</v>
      </c>
      <c r="B21" s="134">
        <v>13.13</v>
      </c>
      <c r="C21" s="134">
        <v>22.01</v>
      </c>
      <c r="D21" s="134">
        <v>20.99</v>
      </c>
      <c r="E21" s="134">
        <v>7.02</v>
      </c>
      <c r="F21" s="134">
        <v>4.2300000000000004</v>
      </c>
      <c r="G21" s="134">
        <v>27.69</v>
      </c>
      <c r="H21" s="134">
        <v>8.61</v>
      </c>
      <c r="I21" s="134">
        <v>3.11</v>
      </c>
      <c r="J21" s="134">
        <v>0.17</v>
      </c>
      <c r="K21" s="134">
        <v>177.3</v>
      </c>
      <c r="L21" s="134">
        <v>26.39</v>
      </c>
      <c r="M21" s="134">
        <v>85.69</v>
      </c>
      <c r="N21" s="134">
        <v>0</v>
      </c>
      <c r="O21" s="134">
        <v>0</v>
      </c>
      <c r="P21" s="134">
        <v>0.4</v>
      </c>
      <c r="Q21" s="134">
        <v>4.72</v>
      </c>
    </row>
    <row r="22" spans="1:17" customFormat="1">
      <c r="A22" s="112" t="s">
        <v>1499</v>
      </c>
      <c r="B22" s="134">
        <v>12.83</v>
      </c>
      <c r="C22" s="134">
        <v>19.72</v>
      </c>
      <c r="D22" s="134">
        <v>19.54</v>
      </c>
      <c r="E22" s="134">
        <v>6.93</v>
      </c>
      <c r="F22" s="134">
        <v>5.56</v>
      </c>
      <c r="G22" s="134">
        <v>27.16</v>
      </c>
      <c r="H22" s="134">
        <v>8.5500000000000007</v>
      </c>
      <c r="I22" s="134">
        <v>3.3</v>
      </c>
      <c r="J22" s="134">
        <v>0.21</v>
      </c>
      <c r="K22" s="134">
        <v>184.19</v>
      </c>
      <c r="L22" s="134">
        <v>26.44</v>
      </c>
      <c r="M22" s="134">
        <v>85.28</v>
      </c>
      <c r="N22" s="134">
        <v>0</v>
      </c>
      <c r="O22" s="134">
        <v>0</v>
      </c>
      <c r="P22" s="134">
        <v>0.38</v>
      </c>
      <c r="Q22" s="134">
        <v>4.6500000000000004</v>
      </c>
    </row>
    <row r="23" spans="1:17" customFormat="1">
      <c r="A23" s="112" t="s">
        <v>1500</v>
      </c>
      <c r="B23" s="134">
        <v>12.4</v>
      </c>
      <c r="C23" s="134">
        <v>18.34</v>
      </c>
      <c r="D23" s="134">
        <v>18.48</v>
      </c>
      <c r="E23" s="134">
        <v>6.66</v>
      </c>
      <c r="F23" s="134">
        <v>5.81</v>
      </c>
      <c r="G23" s="134">
        <v>27.16</v>
      </c>
      <c r="H23" s="134">
        <v>8.5500000000000007</v>
      </c>
      <c r="I23" s="134">
        <v>3.05</v>
      </c>
      <c r="J23" s="134">
        <v>0.15</v>
      </c>
      <c r="K23" s="134">
        <v>176.97</v>
      </c>
      <c r="L23" s="134">
        <v>26.34</v>
      </c>
      <c r="M23" s="134">
        <v>86.13</v>
      </c>
      <c r="N23" s="134">
        <v>0</v>
      </c>
      <c r="O23" s="134">
        <v>0</v>
      </c>
      <c r="P23" s="134">
        <v>0.36</v>
      </c>
      <c r="Q23" s="134">
        <v>4.5999999999999996</v>
      </c>
    </row>
    <row r="24" spans="1:17" customFormat="1">
      <c r="A24" s="112" t="s">
        <v>1501</v>
      </c>
      <c r="B24" s="134">
        <v>13.68</v>
      </c>
      <c r="C24" s="134">
        <v>21.15</v>
      </c>
      <c r="D24" s="134">
        <v>20.98</v>
      </c>
      <c r="E24" s="134">
        <v>6.87</v>
      </c>
      <c r="F24" s="134">
        <v>3.81</v>
      </c>
      <c r="G24" s="134">
        <v>27.16</v>
      </c>
      <c r="H24" s="134">
        <v>8.5500000000000007</v>
      </c>
      <c r="I24" s="134">
        <v>2.96</v>
      </c>
      <c r="J24" s="134">
        <v>0.09</v>
      </c>
      <c r="K24" s="134">
        <v>185.21</v>
      </c>
      <c r="L24" s="134">
        <v>26.29</v>
      </c>
      <c r="M24" s="134">
        <v>87.7</v>
      </c>
      <c r="N24" s="134">
        <v>0</v>
      </c>
      <c r="O24" s="134">
        <v>0</v>
      </c>
      <c r="P24" s="134">
        <v>0.4</v>
      </c>
      <c r="Q24" s="134">
        <v>4.5999999999999996</v>
      </c>
    </row>
    <row r="25" spans="1:17" customFormat="1">
      <c r="A25" s="112" t="s">
        <v>1502</v>
      </c>
      <c r="B25" s="134">
        <v>14.05</v>
      </c>
      <c r="C25" s="134">
        <v>23.57</v>
      </c>
      <c r="D25" s="134">
        <v>22.53</v>
      </c>
      <c r="E25" s="134">
        <v>7.34</v>
      </c>
      <c r="F25" s="134">
        <v>2.61</v>
      </c>
      <c r="G25" s="134">
        <v>23.62</v>
      </c>
      <c r="H25" s="134">
        <v>8.6199999999999992</v>
      </c>
      <c r="I25" s="134">
        <v>2.98</v>
      </c>
      <c r="J25" s="134">
        <v>0.12</v>
      </c>
      <c r="K25" s="134">
        <v>188.46</v>
      </c>
      <c r="L25" s="134">
        <v>26.32</v>
      </c>
      <c r="M25" s="134">
        <v>88.14</v>
      </c>
      <c r="N25" s="134">
        <v>0</v>
      </c>
      <c r="O25" s="134">
        <v>0</v>
      </c>
      <c r="P25" s="134">
        <v>0.42</v>
      </c>
      <c r="Q25" s="134">
        <v>4.71</v>
      </c>
    </row>
    <row r="26" spans="1:17" customFormat="1">
      <c r="A26" s="112" t="s">
        <v>1503</v>
      </c>
      <c r="B26" s="134">
        <v>14</v>
      </c>
      <c r="C26" s="134">
        <v>21.22</v>
      </c>
      <c r="D26" s="134">
        <v>21.27</v>
      </c>
      <c r="E26" s="134">
        <v>7.28</v>
      </c>
      <c r="F26" s="134">
        <v>3.59</v>
      </c>
      <c r="G26" s="134">
        <v>22.19</v>
      </c>
      <c r="H26" s="134">
        <v>8.6300000000000008</v>
      </c>
      <c r="I26" s="134">
        <v>3.22</v>
      </c>
      <c r="J26" s="134">
        <v>0.18</v>
      </c>
      <c r="K26" s="134">
        <v>162.83000000000001</v>
      </c>
      <c r="L26" s="134">
        <v>26.27</v>
      </c>
      <c r="M26" s="134">
        <v>88.14</v>
      </c>
      <c r="N26" s="134">
        <v>0</v>
      </c>
      <c r="O26" s="134">
        <v>0</v>
      </c>
      <c r="P26" s="134">
        <v>0.4</v>
      </c>
      <c r="Q26" s="134">
        <v>4.7</v>
      </c>
    </row>
    <row r="27" spans="1:17" customFormat="1">
      <c r="A27" s="112" t="s">
        <v>1504</v>
      </c>
      <c r="B27" s="134">
        <v>13.43</v>
      </c>
      <c r="C27" s="134">
        <v>19.29</v>
      </c>
      <c r="D27" s="134">
        <v>19.8</v>
      </c>
      <c r="E27" s="134">
        <v>6.63</v>
      </c>
      <c r="F27" s="134">
        <v>4.84</v>
      </c>
      <c r="G27" s="134">
        <v>22.19</v>
      </c>
      <c r="H27" s="134">
        <v>8.6300000000000008</v>
      </c>
      <c r="I27" s="134">
        <v>3.24</v>
      </c>
      <c r="J27" s="134">
        <v>7.0000000000000007E-2</v>
      </c>
      <c r="K27" s="134">
        <v>203.19</v>
      </c>
      <c r="L27" s="134">
        <v>26.35</v>
      </c>
      <c r="M27" s="134">
        <v>85.01</v>
      </c>
      <c r="N27" s="134">
        <v>0</v>
      </c>
      <c r="O27" s="134">
        <v>0</v>
      </c>
      <c r="P27" s="134">
        <v>0.37</v>
      </c>
      <c r="Q27" s="134">
        <v>4.6399999999999997</v>
      </c>
    </row>
    <row r="28" spans="1:17" customFormat="1">
      <c r="A28" s="112" t="s">
        <v>1505</v>
      </c>
      <c r="B28" s="134">
        <v>13.93</v>
      </c>
      <c r="C28" s="134">
        <v>20.39</v>
      </c>
      <c r="D28" s="134">
        <v>20.78</v>
      </c>
      <c r="E28" s="134">
        <v>6.83</v>
      </c>
      <c r="F28" s="134">
        <v>4.2699999999999996</v>
      </c>
      <c r="G28" s="134">
        <v>22.19</v>
      </c>
      <c r="H28" s="134">
        <v>8.6300000000000008</v>
      </c>
      <c r="I28" s="134">
        <v>3.12</v>
      </c>
      <c r="J28" s="134">
        <v>0.12</v>
      </c>
      <c r="K28" s="134">
        <v>155.30000000000001</v>
      </c>
      <c r="L28" s="134">
        <v>26.28</v>
      </c>
      <c r="M28" s="134">
        <v>85.46</v>
      </c>
      <c r="N28" s="134">
        <v>0</v>
      </c>
      <c r="O28" s="134">
        <v>0</v>
      </c>
      <c r="P28" s="134">
        <v>0.39</v>
      </c>
      <c r="Q28" s="134">
        <v>4.66</v>
      </c>
    </row>
    <row r="29" spans="1:17" customFormat="1">
      <c r="A29" s="112" t="s">
        <v>1506</v>
      </c>
      <c r="B29" s="134">
        <v>14.7</v>
      </c>
      <c r="C29" s="134">
        <v>23.36</v>
      </c>
      <c r="D29" s="134">
        <v>22.95</v>
      </c>
      <c r="E29" s="134">
        <v>7.45</v>
      </c>
      <c r="F29" s="134">
        <v>2.6</v>
      </c>
      <c r="G29" s="134">
        <v>24.74</v>
      </c>
      <c r="H29" s="134">
        <v>9.34</v>
      </c>
      <c r="I29" s="134">
        <v>3.07</v>
      </c>
      <c r="J29" s="134">
        <v>0.06</v>
      </c>
      <c r="K29" s="134">
        <v>205.45</v>
      </c>
      <c r="L29" s="134">
        <v>26.13</v>
      </c>
      <c r="M29" s="134">
        <v>86.62</v>
      </c>
      <c r="N29" s="134">
        <v>0</v>
      </c>
      <c r="O29" s="134">
        <v>0</v>
      </c>
      <c r="P29" s="134">
        <v>0.42</v>
      </c>
      <c r="Q29" s="134">
        <v>4.72</v>
      </c>
    </row>
    <row r="30" spans="1:17" customFormat="1">
      <c r="A30" s="112" t="s">
        <v>1507</v>
      </c>
      <c r="B30" s="134">
        <v>14.87</v>
      </c>
      <c r="C30" s="134">
        <v>21.49</v>
      </c>
      <c r="D30" s="134">
        <v>22.11</v>
      </c>
      <c r="E30" s="134">
        <v>7.29</v>
      </c>
      <c r="F30" s="134">
        <v>3.43</v>
      </c>
      <c r="G30" s="134">
        <v>25.77</v>
      </c>
      <c r="H30" s="134">
        <v>9.3800000000000008</v>
      </c>
      <c r="I30" s="134">
        <v>3.22</v>
      </c>
      <c r="J30" s="134">
        <v>0.15</v>
      </c>
      <c r="K30" s="134">
        <v>175.1</v>
      </c>
      <c r="L30" s="134">
        <v>26.08</v>
      </c>
      <c r="M30" s="134">
        <v>87.82</v>
      </c>
      <c r="N30" s="134">
        <v>0</v>
      </c>
      <c r="O30" s="134">
        <v>0</v>
      </c>
      <c r="P30" s="134">
        <v>0.4</v>
      </c>
      <c r="Q30" s="134">
        <v>4.71</v>
      </c>
    </row>
    <row r="31" spans="1:17" customFormat="1">
      <c r="A31" s="112" t="s">
        <v>1508</v>
      </c>
      <c r="B31" s="134">
        <v>14.06</v>
      </c>
      <c r="C31" s="134">
        <v>19.05</v>
      </c>
      <c r="D31" s="134">
        <v>20.18</v>
      </c>
      <c r="E31" s="134">
        <v>7.36</v>
      </c>
      <c r="F31" s="134">
        <v>4.72</v>
      </c>
      <c r="G31" s="134">
        <v>25.77</v>
      </c>
      <c r="H31" s="134">
        <v>9.3800000000000008</v>
      </c>
      <c r="I31" s="134">
        <v>3.35</v>
      </c>
      <c r="J31" s="134">
        <v>0.14000000000000001</v>
      </c>
      <c r="K31" s="134">
        <v>155.65</v>
      </c>
      <c r="L31" s="134">
        <v>26.14</v>
      </c>
      <c r="M31" s="134">
        <v>88.43</v>
      </c>
      <c r="N31" s="134">
        <v>0</v>
      </c>
      <c r="O31" s="134">
        <v>0</v>
      </c>
      <c r="P31" s="134">
        <v>0.37</v>
      </c>
      <c r="Q31" s="134">
        <v>4.6900000000000004</v>
      </c>
    </row>
    <row r="32" spans="1:17" customFormat="1">
      <c r="A32" s="112" t="s">
        <v>1509</v>
      </c>
      <c r="B32" s="134">
        <v>14.62</v>
      </c>
      <c r="C32" s="134">
        <v>20.04</v>
      </c>
      <c r="D32" s="134">
        <v>21.15</v>
      </c>
      <c r="E32" s="134">
        <v>7.02</v>
      </c>
      <c r="F32" s="134">
        <v>4.0599999999999996</v>
      </c>
      <c r="G32" s="134">
        <v>25.77</v>
      </c>
      <c r="H32" s="134">
        <v>9.3800000000000008</v>
      </c>
      <c r="I32" s="134">
        <v>3.28</v>
      </c>
      <c r="J32" s="134">
        <v>7.0000000000000007E-2</v>
      </c>
      <c r="K32" s="134">
        <v>215.12</v>
      </c>
      <c r="L32" s="134">
        <v>26.19</v>
      </c>
      <c r="M32" s="134">
        <v>88.84</v>
      </c>
      <c r="N32" s="134">
        <v>8.3000000000000007</v>
      </c>
      <c r="O32" s="134">
        <v>0</v>
      </c>
      <c r="P32" s="134">
        <v>0.38</v>
      </c>
      <c r="Q32" s="134">
        <v>4.67</v>
      </c>
    </row>
    <row r="33" spans="1:17" customFormat="1">
      <c r="A33" s="112" t="s">
        <v>1510</v>
      </c>
      <c r="B33" s="134">
        <v>15.22</v>
      </c>
      <c r="C33" s="134">
        <v>23.27</v>
      </c>
      <c r="D33" s="134">
        <v>23.32</v>
      </c>
      <c r="E33" s="134">
        <v>7.23</v>
      </c>
      <c r="F33" s="134">
        <v>2.56</v>
      </c>
      <c r="G33" s="134">
        <v>24.51</v>
      </c>
      <c r="H33" s="134">
        <v>7.49</v>
      </c>
      <c r="I33" s="134">
        <v>3.15</v>
      </c>
      <c r="J33" s="134">
        <v>0.19</v>
      </c>
      <c r="K33" s="134">
        <v>152.80000000000001</v>
      </c>
      <c r="L33" s="134">
        <v>26.49</v>
      </c>
      <c r="M33" s="134">
        <v>89.07</v>
      </c>
      <c r="N33" s="134">
        <v>24.4</v>
      </c>
      <c r="O33" s="134">
        <v>0</v>
      </c>
      <c r="P33" s="134">
        <v>0.41</v>
      </c>
      <c r="Q33" s="134">
        <v>4.75</v>
      </c>
    </row>
    <row r="34" spans="1:17" customFormat="1">
      <c r="A34" s="112" t="s">
        <v>1511</v>
      </c>
      <c r="B34" s="134">
        <v>15.37</v>
      </c>
      <c r="C34" s="134">
        <v>21.18</v>
      </c>
      <c r="D34" s="134">
        <v>22.35</v>
      </c>
      <c r="E34" s="134">
        <v>7.12</v>
      </c>
      <c r="F34" s="134">
        <v>3.4</v>
      </c>
      <c r="G34" s="134">
        <v>23.99</v>
      </c>
      <c r="H34" s="134">
        <v>7.4</v>
      </c>
      <c r="I34" s="134">
        <v>3.27</v>
      </c>
      <c r="J34" s="134">
        <v>0.12</v>
      </c>
      <c r="K34" s="134">
        <v>165.18</v>
      </c>
      <c r="L34" s="134">
        <v>26.71</v>
      </c>
      <c r="M34" s="134">
        <v>89.48</v>
      </c>
      <c r="N34" s="134">
        <v>36.4</v>
      </c>
      <c r="O34" s="134">
        <v>0</v>
      </c>
      <c r="P34" s="134">
        <v>0.4</v>
      </c>
      <c r="Q34" s="134">
        <v>4.7300000000000004</v>
      </c>
    </row>
    <row r="35" spans="1:17" customFormat="1">
      <c r="A35" s="112" t="s">
        <v>1512</v>
      </c>
      <c r="B35" s="134">
        <v>15.99</v>
      </c>
      <c r="C35" s="134">
        <v>21.43</v>
      </c>
      <c r="D35" s="134">
        <v>22.98</v>
      </c>
      <c r="E35" s="134">
        <v>7.27</v>
      </c>
      <c r="F35" s="134">
        <v>3.13</v>
      </c>
      <c r="G35" s="134">
        <v>23.99</v>
      </c>
      <c r="H35" s="134">
        <v>7.4</v>
      </c>
      <c r="I35" s="134">
        <v>3.39</v>
      </c>
      <c r="J35" s="134">
        <v>0.15</v>
      </c>
      <c r="K35" s="134">
        <v>262.17</v>
      </c>
      <c r="L35" s="134">
        <v>26.91</v>
      </c>
      <c r="M35" s="134">
        <v>89.06</v>
      </c>
      <c r="N35" s="134">
        <v>41.6</v>
      </c>
      <c r="O35" s="134">
        <v>0</v>
      </c>
      <c r="P35" s="134">
        <v>0.42</v>
      </c>
      <c r="Q35" s="134">
        <v>4.7</v>
      </c>
    </row>
    <row r="36" spans="1:17" customFormat="1">
      <c r="A36" s="112" t="s">
        <v>1513</v>
      </c>
      <c r="B36" s="134">
        <v>15.8</v>
      </c>
      <c r="C36" s="134">
        <v>22.93</v>
      </c>
      <c r="D36" s="134">
        <v>23.61</v>
      </c>
      <c r="E36" s="134">
        <v>7.41</v>
      </c>
      <c r="F36" s="134">
        <v>2.79</v>
      </c>
      <c r="G36" s="134">
        <v>23.99</v>
      </c>
      <c r="H36" s="134">
        <v>7.4</v>
      </c>
      <c r="I36" s="134">
        <v>3.36</v>
      </c>
      <c r="J36" s="134">
        <v>0.15</v>
      </c>
      <c r="K36" s="134">
        <v>242.36</v>
      </c>
      <c r="L36" s="134">
        <v>27.12</v>
      </c>
      <c r="M36" s="134">
        <v>86.84</v>
      </c>
      <c r="N36" s="134">
        <v>60</v>
      </c>
      <c r="O36" s="134">
        <v>0</v>
      </c>
      <c r="P36" s="134">
        <v>0.45</v>
      </c>
      <c r="Q36" s="134">
        <v>4.7</v>
      </c>
    </row>
    <row r="37" spans="1:17" customFormat="1">
      <c r="A37" s="112" t="s">
        <v>1514</v>
      </c>
      <c r="B37" s="134">
        <v>14.83</v>
      </c>
      <c r="C37" s="134">
        <v>20</v>
      </c>
      <c r="D37" s="134">
        <v>21.3</v>
      </c>
      <c r="E37" s="134">
        <v>7.32</v>
      </c>
      <c r="F37" s="134">
        <v>4.3499999999999996</v>
      </c>
      <c r="G37" s="134">
        <v>23.87</v>
      </c>
      <c r="H37" s="134">
        <v>8.7899999999999991</v>
      </c>
      <c r="I37" s="134">
        <v>3.5</v>
      </c>
      <c r="J37" s="134">
        <v>0.12</v>
      </c>
      <c r="K37" s="134">
        <v>238.08</v>
      </c>
      <c r="L37" s="134">
        <v>27.46</v>
      </c>
      <c r="M37" s="134">
        <v>85.65</v>
      </c>
      <c r="N37" s="134">
        <v>85.3</v>
      </c>
      <c r="O37" s="134">
        <v>0</v>
      </c>
      <c r="P37" s="134">
        <v>0.41</v>
      </c>
      <c r="Q37" s="134">
        <v>4.76</v>
      </c>
    </row>
    <row r="38" spans="1:17" customFormat="1">
      <c r="A38" s="112" t="s">
        <v>1515</v>
      </c>
      <c r="B38" s="134">
        <v>14.96</v>
      </c>
      <c r="C38" s="134">
        <v>19.079999999999998</v>
      </c>
      <c r="D38" s="134">
        <v>20.92</v>
      </c>
      <c r="E38" s="134">
        <v>6.54</v>
      </c>
      <c r="F38" s="134">
        <v>4.5199999999999996</v>
      </c>
      <c r="G38" s="134">
        <v>23.82</v>
      </c>
      <c r="H38" s="134">
        <v>8.86</v>
      </c>
      <c r="I38" s="134">
        <v>3.49</v>
      </c>
      <c r="J38" s="134">
        <v>0.22</v>
      </c>
      <c r="K38" s="134">
        <v>260.49</v>
      </c>
      <c r="L38" s="134">
        <v>27.9</v>
      </c>
      <c r="M38" s="134">
        <v>81.53</v>
      </c>
      <c r="N38" s="134">
        <v>119.3</v>
      </c>
      <c r="O38" s="134">
        <v>0</v>
      </c>
      <c r="P38" s="134">
        <v>0.38</v>
      </c>
      <c r="Q38" s="134">
        <v>4.6900000000000004</v>
      </c>
    </row>
    <row r="39" spans="1:17" customFormat="1">
      <c r="A39" s="112" t="s">
        <v>1516</v>
      </c>
      <c r="B39" s="134">
        <v>14.93</v>
      </c>
      <c r="C39" s="134">
        <v>19.53</v>
      </c>
      <c r="D39" s="134">
        <v>21.13</v>
      </c>
      <c r="E39" s="134">
        <v>6.79</v>
      </c>
      <c r="F39" s="134">
        <v>4.28</v>
      </c>
      <c r="G39" s="134">
        <v>23.82</v>
      </c>
      <c r="H39" s="134">
        <v>8.86</v>
      </c>
      <c r="I39" s="134">
        <v>3.38</v>
      </c>
      <c r="J39" s="134">
        <v>0.31</v>
      </c>
      <c r="K39" s="134">
        <v>250.41</v>
      </c>
      <c r="L39" s="134">
        <v>28.06</v>
      </c>
      <c r="M39" s="134">
        <v>81.17</v>
      </c>
      <c r="N39" s="134">
        <v>124</v>
      </c>
      <c r="O39" s="134">
        <v>0</v>
      </c>
      <c r="P39" s="134">
        <v>0.37</v>
      </c>
      <c r="Q39" s="134">
        <v>4.67</v>
      </c>
    </row>
    <row r="40" spans="1:17" customFormat="1">
      <c r="A40" s="112" t="s">
        <v>1517</v>
      </c>
      <c r="B40" s="134">
        <v>14.78</v>
      </c>
      <c r="C40" s="134">
        <v>19.46</v>
      </c>
      <c r="D40" s="134">
        <v>20.98</v>
      </c>
      <c r="E40" s="134">
        <v>6.42</v>
      </c>
      <c r="F40" s="134">
        <v>4.33</v>
      </c>
      <c r="G40" s="134">
        <v>23.82</v>
      </c>
      <c r="H40" s="134">
        <v>8.86</v>
      </c>
      <c r="I40" s="134">
        <v>3.37</v>
      </c>
      <c r="J40" s="134">
        <v>0.3</v>
      </c>
      <c r="K40" s="134">
        <v>241.34</v>
      </c>
      <c r="L40" s="134">
        <v>28.12</v>
      </c>
      <c r="M40" s="134">
        <v>80.95</v>
      </c>
      <c r="N40" s="134">
        <v>143.30000000000001</v>
      </c>
      <c r="O40" s="134">
        <v>0</v>
      </c>
      <c r="P40" s="134">
        <v>0.36</v>
      </c>
      <c r="Q40" s="134">
        <v>4.6500000000000004</v>
      </c>
    </row>
    <row r="41" spans="1:17" customFormat="1">
      <c r="A41" s="112" t="s">
        <v>1518</v>
      </c>
      <c r="B41" s="134">
        <v>14.19</v>
      </c>
      <c r="C41" s="134">
        <v>19.09</v>
      </c>
      <c r="D41" s="134">
        <v>20.309999999999999</v>
      </c>
      <c r="E41" s="134">
        <v>6.48</v>
      </c>
      <c r="F41" s="134">
        <v>5.0199999999999996</v>
      </c>
      <c r="G41" s="134">
        <v>23.25</v>
      </c>
      <c r="H41" s="134">
        <v>7.05</v>
      </c>
      <c r="I41" s="134">
        <v>3.36</v>
      </c>
      <c r="J41" s="134">
        <v>0.23</v>
      </c>
      <c r="K41" s="134">
        <v>223.44</v>
      </c>
      <c r="L41" s="134">
        <v>28.67</v>
      </c>
      <c r="M41" s="134">
        <v>79.650000000000006</v>
      </c>
      <c r="N41" s="134">
        <v>180.5</v>
      </c>
      <c r="O41" s="134">
        <v>0</v>
      </c>
      <c r="P41" s="134">
        <v>0.35</v>
      </c>
      <c r="Q41" s="134">
        <v>4.67</v>
      </c>
    </row>
    <row r="42" spans="1:17" customFormat="1">
      <c r="A42" s="112" t="s">
        <v>1519</v>
      </c>
      <c r="B42" s="134">
        <v>14.49</v>
      </c>
      <c r="C42" s="134">
        <v>20.21</v>
      </c>
      <c r="D42" s="134">
        <v>21.13</v>
      </c>
      <c r="E42" s="134">
        <v>6.4</v>
      </c>
      <c r="F42" s="134">
        <v>3.96</v>
      </c>
      <c r="G42" s="134">
        <v>23.01</v>
      </c>
      <c r="H42" s="134">
        <v>6.91</v>
      </c>
      <c r="I42" s="134">
        <v>3.3</v>
      </c>
      <c r="J42" s="134">
        <v>0.43</v>
      </c>
      <c r="K42" s="134">
        <v>260.88</v>
      </c>
      <c r="L42" s="134">
        <v>28.96</v>
      </c>
      <c r="M42" s="134">
        <v>78.27</v>
      </c>
      <c r="N42" s="134">
        <v>219.5</v>
      </c>
      <c r="O42" s="134">
        <v>0</v>
      </c>
      <c r="P42" s="134">
        <v>0.37</v>
      </c>
      <c r="Q42" s="134">
        <v>4.6500000000000004</v>
      </c>
    </row>
    <row r="43" spans="1:17" customFormat="1">
      <c r="A43" s="112" t="s">
        <v>1520</v>
      </c>
      <c r="B43" s="134">
        <v>14.77</v>
      </c>
      <c r="C43" s="134">
        <v>23.87</v>
      </c>
      <c r="D43" s="134">
        <v>23.27</v>
      </c>
      <c r="E43" s="134">
        <v>7.36</v>
      </c>
      <c r="F43" s="134">
        <v>2.14</v>
      </c>
      <c r="G43" s="134">
        <v>23.01</v>
      </c>
      <c r="H43" s="134">
        <v>6.91</v>
      </c>
      <c r="I43" s="134">
        <v>3.25</v>
      </c>
      <c r="J43" s="134">
        <v>0.4</v>
      </c>
      <c r="K43" s="134">
        <v>258.2</v>
      </c>
      <c r="L43" s="134">
        <v>29.15</v>
      </c>
      <c r="M43" s="134">
        <v>77.48</v>
      </c>
      <c r="N43" s="134">
        <v>227.6</v>
      </c>
      <c r="O43" s="134">
        <v>0</v>
      </c>
      <c r="P43" s="134">
        <v>0.4</v>
      </c>
      <c r="Q43" s="134">
        <v>4.7</v>
      </c>
    </row>
    <row r="44" spans="1:17" customFormat="1">
      <c r="A44" s="112" t="s">
        <v>1521</v>
      </c>
      <c r="B44" s="134">
        <v>14.61</v>
      </c>
      <c r="C44" s="134">
        <v>22.66</v>
      </c>
      <c r="D44" s="134">
        <v>22.51</v>
      </c>
      <c r="E44" s="134">
        <v>7.33</v>
      </c>
      <c r="F44" s="134">
        <v>3.13</v>
      </c>
      <c r="G44" s="134">
        <v>23.01</v>
      </c>
      <c r="H44" s="134">
        <v>6.91</v>
      </c>
      <c r="I44" s="134">
        <v>3.38</v>
      </c>
      <c r="J44" s="134">
        <v>0.39</v>
      </c>
      <c r="K44" s="134">
        <v>261.81</v>
      </c>
      <c r="L44" s="134">
        <v>29.44</v>
      </c>
      <c r="M44" s="134">
        <v>77.23</v>
      </c>
      <c r="N44" s="134">
        <v>228.3</v>
      </c>
      <c r="O44" s="134">
        <v>0</v>
      </c>
      <c r="P44" s="134">
        <v>0.4</v>
      </c>
      <c r="Q44" s="134">
        <v>4.6900000000000004</v>
      </c>
    </row>
    <row r="45" spans="1:17" customFormat="1">
      <c r="A45" s="112" t="s">
        <v>1522</v>
      </c>
      <c r="B45" s="134">
        <v>13.78</v>
      </c>
      <c r="C45" s="134">
        <v>20.55</v>
      </c>
      <c r="D45" s="134">
        <v>20.74</v>
      </c>
      <c r="E45" s="134">
        <v>7.8</v>
      </c>
      <c r="F45" s="134">
        <v>6.27</v>
      </c>
      <c r="G45" s="134">
        <v>19.579999999999998</v>
      </c>
      <c r="H45" s="134">
        <v>5.23</v>
      </c>
      <c r="I45" s="134">
        <v>3.51</v>
      </c>
      <c r="J45" s="134">
        <v>0.28000000000000003</v>
      </c>
      <c r="K45" s="134">
        <v>252.04</v>
      </c>
      <c r="L45" s="134">
        <v>29.62</v>
      </c>
      <c r="M45" s="134">
        <v>76.430000000000007</v>
      </c>
      <c r="N45" s="134">
        <v>217.4</v>
      </c>
      <c r="O45" s="134">
        <v>0</v>
      </c>
      <c r="P45" s="134">
        <v>0.4</v>
      </c>
      <c r="Q45" s="134">
        <v>4.6399999999999997</v>
      </c>
    </row>
    <row r="46" spans="1:17" customFormat="1">
      <c r="A46" s="112" t="s">
        <v>1523</v>
      </c>
      <c r="B46" s="134">
        <v>13.89</v>
      </c>
      <c r="C46" s="134">
        <v>20.52</v>
      </c>
      <c r="D46" s="134">
        <v>20.81</v>
      </c>
      <c r="E46" s="134">
        <v>7.85</v>
      </c>
      <c r="F46" s="134">
        <v>4.7</v>
      </c>
      <c r="G46" s="134">
        <v>18.18</v>
      </c>
      <c r="H46" s="134">
        <v>5.15</v>
      </c>
      <c r="I46" s="134">
        <v>3.52</v>
      </c>
      <c r="J46" s="134">
        <v>0.36</v>
      </c>
      <c r="K46" s="134">
        <v>260.89</v>
      </c>
      <c r="L46" s="134">
        <v>29.51</v>
      </c>
      <c r="M46" s="134">
        <v>76.33</v>
      </c>
      <c r="N46" s="134">
        <v>242.3</v>
      </c>
      <c r="O46" s="134">
        <v>0</v>
      </c>
      <c r="P46" s="134">
        <v>0.39</v>
      </c>
      <c r="Q46" s="134">
        <v>4.63</v>
      </c>
    </row>
    <row r="47" spans="1:17" customFormat="1">
      <c r="A47" s="112" t="s">
        <v>1524</v>
      </c>
      <c r="B47" s="134">
        <v>13.81</v>
      </c>
      <c r="C47" s="134">
        <v>20.36</v>
      </c>
      <c r="D47" s="134">
        <v>20.66</v>
      </c>
      <c r="E47" s="134">
        <v>7.42</v>
      </c>
      <c r="F47" s="134">
        <v>4.45</v>
      </c>
      <c r="G47" s="134">
        <v>18.18</v>
      </c>
      <c r="H47" s="134">
        <v>5.15</v>
      </c>
      <c r="I47" s="134">
        <v>3.57</v>
      </c>
      <c r="J47" s="134">
        <v>0.24</v>
      </c>
      <c r="K47" s="134">
        <v>242.54</v>
      </c>
      <c r="L47" s="134">
        <v>29.99</v>
      </c>
      <c r="M47" s="134">
        <v>74.22</v>
      </c>
      <c r="N47" s="134">
        <v>270.2</v>
      </c>
      <c r="O47" s="134">
        <v>0</v>
      </c>
      <c r="P47" s="134">
        <v>0.4</v>
      </c>
      <c r="Q47" s="134">
        <v>4.5999999999999996</v>
      </c>
    </row>
    <row r="48" spans="1:17" customFormat="1">
      <c r="A48" s="112" t="s">
        <v>1525</v>
      </c>
      <c r="B48" s="134">
        <v>13.78</v>
      </c>
      <c r="C48" s="134">
        <v>20.63</v>
      </c>
      <c r="D48" s="134">
        <v>20.78</v>
      </c>
      <c r="E48" s="134">
        <v>7.12</v>
      </c>
      <c r="F48" s="134">
        <v>3.94</v>
      </c>
      <c r="G48" s="134">
        <v>18.18</v>
      </c>
      <c r="H48" s="134">
        <v>5.15</v>
      </c>
      <c r="I48" s="134">
        <v>3.63</v>
      </c>
      <c r="J48" s="134">
        <v>0.32</v>
      </c>
      <c r="K48" s="134">
        <v>221.09</v>
      </c>
      <c r="L48" s="134">
        <v>30.5</v>
      </c>
      <c r="M48" s="134">
        <v>72.23</v>
      </c>
      <c r="N48" s="134">
        <v>350.9</v>
      </c>
      <c r="O48" s="134">
        <v>0</v>
      </c>
      <c r="P48" s="134">
        <v>0.4</v>
      </c>
      <c r="Q48" s="134">
        <v>4.59</v>
      </c>
    </row>
    <row r="49" spans="1:17" customFormat="1">
      <c r="A49" s="112" t="s">
        <v>1526</v>
      </c>
      <c r="B49" s="134">
        <v>13.34</v>
      </c>
      <c r="C49" s="134">
        <v>21.19</v>
      </c>
      <c r="D49" s="134">
        <v>20.73</v>
      </c>
      <c r="E49" s="134">
        <v>6.11</v>
      </c>
      <c r="F49" s="134">
        <v>4.54</v>
      </c>
      <c r="G49" s="134">
        <v>22.24</v>
      </c>
      <c r="H49" s="134">
        <v>6.21</v>
      </c>
      <c r="I49" s="134">
        <v>3.78</v>
      </c>
      <c r="J49" s="134">
        <v>0.48</v>
      </c>
      <c r="K49" s="134">
        <v>261.82</v>
      </c>
      <c r="L49" s="134">
        <v>30.53</v>
      </c>
      <c r="M49" s="134">
        <v>71.44</v>
      </c>
      <c r="N49" s="134">
        <v>303.10000000000002</v>
      </c>
      <c r="O49" s="134">
        <v>0</v>
      </c>
      <c r="P49" s="134">
        <v>0.42</v>
      </c>
      <c r="Q49" s="134">
        <v>4.6100000000000003</v>
      </c>
    </row>
    <row r="50" spans="1:17" customFormat="1">
      <c r="A50" s="112" t="s">
        <v>1527</v>
      </c>
      <c r="B50" s="134">
        <v>13.39</v>
      </c>
      <c r="C50" s="134">
        <v>23.64</v>
      </c>
      <c r="D50" s="134">
        <v>22.04</v>
      </c>
      <c r="E50" s="134">
        <v>7.81</v>
      </c>
      <c r="F50" s="134">
        <v>2.97</v>
      </c>
      <c r="G50" s="134">
        <v>23.89</v>
      </c>
      <c r="H50" s="134">
        <v>6.26</v>
      </c>
      <c r="I50" s="134">
        <v>3.86</v>
      </c>
      <c r="J50" s="134">
        <v>0.41</v>
      </c>
      <c r="K50" s="134">
        <v>268.92</v>
      </c>
      <c r="L50" s="134">
        <v>30.7</v>
      </c>
      <c r="M50" s="134">
        <v>70.12</v>
      </c>
      <c r="N50" s="134">
        <v>393.8</v>
      </c>
      <c r="O50" s="134">
        <v>0</v>
      </c>
      <c r="P50" s="134">
        <v>0.46</v>
      </c>
      <c r="Q50" s="134">
        <v>4.6100000000000003</v>
      </c>
    </row>
    <row r="51" spans="1:17" customFormat="1">
      <c r="A51" s="112" t="s">
        <v>1528</v>
      </c>
      <c r="B51" s="134">
        <v>13.27</v>
      </c>
      <c r="C51" s="134">
        <v>22.97</v>
      </c>
      <c r="D51" s="134">
        <v>21.6</v>
      </c>
      <c r="E51" s="134">
        <v>7.79</v>
      </c>
      <c r="F51" s="134">
        <v>3.67</v>
      </c>
      <c r="G51" s="134">
        <v>23.89</v>
      </c>
      <c r="H51" s="134">
        <v>6.26</v>
      </c>
      <c r="I51" s="134">
        <v>4.13</v>
      </c>
      <c r="J51" s="134">
        <v>0.5</v>
      </c>
      <c r="K51" s="134">
        <v>238.7</v>
      </c>
      <c r="L51" s="134">
        <v>31.61</v>
      </c>
      <c r="M51" s="134">
        <v>67.739999999999995</v>
      </c>
      <c r="N51" s="134">
        <v>539.6</v>
      </c>
      <c r="O51" s="134">
        <v>0</v>
      </c>
      <c r="P51" s="134">
        <v>0.47</v>
      </c>
      <c r="Q51" s="134">
        <v>4.6100000000000003</v>
      </c>
    </row>
    <row r="52" spans="1:17" customFormat="1">
      <c r="A52" s="112" t="s">
        <v>1529</v>
      </c>
      <c r="B52" s="134">
        <v>12.88</v>
      </c>
      <c r="C52" s="134">
        <v>22.38</v>
      </c>
      <c r="D52" s="134">
        <v>20.98</v>
      </c>
      <c r="E52" s="134">
        <v>7.52</v>
      </c>
      <c r="F52" s="134">
        <v>4.18</v>
      </c>
      <c r="G52" s="134">
        <v>23.89</v>
      </c>
      <c r="H52" s="134">
        <v>6.26</v>
      </c>
      <c r="I52" s="134">
        <v>4.3600000000000003</v>
      </c>
      <c r="J52" s="134">
        <v>0.66</v>
      </c>
      <c r="K52" s="134">
        <v>260.73</v>
      </c>
      <c r="L52" s="134">
        <v>31.63</v>
      </c>
      <c r="M52" s="134">
        <v>66.44</v>
      </c>
      <c r="N52" s="134">
        <v>574.5</v>
      </c>
      <c r="O52" s="134">
        <v>0</v>
      </c>
      <c r="P52" s="134">
        <v>0.47</v>
      </c>
      <c r="Q52" s="134">
        <v>4.59</v>
      </c>
    </row>
    <row r="53" spans="1:17" customFormat="1">
      <c r="A53" s="112" t="s">
        <v>1530</v>
      </c>
      <c r="B53" s="134">
        <v>12.24</v>
      </c>
      <c r="C53" s="134">
        <v>22.43</v>
      </c>
      <c r="D53" s="134">
        <v>20.49</v>
      </c>
      <c r="E53" s="134">
        <v>7.88</v>
      </c>
      <c r="F53" s="134">
        <v>4.54</v>
      </c>
      <c r="G53" s="134">
        <v>29.9</v>
      </c>
      <c r="H53" s="134">
        <v>7.59</v>
      </c>
      <c r="I53" s="134">
        <v>4.4400000000000004</v>
      </c>
      <c r="J53" s="134">
        <v>0.26</v>
      </c>
      <c r="K53" s="134">
        <v>245.08</v>
      </c>
      <c r="L53" s="134">
        <v>31.79</v>
      </c>
      <c r="M53" s="134">
        <v>67.069999999999993</v>
      </c>
      <c r="N53" s="134">
        <v>347.5</v>
      </c>
      <c r="O53" s="134">
        <v>0</v>
      </c>
      <c r="P53" s="134">
        <v>0.48</v>
      </c>
      <c r="Q53" s="134">
        <v>4.58</v>
      </c>
    </row>
    <row r="54" spans="1:17" customFormat="1">
      <c r="A54" s="112" t="s">
        <v>1531</v>
      </c>
      <c r="B54" s="134">
        <v>12.12</v>
      </c>
      <c r="C54" s="134">
        <v>22.79</v>
      </c>
      <c r="D54" s="134">
        <v>20.58</v>
      </c>
      <c r="E54" s="134">
        <v>8.1999999999999993</v>
      </c>
      <c r="F54" s="134">
        <v>4.5</v>
      </c>
      <c r="G54" s="134">
        <v>32.35</v>
      </c>
      <c r="H54" s="134">
        <v>7.65</v>
      </c>
      <c r="I54" s="134">
        <v>4.5199999999999996</v>
      </c>
      <c r="J54" s="134">
        <v>0.6</v>
      </c>
      <c r="K54" s="134">
        <v>23.2</v>
      </c>
      <c r="L54" s="134">
        <v>30.14</v>
      </c>
      <c r="M54" s="134">
        <v>71.790000000000006</v>
      </c>
      <c r="N54" s="134">
        <v>78.3</v>
      </c>
      <c r="O54" s="134">
        <v>0</v>
      </c>
      <c r="P54" s="134">
        <v>0.49</v>
      </c>
      <c r="Q54" s="134">
        <v>4.51</v>
      </c>
    </row>
    <row r="55" spans="1:17" customFormat="1">
      <c r="A55" s="112" t="s">
        <v>1532</v>
      </c>
      <c r="B55" s="134">
        <v>12.43</v>
      </c>
      <c r="C55" s="134">
        <v>23.27</v>
      </c>
      <c r="D55" s="134">
        <v>21.08</v>
      </c>
      <c r="E55" s="134">
        <v>7.2</v>
      </c>
      <c r="F55" s="134">
        <v>3.74</v>
      </c>
      <c r="G55" s="134">
        <v>32.35</v>
      </c>
      <c r="H55" s="134">
        <v>7.65</v>
      </c>
      <c r="I55" s="134">
        <v>4.58</v>
      </c>
      <c r="J55" s="134">
        <v>0.7</v>
      </c>
      <c r="K55" s="134">
        <v>33.99</v>
      </c>
      <c r="L55" s="134">
        <v>28.6</v>
      </c>
      <c r="M55" s="134">
        <v>77.05</v>
      </c>
      <c r="N55" s="134">
        <v>36.299999999999997</v>
      </c>
      <c r="O55" s="134">
        <v>0</v>
      </c>
      <c r="P55" s="134">
        <v>0.49</v>
      </c>
      <c r="Q55" s="134">
        <v>4.5199999999999996</v>
      </c>
    </row>
    <row r="56" spans="1:17" customFormat="1">
      <c r="A56" s="112" t="s">
        <v>1533</v>
      </c>
      <c r="B56" s="134">
        <v>12.93</v>
      </c>
      <c r="C56" s="134">
        <v>24.85</v>
      </c>
      <c r="D56" s="134">
        <v>22.31</v>
      </c>
      <c r="E56" s="134">
        <v>6.52</v>
      </c>
      <c r="F56" s="134">
        <v>3.14</v>
      </c>
      <c r="G56" s="134">
        <v>32.35</v>
      </c>
      <c r="H56" s="134">
        <v>7.65</v>
      </c>
      <c r="I56" s="134">
        <v>4.6399999999999997</v>
      </c>
      <c r="J56" s="134">
        <v>0.64</v>
      </c>
      <c r="K56" s="134">
        <v>28.43</v>
      </c>
      <c r="L56" s="134">
        <v>28.11</v>
      </c>
      <c r="M56" s="134">
        <v>77.22</v>
      </c>
      <c r="N56" s="134">
        <v>19.399999999999999</v>
      </c>
      <c r="O56" s="134">
        <v>0</v>
      </c>
      <c r="P56" s="134">
        <v>0.53</v>
      </c>
      <c r="Q56" s="134">
        <v>4.59</v>
      </c>
    </row>
    <row r="57" spans="1:17" customFormat="1">
      <c r="A57" s="112" t="s">
        <v>1534</v>
      </c>
      <c r="B57" s="134">
        <v>13.31</v>
      </c>
      <c r="C57" s="134">
        <v>26.47</v>
      </c>
      <c r="D57" s="134">
        <v>23.45</v>
      </c>
      <c r="E57" s="134">
        <v>6.7</v>
      </c>
      <c r="F57" s="134">
        <v>2.96</v>
      </c>
      <c r="G57" s="134">
        <v>39.31</v>
      </c>
      <c r="H57" s="134">
        <v>8.14</v>
      </c>
      <c r="I57" s="134">
        <v>4.71</v>
      </c>
      <c r="J57" s="134">
        <v>0.69</v>
      </c>
      <c r="K57" s="134">
        <v>43.29</v>
      </c>
      <c r="L57" s="134">
        <v>27.11</v>
      </c>
      <c r="M57" s="134">
        <v>80.02</v>
      </c>
      <c r="N57" s="134">
        <v>24</v>
      </c>
      <c r="O57" s="134">
        <v>0</v>
      </c>
      <c r="P57" s="134">
        <v>0.54</v>
      </c>
      <c r="Q57" s="134">
        <v>4.67</v>
      </c>
    </row>
    <row r="58" spans="1:17" customFormat="1">
      <c r="A58" s="112" t="s">
        <v>1535</v>
      </c>
      <c r="B58" s="134">
        <v>13.63</v>
      </c>
      <c r="C58" s="134">
        <v>24.24</v>
      </c>
      <c r="D58" s="134">
        <v>22.55</v>
      </c>
      <c r="E58" s="134">
        <v>5.97</v>
      </c>
      <c r="F58" s="134">
        <v>4.3600000000000003</v>
      </c>
      <c r="G58" s="134">
        <v>42.14</v>
      </c>
      <c r="H58" s="134">
        <v>8.16</v>
      </c>
      <c r="I58" s="134">
        <v>4.74</v>
      </c>
      <c r="J58" s="134">
        <v>0.16</v>
      </c>
      <c r="K58" s="134">
        <v>136.49</v>
      </c>
      <c r="L58" s="134">
        <v>26.7</v>
      </c>
      <c r="M58" s="134">
        <v>87.08</v>
      </c>
      <c r="N58" s="134">
        <v>66.900000000000006</v>
      </c>
      <c r="O58" s="134">
        <v>0.2</v>
      </c>
      <c r="P58" s="134">
        <v>0.5</v>
      </c>
      <c r="Q58" s="134">
        <v>4.6500000000000004</v>
      </c>
    </row>
    <row r="59" spans="1:17" customFormat="1">
      <c r="A59" s="112" t="s">
        <v>1536</v>
      </c>
      <c r="B59" s="134">
        <v>13.32</v>
      </c>
      <c r="C59" s="134">
        <v>22.69</v>
      </c>
      <c r="D59" s="134">
        <v>21.49</v>
      </c>
      <c r="E59" s="134">
        <v>5.58</v>
      </c>
      <c r="F59" s="134">
        <v>4.67</v>
      </c>
      <c r="G59" s="134">
        <v>42.14</v>
      </c>
      <c r="H59" s="134">
        <v>8.16</v>
      </c>
      <c r="I59" s="134">
        <v>4.6500000000000004</v>
      </c>
      <c r="J59" s="134">
        <v>0.24</v>
      </c>
      <c r="K59" s="134">
        <v>202.75</v>
      </c>
      <c r="L59" s="134">
        <v>26.9</v>
      </c>
      <c r="M59" s="134">
        <v>85.98</v>
      </c>
      <c r="N59" s="134">
        <v>48.5</v>
      </c>
      <c r="O59" s="134">
        <v>0.4</v>
      </c>
      <c r="P59" s="134">
        <v>0.47</v>
      </c>
      <c r="Q59" s="134">
        <v>4.6100000000000003</v>
      </c>
    </row>
    <row r="60" spans="1:17" customFormat="1">
      <c r="A60" s="112" t="s">
        <v>1537</v>
      </c>
      <c r="B60" s="134">
        <v>13.44</v>
      </c>
      <c r="C60" s="134">
        <v>23.2</v>
      </c>
      <c r="D60" s="134">
        <v>21.85</v>
      </c>
      <c r="E60" s="134">
        <v>5.85</v>
      </c>
      <c r="F60" s="134">
        <v>3.76</v>
      </c>
      <c r="G60" s="134">
        <v>42.14</v>
      </c>
      <c r="H60" s="134">
        <v>8.16</v>
      </c>
      <c r="I60" s="134">
        <v>4.5199999999999996</v>
      </c>
      <c r="J60" s="134">
        <v>1.42</v>
      </c>
      <c r="K60" s="134">
        <v>266.62</v>
      </c>
      <c r="L60" s="134">
        <v>25.69</v>
      </c>
      <c r="M60" s="134">
        <v>88.65</v>
      </c>
      <c r="N60" s="134">
        <v>36.5</v>
      </c>
      <c r="O60" s="134">
        <v>4.4000000000000004</v>
      </c>
      <c r="P60" s="134">
        <v>0.46</v>
      </c>
      <c r="Q60" s="134">
        <v>4.62</v>
      </c>
    </row>
    <row r="61" spans="1:17" customFormat="1">
      <c r="A61" s="112" t="s">
        <v>1538</v>
      </c>
      <c r="B61" s="134">
        <v>13.29</v>
      </c>
      <c r="C61" s="134">
        <v>23.28</v>
      </c>
      <c r="D61" s="134">
        <v>21.78</v>
      </c>
      <c r="E61" s="134">
        <v>5.74</v>
      </c>
      <c r="F61" s="134">
        <v>3.83</v>
      </c>
      <c r="G61" s="134">
        <v>37.409999999999997</v>
      </c>
      <c r="H61" s="134">
        <v>8.7799999999999994</v>
      </c>
      <c r="I61" s="134">
        <v>4.59</v>
      </c>
      <c r="J61" s="134">
        <v>0.47</v>
      </c>
      <c r="K61" s="134">
        <v>309.35000000000002</v>
      </c>
      <c r="L61" s="134">
        <v>23.79</v>
      </c>
      <c r="M61" s="134">
        <v>96.88</v>
      </c>
      <c r="N61" s="134">
        <v>64.099999999999994</v>
      </c>
      <c r="O61" s="134">
        <v>2</v>
      </c>
      <c r="P61" s="134">
        <v>0.45</v>
      </c>
      <c r="Q61" s="134">
        <v>4.63</v>
      </c>
    </row>
    <row r="62" spans="1:17" customFormat="1">
      <c r="A62" s="112" t="s">
        <v>1539</v>
      </c>
      <c r="B62" s="134">
        <v>13.43</v>
      </c>
      <c r="C62" s="134">
        <v>25.84</v>
      </c>
      <c r="D62" s="134">
        <v>23.23</v>
      </c>
      <c r="E62" s="134">
        <v>6.34</v>
      </c>
      <c r="F62" s="134">
        <v>1.97</v>
      </c>
      <c r="G62" s="134">
        <v>35.49</v>
      </c>
      <c r="H62" s="134">
        <v>8.81</v>
      </c>
      <c r="I62" s="134">
        <v>4.5599999999999996</v>
      </c>
      <c r="J62" s="134">
        <v>0.32</v>
      </c>
      <c r="K62" s="134">
        <v>291.52</v>
      </c>
      <c r="L62" s="134">
        <v>24.12</v>
      </c>
      <c r="M62" s="134">
        <v>97.99</v>
      </c>
      <c r="N62" s="134">
        <v>86.5</v>
      </c>
      <c r="O62" s="134">
        <v>0</v>
      </c>
      <c r="P62" s="134">
        <v>0.49</v>
      </c>
      <c r="Q62" s="134">
        <v>4.6500000000000004</v>
      </c>
    </row>
    <row r="63" spans="1:17" customFormat="1">
      <c r="A63" s="112" t="s">
        <v>1540</v>
      </c>
      <c r="B63" s="134">
        <v>13.9</v>
      </c>
      <c r="C63" s="134">
        <v>25.97</v>
      </c>
      <c r="D63" s="134">
        <v>23.67</v>
      </c>
      <c r="E63" s="134">
        <v>6.73</v>
      </c>
      <c r="F63" s="134">
        <v>2.15</v>
      </c>
      <c r="G63" s="134">
        <v>35.49</v>
      </c>
      <c r="H63" s="134">
        <v>8.81</v>
      </c>
      <c r="I63" s="134">
        <v>4.55</v>
      </c>
      <c r="J63" s="134">
        <v>0.38</v>
      </c>
      <c r="K63" s="134">
        <v>272.63</v>
      </c>
      <c r="L63" s="134">
        <v>24.61</v>
      </c>
      <c r="M63" s="134">
        <v>98.45</v>
      </c>
      <c r="N63" s="134">
        <v>107.5</v>
      </c>
      <c r="O63" s="134">
        <v>0</v>
      </c>
      <c r="P63" s="134">
        <v>0.5</v>
      </c>
      <c r="Q63" s="134">
        <v>4.71</v>
      </c>
    </row>
    <row r="64" spans="1:17" customFormat="1">
      <c r="A64" s="112" t="s">
        <v>1541</v>
      </c>
      <c r="B64" s="134">
        <v>14.97</v>
      </c>
      <c r="C64" s="134">
        <v>24.6</v>
      </c>
      <c r="D64" s="134">
        <v>23.82</v>
      </c>
      <c r="E64" s="134">
        <v>6.25</v>
      </c>
      <c r="F64" s="134">
        <v>3.08</v>
      </c>
      <c r="G64" s="134">
        <v>35.49</v>
      </c>
      <c r="H64" s="134">
        <v>8.81</v>
      </c>
      <c r="I64" s="134">
        <v>4.66</v>
      </c>
      <c r="J64" s="134">
        <v>0.19</v>
      </c>
      <c r="K64" s="134">
        <v>297.19</v>
      </c>
      <c r="L64" s="134">
        <v>25.18</v>
      </c>
      <c r="M64" s="134">
        <v>98.72</v>
      </c>
      <c r="N64" s="134">
        <v>165.2</v>
      </c>
      <c r="O64" s="134">
        <v>0</v>
      </c>
      <c r="P64" s="134">
        <v>0.5</v>
      </c>
      <c r="Q64" s="134">
        <v>4.7</v>
      </c>
    </row>
    <row r="65" spans="1:17" customFormat="1">
      <c r="A65" s="112" t="s">
        <v>1542</v>
      </c>
      <c r="B65" s="134">
        <v>16.79</v>
      </c>
      <c r="C65" s="134">
        <v>24.83</v>
      </c>
      <c r="D65" s="134">
        <v>25.39</v>
      </c>
      <c r="E65" s="134">
        <v>6.09</v>
      </c>
      <c r="F65" s="134">
        <v>4.34</v>
      </c>
      <c r="G65" s="134">
        <v>32.56</v>
      </c>
      <c r="H65" s="134">
        <v>9.7899999999999991</v>
      </c>
      <c r="I65" s="134">
        <v>4.67</v>
      </c>
      <c r="J65" s="134">
        <v>0.34</v>
      </c>
      <c r="K65" s="134">
        <v>21.92</v>
      </c>
      <c r="L65" s="134">
        <v>25.72</v>
      </c>
      <c r="M65" s="134">
        <v>98.91</v>
      </c>
      <c r="N65" s="134">
        <v>184.7</v>
      </c>
      <c r="O65" s="134">
        <v>0</v>
      </c>
      <c r="P65" s="134">
        <v>0.51</v>
      </c>
      <c r="Q65" s="134">
        <v>4.74</v>
      </c>
    </row>
    <row r="66" spans="1:17" customFormat="1">
      <c r="A66" s="112" t="s">
        <v>1543</v>
      </c>
      <c r="B66" s="134">
        <v>16.350000000000001</v>
      </c>
      <c r="C66" s="134">
        <v>25.85</v>
      </c>
      <c r="D66" s="134">
        <v>25.57</v>
      </c>
      <c r="E66" s="134">
        <v>6.32</v>
      </c>
      <c r="F66" s="134">
        <v>3.2</v>
      </c>
      <c r="G66" s="134">
        <v>31.37</v>
      </c>
      <c r="H66" s="134">
        <v>9.8699999999999992</v>
      </c>
      <c r="I66" s="134">
        <v>4.67</v>
      </c>
      <c r="J66" s="134">
        <v>0.17</v>
      </c>
      <c r="K66" s="134">
        <v>41.6</v>
      </c>
      <c r="L66" s="134">
        <v>26.45</v>
      </c>
      <c r="M66" s="134">
        <v>99.01</v>
      </c>
      <c r="N66" s="134">
        <v>228.4</v>
      </c>
      <c r="O66" s="134">
        <v>0</v>
      </c>
      <c r="P66" s="134">
        <v>0.51</v>
      </c>
      <c r="Q66" s="134">
        <v>4.8099999999999996</v>
      </c>
    </row>
    <row r="67" spans="1:17" customFormat="1">
      <c r="A67" s="112" t="s">
        <v>1544</v>
      </c>
      <c r="B67" s="134">
        <v>16.37</v>
      </c>
      <c r="C67" s="134">
        <v>27.3</v>
      </c>
      <c r="D67" s="134">
        <v>26.35</v>
      </c>
      <c r="E67" s="134">
        <v>7.32</v>
      </c>
      <c r="F67" s="134">
        <v>2.17</v>
      </c>
      <c r="G67" s="134">
        <v>31.37</v>
      </c>
      <c r="H67" s="134">
        <v>9.8699999999999992</v>
      </c>
      <c r="I67" s="134">
        <v>4.67</v>
      </c>
      <c r="J67" s="134">
        <v>0.27</v>
      </c>
      <c r="K67" s="134">
        <v>282.94</v>
      </c>
      <c r="L67" s="134">
        <v>27.87</v>
      </c>
      <c r="M67" s="134">
        <v>99.05</v>
      </c>
      <c r="N67" s="134">
        <v>568.4</v>
      </c>
      <c r="O67" s="134">
        <v>0</v>
      </c>
      <c r="P67" s="134">
        <v>0.54</v>
      </c>
      <c r="Q67" s="134">
        <v>4.92</v>
      </c>
    </row>
    <row r="68" spans="1:17" customFormat="1">
      <c r="A68" s="112" t="s">
        <v>1545</v>
      </c>
      <c r="B68" s="134">
        <v>16.21</v>
      </c>
      <c r="C68" s="134">
        <v>25.72</v>
      </c>
      <c r="D68" s="134">
        <v>25.39</v>
      </c>
      <c r="E68" s="134">
        <v>7.41</v>
      </c>
      <c r="F68" s="134">
        <v>4.4800000000000004</v>
      </c>
      <c r="G68" s="134">
        <v>31.37</v>
      </c>
      <c r="H68" s="134">
        <v>9.8699999999999992</v>
      </c>
      <c r="I68" s="134">
        <v>4.75</v>
      </c>
      <c r="J68" s="134">
        <v>0.35</v>
      </c>
      <c r="K68" s="134">
        <v>278.87</v>
      </c>
      <c r="L68" s="134">
        <v>29.48</v>
      </c>
      <c r="M68" s="134">
        <v>88.23</v>
      </c>
      <c r="N68" s="134">
        <v>468.4</v>
      </c>
      <c r="O68" s="134">
        <v>0</v>
      </c>
      <c r="P68" s="134">
        <v>0.55000000000000004</v>
      </c>
      <c r="Q68" s="134">
        <v>4.87</v>
      </c>
    </row>
    <row r="69" spans="1:17" customFormat="1">
      <c r="A69" s="112" t="s">
        <v>1546</v>
      </c>
      <c r="B69" s="134">
        <v>15.19</v>
      </c>
      <c r="C69" s="134">
        <v>24.16</v>
      </c>
      <c r="D69" s="134">
        <v>23.75</v>
      </c>
      <c r="E69" s="134">
        <v>8.24</v>
      </c>
      <c r="F69" s="134">
        <v>8.6199999999999992</v>
      </c>
      <c r="G69" s="134">
        <v>41.45</v>
      </c>
      <c r="H69" s="134">
        <v>13.14</v>
      </c>
      <c r="I69" s="134">
        <v>4.8899999999999997</v>
      </c>
      <c r="J69" s="134">
        <v>0.46</v>
      </c>
      <c r="K69" s="134">
        <v>266.2</v>
      </c>
      <c r="L69" s="134">
        <v>30.15</v>
      </c>
      <c r="M69" s="134">
        <v>76.45</v>
      </c>
      <c r="N69" s="134">
        <v>327.3</v>
      </c>
      <c r="O69" s="134">
        <v>0</v>
      </c>
      <c r="P69" s="134">
        <v>0.53</v>
      </c>
      <c r="Q69" s="134">
        <v>4.8499999999999996</v>
      </c>
    </row>
    <row r="70" spans="1:17" customFormat="1">
      <c r="A70" s="112" t="s">
        <v>1547</v>
      </c>
      <c r="B70" s="134">
        <v>14.89</v>
      </c>
      <c r="C70" s="134">
        <v>23.88</v>
      </c>
      <c r="D70" s="134">
        <v>23.38</v>
      </c>
      <c r="E70" s="134">
        <v>8.68</v>
      </c>
      <c r="F70" s="134">
        <v>6.88</v>
      </c>
      <c r="G70" s="134">
        <v>45.55</v>
      </c>
      <c r="H70" s="134">
        <v>13.29</v>
      </c>
      <c r="I70" s="134">
        <v>4.99</v>
      </c>
      <c r="J70" s="134">
        <v>0.42</v>
      </c>
      <c r="K70" s="134">
        <v>268.32</v>
      </c>
      <c r="L70" s="134">
        <v>29.66</v>
      </c>
      <c r="M70" s="134">
        <v>75.010000000000005</v>
      </c>
      <c r="N70" s="134">
        <v>206.2</v>
      </c>
      <c r="O70" s="134">
        <v>0</v>
      </c>
      <c r="P70" s="134">
        <v>0.53</v>
      </c>
      <c r="Q70" s="134">
        <v>4.8099999999999996</v>
      </c>
    </row>
    <row r="71" spans="1:17" customFormat="1">
      <c r="A71" s="112" t="s">
        <v>1548</v>
      </c>
      <c r="B71" s="134">
        <v>13.94</v>
      </c>
      <c r="C71" s="134">
        <v>23.19</v>
      </c>
      <c r="D71" s="134">
        <v>22.25</v>
      </c>
      <c r="E71" s="134">
        <v>8.77</v>
      </c>
      <c r="F71" s="134">
        <v>7</v>
      </c>
      <c r="G71" s="134">
        <v>45.55</v>
      </c>
      <c r="H71" s="134">
        <v>13.29</v>
      </c>
      <c r="I71" s="134">
        <v>5.07</v>
      </c>
      <c r="J71" s="134">
        <v>0.57999999999999996</v>
      </c>
      <c r="K71" s="134">
        <v>266.74</v>
      </c>
      <c r="L71" s="134">
        <v>29.71</v>
      </c>
      <c r="M71" s="134">
        <v>74.319999999999993</v>
      </c>
      <c r="N71" s="134">
        <v>193.7</v>
      </c>
      <c r="O71" s="134">
        <v>0</v>
      </c>
      <c r="P71" s="134">
        <v>0.53</v>
      </c>
      <c r="Q71" s="134">
        <v>4.75</v>
      </c>
    </row>
    <row r="72" spans="1:17" customFormat="1">
      <c r="A72" s="112" t="s">
        <v>1549</v>
      </c>
      <c r="B72" s="134">
        <v>13.34</v>
      </c>
      <c r="C72" s="134">
        <v>23.02</v>
      </c>
      <c r="D72" s="134">
        <v>21.68</v>
      </c>
      <c r="E72" s="134">
        <v>9.34</v>
      </c>
      <c r="F72" s="134">
        <v>7.3</v>
      </c>
      <c r="G72" s="134">
        <v>45.55</v>
      </c>
      <c r="H72" s="134">
        <v>13.29</v>
      </c>
      <c r="I72" s="134">
        <v>5.28</v>
      </c>
      <c r="J72" s="134">
        <v>0.62</v>
      </c>
      <c r="K72" s="134">
        <v>263.33999999999997</v>
      </c>
      <c r="L72" s="134">
        <v>29.71</v>
      </c>
      <c r="M72" s="134">
        <v>73.06</v>
      </c>
      <c r="N72" s="134">
        <v>174</v>
      </c>
      <c r="O72" s="134">
        <v>0</v>
      </c>
      <c r="P72" s="134">
        <v>0.53</v>
      </c>
      <c r="Q72" s="134">
        <v>4.71</v>
      </c>
    </row>
    <row r="73" spans="1:17" customFormat="1">
      <c r="A73" s="112" t="s">
        <v>1550</v>
      </c>
      <c r="B73" s="134">
        <v>12.19</v>
      </c>
      <c r="C73" s="134">
        <v>21.93</v>
      </c>
      <c r="D73" s="134">
        <v>20.18</v>
      </c>
      <c r="E73" s="134">
        <v>9.75</v>
      </c>
      <c r="F73" s="134">
        <v>10.130000000000001</v>
      </c>
      <c r="G73" s="134">
        <v>41.66</v>
      </c>
      <c r="H73" s="134">
        <v>12.82</v>
      </c>
      <c r="I73" s="134">
        <v>5.5</v>
      </c>
      <c r="J73" s="134">
        <v>0.41</v>
      </c>
      <c r="K73" s="134">
        <v>266.64</v>
      </c>
      <c r="L73" s="134">
        <v>29.64</v>
      </c>
      <c r="M73" s="134">
        <v>74.290000000000006</v>
      </c>
      <c r="N73" s="134">
        <v>124.3</v>
      </c>
      <c r="O73" s="134">
        <v>0</v>
      </c>
      <c r="P73" s="134">
        <v>0.53</v>
      </c>
      <c r="Q73" s="134">
        <v>4.67</v>
      </c>
    </row>
    <row r="74" spans="1:17" customFormat="1">
      <c r="A74" s="112" t="s">
        <v>1551</v>
      </c>
      <c r="B74" s="134">
        <v>11.69</v>
      </c>
      <c r="C74" s="134">
        <v>21.06</v>
      </c>
      <c r="D74" s="134">
        <v>19.329999999999998</v>
      </c>
      <c r="E74" s="134">
        <v>8.91</v>
      </c>
      <c r="F74" s="134">
        <v>9.83</v>
      </c>
      <c r="G74" s="134">
        <v>40.08</v>
      </c>
      <c r="H74" s="134">
        <v>12.79</v>
      </c>
      <c r="I74" s="134">
        <v>5.58</v>
      </c>
      <c r="J74" s="134">
        <v>0.43</v>
      </c>
      <c r="K74" s="134">
        <v>260.95</v>
      </c>
      <c r="L74" s="134">
        <v>29.63</v>
      </c>
      <c r="M74" s="134">
        <v>73.349999999999994</v>
      </c>
      <c r="N74" s="134">
        <v>112.1</v>
      </c>
      <c r="O74" s="134">
        <v>0</v>
      </c>
      <c r="P74" s="134">
        <v>0.49</v>
      </c>
      <c r="Q74" s="134">
        <v>4.6500000000000004</v>
      </c>
    </row>
    <row r="75" spans="1:17" customFormat="1">
      <c r="A75" s="112" t="s">
        <v>1552</v>
      </c>
      <c r="B75" s="134">
        <v>12.13</v>
      </c>
      <c r="C75" s="134">
        <v>22.99</v>
      </c>
      <c r="D75" s="134">
        <v>20.69</v>
      </c>
      <c r="E75" s="134">
        <v>7.29</v>
      </c>
      <c r="F75" s="134">
        <v>5.08</v>
      </c>
      <c r="G75" s="134">
        <v>40.08</v>
      </c>
      <c r="H75" s="134">
        <v>12.79</v>
      </c>
      <c r="I75" s="134">
        <v>5.39</v>
      </c>
      <c r="J75" s="134">
        <v>0.32</v>
      </c>
      <c r="K75" s="134">
        <v>253.41</v>
      </c>
      <c r="L75" s="134">
        <v>29.55</v>
      </c>
      <c r="M75" s="134">
        <v>74.92</v>
      </c>
      <c r="N75" s="134">
        <v>74.5</v>
      </c>
      <c r="O75" s="134">
        <v>0</v>
      </c>
      <c r="P75" s="134">
        <v>0.53</v>
      </c>
      <c r="Q75" s="134">
        <v>4.6399999999999997</v>
      </c>
    </row>
    <row r="76" spans="1:17" customFormat="1">
      <c r="A76" s="112" t="s">
        <v>1553</v>
      </c>
      <c r="B76" s="134">
        <v>12.57</v>
      </c>
      <c r="C76" s="134">
        <v>25.55</v>
      </c>
      <c r="D76" s="134">
        <v>22.38</v>
      </c>
      <c r="E76" s="134">
        <v>7.52</v>
      </c>
      <c r="F76" s="134">
        <v>3.26</v>
      </c>
      <c r="G76" s="134">
        <v>40.08</v>
      </c>
      <c r="H76" s="134">
        <v>12.79</v>
      </c>
      <c r="I76" s="134">
        <v>5.17</v>
      </c>
      <c r="J76" s="134">
        <v>0.17</v>
      </c>
      <c r="K76" s="134">
        <v>236.99</v>
      </c>
      <c r="L76" s="134">
        <v>29.26</v>
      </c>
      <c r="M76" s="134">
        <v>77.14</v>
      </c>
      <c r="N76" s="134">
        <v>53.9</v>
      </c>
      <c r="O76" s="134">
        <v>0</v>
      </c>
      <c r="P76" s="134">
        <v>0.56000000000000005</v>
      </c>
      <c r="Q76" s="134">
        <v>4.6500000000000004</v>
      </c>
    </row>
    <row r="77" spans="1:17" customFormat="1">
      <c r="A77" s="112" t="s">
        <v>1554</v>
      </c>
      <c r="B77" s="134">
        <v>12.34</v>
      </c>
      <c r="C77" s="134">
        <v>26.95</v>
      </c>
      <c r="D77" s="134">
        <v>22.93</v>
      </c>
      <c r="E77" s="134">
        <v>7.32</v>
      </c>
      <c r="F77" s="134">
        <v>2.92</v>
      </c>
      <c r="G77" s="134">
        <v>39.840000000000003</v>
      </c>
      <c r="H77" s="134">
        <v>11.49</v>
      </c>
      <c r="I77" s="134">
        <v>5.28</v>
      </c>
      <c r="J77" s="134">
        <v>0.42</v>
      </c>
      <c r="K77" s="134">
        <v>253.94</v>
      </c>
      <c r="L77" s="134">
        <v>29.33</v>
      </c>
      <c r="M77" s="134">
        <v>73.819999999999993</v>
      </c>
      <c r="N77" s="134">
        <v>71.3</v>
      </c>
      <c r="O77" s="134">
        <v>0</v>
      </c>
      <c r="P77" s="134">
        <v>0.57999999999999996</v>
      </c>
      <c r="Q77" s="134">
        <v>4.63</v>
      </c>
    </row>
    <row r="78" spans="1:17" customFormat="1">
      <c r="A78" s="112" t="s">
        <v>1555</v>
      </c>
      <c r="B78" s="134">
        <v>11.63</v>
      </c>
      <c r="C78" s="134">
        <v>25.71</v>
      </c>
      <c r="D78" s="134">
        <v>21.71</v>
      </c>
      <c r="E78" s="134">
        <v>7.16</v>
      </c>
      <c r="F78" s="134">
        <v>5.16</v>
      </c>
      <c r="G78" s="134">
        <v>39.74</v>
      </c>
      <c r="H78" s="134">
        <v>11.43</v>
      </c>
      <c r="I78" s="134">
        <v>5.37</v>
      </c>
      <c r="J78" s="134">
        <v>0.5</v>
      </c>
      <c r="K78" s="134">
        <v>256.62</v>
      </c>
      <c r="L78" s="134">
        <v>29.44</v>
      </c>
      <c r="M78" s="134">
        <v>74.36</v>
      </c>
      <c r="N78" s="134">
        <v>86.2</v>
      </c>
      <c r="O78" s="134">
        <v>0</v>
      </c>
      <c r="P78" s="134">
        <v>0.54</v>
      </c>
      <c r="Q78" s="134">
        <v>4.63</v>
      </c>
    </row>
    <row r="79" spans="1:17" customFormat="1">
      <c r="A79" s="112" t="s">
        <v>1556</v>
      </c>
      <c r="B79" s="134">
        <v>10.9</v>
      </c>
      <c r="C79" s="134">
        <v>21.72</v>
      </c>
      <c r="D79" s="134">
        <v>19.04</v>
      </c>
      <c r="E79" s="134">
        <v>7.15</v>
      </c>
      <c r="F79" s="134">
        <v>9.4499999999999993</v>
      </c>
      <c r="G79" s="134">
        <v>39.74</v>
      </c>
      <c r="H79" s="134">
        <v>11.43</v>
      </c>
      <c r="I79" s="134">
        <v>5.24</v>
      </c>
      <c r="J79" s="134">
        <v>0.49</v>
      </c>
      <c r="K79" s="134">
        <v>258.52999999999997</v>
      </c>
      <c r="L79" s="134">
        <v>29.45</v>
      </c>
      <c r="M79" s="134">
        <v>74.23</v>
      </c>
      <c r="N79" s="134">
        <v>55.8</v>
      </c>
      <c r="O79" s="134">
        <v>0</v>
      </c>
      <c r="P79" s="134">
        <v>0.47</v>
      </c>
      <c r="Q79" s="134">
        <v>4.5199999999999996</v>
      </c>
    </row>
    <row r="80" spans="1:17" customFormat="1">
      <c r="A80" s="112" t="s">
        <v>1557</v>
      </c>
      <c r="B80" s="134">
        <v>9.59</v>
      </c>
      <c r="C80" s="134">
        <v>18.260000000000002</v>
      </c>
      <c r="D80" s="134">
        <v>16.18</v>
      </c>
      <c r="E80" s="134">
        <v>6.62</v>
      </c>
      <c r="F80" s="134">
        <v>13.07</v>
      </c>
      <c r="G80" s="134">
        <v>39.74</v>
      </c>
      <c r="H80" s="134">
        <v>11.43</v>
      </c>
      <c r="I80" s="134">
        <v>4.8899999999999997</v>
      </c>
      <c r="J80" s="134">
        <v>0.35</v>
      </c>
      <c r="K80" s="134">
        <v>263.27</v>
      </c>
      <c r="L80" s="134">
        <v>29.14</v>
      </c>
      <c r="M80" s="134">
        <v>76.63</v>
      </c>
      <c r="N80" s="134">
        <v>24</v>
      </c>
      <c r="O80" s="134">
        <v>0</v>
      </c>
      <c r="P80" s="134">
        <v>0.42</v>
      </c>
      <c r="Q80" s="134">
        <v>4.4400000000000004</v>
      </c>
    </row>
    <row r="81" spans="1:17" customFormat="1">
      <c r="A81" s="112" t="s">
        <v>1558</v>
      </c>
      <c r="B81" s="134">
        <v>9.08</v>
      </c>
      <c r="C81" s="134">
        <v>17.899999999999999</v>
      </c>
      <c r="D81" s="134">
        <v>15.59</v>
      </c>
      <c r="E81" s="134">
        <v>6.32</v>
      </c>
      <c r="F81" s="134">
        <v>13.58</v>
      </c>
      <c r="G81" s="134">
        <v>36.18</v>
      </c>
      <c r="H81" s="134">
        <v>10.36</v>
      </c>
      <c r="I81" s="134">
        <v>4.45</v>
      </c>
      <c r="J81" s="134">
        <v>0.43</v>
      </c>
      <c r="K81" s="134">
        <v>259.74</v>
      </c>
      <c r="L81" s="134">
        <v>29</v>
      </c>
      <c r="M81" s="134">
        <v>76.540000000000006</v>
      </c>
      <c r="N81" s="134">
        <v>6.4</v>
      </c>
      <c r="O81" s="134">
        <v>0</v>
      </c>
      <c r="P81" s="134">
        <v>0.41</v>
      </c>
      <c r="Q81" s="134">
        <v>4.42</v>
      </c>
    </row>
    <row r="82" spans="1:17" customFormat="1">
      <c r="A82" s="112" t="s">
        <v>1559</v>
      </c>
      <c r="B82" s="134">
        <v>9.16</v>
      </c>
      <c r="C82" s="134">
        <v>19.190000000000001</v>
      </c>
      <c r="D82" s="134">
        <v>16.329999999999998</v>
      </c>
      <c r="E82" s="134">
        <v>7.92</v>
      </c>
      <c r="F82" s="134">
        <v>11.76</v>
      </c>
      <c r="G82" s="134">
        <v>34.729999999999997</v>
      </c>
      <c r="H82" s="134">
        <v>10.31</v>
      </c>
      <c r="I82" s="134">
        <v>3.92</v>
      </c>
      <c r="J82" s="134">
        <v>0.64</v>
      </c>
      <c r="K82" s="134">
        <v>263.02</v>
      </c>
      <c r="L82" s="134">
        <v>28.87</v>
      </c>
      <c r="M82" s="134">
        <v>75.19</v>
      </c>
      <c r="N82" s="134">
        <v>0</v>
      </c>
      <c r="O82" s="134">
        <v>0</v>
      </c>
      <c r="P82" s="134">
        <v>0.41</v>
      </c>
      <c r="Q82" s="134">
        <v>4.47</v>
      </c>
    </row>
    <row r="83" spans="1:17" customFormat="1">
      <c r="A83" s="112" t="s">
        <v>1560</v>
      </c>
      <c r="B83" s="134">
        <v>8.7899999999999991</v>
      </c>
      <c r="C83" s="134">
        <v>19.03</v>
      </c>
      <c r="D83" s="134">
        <v>15.95</v>
      </c>
      <c r="E83" s="134">
        <v>8.2799999999999994</v>
      </c>
      <c r="F83" s="134">
        <v>12.34</v>
      </c>
      <c r="G83" s="134">
        <v>34.729999999999997</v>
      </c>
      <c r="H83" s="134">
        <v>10.31</v>
      </c>
      <c r="I83" s="134">
        <v>3.98</v>
      </c>
      <c r="J83" s="134">
        <v>0.47</v>
      </c>
      <c r="K83" s="134">
        <v>260.68</v>
      </c>
      <c r="L83" s="134">
        <v>28.67</v>
      </c>
      <c r="M83" s="134">
        <v>76.59</v>
      </c>
      <c r="N83" s="134">
        <v>0</v>
      </c>
      <c r="O83" s="134">
        <v>0</v>
      </c>
      <c r="P83" s="134">
        <v>0.4</v>
      </c>
      <c r="Q83" s="134">
        <v>4.3899999999999997</v>
      </c>
    </row>
    <row r="84" spans="1:17" customFormat="1">
      <c r="A84" s="112" t="s">
        <v>1561</v>
      </c>
      <c r="B84" s="134">
        <v>9.26</v>
      </c>
      <c r="C84" s="134">
        <v>21.95</v>
      </c>
      <c r="D84" s="134">
        <v>17.850000000000001</v>
      </c>
      <c r="E84" s="134">
        <v>8.07</v>
      </c>
      <c r="F84" s="134">
        <v>5.77</v>
      </c>
      <c r="G84" s="134">
        <v>34.729999999999997</v>
      </c>
      <c r="H84" s="134">
        <v>10.31</v>
      </c>
      <c r="I84" s="134">
        <v>4.08</v>
      </c>
      <c r="J84" s="134">
        <v>0.27</v>
      </c>
      <c r="K84" s="134">
        <v>257.26</v>
      </c>
      <c r="L84" s="134">
        <v>28.42</v>
      </c>
      <c r="M84" s="134">
        <v>78.13</v>
      </c>
      <c r="N84" s="134">
        <v>0</v>
      </c>
      <c r="O84" s="134">
        <v>0</v>
      </c>
      <c r="P84" s="134">
        <v>0.45</v>
      </c>
      <c r="Q84" s="134">
        <v>4.3899999999999997</v>
      </c>
    </row>
    <row r="85" spans="1:17" customFormat="1">
      <c r="A85" s="112" t="s">
        <v>1562</v>
      </c>
      <c r="B85" s="134">
        <v>8.9499999999999993</v>
      </c>
      <c r="C85" s="134">
        <v>22.23</v>
      </c>
      <c r="D85" s="134">
        <v>17.75</v>
      </c>
      <c r="E85" s="134">
        <v>8.3699999999999992</v>
      </c>
      <c r="F85" s="134">
        <v>9.6300000000000008</v>
      </c>
      <c r="G85" s="134">
        <v>33.64</v>
      </c>
      <c r="H85" s="134">
        <v>9.7100000000000009</v>
      </c>
      <c r="I85" s="134">
        <v>4.05</v>
      </c>
      <c r="J85" s="134">
        <v>0.19</v>
      </c>
      <c r="K85" s="134">
        <v>240.25</v>
      </c>
      <c r="L85" s="134">
        <v>28.17</v>
      </c>
      <c r="M85" s="134">
        <v>79.69</v>
      </c>
      <c r="N85" s="134">
        <v>0</v>
      </c>
      <c r="O85" s="134">
        <v>0</v>
      </c>
      <c r="P85" s="134">
        <v>0.44</v>
      </c>
      <c r="Q85" s="134">
        <v>4.4800000000000004</v>
      </c>
    </row>
    <row r="86" spans="1:17" customFormat="1">
      <c r="A86" s="112" t="s">
        <v>1563</v>
      </c>
      <c r="B86" s="134">
        <v>8.6300000000000008</v>
      </c>
      <c r="C86" s="134">
        <v>19.98</v>
      </c>
      <c r="D86" s="134">
        <v>16.32</v>
      </c>
      <c r="E86" s="134">
        <v>8.4499999999999993</v>
      </c>
      <c r="F86" s="134">
        <v>10.76</v>
      </c>
      <c r="G86" s="134">
        <v>33.200000000000003</v>
      </c>
      <c r="H86" s="134">
        <v>9.68</v>
      </c>
      <c r="I86" s="134">
        <v>4.2300000000000004</v>
      </c>
      <c r="J86" s="134">
        <v>0.3</v>
      </c>
      <c r="K86" s="134">
        <v>256.57</v>
      </c>
      <c r="L86" s="134">
        <v>28.08</v>
      </c>
      <c r="M86" s="134">
        <v>79.790000000000006</v>
      </c>
      <c r="N86" s="134">
        <v>0</v>
      </c>
      <c r="O86" s="134">
        <v>0</v>
      </c>
      <c r="P86" s="134">
        <v>0.44</v>
      </c>
      <c r="Q86" s="134">
        <v>4.45</v>
      </c>
    </row>
    <row r="87" spans="1:17" customFormat="1">
      <c r="A87" s="112" t="s">
        <v>1564</v>
      </c>
      <c r="B87" s="134">
        <v>8.27</v>
      </c>
      <c r="C87" s="134">
        <v>18.559999999999999</v>
      </c>
      <c r="D87" s="134">
        <v>15.28</v>
      </c>
      <c r="E87" s="134">
        <v>7.97</v>
      </c>
      <c r="F87" s="134">
        <v>12.39</v>
      </c>
      <c r="G87" s="134">
        <v>33.200000000000003</v>
      </c>
      <c r="H87" s="134">
        <v>9.68</v>
      </c>
      <c r="I87" s="134">
        <v>4.0199999999999996</v>
      </c>
      <c r="J87" s="134">
        <v>0.1</v>
      </c>
      <c r="K87" s="134">
        <v>206.46</v>
      </c>
      <c r="L87" s="134">
        <v>27.88</v>
      </c>
      <c r="M87" s="134">
        <v>82.03</v>
      </c>
      <c r="N87" s="134">
        <v>0</v>
      </c>
      <c r="O87" s="134">
        <v>0</v>
      </c>
      <c r="P87" s="134">
        <v>0.42</v>
      </c>
      <c r="Q87" s="134">
        <v>4.38</v>
      </c>
    </row>
    <row r="88" spans="1:17" customFormat="1">
      <c r="A88" s="112" t="s">
        <v>1565</v>
      </c>
      <c r="B88" s="134">
        <v>8.06</v>
      </c>
      <c r="C88" s="134">
        <v>17.899999999999999</v>
      </c>
      <c r="D88" s="134">
        <v>14.77</v>
      </c>
      <c r="E88" s="134">
        <v>7.95</v>
      </c>
      <c r="F88" s="134">
        <v>11.96</v>
      </c>
      <c r="G88" s="134">
        <v>33.200000000000003</v>
      </c>
      <c r="H88" s="134">
        <v>9.68</v>
      </c>
      <c r="I88" s="134">
        <v>3.92</v>
      </c>
      <c r="J88" s="134">
        <v>0.12</v>
      </c>
      <c r="K88" s="134">
        <v>249.38</v>
      </c>
      <c r="L88" s="134">
        <v>27.79</v>
      </c>
      <c r="M88" s="134">
        <v>82.65</v>
      </c>
      <c r="N88" s="134">
        <v>0</v>
      </c>
      <c r="O88" s="134">
        <v>0</v>
      </c>
      <c r="P88" s="134">
        <v>0.41</v>
      </c>
      <c r="Q88" s="134">
        <v>4.3600000000000003</v>
      </c>
    </row>
    <row r="89" spans="1:17" customFormat="1">
      <c r="A89" s="112" t="s">
        <v>1566</v>
      </c>
      <c r="B89" s="134">
        <v>8.18</v>
      </c>
      <c r="C89" s="134">
        <v>18.82</v>
      </c>
      <c r="D89" s="134">
        <v>15.35</v>
      </c>
      <c r="E89" s="134">
        <v>8.09</v>
      </c>
      <c r="F89" s="134">
        <v>9.2899999999999991</v>
      </c>
      <c r="G89" s="134">
        <v>34.75</v>
      </c>
      <c r="H89" s="134">
        <v>10.45</v>
      </c>
      <c r="I89" s="134">
        <v>3.84</v>
      </c>
      <c r="J89" s="134">
        <v>0.21</v>
      </c>
      <c r="K89" s="134">
        <v>247.05</v>
      </c>
      <c r="L89" s="134">
        <v>27.81</v>
      </c>
      <c r="M89" s="134">
        <v>82.23</v>
      </c>
      <c r="N89" s="134">
        <v>0</v>
      </c>
      <c r="O89" s="134">
        <v>0</v>
      </c>
      <c r="P89" s="134">
        <v>0.42</v>
      </c>
      <c r="Q89" s="134">
        <v>4.3899999999999997</v>
      </c>
    </row>
    <row r="90" spans="1:17" customFormat="1">
      <c r="A90" s="112" t="s">
        <v>1567</v>
      </c>
      <c r="B90" s="134">
        <v>9.35</v>
      </c>
      <c r="C90" s="134">
        <v>23.74</v>
      </c>
      <c r="D90" s="134">
        <v>18.850000000000001</v>
      </c>
      <c r="E90" s="134">
        <v>8.18</v>
      </c>
      <c r="F90" s="134">
        <v>4.47</v>
      </c>
      <c r="G90" s="134">
        <v>35.39</v>
      </c>
      <c r="H90" s="134">
        <v>10.5</v>
      </c>
      <c r="I90" s="134">
        <v>3.78</v>
      </c>
      <c r="J90" s="134">
        <v>0.15</v>
      </c>
      <c r="K90" s="134">
        <v>240.8</v>
      </c>
      <c r="L90" s="134">
        <v>27.65</v>
      </c>
      <c r="M90" s="134">
        <v>82.79</v>
      </c>
      <c r="N90" s="134">
        <v>0</v>
      </c>
      <c r="O90" s="134">
        <v>0</v>
      </c>
      <c r="P90" s="134">
        <v>0.46</v>
      </c>
      <c r="Q90" s="134">
        <v>4.46</v>
      </c>
    </row>
    <row r="91" spans="1:17" customFormat="1">
      <c r="A91" s="112" t="s">
        <v>1568</v>
      </c>
      <c r="B91" s="134">
        <v>9.16</v>
      </c>
      <c r="C91" s="134">
        <v>21.24</v>
      </c>
      <c r="D91" s="134">
        <v>17.399999999999999</v>
      </c>
      <c r="E91" s="134">
        <v>8.2899999999999991</v>
      </c>
      <c r="F91" s="134">
        <v>7.32</v>
      </c>
      <c r="G91" s="134">
        <v>35.39</v>
      </c>
      <c r="H91" s="134">
        <v>10.5</v>
      </c>
      <c r="I91" s="134">
        <v>3.94</v>
      </c>
      <c r="J91" s="134">
        <v>0.13</v>
      </c>
      <c r="K91" s="134">
        <v>238.08</v>
      </c>
      <c r="L91" s="134">
        <v>27.66</v>
      </c>
      <c r="M91" s="134">
        <v>82.77</v>
      </c>
      <c r="N91" s="134">
        <v>0</v>
      </c>
      <c r="O91" s="134">
        <v>0</v>
      </c>
      <c r="P91" s="134">
        <v>0.43</v>
      </c>
      <c r="Q91" s="134">
        <v>4.43</v>
      </c>
    </row>
    <row r="92" spans="1:17" customFormat="1">
      <c r="A92" s="112" t="s">
        <v>1569</v>
      </c>
      <c r="B92" s="134">
        <v>8.85</v>
      </c>
      <c r="C92" s="134">
        <v>18.62</v>
      </c>
      <c r="D92" s="134">
        <v>15.78</v>
      </c>
      <c r="E92" s="134">
        <v>7.97</v>
      </c>
      <c r="F92" s="134">
        <v>9</v>
      </c>
      <c r="G92" s="134">
        <v>35.39</v>
      </c>
      <c r="H92" s="134">
        <v>10.5</v>
      </c>
      <c r="I92" s="134">
        <v>4.25</v>
      </c>
      <c r="J92" s="134">
        <v>0.17</v>
      </c>
      <c r="K92" s="134">
        <v>250.42</v>
      </c>
      <c r="L92" s="134">
        <v>27.54</v>
      </c>
      <c r="M92" s="134">
        <v>84.38</v>
      </c>
      <c r="N92" s="134">
        <v>0</v>
      </c>
      <c r="O92" s="134">
        <v>0</v>
      </c>
      <c r="P92" s="134">
        <v>0.42</v>
      </c>
      <c r="Q92" s="134">
        <v>4.4000000000000004</v>
      </c>
    </row>
    <row r="93" spans="1:17" customFormat="1">
      <c r="A93" s="112" t="s">
        <v>1570</v>
      </c>
      <c r="B93" s="134">
        <v>8.66</v>
      </c>
      <c r="C93" s="134">
        <v>17.41</v>
      </c>
      <c r="D93" s="134">
        <v>14.99</v>
      </c>
      <c r="E93" s="134">
        <v>8.0299999999999994</v>
      </c>
      <c r="F93" s="134">
        <v>11.34</v>
      </c>
      <c r="G93" s="134">
        <v>34.869999999999997</v>
      </c>
      <c r="H93" s="134">
        <v>9.39</v>
      </c>
      <c r="I93" s="134">
        <v>3.82</v>
      </c>
      <c r="J93" s="134">
        <v>0.16</v>
      </c>
      <c r="K93" s="134">
        <v>239.34</v>
      </c>
      <c r="L93" s="134">
        <v>27.53</v>
      </c>
      <c r="M93" s="134">
        <v>84.24</v>
      </c>
      <c r="N93" s="134">
        <v>0</v>
      </c>
      <c r="O93" s="134">
        <v>0</v>
      </c>
      <c r="P93" s="134">
        <v>0.39</v>
      </c>
      <c r="Q93" s="134">
        <v>4.42</v>
      </c>
    </row>
    <row r="94" spans="1:17" customFormat="1">
      <c r="A94" s="112" t="s">
        <v>1571</v>
      </c>
      <c r="B94" s="134">
        <v>8.9</v>
      </c>
      <c r="C94" s="134">
        <v>17.98</v>
      </c>
      <c r="D94" s="134">
        <v>15.49</v>
      </c>
      <c r="E94" s="134">
        <v>8.34</v>
      </c>
      <c r="F94" s="134">
        <v>7.92</v>
      </c>
      <c r="G94" s="134">
        <v>34.67</v>
      </c>
      <c r="H94" s="134">
        <v>9.34</v>
      </c>
      <c r="I94" s="134">
        <v>3.62</v>
      </c>
      <c r="J94" s="134">
        <v>0.24</v>
      </c>
      <c r="K94" s="134">
        <v>250.46</v>
      </c>
      <c r="L94" s="134">
        <v>27.56</v>
      </c>
      <c r="M94" s="134">
        <v>83.91</v>
      </c>
      <c r="N94" s="134">
        <v>0</v>
      </c>
      <c r="O94" s="134">
        <v>0</v>
      </c>
      <c r="P94" s="134">
        <v>0.4</v>
      </c>
      <c r="Q94" s="134">
        <v>4.38</v>
      </c>
    </row>
    <row r="95" spans="1:17" customFormat="1">
      <c r="A95" s="112" t="s">
        <v>1572</v>
      </c>
      <c r="B95" s="134">
        <v>10.15</v>
      </c>
      <c r="C95" s="134">
        <v>22.88</v>
      </c>
      <c r="D95" s="134">
        <v>19.05</v>
      </c>
      <c r="E95" s="134">
        <v>8.17</v>
      </c>
      <c r="F95" s="134">
        <v>3.63</v>
      </c>
      <c r="G95" s="134">
        <v>34.67</v>
      </c>
      <c r="H95" s="134">
        <v>9.34</v>
      </c>
      <c r="I95" s="134">
        <v>3.53</v>
      </c>
      <c r="J95" s="134">
        <v>0.11</v>
      </c>
      <c r="K95" s="134">
        <v>245.45</v>
      </c>
      <c r="L95" s="134">
        <v>27.39</v>
      </c>
      <c r="M95" s="134">
        <v>85.8</v>
      </c>
      <c r="N95" s="134">
        <v>0</v>
      </c>
      <c r="O95" s="134">
        <v>0</v>
      </c>
      <c r="P95" s="134">
        <v>0.45</v>
      </c>
      <c r="Q95" s="134">
        <v>4.4400000000000004</v>
      </c>
    </row>
    <row r="96" spans="1:17" customFormat="1">
      <c r="A96" s="112" t="s">
        <v>1573</v>
      </c>
      <c r="B96" s="134">
        <v>10.130000000000001</v>
      </c>
      <c r="C96" s="134">
        <v>22.3</v>
      </c>
      <c r="D96" s="134">
        <v>18.73</v>
      </c>
      <c r="E96" s="134">
        <v>8.35</v>
      </c>
      <c r="F96" s="134">
        <v>4.92</v>
      </c>
      <c r="G96" s="134">
        <v>34.67</v>
      </c>
      <c r="H96" s="134">
        <v>9.34</v>
      </c>
      <c r="I96" s="134">
        <v>3.73</v>
      </c>
      <c r="J96" s="134">
        <v>0.11</v>
      </c>
      <c r="K96" s="134">
        <v>228.39</v>
      </c>
      <c r="L96" s="134">
        <v>27.24</v>
      </c>
      <c r="M96" s="134">
        <v>86.8</v>
      </c>
      <c r="N96" s="134">
        <v>0</v>
      </c>
      <c r="O96" s="134">
        <v>0</v>
      </c>
      <c r="P96" s="134">
        <v>0.44</v>
      </c>
      <c r="Q96" s="134">
        <v>4.49</v>
      </c>
    </row>
    <row r="97" spans="1:22" customFormat="1">
      <c r="A97" s="112" t="s">
        <v>1574</v>
      </c>
      <c r="B97" s="134">
        <v>10.88</v>
      </c>
      <c r="C97" s="134">
        <v>22.56</v>
      </c>
      <c r="D97" s="134">
        <v>19.47</v>
      </c>
      <c r="E97" s="134">
        <v>8.3800000000000008</v>
      </c>
      <c r="F97" s="134">
        <v>4.0599999999999996</v>
      </c>
      <c r="G97" s="134">
        <v>31.38</v>
      </c>
      <c r="H97" s="134">
        <v>6.91</v>
      </c>
      <c r="I97" s="134">
        <v>4.07</v>
      </c>
      <c r="J97" s="134">
        <v>0.28000000000000003</v>
      </c>
      <c r="K97" s="134">
        <v>259.13</v>
      </c>
      <c r="L97" s="134">
        <v>27.2</v>
      </c>
      <c r="M97" s="134">
        <v>86.46</v>
      </c>
      <c r="N97" s="134">
        <v>0</v>
      </c>
      <c r="O97" s="134">
        <v>0</v>
      </c>
      <c r="P97" s="134">
        <v>0.47</v>
      </c>
      <c r="Q97" s="134">
        <v>4.43</v>
      </c>
    </row>
    <row r="98" spans="1:22" customFormat="1">
      <c r="A98" s="112" t="s">
        <v>1575</v>
      </c>
      <c r="B98" s="134">
        <v>10.79</v>
      </c>
      <c r="C98" s="134">
        <v>24.08</v>
      </c>
      <c r="D98" s="134">
        <v>20.190000000000001</v>
      </c>
      <c r="E98" s="134">
        <v>8.2899999999999991</v>
      </c>
      <c r="F98" s="134">
        <v>3.31</v>
      </c>
      <c r="G98" s="134">
        <v>30.26</v>
      </c>
      <c r="H98" s="134">
        <v>6.91</v>
      </c>
      <c r="I98" s="134">
        <v>3.94</v>
      </c>
      <c r="J98" s="134">
        <v>0.45</v>
      </c>
      <c r="K98" s="134">
        <v>265.79000000000002</v>
      </c>
      <c r="L98" s="134">
        <v>27.35</v>
      </c>
      <c r="M98" s="134">
        <v>83.43</v>
      </c>
      <c r="N98" s="134">
        <v>0</v>
      </c>
      <c r="O98" s="134">
        <v>0</v>
      </c>
      <c r="P98" s="134">
        <v>0.49</v>
      </c>
      <c r="Q98" s="134">
        <v>4.4400000000000004</v>
      </c>
    </row>
    <row r="99" spans="1:22" customFormat="1">
      <c r="A99" s="112" t="s">
        <v>1576</v>
      </c>
      <c r="B99" s="134">
        <v>10.26</v>
      </c>
      <c r="C99" s="134">
        <v>21.83</v>
      </c>
      <c r="D99" s="134">
        <v>18.59</v>
      </c>
      <c r="E99" s="134">
        <v>8.15</v>
      </c>
      <c r="F99" s="134">
        <v>4.96</v>
      </c>
      <c r="G99" s="134">
        <v>30.26</v>
      </c>
      <c r="H99" s="134">
        <v>6.91</v>
      </c>
      <c r="I99" s="134">
        <v>4.1500000000000004</v>
      </c>
      <c r="J99" s="134">
        <v>0.4</v>
      </c>
      <c r="K99" s="134">
        <v>262.51</v>
      </c>
      <c r="L99" s="134">
        <v>27.34</v>
      </c>
      <c r="M99" s="134">
        <v>83.16</v>
      </c>
      <c r="N99" s="134">
        <v>0</v>
      </c>
      <c r="O99" s="134">
        <v>0</v>
      </c>
      <c r="P99" s="134">
        <v>0.44</v>
      </c>
      <c r="Q99" s="134">
        <v>4.46</v>
      </c>
    </row>
    <row r="100" spans="1:22" customFormat="1">
      <c r="A100" s="112" t="s">
        <v>1577</v>
      </c>
      <c r="B100" s="134">
        <v>10</v>
      </c>
      <c r="C100" s="134">
        <v>19.04</v>
      </c>
      <c r="D100" s="134">
        <v>16.920000000000002</v>
      </c>
      <c r="E100" s="134">
        <v>7.23</v>
      </c>
      <c r="F100" s="134">
        <v>5.94</v>
      </c>
      <c r="G100" s="134">
        <v>30.26</v>
      </c>
      <c r="H100" s="134">
        <v>6.91</v>
      </c>
      <c r="I100" s="134">
        <v>3.99</v>
      </c>
      <c r="J100" s="134">
        <v>0.45</v>
      </c>
      <c r="K100" s="134">
        <v>258.22000000000003</v>
      </c>
      <c r="L100" s="134">
        <v>27.24</v>
      </c>
      <c r="M100" s="134">
        <v>83.5</v>
      </c>
      <c r="N100" s="134">
        <v>0</v>
      </c>
      <c r="O100" s="134">
        <v>0</v>
      </c>
      <c r="P100" s="134">
        <v>0.4</v>
      </c>
      <c r="Q100" s="134">
        <v>4.37</v>
      </c>
    </row>
    <row r="101" spans="1:22" customFormat="1">
      <c r="A101" s="112" t="s">
        <v>1578</v>
      </c>
      <c r="B101" s="134">
        <v>9.69</v>
      </c>
      <c r="C101" s="134">
        <v>18.53</v>
      </c>
      <c r="D101" s="134">
        <v>16.399999999999999</v>
      </c>
      <c r="E101" s="134">
        <v>7.34</v>
      </c>
      <c r="F101" s="134">
        <v>6.45</v>
      </c>
      <c r="G101" s="134">
        <v>25.4</v>
      </c>
      <c r="H101" s="134">
        <v>6.61</v>
      </c>
      <c r="I101" s="134">
        <v>3.68</v>
      </c>
      <c r="J101" s="134">
        <v>0.38</v>
      </c>
      <c r="K101" s="134">
        <v>257.61</v>
      </c>
      <c r="L101" s="134">
        <v>27.09</v>
      </c>
      <c r="M101" s="134">
        <v>84.58</v>
      </c>
      <c r="N101" s="134">
        <v>0</v>
      </c>
      <c r="O101" s="134">
        <v>0</v>
      </c>
      <c r="P101" s="134">
        <v>0.38</v>
      </c>
      <c r="Q101" s="134">
        <v>4.37</v>
      </c>
    </row>
    <row r="102" spans="1:22" customFormat="1">
      <c r="A102" s="112" t="s">
        <v>1579</v>
      </c>
      <c r="B102" s="134">
        <v>9.7799999999999994</v>
      </c>
      <c r="C102" s="134">
        <v>18.78</v>
      </c>
      <c r="D102" s="134">
        <v>16.61</v>
      </c>
      <c r="E102" s="134">
        <v>7.5</v>
      </c>
      <c r="F102" s="134">
        <v>6.3</v>
      </c>
      <c r="G102" s="134">
        <v>23.74</v>
      </c>
      <c r="H102" s="134">
        <v>6.61</v>
      </c>
      <c r="I102" s="134">
        <v>3.54</v>
      </c>
      <c r="J102" s="134">
        <v>0.35</v>
      </c>
      <c r="K102" s="134">
        <v>258.8</v>
      </c>
      <c r="L102" s="134">
        <v>27.06</v>
      </c>
      <c r="M102" s="134">
        <v>84.77</v>
      </c>
      <c r="N102" s="134">
        <v>0</v>
      </c>
      <c r="O102" s="134">
        <v>0</v>
      </c>
      <c r="P102" s="134">
        <v>0.36</v>
      </c>
      <c r="Q102" s="134">
        <v>4.38</v>
      </c>
    </row>
    <row r="103" spans="1:22" customFormat="1">
      <c r="A103" s="112" t="s">
        <v>1580</v>
      </c>
      <c r="B103" s="134">
        <v>9.6300000000000008</v>
      </c>
      <c r="C103" s="134">
        <v>17.75</v>
      </c>
      <c r="D103" s="134">
        <v>15.95</v>
      </c>
      <c r="E103" s="134">
        <v>7.52</v>
      </c>
      <c r="F103" s="134">
        <v>6.71</v>
      </c>
      <c r="G103" s="134">
        <v>23.74</v>
      </c>
      <c r="H103" s="134">
        <v>6.61</v>
      </c>
      <c r="I103" s="134">
        <v>3.41</v>
      </c>
      <c r="J103" s="134">
        <v>0.33</v>
      </c>
      <c r="K103" s="134">
        <v>261.97000000000003</v>
      </c>
      <c r="L103" s="134">
        <v>26.97</v>
      </c>
      <c r="M103" s="134">
        <v>85.64</v>
      </c>
      <c r="N103" s="134">
        <v>0</v>
      </c>
      <c r="O103" s="134">
        <v>0</v>
      </c>
      <c r="P103" s="134">
        <v>0.35</v>
      </c>
      <c r="Q103" s="134">
        <v>4.3499999999999996</v>
      </c>
    </row>
    <row r="104" spans="1:22" customFormat="1">
      <c r="A104" s="112" t="s">
        <v>1581</v>
      </c>
      <c r="B104" s="134">
        <v>10.45</v>
      </c>
      <c r="C104" s="134">
        <v>20.91</v>
      </c>
      <c r="D104" s="134">
        <v>18.260000000000002</v>
      </c>
      <c r="E104" s="134">
        <v>8.0500000000000007</v>
      </c>
      <c r="F104" s="134">
        <v>3.91</v>
      </c>
      <c r="G104" s="134">
        <v>23.74</v>
      </c>
      <c r="H104" s="134">
        <v>6.61</v>
      </c>
      <c r="I104" s="134">
        <v>3.35</v>
      </c>
      <c r="J104" s="134">
        <v>0.36</v>
      </c>
      <c r="K104" s="134">
        <v>265.04000000000002</v>
      </c>
      <c r="L104" s="134">
        <v>26.88</v>
      </c>
      <c r="M104" s="134">
        <v>85.9</v>
      </c>
      <c r="N104" s="134">
        <v>0</v>
      </c>
      <c r="O104" s="134">
        <v>0</v>
      </c>
      <c r="P104" s="134">
        <v>0.39</v>
      </c>
      <c r="Q104" s="134">
        <v>4.3899999999999997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8.06</v>
      </c>
      <c r="C106" s="183">
        <f>MIN(C9:C104)</f>
        <v>17.41</v>
      </c>
      <c r="D106" s="183">
        <f t="shared" ref="D106:Q106" si="0">MIN(D9:D104)</f>
        <v>14.77</v>
      </c>
      <c r="E106" s="183">
        <f t="shared" si="0"/>
        <v>5.58</v>
      </c>
      <c r="F106" s="183">
        <f t="shared" si="0"/>
        <v>1.97</v>
      </c>
      <c r="G106" s="183">
        <f t="shared" si="0"/>
        <v>18.18</v>
      </c>
      <c r="H106" s="183">
        <f t="shared" si="0"/>
        <v>5.15</v>
      </c>
      <c r="I106" s="183">
        <f t="shared" si="0"/>
        <v>2.94</v>
      </c>
      <c r="J106" s="183">
        <f t="shared" si="0"/>
        <v>0.06</v>
      </c>
      <c r="K106" s="183">
        <f t="shared" si="0"/>
        <v>21.92</v>
      </c>
      <c r="L106" s="183">
        <f t="shared" si="0"/>
        <v>23.79</v>
      </c>
      <c r="M106" s="183">
        <f t="shared" si="0"/>
        <v>66.44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4.3499999999999996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16.79</v>
      </c>
      <c r="C107" s="184">
        <f t="shared" ref="C107:Q107" si="1">MAX(C9:C104)</f>
        <v>27.3</v>
      </c>
      <c r="D107" s="184">
        <f t="shared" si="1"/>
        <v>26.35</v>
      </c>
      <c r="E107" s="184">
        <f t="shared" si="1"/>
        <v>11</v>
      </c>
      <c r="F107" s="184">
        <f t="shared" si="1"/>
        <v>13.58</v>
      </c>
      <c r="G107" s="184">
        <f t="shared" si="1"/>
        <v>45.55</v>
      </c>
      <c r="H107" s="184">
        <f t="shared" si="1"/>
        <v>13.29</v>
      </c>
      <c r="I107" s="184">
        <f t="shared" si="1"/>
        <v>5.58</v>
      </c>
      <c r="J107" s="184">
        <f t="shared" si="1"/>
        <v>1.42</v>
      </c>
      <c r="K107" s="184">
        <f t="shared" si="1"/>
        <v>310.86</v>
      </c>
      <c r="L107" s="184">
        <f t="shared" si="1"/>
        <v>31.79</v>
      </c>
      <c r="M107" s="184">
        <f t="shared" si="1"/>
        <v>99.05</v>
      </c>
      <c r="N107" s="184">
        <f t="shared" si="1"/>
        <v>574.5</v>
      </c>
      <c r="O107" s="184">
        <f t="shared" si="1"/>
        <v>4.4000000000000004</v>
      </c>
      <c r="P107" s="184">
        <f t="shared" si="1"/>
        <v>0.57999999999999996</v>
      </c>
      <c r="Q107" s="184">
        <f t="shared" si="1"/>
        <v>4.92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12.566145833333342</v>
      </c>
      <c r="C108" s="183">
        <f t="shared" ref="C108:Q108" si="2">AVERAGE(C9:C104)</f>
        <v>21.863854166666666</v>
      </c>
      <c r="D108" s="183">
        <f t="shared" si="2"/>
        <v>20.455312500000002</v>
      </c>
      <c r="E108" s="183">
        <f t="shared" si="2"/>
        <v>7.5446874999999993</v>
      </c>
      <c r="F108" s="183">
        <f t="shared" si="2"/>
        <v>5.3488541666666647</v>
      </c>
      <c r="G108" s="183">
        <f t="shared" si="2"/>
        <v>30.633333333333315</v>
      </c>
      <c r="H108" s="183">
        <f t="shared" si="2"/>
        <v>8.8201041666666615</v>
      </c>
      <c r="I108" s="183">
        <f t="shared" si="2"/>
        <v>3.9289583333333336</v>
      </c>
      <c r="J108" s="183">
        <f t="shared" si="2"/>
        <v>0.29947916666666669</v>
      </c>
      <c r="K108" s="183">
        <f t="shared" si="2"/>
        <v>221.64291666666676</v>
      </c>
      <c r="L108" s="183">
        <f t="shared" si="2"/>
        <v>27.7934375</v>
      </c>
      <c r="M108" s="183">
        <f t="shared" si="2"/>
        <v>81.917708333333323</v>
      </c>
      <c r="N108" s="183">
        <f t="shared" si="2"/>
        <v>87.818749999999966</v>
      </c>
      <c r="O108" s="183">
        <f t="shared" si="2"/>
        <v>7.2916666666666671E-2</v>
      </c>
      <c r="P108" s="183">
        <f t="shared" si="2"/>
        <v>0.43760416666666663</v>
      </c>
      <c r="Q108" s="183">
        <f t="shared" si="2"/>
        <v>4.5965625000000001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2.2286235401636816</v>
      </c>
      <c r="C109" s="183">
        <f t="shared" ref="C109:Q109" si="3">STDEV(C9:C104)</f>
        <v>2.3867213229126198</v>
      </c>
      <c r="D109" s="183">
        <f t="shared" si="3"/>
        <v>2.6176248587824062</v>
      </c>
      <c r="E109" s="183">
        <f t="shared" si="3"/>
        <v>1.0246621554906428</v>
      </c>
      <c r="F109" s="183">
        <f t="shared" si="3"/>
        <v>2.7526438467280605</v>
      </c>
      <c r="G109" s="183">
        <f t="shared" si="3"/>
        <v>6.7854999686509947</v>
      </c>
      <c r="H109" s="183">
        <f t="shared" si="3"/>
        <v>1.9262860337374668</v>
      </c>
      <c r="I109" s="183">
        <f t="shared" si="3"/>
        <v>0.71442060317827827</v>
      </c>
      <c r="J109" s="183">
        <f t="shared" si="3"/>
        <v>0.19961736973080679</v>
      </c>
      <c r="K109" s="183">
        <f t="shared" si="3"/>
        <v>62.567817386066075</v>
      </c>
      <c r="L109" s="183">
        <f t="shared" si="3"/>
        <v>1.6048891275856112</v>
      </c>
      <c r="M109" s="183">
        <f t="shared" si="3"/>
        <v>7.2142790396133618</v>
      </c>
      <c r="N109" s="183">
        <f t="shared" si="3"/>
        <v>136.34341032654896</v>
      </c>
      <c r="O109" s="183">
        <f t="shared" si="3"/>
        <v>0.49257201806685708</v>
      </c>
      <c r="P109" s="183">
        <f t="shared" si="3"/>
        <v>5.6582399935459431E-2</v>
      </c>
      <c r="Q109" s="183">
        <f t="shared" si="3"/>
        <v>0.13001884984793324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15/08/2023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1582</v>
      </c>
      <c r="B9" s="134">
        <v>10.130000000000001</v>
      </c>
      <c r="C9" s="134">
        <v>22.48</v>
      </c>
      <c r="D9" s="134">
        <v>18.82</v>
      </c>
      <c r="E9" s="134">
        <v>7.96</v>
      </c>
      <c r="F9" s="134">
        <v>2.97</v>
      </c>
      <c r="G9" s="134">
        <v>24.94</v>
      </c>
      <c r="H9" s="134">
        <v>7.53</v>
      </c>
      <c r="I9" s="134">
        <v>3.37</v>
      </c>
      <c r="J9" s="134">
        <v>0.3</v>
      </c>
      <c r="K9" s="134">
        <v>251.71</v>
      </c>
      <c r="L9" s="134">
        <v>26.82</v>
      </c>
      <c r="M9" s="134">
        <v>87.1</v>
      </c>
      <c r="N9" s="134">
        <v>0</v>
      </c>
      <c r="O9" s="134">
        <v>0</v>
      </c>
      <c r="P9" s="134">
        <v>0.4</v>
      </c>
      <c r="Q9" s="134">
        <v>4.47</v>
      </c>
    </row>
    <row r="10" spans="1:21" customFormat="1">
      <c r="A10" s="112" t="s">
        <v>1583</v>
      </c>
      <c r="B10" s="134">
        <v>10.09</v>
      </c>
      <c r="C10" s="134">
        <v>20.309999999999999</v>
      </c>
      <c r="D10" s="134">
        <v>17.66</v>
      </c>
      <c r="E10" s="134">
        <v>8.15</v>
      </c>
      <c r="F10" s="134">
        <v>4.58</v>
      </c>
      <c r="G10" s="134">
        <v>25.32</v>
      </c>
      <c r="H10" s="134">
        <v>7.53</v>
      </c>
      <c r="I10" s="134">
        <v>3.61</v>
      </c>
      <c r="J10" s="134">
        <v>0.28999999999999998</v>
      </c>
      <c r="K10" s="134">
        <v>262.26</v>
      </c>
      <c r="L10" s="134">
        <v>26.73</v>
      </c>
      <c r="M10" s="134">
        <v>87.69</v>
      </c>
      <c r="N10" s="134">
        <v>0</v>
      </c>
      <c r="O10" s="134">
        <v>0</v>
      </c>
      <c r="P10" s="134">
        <v>0.39</v>
      </c>
      <c r="Q10" s="134">
        <v>4.43</v>
      </c>
    </row>
    <row r="11" spans="1:21" customFormat="1">
      <c r="A11" s="112" t="s">
        <v>1584</v>
      </c>
      <c r="B11" s="134">
        <v>9.9600000000000009</v>
      </c>
      <c r="C11" s="134">
        <v>18.41</v>
      </c>
      <c r="D11" s="134">
        <v>16.559999999999999</v>
      </c>
      <c r="E11" s="134">
        <v>7.64</v>
      </c>
      <c r="F11" s="134">
        <v>5.56</v>
      </c>
      <c r="G11" s="134">
        <v>25.32</v>
      </c>
      <c r="H11" s="134">
        <v>7.53</v>
      </c>
      <c r="I11" s="134">
        <v>3.55</v>
      </c>
      <c r="J11" s="134">
        <v>0.3</v>
      </c>
      <c r="K11" s="134">
        <v>260.83</v>
      </c>
      <c r="L11" s="134">
        <v>26.72</v>
      </c>
      <c r="M11" s="134">
        <v>87.45</v>
      </c>
      <c r="N11" s="134">
        <v>0</v>
      </c>
      <c r="O11" s="134">
        <v>0</v>
      </c>
      <c r="P11" s="134">
        <v>0.36</v>
      </c>
      <c r="Q11" s="134">
        <v>4.37</v>
      </c>
    </row>
    <row r="12" spans="1:21" customFormat="1">
      <c r="A12" s="112" t="s">
        <v>1585</v>
      </c>
      <c r="B12" s="134">
        <v>9.9700000000000006</v>
      </c>
      <c r="C12" s="134">
        <v>18.309999999999999</v>
      </c>
      <c r="D12" s="134">
        <v>16.52</v>
      </c>
      <c r="E12" s="134">
        <v>7.75</v>
      </c>
      <c r="F12" s="134">
        <v>5.23</v>
      </c>
      <c r="G12" s="134">
        <v>25.32</v>
      </c>
      <c r="H12" s="134">
        <v>7.53</v>
      </c>
      <c r="I12" s="134">
        <v>3.39</v>
      </c>
      <c r="J12" s="134">
        <v>0.41</v>
      </c>
      <c r="K12" s="134">
        <v>262.44</v>
      </c>
      <c r="L12" s="134">
        <v>26.65</v>
      </c>
      <c r="M12" s="134">
        <v>87.4</v>
      </c>
      <c r="N12" s="134">
        <v>0</v>
      </c>
      <c r="O12" s="134">
        <v>0</v>
      </c>
      <c r="P12" s="134">
        <v>0.36</v>
      </c>
      <c r="Q12" s="134">
        <v>4.3899999999999997</v>
      </c>
    </row>
    <row r="13" spans="1:21" customFormat="1">
      <c r="A13" s="112" t="s">
        <v>1586</v>
      </c>
      <c r="B13" s="134">
        <v>10.91</v>
      </c>
      <c r="C13" s="134">
        <v>23.04</v>
      </c>
      <c r="D13" s="134">
        <v>19.739999999999998</v>
      </c>
      <c r="E13" s="134">
        <v>8.2799999999999994</v>
      </c>
      <c r="F13" s="134">
        <v>2.5</v>
      </c>
      <c r="G13" s="134">
        <v>22.12</v>
      </c>
      <c r="H13" s="134">
        <v>6.52</v>
      </c>
      <c r="I13" s="134">
        <v>3.29</v>
      </c>
      <c r="J13" s="134">
        <v>0.44</v>
      </c>
      <c r="K13" s="134">
        <v>260.95</v>
      </c>
      <c r="L13" s="134">
        <v>26.61</v>
      </c>
      <c r="M13" s="134">
        <v>87.17</v>
      </c>
      <c r="N13" s="134">
        <v>0</v>
      </c>
      <c r="O13" s="134">
        <v>0</v>
      </c>
      <c r="P13" s="134">
        <v>0.42</v>
      </c>
      <c r="Q13" s="134">
        <v>4.4800000000000004</v>
      </c>
    </row>
    <row r="14" spans="1:21" customFormat="1">
      <c r="A14" s="112" t="s">
        <v>1587</v>
      </c>
      <c r="B14" s="134">
        <v>11.32</v>
      </c>
      <c r="C14" s="134">
        <v>22.95</v>
      </c>
      <c r="D14" s="134">
        <v>20.02</v>
      </c>
      <c r="E14" s="134">
        <v>8.59</v>
      </c>
      <c r="F14" s="134">
        <v>2.73</v>
      </c>
      <c r="G14" s="134">
        <v>21.02</v>
      </c>
      <c r="H14" s="134">
        <v>6.52</v>
      </c>
      <c r="I14" s="134">
        <v>3.41</v>
      </c>
      <c r="J14" s="134">
        <v>0.48</v>
      </c>
      <c r="K14" s="134">
        <v>261.33999999999997</v>
      </c>
      <c r="L14" s="134">
        <v>26.52</v>
      </c>
      <c r="M14" s="134">
        <v>87.09</v>
      </c>
      <c r="N14" s="134">
        <v>0</v>
      </c>
      <c r="O14" s="134">
        <v>0</v>
      </c>
      <c r="P14" s="134">
        <v>0.4</v>
      </c>
      <c r="Q14" s="134">
        <v>4.5</v>
      </c>
    </row>
    <row r="15" spans="1:21" customFormat="1">
      <c r="A15" s="112" t="s">
        <v>1588</v>
      </c>
      <c r="B15" s="134">
        <v>11.28</v>
      </c>
      <c r="C15" s="134">
        <v>20.28</v>
      </c>
      <c r="D15" s="134">
        <v>18.600000000000001</v>
      </c>
      <c r="E15" s="134">
        <v>8.14</v>
      </c>
      <c r="F15" s="134">
        <v>4.08</v>
      </c>
      <c r="G15" s="134">
        <v>21.02</v>
      </c>
      <c r="H15" s="134">
        <v>6.52</v>
      </c>
      <c r="I15" s="134">
        <v>3.81</v>
      </c>
      <c r="J15" s="134">
        <v>0.53</v>
      </c>
      <c r="K15" s="134">
        <v>264.24</v>
      </c>
      <c r="L15" s="134">
        <v>26.45</v>
      </c>
      <c r="M15" s="134">
        <v>87.06</v>
      </c>
      <c r="N15" s="134">
        <v>0</v>
      </c>
      <c r="O15" s="134">
        <v>0</v>
      </c>
      <c r="P15" s="134">
        <v>0.37</v>
      </c>
      <c r="Q15" s="134">
        <v>4.45</v>
      </c>
    </row>
    <row r="16" spans="1:21" customFormat="1">
      <c r="A16" s="112" t="s">
        <v>1589</v>
      </c>
      <c r="B16" s="134">
        <v>11.17</v>
      </c>
      <c r="C16" s="134">
        <v>18.940000000000001</v>
      </c>
      <c r="D16" s="134">
        <v>17.809999999999999</v>
      </c>
      <c r="E16" s="134">
        <v>8.27</v>
      </c>
      <c r="F16" s="134">
        <v>4.5999999999999996</v>
      </c>
      <c r="G16" s="134">
        <v>21.02</v>
      </c>
      <c r="H16" s="134">
        <v>6.52</v>
      </c>
      <c r="I16" s="134">
        <v>3.57</v>
      </c>
      <c r="J16" s="134">
        <v>0.45</v>
      </c>
      <c r="K16" s="134">
        <v>261.36</v>
      </c>
      <c r="L16" s="134">
        <v>26.43</v>
      </c>
      <c r="M16" s="134">
        <v>85.38</v>
      </c>
      <c r="N16" s="134">
        <v>0</v>
      </c>
      <c r="O16" s="134">
        <v>0</v>
      </c>
      <c r="P16" s="134">
        <v>0.36</v>
      </c>
      <c r="Q16" s="134">
        <v>4.42</v>
      </c>
    </row>
    <row r="17" spans="1:17" customFormat="1">
      <c r="A17" s="112" t="s">
        <v>1590</v>
      </c>
      <c r="B17" s="134">
        <v>11.34</v>
      </c>
      <c r="C17" s="134">
        <v>19.71</v>
      </c>
      <c r="D17" s="134">
        <v>18.350000000000001</v>
      </c>
      <c r="E17" s="134">
        <v>8.17</v>
      </c>
      <c r="F17" s="134">
        <v>3.95</v>
      </c>
      <c r="G17" s="134">
        <v>20.53</v>
      </c>
      <c r="H17" s="134">
        <v>7.18</v>
      </c>
      <c r="I17" s="134">
        <v>3.36</v>
      </c>
      <c r="J17" s="134">
        <v>0.61</v>
      </c>
      <c r="K17" s="134">
        <v>264.60000000000002</v>
      </c>
      <c r="L17" s="134">
        <v>26.43</v>
      </c>
      <c r="M17" s="134">
        <v>83.62</v>
      </c>
      <c r="N17" s="134">
        <v>0</v>
      </c>
      <c r="O17" s="134">
        <v>0</v>
      </c>
      <c r="P17" s="134">
        <v>0.36</v>
      </c>
      <c r="Q17" s="134">
        <v>4.45</v>
      </c>
    </row>
    <row r="18" spans="1:17" customFormat="1">
      <c r="A18" s="112" t="s">
        <v>1591</v>
      </c>
      <c r="B18" s="134">
        <v>11.84</v>
      </c>
      <c r="C18" s="134">
        <v>23.67</v>
      </c>
      <c r="D18" s="134">
        <v>20.82</v>
      </c>
      <c r="E18" s="134">
        <v>9.25</v>
      </c>
      <c r="F18" s="134">
        <v>1.96</v>
      </c>
      <c r="G18" s="134">
        <v>20.329999999999998</v>
      </c>
      <c r="H18" s="134">
        <v>7.25</v>
      </c>
      <c r="I18" s="134">
        <v>3.29</v>
      </c>
      <c r="J18" s="134">
        <v>0.63</v>
      </c>
      <c r="K18" s="134">
        <v>260.02999999999997</v>
      </c>
      <c r="L18" s="134">
        <v>26.35</v>
      </c>
      <c r="M18" s="134">
        <v>83.94</v>
      </c>
      <c r="N18" s="134">
        <v>0</v>
      </c>
      <c r="O18" s="134">
        <v>0</v>
      </c>
      <c r="P18" s="134">
        <v>0.4</v>
      </c>
      <c r="Q18" s="134">
        <v>4.5599999999999996</v>
      </c>
    </row>
    <row r="19" spans="1:17" customFormat="1">
      <c r="A19" s="112" t="s">
        <v>1592</v>
      </c>
      <c r="B19" s="134">
        <v>12.08</v>
      </c>
      <c r="C19" s="134">
        <v>21.87</v>
      </c>
      <c r="D19" s="134">
        <v>20.07</v>
      </c>
      <c r="E19" s="134">
        <v>8.8699999999999992</v>
      </c>
      <c r="F19" s="134">
        <v>3.08</v>
      </c>
      <c r="G19" s="134">
        <v>20.329999999999998</v>
      </c>
      <c r="H19" s="134">
        <v>7.25</v>
      </c>
      <c r="I19" s="134">
        <v>3.35</v>
      </c>
      <c r="J19" s="134">
        <v>0.52</v>
      </c>
      <c r="K19" s="134">
        <v>263.45</v>
      </c>
      <c r="L19" s="134">
        <v>26.25</v>
      </c>
      <c r="M19" s="134">
        <v>85.13</v>
      </c>
      <c r="N19" s="134">
        <v>0</v>
      </c>
      <c r="O19" s="134">
        <v>0</v>
      </c>
      <c r="P19" s="134">
        <v>0.38</v>
      </c>
      <c r="Q19" s="134">
        <v>4.53</v>
      </c>
    </row>
    <row r="20" spans="1:17" customFormat="1">
      <c r="A20" s="112" t="s">
        <v>1593</v>
      </c>
      <c r="B20" s="134">
        <v>11.99</v>
      </c>
      <c r="C20" s="134">
        <v>19.68</v>
      </c>
      <c r="D20" s="134">
        <v>18.850000000000001</v>
      </c>
      <c r="E20" s="134">
        <v>8.39</v>
      </c>
      <c r="F20" s="134">
        <v>4</v>
      </c>
      <c r="G20" s="134">
        <v>20.329999999999998</v>
      </c>
      <c r="H20" s="134">
        <v>7.25</v>
      </c>
      <c r="I20" s="134">
        <v>3.52</v>
      </c>
      <c r="J20" s="134">
        <v>0.43</v>
      </c>
      <c r="K20" s="134">
        <v>260.67</v>
      </c>
      <c r="L20" s="134">
        <v>26.2</v>
      </c>
      <c r="M20" s="134">
        <v>85.97</v>
      </c>
      <c r="N20" s="134">
        <v>0</v>
      </c>
      <c r="O20" s="134">
        <v>0</v>
      </c>
      <c r="P20" s="134">
        <v>0.36</v>
      </c>
      <c r="Q20" s="134">
        <v>4.4800000000000004</v>
      </c>
    </row>
    <row r="21" spans="1:17" customFormat="1">
      <c r="A21" s="112" t="s">
        <v>1594</v>
      </c>
      <c r="B21" s="134">
        <v>11.76</v>
      </c>
      <c r="C21" s="134">
        <v>19.28</v>
      </c>
      <c r="D21" s="134">
        <v>18.46</v>
      </c>
      <c r="E21" s="134">
        <v>8.15</v>
      </c>
      <c r="F21" s="134">
        <v>4.01</v>
      </c>
      <c r="G21" s="134">
        <v>16.34</v>
      </c>
      <c r="H21" s="134">
        <v>6.11</v>
      </c>
      <c r="I21" s="134">
        <v>3.39</v>
      </c>
      <c r="J21" s="134">
        <v>0.27</v>
      </c>
      <c r="K21" s="134">
        <v>263.33</v>
      </c>
      <c r="L21" s="134">
        <v>26.07</v>
      </c>
      <c r="M21" s="134">
        <v>87.34</v>
      </c>
      <c r="N21" s="134">
        <v>0</v>
      </c>
      <c r="O21" s="134">
        <v>0</v>
      </c>
      <c r="P21" s="134">
        <v>0.35</v>
      </c>
      <c r="Q21" s="134">
        <v>4.4800000000000004</v>
      </c>
    </row>
    <row r="22" spans="1:17" customFormat="1">
      <c r="A22" s="112" t="s">
        <v>1595</v>
      </c>
      <c r="B22" s="134">
        <v>12.02</v>
      </c>
      <c r="C22" s="134">
        <v>21.93</v>
      </c>
      <c r="D22" s="134">
        <v>20.05</v>
      </c>
      <c r="E22" s="134">
        <v>8.76</v>
      </c>
      <c r="F22" s="134">
        <v>2.62</v>
      </c>
      <c r="G22" s="134">
        <v>14.72</v>
      </c>
      <c r="H22" s="134">
        <v>6.06</v>
      </c>
      <c r="I22" s="134">
        <v>3.27</v>
      </c>
      <c r="J22" s="134">
        <v>0.26</v>
      </c>
      <c r="K22" s="134">
        <v>259.05</v>
      </c>
      <c r="L22" s="134">
        <v>26.02</v>
      </c>
      <c r="M22" s="134">
        <v>88.15</v>
      </c>
      <c r="N22" s="134">
        <v>0</v>
      </c>
      <c r="O22" s="134">
        <v>0</v>
      </c>
      <c r="P22" s="134">
        <v>0.4</v>
      </c>
      <c r="Q22" s="134">
        <v>4.4800000000000004</v>
      </c>
    </row>
    <row r="23" spans="1:17" customFormat="1">
      <c r="A23" s="112" t="s">
        <v>1596</v>
      </c>
      <c r="B23" s="134">
        <v>11.88</v>
      </c>
      <c r="C23" s="134">
        <v>23.45</v>
      </c>
      <c r="D23" s="134">
        <v>20.73</v>
      </c>
      <c r="E23" s="134">
        <v>8.56</v>
      </c>
      <c r="F23" s="134">
        <v>2.5</v>
      </c>
      <c r="G23" s="134">
        <v>14.72</v>
      </c>
      <c r="H23" s="134">
        <v>6.06</v>
      </c>
      <c r="I23" s="134">
        <v>3.22</v>
      </c>
      <c r="J23" s="134">
        <v>0.3</v>
      </c>
      <c r="K23" s="134">
        <v>256.60000000000002</v>
      </c>
      <c r="L23" s="134">
        <v>25.97</v>
      </c>
      <c r="M23" s="134">
        <v>88.48</v>
      </c>
      <c r="N23" s="134">
        <v>0</v>
      </c>
      <c r="O23" s="134">
        <v>0</v>
      </c>
      <c r="P23" s="134">
        <v>0.41</v>
      </c>
      <c r="Q23" s="134">
        <v>4.4800000000000004</v>
      </c>
    </row>
    <row r="24" spans="1:17" customFormat="1">
      <c r="A24" s="112" t="s">
        <v>1597</v>
      </c>
      <c r="B24" s="134">
        <v>11.89</v>
      </c>
      <c r="C24" s="134">
        <v>20.98</v>
      </c>
      <c r="D24" s="134">
        <v>19.45</v>
      </c>
      <c r="E24" s="134">
        <v>8.23</v>
      </c>
      <c r="F24" s="134">
        <v>3.64</v>
      </c>
      <c r="G24" s="134">
        <v>14.72</v>
      </c>
      <c r="H24" s="134">
        <v>6.06</v>
      </c>
      <c r="I24" s="134">
        <v>3.35</v>
      </c>
      <c r="J24" s="134">
        <v>0.56000000000000005</v>
      </c>
      <c r="K24" s="134">
        <v>262.66000000000003</v>
      </c>
      <c r="L24" s="134">
        <v>26</v>
      </c>
      <c r="M24" s="134">
        <v>87.67</v>
      </c>
      <c r="N24" s="134">
        <v>0</v>
      </c>
      <c r="O24" s="134">
        <v>0</v>
      </c>
      <c r="P24" s="134">
        <v>0.37</v>
      </c>
      <c r="Q24" s="134">
        <v>4.49</v>
      </c>
    </row>
    <row r="25" spans="1:17" customFormat="1">
      <c r="A25" s="112" t="s">
        <v>1598</v>
      </c>
      <c r="B25" s="134">
        <v>11.6</v>
      </c>
      <c r="C25" s="134">
        <v>18.63</v>
      </c>
      <c r="D25" s="134">
        <v>17.989999999999998</v>
      </c>
      <c r="E25" s="134">
        <v>7.63</v>
      </c>
      <c r="F25" s="134">
        <v>4.34</v>
      </c>
      <c r="G25" s="134">
        <v>14.75</v>
      </c>
      <c r="H25" s="134">
        <v>5.89</v>
      </c>
      <c r="I25" s="134">
        <v>3.25</v>
      </c>
      <c r="J25" s="134">
        <v>0.47</v>
      </c>
      <c r="K25" s="134">
        <v>262.95</v>
      </c>
      <c r="L25" s="134">
        <v>25.99</v>
      </c>
      <c r="M25" s="134">
        <v>87.99</v>
      </c>
      <c r="N25" s="134">
        <v>0</v>
      </c>
      <c r="O25" s="134">
        <v>0</v>
      </c>
      <c r="P25" s="134">
        <v>0.34</v>
      </c>
      <c r="Q25" s="134">
        <v>4.4800000000000004</v>
      </c>
    </row>
    <row r="26" spans="1:17" customFormat="1">
      <c r="A26" s="112" t="s">
        <v>1599</v>
      </c>
      <c r="B26" s="134">
        <v>11.58</v>
      </c>
      <c r="C26" s="134">
        <v>18.54</v>
      </c>
      <c r="D26" s="134">
        <v>17.93</v>
      </c>
      <c r="E26" s="134">
        <v>7.77</v>
      </c>
      <c r="F26" s="134">
        <v>4.2300000000000004</v>
      </c>
      <c r="G26" s="134">
        <v>14.76</v>
      </c>
      <c r="H26" s="134">
        <v>5.84</v>
      </c>
      <c r="I26" s="134">
        <v>3.06</v>
      </c>
      <c r="J26" s="134">
        <v>0.37</v>
      </c>
      <c r="K26" s="134">
        <v>266.32</v>
      </c>
      <c r="L26" s="134">
        <v>25.91</v>
      </c>
      <c r="M26" s="134">
        <v>88.6</v>
      </c>
      <c r="N26" s="134">
        <v>0</v>
      </c>
      <c r="O26" s="134">
        <v>0</v>
      </c>
      <c r="P26" s="134">
        <v>0.32</v>
      </c>
      <c r="Q26" s="134">
        <v>4.4400000000000004</v>
      </c>
    </row>
    <row r="27" spans="1:17" customFormat="1">
      <c r="A27" s="112" t="s">
        <v>1600</v>
      </c>
      <c r="B27" s="134">
        <v>11.77</v>
      </c>
      <c r="C27" s="134">
        <v>19.89</v>
      </c>
      <c r="D27" s="134">
        <v>18.79</v>
      </c>
      <c r="E27" s="134">
        <v>7.68</v>
      </c>
      <c r="F27" s="134">
        <v>3.45</v>
      </c>
      <c r="G27" s="134">
        <v>14.76</v>
      </c>
      <c r="H27" s="134">
        <v>5.84</v>
      </c>
      <c r="I27" s="134">
        <v>2.94</v>
      </c>
      <c r="J27" s="134">
        <v>0.52</v>
      </c>
      <c r="K27" s="134">
        <v>262.41000000000003</v>
      </c>
      <c r="L27" s="134">
        <v>25.91</v>
      </c>
      <c r="M27" s="134">
        <v>87.79</v>
      </c>
      <c r="N27" s="134">
        <v>0</v>
      </c>
      <c r="O27" s="134">
        <v>0</v>
      </c>
      <c r="P27" s="134">
        <v>0.33</v>
      </c>
      <c r="Q27" s="134">
        <v>4.4400000000000004</v>
      </c>
    </row>
    <row r="28" spans="1:17" customFormat="1">
      <c r="A28" s="112" t="s">
        <v>1601</v>
      </c>
      <c r="B28" s="134">
        <v>12.18</v>
      </c>
      <c r="C28" s="134">
        <v>23.71</v>
      </c>
      <c r="D28" s="134">
        <v>21.11</v>
      </c>
      <c r="E28" s="134">
        <v>8.65</v>
      </c>
      <c r="F28" s="134">
        <v>1.58</v>
      </c>
      <c r="G28" s="134">
        <v>14.76</v>
      </c>
      <c r="H28" s="134">
        <v>5.84</v>
      </c>
      <c r="I28" s="134">
        <v>2.95</v>
      </c>
      <c r="J28" s="134">
        <v>0.37</v>
      </c>
      <c r="K28" s="134">
        <v>262.55</v>
      </c>
      <c r="L28" s="134">
        <v>25.98</v>
      </c>
      <c r="M28" s="134">
        <v>87.66</v>
      </c>
      <c r="N28" s="134">
        <v>0</v>
      </c>
      <c r="O28" s="134">
        <v>0</v>
      </c>
      <c r="P28" s="134">
        <v>0.37</v>
      </c>
      <c r="Q28" s="134">
        <v>4.54</v>
      </c>
    </row>
    <row r="29" spans="1:17" customFormat="1">
      <c r="A29" s="112" t="s">
        <v>1602</v>
      </c>
      <c r="B29" s="134">
        <v>12.12</v>
      </c>
      <c r="C29" s="134">
        <v>21.68</v>
      </c>
      <c r="D29" s="134">
        <v>20</v>
      </c>
      <c r="E29" s="134">
        <v>8.75</v>
      </c>
      <c r="F29" s="134">
        <v>3.27</v>
      </c>
      <c r="G29" s="134">
        <v>14.72</v>
      </c>
      <c r="H29" s="134">
        <v>4.37</v>
      </c>
      <c r="I29" s="134">
        <v>2.99</v>
      </c>
      <c r="J29" s="134">
        <v>0.37</v>
      </c>
      <c r="K29" s="134">
        <v>264.43</v>
      </c>
      <c r="L29" s="134">
        <v>25.87</v>
      </c>
      <c r="M29" s="134">
        <v>88.23</v>
      </c>
      <c r="N29" s="134">
        <v>0</v>
      </c>
      <c r="O29" s="134">
        <v>0</v>
      </c>
      <c r="P29" s="134">
        <v>0.36</v>
      </c>
      <c r="Q29" s="134">
        <v>4.55</v>
      </c>
    </row>
    <row r="30" spans="1:17" customFormat="1">
      <c r="A30" s="112" t="s">
        <v>1603</v>
      </c>
      <c r="B30" s="134">
        <v>12.12</v>
      </c>
      <c r="C30" s="134">
        <v>19.7</v>
      </c>
      <c r="D30" s="134">
        <v>18.97</v>
      </c>
      <c r="E30" s="134">
        <v>8.34</v>
      </c>
      <c r="F30" s="134">
        <v>4.42</v>
      </c>
      <c r="G30" s="134">
        <v>14.7</v>
      </c>
      <c r="H30" s="134">
        <v>4.3</v>
      </c>
      <c r="I30" s="134">
        <v>3.12</v>
      </c>
      <c r="J30" s="134">
        <v>0.38</v>
      </c>
      <c r="K30" s="134">
        <v>263.94</v>
      </c>
      <c r="L30" s="134">
        <v>25.88</v>
      </c>
      <c r="M30" s="134">
        <v>87.83</v>
      </c>
      <c r="N30" s="134">
        <v>0</v>
      </c>
      <c r="O30" s="134">
        <v>0</v>
      </c>
      <c r="P30" s="134">
        <v>0.33</v>
      </c>
      <c r="Q30" s="134">
        <v>4.53</v>
      </c>
    </row>
    <row r="31" spans="1:17" customFormat="1">
      <c r="A31" s="112" t="s">
        <v>1604</v>
      </c>
      <c r="B31" s="134">
        <v>12.42</v>
      </c>
      <c r="C31" s="134">
        <v>21.14</v>
      </c>
      <c r="D31" s="134">
        <v>19.95</v>
      </c>
      <c r="E31" s="134">
        <v>8.52</v>
      </c>
      <c r="F31" s="134">
        <v>3.18</v>
      </c>
      <c r="G31" s="134">
        <v>14.7</v>
      </c>
      <c r="H31" s="134">
        <v>4.3</v>
      </c>
      <c r="I31" s="134">
        <v>2.96</v>
      </c>
      <c r="J31" s="134">
        <v>0.36</v>
      </c>
      <c r="K31" s="134">
        <v>264.94</v>
      </c>
      <c r="L31" s="134">
        <v>25.84</v>
      </c>
      <c r="M31" s="134">
        <v>88.42</v>
      </c>
      <c r="N31" s="134">
        <v>0</v>
      </c>
      <c r="O31" s="134">
        <v>0</v>
      </c>
      <c r="P31" s="134">
        <v>0.35</v>
      </c>
      <c r="Q31" s="134">
        <v>4.5199999999999996</v>
      </c>
    </row>
    <row r="32" spans="1:17" customFormat="1">
      <c r="A32" s="112" t="s">
        <v>1605</v>
      </c>
      <c r="B32" s="134">
        <v>12.77</v>
      </c>
      <c r="C32" s="134">
        <v>23.38</v>
      </c>
      <c r="D32" s="134">
        <v>21.41</v>
      </c>
      <c r="E32" s="134">
        <v>8.57</v>
      </c>
      <c r="F32" s="134">
        <v>2.11</v>
      </c>
      <c r="G32" s="134">
        <v>14.7</v>
      </c>
      <c r="H32" s="134">
        <v>4.3</v>
      </c>
      <c r="I32" s="134">
        <v>2.94</v>
      </c>
      <c r="J32" s="134">
        <v>0.35</v>
      </c>
      <c r="K32" s="134">
        <v>257.07</v>
      </c>
      <c r="L32" s="134">
        <v>25.74</v>
      </c>
      <c r="M32" s="134">
        <v>89.79</v>
      </c>
      <c r="N32" s="134">
        <v>3.8</v>
      </c>
      <c r="O32" s="134">
        <v>0</v>
      </c>
      <c r="P32" s="134">
        <v>0.37</v>
      </c>
      <c r="Q32" s="134">
        <v>4.54</v>
      </c>
    </row>
    <row r="33" spans="1:17" customFormat="1">
      <c r="A33" s="112" t="s">
        <v>1606</v>
      </c>
      <c r="B33" s="134">
        <v>12.74</v>
      </c>
      <c r="C33" s="134">
        <v>20.9</v>
      </c>
      <c r="D33" s="134">
        <v>20.09</v>
      </c>
      <c r="E33" s="134">
        <v>8.4</v>
      </c>
      <c r="F33" s="134">
        <v>3.4</v>
      </c>
      <c r="G33" s="134">
        <v>14.53</v>
      </c>
      <c r="H33" s="134">
        <v>5.39</v>
      </c>
      <c r="I33" s="134">
        <v>3.05</v>
      </c>
      <c r="J33" s="134">
        <v>0.37</v>
      </c>
      <c r="K33" s="134">
        <v>261.55</v>
      </c>
      <c r="L33" s="134">
        <v>25.77</v>
      </c>
      <c r="M33" s="134">
        <v>90.22</v>
      </c>
      <c r="N33" s="134">
        <v>13.7</v>
      </c>
      <c r="O33" s="134">
        <v>0</v>
      </c>
      <c r="P33" s="134">
        <v>0.34</v>
      </c>
      <c r="Q33" s="134">
        <v>4.54</v>
      </c>
    </row>
    <row r="34" spans="1:17" customFormat="1">
      <c r="A34" s="112" t="s">
        <v>1607</v>
      </c>
      <c r="B34" s="134">
        <v>12.76</v>
      </c>
      <c r="C34" s="134">
        <v>20.02</v>
      </c>
      <c r="D34" s="134">
        <v>19.649999999999999</v>
      </c>
      <c r="E34" s="134">
        <v>8.73</v>
      </c>
      <c r="F34" s="134">
        <v>3.52</v>
      </c>
      <c r="G34" s="134">
        <v>14.46</v>
      </c>
      <c r="H34" s="134">
        <v>5.44</v>
      </c>
      <c r="I34" s="134">
        <v>3.09</v>
      </c>
      <c r="J34" s="134">
        <v>0.45</v>
      </c>
      <c r="K34" s="134">
        <v>262.7</v>
      </c>
      <c r="L34" s="134">
        <v>25.79</v>
      </c>
      <c r="M34" s="134">
        <v>90.2</v>
      </c>
      <c r="N34" s="134">
        <v>17.5</v>
      </c>
      <c r="O34" s="134">
        <v>0</v>
      </c>
      <c r="P34" s="134">
        <v>0.34</v>
      </c>
      <c r="Q34" s="134">
        <v>4.51</v>
      </c>
    </row>
    <row r="35" spans="1:17" customFormat="1">
      <c r="A35" s="112" t="s">
        <v>1608</v>
      </c>
      <c r="B35" s="134">
        <v>13.22</v>
      </c>
      <c r="C35" s="134">
        <v>23.36</v>
      </c>
      <c r="D35" s="134">
        <v>21.76</v>
      </c>
      <c r="E35" s="134">
        <v>8.49</v>
      </c>
      <c r="F35" s="134">
        <v>1.84</v>
      </c>
      <c r="G35" s="134">
        <v>14.46</v>
      </c>
      <c r="H35" s="134">
        <v>5.44</v>
      </c>
      <c r="I35" s="134">
        <v>2.97</v>
      </c>
      <c r="J35" s="134">
        <v>0.34</v>
      </c>
      <c r="K35" s="134">
        <v>260.45</v>
      </c>
      <c r="L35" s="134">
        <v>25.86</v>
      </c>
      <c r="M35" s="134">
        <v>90.8</v>
      </c>
      <c r="N35" s="134">
        <v>27.9</v>
      </c>
      <c r="O35" s="134">
        <v>0</v>
      </c>
      <c r="P35" s="134">
        <v>0.37</v>
      </c>
      <c r="Q35" s="134">
        <v>4.6100000000000003</v>
      </c>
    </row>
    <row r="36" spans="1:17" customFormat="1">
      <c r="A36" s="112" t="s">
        <v>1609</v>
      </c>
      <c r="B36" s="134">
        <v>13.47</v>
      </c>
      <c r="C36" s="134">
        <v>21.83</v>
      </c>
      <c r="D36" s="134">
        <v>21.16</v>
      </c>
      <c r="E36" s="134">
        <v>8.42</v>
      </c>
      <c r="F36" s="134">
        <v>2.8</v>
      </c>
      <c r="G36" s="134">
        <v>14.46</v>
      </c>
      <c r="H36" s="134">
        <v>5.44</v>
      </c>
      <c r="I36" s="134">
        <v>2.98</v>
      </c>
      <c r="J36" s="134">
        <v>0.45</v>
      </c>
      <c r="K36" s="134">
        <v>265.19</v>
      </c>
      <c r="L36" s="134">
        <v>26</v>
      </c>
      <c r="M36" s="134">
        <v>90.29</v>
      </c>
      <c r="N36" s="134">
        <v>52.6</v>
      </c>
      <c r="O36" s="134">
        <v>0</v>
      </c>
      <c r="P36" s="134">
        <v>0.36</v>
      </c>
      <c r="Q36" s="134">
        <v>4.62</v>
      </c>
    </row>
    <row r="37" spans="1:17" customFormat="1">
      <c r="A37" s="112" t="s">
        <v>1610</v>
      </c>
      <c r="B37" s="134">
        <v>13.21</v>
      </c>
      <c r="C37" s="134">
        <v>20.25</v>
      </c>
      <c r="D37" s="134">
        <v>20.13</v>
      </c>
      <c r="E37" s="134">
        <v>8.49</v>
      </c>
      <c r="F37" s="134">
        <v>3.64</v>
      </c>
      <c r="G37" s="134">
        <v>17.260000000000002</v>
      </c>
      <c r="H37" s="134">
        <v>4.58</v>
      </c>
      <c r="I37" s="134">
        <v>3.12</v>
      </c>
      <c r="J37" s="134">
        <v>0.41</v>
      </c>
      <c r="K37" s="134">
        <v>256.22000000000003</v>
      </c>
      <c r="L37" s="134">
        <v>26.37</v>
      </c>
      <c r="M37" s="134">
        <v>88.82</v>
      </c>
      <c r="N37" s="134">
        <v>95.2</v>
      </c>
      <c r="O37" s="134">
        <v>0</v>
      </c>
      <c r="P37" s="134">
        <v>0.35</v>
      </c>
      <c r="Q37" s="134">
        <v>4.57</v>
      </c>
    </row>
    <row r="38" spans="1:17" customFormat="1">
      <c r="A38" s="112" t="s">
        <v>1611</v>
      </c>
      <c r="B38" s="134">
        <v>13.66</v>
      </c>
      <c r="C38" s="134">
        <v>23.29</v>
      </c>
      <c r="D38" s="134">
        <v>22.08</v>
      </c>
      <c r="E38" s="134">
        <v>8.83</v>
      </c>
      <c r="F38" s="134">
        <v>2.21</v>
      </c>
      <c r="G38" s="134">
        <v>18.39</v>
      </c>
      <c r="H38" s="134">
        <v>4.53</v>
      </c>
      <c r="I38" s="134">
        <v>3.03</v>
      </c>
      <c r="J38" s="134">
        <v>0.6</v>
      </c>
      <c r="K38" s="134">
        <v>261.01</v>
      </c>
      <c r="L38" s="134">
        <v>26.59</v>
      </c>
      <c r="M38" s="134">
        <v>87.27</v>
      </c>
      <c r="N38" s="134">
        <v>91.8</v>
      </c>
      <c r="O38" s="134">
        <v>0</v>
      </c>
      <c r="P38" s="134">
        <v>0.37</v>
      </c>
      <c r="Q38" s="134">
        <v>4.63</v>
      </c>
    </row>
    <row r="39" spans="1:17" customFormat="1">
      <c r="A39" s="112" t="s">
        <v>1612</v>
      </c>
      <c r="B39" s="134">
        <v>13.97</v>
      </c>
      <c r="C39" s="134">
        <v>22.01</v>
      </c>
      <c r="D39" s="134">
        <v>21.66</v>
      </c>
      <c r="E39" s="134">
        <v>8.6300000000000008</v>
      </c>
      <c r="F39" s="134">
        <v>2.83</v>
      </c>
      <c r="G39" s="134">
        <v>18.39</v>
      </c>
      <c r="H39" s="134">
        <v>4.53</v>
      </c>
      <c r="I39" s="134">
        <v>3.01</v>
      </c>
      <c r="J39" s="134">
        <v>0.57999999999999996</v>
      </c>
      <c r="K39" s="134">
        <v>262.97000000000003</v>
      </c>
      <c r="L39" s="134">
        <v>26.92</v>
      </c>
      <c r="M39" s="134">
        <v>86.2</v>
      </c>
      <c r="N39" s="134">
        <v>134.9</v>
      </c>
      <c r="O39" s="134">
        <v>0</v>
      </c>
      <c r="P39" s="134">
        <v>0.36</v>
      </c>
      <c r="Q39" s="134">
        <v>4.6399999999999997</v>
      </c>
    </row>
    <row r="40" spans="1:17" customFormat="1">
      <c r="A40" s="112" t="s">
        <v>1613</v>
      </c>
      <c r="B40" s="134">
        <v>13.89</v>
      </c>
      <c r="C40" s="134">
        <v>20.5</v>
      </c>
      <c r="D40" s="134">
        <v>20.8</v>
      </c>
      <c r="E40" s="134">
        <v>8.76</v>
      </c>
      <c r="F40" s="134">
        <v>3.21</v>
      </c>
      <c r="G40" s="134">
        <v>18.39</v>
      </c>
      <c r="H40" s="134">
        <v>4.53</v>
      </c>
      <c r="I40" s="134">
        <v>3.17</v>
      </c>
      <c r="J40" s="134">
        <v>0.57999999999999996</v>
      </c>
      <c r="K40" s="134">
        <v>258.81</v>
      </c>
      <c r="L40" s="134">
        <v>27.43</v>
      </c>
      <c r="M40" s="134">
        <v>84.4</v>
      </c>
      <c r="N40" s="134">
        <v>172.8</v>
      </c>
      <c r="O40" s="134">
        <v>0</v>
      </c>
      <c r="P40" s="134">
        <v>0.36</v>
      </c>
      <c r="Q40" s="134">
        <v>4.58</v>
      </c>
    </row>
    <row r="41" spans="1:17" customFormat="1">
      <c r="A41" s="112" t="s">
        <v>1614</v>
      </c>
      <c r="B41" s="134">
        <v>13.67</v>
      </c>
      <c r="C41" s="134">
        <v>19.78</v>
      </c>
      <c r="D41" s="134">
        <v>20.25</v>
      </c>
      <c r="E41" s="134">
        <v>8.3800000000000008</v>
      </c>
      <c r="F41" s="134">
        <v>3.56</v>
      </c>
      <c r="G41" s="134">
        <v>18.940000000000001</v>
      </c>
      <c r="H41" s="134">
        <v>4.8</v>
      </c>
      <c r="I41" s="134">
        <v>3.17</v>
      </c>
      <c r="J41" s="134">
        <v>0.73</v>
      </c>
      <c r="K41" s="134">
        <v>262.70999999999998</v>
      </c>
      <c r="L41" s="134">
        <v>27.57</v>
      </c>
      <c r="M41" s="134">
        <v>82.65</v>
      </c>
      <c r="N41" s="134">
        <v>198.4</v>
      </c>
      <c r="O41" s="134">
        <v>0</v>
      </c>
      <c r="P41" s="134">
        <v>0.37</v>
      </c>
      <c r="Q41" s="134">
        <v>4.59</v>
      </c>
    </row>
    <row r="42" spans="1:17" customFormat="1">
      <c r="A42" s="112" t="s">
        <v>1615</v>
      </c>
      <c r="B42" s="134">
        <v>13.83</v>
      </c>
      <c r="C42" s="134">
        <v>21.45</v>
      </c>
      <c r="D42" s="134">
        <v>21.25</v>
      </c>
      <c r="E42" s="134">
        <v>8.5</v>
      </c>
      <c r="F42" s="134">
        <v>2.7</v>
      </c>
      <c r="G42" s="134">
        <v>19.16</v>
      </c>
      <c r="H42" s="134">
        <v>4.82</v>
      </c>
      <c r="I42" s="134">
        <v>3.2</v>
      </c>
      <c r="J42" s="134">
        <v>0.73</v>
      </c>
      <c r="K42" s="134">
        <v>267.8</v>
      </c>
      <c r="L42" s="134">
        <v>27.7</v>
      </c>
      <c r="M42" s="134">
        <v>81.92</v>
      </c>
      <c r="N42" s="134">
        <v>225.8</v>
      </c>
      <c r="O42" s="134">
        <v>0</v>
      </c>
      <c r="P42" s="134">
        <v>0.38</v>
      </c>
      <c r="Q42" s="134">
        <v>4.6100000000000003</v>
      </c>
    </row>
    <row r="43" spans="1:17" customFormat="1">
      <c r="A43" s="112" t="s">
        <v>1616</v>
      </c>
      <c r="B43" s="134">
        <v>13.49</v>
      </c>
      <c r="C43" s="134">
        <v>23.9</v>
      </c>
      <c r="D43" s="134">
        <v>22.26</v>
      </c>
      <c r="E43" s="134">
        <v>8.42</v>
      </c>
      <c r="F43" s="134">
        <v>1.92</v>
      </c>
      <c r="G43" s="134">
        <v>19.16</v>
      </c>
      <c r="H43" s="134">
        <v>4.82</v>
      </c>
      <c r="I43" s="134">
        <v>3.25</v>
      </c>
      <c r="J43" s="134">
        <v>0.69</v>
      </c>
      <c r="K43" s="134">
        <v>264.24</v>
      </c>
      <c r="L43" s="134">
        <v>28.03</v>
      </c>
      <c r="M43" s="134">
        <v>80.459999999999994</v>
      </c>
      <c r="N43" s="134">
        <v>249.4</v>
      </c>
      <c r="O43" s="134">
        <v>0</v>
      </c>
      <c r="P43" s="134">
        <v>0.43</v>
      </c>
      <c r="Q43" s="134">
        <v>4.63</v>
      </c>
    </row>
    <row r="44" spans="1:17" customFormat="1">
      <c r="A44" s="112" t="s">
        <v>1617</v>
      </c>
      <c r="B44" s="134">
        <v>13.13</v>
      </c>
      <c r="C44" s="134">
        <v>25.04</v>
      </c>
      <c r="D44" s="134">
        <v>22.57</v>
      </c>
      <c r="E44" s="134">
        <v>9.23</v>
      </c>
      <c r="F44" s="134">
        <v>2.3199999999999998</v>
      </c>
      <c r="G44" s="134">
        <v>19.16</v>
      </c>
      <c r="H44" s="134">
        <v>4.82</v>
      </c>
      <c r="I44" s="134">
        <v>3.41</v>
      </c>
      <c r="J44" s="134">
        <v>0.75</v>
      </c>
      <c r="K44" s="134">
        <v>268.23</v>
      </c>
      <c r="L44" s="134">
        <v>28.28</v>
      </c>
      <c r="M44" s="134">
        <v>79.680000000000007</v>
      </c>
      <c r="N44" s="134">
        <v>334.5</v>
      </c>
      <c r="O44" s="134">
        <v>0</v>
      </c>
      <c r="P44" s="134">
        <v>0.46</v>
      </c>
      <c r="Q44" s="134">
        <v>4.63</v>
      </c>
    </row>
    <row r="45" spans="1:17" customFormat="1">
      <c r="A45" s="112" t="s">
        <v>1618</v>
      </c>
      <c r="B45" s="134">
        <v>13.17</v>
      </c>
      <c r="C45" s="134">
        <v>21.91</v>
      </c>
      <c r="D45" s="134">
        <v>20.96</v>
      </c>
      <c r="E45" s="134">
        <v>9.3699999999999992</v>
      </c>
      <c r="F45" s="134">
        <v>3.88</v>
      </c>
      <c r="G45" s="134">
        <v>22.27</v>
      </c>
      <c r="H45" s="134">
        <v>5.26</v>
      </c>
      <c r="I45" s="134">
        <v>3.64</v>
      </c>
      <c r="J45" s="134">
        <v>0.74</v>
      </c>
      <c r="K45" s="134">
        <v>257.87</v>
      </c>
      <c r="L45" s="134">
        <v>29.14</v>
      </c>
      <c r="M45" s="134">
        <v>76.290000000000006</v>
      </c>
      <c r="N45" s="134">
        <v>349.9</v>
      </c>
      <c r="O45" s="134">
        <v>0</v>
      </c>
      <c r="P45" s="134">
        <v>0.44</v>
      </c>
      <c r="Q45" s="134">
        <v>4.59</v>
      </c>
    </row>
    <row r="46" spans="1:17" customFormat="1">
      <c r="A46" s="112" t="s">
        <v>1619</v>
      </c>
      <c r="B46" s="134">
        <v>13.07</v>
      </c>
      <c r="C46" s="134">
        <v>20.85</v>
      </c>
      <c r="D46" s="134">
        <v>20.329999999999998</v>
      </c>
      <c r="E46" s="134">
        <v>8.5299999999999994</v>
      </c>
      <c r="F46" s="134">
        <v>3.78</v>
      </c>
      <c r="G46" s="134">
        <v>23.54</v>
      </c>
      <c r="H46" s="134">
        <v>5.28</v>
      </c>
      <c r="I46" s="134">
        <v>3.75</v>
      </c>
      <c r="J46" s="134">
        <v>0.71</v>
      </c>
      <c r="K46" s="134">
        <v>276.73</v>
      </c>
      <c r="L46" s="134">
        <v>29.4</v>
      </c>
      <c r="M46" s="134">
        <v>74.849999999999994</v>
      </c>
      <c r="N46" s="134">
        <v>401.1</v>
      </c>
      <c r="O46" s="134">
        <v>0</v>
      </c>
      <c r="P46" s="134">
        <v>0.43</v>
      </c>
      <c r="Q46" s="134">
        <v>4.54</v>
      </c>
    </row>
    <row r="47" spans="1:17" customFormat="1">
      <c r="A47" s="112" t="s">
        <v>1620</v>
      </c>
      <c r="B47" s="134">
        <v>13.11</v>
      </c>
      <c r="C47" s="134">
        <v>21.55</v>
      </c>
      <c r="D47" s="134">
        <v>20.73</v>
      </c>
      <c r="E47" s="134">
        <v>8.3800000000000008</v>
      </c>
      <c r="F47" s="134">
        <v>3.25</v>
      </c>
      <c r="G47" s="134">
        <v>23.54</v>
      </c>
      <c r="H47" s="134">
        <v>5.28</v>
      </c>
      <c r="I47" s="134">
        <v>3.76</v>
      </c>
      <c r="J47" s="134">
        <v>0.59</v>
      </c>
      <c r="K47" s="134">
        <v>276.72000000000003</v>
      </c>
      <c r="L47" s="134">
        <v>29.94</v>
      </c>
      <c r="M47" s="134">
        <v>73.73</v>
      </c>
      <c r="N47" s="134">
        <v>320</v>
      </c>
      <c r="O47" s="134">
        <v>0</v>
      </c>
      <c r="P47" s="134">
        <v>0.43</v>
      </c>
      <c r="Q47" s="134">
        <v>4.51</v>
      </c>
    </row>
    <row r="48" spans="1:17" customFormat="1">
      <c r="A48" s="112" t="s">
        <v>1621</v>
      </c>
      <c r="B48" s="134">
        <v>12.84</v>
      </c>
      <c r="C48" s="134">
        <v>21.83</v>
      </c>
      <c r="D48" s="134">
        <v>20.66</v>
      </c>
      <c r="E48" s="134">
        <v>8.25</v>
      </c>
      <c r="F48" s="134">
        <v>3.58</v>
      </c>
      <c r="G48" s="134">
        <v>23.54</v>
      </c>
      <c r="H48" s="134">
        <v>5.28</v>
      </c>
      <c r="I48" s="134">
        <v>3.81</v>
      </c>
      <c r="J48" s="134">
        <v>0.62</v>
      </c>
      <c r="K48" s="134">
        <v>289.01</v>
      </c>
      <c r="L48" s="134">
        <v>29.87</v>
      </c>
      <c r="M48" s="134">
        <v>73.62</v>
      </c>
      <c r="N48" s="134">
        <v>332.3</v>
      </c>
      <c r="O48" s="134">
        <v>0</v>
      </c>
      <c r="P48" s="134">
        <v>0.44</v>
      </c>
      <c r="Q48" s="134">
        <v>4.54</v>
      </c>
    </row>
    <row r="49" spans="1:17" customFormat="1">
      <c r="A49" s="112" t="s">
        <v>1622</v>
      </c>
      <c r="B49" s="134">
        <v>12.54</v>
      </c>
      <c r="C49" s="134">
        <v>21.71</v>
      </c>
      <c r="D49" s="134">
        <v>20.350000000000001</v>
      </c>
      <c r="E49" s="134">
        <v>6.62</v>
      </c>
      <c r="F49" s="134">
        <v>4.28</v>
      </c>
      <c r="G49" s="134">
        <v>27.5</v>
      </c>
      <c r="H49" s="134">
        <v>6.39</v>
      </c>
      <c r="I49" s="134">
        <v>3.9</v>
      </c>
      <c r="J49" s="134">
        <v>0.59</v>
      </c>
      <c r="K49" s="134">
        <v>280.12</v>
      </c>
      <c r="L49" s="134">
        <v>29.55</v>
      </c>
      <c r="M49" s="134">
        <v>74.760000000000005</v>
      </c>
      <c r="N49" s="134">
        <v>213.6</v>
      </c>
      <c r="O49" s="134">
        <v>0</v>
      </c>
      <c r="P49" s="134">
        <v>0.45</v>
      </c>
      <c r="Q49" s="134">
        <v>4.5599999999999996</v>
      </c>
    </row>
    <row r="50" spans="1:17" customFormat="1">
      <c r="A50" s="112" t="s">
        <v>1623</v>
      </c>
      <c r="B50" s="134">
        <v>12.08</v>
      </c>
      <c r="C50" s="134">
        <v>22.04</v>
      </c>
      <c r="D50" s="134">
        <v>20.149999999999999</v>
      </c>
      <c r="E50" s="134">
        <v>7.92</v>
      </c>
      <c r="F50" s="134">
        <v>4.4000000000000004</v>
      </c>
      <c r="G50" s="134">
        <v>29.11</v>
      </c>
      <c r="H50" s="134">
        <v>6.44</v>
      </c>
      <c r="I50" s="134">
        <v>3.99</v>
      </c>
      <c r="J50" s="134">
        <v>0.49</v>
      </c>
      <c r="K50" s="134">
        <v>274.45</v>
      </c>
      <c r="L50" s="134">
        <v>29.36</v>
      </c>
      <c r="M50" s="134">
        <v>75.459999999999994</v>
      </c>
      <c r="N50" s="134">
        <v>340.7</v>
      </c>
      <c r="O50" s="134">
        <v>0</v>
      </c>
      <c r="P50" s="134">
        <v>0.46</v>
      </c>
      <c r="Q50" s="134">
        <v>4.51</v>
      </c>
    </row>
    <row r="51" spans="1:17" customFormat="1">
      <c r="A51" s="112" t="s">
        <v>1624</v>
      </c>
      <c r="B51" s="134">
        <v>11.6</v>
      </c>
      <c r="C51" s="134">
        <v>22.04</v>
      </c>
      <c r="D51" s="134">
        <v>19.77</v>
      </c>
      <c r="E51" s="134">
        <v>7.78</v>
      </c>
      <c r="F51" s="134">
        <v>5.09</v>
      </c>
      <c r="G51" s="134">
        <v>29.11</v>
      </c>
      <c r="H51" s="134">
        <v>6.44</v>
      </c>
      <c r="I51" s="134">
        <v>4.0999999999999996</v>
      </c>
      <c r="J51" s="134">
        <v>0.6</v>
      </c>
      <c r="K51" s="134">
        <v>274.41000000000003</v>
      </c>
      <c r="L51" s="134">
        <v>30.48</v>
      </c>
      <c r="M51" s="134">
        <v>72.150000000000006</v>
      </c>
      <c r="N51" s="134">
        <v>482.7</v>
      </c>
      <c r="O51" s="134">
        <v>0</v>
      </c>
      <c r="P51" s="134">
        <v>0.46</v>
      </c>
      <c r="Q51" s="134">
        <v>4.49</v>
      </c>
    </row>
    <row r="52" spans="1:17" customFormat="1">
      <c r="A52" s="112" t="s">
        <v>1625</v>
      </c>
      <c r="B52" s="134">
        <v>11.13</v>
      </c>
      <c r="C52" s="134">
        <v>21.89</v>
      </c>
      <c r="D52" s="134">
        <v>19.32</v>
      </c>
      <c r="E52" s="134">
        <v>7.7</v>
      </c>
      <c r="F52" s="134">
        <v>5.5</v>
      </c>
      <c r="G52" s="134">
        <v>29.11</v>
      </c>
      <c r="H52" s="134">
        <v>6.44</v>
      </c>
      <c r="I52" s="134">
        <v>4.09</v>
      </c>
      <c r="J52" s="134">
        <v>0.49</v>
      </c>
      <c r="K52" s="134">
        <v>270.33</v>
      </c>
      <c r="L52" s="134">
        <v>30.6</v>
      </c>
      <c r="M52" s="134">
        <v>71.7</v>
      </c>
      <c r="N52" s="134">
        <v>401.9</v>
      </c>
      <c r="O52" s="134">
        <v>0</v>
      </c>
      <c r="P52" s="134">
        <v>0.47</v>
      </c>
      <c r="Q52" s="134">
        <v>4.4800000000000004</v>
      </c>
    </row>
    <row r="53" spans="1:17" customFormat="1">
      <c r="A53" s="112" t="s">
        <v>1626</v>
      </c>
      <c r="B53" s="134">
        <v>10.57</v>
      </c>
      <c r="C53" s="134">
        <v>21.85</v>
      </c>
      <c r="D53" s="134">
        <v>18.850000000000001</v>
      </c>
      <c r="E53" s="134">
        <v>8.2899999999999991</v>
      </c>
      <c r="F53" s="134">
        <v>6.03</v>
      </c>
      <c r="G53" s="134">
        <v>31.6</v>
      </c>
      <c r="H53" s="134">
        <v>7.13</v>
      </c>
      <c r="I53" s="134">
        <v>4.18</v>
      </c>
      <c r="J53" s="134">
        <v>0.68</v>
      </c>
      <c r="K53" s="134">
        <v>265.49</v>
      </c>
      <c r="L53" s="134">
        <v>30.47</v>
      </c>
      <c r="M53" s="134">
        <v>70.930000000000007</v>
      </c>
      <c r="N53" s="134">
        <v>307.10000000000002</v>
      </c>
      <c r="O53" s="134">
        <v>0</v>
      </c>
      <c r="P53" s="134">
        <v>0.47</v>
      </c>
      <c r="Q53" s="134">
        <v>4.4400000000000004</v>
      </c>
    </row>
    <row r="54" spans="1:17" customFormat="1">
      <c r="A54" s="112" t="s">
        <v>1627</v>
      </c>
      <c r="B54" s="134">
        <v>10.1</v>
      </c>
      <c r="C54" s="134">
        <v>22.34</v>
      </c>
      <c r="D54" s="134">
        <v>18.73</v>
      </c>
      <c r="E54" s="134">
        <v>8.1300000000000008</v>
      </c>
      <c r="F54" s="134">
        <v>7.3</v>
      </c>
      <c r="G54" s="134">
        <v>32.61</v>
      </c>
      <c r="H54" s="134">
        <v>7.17</v>
      </c>
      <c r="I54" s="134">
        <v>4.22</v>
      </c>
      <c r="J54" s="134">
        <v>0.48</v>
      </c>
      <c r="K54" s="134">
        <v>293.11</v>
      </c>
      <c r="L54" s="134">
        <v>30.48</v>
      </c>
      <c r="M54" s="134">
        <v>71.489999999999995</v>
      </c>
      <c r="N54" s="134">
        <v>494.3</v>
      </c>
      <c r="O54" s="134">
        <v>0</v>
      </c>
      <c r="P54" s="134">
        <v>0.49</v>
      </c>
      <c r="Q54" s="134">
        <v>4.42</v>
      </c>
    </row>
    <row r="55" spans="1:17" customFormat="1">
      <c r="A55" s="112" t="s">
        <v>1628</v>
      </c>
      <c r="B55" s="134">
        <v>9.73</v>
      </c>
      <c r="C55" s="134">
        <v>22.41</v>
      </c>
      <c r="D55" s="134">
        <v>18.46</v>
      </c>
      <c r="E55" s="134">
        <v>8.31</v>
      </c>
      <c r="F55" s="134">
        <v>6.9</v>
      </c>
      <c r="G55" s="134">
        <v>32.61</v>
      </c>
      <c r="H55" s="134">
        <v>7.17</v>
      </c>
      <c r="I55" s="134">
        <v>4.2699999999999996</v>
      </c>
      <c r="J55" s="134">
        <v>0.57999999999999996</v>
      </c>
      <c r="K55" s="134">
        <v>284.66000000000003</v>
      </c>
      <c r="L55" s="134">
        <v>30.45</v>
      </c>
      <c r="M55" s="134">
        <v>71.36</v>
      </c>
      <c r="N55" s="134">
        <v>450.9</v>
      </c>
      <c r="O55" s="134">
        <v>0</v>
      </c>
      <c r="P55" s="134">
        <v>0.49</v>
      </c>
      <c r="Q55" s="134">
        <v>4.4000000000000004</v>
      </c>
    </row>
    <row r="56" spans="1:17" customFormat="1">
      <c r="A56" s="112" t="s">
        <v>1629</v>
      </c>
      <c r="B56" s="134">
        <v>10.16</v>
      </c>
      <c r="C56" s="134">
        <v>23.73</v>
      </c>
      <c r="D56" s="134">
        <v>19.5</v>
      </c>
      <c r="E56" s="134">
        <v>8.6199999999999992</v>
      </c>
      <c r="F56" s="134">
        <v>8.0299999999999994</v>
      </c>
      <c r="G56" s="134">
        <v>32.61</v>
      </c>
      <c r="H56" s="134">
        <v>7.17</v>
      </c>
      <c r="I56" s="134">
        <v>4.34</v>
      </c>
      <c r="J56" s="134">
        <v>0.49</v>
      </c>
      <c r="K56" s="134">
        <v>287.3</v>
      </c>
      <c r="L56" s="134">
        <v>31.42</v>
      </c>
      <c r="M56" s="134">
        <v>68.09</v>
      </c>
      <c r="N56" s="134">
        <v>626.29999999999995</v>
      </c>
      <c r="O56" s="134">
        <v>0</v>
      </c>
      <c r="P56" s="134">
        <v>0.49</v>
      </c>
      <c r="Q56" s="134">
        <v>4.37</v>
      </c>
    </row>
    <row r="57" spans="1:17" customFormat="1">
      <c r="A57" s="112" t="s">
        <v>1630</v>
      </c>
      <c r="B57" s="134">
        <v>9.2899999999999991</v>
      </c>
      <c r="C57" s="134">
        <v>22.48</v>
      </c>
      <c r="D57" s="134">
        <v>18.149999999999999</v>
      </c>
      <c r="E57" s="134">
        <v>8.86</v>
      </c>
      <c r="F57" s="134">
        <v>9.17</v>
      </c>
      <c r="G57" s="134">
        <v>35.700000000000003</v>
      </c>
      <c r="H57" s="134">
        <v>10.23</v>
      </c>
      <c r="I57" s="134">
        <v>4.34</v>
      </c>
      <c r="J57" s="134">
        <v>0.59</v>
      </c>
      <c r="K57" s="134">
        <v>294.63</v>
      </c>
      <c r="L57" s="134">
        <v>31.61</v>
      </c>
      <c r="M57" s="134">
        <v>64.81</v>
      </c>
      <c r="N57" s="134">
        <v>603.70000000000005</v>
      </c>
      <c r="O57" s="134">
        <v>0</v>
      </c>
      <c r="P57" s="134">
        <v>0.5</v>
      </c>
      <c r="Q57" s="134">
        <v>4.3600000000000003</v>
      </c>
    </row>
    <row r="58" spans="1:17" customFormat="1">
      <c r="A58" s="112" t="s">
        <v>1631</v>
      </c>
      <c r="B58" s="134">
        <v>8.82</v>
      </c>
      <c r="C58" s="134">
        <v>22.96</v>
      </c>
      <c r="D58" s="134">
        <v>18.02</v>
      </c>
      <c r="E58" s="134">
        <v>8.11</v>
      </c>
      <c r="F58" s="134">
        <v>6.59</v>
      </c>
      <c r="G58" s="134">
        <v>36.96</v>
      </c>
      <c r="H58" s="134">
        <v>10.37</v>
      </c>
      <c r="I58" s="134">
        <v>4.34</v>
      </c>
      <c r="J58" s="134">
        <v>0.69</v>
      </c>
      <c r="K58" s="134">
        <v>258.99</v>
      </c>
      <c r="L58" s="134">
        <v>31.78</v>
      </c>
      <c r="M58" s="134">
        <v>65.47</v>
      </c>
      <c r="N58" s="134">
        <v>604.1</v>
      </c>
      <c r="O58" s="134">
        <v>0</v>
      </c>
      <c r="P58" s="134">
        <v>0.49</v>
      </c>
      <c r="Q58" s="134">
        <v>4.37</v>
      </c>
    </row>
    <row r="59" spans="1:17" customFormat="1">
      <c r="A59" s="112" t="s">
        <v>1632</v>
      </c>
      <c r="B59" s="134">
        <v>8.27</v>
      </c>
      <c r="C59" s="134">
        <v>22.91</v>
      </c>
      <c r="D59" s="134">
        <v>17.559999999999999</v>
      </c>
      <c r="E59" s="134">
        <v>7.69</v>
      </c>
      <c r="F59" s="134">
        <v>6.75</v>
      </c>
      <c r="G59" s="134">
        <v>36.96</v>
      </c>
      <c r="H59" s="134">
        <v>10.37</v>
      </c>
      <c r="I59" s="134">
        <v>4.32</v>
      </c>
      <c r="J59" s="134">
        <v>0.75</v>
      </c>
      <c r="K59" s="134">
        <v>275.54000000000002</v>
      </c>
      <c r="L59" s="134">
        <v>32.200000000000003</v>
      </c>
      <c r="M59" s="134">
        <v>62.32</v>
      </c>
      <c r="N59" s="134">
        <v>721.1</v>
      </c>
      <c r="O59" s="134">
        <v>0</v>
      </c>
      <c r="P59" s="134">
        <v>0.49</v>
      </c>
      <c r="Q59" s="134">
        <v>4.3</v>
      </c>
    </row>
    <row r="60" spans="1:17" customFormat="1">
      <c r="A60" s="112" t="s">
        <v>1633</v>
      </c>
      <c r="B60" s="134">
        <v>7.79</v>
      </c>
      <c r="C60" s="134">
        <v>22.86</v>
      </c>
      <c r="D60" s="134">
        <v>17.149999999999999</v>
      </c>
      <c r="E60" s="134">
        <v>7.23</v>
      </c>
      <c r="F60" s="134">
        <v>6.47</v>
      </c>
      <c r="G60" s="134">
        <v>36.96</v>
      </c>
      <c r="H60" s="134">
        <v>10.37</v>
      </c>
      <c r="I60" s="134">
        <v>4.3600000000000003</v>
      </c>
      <c r="J60" s="134">
        <v>0.48</v>
      </c>
      <c r="K60" s="134">
        <v>261.76</v>
      </c>
      <c r="L60" s="134">
        <v>31.71</v>
      </c>
      <c r="M60" s="134">
        <v>66.67</v>
      </c>
      <c r="N60" s="134">
        <v>289</v>
      </c>
      <c r="O60" s="134">
        <v>0</v>
      </c>
      <c r="P60" s="134">
        <v>0.49</v>
      </c>
      <c r="Q60" s="134">
        <v>4.29</v>
      </c>
    </row>
    <row r="61" spans="1:17" customFormat="1">
      <c r="A61" s="112" t="s">
        <v>1634</v>
      </c>
      <c r="B61" s="134">
        <v>7.26</v>
      </c>
      <c r="C61" s="134">
        <v>21.95</v>
      </c>
      <c r="D61" s="134">
        <v>16.25</v>
      </c>
      <c r="E61" s="134">
        <v>7.84</v>
      </c>
      <c r="F61" s="134">
        <v>8.98</v>
      </c>
      <c r="G61" s="134">
        <v>38.15</v>
      </c>
      <c r="H61" s="134">
        <v>12.25</v>
      </c>
      <c r="I61" s="134">
        <v>4.28</v>
      </c>
      <c r="J61" s="134">
        <v>0.78</v>
      </c>
      <c r="K61" s="134">
        <v>272.85000000000002</v>
      </c>
      <c r="L61" s="134">
        <v>31.6</v>
      </c>
      <c r="M61" s="134">
        <v>65.83</v>
      </c>
      <c r="N61" s="134">
        <v>544.20000000000005</v>
      </c>
      <c r="O61" s="134">
        <v>0</v>
      </c>
      <c r="P61" s="134">
        <v>0.47</v>
      </c>
      <c r="Q61" s="134">
        <v>4.26</v>
      </c>
    </row>
    <row r="62" spans="1:17" customFormat="1">
      <c r="A62" s="112" t="s">
        <v>1635</v>
      </c>
      <c r="B62" s="134">
        <v>6.96</v>
      </c>
      <c r="C62" s="134">
        <v>22.41</v>
      </c>
      <c r="D62" s="134">
        <v>16.239999999999998</v>
      </c>
      <c r="E62" s="134">
        <v>7.48</v>
      </c>
      <c r="F62" s="134">
        <v>6.85</v>
      </c>
      <c r="G62" s="134">
        <v>38.630000000000003</v>
      </c>
      <c r="H62" s="134">
        <v>12.34</v>
      </c>
      <c r="I62" s="134">
        <v>4.26</v>
      </c>
      <c r="J62" s="134">
        <v>0.68</v>
      </c>
      <c r="K62" s="134">
        <v>279.04000000000002</v>
      </c>
      <c r="L62" s="134">
        <v>32.07</v>
      </c>
      <c r="M62" s="134">
        <v>62.51</v>
      </c>
      <c r="N62" s="134">
        <v>728.3</v>
      </c>
      <c r="O62" s="134">
        <v>0</v>
      </c>
      <c r="P62" s="134">
        <v>0.47</v>
      </c>
      <c r="Q62" s="134">
        <v>4.24</v>
      </c>
    </row>
    <row r="63" spans="1:17" customFormat="1">
      <c r="A63" s="112" t="s">
        <v>1636</v>
      </c>
      <c r="B63" s="134">
        <v>6.77</v>
      </c>
      <c r="C63" s="134">
        <v>23.08</v>
      </c>
      <c r="D63" s="134">
        <v>16.45</v>
      </c>
      <c r="E63" s="134">
        <v>6.98</v>
      </c>
      <c r="F63" s="134">
        <v>5</v>
      </c>
      <c r="G63" s="134">
        <v>38.630000000000003</v>
      </c>
      <c r="H63" s="134">
        <v>12.34</v>
      </c>
      <c r="I63" s="134">
        <v>4.16</v>
      </c>
      <c r="J63" s="134">
        <v>0.67</v>
      </c>
      <c r="K63" s="134">
        <v>268.89999999999998</v>
      </c>
      <c r="L63" s="134">
        <v>32.64</v>
      </c>
      <c r="M63" s="134">
        <v>59.85</v>
      </c>
      <c r="N63" s="134">
        <v>712.8</v>
      </c>
      <c r="O63" s="134">
        <v>0</v>
      </c>
      <c r="P63" s="134">
        <v>0.5</v>
      </c>
      <c r="Q63" s="134">
        <v>4.2</v>
      </c>
    </row>
    <row r="64" spans="1:17" customFormat="1">
      <c r="A64" s="112" t="s">
        <v>1637</v>
      </c>
      <c r="B64" s="134">
        <v>6.26</v>
      </c>
      <c r="C64" s="134">
        <v>24.77</v>
      </c>
      <c r="D64" s="134">
        <v>16.920000000000002</v>
      </c>
      <c r="E64" s="134">
        <v>7.07</v>
      </c>
      <c r="F64" s="134">
        <v>3.68</v>
      </c>
      <c r="G64" s="134">
        <v>38.630000000000003</v>
      </c>
      <c r="H64" s="134">
        <v>12.34</v>
      </c>
      <c r="I64" s="134">
        <v>4.22</v>
      </c>
      <c r="J64" s="134">
        <v>0.73</v>
      </c>
      <c r="K64" s="134">
        <v>277.52999999999997</v>
      </c>
      <c r="L64" s="134">
        <v>32.39</v>
      </c>
      <c r="M64" s="134">
        <v>59.06</v>
      </c>
      <c r="N64" s="134">
        <v>679</v>
      </c>
      <c r="O64" s="134">
        <v>0</v>
      </c>
      <c r="P64" s="134">
        <v>0.54</v>
      </c>
      <c r="Q64" s="134">
        <v>4.1900000000000004</v>
      </c>
    </row>
    <row r="65" spans="1:17" customFormat="1">
      <c r="A65" s="112" t="s">
        <v>1638</v>
      </c>
      <c r="B65" s="134">
        <v>5.98</v>
      </c>
      <c r="C65" s="134">
        <v>25.3</v>
      </c>
      <c r="D65" s="134">
        <v>16.97</v>
      </c>
      <c r="E65" s="134">
        <v>7.45</v>
      </c>
      <c r="F65" s="134">
        <v>5.95</v>
      </c>
      <c r="G65" s="134">
        <v>35.020000000000003</v>
      </c>
      <c r="H65" s="134">
        <v>10.6</v>
      </c>
      <c r="I65" s="134">
        <v>4.3099999999999996</v>
      </c>
      <c r="J65" s="134">
        <v>0.61</v>
      </c>
      <c r="K65" s="134">
        <v>322.76</v>
      </c>
      <c r="L65" s="134">
        <v>32.74</v>
      </c>
      <c r="M65" s="134">
        <v>58.19</v>
      </c>
      <c r="N65" s="134">
        <v>678.3</v>
      </c>
      <c r="O65" s="134">
        <v>0</v>
      </c>
      <c r="P65" s="134">
        <v>0.43</v>
      </c>
      <c r="Q65" s="134">
        <v>4.25</v>
      </c>
    </row>
    <row r="66" spans="1:17" customFormat="1">
      <c r="A66" s="112" t="s">
        <v>1639</v>
      </c>
      <c r="B66" s="134">
        <v>6.26</v>
      </c>
      <c r="C66" s="134">
        <v>23.95</v>
      </c>
      <c r="D66" s="134">
        <v>16.489999999999998</v>
      </c>
      <c r="E66" s="134">
        <v>6.88</v>
      </c>
      <c r="F66" s="134">
        <v>6.95</v>
      </c>
      <c r="G66" s="134">
        <v>33.549999999999997</v>
      </c>
      <c r="H66" s="134">
        <v>10.47</v>
      </c>
      <c r="I66" s="134">
        <v>4.29</v>
      </c>
      <c r="J66" s="134">
        <v>0.7</v>
      </c>
      <c r="K66" s="134">
        <v>303.32</v>
      </c>
      <c r="L66" s="134">
        <v>32.61</v>
      </c>
      <c r="M66" s="134">
        <v>58.26</v>
      </c>
      <c r="N66" s="134">
        <v>664.2</v>
      </c>
      <c r="O66" s="134">
        <v>0</v>
      </c>
      <c r="P66" s="134">
        <v>0.42</v>
      </c>
      <c r="Q66" s="134">
        <v>4.25</v>
      </c>
    </row>
    <row r="67" spans="1:17" customFormat="1">
      <c r="A67" s="112" t="s">
        <v>1640</v>
      </c>
      <c r="B67" s="134">
        <v>6.34</v>
      </c>
      <c r="C67" s="134">
        <v>22.98</v>
      </c>
      <c r="D67" s="134">
        <v>16.04</v>
      </c>
      <c r="E67" s="134">
        <v>6.83</v>
      </c>
      <c r="F67" s="134">
        <v>7.34</v>
      </c>
      <c r="G67" s="134">
        <v>33.549999999999997</v>
      </c>
      <c r="H67" s="134">
        <v>10.47</v>
      </c>
      <c r="I67" s="134">
        <v>4.1100000000000003</v>
      </c>
      <c r="J67" s="134">
        <v>0.61</v>
      </c>
      <c r="K67" s="134">
        <v>284.68</v>
      </c>
      <c r="L67" s="134">
        <v>32.71</v>
      </c>
      <c r="M67" s="134">
        <v>60.27</v>
      </c>
      <c r="N67" s="134">
        <v>562.9</v>
      </c>
      <c r="O67" s="134">
        <v>0</v>
      </c>
      <c r="P67" s="134">
        <v>0.4</v>
      </c>
      <c r="Q67" s="134">
        <v>4.21</v>
      </c>
    </row>
    <row r="68" spans="1:17" customFormat="1">
      <c r="A68" s="112" t="s">
        <v>1641</v>
      </c>
      <c r="B68" s="134">
        <v>6</v>
      </c>
      <c r="C68" s="134">
        <v>22.24</v>
      </c>
      <c r="D68" s="134">
        <v>15.39</v>
      </c>
      <c r="E68" s="134">
        <v>7.23</v>
      </c>
      <c r="F68" s="134">
        <v>8.73</v>
      </c>
      <c r="G68" s="134">
        <v>33.549999999999997</v>
      </c>
      <c r="H68" s="134">
        <v>10.47</v>
      </c>
      <c r="I68" s="134">
        <v>4.03</v>
      </c>
      <c r="J68" s="134">
        <v>0.59</v>
      </c>
      <c r="K68" s="134">
        <v>287.22000000000003</v>
      </c>
      <c r="L68" s="134">
        <v>32.590000000000003</v>
      </c>
      <c r="M68" s="134">
        <v>60.3</v>
      </c>
      <c r="N68" s="134">
        <v>502.6</v>
      </c>
      <c r="O68" s="134">
        <v>0</v>
      </c>
      <c r="P68" s="134">
        <v>0.38</v>
      </c>
      <c r="Q68" s="134">
        <v>4.18</v>
      </c>
    </row>
    <row r="69" spans="1:17" customFormat="1">
      <c r="A69" s="112" t="s">
        <v>1642</v>
      </c>
      <c r="B69" s="134">
        <v>5.69</v>
      </c>
      <c r="C69" s="134">
        <v>21.44</v>
      </c>
      <c r="D69" s="134">
        <v>14.72</v>
      </c>
      <c r="E69" s="134">
        <v>7.66</v>
      </c>
      <c r="F69" s="134">
        <v>11.92</v>
      </c>
      <c r="G69" s="134">
        <v>34.369999999999997</v>
      </c>
      <c r="H69" s="134">
        <v>8.48</v>
      </c>
      <c r="I69" s="134">
        <v>4.03</v>
      </c>
      <c r="J69" s="134">
        <v>0.67</v>
      </c>
      <c r="K69" s="134">
        <v>270.48</v>
      </c>
      <c r="L69" s="134">
        <v>32.49</v>
      </c>
      <c r="M69" s="134">
        <v>60.13</v>
      </c>
      <c r="N69" s="134">
        <v>458</v>
      </c>
      <c r="O69" s="134">
        <v>0</v>
      </c>
      <c r="P69" s="134">
        <v>0.39</v>
      </c>
      <c r="Q69" s="134">
        <v>4.1500000000000004</v>
      </c>
    </row>
    <row r="70" spans="1:17" customFormat="1">
      <c r="A70" s="112" t="s">
        <v>1643</v>
      </c>
      <c r="B70" s="134">
        <v>5.5</v>
      </c>
      <c r="C70" s="134">
        <v>21.86</v>
      </c>
      <c r="D70" s="134">
        <v>14.79</v>
      </c>
      <c r="E70" s="134">
        <v>7.35</v>
      </c>
      <c r="F70" s="134">
        <v>7.66</v>
      </c>
      <c r="G70" s="134">
        <v>34.700000000000003</v>
      </c>
      <c r="H70" s="134">
        <v>8.39</v>
      </c>
      <c r="I70" s="134">
        <v>3.97</v>
      </c>
      <c r="J70" s="134">
        <v>0.56000000000000005</v>
      </c>
      <c r="K70" s="134">
        <v>257.33999999999997</v>
      </c>
      <c r="L70" s="134">
        <v>32.74</v>
      </c>
      <c r="M70" s="134">
        <v>60.14</v>
      </c>
      <c r="N70" s="134">
        <v>464.5</v>
      </c>
      <c r="O70" s="134">
        <v>0</v>
      </c>
      <c r="P70" s="134">
        <v>0.41</v>
      </c>
      <c r="Q70" s="134">
        <v>4.1399999999999997</v>
      </c>
    </row>
    <row r="71" spans="1:17" customFormat="1">
      <c r="A71" s="112" t="s">
        <v>1644</v>
      </c>
      <c r="B71" s="134">
        <v>5.27</v>
      </c>
      <c r="C71" s="134">
        <v>22.29</v>
      </c>
      <c r="D71" s="134">
        <v>14.82</v>
      </c>
      <c r="E71" s="134">
        <v>7.94</v>
      </c>
      <c r="F71" s="134">
        <v>8.5500000000000007</v>
      </c>
      <c r="G71" s="134">
        <v>34.700000000000003</v>
      </c>
      <c r="H71" s="134">
        <v>8.39</v>
      </c>
      <c r="I71" s="134">
        <v>3.98</v>
      </c>
      <c r="J71" s="134">
        <v>0.61</v>
      </c>
      <c r="K71" s="134">
        <v>271.07</v>
      </c>
      <c r="L71" s="134">
        <v>32.53</v>
      </c>
      <c r="M71" s="134">
        <v>60.42</v>
      </c>
      <c r="N71" s="134">
        <v>455.1</v>
      </c>
      <c r="O71" s="134">
        <v>0</v>
      </c>
      <c r="P71" s="134">
        <v>0.42</v>
      </c>
      <c r="Q71" s="134">
        <v>4.16</v>
      </c>
    </row>
    <row r="72" spans="1:17" customFormat="1">
      <c r="A72" s="112" t="s">
        <v>1645</v>
      </c>
      <c r="B72" s="134">
        <v>5.1100000000000003</v>
      </c>
      <c r="C72" s="134">
        <v>22.51</v>
      </c>
      <c r="D72" s="134">
        <v>14.81</v>
      </c>
      <c r="E72" s="134">
        <v>8.81</v>
      </c>
      <c r="F72" s="134">
        <v>8.44</v>
      </c>
      <c r="G72" s="134">
        <v>34.700000000000003</v>
      </c>
      <c r="H72" s="134">
        <v>8.39</v>
      </c>
      <c r="I72" s="134">
        <v>4.07</v>
      </c>
      <c r="J72" s="134">
        <v>0.65</v>
      </c>
      <c r="K72" s="134">
        <v>291.77999999999997</v>
      </c>
      <c r="L72" s="134">
        <v>32.729999999999997</v>
      </c>
      <c r="M72" s="134">
        <v>59.5</v>
      </c>
      <c r="N72" s="134">
        <v>397.7</v>
      </c>
      <c r="O72" s="134">
        <v>0</v>
      </c>
      <c r="P72" s="134">
        <v>0.44</v>
      </c>
      <c r="Q72" s="134">
        <v>4.12</v>
      </c>
    </row>
    <row r="73" spans="1:17" customFormat="1">
      <c r="A73" s="112" t="s">
        <v>1646</v>
      </c>
      <c r="B73" s="134">
        <v>4.83</v>
      </c>
      <c r="C73" s="134">
        <v>21.6</v>
      </c>
      <c r="D73" s="134">
        <v>14.11</v>
      </c>
      <c r="E73" s="134">
        <v>9.83</v>
      </c>
      <c r="F73" s="134">
        <v>13.28</v>
      </c>
      <c r="G73" s="134">
        <v>35.79</v>
      </c>
      <c r="H73" s="134">
        <v>8.81</v>
      </c>
      <c r="I73" s="134">
        <v>4</v>
      </c>
      <c r="J73" s="134">
        <v>0.78</v>
      </c>
      <c r="K73" s="134">
        <v>272.64999999999998</v>
      </c>
      <c r="L73" s="134">
        <v>32.39</v>
      </c>
      <c r="M73" s="134">
        <v>60.08</v>
      </c>
      <c r="N73" s="134">
        <v>339.6</v>
      </c>
      <c r="O73" s="134">
        <v>0</v>
      </c>
      <c r="P73" s="134">
        <v>0.42</v>
      </c>
      <c r="Q73" s="134">
        <v>4.13</v>
      </c>
    </row>
    <row r="74" spans="1:17" customFormat="1">
      <c r="A74" s="112" t="s">
        <v>1647</v>
      </c>
      <c r="B74" s="134">
        <v>4.63</v>
      </c>
      <c r="C74" s="134">
        <v>20.420000000000002</v>
      </c>
      <c r="D74" s="134">
        <v>13.33</v>
      </c>
      <c r="E74" s="134">
        <v>11.15</v>
      </c>
      <c r="F74" s="134">
        <v>13.5</v>
      </c>
      <c r="G74" s="134">
        <v>36.229999999999997</v>
      </c>
      <c r="H74" s="134">
        <v>8.83</v>
      </c>
      <c r="I74" s="134">
        <v>3.91</v>
      </c>
      <c r="J74" s="134">
        <v>0.77</v>
      </c>
      <c r="K74" s="134">
        <v>263.85000000000002</v>
      </c>
      <c r="L74" s="134">
        <v>32.1</v>
      </c>
      <c r="M74" s="134">
        <v>60.8</v>
      </c>
      <c r="N74" s="134">
        <v>246.2</v>
      </c>
      <c r="O74" s="134">
        <v>0</v>
      </c>
      <c r="P74" s="134">
        <v>0.41</v>
      </c>
      <c r="Q74" s="134">
        <v>4.1100000000000003</v>
      </c>
    </row>
    <row r="75" spans="1:17" customFormat="1">
      <c r="A75" s="112" t="s">
        <v>1648</v>
      </c>
      <c r="B75" s="134">
        <v>4.43</v>
      </c>
      <c r="C75" s="134">
        <v>20.260000000000002</v>
      </c>
      <c r="D75" s="134">
        <v>13.09</v>
      </c>
      <c r="E75" s="134">
        <v>11.12</v>
      </c>
      <c r="F75" s="134">
        <v>13.59</v>
      </c>
      <c r="G75" s="134">
        <v>36.229999999999997</v>
      </c>
      <c r="H75" s="134">
        <v>8.83</v>
      </c>
      <c r="I75" s="134">
        <v>3.81</v>
      </c>
      <c r="J75" s="134">
        <v>0.65</v>
      </c>
      <c r="K75" s="134">
        <v>262</v>
      </c>
      <c r="L75" s="134">
        <v>31.88</v>
      </c>
      <c r="M75" s="134">
        <v>61.79</v>
      </c>
      <c r="N75" s="134">
        <v>117.1</v>
      </c>
      <c r="O75" s="134">
        <v>0</v>
      </c>
      <c r="P75" s="134">
        <v>0.39</v>
      </c>
      <c r="Q75" s="134">
        <v>4.09</v>
      </c>
    </row>
    <row r="76" spans="1:17" customFormat="1">
      <c r="A76" s="112" t="s">
        <v>1649</v>
      </c>
      <c r="B76" s="134">
        <v>4.7300000000000004</v>
      </c>
      <c r="C76" s="134">
        <v>20.66</v>
      </c>
      <c r="D76" s="134">
        <v>13.54</v>
      </c>
      <c r="E76" s="134">
        <v>11.69</v>
      </c>
      <c r="F76" s="134">
        <v>13.52</v>
      </c>
      <c r="G76" s="134">
        <v>36.229999999999997</v>
      </c>
      <c r="H76" s="134">
        <v>8.83</v>
      </c>
      <c r="I76" s="134">
        <v>3.73</v>
      </c>
      <c r="J76" s="134">
        <v>0.62</v>
      </c>
      <c r="K76" s="134">
        <v>284.13</v>
      </c>
      <c r="L76" s="134">
        <v>31.56</v>
      </c>
      <c r="M76" s="134">
        <v>61.56</v>
      </c>
      <c r="N76" s="134">
        <v>96.1</v>
      </c>
      <c r="O76" s="134">
        <v>0</v>
      </c>
      <c r="P76" s="134">
        <v>0.43</v>
      </c>
      <c r="Q76" s="134">
        <v>4.07</v>
      </c>
    </row>
    <row r="77" spans="1:17" customFormat="1">
      <c r="A77" s="112" t="s">
        <v>1650</v>
      </c>
      <c r="B77" s="134">
        <v>4.49</v>
      </c>
      <c r="C77" s="134">
        <v>18.93</v>
      </c>
      <c r="D77" s="134">
        <v>12.45</v>
      </c>
      <c r="E77" s="134">
        <v>11.95</v>
      </c>
      <c r="F77" s="134">
        <v>16.79</v>
      </c>
      <c r="G77" s="134">
        <v>37.130000000000003</v>
      </c>
      <c r="H77" s="134">
        <v>11.56</v>
      </c>
      <c r="I77" s="134">
        <v>3.7</v>
      </c>
      <c r="J77" s="134">
        <v>0.46</v>
      </c>
      <c r="K77" s="134">
        <v>263.47000000000003</v>
      </c>
      <c r="L77" s="134">
        <v>31.4</v>
      </c>
      <c r="M77" s="134">
        <v>63.94</v>
      </c>
      <c r="N77" s="134">
        <v>86.9</v>
      </c>
      <c r="O77" s="134">
        <v>0</v>
      </c>
      <c r="P77" s="134">
        <v>0.38</v>
      </c>
      <c r="Q77" s="134">
        <v>4.08</v>
      </c>
    </row>
    <row r="78" spans="1:17" customFormat="1">
      <c r="A78" s="112" t="s">
        <v>1651</v>
      </c>
      <c r="B78" s="134">
        <v>4.49</v>
      </c>
      <c r="C78" s="134">
        <v>19.329999999999998</v>
      </c>
      <c r="D78" s="134">
        <v>12.65</v>
      </c>
      <c r="E78" s="134">
        <v>9.9700000000000006</v>
      </c>
      <c r="F78" s="134">
        <v>11.98</v>
      </c>
      <c r="G78" s="134">
        <v>37.51</v>
      </c>
      <c r="H78" s="134">
        <v>11.69</v>
      </c>
      <c r="I78" s="134">
        <v>3.62</v>
      </c>
      <c r="J78" s="134">
        <v>0.49</v>
      </c>
      <c r="K78" s="134">
        <v>261.98</v>
      </c>
      <c r="L78" s="134">
        <v>31.18</v>
      </c>
      <c r="M78" s="134">
        <v>64.72</v>
      </c>
      <c r="N78" s="134">
        <v>63</v>
      </c>
      <c r="O78" s="134">
        <v>0</v>
      </c>
      <c r="P78" s="134">
        <v>0.38</v>
      </c>
      <c r="Q78" s="134">
        <v>4.07</v>
      </c>
    </row>
    <row r="79" spans="1:17" customFormat="1">
      <c r="A79" s="112" t="s">
        <v>1652</v>
      </c>
      <c r="B79" s="134">
        <v>4.4400000000000004</v>
      </c>
      <c r="C79" s="134">
        <v>18.68</v>
      </c>
      <c r="D79" s="134">
        <v>12.28</v>
      </c>
      <c r="E79" s="134">
        <v>9.09</v>
      </c>
      <c r="F79" s="134">
        <v>12.52</v>
      </c>
      <c r="G79" s="134">
        <v>37.51</v>
      </c>
      <c r="H79" s="134">
        <v>11.69</v>
      </c>
      <c r="I79" s="134">
        <v>3.46</v>
      </c>
      <c r="J79" s="134">
        <v>0.46</v>
      </c>
      <c r="K79" s="134">
        <v>264.52999999999997</v>
      </c>
      <c r="L79" s="134">
        <v>30.9</v>
      </c>
      <c r="M79" s="134">
        <v>65.64</v>
      </c>
      <c r="N79" s="134">
        <v>32.700000000000003</v>
      </c>
      <c r="O79" s="134">
        <v>0</v>
      </c>
      <c r="P79" s="134">
        <v>0.37</v>
      </c>
      <c r="Q79" s="134">
        <v>4.0599999999999996</v>
      </c>
    </row>
    <row r="80" spans="1:17" customFormat="1">
      <c r="A80" s="112" t="s">
        <v>1653</v>
      </c>
      <c r="B80" s="134">
        <v>4.38</v>
      </c>
      <c r="C80" s="134">
        <v>17.48</v>
      </c>
      <c r="D80" s="134">
        <v>11.6</v>
      </c>
      <c r="E80" s="134">
        <v>9.02</v>
      </c>
      <c r="F80" s="134">
        <v>14.1</v>
      </c>
      <c r="G80" s="134">
        <v>37.51</v>
      </c>
      <c r="H80" s="134">
        <v>11.69</v>
      </c>
      <c r="I80" s="134">
        <v>3.57</v>
      </c>
      <c r="J80" s="134">
        <v>0.35</v>
      </c>
      <c r="K80" s="134">
        <v>254.47</v>
      </c>
      <c r="L80" s="134">
        <v>30.66</v>
      </c>
      <c r="M80" s="134">
        <v>66.48</v>
      </c>
      <c r="N80" s="134">
        <v>18.3</v>
      </c>
      <c r="O80" s="134">
        <v>0</v>
      </c>
      <c r="P80" s="134">
        <v>0.36</v>
      </c>
      <c r="Q80" s="134">
        <v>4.03</v>
      </c>
    </row>
    <row r="81" spans="1:17" customFormat="1">
      <c r="A81" s="112" t="s">
        <v>1654</v>
      </c>
      <c r="B81" s="134">
        <v>4.66</v>
      </c>
      <c r="C81" s="134">
        <v>18.75</v>
      </c>
      <c r="D81" s="134">
        <v>12.49</v>
      </c>
      <c r="E81" s="134">
        <v>7.78</v>
      </c>
      <c r="F81" s="134">
        <v>9.7799999999999994</v>
      </c>
      <c r="G81" s="134">
        <v>34.22</v>
      </c>
      <c r="H81" s="134">
        <v>12.32</v>
      </c>
      <c r="I81" s="134">
        <v>3.38</v>
      </c>
      <c r="J81" s="134">
        <v>0.37</v>
      </c>
      <c r="K81" s="134">
        <v>254.95</v>
      </c>
      <c r="L81" s="134">
        <v>30.43</v>
      </c>
      <c r="M81" s="134">
        <v>67.22</v>
      </c>
      <c r="N81" s="134">
        <v>4.0999999999999996</v>
      </c>
      <c r="O81" s="134">
        <v>0</v>
      </c>
      <c r="P81" s="134">
        <v>0.38</v>
      </c>
      <c r="Q81" s="134">
        <v>4.0599999999999996</v>
      </c>
    </row>
    <row r="82" spans="1:17" customFormat="1">
      <c r="A82" s="112" t="s">
        <v>1655</v>
      </c>
      <c r="B82" s="134">
        <v>4.93</v>
      </c>
      <c r="C82" s="134">
        <v>19.760000000000002</v>
      </c>
      <c r="D82" s="134">
        <v>13.24</v>
      </c>
      <c r="E82" s="134">
        <v>8.1</v>
      </c>
      <c r="F82" s="134">
        <v>9.76</v>
      </c>
      <c r="G82" s="134">
        <v>32.89</v>
      </c>
      <c r="H82" s="134">
        <v>12.35</v>
      </c>
      <c r="I82" s="134">
        <v>3.25</v>
      </c>
      <c r="J82" s="134">
        <v>0.39</v>
      </c>
      <c r="K82" s="134">
        <v>255.54</v>
      </c>
      <c r="L82" s="134">
        <v>30.14</v>
      </c>
      <c r="M82" s="134">
        <v>68.150000000000006</v>
      </c>
      <c r="N82" s="134">
        <v>0</v>
      </c>
      <c r="O82" s="134">
        <v>0</v>
      </c>
      <c r="P82" s="134">
        <v>0.37</v>
      </c>
      <c r="Q82" s="134">
        <v>4.13</v>
      </c>
    </row>
    <row r="83" spans="1:17" customFormat="1">
      <c r="A83" s="112" t="s">
        <v>1656</v>
      </c>
      <c r="B83" s="134">
        <v>4.79</v>
      </c>
      <c r="C83" s="134">
        <v>18.170000000000002</v>
      </c>
      <c r="D83" s="134">
        <v>12.29</v>
      </c>
      <c r="E83" s="134">
        <v>8.43</v>
      </c>
      <c r="F83" s="134">
        <v>10.46</v>
      </c>
      <c r="G83" s="134">
        <v>32.89</v>
      </c>
      <c r="H83" s="134">
        <v>12.35</v>
      </c>
      <c r="I83" s="134">
        <v>3.37</v>
      </c>
      <c r="J83" s="134">
        <v>0.37</v>
      </c>
      <c r="K83" s="134">
        <v>261</v>
      </c>
      <c r="L83" s="134">
        <v>29.84</v>
      </c>
      <c r="M83" s="134">
        <v>69.86</v>
      </c>
      <c r="N83" s="134">
        <v>0</v>
      </c>
      <c r="O83" s="134">
        <v>0</v>
      </c>
      <c r="P83" s="134">
        <v>0.36</v>
      </c>
      <c r="Q83" s="134">
        <v>4.0999999999999996</v>
      </c>
    </row>
    <row r="84" spans="1:17" customFormat="1">
      <c r="A84" s="112" t="s">
        <v>1657</v>
      </c>
      <c r="B84" s="134">
        <v>5.47</v>
      </c>
      <c r="C84" s="134">
        <v>21.61</v>
      </c>
      <c r="D84" s="134">
        <v>14.63</v>
      </c>
      <c r="E84" s="134">
        <v>8.32</v>
      </c>
      <c r="F84" s="134">
        <v>4.62</v>
      </c>
      <c r="G84" s="134">
        <v>32.89</v>
      </c>
      <c r="H84" s="134">
        <v>12.35</v>
      </c>
      <c r="I84" s="134">
        <v>3.27</v>
      </c>
      <c r="J84" s="134">
        <v>0.2</v>
      </c>
      <c r="K84" s="134">
        <v>258.04000000000002</v>
      </c>
      <c r="L84" s="134">
        <v>29.64</v>
      </c>
      <c r="M84" s="134">
        <v>71.599999999999994</v>
      </c>
      <c r="N84" s="134">
        <v>0</v>
      </c>
      <c r="O84" s="134">
        <v>0</v>
      </c>
      <c r="P84" s="134">
        <v>0.42</v>
      </c>
      <c r="Q84" s="134">
        <v>4.07</v>
      </c>
    </row>
    <row r="85" spans="1:17" customFormat="1">
      <c r="A85" s="112" t="s">
        <v>1658</v>
      </c>
      <c r="B85" s="134">
        <v>5.51</v>
      </c>
      <c r="C85" s="134">
        <v>23.39</v>
      </c>
      <c r="D85" s="134">
        <v>15.59</v>
      </c>
      <c r="E85" s="134">
        <v>7.85</v>
      </c>
      <c r="F85" s="134">
        <v>5.08</v>
      </c>
      <c r="G85" s="134">
        <v>33.33</v>
      </c>
      <c r="H85" s="134">
        <v>9.36</v>
      </c>
      <c r="I85" s="134">
        <v>3.21</v>
      </c>
      <c r="J85" s="134">
        <v>0.2</v>
      </c>
      <c r="K85" s="134">
        <v>252.26</v>
      </c>
      <c r="L85" s="134">
        <v>29.42</v>
      </c>
      <c r="M85" s="134">
        <v>73.03</v>
      </c>
      <c r="N85" s="134">
        <v>0</v>
      </c>
      <c r="O85" s="134">
        <v>0</v>
      </c>
      <c r="P85" s="134">
        <v>0.43</v>
      </c>
      <c r="Q85" s="134">
        <v>4.13</v>
      </c>
    </row>
    <row r="86" spans="1:17" customFormat="1">
      <c r="A86" s="112" t="s">
        <v>1659</v>
      </c>
      <c r="B86" s="134">
        <v>5.12</v>
      </c>
      <c r="C86" s="134">
        <v>19.84</v>
      </c>
      <c r="D86" s="134">
        <v>13.43</v>
      </c>
      <c r="E86" s="134">
        <v>8.6999999999999993</v>
      </c>
      <c r="F86" s="134">
        <v>14.17</v>
      </c>
      <c r="G86" s="134">
        <v>33.520000000000003</v>
      </c>
      <c r="H86" s="134">
        <v>9.2200000000000006</v>
      </c>
      <c r="I86" s="134">
        <v>3.75</v>
      </c>
      <c r="J86" s="134">
        <v>0.31</v>
      </c>
      <c r="K86" s="134">
        <v>257.14</v>
      </c>
      <c r="L86" s="134">
        <v>29.4</v>
      </c>
      <c r="M86" s="134">
        <v>72.61</v>
      </c>
      <c r="N86" s="134">
        <v>0</v>
      </c>
      <c r="O86" s="134">
        <v>0</v>
      </c>
      <c r="P86" s="134">
        <v>0.38</v>
      </c>
      <c r="Q86" s="134">
        <v>4.1399999999999997</v>
      </c>
    </row>
    <row r="87" spans="1:17" customFormat="1">
      <c r="A87" s="112" t="s">
        <v>1660</v>
      </c>
      <c r="B87" s="134">
        <v>4.82</v>
      </c>
      <c r="C87" s="134">
        <v>16.38</v>
      </c>
      <c r="D87" s="134">
        <v>11.38</v>
      </c>
      <c r="E87" s="134">
        <v>8.99</v>
      </c>
      <c r="F87" s="134">
        <v>18.059999999999999</v>
      </c>
      <c r="G87" s="134">
        <v>33.520000000000003</v>
      </c>
      <c r="H87" s="134">
        <v>9.2200000000000006</v>
      </c>
      <c r="I87" s="134">
        <v>3.57</v>
      </c>
      <c r="J87" s="134">
        <v>0.14000000000000001</v>
      </c>
      <c r="K87" s="134">
        <v>235.14</v>
      </c>
      <c r="L87" s="134">
        <v>29.23</v>
      </c>
      <c r="M87" s="134">
        <v>74.38</v>
      </c>
      <c r="N87" s="134">
        <v>0</v>
      </c>
      <c r="O87" s="134">
        <v>0</v>
      </c>
      <c r="P87" s="134">
        <v>0.33</v>
      </c>
      <c r="Q87" s="134">
        <v>4.09</v>
      </c>
    </row>
    <row r="88" spans="1:17" customFormat="1">
      <c r="A88" s="112" t="s">
        <v>1661</v>
      </c>
      <c r="B88" s="134">
        <v>4.84</v>
      </c>
      <c r="C88" s="134">
        <v>15.54</v>
      </c>
      <c r="D88" s="134">
        <v>10.95</v>
      </c>
      <c r="E88" s="134">
        <v>9.11</v>
      </c>
      <c r="F88" s="134">
        <v>17.809999999999999</v>
      </c>
      <c r="G88" s="134">
        <v>33.520000000000003</v>
      </c>
      <c r="H88" s="134">
        <v>9.2200000000000006</v>
      </c>
      <c r="I88" s="134">
        <v>3.05</v>
      </c>
      <c r="J88" s="134">
        <v>0.22</v>
      </c>
      <c r="K88" s="134">
        <v>251.59</v>
      </c>
      <c r="L88" s="134">
        <v>29.09</v>
      </c>
      <c r="M88" s="134">
        <v>74.72</v>
      </c>
      <c r="N88" s="134">
        <v>0</v>
      </c>
      <c r="O88" s="134">
        <v>0</v>
      </c>
      <c r="P88" s="134">
        <v>0.33</v>
      </c>
      <c r="Q88" s="134">
        <v>4.0599999999999996</v>
      </c>
    </row>
    <row r="89" spans="1:17" customFormat="1">
      <c r="A89" s="112" t="s">
        <v>1662</v>
      </c>
      <c r="B89" s="134">
        <v>6.51</v>
      </c>
      <c r="C89" s="134">
        <v>20.69</v>
      </c>
      <c r="D89" s="134">
        <v>14.98</v>
      </c>
      <c r="E89" s="134">
        <v>11.02</v>
      </c>
      <c r="F89" s="134">
        <v>12.07</v>
      </c>
      <c r="G89" s="134">
        <v>32.03</v>
      </c>
      <c r="H89" s="134">
        <v>9.9700000000000006</v>
      </c>
      <c r="I89" s="134">
        <v>2.91</v>
      </c>
      <c r="J89" s="134">
        <v>0.62</v>
      </c>
      <c r="K89" s="134">
        <v>357.56</v>
      </c>
      <c r="L89" s="134">
        <v>28.9</v>
      </c>
      <c r="M89" s="134">
        <v>72.13</v>
      </c>
      <c r="N89" s="134">
        <v>0</v>
      </c>
      <c r="O89" s="134">
        <v>0</v>
      </c>
      <c r="P89" s="134">
        <v>0.35</v>
      </c>
      <c r="Q89" s="134">
        <v>4.1500000000000004</v>
      </c>
    </row>
    <row r="90" spans="1:17" customFormat="1">
      <c r="A90" s="112" t="s">
        <v>1663</v>
      </c>
      <c r="B90" s="134">
        <v>6.72</v>
      </c>
      <c r="C90" s="134">
        <v>21.67</v>
      </c>
      <c r="D90" s="134">
        <v>15.66</v>
      </c>
      <c r="E90" s="134">
        <v>15.13</v>
      </c>
      <c r="F90" s="134">
        <v>7.34</v>
      </c>
      <c r="G90" s="134">
        <v>31.43</v>
      </c>
      <c r="H90" s="134">
        <v>10.02</v>
      </c>
      <c r="I90" s="134">
        <v>2.98</v>
      </c>
      <c r="J90" s="134">
        <v>0.54</v>
      </c>
      <c r="K90" s="134">
        <v>24.74</v>
      </c>
      <c r="L90" s="134">
        <v>28.03</v>
      </c>
      <c r="M90" s="134">
        <v>71.91</v>
      </c>
      <c r="N90" s="134">
        <v>0</v>
      </c>
      <c r="O90" s="134">
        <v>0</v>
      </c>
      <c r="P90" s="134">
        <v>0.38</v>
      </c>
      <c r="Q90" s="134">
        <v>4.17</v>
      </c>
    </row>
    <row r="91" spans="1:17" customFormat="1">
      <c r="A91" s="112" t="s">
        <v>1664</v>
      </c>
      <c r="B91" s="134">
        <v>7.28</v>
      </c>
      <c r="C91" s="134">
        <v>22.48</v>
      </c>
      <c r="D91" s="134">
        <v>16.53</v>
      </c>
      <c r="E91" s="134">
        <v>15.49</v>
      </c>
      <c r="F91" s="134">
        <v>5.91</v>
      </c>
      <c r="G91" s="134">
        <v>31.43</v>
      </c>
      <c r="H91" s="134">
        <v>10.02</v>
      </c>
      <c r="I91" s="134">
        <v>3.18</v>
      </c>
      <c r="J91" s="134">
        <v>0.3</v>
      </c>
      <c r="K91" s="134">
        <v>286.63</v>
      </c>
      <c r="L91" s="134">
        <v>27.65</v>
      </c>
      <c r="M91" s="134">
        <v>72.849999999999994</v>
      </c>
      <c r="N91" s="134">
        <v>0</v>
      </c>
      <c r="O91" s="134">
        <v>0</v>
      </c>
      <c r="P91" s="134">
        <v>0.36</v>
      </c>
      <c r="Q91" s="134">
        <v>4.1900000000000004</v>
      </c>
    </row>
    <row r="92" spans="1:17" customFormat="1">
      <c r="A92" s="112" t="s">
        <v>1665</v>
      </c>
      <c r="B92" s="134">
        <v>7.61</v>
      </c>
      <c r="C92" s="134">
        <v>23.7</v>
      </c>
      <c r="D92" s="134">
        <v>17.440000000000001</v>
      </c>
      <c r="E92" s="134">
        <v>10.96</v>
      </c>
      <c r="F92" s="134">
        <v>3.78</v>
      </c>
      <c r="G92" s="134">
        <v>31.43</v>
      </c>
      <c r="H92" s="134">
        <v>10.02</v>
      </c>
      <c r="I92" s="134">
        <v>3.35</v>
      </c>
      <c r="J92" s="134">
        <v>0.22</v>
      </c>
      <c r="K92" s="134">
        <v>1.57</v>
      </c>
      <c r="L92" s="134">
        <v>27.58</v>
      </c>
      <c r="M92" s="134">
        <v>74.7</v>
      </c>
      <c r="N92" s="134">
        <v>0</v>
      </c>
      <c r="O92" s="134">
        <v>0</v>
      </c>
      <c r="P92" s="134">
        <v>0.38</v>
      </c>
      <c r="Q92" s="134">
        <v>4.24</v>
      </c>
    </row>
    <row r="93" spans="1:17" customFormat="1">
      <c r="A93" s="112" t="s">
        <v>1666</v>
      </c>
      <c r="B93" s="134">
        <v>8.76</v>
      </c>
      <c r="C93" s="134">
        <v>25.65</v>
      </c>
      <c r="D93" s="134">
        <v>19.38</v>
      </c>
      <c r="E93" s="134">
        <v>11.66</v>
      </c>
      <c r="F93" s="134">
        <v>2.85</v>
      </c>
      <c r="G93" s="134">
        <v>35.54</v>
      </c>
      <c r="H93" s="134">
        <v>10.6</v>
      </c>
      <c r="I93" s="134">
        <v>3.41</v>
      </c>
      <c r="J93" s="134">
        <v>0.09</v>
      </c>
      <c r="K93" s="134">
        <v>298.55</v>
      </c>
      <c r="L93" s="134">
        <v>27.53</v>
      </c>
      <c r="M93" s="134">
        <v>76.53</v>
      </c>
      <c r="N93" s="134">
        <v>0</v>
      </c>
      <c r="O93" s="134">
        <v>0</v>
      </c>
      <c r="P93" s="134">
        <v>0.43</v>
      </c>
      <c r="Q93" s="134">
        <v>4.37</v>
      </c>
    </row>
    <row r="94" spans="1:17" customFormat="1">
      <c r="A94" s="112" t="s">
        <v>1667</v>
      </c>
      <c r="B94" s="134">
        <v>9.0299999999999994</v>
      </c>
      <c r="C94" s="134">
        <v>24.04</v>
      </c>
      <c r="D94" s="134">
        <v>18.760000000000002</v>
      </c>
      <c r="E94" s="134">
        <v>12.18</v>
      </c>
      <c r="F94" s="134">
        <v>4.79</v>
      </c>
      <c r="G94" s="134">
        <v>37.21</v>
      </c>
      <c r="H94" s="134">
        <v>10.62</v>
      </c>
      <c r="I94" s="134">
        <v>3.57</v>
      </c>
      <c r="J94" s="134">
        <v>0.04</v>
      </c>
      <c r="K94" s="134">
        <v>144.13999999999999</v>
      </c>
      <c r="L94" s="134">
        <v>27.51</v>
      </c>
      <c r="M94" s="134">
        <v>77.349999999999994</v>
      </c>
      <c r="N94" s="134">
        <v>0</v>
      </c>
      <c r="O94" s="134">
        <v>0</v>
      </c>
      <c r="P94" s="134">
        <v>0.42</v>
      </c>
      <c r="Q94" s="134">
        <v>4.3899999999999997</v>
      </c>
    </row>
    <row r="95" spans="1:17" customFormat="1">
      <c r="A95" s="112" t="s">
        <v>1668</v>
      </c>
      <c r="B95" s="134">
        <v>8.24</v>
      </c>
      <c r="C95" s="134">
        <v>22.33</v>
      </c>
      <c r="D95" s="134">
        <v>17.23</v>
      </c>
      <c r="E95" s="134">
        <v>11.73</v>
      </c>
      <c r="F95" s="134">
        <v>6</v>
      </c>
      <c r="G95" s="134">
        <v>37.21</v>
      </c>
      <c r="H95" s="134">
        <v>10.62</v>
      </c>
      <c r="I95" s="134">
        <v>3.73</v>
      </c>
      <c r="J95" s="134">
        <v>0.14000000000000001</v>
      </c>
      <c r="K95" s="134">
        <v>205.41</v>
      </c>
      <c r="L95" s="134">
        <v>27.27</v>
      </c>
      <c r="M95" s="134">
        <v>80.349999999999994</v>
      </c>
      <c r="N95" s="134">
        <v>0</v>
      </c>
      <c r="O95" s="134">
        <v>0</v>
      </c>
      <c r="P95" s="134">
        <v>0.41</v>
      </c>
      <c r="Q95" s="134">
        <v>4.37</v>
      </c>
    </row>
    <row r="96" spans="1:17" customFormat="1">
      <c r="A96" s="112" t="s">
        <v>1669</v>
      </c>
      <c r="B96" s="134">
        <v>8.17</v>
      </c>
      <c r="C96" s="134">
        <v>21.25</v>
      </c>
      <c r="D96" s="134">
        <v>16.61</v>
      </c>
      <c r="E96" s="134">
        <v>10.75</v>
      </c>
      <c r="F96" s="134">
        <v>6.28</v>
      </c>
      <c r="G96" s="134">
        <v>37.21</v>
      </c>
      <c r="H96" s="134">
        <v>10.62</v>
      </c>
      <c r="I96" s="134">
        <v>3.73</v>
      </c>
      <c r="J96" s="134">
        <v>0.14000000000000001</v>
      </c>
      <c r="K96" s="134">
        <v>170.57</v>
      </c>
      <c r="L96" s="134">
        <v>27.2</v>
      </c>
      <c r="M96" s="134">
        <v>82.81</v>
      </c>
      <c r="N96" s="134">
        <v>0</v>
      </c>
      <c r="O96" s="134">
        <v>0</v>
      </c>
      <c r="P96" s="134">
        <v>0.4</v>
      </c>
      <c r="Q96" s="134">
        <v>4.37</v>
      </c>
    </row>
    <row r="97" spans="1:22" customFormat="1">
      <c r="A97" s="112" t="s">
        <v>1670</v>
      </c>
      <c r="B97" s="134">
        <v>8.77</v>
      </c>
      <c r="C97" s="134">
        <v>22</v>
      </c>
      <c r="D97" s="134">
        <v>17.48</v>
      </c>
      <c r="E97" s="134">
        <v>9.93</v>
      </c>
      <c r="F97" s="134">
        <v>4.9800000000000004</v>
      </c>
      <c r="G97" s="134">
        <v>42.99</v>
      </c>
      <c r="H97" s="134">
        <v>12.34</v>
      </c>
      <c r="I97" s="134">
        <v>3.76</v>
      </c>
      <c r="J97" s="134">
        <v>0.09</v>
      </c>
      <c r="K97" s="134">
        <v>189.76</v>
      </c>
      <c r="L97" s="134">
        <v>27.02</v>
      </c>
      <c r="M97" s="134">
        <v>83.45</v>
      </c>
      <c r="N97" s="134">
        <v>0</v>
      </c>
      <c r="O97" s="134">
        <v>0</v>
      </c>
      <c r="P97" s="134">
        <v>0.41</v>
      </c>
      <c r="Q97" s="134">
        <v>4.3899999999999997</v>
      </c>
    </row>
    <row r="98" spans="1:22" customFormat="1">
      <c r="A98" s="112" t="s">
        <v>1671</v>
      </c>
      <c r="B98" s="134">
        <v>9.7200000000000006</v>
      </c>
      <c r="C98" s="134">
        <v>25.11</v>
      </c>
      <c r="D98" s="134">
        <v>19.87</v>
      </c>
      <c r="E98" s="134">
        <v>9.94</v>
      </c>
      <c r="F98" s="134">
        <v>3.2</v>
      </c>
      <c r="G98" s="134">
        <v>45.34</v>
      </c>
      <c r="H98" s="134">
        <v>12.42</v>
      </c>
      <c r="I98" s="134">
        <v>3.79</v>
      </c>
      <c r="J98" s="134">
        <v>0.67</v>
      </c>
      <c r="K98" s="134">
        <v>264.81</v>
      </c>
      <c r="L98" s="134">
        <v>27.49</v>
      </c>
      <c r="M98" s="134">
        <v>78.89</v>
      </c>
      <c r="N98" s="134">
        <v>0</v>
      </c>
      <c r="O98" s="134">
        <v>0</v>
      </c>
      <c r="P98" s="134">
        <v>0.43</v>
      </c>
      <c r="Q98" s="134">
        <v>4.4800000000000004</v>
      </c>
    </row>
    <row r="99" spans="1:22" customFormat="1">
      <c r="A99" s="112" t="s">
        <v>1672</v>
      </c>
      <c r="B99" s="134">
        <v>9.91</v>
      </c>
      <c r="C99" s="134">
        <v>22.94</v>
      </c>
      <c r="D99" s="134">
        <v>18.88</v>
      </c>
      <c r="E99" s="134">
        <v>9.17</v>
      </c>
      <c r="F99" s="134">
        <v>4.99</v>
      </c>
      <c r="G99" s="134">
        <v>45.34</v>
      </c>
      <c r="H99" s="134">
        <v>12.42</v>
      </c>
      <c r="I99" s="134">
        <v>3.83</v>
      </c>
      <c r="J99" s="134">
        <v>0.75</v>
      </c>
      <c r="K99" s="134">
        <v>265.51</v>
      </c>
      <c r="L99" s="134">
        <v>27.75</v>
      </c>
      <c r="M99" s="134">
        <v>76.42</v>
      </c>
      <c r="N99" s="134">
        <v>0</v>
      </c>
      <c r="O99" s="134">
        <v>0</v>
      </c>
      <c r="P99" s="134">
        <v>0.41</v>
      </c>
      <c r="Q99" s="134">
        <v>4.45</v>
      </c>
    </row>
    <row r="100" spans="1:22" customFormat="1">
      <c r="A100" s="112" t="s">
        <v>1673</v>
      </c>
      <c r="B100" s="134">
        <v>9.76</v>
      </c>
      <c r="C100" s="134">
        <v>20.89</v>
      </c>
      <c r="D100" s="134">
        <v>17.7</v>
      </c>
      <c r="E100" s="134">
        <v>8.82</v>
      </c>
      <c r="F100" s="134">
        <v>6.34</v>
      </c>
      <c r="G100" s="134">
        <v>45.34</v>
      </c>
      <c r="H100" s="134">
        <v>12.42</v>
      </c>
      <c r="I100" s="134">
        <v>3.85</v>
      </c>
      <c r="J100" s="134">
        <v>0.77</v>
      </c>
      <c r="K100" s="134">
        <v>262.64</v>
      </c>
      <c r="L100" s="134">
        <v>27.7</v>
      </c>
      <c r="M100" s="134">
        <v>77.11</v>
      </c>
      <c r="N100" s="134">
        <v>0</v>
      </c>
      <c r="O100" s="134">
        <v>0</v>
      </c>
      <c r="P100" s="134">
        <v>0.39</v>
      </c>
      <c r="Q100" s="134">
        <v>4.42</v>
      </c>
    </row>
    <row r="101" spans="1:22" customFormat="1">
      <c r="A101" s="112" t="s">
        <v>1674</v>
      </c>
      <c r="B101" s="134">
        <v>9.39</v>
      </c>
      <c r="C101" s="134">
        <v>19.79</v>
      </c>
      <c r="D101" s="134">
        <v>16.82</v>
      </c>
      <c r="E101" s="134">
        <v>8.64</v>
      </c>
      <c r="F101" s="134">
        <v>7.21</v>
      </c>
      <c r="G101" s="134">
        <v>37.44</v>
      </c>
      <c r="H101" s="134">
        <v>10.84</v>
      </c>
      <c r="I101" s="134">
        <v>3.71</v>
      </c>
      <c r="J101" s="134">
        <v>0.55000000000000004</v>
      </c>
      <c r="K101" s="134">
        <v>260.82</v>
      </c>
      <c r="L101" s="134">
        <v>27.59</v>
      </c>
      <c r="M101" s="134">
        <v>77.8</v>
      </c>
      <c r="N101" s="134">
        <v>0</v>
      </c>
      <c r="O101" s="134">
        <v>0</v>
      </c>
      <c r="P101" s="134">
        <v>0.36</v>
      </c>
      <c r="Q101" s="134">
        <v>4.4000000000000004</v>
      </c>
    </row>
    <row r="102" spans="1:22" customFormat="1">
      <c r="A102" s="112" t="s">
        <v>1675</v>
      </c>
      <c r="B102" s="134">
        <v>9.48</v>
      </c>
      <c r="C102" s="134">
        <v>19.88</v>
      </c>
      <c r="D102" s="134">
        <v>16.940000000000001</v>
      </c>
      <c r="E102" s="134">
        <v>8.43</v>
      </c>
      <c r="F102" s="134">
        <v>6.14</v>
      </c>
      <c r="G102" s="134">
        <v>34.229999999999997</v>
      </c>
      <c r="H102" s="134">
        <v>10.76</v>
      </c>
      <c r="I102" s="134">
        <v>3.58</v>
      </c>
      <c r="J102" s="134">
        <v>0.67</v>
      </c>
      <c r="K102" s="134">
        <v>263.93</v>
      </c>
      <c r="L102" s="134">
        <v>27.49</v>
      </c>
      <c r="M102" s="134">
        <v>78.19</v>
      </c>
      <c r="N102" s="134">
        <v>0</v>
      </c>
      <c r="O102" s="134">
        <v>0</v>
      </c>
      <c r="P102" s="134">
        <v>0.36</v>
      </c>
      <c r="Q102" s="134">
        <v>4.3600000000000003</v>
      </c>
    </row>
    <row r="103" spans="1:22" customFormat="1">
      <c r="A103" s="112" t="s">
        <v>1676</v>
      </c>
      <c r="B103" s="134">
        <v>10.02</v>
      </c>
      <c r="C103" s="134">
        <v>23.92</v>
      </c>
      <c r="D103" s="134">
        <v>19.48</v>
      </c>
      <c r="E103" s="134">
        <v>9.08</v>
      </c>
      <c r="F103" s="134">
        <v>2.66</v>
      </c>
      <c r="G103" s="134">
        <v>34.229999999999997</v>
      </c>
      <c r="H103" s="134">
        <v>10.76</v>
      </c>
      <c r="I103" s="134">
        <v>3.42</v>
      </c>
      <c r="J103" s="134">
        <v>0.51</v>
      </c>
      <c r="K103" s="134">
        <v>261.20999999999998</v>
      </c>
      <c r="L103" s="134">
        <v>27.43</v>
      </c>
      <c r="M103" s="134">
        <v>79.17</v>
      </c>
      <c r="N103" s="134">
        <v>0</v>
      </c>
      <c r="O103" s="134">
        <v>0</v>
      </c>
      <c r="P103" s="134">
        <v>0.4</v>
      </c>
      <c r="Q103" s="134">
        <v>4.46</v>
      </c>
    </row>
    <row r="104" spans="1:22" customFormat="1">
      <c r="A104" s="112" t="s">
        <v>1677</v>
      </c>
      <c r="B104" s="134">
        <v>10.029999999999999</v>
      </c>
      <c r="C104" s="134">
        <v>23.06</v>
      </c>
      <c r="D104" s="134">
        <v>19.05</v>
      </c>
      <c r="E104" s="134">
        <v>9.3699999999999992</v>
      </c>
      <c r="F104" s="134">
        <v>3.67</v>
      </c>
      <c r="G104" s="134">
        <v>34.229999999999997</v>
      </c>
      <c r="H104" s="134">
        <v>10.76</v>
      </c>
      <c r="I104" s="134">
        <v>3.51</v>
      </c>
      <c r="J104" s="134">
        <v>0.59</v>
      </c>
      <c r="K104" s="134">
        <v>264.37</v>
      </c>
      <c r="L104" s="134">
        <v>27.38</v>
      </c>
      <c r="M104" s="134">
        <v>79.13</v>
      </c>
      <c r="N104" s="134">
        <v>0</v>
      </c>
      <c r="O104" s="134">
        <v>0</v>
      </c>
      <c r="P104" s="134">
        <v>0.4</v>
      </c>
      <c r="Q104" s="134">
        <v>4.45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4.38</v>
      </c>
      <c r="C106" s="183">
        <f>MIN(C9:C104)</f>
        <v>15.54</v>
      </c>
      <c r="D106" s="183">
        <f t="shared" ref="D106:Q106" si="0">MIN(D9:D104)</f>
        <v>10.95</v>
      </c>
      <c r="E106" s="183">
        <f t="shared" si="0"/>
        <v>6.62</v>
      </c>
      <c r="F106" s="183">
        <f t="shared" si="0"/>
        <v>1.58</v>
      </c>
      <c r="G106" s="183">
        <f t="shared" si="0"/>
        <v>14.46</v>
      </c>
      <c r="H106" s="183">
        <f t="shared" si="0"/>
        <v>4.3</v>
      </c>
      <c r="I106" s="183">
        <f t="shared" si="0"/>
        <v>2.91</v>
      </c>
      <c r="J106" s="183">
        <f t="shared" si="0"/>
        <v>0.04</v>
      </c>
      <c r="K106" s="183">
        <f t="shared" si="0"/>
        <v>1.57</v>
      </c>
      <c r="L106" s="183">
        <f t="shared" si="0"/>
        <v>25.74</v>
      </c>
      <c r="M106" s="183">
        <f t="shared" si="0"/>
        <v>58.19</v>
      </c>
      <c r="N106" s="183">
        <f t="shared" si="0"/>
        <v>0</v>
      </c>
      <c r="O106" s="183">
        <f t="shared" si="0"/>
        <v>0</v>
      </c>
      <c r="P106" s="183">
        <f t="shared" si="0"/>
        <v>0.32</v>
      </c>
      <c r="Q106" s="183">
        <f t="shared" si="0"/>
        <v>4.03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13.97</v>
      </c>
      <c r="C107" s="184">
        <f t="shared" ref="C107:Q107" si="1">MAX(C9:C104)</f>
        <v>25.65</v>
      </c>
      <c r="D107" s="184">
        <f t="shared" si="1"/>
        <v>22.57</v>
      </c>
      <c r="E107" s="184">
        <f t="shared" si="1"/>
        <v>15.49</v>
      </c>
      <c r="F107" s="184">
        <f t="shared" si="1"/>
        <v>18.059999999999999</v>
      </c>
      <c r="G107" s="184">
        <f t="shared" si="1"/>
        <v>45.34</v>
      </c>
      <c r="H107" s="184">
        <f t="shared" si="1"/>
        <v>12.42</v>
      </c>
      <c r="I107" s="184">
        <f t="shared" si="1"/>
        <v>4.3600000000000003</v>
      </c>
      <c r="J107" s="184">
        <f t="shared" si="1"/>
        <v>0.78</v>
      </c>
      <c r="K107" s="184">
        <f t="shared" si="1"/>
        <v>357.56</v>
      </c>
      <c r="L107" s="184">
        <f t="shared" si="1"/>
        <v>32.74</v>
      </c>
      <c r="M107" s="184">
        <f t="shared" si="1"/>
        <v>90.8</v>
      </c>
      <c r="N107" s="184">
        <f t="shared" si="1"/>
        <v>728.3</v>
      </c>
      <c r="O107" s="184">
        <f t="shared" si="1"/>
        <v>0</v>
      </c>
      <c r="P107" s="184">
        <f t="shared" si="1"/>
        <v>0.54</v>
      </c>
      <c r="Q107" s="184">
        <f t="shared" si="1"/>
        <v>4.6399999999999997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9.3839583333333341</v>
      </c>
      <c r="C108" s="183">
        <f t="shared" ref="C108:Q108" si="2">AVERAGE(C9:C104)</f>
        <v>21.506562500000005</v>
      </c>
      <c r="D108" s="183">
        <f t="shared" si="2"/>
        <v>17.716250000000006</v>
      </c>
      <c r="E108" s="183">
        <f t="shared" si="2"/>
        <v>8.8027083333333369</v>
      </c>
      <c r="F108" s="183">
        <f t="shared" si="2"/>
        <v>6.112708333333333</v>
      </c>
      <c r="G108" s="183">
        <f t="shared" si="2"/>
        <v>28.314270833333342</v>
      </c>
      <c r="H108" s="183">
        <f t="shared" si="2"/>
        <v>8.2759375000000031</v>
      </c>
      <c r="I108" s="183">
        <f t="shared" si="2"/>
        <v>3.5884375000000013</v>
      </c>
      <c r="J108" s="183">
        <f t="shared" si="2"/>
        <v>0.49531250000000004</v>
      </c>
      <c r="K108" s="183">
        <f t="shared" si="2"/>
        <v>259.53187499999996</v>
      </c>
      <c r="L108" s="183">
        <f t="shared" si="2"/>
        <v>28.757604166666663</v>
      </c>
      <c r="M108" s="183">
        <f t="shared" si="2"/>
        <v>76.035312500000018</v>
      </c>
      <c r="N108" s="183">
        <f t="shared" si="2"/>
        <v>170.92291666666665</v>
      </c>
      <c r="O108" s="183">
        <f t="shared" si="2"/>
        <v>0</v>
      </c>
      <c r="P108" s="183">
        <f t="shared" si="2"/>
        <v>0.40145833333333303</v>
      </c>
      <c r="Q108" s="183">
        <f t="shared" si="2"/>
        <v>4.3672916666666657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3.0893005439544403</v>
      </c>
      <c r="C109" s="183">
        <f t="shared" ref="C109:Q109" si="3">STDEV(C9:C104)</f>
        <v>1.9554688914749303</v>
      </c>
      <c r="D109" s="183">
        <f t="shared" si="3"/>
        <v>2.8434083513683848</v>
      </c>
      <c r="E109" s="183">
        <f t="shared" si="3"/>
        <v>1.5026933567968439</v>
      </c>
      <c r="F109" s="183">
        <f t="shared" si="3"/>
        <v>3.8237992898126771</v>
      </c>
      <c r="G109" s="183">
        <f t="shared" si="3"/>
        <v>9.0172487045417817</v>
      </c>
      <c r="H109" s="183">
        <f t="shared" si="3"/>
        <v>2.6388053828738807</v>
      </c>
      <c r="I109" s="183">
        <f t="shared" si="3"/>
        <v>0.42924493835717481</v>
      </c>
      <c r="J109" s="183">
        <f t="shared" si="3"/>
        <v>0.18259505455342515</v>
      </c>
      <c r="K109" s="183">
        <f t="shared" si="3"/>
        <v>43.648431775349728</v>
      </c>
      <c r="L109" s="183">
        <f t="shared" si="3"/>
        <v>2.3771649389409482</v>
      </c>
      <c r="M109" s="183">
        <f t="shared" si="3"/>
        <v>10.220236886030424</v>
      </c>
      <c r="N109" s="183">
        <f t="shared" si="3"/>
        <v>232.10587714691832</v>
      </c>
      <c r="O109" s="183">
        <f t="shared" si="3"/>
        <v>0</v>
      </c>
      <c r="P109" s="183">
        <f t="shared" si="3"/>
        <v>4.7814975999417184E-2</v>
      </c>
      <c r="Q109" s="183">
        <f t="shared" si="3"/>
        <v>0.17915285544486437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16/08/2023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1678</v>
      </c>
      <c r="B9" s="134">
        <v>9.67</v>
      </c>
      <c r="C9" s="134">
        <v>23.62</v>
      </c>
      <c r="D9" s="134">
        <v>19.05</v>
      </c>
      <c r="E9" s="134">
        <v>8.7799999999999994</v>
      </c>
      <c r="F9" s="134">
        <v>3.44</v>
      </c>
      <c r="G9" s="134">
        <v>28.49</v>
      </c>
      <c r="H9" s="134">
        <v>10.119999999999999</v>
      </c>
      <c r="I9" s="134">
        <v>3.72</v>
      </c>
      <c r="J9" s="134">
        <v>0.48</v>
      </c>
      <c r="K9" s="134">
        <v>261.13</v>
      </c>
      <c r="L9" s="134">
        <v>27.31</v>
      </c>
      <c r="M9" s="134">
        <v>79.72</v>
      </c>
      <c r="N9" s="134">
        <v>0</v>
      </c>
      <c r="O9" s="134">
        <v>0</v>
      </c>
      <c r="P9" s="134">
        <v>0.41</v>
      </c>
      <c r="Q9" s="134">
        <v>4.38</v>
      </c>
    </row>
    <row r="10" spans="1:21" customFormat="1">
      <c r="A10" s="112" t="s">
        <v>1679</v>
      </c>
      <c r="B10" s="134">
        <v>9.4</v>
      </c>
      <c r="C10" s="134">
        <v>24.64</v>
      </c>
      <c r="D10" s="134">
        <v>19.37</v>
      </c>
      <c r="E10" s="134">
        <v>8.56</v>
      </c>
      <c r="F10" s="134">
        <v>3.07</v>
      </c>
      <c r="G10" s="134">
        <v>26.16</v>
      </c>
      <c r="H10" s="134">
        <v>10.09</v>
      </c>
      <c r="I10" s="134">
        <v>3.62</v>
      </c>
      <c r="J10" s="134">
        <v>0.53</v>
      </c>
      <c r="K10" s="134">
        <v>264.25</v>
      </c>
      <c r="L10" s="134">
        <v>27.21</v>
      </c>
      <c r="M10" s="134">
        <v>80.39</v>
      </c>
      <c r="N10" s="134">
        <v>0</v>
      </c>
      <c r="O10" s="134">
        <v>0</v>
      </c>
      <c r="P10" s="134">
        <v>0.42</v>
      </c>
      <c r="Q10" s="134">
        <v>4.41</v>
      </c>
    </row>
    <row r="11" spans="1:21" customFormat="1">
      <c r="A11" s="112" t="s">
        <v>1680</v>
      </c>
      <c r="B11" s="134">
        <v>9.26</v>
      </c>
      <c r="C11" s="134">
        <v>21.55</v>
      </c>
      <c r="D11" s="134">
        <v>17.64</v>
      </c>
      <c r="E11" s="134">
        <v>8.34</v>
      </c>
      <c r="F11" s="134">
        <v>4.6399999999999997</v>
      </c>
      <c r="G11" s="134">
        <v>26.16</v>
      </c>
      <c r="H11" s="134">
        <v>10.09</v>
      </c>
      <c r="I11" s="134">
        <v>3.67</v>
      </c>
      <c r="J11" s="134">
        <v>0.41</v>
      </c>
      <c r="K11" s="134">
        <v>260</v>
      </c>
      <c r="L11" s="134">
        <v>27.03</v>
      </c>
      <c r="M11" s="134">
        <v>81.63</v>
      </c>
      <c r="N11" s="134">
        <v>0</v>
      </c>
      <c r="O11" s="134">
        <v>0</v>
      </c>
      <c r="P11" s="134">
        <v>0.37</v>
      </c>
      <c r="Q11" s="134">
        <v>4.37</v>
      </c>
    </row>
    <row r="12" spans="1:21" customFormat="1">
      <c r="A12" s="112" t="s">
        <v>1681</v>
      </c>
      <c r="B12" s="134">
        <v>9.09</v>
      </c>
      <c r="C12" s="134">
        <v>19.46</v>
      </c>
      <c r="D12" s="134">
        <v>16.41</v>
      </c>
      <c r="E12" s="134">
        <v>7.58</v>
      </c>
      <c r="F12" s="134">
        <v>5.44</v>
      </c>
      <c r="G12" s="134">
        <v>26.16</v>
      </c>
      <c r="H12" s="134">
        <v>10.09</v>
      </c>
      <c r="I12" s="134">
        <v>3.53</v>
      </c>
      <c r="J12" s="134">
        <v>0.38</v>
      </c>
      <c r="K12" s="134">
        <v>254.87</v>
      </c>
      <c r="L12" s="134">
        <v>26.89</v>
      </c>
      <c r="M12" s="134">
        <v>82.62</v>
      </c>
      <c r="N12" s="134">
        <v>0</v>
      </c>
      <c r="O12" s="134">
        <v>0</v>
      </c>
      <c r="P12" s="134">
        <v>0.33</v>
      </c>
      <c r="Q12" s="134">
        <v>4.33</v>
      </c>
    </row>
    <row r="13" spans="1:21" customFormat="1">
      <c r="A13" s="112" t="s">
        <v>1682</v>
      </c>
      <c r="B13" s="134">
        <v>8.9600000000000009</v>
      </c>
      <c r="C13" s="134">
        <v>19.399999999999999</v>
      </c>
      <c r="D13" s="134">
        <v>16.27</v>
      </c>
      <c r="E13" s="134">
        <v>7.99</v>
      </c>
      <c r="F13" s="134">
        <v>6.24</v>
      </c>
      <c r="G13" s="134">
        <v>24.1</v>
      </c>
      <c r="H13" s="134">
        <v>8.26</v>
      </c>
      <c r="I13" s="134">
        <v>3.25</v>
      </c>
      <c r="J13" s="134">
        <v>0.6</v>
      </c>
      <c r="K13" s="134">
        <v>264.02</v>
      </c>
      <c r="L13" s="134">
        <v>26.92</v>
      </c>
      <c r="M13" s="134">
        <v>81.42</v>
      </c>
      <c r="N13" s="134">
        <v>0</v>
      </c>
      <c r="O13" s="134">
        <v>0</v>
      </c>
      <c r="P13" s="134">
        <v>0.31</v>
      </c>
      <c r="Q13" s="134">
        <v>4.33</v>
      </c>
    </row>
    <row r="14" spans="1:21" customFormat="1">
      <c r="A14" s="112" t="s">
        <v>1683</v>
      </c>
      <c r="B14" s="134">
        <v>9.14</v>
      </c>
      <c r="C14" s="134">
        <v>20.420000000000002</v>
      </c>
      <c r="D14" s="134">
        <v>16.95</v>
      </c>
      <c r="E14" s="134">
        <v>8</v>
      </c>
      <c r="F14" s="134">
        <v>5.03</v>
      </c>
      <c r="G14" s="134">
        <v>23.27</v>
      </c>
      <c r="H14" s="134">
        <v>8.15</v>
      </c>
      <c r="I14" s="134">
        <v>3.17</v>
      </c>
      <c r="J14" s="134">
        <v>0.57999999999999996</v>
      </c>
      <c r="K14" s="134">
        <v>261.32</v>
      </c>
      <c r="L14" s="134">
        <v>26.95</v>
      </c>
      <c r="M14" s="134">
        <v>81.489999999999995</v>
      </c>
      <c r="N14" s="134">
        <v>0</v>
      </c>
      <c r="O14" s="134">
        <v>0</v>
      </c>
      <c r="P14" s="134">
        <v>0.32</v>
      </c>
      <c r="Q14" s="134">
        <v>4.3499999999999996</v>
      </c>
    </row>
    <row r="15" spans="1:21" customFormat="1">
      <c r="A15" s="112" t="s">
        <v>1684</v>
      </c>
      <c r="B15" s="134">
        <v>9.5</v>
      </c>
      <c r="C15" s="134">
        <v>24.08</v>
      </c>
      <c r="D15" s="134">
        <v>19.149999999999999</v>
      </c>
      <c r="E15" s="134">
        <v>8.39</v>
      </c>
      <c r="F15" s="134">
        <v>2.34</v>
      </c>
      <c r="G15" s="134">
        <v>23.27</v>
      </c>
      <c r="H15" s="134">
        <v>8.15</v>
      </c>
      <c r="I15" s="134">
        <v>3.12</v>
      </c>
      <c r="J15" s="134">
        <v>0.53</v>
      </c>
      <c r="K15" s="134">
        <v>264.7</v>
      </c>
      <c r="L15" s="134">
        <v>26.88</v>
      </c>
      <c r="M15" s="134">
        <v>82.7</v>
      </c>
      <c r="N15" s="134">
        <v>0</v>
      </c>
      <c r="O15" s="134">
        <v>0</v>
      </c>
      <c r="P15" s="134">
        <v>0.37</v>
      </c>
      <c r="Q15" s="134">
        <v>4.4000000000000004</v>
      </c>
    </row>
    <row r="16" spans="1:21" customFormat="1">
      <c r="A16" s="112" t="s">
        <v>1685</v>
      </c>
      <c r="B16" s="134">
        <v>9.5500000000000007</v>
      </c>
      <c r="C16" s="134">
        <v>22.85</v>
      </c>
      <c r="D16" s="134">
        <v>18.55</v>
      </c>
      <c r="E16" s="134">
        <v>8.66</v>
      </c>
      <c r="F16" s="134">
        <v>3.5</v>
      </c>
      <c r="G16" s="134">
        <v>23.27</v>
      </c>
      <c r="H16" s="134">
        <v>8.15</v>
      </c>
      <c r="I16" s="134">
        <v>3.23</v>
      </c>
      <c r="J16" s="134">
        <v>0.25</v>
      </c>
      <c r="K16" s="134">
        <v>254.04</v>
      </c>
      <c r="L16" s="134">
        <v>26.7</v>
      </c>
      <c r="M16" s="134">
        <v>84.93</v>
      </c>
      <c r="N16" s="134">
        <v>0</v>
      </c>
      <c r="O16" s="134">
        <v>0</v>
      </c>
      <c r="P16" s="134">
        <v>0.35</v>
      </c>
      <c r="Q16" s="134">
        <v>4.3899999999999997</v>
      </c>
    </row>
    <row r="17" spans="1:17" customFormat="1">
      <c r="A17" s="112" t="s">
        <v>1686</v>
      </c>
      <c r="B17" s="134">
        <v>9.07</v>
      </c>
      <c r="C17" s="134">
        <v>19.39</v>
      </c>
      <c r="D17" s="134">
        <v>16.36</v>
      </c>
      <c r="E17" s="134">
        <v>5.1100000000000003</v>
      </c>
      <c r="F17" s="134">
        <v>7.18</v>
      </c>
      <c r="G17" s="134">
        <v>21.05</v>
      </c>
      <c r="H17" s="134">
        <v>7.11</v>
      </c>
      <c r="I17" s="134">
        <v>3.34</v>
      </c>
      <c r="J17" s="134">
        <v>0.32</v>
      </c>
      <c r="K17" s="134">
        <v>257.48</v>
      </c>
      <c r="L17" s="134">
        <v>26.54</v>
      </c>
      <c r="M17" s="134">
        <v>86.67</v>
      </c>
      <c r="N17" s="134">
        <v>0</v>
      </c>
      <c r="O17" s="134">
        <v>0</v>
      </c>
      <c r="P17" s="134">
        <v>0.31</v>
      </c>
      <c r="Q17" s="134">
        <v>4.38</v>
      </c>
    </row>
    <row r="18" spans="1:17" customFormat="1">
      <c r="A18" s="112" t="s">
        <v>1687</v>
      </c>
      <c r="B18" s="134">
        <v>9.19</v>
      </c>
      <c r="C18" s="134">
        <v>18.850000000000001</v>
      </c>
      <c r="D18" s="134">
        <v>16.170000000000002</v>
      </c>
      <c r="E18" s="134">
        <v>5.82</v>
      </c>
      <c r="F18" s="134">
        <v>6.12</v>
      </c>
      <c r="G18" s="134">
        <v>20.09</v>
      </c>
      <c r="H18" s="134">
        <v>7.01</v>
      </c>
      <c r="I18" s="134">
        <v>3.18</v>
      </c>
      <c r="J18" s="134">
        <v>0.3</v>
      </c>
      <c r="K18" s="134">
        <v>254.66</v>
      </c>
      <c r="L18" s="134">
        <v>26.39</v>
      </c>
      <c r="M18" s="134">
        <v>88.65</v>
      </c>
      <c r="N18" s="134">
        <v>0</v>
      </c>
      <c r="O18" s="134">
        <v>0</v>
      </c>
      <c r="P18" s="134">
        <v>0.3</v>
      </c>
      <c r="Q18" s="134">
        <v>4.3499999999999996</v>
      </c>
    </row>
    <row r="19" spans="1:17" customFormat="1">
      <c r="A19" s="112" t="s">
        <v>1688</v>
      </c>
      <c r="B19" s="134">
        <v>10.06</v>
      </c>
      <c r="C19" s="134">
        <v>23.34</v>
      </c>
      <c r="D19" s="134">
        <v>19.22</v>
      </c>
      <c r="E19" s="134">
        <v>5.99</v>
      </c>
      <c r="F19" s="134">
        <v>2.57</v>
      </c>
      <c r="G19" s="134">
        <v>20.09</v>
      </c>
      <c r="H19" s="134">
        <v>7.01</v>
      </c>
      <c r="I19" s="134">
        <v>2.9</v>
      </c>
      <c r="J19" s="134">
        <v>0.35</v>
      </c>
      <c r="K19" s="134">
        <v>259.52</v>
      </c>
      <c r="L19" s="134">
        <v>26.29</v>
      </c>
      <c r="M19" s="134">
        <v>89.99</v>
      </c>
      <c r="N19" s="134">
        <v>0</v>
      </c>
      <c r="O19" s="134">
        <v>0</v>
      </c>
      <c r="P19" s="134">
        <v>0.35</v>
      </c>
      <c r="Q19" s="134">
        <v>4.43</v>
      </c>
    </row>
    <row r="20" spans="1:17" customFormat="1">
      <c r="A20" s="112" t="s">
        <v>1689</v>
      </c>
      <c r="B20" s="134">
        <v>10.4</v>
      </c>
      <c r="C20" s="134">
        <v>23.19</v>
      </c>
      <c r="D20" s="134">
        <v>19.41</v>
      </c>
      <c r="E20" s="134">
        <v>6.56</v>
      </c>
      <c r="F20" s="134">
        <v>2.72</v>
      </c>
      <c r="G20" s="134">
        <v>20.09</v>
      </c>
      <c r="H20" s="134">
        <v>7.01</v>
      </c>
      <c r="I20" s="134">
        <v>3.06</v>
      </c>
      <c r="J20" s="134">
        <v>0.17</v>
      </c>
      <c r="K20" s="134">
        <v>246.79</v>
      </c>
      <c r="L20" s="134">
        <v>26.16</v>
      </c>
      <c r="M20" s="134">
        <v>91.2</v>
      </c>
      <c r="N20" s="134">
        <v>0</v>
      </c>
      <c r="O20" s="134">
        <v>0</v>
      </c>
      <c r="P20" s="134">
        <v>0.34</v>
      </c>
      <c r="Q20" s="134">
        <v>4.4800000000000004</v>
      </c>
    </row>
    <row r="21" spans="1:17" customFormat="1">
      <c r="A21" s="112" t="s">
        <v>1690</v>
      </c>
      <c r="B21" s="134">
        <v>9.9700000000000006</v>
      </c>
      <c r="C21" s="134">
        <v>19.95</v>
      </c>
      <c r="D21" s="134">
        <v>17.37</v>
      </c>
      <c r="E21" s="134">
        <v>5.96</v>
      </c>
      <c r="F21" s="134">
        <v>4.54</v>
      </c>
      <c r="G21" s="134">
        <v>19.2</v>
      </c>
      <c r="H21" s="134">
        <v>5.28</v>
      </c>
      <c r="I21" s="134">
        <v>3.28</v>
      </c>
      <c r="J21" s="134">
        <v>0.25</v>
      </c>
      <c r="K21" s="134">
        <v>253.61</v>
      </c>
      <c r="L21" s="134">
        <v>26.1</v>
      </c>
      <c r="M21" s="134">
        <v>91.93</v>
      </c>
      <c r="N21" s="134">
        <v>0</v>
      </c>
      <c r="O21" s="134">
        <v>0</v>
      </c>
      <c r="P21" s="134">
        <v>0.31</v>
      </c>
      <c r="Q21" s="134">
        <v>4.43</v>
      </c>
    </row>
    <row r="22" spans="1:17" customFormat="1">
      <c r="A22" s="112" t="s">
        <v>1691</v>
      </c>
      <c r="B22" s="134">
        <v>9.99</v>
      </c>
      <c r="C22" s="134">
        <v>18.489999999999998</v>
      </c>
      <c r="D22" s="134">
        <v>16.63</v>
      </c>
      <c r="E22" s="134">
        <v>6.15</v>
      </c>
      <c r="F22" s="134">
        <v>5.22</v>
      </c>
      <c r="G22" s="134">
        <v>18.809999999999999</v>
      </c>
      <c r="H22" s="134">
        <v>5.17</v>
      </c>
      <c r="I22" s="134">
        <v>3.14</v>
      </c>
      <c r="J22" s="134">
        <v>0.4</v>
      </c>
      <c r="K22" s="134">
        <v>259.45999999999998</v>
      </c>
      <c r="L22" s="134">
        <v>26.1</v>
      </c>
      <c r="M22" s="134">
        <v>91.6</v>
      </c>
      <c r="N22" s="134">
        <v>0</v>
      </c>
      <c r="O22" s="134">
        <v>0</v>
      </c>
      <c r="P22" s="134">
        <v>0.28999999999999998</v>
      </c>
      <c r="Q22" s="134">
        <v>4.38</v>
      </c>
    </row>
    <row r="23" spans="1:17" customFormat="1">
      <c r="A23" s="112" t="s">
        <v>1692</v>
      </c>
      <c r="B23" s="134">
        <v>10.68</v>
      </c>
      <c r="C23" s="134">
        <v>20.37</v>
      </c>
      <c r="D23" s="134">
        <v>18.16</v>
      </c>
      <c r="E23" s="134">
        <v>5.71</v>
      </c>
      <c r="F23" s="134">
        <v>3.76</v>
      </c>
      <c r="G23" s="134">
        <v>18.809999999999999</v>
      </c>
      <c r="H23" s="134">
        <v>5.17</v>
      </c>
      <c r="I23" s="134">
        <v>2.92</v>
      </c>
      <c r="J23" s="134">
        <v>0.45</v>
      </c>
      <c r="K23" s="134">
        <v>260.17</v>
      </c>
      <c r="L23" s="134">
        <v>26.16</v>
      </c>
      <c r="M23" s="134">
        <v>91.08</v>
      </c>
      <c r="N23" s="134">
        <v>0</v>
      </c>
      <c r="O23" s="134">
        <v>0</v>
      </c>
      <c r="P23" s="134">
        <v>0.31</v>
      </c>
      <c r="Q23" s="134">
        <v>4.3899999999999997</v>
      </c>
    </row>
    <row r="24" spans="1:17" customFormat="1">
      <c r="A24" s="112" t="s">
        <v>1693</v>
      </c>
      <c r="B24" s="134">
        <v>11.18</v>
      </c>
      <c r="C24" s="134">
        <v>23.51</v>
      </c>
      <c r="D24" s="134">
        <v>20.21</v>
      </c>
      <c r="E24" s="134">
        <v>6.36</v>
      </c>
      <c r="F24" s="134">
        <v>2.25</v>
      </c>
      <c r="G24" s="134">
        <v>18.809999999999999</v>
      </c>
      <c r="H24" s="134">
        <v>5.17</v>
      </c>
      <c r="I24" s="134">
        <v>2.93</v>
      </c>
      <c r="J24" s="134">
        <v>0.46</v>
      </c>
      <c r="K24" s="134">
        <v>265.83</v>
      </c>
      <c r="L24" s="134">
        <v>26.13</v>
      </c>
      <c r="M24" s="134">
        <v>91.03</v>
      </c>
      <c r="N24" s="134">
        <v>0</v>
      </c>
      <c r="O24" s="134">
        <v>0</v>
      </c>
      <c r="P24" s="134">
        <v>0.33</v>
      </c>
      <c r="Q24" s="134">
        <v>4.51</v>
      </c>
    </row>
    <row r="25" spans="1:17" customFormat="1">
      <c r="A25" s="112" t="s">
        <v>1694</v>
      </c>
      <c r="B25" s="134">
        <v>10.89</v>
      </c>
      <c r="C25" s="134">
        <v>20.66</v>
      </c>
      <c r="D25" s="134">
        <v>18.48</v>
      </c>
      <c r="E25" s="134">
        <v>6.33</v>
      </c>
      <c r="F25" s="134">
        <v>4.4000000000000004</v>
      </c>
      <c r="G25" s="134">
        <v>15.8</v>
      </c>
      <c r="H25" s="134">
        <v>4.07</v>
      </c>
      <c r="I25" s="134">
        <v>3.08</v>
      </c>
      <c r="J25" s="134">
        <v>0.51</v>
      </c>
      <c r="K25" s="134">
        <v>266.92</v>
      </c>
      <c r="L25" s="134">
        <v>26.11</v>
      </c>
      <c r="M25" s="134">
        <v>90.6</v>
      </c>
      <c r="N25" s="134">
        <v>0</v>
      </c>
      <c r="O25" s="134">
        <v>0</v>
      </c>
      <c r="P25" s="134">
        <v>0.31</v>
      </c>
      <c r="Q25" s="134">
        <v>4.4800000000000004</v>
      </c>
    </row>
    <row r="26" spans="1:17" customFormat="1">
      <c r="A26" s="112" t="s">
        <v>1695</v>
      </c>
      <c r="B26" s="134">
        <v>10.98</v>
      </c>
      <c r="C26" s="134">
        <v>19.75</v>
      </c>
      <c r="D26" s="134">
        <v>18.079999999999998</v>
      </c>
      <c r="E26" s="134">
        <v>6.25</v>
      </c>
      <c r="F26" s="134">
        <v>4.6500000000000004</v>
      </c>
      <c r="G26" s="134">
        <v>14.58</v>
      </c>
      <c r="H26" s="134">
        <v>4</v>
      </c>
      <c r="I26" s="134">
        <v>3.14</v>
      </c>
      <c r="J26" s="134">
        <v>0.53</v>
      </c>
      <c r="K26" s="134">
        <v>259.89</v>
      </c>
      <c r="L26" s="134">
        <v>26.15</v>
      </c>
      <c r="M26" s="134">
        <v>89.78</v>
      </c>
      <c r="N26" s="134">
        <v>0</v>
      </c>
      <c r="O26" s="134">
        <v>0</v>
      </c>
      <c r="P26" s="134">
        <v>0.28999999999999998</v>
      </c>
      <c r="Q26" s="134">
        <v>4.42</v>
      </c>
    </row>
    <row r="27" spans="1:17" customFormat="1">
      <c r="A27" s="112" t="s">
        <v>1696</v>
      </c>
      <c r="B27" s="134">
        <v>11.51</v>
      </c>
      <c r="C27" s="134">
        <v>22.98</v>
      </c>
      <c r="D27" s="134">
        <v>20.190000000000001</v>
      </c>
      <c r="E27" s="134">
        <v>6.45</v>
      </c>
      <c r="F27" s="134">
        <v>2.38</v>
      </c>
      <c r="G27" s="134">
        <v>14.58</v>
      </c>
      <c r="H27" s="134">
        <v>4</v>
      </c>
      <c r="I27" s="134">
        <v>2.93</v>
      </c>
      <c r="J27" s="134">
        <v>0.59</v>
      </c>
      <c r="K27" s="134">
        <v>263.24</v>
      </c>
      <c r="L27" s="134">
        <v>26.11</v>
      </c>
      <c r="M27" s="134">
        <v>90.24</v>
      </c>
      <c r="N27" s="134">
        <v>0</v>
      </c>
      <c r="O27" s="134">
        <v>0</v>
      </c>
      <c r="P27" s="134">
        <v>0.33</v>
      </c>
      <c r="Q27" s="134">
        <v>4.5</v>
      </c>
    </row>
    <row r="28" spans="1:17" customFormat="1">
      <c r="A28" s="112" t="s">
        <v>1697</v>
      </c>
      <c r="B28" s="134">
        <v>11.7</v>
      </c>
      <c r="C28" s="134">
        <v>21.71</v>
      </c>
      <c r="D28" s="134">
        <v>19.68</v>
      </c>
      <c r="E28" s="134">
        <v>6.41</v>
      </c>
      <c r="F28" s="134">
        <v>3.19</v>
      </c>
      <c r="G28" s="134">
        <v>14.58</v>
      </c>
      <c r="H28" s="134">
        <v>4</v>
      </c>
      <c r="I28" s="134">
        <v>2.97</v>
      </c>
      <c r="J28" s="134">
        <v>0.47</v>
      </c>
      <c r="K28" s="134">
        <v>261.81</v>
      </c>
      <c r="L28" s="134">
        <v>26.1</v>
      </c>
      <c r="M28" s="134">
        <v>90.3</v>
      </c>
      <c r="N28" s="134">
        <v>0</v>
      </c>
      <c r="O28" s="134">
        <v>0</v>
      </c>
      <c r="P28" s="134">
        <v>0.32</v>
      </c>
      <c r="Q28" s="134">
        <v>4.5</v>
      </c>
    </row>
    <row r="29" spans="1:17" customFormat="1">
      <c r="A29" s="112" t="s">
        <v>1698</v>
      </c>
      <c r="B29" s="134">
        <v>11.76</v>
      </c>
      <c r="C29" s="134">
        <v>20.69</v>
      </c>
      <c r="D29" s="134">
        <v>19.2</v>
      </c>
      <c r="E29" s="134">
        <v>6.32</v>
      </c>
      <c r="F29" s="134">
        <v>3.46</v>
      </c>
      <c r="G29" s="134">
        <v>16.98</v>
      </c>
      <c r="H29" s="134">
        <v>4.32</v>
      </c>
      <c r="I29" s="134">
        <v>3.14</v>
      </c>
      <c r="J29" s="134">
        <v>0.47</v>
      </c>
      <c r="K29" s="134">
        <v>264.17</v>
      </c>
      <c r="L29" s="134">
        <v>26</v>
      </c>
      <c r="M29" s="134">
        <v>91.13</v>
      </c>
      <c r="N29" s="134">
        <v>0</v>
      </c>
      <c r="O29" s="134">
        <v>0</v>
      </c>
      <c r="P29" s="134">
        <v>0.31</v>
      </c>
      <c r="Q29" s="134">
        <v>4.4400000000000004</v>
      </c>
    </row>
    <row r="30" spans="1:17" customFormat="1">
      <c r="A30" s="112" t="s">
        <v>1699</v>
      </c>
      <c r="B30" s="134">
        <v>11.51</v>
      </c>
      <c r="C30" s="134">
        <v>21.8</v>
      </c>
      <c r="D30" s="134">
        <v>19.57</v>
      </c>
      <c r="E30" s="134">
        <v>5.83</v>
      </c>
      <c r="F30" s="134">
        <v>3.07</v>
      </c>
      <c r="G30" s="134">
        <v>17.95</v>
      </c>
      <c r="H30" s="134">
        <v>4.33</v>
      </c>
      <c r="I30" s="134">
        <v>3.06</v>
      </c>
      <c r="J30" s="134">
        <v>0.62</v>
      </c>
      <c r="K30" s="134">
        <v>268.5</v>
      </c>
      <c r="L30" s="134">
        <v>25.98</v>
      </c>
      <c r="M30" s="134">
        <v>90.99</v>
      </c>
      <c r="N30" s="134">
        <v>0</v>
      </c>
      <c r="O30" s="134">
        <v>0</v>
      </c>
      <c r="P30" s="134">
        <v>0.34</v>
      </c>
      <c r="Q30" s="134">
        <v>4.4400000000000004</v>
      </c>
    </row>
    <row r="31" spans="1:17" customFormat="1">
      <c r="A31" s="112" t="s">
        <v>1700</v>
      </c>
      <c r="B31" s="134">
        <v>11.26</v>
      </c>
      <c r="C31" s="134">
        <v>22.47</v>
      </c>
      <c r="D31" s="134">
        <v>19.73</v>
      </c>
      <c r="E31" s="134">
        <v>5.96</v>
      </c>
      <c r="F31" s="134">
        <v>3.05</v>
      </c>
      <c r="G31" s="134">
        <v>17.95</v>
      </c>
      <c r="H31" s="134">
        <v>4.33</v>
      </c>
      <c r="I31" s="134">
        <v>3.03</v>
      </c>
      <c r="J31" s="134">
        <v>0.73</v>
      </c>
      <c r="K31" s="134">
        <v>264.04000000000002</v>
      </c>
      <c r="L31" s="134">
        <v>26.07</v>
      </c>
      <c r="M31" s="134">
        <v>89.64</v>
      </c>
      <c r="N31" s="134">
        <v>0.1</v>
      </c>
      <c r="O31" s="134">
        <v>0</v>
      </c>
      <c r="P31" s="134">
        <v>0.34</v>
      </c>
      <c r="Q31" s="134">
        <v>4.46</v>
      </c>
    </row>
    <row r="32" spans="1:17" customFormat="1">
      <c r="A32" s="112" t="s">
        <v>1701</v>
      </c>
      <c r="B32" s="134">
        <v>11.1</v>
      </c>
      <c r="C32" s="134">
        <v>19.93</v>
      </c>
      <c r="D32" s="134">
        <v>18.27</v>
      </c>
      <c r="E32" s="134">
        <v>5.37</v>
      </c>
      <c r="F32" s="134">
        <v>3.94</v>
      </c>
      <c r="G32" s="134">
        <v>17.95</v>
      </c>
      <c r="H32" s="134">
        <v>4.33</v>
      </c>
      <c r="I32" s="134">
        <v>3.06</v>
      </c>
      <c r="J32" s="134">
        <v>0.6</v>
      </c>
      <c r="K32" s="134">
        <v>261.97000000000003</v>
      </c>
      <c r="L32" s="134">
        <v>26.1</v>
      </c>
      <c r="M32" s="134">
        <v>89.19</v>
      </c>
      <c r="N32" s="134">
        <v>4.5</v>
      </c>
      <c r="O32" s="134">
        <v>0</v>
      </c>
      <c r="P32" s="134">
        <v>0.3</v>
      </c>
      <c r="Q32" s="134">
        <v>4.43</v>
      </c>
    </row>
    <row r="33" spans="1:17" customFormat="1">
      <c r="A33" s="112" t="s">
        <v>1702</v>
      </c>
      <c r="B33" s="134">
        <v>10.9</v>
      </c>
      <c r="C33" s="134">
        <v>19.309999999999999</v>
      </c>
      <c r="D33" s="134">
        <v>17.78</v>
      </c>
      <c r="E33" s="134">
        <v>5.22</v>
      </c>
      <c r="F33" s="134">
        <v>3.79</v>
      </c>
      <c r="G33" s="134">
        <v>17.86</v>
      </c>
      <c r="H33" s="134">
        <v>4.08</v>
      </c>
      <c r="I33" s="134">
        <v>2.94</v>
      </c>
      <c r="J33" s="134">
        <v>0.69</v>
      </c>
      <c r="K33" s="134">
        <v>263.33999999999997</v>
      </c>
      <c r="L33" s="134">
        <v>26.22</v>
      </c>
      <c r="M33" s="134">
        <v>87.67</v>
      </c>
      <c r="N33" s="134">
        <v>20.100000000000001</v>
      </c>
      <c r="O33" s="134">
        <v>0</v>
      </c>
      <c r="P33" s="134">
        <v>0.28000000000000003</v>
      </c>
      <c r="Q33" s="134">
        <v>4.41</v>
      </c>
    </row>
    <row r="34" spans="1:17" customFormat="1">
      <c r="A34" s="112" t="s">
        <v>1703</v>
      </c>
      <c r="B34" s="134">
        <v>11.02</v>
      </c>
      <c r="C34" s="134">
        <v>19.329999999999998</v>
      </c>
      <c r="D34" s="134">
        <v>17.89</v>
      </c>
      <c r="E34" s="134">
        <v>5.72</v>
      </c>
      <c r="F34" s="134">
        <v>3.69</v>
      </c>
      <c r="G34" s="134">
        <v>17.82</v>
      </c>
      <c r="H34" s="134">
        <v>4.07</v>
      </c>
      <c r="I34" s="134">
        <v>2.79</v>
      </c>
      <c r="J34" s="134">
        <v>0.57999999999999996</v>
      </c>
      <c r="K34" s="134">
        <v>263.48</v>
      </c>
      <c r="L34" s="134">
        <v>26.33</v>
      </c>
      <c r="M34" s="134">
        <v>86.96</v>
      </c>
      <c r="N34" s="134">
        <v>34.6</v>
      </c>
      <c r="O34" s="134">
        <v>0</v>
      </c>
      <c r="P34" s="134">
        <v>0.27</v>
      </c>
      <c r="Q34" s="134">
        <v>4.43</v>
      </c>
    </row>
    <row r="35" spans="1:17" customFormat="1">
      <c r="A35" s="112" t="s">
        <v>1704</v>
      </c>
      <c r="B35" s="134">
        <v>11.35</v>
      </c>
      <c r="C35" s="134">
        <v>22.55</v>
      </c>
      <c r="D35" s="134">
        <v>19.829999999999998</v>
      </c>
      <c r="E35" s="134">
        <v>5.58</v>
      </c>
      <c r="F35" s="134">
        <v>2.15</v>
      </c>
      <c r="G35" s="134">
        <v>17.82</v>
      </c>
      <c r="H35" s="134">
        <v>4.07</v>
      </c>
      <c r="I35" s="134">
        <v>2.77</v>
      </c>
      <c r="J35" s="134">
        <v>0.6</v>
      </c>
      <c r="K35" s="134">
        <v>266.76</v>
      </c>
      <c r="L35" s="134">
        <v>26.47</v>
      </c>
      <c r="M35" s="134">
        <v>86.11</v>
      </c>
      <c r="N35" s="134">
        <v>54.6</v>
      </c>
      <c r="O35" s="134">
        <v>0</v>
      </c>
      <c r="P35" s="134">
        <v>0.31</v>
      </c>
      <c r="Q35" s="134">
        <v>4.47</v>
      </c>
    </row>
    <row r="36" spans="1:17" customFormat="1">
      <c r="A36" s="112" t="s">
        <v>1705</v>
      </c>
      <c r="B36" s="134">
        <v>11.5</v>
      </c>
      <c r="C36" s="134">
        <v>22.97</v>
      </c>
      <c r="D36" s="134">
        <v>20.170000000000002</v>
      </c>
      <c r="E36" s="134">
        <v>6.28</v>
      </c>
      <c r="F36" s="134">
        <v>2.37</v>
      </c>
      <c r="G36" s="134">
        <v>17.82</v>
      </c>
      <c r="H36" s="134">
        <v>4.07</v>
      </c>
      <c r="I36" s="134">
        <v>2.83</v>
      </c>
      <c r="J36" s="134">
        <v>0.68</v>
      </c>
      <c r="K36" s="134">
        <v>266.83999999999997</v>
      </c>
      <c r="L36" s="134">
        <v>26.74</v>
      </c>
      <c r="M36" s="134">
        <v>84.86</v>
      </c>
      <c r="N36" s="134">
        <v>63.7</v>
      </c>
      <c r="O36" s="134">
        <v>0</v>
      </c>
      <c r="P36" s="134">
        <v>0.31</v>
      </c>
      <c r="Q36" s="134">
        <v>4.49</v>
      </c>
    </row>
    <row r="37" spans="1:17" customFormat="1">
      <c r="A37" s="112" t="s">
        <v>1706</v>
      </c>
      <c r="B37" s="134">
        <v>11.36</v>
      </c>
      <c r="C37" s="134">
        <v>21.1</v>
      </c>
      <c r="D37" s="134">
        <v>19.09</v>
      </c>
      <c r="E37" s="134">
        <v>6.34</v>
      </c>
      <c r="F37" s="134">
        <v>3.26</v>
      </c>
      <c r="G37" s="134">
        <v>14.65</v>
      </c>
      <c r="H37" s="134">
        <v>7.01</v>
      </c>
      <c r="I37" s="134">
        <v>2.94</v>
      </c>
      <c r="J37" s="134">
        <v>0.72</v>
      </c>
      <c r="K37" s="134">
        <v>263.66000000000003</v>
      </c>
      <c r="L37" s="134">
        <v>26.93</v>
      </c>
      <c r="M37" s="134">
        <v>83.98</v>
      </c>
      <c r="N37" s="134">
        <v>68</v>
      </c>
      <c r="O37" s="134">
        <v>0</v>
      </c>
      <c r="P37" s="134">
        <v>0.31</v>
      </c>
      <c r="Q37" s="134">
        <v>4.45</v>
      </c>
    </row>
    <row r="38" spans="1:17" customFormat="1">
      <c r="A38" s="112" t="s">
        <v>1707</v>
      </c>
      <c r="B38" s="134">
        <v>11.49</v>
      </c>
      <c r="C38" s="134">
        <v>20.309999999999999</v>
      </c>
      <c r="D38" s="134">
        <v>18.78</v>
      </c>
      <c r="E38" s="134">
        <v>6.27</v>
      </c>
      <c r="F38" s="134">
        <v>3.31</v>
      </c>
      <c r="G38" s="134">
        <v>13.36</v>
      </c>
      <c r="H38" s="134">
        <v>7.15</v>
      </c>
      <c r="I38" s="134">
        <v>2.96</v>
      </c>
      <c r="J38" s="134">
        <v>0.72</v>
      </c>
      <c r="K38" s="134">
        <v>265.64999999999998</v>
      </c>
      <c r="L38" s="134">
        <v>27.14</v>
      </c>
      <c r="M38" s="134">
        <v>83.18</v>
      </c>
      <c r="N38" s="134">
        <v>63.7</v>
      </c>
      <c r="O38" s="134">
        <v>0</v>
      </c>
      <c r="P38" s="134">
        <v>0.31</v>
      </c>
      <c r="Q38" s="134">
        <v>4.45</v>
      </c>
    </row>
    <row r="39" spans="1:17" customFormat="1">
      <c r="A39" s="112" t="s">
        <v>1708</v>
      </c>
      <c r="B39" s="134">
        <v>11.58</v>
      </c>
      <c r="C39" s="134">
        <v>20.04</v>
      </c>
      <c r="D39" s="134">
        <v>18.71</v>
      </c>
      <c r="E39" s="134">
        <v>5.93</v>
      </c>
      <c r="F39" s="134">
        <v>3.35</v>
      </c>
      <c r="G39" s="134">
        <v>13.36</v>
      </c>
      <c r="H39" s="134">
        <v>7.15</v>
      </c>
      <c r="I39" s="134">
        <v>2.99</v>
      </c>
      <c r="J39" s="134">
        <v>0.76</v>
      </c>
      <c r="K39" s="134">
        <v>261.33</v>
      </c>
      <c r="L39" s="134">
        <v>27.41</v>
      </c>
      <c r="M39" s="134">
        <v>82.36</v>
      </c>
      <c r="N39" s="134">
        <v>94.5</v>
      </c>
      <c r="O39" s="134">
        <v>0</v>
      </c>
      <c r="P39" s="134">
        <v>0.31</v>
      </c>
      <c r="Q39" s="134">
        <v>4.45</v>
      </c>
    </row>
    <row r="40" spans="1:17" customFormat="1">
      <c r="A40" s="112" t="s">
        <v>1709</v>
      </c>
      <c r="B40" s="134">
        <v>11.76</v>
      </c>
      <c r="C40" s="134">
        <v>22.31</v>
      </c>
      <c r="D40" s="134">
        <v>20.04</v>
      </c>
      <c r="E40" s="134">
        <v>5.94</v>
      </c>
      <c r="F40" s="134">
        <v>2.16</v>
      </c>
      <c r="G40" s="134">
        <v>13.36</v>
      </c>
      <c r="H40" s="134">
        <v>7.15</v>
      </c>
      <c r="I40" s="134">
        <v>3.08</v>
      </c>
      <c r="J40" s="134">
        <v>0.76</v>
      </c>
      <c r="K40" s="134">
        <v>275.36</v>
      </c>
      <c r="L40" s="134">
        <v>28.16</v>
      </c>
      <c r="M40" s="134">
        <v>79.790000000000006</v>
      </c>
      <c r="N40" s="134">
        <v>121.1</v>
      </c>
      <c r="O40" s="134">
        <v>0</v>
      </c>
      <c r="P40" s="134">
        <v>0.35</v>
      </c>
      <c r="Q40" s="134">
        <v>4.5199999999999996</v>
      </c>
    </row>
    <row r="41" spans="1:17" customFormat="1">
      <c r="A41" s="112" t="s">
        <v>1710</v>
      </c>
      <c r="B41" s="134">
        <v>11.92</v>
      </c>
      <c r="C41" s="134">
        <v>23.61</v>
      </c>
      <c r="D41" s="134">
        <v>20.84</v>
      </c>
      <c r="E41" s="134">
        <v>7.2</v>
      </c>
      <c r="F41" s="134">
        <v>2.36</v>
      </c>
      <c r="G41" s="134">
        <v>21.91</v>
      </c>
      <c r="H41" s="134">
        <v>5.44</v>
      </c>
      <c r="I41" s="134">
        <v>3.22</v>
      </c>
      <c r="J41" s="134">
        <v>0.8</v>
      </c>
      <c r="K41" s="134">
        <v>270.52999999999997</v>
      </c>
      <c r="L41" s="134">
        <v>28.74</v>
      </c>
      <c r="M41" s="134">
        <v>77.739999999999995</v>
      </c>
      <c r="N41" s="134">
        <v>150</v>
      </c>
      <c r="O41" s="134">
        <v>0</v>
      </c>
      <c r="P41" s="134">
        <v>0.38</v>
      </c>
      <c r="Q41" s="134">
        <v>4.6100000000000003</v>
      </c>
    </row>
    <row r="42" spans="1:17" customFormat="1">
      <c r="A42" s="112" t="s">
        <v>1711</v>
      </c>
      <c r="B42" s="134">
        <v>12.14</v>
      </c>
      <c r="C42" s="134">
        <v>22.25</v>
      </c>
      <c r="D42" s="134">
        <v>20.32</v>
      </c>
      <c r="E42" s="134">
        <v>6.71</v>
      </c>
      <c r="F42" s="134">
        <v>3.31</v>
      </c>
      <c r="G42" s="134">
        <v>25.38</v>
      </c>
      <c r="H42" s="134">
        <v>5.26</v>
      </c>
      <c r="I42" s="134">
        <v>3.35</v>
      </c>
      <c r="J42" s="134">
        <v>0.56999999999999995</v>
      </c>
      <c r="K42" s="134">
        <v>287.85000000000002</v>
      </c>
      <c r="L42" s="134">
        <v>29.26</v>
      </c>
      <c r="M42" s="134">
        <v>75.84</v>
      </c>
      <c r="N42" s="134">
        <v>214.2</v>
      </c>
      <c r="O42" s="134">
        <v>0</v>
      </c>
      <c r="P42" s="134">
        <v>0.37</v>
      </c>
      <c r="Q42" s="134">
        <v>4.55</v>
      </c>
    </row>
    <row r="43" spans="1:17" customFormat="1">
      <c r="A43" s="112" t="s">
        <v>1712</v>
      </c>
      <c r="B43" s="134">
        <v>12.46</v>
      </c>
      <c r="C43" s="134">
        <v>21.47</v>
      </c>
      <c r="D43" s="134">
        <v>20.170000000000002</v>
      </c>
      <c r="E43" s="134">
        <v>6.65</v>
      </c>
      <c r="F43" s="134">
        <v>3.7</v>
      </c>
      <c r="G43" s="134">
        <v>25.38</v>
      </c>
      <c r="H43" s="134">
        <v>5.26</v>
      </c>
      <c r="I43" s="134">
        <v>3.53</v>
      </c>
      <c r="J43" s="134">
        <v>0.71</v>
      </c>
      <c r="K43" s="134">
        <v>286.58999999999997</v>
      </c>
      <c r="L43" s="134">
        <v>29.49</v>
      </c>
      <c r="M43" s="134">
        <v>74.17</v>
      </c>
      <c r="N43" s="134">
        <v>255.1</v>
      </c>
      <c r="O43" s="134">
        <v>0</v>
      </c>
      <c r="P43" s="134">
        <v>0.37</v>
      </c>
      <c r="Q43" s="134">
        <v>4.54</v>
      </c>
    </row>
    <row r="44" spans="1:17" customFormat="1">
      <c r="A44" s="112" t="s">
        <v>1713</v>
      </c>
      <c r="B44" s="134">
        <v>12.58</v>
      </c>
      <c r="C44" s="134">
        <v>21.17</v>
      </c>
      <c r="D44" s="134">
        <v>20.100000000000001</v>
      </c>
      <c r="E44" s="134">
        <v>6.23</v>
      </c>
      <c r="F44" s="134">
        <v>3.61</v>
      </c>
      <c r="G44" s="134">
        <v>25.38</v>
      </c>
      <c r="H44" s="134">
        <v>5.26</v>
      </c>
      <c r="I44" s="134">
        <v>3.55</v>
      </c>
      <c r="J44" s="134">
        <v>0.73</v>
      </c>
      <c r="K44" s="134">
        <v>282.67</v>
      </c>
      <c r="L44" s="134">
        <v>29.43</v>
      </c>
      <c r="M44" s="134">
        <v>73.97</v>
      </c>
      <c r="N44" s="134">
        <v>326.60000000000002</v>
      </c>
      <c r="O44" s="134">
        <v>0</v>
      </c>
      <c r="P44" s="134">
        <v>0.35</v>
      </c>
      <c r="Q44" s="134">
        <v>4.51</v>
      </c>
    </row>
    <row r="45" spans="1:17" customFormat="1">
      <c r="A45" s="112" t="s">
        <v>1714</v>
      </c>
      <c r="B45" s="134">
        <v>12.38</v>
      </c>
      <c r="C45" s="134">
        <v>21.06</v>
      </c>
      <c r="D45" s="134">
        <v>19.89</v>
      </c>
      <c r="E45" s="134">
        <v>6.14</v>
      </c>
      <c r="F45" s="134">
        <v>4.43</v>
      </c>
      <c r="G45" s="134">
        <v>28.3</v>
      </c>
      <c r="H45" s="134">
        <v>6.51</v>
      </c>
      <c r="I45" s="134">
        <v>3.59</v>
      </c>
      <c r="J45" s="134">
        <v>0.66</v>
      </c>
      <c r="K45" s="134">
        <v>298.04000000000002</v>
      </c>
      <c r="L45" s="134">
        <v>29.99</v>
      </c>
      <c r="M45" s="134">
        <v>71.92</v>
      </c>
      <c r="N45" s="134">
        <v>314</v>
      </c>
      <c r="O45" s="134">
        <v>0</v>
      </c>
      <c r="P45" s="134">
        <v>0.36</v>
      </c>
      <c r="Q45" s="134">
        <v>4.5199999999999996</v>
      </c>
    </row>
    <row r="46" spans="1:17" customFormat="1">
      <c r="A46" s="112" t="s">
        <v>1715</v>
      </c>
      <c r="B46" s="134">
        <v>12.51</v>
      </c>
      <c r="C46" s="134">
        <v>21.25</v>
      </c>
      <c r="D46" s="134">
        <v>20.09</v>
      </c>
      <c r="E46" s="134">
        <v>6.02</v>
      </c>
      <c r="F46" s="134">
        <v>4.12</v>
      </c>
      <c r="G46" s="134">
        <v>29.48</v>
      </c>
      <c r="H46" s="134">
        <v>6.57</v>
      </c>
      <c r="I46" s="134">
        <v>3.6</v>
      </c>
      <c r="J46" s="134">
        <v>0.59</v>
      </c>
      <c r="K46" s="134">
        <v>299.58999999999997</v>
      </c>
      <c r="L46" s="134">
        <v>30.79</v>
      </c>
      <c r="M46" s="134">
        <v>69.319999999999993</v>
      </c>
      <c r="N46" s="134">
        <v>371.4</v>
      </c>
      <c r="O46" s="134">
        <v>0</v>
      </c>
      <c r="P46" s="134">
        <v>0.36</v>
      </c>
      <c r="Q46" s="134">
        <v>4.5</v>
      </c>
    </row>
    <row r="47" spans="1:17" customFormat="1">
      <c r="A47" s="112" t="s">
        <v>1716</v>
      </c>
      <c r="B47" s="134">
        <v>12.45</v>
      </c>
      <c r="C47" s="134">
        <v>21.32</v>
      </c>
      <c r="D47" s="134">
        <v>20.079999999999998</v>
      </c>
      <c r="E47" s="134">
        <v>5.42</v>
      </c>
      <c r="F47" s="134">
        <v>4.1100000000000003</v>
      </c>
      <c r="G47" s="134">
        <v>29.48</v>
      </c>
      <c r="H47" s="134">
        <v>6.57</v>
      </c>
      <c r="I47" s="134">
        <v>3.58</v>
      </c>
      <c r="J47" s="134">
        <v>0.73</v>
      </c>
      <c r="K47" s="134">
        <v>311.12</v>
      </c>
      <c r="L47" s="134">
        <v>30.84</v>
      </c>
      <c r="M47" s="134">
        <v>66.97</v>
      </c>
      <c r="N47" s="134">
        <v>260.10000000000002</v>
      </c>
      <c r="O47" s="134">
        <v>0</v>
      </c>
      <c r="P47" s="134">
        <v>0.37</v>
      </c>
      <c r="Q47" s="134">
        <v>4.51</v>
      </c>
    </row>
    <row r="48" spans="1:17" customFormat="1">
      <c r="A48" s="112" t="s">
        <v>1717</v>
      </c>
      <c r="B48" s="134">
        <v>12.57</v>
      </c>
      <c r="C48" s="134">
        <v>21.37</v>
      </c>
      <c r="D48" s="134">
        <v>20.2</v>
      </c>
      <c r="E48" s="134">
        <v>5.89</v>
      </c>
      <c r="F48" s="134">
        <v>4.3499999999999996</v>
      </c>
      <c r="G48" s="134">
        <v>29.48</v>
      </c>
      <c r="H48" s="134">
        <v>6.57</v>
      </c>
      <c r="I48" s="134">
        <v>3.61</v>
      </c>
      <c r="J48" s="134">
        <v>0.75</v>
      </c>
      <c r="K48" s="134">
        <v>313.63</v>
      </c>
      <c r="L48" s="134">
        <v>30.66</v>
      </c>
      <c r="M48" s="134">
        <v>67.19</v>
      </c>
      <c r="N48" s="134">
        <v>378.2</v>
      </c>
      <c r="O48" s="134">
        <v>0</v>
      </c>
      <c r="P48" s="134">
        <v>0.38</v>
      </c>
      <c r="Q48" s="134">
        <v>4.53</v>
      </c>
    </row>
    <row r="49" spans="1:17" customFormat="1">
      <c r="A49" s="112" t="s">
        <v>1718</v>
      </c>
      <c r="B49" s="134">
        <v>12.39</v>
      </c>
      <c r="C49" s="134">
        <v>20.91</v>
      </c>
      <c r="D49" s="134">
        <v>19.82</v>
      </c>
      <c r="E49" s="134">
        <v>6.43</v>
      </c>
      <c r="F49" s="134">
        <v>5.25</v>
      </c>
      <c r="G49" s="134">
        <v>27.28</v>
      </c>
      <c r="H49" s="134">
        <v>6.82</v>
      </c>
      <c r="I49" s="134">
        <v>3.62</v>
      </c>
      <c r="J49" s="134">
        <v>0.74</v>
      </c>
      <c r="K49" s="134">
        <v>283.14</v>
      </c>
      <c r="L49" s="134">
        <v>30.98</v>
      </c>
      <c r="M49" s="134">
        <v>66.63</v>
      </c>
      <c r="N49" s="134">
        <v>460.9</v>
      </c>
      <c r="O49" s="134">
        <v>0</v>
      </c>
      <c r="P49" s="134">
        <v>0.37</v>
      </c>
      <c r="Q49" s="134">
        <v>4.54</v>
      </c>
    </row>
    <row r="50" spans="1:17" customFormat="1">
      <c r="A50" s="112" t="s">
        <v>1719</v>
      </c>
      <c r="B50" s="134">
        <v>12.18</v>
      </c>
      <c r="C50" s="134">
        <v>22.11</v>
      </c>
      <c r="D50" s="134">
        <v>20.27</v>
      </c>
      <c r="E50" s="134">
        <v>7.52</v>
      </c>
      <c r="F50" s="134">
        <v>3.86</v>
      </c>
      <c r="G50" s="134">
        <v>26.39</v>
      </c>
      <c r="H50" s="134">
        <v>6.83</v>
      </c>
      <c r="I50" s="134">
        <v>3.61</v>
      </c>
      <c r="J50" s="134">
        <v>0.63</v>
      </c>
      <c r="K50" s="134">
        <v>297.69</v>
      </c>
      <c r="L50" s="134">
        <v>31.28</v>
      </c>
      <c r="M50" s="134">
        <v>65.86</v>
      </c>
      <c r="N50" s="134">
        <v>451.9</v>
      </c>
      <c r="O50" s="134">
        <v>0</v>
      </c>
      <c r="P50" s="134">
        <v>0.4</v>
      </c>
      <c r="Q50" s="134">
        <v>4.51</v>
      </c>
    </row>
    <row r="51" spans="1:17" customFormat="1">
      <c r="A51" s="112" t="s">
        <v>1720</v>
      </c>
      <c r="B51" s="134">
        <v>11.49</v>
      </c>
      <c r="C51" s="134">
        <v>24.36</v>
      </c>
      <c r="D51" s="134">
        <v>20.89</v>
      </c>
      <c r="E51" s="134">
        <v>7.51</v>
      </c>
      <c r="F51" s="134">
        <v>3.26</v>
      </c>
      <c r="G51" s="134">
        <v>26.39</v>
      </c>
      <c r="H51" s="134">
        <v>6.83</v>
      </c>
      <c r="I51" s="134">
        <v>3.62</v>
      </c>
      <c r="J51" s="134">
        <v>0.79</v>
      </c>
      <c r="K51" s="134">
        <v>275.16000000000003</v>
      </c>
      <c r="L51" s="134">
        <v>31.76</v>
      </c>
      <c r="M51" s="134">
        <v>64.19</v>
      </c>
      <c r="N51" s="134">
        <v>549</v>
      </c>
      <c r="O51" s="134">
        <v>0</v>
      </c>
      <c r="P51" s="134">
        <v>0.43</v>
      </c>
      <c r="Q51" s="134">
        <v>4.5</v>
      </c>
    </row>
    <row r="52" spans="1:17" customFormat="1">
      <c r="A52" s="112" t="s">
        <v>1721</v>
      </c>
      <c r="B52" s="134">
        <v>10.95</v>
      </c>
      <c r="C52" s="134">
        <v>25.05</v>
      </c>
      <c r="D52" s="134">
        <v>20.82</v>
      </c>
      <c r="E52" s="134">
        <v>6.93</v>
      </c>
      <c r="F52" s="134">
        <v>3.71</v>
      </c>
      <c r="G52" s="134">
        <v>26.39</v>
      </c>
      <c r="H52" s="134">
        <v>6.83</v>
      </c>
      <c r="I52" s="134">
        <v>3.77</v>
      </c>
      <c r="J52" s="134">
        <v>0.37</v>
      </c>
      <c r="K52" s="134">
        <v>297.93</v>
      </c>
      <c r="L52" s="134">
        <v>31.39</v>
      </c>
      <c r="M52" s="134">
        <v>65.88</v>
      </c>
      <c r="N52" s="134">
        <v>388.3</v>
      </c>
      <c r="O52" s="134">
        <v>0</v>
      </c>
      <c r="P52" s="134">
        <v>0.43</v>
      </c>
      <c r="Q52" s="134">
        <v>4.53</v>
      </c>
    </row>
    <row r="53" spans="1:17" customFormat="1">
      <c r="A53" s="112" t="s">
        <v>1722</v>
      </c>
      <c r="B53" s="134">
        <v>10.71</v>
      </c>
      <c r="C53" s="134">
        <v>23.19</v>
      </c>
      <c r="D53" s="134">
        <v>19.66</v>
      </c>
      <c r="E53" s="134">
        <v>7.17</v>
      </c>
      <c r="F53" s="134">
        <v>6.19</v>
      </c>
      <c r="G53" s="134">
        <v>30.42</v>
      </c>
      <c r="H53" s="134">
        <v>5.82</v>
      </c>
      <c r="I53" s="134">
        <v>3.77</v>
      </c>
      <c r="J53" s="134">
        <v>0.62</v>
      </c>
      <c r="K53" s="134">
        <v>288.87</v>
      </c>
      <c r="L53" s="134">
        <v>31.72</v>
      </c>
      <c r="M53" s="134">
        <v>63.72</v>
      </c>
      <c r="N53" s="134">
        <v>720</v>
      </c>
      <c r="O53" s="134">
        <v>0</v>
      </c>
      <c r="P53" s="134">
        <v>0.4</v>
      </c>
      <c r="Q53" s="134">
        <v>4.51</v>
      </c>
    </row>
    <row r="54" spans="1:17" customFormat="1">
      <c r="A54" s="112" t="s">
        <v>1723</v>
      </c>
      <c r="B54" s="134">
        <v>10.51</v>
      </c>
      <c r="C54" s="134">
        <v>23.1</v>
      </c>
      <c r="D54" s="134">
        <v>19.46</v>
      </c>
      <c r="E54" s="134">
        <v>6.78</v>
      </c>
      <c r="F54" s="134">
        <v>5.88</v>
      </c>
      <c r="G54" s="134">
        <v>32.049999999999997</v>
      </c>
      <c r="H54" s="134">
        <v>5.78</v>
      </c>
      <c r="I54" s="134">
        <v>3.66</v>
      </c>
      <c r="J54" s="134">
        <v>0.49</v>
      </c>
      <c r="K54" s="134">
        <v>322.2</v>
      </c>
      <c r="L54" s="134">
        <v>32.450000000000003</v>
      </c>
      <c r="M54" s="134">
        <v>60.02</v>
      </c>
      <c r="N54" s="134">
        <v>856.3</v>
      </c>
      <c r="O54" s="134">
        <v>0</v>
      </c>
      <c r="P54" s="134">
        <v>0.38</v>
      </c>
      <c r="Q54" s="134">
        <v>4.47</v>
      </c>
    </row>
    <row r="55" spans="1:17" customFormat="1">
      <c r="A55" s="112" t="s">
        <v>1724</v>
      </c>
      <c r="B55" s="134">
        <v>10.31</v>
      </c>
      <c r="C55" s="134">
        <v>22.22</v>
      </c>
      <c r="D55" s="134">
        <v>18.829999999999998</v>
      </c>
      <c r="E55" s="134">
        <v>6.29</v>
      </c>
      <c r="F55" s="134">
        <v>7.88</v>
      </c>
      <c r="G55" s="134">
        <v>32.049999999999997</v>
      </c>
      <c r="H55" s="134">
        <v>5.78</v>
      </c>
      <c r="I55" s="134">
        <v>3.52</v>
      </c>
      <c r="J55" s="134">
        <v>0.5</v>
      </c>
      <c r="K55" s="134">
        <v>316.48</v>
      </c>
      <c r="L55" s="134">
        <v>32.49</v>
      </c>
      <c r="M55" s="134">
        <v>59.04</v>
      </c>
      <c r="N55" s="134">
        <v>677.9</v>
      </c>
      <c r="O55" s="134">
        <v>0</v>
      </c>
      <c r="P55" s="134">
        <v>0.38</v>
      </c>
      <c r="Q55" s="134">
        <v>4.46</v>
      </c>
    </row>
    <row r="56" spans="1:17" customFormat="1">
      <c r="A56" s="112" t="s">
        <v>1725</v>
      </c>
      <c r="B56" s="134">
        <v>10.02</v>
      </c>
      <c r="C56" s="134">
        <v>22.16</v>
      </c>
      <c r="D56" s="134">
        <v>18.57</v>
      </c>
      <c r="E56" s="134">
        <v>6.47</v>
      </c>
      <c r="F56" s="134">
        <v>7.22</v>
      </c>
      <c r="G56" s="134">
        <v>32.049999999999997</v>
      </c>
      <c r="H56" s="134">
        <v>5.78</v>
      </c>
      <c r="I56" s="134">
        <v>3.48</v>
      </c>
      <c r="J56" s="134">
        <v>0.49</v>
      </c>
      <c r="K56" s="134">
        <v>285.83999999999997</v>
      </c>
      <c r="L56" s="134">
        <v>32.75</v>
      </c>
      <c r="M56" s="134">
        <v>58.47</v>
      </c>
      <c r="N56" s="134">
        <v>654.79999999999995</v>
      </c>
      <c r="O56" s="134">
        <v>0</v>
      </c>
      <c r="P56" s="134">
        <v>0.37</v>
      </c>
      <c r="Q56" s="134">
        <v>4.42</v>
      </c>
    </row>
    <row r="57" spans="1:17" customFormat="1">
      <c r="A57" s="112" t="s">
        <v>1726</v>
      </c>
      <c r="B57" s="134">
        <v>9.4600000000000009</v>
      </c>
      <c r="C57" s="134">
        <v>21.31</v>
      </c>
      <c r="D57" s="134">
        <v>17.670000000000002</v>
      </c>
      <c r="E57" s="134">
        <v>7.39</v>
      </c>
      <c r="F57" s="134">
        <v>10.84</v>
      </c>
      <c r="G57" s="134">
        <v>31.51</v>
      </c>
      <c r="H57" s="134">
        <v>7.46</v>
      </c>
      <c r="I57" s="134">
        <v>3.43</v>
      </c>
      <c r="J57" s="134">
        <v>0.45</v>
      </c>
      <c r="K57" s="134">
        <v>275.38</v>
      </c>
      <c r="L57" s="134">
        <v>32.479999999999997</v>
      </c>
      <c r="M57" s="134">
        <v>60.67</v>
      </c>
      <c r="N57" s="134">
        <v>516.20000000000005</v>
      </c>
      <c r="O57" s="134">
        <v>0</v>
      </c>
      <c r="P57" s="134">
        <v>0.36</v>
      </c>
      <c r="Q57" s="134">
        <v>4.43</v>
      </c>
    </row>
    <row r="58" spans="1:17" customFormat="1">
      <c r="A58" s="112" t="s">
        <v>1727</v>
      </c>
      <c r="B58" s="134">
        <v>8.99</v>
      </c>
      <c r="C58" s="134">
        <v>21.13</v>
      </c>
      <c r="D58" s="134">
        <v>17.21</v>
      </c>
      <c r="E58" s="134">
        <v>7.21</v>
      </c>
      <c r="F58" s="134">
        <v>8.77</v>
      </c>
      <c r="G58" s="134">
        <v>31.29</v>
      </c>
      <c r="H58" s="134">
        <v>7.54</v>
      </c>
      <c r="I58" s="134">
        <v>3.44</v>
      </c>
      <c r="J58" s="134">
        <v>0.43</v>
      </c>
      <c r="K58" s="134">
        <v>284.39999999999998</v>
      </c>
      <c r="L58" s="134">
        <v>33.06</v>
      </c>
      <c r="M58" s="134">
        <v>58.01</v>
      </c>
      <c r="N58" s="134">
        <v>682.8</v>
      </c>
      <c r="O58" s="134">
        <v>0</v>
      </c>
      <c r="P58" s="134">
        <v>0.34</v>
      </c>
      <c r="Q58" s="134">
        <v>4.4000000000000004</v>
      </c>
    </row>
    <row r="59" spans="1:17" customFormat="1">
      <c r="A59" s="112" t="s">
        <v>1728</v>
      </c>
      <c r="B59" s="134">
        <v>8.6999999999999993</v>
      </c>
      <c r="C59" s="134">
        <v>21.07</v>
      </c>
      <c r="D59" s="134">
        <v>16.940000000000001</v>
      </c>
      <c r="E59" s="134">
        <v>7.25</v>
      </c>
      <c r="F59" s="134">
        <v>9.4499999999999993</v>
      </c>
      <c r="G59" s="134">
        <v>31.29</v>
      </c>
      <c r="H59" s="134">
        <v>7.54</v>
      </c>
      <c r="I59" s="134">
        <v>3.35</v>
      </c>
      <c r="J59" s="134">
        <v>0.37</v>
      </c>
      <c r="K59" s="134">
        <v>300.58</v>
      </c>
      <c r="L59" s="134">
        <v>33.61</v>
      </c>
      <c r="M59" s="134">
        <v>56.59</v>
      </c>
      <c r="N59" s="134">
        <v>730.3</v>
      </c>
      <c r="O59" s="134">
        <v>0</v>
      </c>
      <c r="P59" s="134">
        <v>0.35</v>
      </c>
      <c r="Q59" s="134">
        <v>4.3499999999999996</v>
      </c>
    </row>
    <row r="60" spans="1:17" customFormat="1">
      <c r="A60" s="112" t="s">
        <v>1729</v>
      </c>
      <c r="B60" s="134">
        <v>8.84</v>
      </c>
      <c r="C60" s="134">
        <v>22.29</v>
      </c>
      <c r="D60" s="134">
        <v>17.690000000000001</v>
      </c>
      <c r="E60" s="134">
        <v>7.13</v>
      </c>
      <c r="F60" s="134">
        <v>7.09</v>
      </c>
      <c r="G60" s="134">
        <v>31.29</v>
      </c>
      <c r="H60" s="134">
        <v>7.54</v>
      </c>
      <c r="I60" s="134">
        <v>3.33</v>
      </c>
      <c r="J60" s="134">
        <v>0.36</v>
      </c>
      <c r="K60" s="134">
        <v>289.14</v>
      </c>
      <c r="L60" s="134">
        <v>33.700000000000003</v>
      </c>
      <c r="M60" s="134">
        <v>56.22</v>
      </c>
      <c r="N60" s="134">
        <v>755.6</v>
      </c>
      <c r="O60" s="134">
        <v>0</v>
      </c>
      <c r="P60" s="134">
        <v>0.36</v>
      </c>
      <c r="Q60" s="134">
        <v>4.34</v>
      </c>
    </row>
    <row r="61" spans="1:17" customFormat="1">
      <c r="A61" s="112" t="s">
        <v>1730</v>
      </c>
      <c r="B61" s="134">
        <v>8.51</v>
      </c>
      <c r="C61" s="134">
        <v>22.12</v>
      </c>
      <c r="D61" s="134">
        <v>17.329999999999998</v>
      </c>
      <c r="E61" s="134">
        <v>7.11</v>
      </c>
      <c r="F61" s="134">
        <v>7.62</v>
      </c>
      <c r="G61" s="134">
        <v>30.37</v>
      </c>
      <c r="H61" s="134">
        <v>10.29</v>
      </c>
      <c r="I61" s="134">
        <v>3.39</v>
      </c>
      <c r="J61" s="134">
        <v>0.48</v>
      </c>
      <c r="K61" s="134">
        <v>293.63</v>
      </c>
      <c r="L61" s="134">
        <v>34.049999999999997</v>
      </c>
      <c r="M61" s="134">
        <v>55.76</v>
      </c>
      <c r="N61" s="134">
        <v>759.2</v>
      </c>
      <c r="O61" s="134">
        <v>0</v>
      </c>
      <c r="P61" s="134">
        <v>0.36</v>
      </c>
      <c r="Q61" s="134">
        <v>4.3600000000000003</v>
      </c>
    </row>
    <row r="62" spans="1:17" customFormat="1">
      <c r="A62" s="112" t="s">
        <v>1731</v>
      </c>
      <c r="B62" s="134">
        <v>8.4600000000000009</v>
      </c>
      <c r="C62" s="134">
        <v>22.41</v>
      </c>
      <c r="D62" s="134">
        <v>17.45</v>
      </c>
      <c r="E62" s="134">
        <v>7.19</v>
      </c>
      <c r="F62" s="134">
        <v>7.45</v>
      </c>
      <c r="G62" s="134">
        <v>30</v>
      </c>
      <c r="H62" s="134">
        <v>10.42</v>
      </c>
      <c r="I62" s="134">
        <v>3.47</v>
      </c>
      <c r="J62" s="134">
        <v>0.42</v>
      </c>
      <c r="K62" s="134">
        <v>344.88</v>
      </c>
      <c r="L62" s="134">
        <v>33.340000000000003</v>
      </c>
      <c r="M62" s="134">
        <v>57.69</v>
      </c>
      <c r="N62" s="134">
        <v>304.10000000000002</v>
      </c>
      <c r="O62" s="134">
        <v>0</v>
      </c>
      <c r="P62" s="134">
        <v>0.37</v>
      </c>
      <c r="Q62" s="134">
        <v>4.33</v>
      </c>
    </row>
    <row r="63" spans="1:17" customFormat="1">
      <c r="A63" s="112" t="s">
        <v>1732</v>
      </c>
      <c r="B63" s="134">
        <v>8.4700000000000006</v>
      </c>
      <c r="C63" s="134">
        <v>21.89</v>
      </c>
      <c r="D63" s="134">
        <v>17.18</v>
      </c>
      <c r="E63" s="134">
        <v>7.64</v>
      </c>
      <c r="F63" s="134">
        <v>9.16</v>
      </c>
      <c r="G63" s="134">
        <v>30</v>
      </c>
      <c r="H63" s="134">
        <v>10.42</v>
      </c>
      <c r="I63" s="134">
        <v>3.47</v>
      </c>
      <c r="J63" s="134">
        <v>0.36</v>
      </c>
      <c r="K63" s="134">
        <v>17.079999999999998</v>
      </c>
      <c r="L63" s="134">
        <v>32.32</v>
      </c>
      <c r="M63" s="134">
        <v>60.8</v>
      </c>
      <c r="N63" s="134">
        <v>187.1</v>
      </c>
      <c r="O63" s="134">
        <v>0</v>
      </c>
      <c r="P63" s="134">
        <v>0.37</v>
      </c>
      <c r="Q63" s="134">
        <v>4.3099999999999996</v>
      </c>
    </row>
    <row r="64" spans="1:17" customFormat="1">
      <c r="A64" s="112" t="s">
        <v>1733</v>
      </c>
      <c r="B64" s="134">
        <v>8.31</v>
      </c>
      <c r="C64" s="134">
        <v>21.73</v>
      </c>
      <c r="D64" s="134">
        <v>16.97</v>
      </c>
      <c r="E64" s="134">
        <v>7.89</v>
      </c>
      <c r="F64" s="134">
        <v>10.24</v>
      </c>
      <c r="G64" s="134">
        <v>30</v>
      </c>
      <c r="H64" s="134">
        <v>10.42</v>
      </c>
      <c r="I64" s="134">
        <v>3.48</v>
      </c>
      <c r="J64" s="134">
        <v>0.31</v>
      </c>
      <c r="K64" s="134">
        <v>299.43</v>
      </c>
      <c r="L64" s="134">
        <v>32.14</v>
      </c>
      <c r="M64" s="134">
        <v>61.49</v>
      </c>
      <c r="N64" s="134">
        <v>316</v>
      </c>
      <c r="O64" s="134">
        <v>0</v>
      </c>
      <c r="P64" s="134">
        <v>0.37</v>
      </c>
      <c r="Q64" s="134">
        <v>4.3</v>
      </c>
    </row>
    <row r="65" spans="1:17" customFormat="1">
      <c r="A65" s="112" t="s">
        <v>1734</v>
      </c>
      <c r="B65" s="134">
        <v>8.5399999999999991</v>
      </c>
      <c r="C65" s="134">
        <v>21.64</v>
      </c>
      <c r="D65" s="134">
        <v>17.11</v>
      </c>
      <c r="E65" s="134">
        <v>7.42</v>
      </c>
      <c r="F65" s="134">
        <v>12.29</v>
      </c>
      <c r="G65" s="134">
        <v>30.58</v>
      </c>
      <c r="H65" s="134">
        <v>7.7</v>
      </c>
      <c r="I65" s="134">
        <v>3.39</v>
      </c>
      <c r="J65" s="134">
        <v>0.39</v>
      </c>
      <c r="K65" s="134">
        <v>3.08</v>
      </c>
      <c r="L65" s="134">
        <v>33.29</v>
      </c>
      <c r="M65" s="134">
        <v>56.78</v>
      </c>
      <c r="N65" s="134">
        <v>378.2</v>
      </c>
      <c r="O65" s="134">
        <v>0</v>
      </c>
      <c r="P65" s="134">
        <v>0.41</v>
      </c>
      <c r="Q65" s="134">
        <v>4.3</v>
      </c>
    </row>
    <row r="66" spans="1:17" customFormat="1">
      <c r="A66" s="112" t="s">
        <v>1735</v>
      </c>
      <c r="B66" s="134">
        <v>10.36</v>
      </c>
      <c r="C66" s="134">
        <v>22.5</v>
      </c>
      <c r="D66" s="134">
        <v>19.02</v>
      </c>
      <c r="E66" s="134">
        <v>7.82</v>
      </c>
      <c r="F66" s="134">
        <v>10.45</v>
      </c>
      <c r="G66" s="134">
        <v>30.82</v>
      </c>
      <c r="H66" s="134">
        <v>7.5</v>
      </c>
      <c r="I66" s="134">
        <v>3.33</v>
      </c>
      <c r="J66" s="134">
        <v>0.34</v>
      </c>
      <c r="K66" s="134">
        <v>358.84</v>
      </c>
      <c r="L66" s="134">
        <v>32.72</v>
      </c>
      <c r="M66" s="134">
        <v>58.68</v>
      </c>
      <c r="N66" s="134">
        <v>230.6</v>
      </c>
      <c r="O66" s="134">
        <v>0</v>
      </c>
      <c r="P66" s="134">
        <v>0.43</v>
      </c>
      <c r="Q66" s="134">
        <v>4.3099999999999996</v>
      </c>
    </row>
    <row r="67" spans="1:17" customFormat="1">
      <c r="A67" s="112" t="s">
        <v>1736</v>
      </c>
      <c r="B67" s="134">
        <v>9.34</v>
      </c>
      <c r="C67" s="134">
        <v>21.75</v>
      </c>
      <c r="D67" s="134">
        <v>17.809999999999999</v>
      </c>
      <c r="E67" s="134">
        <v>7.52</v>
      </c>
      <c r="F67" s="134">
        <v>9.57</v>
      </c>
      <c r="G67" s="134">
        <v>30.82</v>
      </c>
      <c r="H67" s="134">
        <v>7.5</v>
      </c>
      <c r="I67" s="134">
        <v>3.2</v>
      </c>
      <c r="J67" s="134">
        <v>0.37</v>
      </c>
      <c r="K67" s="134">
        <v>302.83</v>
      </c>
      <c r="L67" s="134">
        <v>32.869999999999997</v>
      </c>
      <c r="M67" s="134">
        <v>57.73</v>
      </c>
      <c r="N67" s="134">
        <v>326.10000000000002</v>
      </c>
      <c r="O67" s="134">
        <v>0</v>
      </c>
      <c r="P67" s="134">
        <v>0.42</v>
      </c>
      <c r="Q67" s="134">
        <v>4.34</v>
      </c>
    </row>
    <row r="68" spans="1:17" customFormat="1">
      <c r="A68" s="112" t="s">
        <v>1737</v>
      </c>
      <c r="B68" s="134">
        <v>8.76</v>
      </c>
      <c r="C68" s="134">
        <v>21.49</v>
      </c>
      <c r="D68" s="134">
        <v>17.21</v>
      </c>
      <c r="E68" s="134">
        <v>7.23</v>
      </c>
      <c r="F68" s="134">
        <v>10.72</v>
      </c>
      <c r="G68" s="134">
        <v>30.82</v>
      </c>
      <c r="H68" s="134">
        <v>7.5</v>
      </c>
      <c r="I68" s="134">
        <v>3.28</v>
      </c>
      <c r="J68" s="134">
        <v>0.41</v>
      </c>
      <c r="K68" s="134">
        <v>296.52999999999997</v>
      </c>
      <c r="L68" s="134">
        <v>32.76</v>
      </c>
      <c r="M68" s="134">
        <v>59.41</v>
      </c>
      <c r="N68" s="134">
        <v>364.1</v>
      </c>
      <c r="O68" s="134">
        <v>0</v>
      </c>
      <c r="P68" s="134">
        <v>0.42</v>
      </c>
      <c r="Q68" s="134">
        <v>4.33</v>
      </c>
    </row>
    <row r="69" spans="1:17" customFormat="1">
      <c r="A69" s="112" t="s">
        <v>1738</v>
      </c>
      <c r="B69" s="134">
        <v>8.11</v>
      </c>
      <c r="C69" s="134">
        <v>20.22</v>
      </c>
      <c r="D69" s="134">
        <v>16.02</v>
      </c>
      <c r="E69" s="134">
        <v>7.68</v>
      </c>
      <c r="F69" s="134">
        <v>14.02</v>
      </c>
      <c r="G69" s="134">
        <v>31.34</v>
      </c>
      <c r="H69" s="134">
        <v>7.43</v>
      </c>
      <c r="I69" s="134">
        <v>3.29</v>
      </c>
      <c r="J69" s="134">
        <v>0.32</v>
      </c>
      <c r="K69" s="134">
        <v>285.05</v>
      </c>
      <c r="L69" s="134">
        <v>33.15</v>
      </c>
      <c r="M69" s="134">
        <v>59.17</v>
      </c>
      <c r="N69" s="134">
        <v>341.6</v>
      </c>
      <c r="O69" s="134">
        <v>0</v>
      </c>
      <c r="P69" s="134">
        <v>0.42</v>
      </c>
      <c r="Q69" s="134">
        <v>4.3499999999999996</v>
      </c>
    </row>
    <row r="70" spans="1:17" customFormat="1">
      <c r="A70" s="112" t="s">
        <v>1739</v>
      </c>
      <c r="B70" s="134">
        <v>8.41</v>
      </c>
      <c r="C70" s="134">
        <v>21.86</v>
      </c>
      <c r="D70" s="134">
        <v>17.12</v>
      </c>
      <c r="E70" s="134">
        <v>7.55</v>
      </c>
      <c r="F70" s="134">
        <v>8.2200000000000006</v>
      </c>
      <c r="G70" s="134">
        <v>31.55</v>
      </c>
      <c r="H70" s="134">
        <v>7.42</v>
      </c>
      <c r="I70" s="134">
        <v>3.2</v>
      </c>
      <c r="J70" s="134">
        <v>0.35</v>
      </c>
      <c r="K70" s="134">
        <v>295.82</v>
      </c>
      <c r="L70" s="134">
        <v>33.090000000000003</v>
      </c>
      <c r="M70" s="134">
        <v>59.09</v>
      </c>
      <c r="N70" s="134">
        <v>234.4</v>
      </c>
      <c r="O70" s="134">
        <v>0</v>
      </c>
      <c r="P70" s="134">
        <v>0.43</v>
      </c>
      <c r="Q70" s="134">
        <v>4.3099999999999996</v>
      </c>
    </row>
    <row r="71" spans="1:17" customFormat="1">
      <c r="A71" s="112" t="s">
        <v>1740</v>
      </c>
      <c r="B71" s="134">
        <v>8.27</v>
      </c>
      <c r="C71" s="134">
        <v>23.9</v>
      </c>
      <c r="D71" s="134">
        <v>18.07</v>
      </c>
      <c r="E71" s="134">
        <v>7.39</v>
      </c>
      <c r="F71" s="134">
        <v>4.25</v>
      </c>
      <c r="G71" s="134">
        <v>31.55</v>
      </c>
      <c r="H71" s="134">
        <v>7.42</v>
      </c>
      <c r="I71" s="134">
        <v>3.14</v>
      </c>
      <c r="J71" s="134">
        <v>0.37</v>
      </c>
      <c r="K71" s="134">
        <v>251.22</v>
      </c>
      <c r="L71" s="134">
        <v>32.51</v>
      </c>
      <c r="M71" s="134">
        <v>63.45</v>
      </c>
      <c r="N71" s="134">
        <v>265.2</v>
      </c>
      <c r="O71" s="134">
        <v>0</v>
      </c>
      <c r="P71" s="134">
        <v>0.46</v>
      </c>
      <c r="Q71" s="134">
        <v>4.28</v>
      </c>
    </row>
    <row r="72" spans="1:17" customFormat="1">
      <c r="A72" s="112" t="s">
        <v>1741</v>
      </c>
      <c r="B72" s="134">
        <v>7.37</v>
      </c>
      <c r="C72" s="134">
        <v>25.56</v>
      </c>
      <c r="D72" s="134">
        <v>18.22</v>
      </c>
      <c r="E72" s="134">
        <v>7.77</v>
      </c>
      <c r="F72" s="134">
        <v>4.45</v>
      </c>
      <c r="G72" s="134">
        <v>31.55</v>
      </c>
      <c r="H72" s="134">
        <v>7.42</v>
      </c>
      <c r="I72" s="134">
        <v>3.42</v>
      </c>
      <c r="J72" s="134">
        <v>0.57999999999999996</v>
      </c>
      <c r="K72" s="134">
        <v>270.47000000000003</v>
      </c>
      <c r="L72" s="134">
        <v>32.97</v>
      </c>
      <c r="M72" s="134">
        <v>62.09</v>
      </c>
      <c r="N72" s="134">
        <v>326.8</v>
      </c>
      <c r="O72" s="134">
        <v>0</v>
      </c>
      <c r="P72" s="134">
        <v>0.49</v>
      </c>
      <c r="Q72" s="134">
        <v>4.3099999999999996</v>
      </c>
    </row>
    <row r="73" spans="1:17" customFormat="1">
      <c r="A73" s="112" t="s">
        <v>1742</v>
      </c>
      <c r="B73" s="134">
        <v>6.86</v>
      </c>
      <c r="C73" s="134">
        <v>23.25</v>
      </c>
      <c r="D73" s="134">
        <v>16.600000000000001</v>
      </c>
      <c r="E73" s="134">
        <v>7.86</v>
      </c>
      <c r="F73" s="134">
        <v>9.27</v>
      </c>
      <c r="G73" s="134">
        <v>30.86</v>
      </c>
      <c r="H73" s="134">
        <v>8.08</v>
      </c>
      <c r="I73" s="134">
        <v>3.68</v>
      </c>
      <c r="J73" s="134">
        <v>0.45</v>
      </c>
      <c r="K73" s="134">
        <v>264.27</v>
      </c>
      <c r="L73" s="134">
        <v>32.450000000000003</v>
      </c>
      <c r="M73" s="134">
        <v>65.55</v>
      </c>
      <c r="N73" s="134">
        <v>255</v>
      </c>
      <c r="O73" s="134">
        <v>0</v>
      </c>
      <c r="P73" s="134">
        <v>0.45</v>
      </c>
      <c r="Q73" s="134">
        <v>4.32</v>
      </c>
    </row>
    <row r="74" spans="1:17" customFormat="1">
      <c r="A74" s="112" t="s">
        <v>1743</v>
      </c>
      <c r="B74" s="134">
        <v>6.55</v>
      </c>
      <c r="C74" s="134">
        <v>21.37</v>
      </c>
      <c r="D74" s="134">
        <v>15.38</v>
      </c>
      <c r="E74" s="134">
        <v>8.27</v>
      </c>
      <c r="F74" s="134">
        <v>11.31</v>
      </c>
      <c r="G74" s="134">
        <v>30.58</v>
      </c>
      <c r="H74" s="134">
        <v>8.11</v>
      </c>
      <c r="I74" s="134">
        <v>3.57</v>
      </c>
      <c r="J74" s="134">
        <v>0.75</v>
      </c>
      <c r="K74" s="134">
        <v>264.41000000000003</v>
      </c>
      <c r="L74" s="134">
        <v>32.630000000000003</v>
      </c>
      <c r="M74" s="134">
        <v>63.45</v>
      </c>
      <c r="N74" s="134">
        <v>246.8</v>
      </c>
      <c r="O74" s="134">
        <v>0</v>
      </c>
      <c r="P74" s="134">
        <v>0.43</v>
      </c>
      <c r="Q74" s="134">
        <v>4.3</v>
      </c>
    </row>
    <row r="75" spans="1:17" customFormat="1">
      <c r="A75" s="112" t="s">
        <v>1744</v>
      </c>
      <c r="B75" s="134">
        <v>6.43</v>
      </c>
      <c r="C75" s="134">
        <v>20.399999999999999</v>
      </c>
      <c r="D75" s="134">
        <v>14.77</v>
      </c>
      <c r="E75" s="134">
        <v>8.66</v>
      </c>
      <c r="F75" s="134">
        <v>12.71</v>
      </c>
      <c r="G75" s="134">
        <v>30.58</v>
      </c>
      <c r="H75" s="134">
        <v>8.11</v>
      </c>
      <c r="I75" s="134">
        <v>3.32</v>
      </c>
      <c r="J75" s="134">
        <v>0.54</v>
      </c>
      <c r="K75" s="134">
        <v>254.14</v>
      </c>
      <c r="L75" s="134">
        <v>32.46</v>
      </c>
      <c r="M75" s="134">
        <v>65.08</v>
      </c>
      <c r="N75" s="134">
        <v>176</v>
      </c>
      <c r="O75" s="134">
        <v>0</v>
      </c>
      <c r="P75" s="134">
        <v>0.41</v>
      </c>
      <c r="Q75" s="134">
        <v>4.24</v>
      </c>
    </row>
    <row r="76" spans="1:17" customFormat="1">
      <c r="A76" s="112" t="s">
        <v>1745</v>
      </c>
      <c r="B76" s="134">
        <v>6.29</v>
      </c>
      <c r="C76" s="134">
        <v>19.04</v>
      </c>
      <c r="D76" s="134">
        <v>13.95</v>
      </c>
      <c r="E76" s="134">
        <v>8.2799999999999994</v>
      </c>
      <c r="F76" s="134">
        <v>12.46</v>
      </c>
      <c r="G76" s="134">
        <v>30.58</v>
      </c>
      <c r="H76" s="134">
        <v>8.11</v>
      </c>
      <c r="I76" s="134">
        <v>3.31</v>
      </c>
      <c r="J76" s="134">
        <v>0.79</v>
      </c>
      <c r="K76" s="134">
        <v>266.01</v>
      </c>
      <c r="L76" s="134">
        <v>32.11</v>
      </c>
      <c r="M76" s="134">
        <v>64.349999999999994</v>
      </c>
      <c r="N76" s="134">
        <v>118.1</v>
      </c>
      <c r="O76" s="134">
        <v>0</v>
      </c>
      <c r="P76" s="134">
        <v>0.41</v>
      </c>
      <c r="Q76" s="134">
        <v>4.17</v>
      </c>
    </row>
    <row r="77" spans="1:17" customFormat="1">
      <c r="A77" s="112" t="s">
        <v>1746</v>
      </c>
      <c r="B77" s="134">
        <v>5.98</v>
      </c>
      <c r="C77" s="134">
        <v>17.68</v>
      </c>
      <c r="D77" s="134">
        <v>12.98</v>
      </c>
      <c r="E77" s="134">
        <v>8.7799999999999994</v>
      </c>
      <c r="F77" s="134">
        <v>15.48</v>
      </c>
      <c r="G77" s="134">
        <v>30.63</v>
      </c>
      <c r="H77" s="134">
        <v>7.53</v>
      </c>
      <c r="I77" s="134">
        <v>3.25</v>
      </c>
      <c r="J77" s="134">
        <v>0.72</v>
      </c>
      <c r="K77" s="134">
        <v>264.7</v>
      </c>
      <c r="L77" s="134">
        <v>31.73</v>
      </c>
      <c r="M77" s="134">
        <v>65.2</v>
      </c>
      <c r="N77" s="134">
        <v>87.2</v>
      </c>
      <c r="O77" s="134">
        <v>0</v>
      </c>
      <c r="P77" s="134">
        <v>0.38</v>
      </c>
      <c r="Q77" s="134">
        <v>4.1900000000000004</v>
      </c>
    </row>
    <row r="78" spans="1:17" customFormat="1">
      <c r="A78" s="112" t="s">
        <v>1747</v>
      </c>
      <c r="B78" s="134">
        <v>5.82</v>
      </c>
      <c r="C78" s="134">
        <v>17.02</v>
      </c>
      <c r="D78" s="134">
        <v>12.52</v>
      </c>
      <c r="E78" s="134">
        <v>8.3000000000000007</v>
      </c>
      <c r="F78" s="134">
        <v>15.26</v>
      </c>
      <c r="G78" s="134">
        <v>30.65</v>
      </c>
      <c r="H78" s="134">
        <v>7.51</v>
      </c>
      <c r="I78" s="134">
        <v>3.11</v>
      </c>
      <c r="J78" s="134">
        <v>0.76</v>
      </c>
      <c r="K78" s="134">
        <v>263.18</v>
      </c>
      <c r="L78" s="134">
        <v>31.61</v>
      </c>
      <c r="M78" s="134">
        <v>65.790000000000006</v>
      </c>
      <c r="N78" s="134">
        <v>72.7</v>
      </c>
      <c r="O78" s="134">
        <v>0</v>
      </c>
      <c r="P78" s="134">
        <v>0.36</v>
      </c>
      <c r="Q78" s="134">
        <v>4.1500000000000004</v>
      </c>
    </row>
    <row r="79" spans="1:17" customFormat="1">
      <c r="A79" s="112" t="s">
        <v>1748</v>
      </c>
      <c r="B79" s="134">
        <v>5.91</v>
      </c>
      <c r="C79" s="134">
        <v>18.21</v>
      </c>
      <c r="D79" s="134">
        <v>13.2</v>
      </c>
      <c r="E79" s="134">
        <v>8.17</v>
      </c>
      <c r="F79" s="134">
        <v>11.47</v>
      </c>
      <c r="G79" s="134">
        <v>30.65</v>
      </c>
      <c r="H79" s="134">
        <v>7.51</v>
      </c>
      <c r="I79" s="134">
        <v>2.97</v>
      </c>
      <c r="J79" s="134">
        <v>0.74</v>
      </c>
      <c r="K79" s="134">
        <v>260.75</v>
      </c>
      <c r="L79" s="134">
        <v>31.43</v>
      </c>
      <c r="M79" s="134">
        <v>66.38</v>
      </c>
      <c r="N79" s="134">
        <v>54</v>
      </c>
      <c r="O79" s="134">
        <v>0</v>
      </c>
      <c r="P79" s="134">
        <v>0.38</v>
      </c>
      <c r="Q79" s="134">
        <v>4.13</v>
      </c>
    </row>
    <row r="80" spans="1:17" customFormat="1">
      <c r="A80" s="112" t="s">
        <v>1749</v>
      </c>
      <c r="B80" s="134">
        <v>5.97</v>
      </c>
      <c r="C80" s="134">
        <v>18.11</v>
      </c>
      <c r="D80" s="134">
        <v>13.2</v>
      </c>
      <c r="E80" s="134">
        <v>8.0399999999999991</v>
      </c>
      <c r="F80" s="134">
        <v>13.03</v>
      </c>
      <c r="G80" s="134">
        <v>30.65</v>
      </c>
      <c r="H80" s="134">
        <v>7.51</v>
      </c>
      <c r="I80" s="134">
        <v>2.89</v>
      </c>
      <c r="J80" s="134">
        <v>0.69</v>
      </c>
      <c r="K80" s="134">
        <v>264.83999999999997</v>
      </c>
      <c r="L80" s="134">
        <v>31.05</v>
      </c>
      <c r="M80" s="134">
        <v>67.760000000000005</v>
      </c>
      <c r="N80" s="134">
        <v>28</v>
      </c>
      <c r="O80" s="134">
        <v>0</v>
      </c>
      <c r="P80" s="134">
        <v>0.37</v>
      </c>
      <c r="Q80" s="134">
        <v>4.1100000000000003</v>
      </c>
    </row>
    <row r="81" spans="1:17" customFormat="1">
      <c r="A81" s="112" t="s">
        <v>1750</v>
      </c>
      <c r="B81" s="134">
        <v>6.05</v>
      </c>
      <c r="C81" s="134">
        <v>18.2</v>
      </c>
      <c r="D81" s="134">
        <v>13.32</v>
      </c>
      <c r="E81" s="134">
        <v>6.96</v>
      </c>
      <c r="F81" s="134">
        <v>10.44</v>
      </c>
      <c r="G81" s="134">
        <v>29.58</v>
      </c>
      <c r="H81" s="134">
        <v>7.04</v>
      </c>
      <c r="I81" s="134">
        <v>3</v>
      </c>
      <c r="J81" s="134">
        <v>0.73</v>
      </c>
      <c r="K81" s="134">
        <v>266.18</v>
      </c>
      <c r="L81" s="134">
        <v>30.88</v>
      </c>
      <c r="M81" s="134">
        <v>67.349999999999994</v>
      </c>
      <c r="N81" s="134">
        <v>4.2</v>
      </c>
      <c r="O81" s="134">
        <v>0</v>
      </c>
      <c r="P81" s="134">
        <v>0.39</v>
      </c>
      <c r="Q81" s="134">
        <v>4.1399999999999997</v>
      </c>
    </row>
    <row r="82" spans="1:17" customFormat="1">
      <c r="A82" s="112" t="s">
        <v>1751</v>
      </c>
      <c r="B82" s="134">
        <v>5.9</v>
      </c>
      <c r="C82" s="134">
        <v>19.100000000000001</v>
      </c>
      <c r="D82" s="134">
        <v>13.66</v>
      </c>
      <c r="E82" s="134">
        <v>7.45</v>
      </c>
      <c r="F82" s="134">
        <v>10.74</v>
      </c>
      <c r="G82" s="134">
        <v>29.15</v>
      </c>
      <c r="H82" s="134">
        <v>7.02</v>
      </c>
      <c r="I82" s="134">
        <v>2.94</v>
      </c>
      <c r="J82" s="134">
        <v>0.46</v>
      </c>
      <c r="K82" s="134">
        <v>258.70999999999998</v>
      </c>
      <c r="L82" s="134">
        <v>30.56</v>
      </c>
      <c r="M82" s="134">
        <v>70.72</v>
      </c>
      <c r="N82" s="134">
        <v>0</v>
      </c>
      <c r="O82" s="134">
        <v>0</v>
      </c>
      <c r="P82" s="134">
        <v>0.41</v>
      </c>
      <c r="Q82" s="134">
        <v>4.16</v>
      </c>
    </row>
    <row r="83" spans="1:17" customFormat="1">
      <c r="A83" s="112" t="s">
        <v>1752</v>
      </c>
      <c r="B83" s="134">
        <v>6.05</v>
      </c>
      <c r="C83" s="134">
        <v>19.62</v>
      </c>
      <c r="D83" s="134">
        <v>14.06</v>
      </c>
      <c r="E83" s="134">
        <v>7.59</v>
      </c>
      <c r="F83" s="134">
        <v>8.23</v>
      </c>
      <c r="G83" s="134">
        <v>29.15</v>
      </c>
      <c r="H83" s="134">
        <v>7.02</v>
      </c>
      <c r="I83" s="134">
        <v>3.02</v>
      </c>
      <c r="J83" s="134">
        <v>0.92</v>
      </c>
      <c r="K83" s="134">
        <v>272.94</v>
      </c>
      <c r="L83" s="134">
        <v>30.02</v>
      </c>
      <c r="M83" s="134">
        <v>70.31</v>
      </c>
      <c r="N83" s="134">
        <v>0</v>
      </c>
      <c r="O83" s="134">
        <v>0</v>
      </c>
      <c r="P83" s="134">
        <v>0.41</v>
      </c>
      <c r="Q83" s="134">
        <v>4.16</v>
      </c>
    </row>
    <row r="84" spans="1:17" customFormat="1">
      <c r="A84" s="112" t="s">
        <v>1753</v>
      </c>
      <c r="B84" s="134">
        <v>6.67</v>
      </c>
      <c r="C84" s="134">
        <v>20.58</v>
      </c>
      <c r="D84" s="134">
        <v>15.05</v>
      </c>
      <c r="E84" s="134">
        <v>7.62</v>
      </c>
      <c r="F84" s="134">
        <v>5.91</v>
      </c>
      <c r="G84" s="134">
        <v>29.15</v>
      </c>
      <c r="H84" s="134">
        <v>7.02</v>
      </c>
      <c r="I84" s="134">
        <v>3.09</v>
      </c>
      <c r="J84" s="134">
        <v>0.88</v>
      </c>
      <c r="K84" s="134">
        <v>276.87</v>
      </c>
      <c r="L84" s="134">
        <v>29.23</v>
      </c>
      <c r="M84" s="134">
        <v>67.63</v>
      </c>
      <c r="N84" s="134">
        <v>0</v>
      </c>
      <c r="O84" s="134">
        <v>0</v>
      </c>
      <c r="P84" s="134">
        <v>0.42</v>
      </c>
      <c r="Q84" s="134">
        <v>4.1399999999999997</v>
      </c>
    </row>
    <row r="85" spans="1:17" customFormat="1">
      <c r="A85" s="112" t="s">
        <v>1754</v>
      </c>
      <c r="B85" s="134">
        <v>6.87</v>
      </c>
      <c r="C85" s="134">
        <v>20.61</v>
      </c>
      <c r="D85" s="134">
        <v>15.24</v>
      </c>
      <c r="E85" s="134">
        <v>7.09</v>
      </c>
      <c r="F85" s="134">
        <v>6.19</v>
      </c>
      <c r="G85" s="134">
        <v>29.3</v>
      </c>
      <c r="H85" s="134">
        <v>5.01</v>
      </c>
      <c r="I85" s="134">
        <v>3.28</v>
      </c>
      <c r="J85" s="134">
        <v>0.51</v>
      </c>
      <c r="K85" s="134">
        <v>265.42</v>
      </c>
      <c r="L85" s="134">
        <v>29.02</v>
      </c>
      <c r="M85" s="134">
        <v>66.8</v>
      </c>
      <c r="N85" s="134">
        <v>0</v>
      </c>
      <c r="O85" s="134">
        <v>0</v>
      </c>
      <c r="P85" s="134">
        <v>0.41</v>
      </c>
      <c r="Q85" s="134">
        <v>4.17</v>
      </c>
    </row>
    <row r="86" spans="1:17" customFormat="1">
      <c r="A86" s="112" t="s">
        <v>1755</v>
      </c>
      <c r="B86" s="134">
        <v>9.48</v>
      </c>
      <c r="C86" s="134">
        <v>21.05</v>
      </c>
      <c r="D86" s="134">
        <v>17.559999999999999</v>
      </c>
      <c r="E86" s="134">
        <v>6.79</v>
      </c>
      <c r="F86" s="134">
        <v>5.55</v>
      </c>
      <c r="G86" s="134">
        <v>29.36</v>
      </c>
      <c r="H86" s="134">
        <v>4.91</v>
      </c>
      <c r="I86" s="134">
        <v>3.28</v>
      </c>
      <c r="J86" s="134">
        <v>0.38</v>
      </c>
      <c r="K86" s="134">
        <v>282.47000000000003</v>
      </c>
      <c r="L86" s="134">
        <v>29.02</v>
      </c>
      <c r="M86" s="134">
        <v>65.98</v>
      </c>
      <c r="N86" s="134">
        <v>0</v>
      </c>
      <c r="O86" s="134">
        <v>0</v>
      </c>
      <c r="P86" s="134">
        <v>0.43</v>
      </c>
      <c r="Q86" s="134">
        <v>4.17</v>
      </c>
    </row>
    <row r="87" spans="1:17" customFormat="1">
      <c r="A87" s="112" t="s">
        <v>1756</v>
      </c>
      <c r="B87" s="134">
        <v>9.9600000000000009</v>
      </c>
      <c r="C87" s="134">
        <v>23.17</v>
      </c>
      <c r="D87" s="134">
        <v>19.05</v>
      </c>
      <c r="E87" s="134">
        <v>6.87</v>
      </c>
      <c r="F87" s="134">
        <v>3.81</v>
      </c>
      <c r="G87" s="134">
        <v>29.36</v>
      </c>
      <c r="H87" s="134">
        <v>4.91</v>
      </c>
      <c r="I87" s="134">
        <v>3.22</v>
      </c>
      <c r="J87" s="134">
        <v>0.36</v>
      </c>
      <c r="K87" s="134">
        <v>278.77999999999997</v>
      </c>
      <c r="L87" s="134">
        <v>29.16</v>
      </c>
      <c r="M87" s="134">
        <v>67.349999999999994</v>
      </c>
      <c r="N87" s="134">
        <v>0</v>
      </c>
      <c r="O87" s="134">
        <v>0</v>
      </c>
      <c r="P87" s="134">
        <v>0.47</v>
      </c>
      <c r="Q87" s="134">
        <v>4.25</v>
      </c>
    </row>
    <row r="88" spans="1:17" customFormat="1">
      <c r="A88" s="112" t="s">
        <v>1757</v>
      </c>
      <c r="B88" s="134">
        <v>10.9</v>
      </c>
      <c r="C88" s="134">
        <v>24.65</v>
      </c>
      <c r="D88" s="134">
        <v>20.58</v>
      </c>
      <c r="E88" s="134">
        <v>7.07</v>
      </c>
      <c r="F88" s="134">
        <v>3.88</v>
      </c>
      <c r="G88" s="134">
        <v>29.36</v>
      </c>
      <c r="H88" s="134">
        <v>4.91</v>
      </c>
      <c r="I88" s="134">
        <v>3.39</v>
      </c>
      <c r="J88" s="134">
        <v>0.4</v>
      </c>
      <c r="K88" s="134">
        <v>293.75</v>
      </c>
      <c r="L88" s="134">
        <v>29.09</v>
      </c>
      <c r="M88" s="134">
        <v>69.22</v>
      </c>
      <c r="N88" s="134">
        <v>0</v>
      </c>
      <c r="O88" s="134">
        <v>0</v>
      </c>
      <c r="P88" s="134">
        <v>0.47</v>
      </c>
      <c r="Q88" s="134">
        <v>4.29</v>
      </c>
    </row>
    <row r="89" spans="1:17" customFormat="1">
      <c r="A89" s="112" t="s">
        <v>1758</v>
      </c>
      <c r="B89" s="134">
        <v>10.92</v>
      </c>
      <c r="C89" s="134">
        <v>24.9</v>
      </c>
      <c r="D89" s="134">
        <v>20.72</v>
      </c>
      <c r="E89" s="134">
        <v>7.42</v>
      </c>
      <c r="F89" s="134">
        <v>4.29</v>
      </c>
      <c r="G89" s="134">
        <v>28.41</v>
      </c>
      <c r="H89" s="134">
        <v>7.09</v>
      </c>
      <c r="I89" s="134">
        <v>3.69</v>
      </c>
      <c r="J89" s="134">
        <v>0.33</v>
      </c>
      <c r="K89" s="134">
        <v>276.76</v>
      </c>
      <c r="L89" s="134">
        <v>29.11</v>
      </c>
      <c r="M89" s="134">
        <v>70.260000000000005</v>
      </c>
      <c r="N89" s="134">
        <v>0</v>
      </c>
      <c r="O89" s="134">
        <v>0</v>
      </c>
      <c r="P89" s="134">
        <v>0.51</v>
      </c>
      <c r="Q89" s="134">
        <v>4.38</v>
      </c>
    </row>
    <row r="90" spans="1:17" customFormat="1">
      <c r="A90" s="112" t="s">
        <v>1759</v>
      </c>
      <c r="B90" s="134">
        <v>10.74</v>
      </c>
      <c r="C90" s="134">
        <v>25.03</v>
      </c>
      <c r="D90" s="134">
        <v>20.64</v>
      </c>
      <c r="E90" s="134">
        <v>7.86</v>
      </c>
      <c r="F90" s="134">
        <v>3.55</v>
      </c>
      <c r="G90" s="134">
        <v>28.02</v>
      </c>
      <c r="H90" s="134">
        <v>7.58</v>
      </c>
      <c r="I90" s="134">
        <v>3.79</v>
      </c>
      <c r="J90" s="134">
        <v>0.21</v>
      </c>
      <c r="K90" s="134">
        <v>250.39</v>
      </c>
      <c r="L90" s="134">
        <v>28.91</v>
      </c>
      <c r="M90" s="134">
        <v>72.09</v>
      </c>
      <c r="N90" s="134">
        <v>0</v>
      </c>
      <c r="O90" s="134">
        <v>0</v>
      </c>
      <c r="P90" s="134">
        <v>0.49</v>
      </c>
      <c r="Q90" s="134">
        <v>4.42</v>
      </c>
    </row>
    <row r="91" spans="1:17" customFormat="1">
      <c r="A91" s="112" t="s">
        <v>1760</v>
      </c>
      <c r="B91" s="134">
        <v>10.76</v>
      </c>
      <c r="C91" s="134">
        <v>26.44</v>
      </c>
      <c r="D91" s="134">
        <v>21.4</v>
      </c>
      <c r="E91" s="134">
        <v>7.95</v>
      </c>
      <c r="F91" s="134">
        <v>2.61</v>
      </c>
      <c r="G91" s="134">
        <v>28.02</v>
      </c>
      <c r="H91" s="134">
        <v>7.58</v>
      </c>
      <c r="I91" s="134">
        <v>4.01</v>
      </c>
      <c r="J91" s="134">
        <v>0.48</v>
      </c>
      <c r="K91" s="134">
        <v>262.49</v>
      </c>
      <c r="L91" s="134">
        <v>28.9</v>
      </c>
      <c r="M91" s="134">
        <v>72.760000000000005</v>
      </c>
      <c r="N91" s="134">
        <v>0</v>
      </c>
      <c r="O91" s="134">
        <v>0</v>
      </c>
      <c r="P91" s="134">
        <v>0.52</v>
      </c>
      <c r="Q91" s="134">
        <v>4.54</v>
      </c>
    </row>
    <row r="92" spans="1:17" customFormat="1">
      <c r="A92" s="112" t="s">
        <v>1761</v>
      </c>
      <c r="B92" s="134">
        <v>10.7</v>
      </c>
      <c r="C92" s="134">
        <v>27.99</v>
      </c>
      <c r="D92" s="134">
        <v>22.15</v>
      </c>
      <c r="E92" s="134">
        <v>8.09</v>
      </c>
      <c r="F92" s="134">
        <v>2.64</v>
      </c>
      <c r="G92" s="134">
        <v>28.02</v>
      </c>
      <c r="H92" s="134">
        <v>7.58</v>
      </c>
      <c r="I92" s="134">
        <v>4.24</v>
      </c>
      <c r="J92" s="134">
        <v>0.63</v>
      </c>
      <c r="K92" s="134">
        <v>265.81</v>
      </c>
      <c r="L92" s="134">
        <v>29.05</v>
      </c>
      <c r="M92" s="134">
        <v>72.709999999999994</v>
      </c>
      <c r="N92" s="134">
        <v>0</v>
      </c>
      <c r="O92" s="134">
        <v>0</v>
      </c>
      <c r="P92" s="134">
        <v>0.55000000000000004</v>
      </c>
      <c r="Q92" s="134">
        <v>4.58</v>
      </c>
    </row>
    <row r="93" spans="1:17" customFormat="1">
      <c r="A93" s="112" t="s">
        <v>1762</v>
      </c>
      <c r="B93" s="134">
        <v>10.31</v>
      </c>
      <c r="C93" s="134">
        <v>27.79</v>
      </c>
      <c r="D93" s="134">
        <v>21.74</v>
      </c>
      <c r="E93" s="134">
        <v>8.35</v>
      </c>
      <c r="F93" s="134">
        <v>3.41</v>
      </c>
      <c r="G93" s="134">
        <v>31.12</v>
      </c>
      <c r="H93" s="134">
        <v>5.59</v>
      </c>
      <c r="I93" s="134">
        <v>4.16</v>
      </c>
      <c r="J93" s="134">
        <v>0.43</v>
      </c>
      <c r="K93" s="134">
        <v>256.20999999999998</v>
      </c>
      <c r="L93" s="134">
        <v>28.7</v>
      </c>
      <c r="M93" s="134">
        <v>76.989999999999995</v>
      </c>
      <c r="N93" s="134">
        <v>0</v>
      </c>
      <c r="O93" s="134">
        <v>0</v>
      </c>
      <c r="P93" s="134">
        <v>0.55000000000000004</v>
      </c>
      <c r="Q93" s="134">
        <v>4.5999999999999996</v>
      </c>
    </row>
    <row r="94" spans="1:17" customFormat="1">
      <c r="A94" s="112" t="s">
        <v>1763</v>
      </c>
      <c r="B94" s="134">
        <v>10.07</v>
      </c>
      <c r="C94" s="134">
        <v>23.62</v>
      </c>
      <c r="D94" s="134">
        <v>19.37</v>
      </c>
      <c r="E94" s="134">
        <v>7.85</v>
      </c>
      <c r="F94" s="134">
        <v>5.68</v>
      </c>
      <c r="G94" s="134">
        <v>32.380000000000003</v>
      </c>
      <c r="H94" s="134">
        <v>5.5</v>
      </c>
      <c r="I94" s="134">
        <v>4.28</v>
      </c>
      <c r="J94" s="134">
        <v>0.32</v>
      </c>
      <c r="K94" s="134">
        <v>257.45999999999998</v>
      </c>
      <c r="L94" s="134">
        <v>28.38</v>
      </c>
      <c r="M94" s="134">
        <v>80.349999999999994</v>
      </c>
      <c r="N94" s="134">
        <v>0</v>
      </c>
      <c r="O94" s="134">
        <v>0</v>
      </c>
      <c r="P94" s="134">
        <v>0.63</v>
      </c>
      <c r="Q94" s="134">
        <v>4.54</v>
      </c>
    </row>
    <row r="95" spans="1:17" customFormat="1">
      <c r="A95" s="112" t="s">
        <v>1764</v>
      </c>
      <c r="B95" s="134">
        <v>9.93</v>
      </c>
      <c r="C95" s="134">
        <v>21.52</v>
      </c>
      <c r="D95" s="134">
        <v>18.170000000000002</v>
      </c>
      <c r="E95" s="134">
        <v>9.99</v>
      </c>
      <c r="F95" s="134">
        <v>6.07</v>
      </c>
      <c r="G95" s="134">
        <v>32.380000000000003</v>
      </c>
      <c r="H95" s="134">
        <v>5.5</v>
      </c>
      <c r="I95" s="134">
        <v>4.58</v>
      </c>
      <c r="J95" s="134">
        <v>0.66</v>
      </c>
      <c r="K95" s="134">
        <v>263.88</v>
      </c>
      <c r="L95" s="134">
        <v>28.29</v>
      </c>
      <c r="M95" s="134">
        <v>77.16</v>
      </c>
      <c r="N95" s="134">
        <v>0</v>
      </c>
      <c r="O95" s="134">
        <v>0</v>
      </c>
      <c r="P95" s="134">
        <v>0.69</v>
      </c>
      <c r="Q95" s="134">
        <v>4.4800000000000004</v>
      </c>
    </row>
    <row r="96" spans="1:17" customFormat="1">
      <c r="A96" s="112" t="s">
        <v>1765</v>
      </c>
      <c r="B96" s="134">
        <v>10.14</v>
      </c>
      <c r="C96" s="134">
        <v>20.69</v>
      </c>
      <c r="D96" s="134">
        <v>17.899999999999999</v>
      </c>
      <c r="E96" s="134">
        <v>9.11</v>
      </c>
      <c r="F96" s="134">
        <v>7.31</v>
      </c>
      <c r="G96" s="134">
        <v>32.380000000000003</v>
      </c>
      <c r="H96" s="134">
        <v>5.5</v>
      </c>
      <c r="I96" s="134">
        <v>5.86</v>
      </c>
      <c r="J96" s="134">
        <v>0.63</v>
      </c>
      <c r="K96" s="134">
        <v>260.67</v>
      </c>
      <c r="L96" s="134">
        <v>28.23</v>
      </c>
      <c r="M96" s="134">
        <v>75.459999999999994</v>
      </c>
      <c r="N96" s="134">
        <v>0</v>
      </c>
      <c r="O96" s="134">
        <v>0</v>
      </c>
      <c r="P96" s="134">
        <v>0.55000000000000004</v>
      </c>
      <c r="Q96" s="134">
        <v>4.46</v>
      </c>
    </row>
    <row r="97" spans="1:22" customFormat="1">
      <c r="A97" s="112" t="s">
        <v>1766</v>
      </c>
      <c r="B97" s="134">
        <v>10.26</v>
      </c>
      <c r="C97" s="134">
        <v>21.02</v>
      </c>
      <c r="D97" s="134">
        <v>18.16</v>
      </c>
      <c r="E97" s="134">
        <v>7.86</v>
      </c>
      <c r="F97" s="134">
        <v>7.42</v>
      </c>
      <c r="G97" s="134">
        <v>34.479999999999997</v>
      </c>
      <c r="H97" s="134">
        <v>10.130000000000001</v>
      </c>
      <c r="I97" s="134">
        <v>7</v>
      </c>
      <c r="J97" s="134">
        <v>0.77</v>
      </c>
      <c r="K97" s="134">
        <v>265.33</v>
      </c>
      <c r="L97" s="134">
        <v>28.09</v>
      </c>
      <c r="M97" s="134">
        <v>75.53</v>
      </c>
      <c r="N97" s="134">
        <v>0</v>
      </c>
      <c r="O97" s="134">
        <v>0</v>
      </c>
      <c r="P97" s="134">
        <v>0.52</v>
      </c>
      <c r="Q97" s="134">
        <v>4.49</v>
      </c>
    </row>
    <row r="98" spans="1:22" customFormat="1">
      <c r="A98" s="112" t="s">
        <v>1767</v>
      </c>
      <c r="B98" s="134">
        <v>10.64</v>
      </c>
      <c r="C98" s="134">
        <v>22.22</v>
      </c>
      <c r="D98" s="134">
        <v>19.100000000000001</v>
      </c>
      <c r="E98" s="134">
        <v>7.61</v>
      </c>
      <c r="F98" s="134">
        <v>5.09</v>
      </c>
      <c r="G98" s="134">
        <v>35.340000000000003</v>
      </c>
      <c r="H98" s="134">
        <v>10.35</v>
      </c>
      <c r="I98" s="134">
        <v>5.53</v>
      </c>
      <c r="J98" s="134">
        <v>0.49</v>
      </c>
      <c r="K98" s="134">
        <v>261.74</v>
      </c>
      <c r="L98" s="134">
        <v>27.84</v>
      </c>
      <c r="M98" s="134">
        <v>78.52</v>
      </c>
      <c r="N98" s="134">
        <v>0</v>
      </c>
      <c r="O98" s="134">
        <v>0</v>
      </c>
      <c r="P98" s="134">
        <v>0.53</v>
      </c>
      <c r="Q98" s="134">
        <v>4.4800000000000004</v>
      </c>
    </row>
    <row r="99" spans="1:22" customFormat="1">
      <c r="A99" s="112" t="s">
        <v>1768</v>
      </c>
      <c r="B99" s="134">
        <v>10.82</v>
      </c>
      <c r="C99" s="134">
        <v>24.5</v>
      </c>
      <c r="D99" s="134">
        <v>20.43</v>
      </c>
      <c r="E99" s="134">
        <v>8.1</v>
      </c>
      <c r="F99" s="134">
        <v>3.75</v>
      </c>
      <c r="G99" s="134">
        <v>35.340000000000003</v>
      </c>
      <c r="H99" s="134">
        <v>10.35</v>
      </c>
      <c r="I99" s="134">
        <v>5.0599999999999996</v>
      </c>
      <c r="J99" s="134">
        <v>0.6</v>
      </c>
      <c r="K99" s="134">
        <v>262.83</v>
      </c>
      <c r="L99" s="134">
        <v>27.66</v>
      </c>
      <c r="M99" s="134">
        <v>79</v>
      </c>
      <c r="N99" s="134">
        <v>0</v>
      </c>
      <c r="O99" s="134">
        <v>0</v>
      </c>
      <c r="P99" s="134">
        <v>0.55000000000000004</v>
      </c>
      <c r="Q99" s="134">
        <v>4.55</v>
      </c>
    </row>
    <row r="100" spans="1:22" customFormat="1">
      <c r="A100" s="112" t="s">
        <v>1769</v>
      </c>
      <c r="B100" s="134">
        <v>10.66</v>
      </c>
      <c r="C100" s="134">
        <v>22.68</v>
      </c>
      <c r="D100" s="134">
        <v>19.350000000000001</v>
      </c>
      <c r="E100" s="134">
        <v>7.83</v>
      </c>
      <c r="F100" s="134">
        <v>5.15</v>
      </c>
      <c r="G100" s="134">
        <v>35.340000000000003</v>
      </c>
      <c r="H100" s="134">
        <v>10.35</v>
      </c>
      <c r="I100" s="134">
        <v>5.0599999999999996</v>
      </c>
      <c r="J100" s="134">
        <v>0.63</v>
      </c>
      <c r="K100" s="134">
        <v>260.79000000000002</v>
      </c>
      <c r="L100" s="134">
        <v>27.53</v>
      </c>
      <c r="M100" s="134">
        <v>79.86</v>
      </c>
      <c r="N100" s="134">
        <v>0</v>
      </c>
      <c r="O100" s="134">
        <v>0</v>
      </c>
      <c r="P100" s="134">
        <v>0.53</v>
      </c>
      <c r="Q100" s="134">
        <v>4.47</v>
      </c>
    </row>
    <row r="101" spans="1:22" customFormat="1">
      <c r="A101" s="112" t="s">
        <v>1770</v>
      </c>
      <c r="B101" s="134">
        <v>9.98</v>
      </c>
      <c r="C101" s="134">
        <v>19.97</v>
      </c>
      <c r="D101" s="134">
        <v>17.39</v>
      </c>
      <c r="E101" s="134">
        <v>7.68</v>
      </c>
      <c r="F101" s="134">
        <v>10.71</v>
      </c>
      <c r="G101" s="134">
        <v>31.09</v>
      </c>
      <c r="H101" s="134">
        <v>8.57</v>
      </c>
      <c r="I101" s="134">
        <v>5.05</v>
      </c>
      <c r="J101" s="134">
        <v>0.35</v>
      </c>
      <c r="K101" s="134">
        <v>257.05</v>
      </c>
      <c r="L101" s="134">
        <v>27.31</v>
      </c>
      <c r="M101" s="134">
        <v>81.53</v>
      </c>
      <c r="N101" s="134">
        <v>0</v>
      </c>
      <c r="O101" s="134">
        <v>0</v>
      </c>
      <c r="P101" s="134">
        <v>0.5</v>
      </c>
      <c r="Q101" s="134">
        <v>4.47</v>
      </c>
    </row>
    <row r="102" spans="1:22" customFormat="1">
      <c r="A102" s="112" t="s">
        <v>1771</v>
      </c>
      <c r="B102" s="134">
        <v>10.199999999999999</v>
      </c>
      <c r="C102" s="134">
        <v>19.829999999999998</v>
      </c>
      <c r="D102" s="134">
        <v>17.489999999999998</v>
      </c>
      <c r="E102" s="134">
        <v>7.28</v>
      </c>
      <c r="F102" s="134">
        <v>7.41</v>
      </c>
      <c r="G102" s="134">
        <v>29.37</v>
      </c>
      <c r="H102" s="134">
        <v>8.49</v>
      </c>
      <c r="I102" s="134">
        <v>4.76</v>
      </c>
      <c r="J102" s="134">
        <v>0.43</v>
      </c>
      <c r="K102" s="134">
        <v>260.14</v>
      </c>
      <c r="L102" s="134">
        <v>27.04</v>
      </c>
      <c r="M102" s="134">
        <v>83.36</v>
      </c>
      <c r="N102" s="134">
        <v>0</v>
      </c>
      <c r="O102" s="134">
        <v>0</v>
      </c>
      <c r="P102" s="134">
        <v>0.49</v>
      </c>
      <c r="Q102" s="134">
        <v>4.42</v>
      </c>
    </row>
    <row r="103" spans="1:22" customFormat="1">
      <c r="A103" s="112" t="s">
        <v>1772</v>
      </c>
      <c r="B103" s="134">
        <v>10.46</v>
      </c>
      <c r="C103" s="134">
        <v>20.63</v>
      </c>
      <c r="D103" s="134">
        <v>18.12</v>
      </c>
      <c r="E103" s="134">
        <v>6.98</v>
      </c>
      <c r="F103" s="134">
        <v>5.33</v>
      </c>
      <c r="G103" s="134">
        <v>29.37</v>
      </c>
      <c r="H103" s="134">
        <v>8.49</v>
      </c>
      <c r="I103" s="134">
        <v>4.43</v>
      </c>
      <c r="J103" s="134">
        <v>0.46</v>
      </c>
      <c r="K103" s="134">
        <v>255.8</v>
      </c>
      <c r="L103" s="134">
        <v>26.88</v>
      </c>
      <c r="M103" s="134">
        <v>83.96</v>
      </c>
      <c r="N103" s="134">
        <v>0</v>
      </c>
      <c r="O103" s="134">
        <v>0</v>
      </c>
      <c r="P103" s="134">
        <v>0.49</v>
      </c>
      <c r="Q103" s="134">
        <v>4.41</v>
      </c>
    </row>
    <row r="104" spans="1:22" customFormat="1">
      <c r="A104" s="112" t="s">
        <v>1773</v>
      </c>
      <c r="B104" s="134">
        <v>10.88</v>
      </c>
      <c r="C104" s="134">
        <v>23.94</v>
      </c>
      <c r="D104" s="134">
        <v>20.190000000000001</v>
      </c>
      <c r="E104" s="134">
        <v>7.56</v>
      </c>
      <c r="F104" s="134">
        <v>2.64</v>
      </c>
      <c r="G104" s="134">
        <v>29.37</v>
      </c>
      <c r="H104" s="134">
        <v>8.49</v>
      </c>
      <c r="I104" s="134">
        <v>4.5599999999999996</v>
      </c>
      <c r="J104" s="134">
        <v>0.28000000000000003</v>
      </c>
      <c r="K104" s="134">
        <v>246.59</v>
      </c>
      <c r="L104" s="134">
        <v>26.73</v>
      </c>
      <c r="M104" s="134">
        <v>85.37</v>
      </c>
      <c r="N104" s="134">
        <v>0</v>
      </c>
      <c r="O104" s="134">
        <v>0</v>
      </c>
      <c r="P104" s="134">
        <v>0.53</v>
      </c>
      <c r="Q104" s="134">
        <v>4.46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5.82</v>
      </c>
      <c r="C106" s="183">
        <f>MIN(C9:C104)</f>
        <v>17.02</v>
      </c>
      <c r="D106" s="183">
        <f t="shared" ref="D106:Q106" si="0">MIN(D9:D104)</f>
        <v>12.52</v>
      </c>
      <c r="E106" s="183">
        <f t="shared" si="0"/>
        <v>5.1100000000000003</v>
      </c>
      <c r="F106" s="183">
        <f t="shared" si="0"/>
        <v>2.15</v>
      </c>
      <c r="G106" s="183">
        <f t="shared" si="0"/>
        <v>13.36</v>
      </c>
      <c r="H106" s="183">
        <f t="shared" si="0"/>
        <v>4</v>
      </c>
      <c r="I106" s="183">
        <f t="shared" si="0"/>
        <v>2.77</v>
      </c>
      <c r="J106" s="183">
        <f t="shared" si="0"/>
        <v>0.17</v>
      </c>
      <c r="K106" s="183">
        <f t="shared" si="0"/>
        <v>3.08</v>
      </c>
      <c r="L106" s="183">
        <f t="shared" si="0"/>
        <v>25.98</v>
      </c>
      <c r="M106" s="183">
        <f t="shared" si="0"/>
        <v>55.76</v>
      </c>
      <c r="N106" s="183">
        <f t="shared" si="0"/>
        <v>0</v>
      </c>
      <c r="O106" s="183">
        <f t="shared" si="0"/>
        <v>0</v>
      </c>
      <c r="P106" s="183">
        <f t="shared" si="0"/>
        <v>0.27</v>
      </c>
      <c r="Q106" s="183">
        <f t="shared" si="0"/>
        <v>4.1100000000000003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12.58</v>
      </c>
      <c r="C107" s="184">
        <f t="shared" ref="C107:Q107" si="1">MAX(C9:C104)</f>
        <v>27.99</v>
      </c>
      <c r="D107" s="184">
        <f t="shared" si="1"/>
        <v>22.15</v>
      </c>
      <c r="E107" s="184">
        <f t="shared" si="1"/>
        <v>9.99</v>
      </c>
      <c r="F107" s="184">
        <f t="shared" si="1"/>
        <v>15.48</v>
      </c>
      <c r="G107" s="184">
        <f t="shared" si="1"/>
        <v>35.340000000000003</v>
      </c>
      <c r="H107" s="184">
        <f t="shared" si="1"/>
        <v>10.42</v>
      </c>
      <c r="I107" s="184">
        <f t="shared" si="1"/>
        <v>7</v>
      </c>
      <c r="J107" s="184">
        <f t="shared" si="1"/>
        <v>0.92</v>
      </c>
      <c r="K107" s="184">
        <f t="shared" si="1"/>
        <v>358.84</v>
      </c>
      <c r="L107" s="184">
        <f t="shared" si="1"/>
        <v>34.049999999999997</v>
      </c>
      <c r="M107" s="184">
        <f t="shared" si="1"/>
        <v>91.93</v>
      </c>
      <c r="N107" s="184">
        <f t="shared" si="1"/>
        <v>856.3</v>
      </c>
      <c r="O107" s="184">
        <f t="shared" si="1"/>
        <v>0</v>
      </c>
      <c r="P107" s="184">
        <f t="shared" si="1"/>
        <v>0.69</v>
      </c>
      <c r="Q107" s="184">
        <f t="shared" si="1"/>
        <v>4.6100000000000003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9.8167708333333312</v>
      </c>
      <c r="C108" s="183">
        <f t="shared" ref="C108:Q108" si="2">AVERAGE(C9:C104)</f>
        <v>21.72208333333333</v>
      </c>
      <c r="D108" s="183">
        <f t="shared" si="2"/>
        <v>18.17583333333334</v>
      </c>
      <c r="E108" s="183">
        <f t="shared" si="2"/>
        <v>7.1461458333333354</v>
      </c>
      <c r="F108" s="183">
        <f t="shared" si="2"/>
        <v>6.0094791666666678</v>
      </c>
      <c r="G108" s="183">
        <f t="shared" si="2"/>
        <v>26.425624999999997</v>
      </c>
      <c r="H108" s="183">
        <f t="shared" si="2"/>
        <v>6.948333333333335</v>
      </c>
      <c r="I108" s="183">
        <f t="shared" si="2"/>
        <v>3.5191666666666666</v>
      </c>
      <c r="J108" s="183">
        <f t="shared" si="2"/>
        <v>0.52864583333333337</v>
      </c>
      <c r="K108" s="183">
        <f t="shared" si="2"/>
        <v>267.97770833333334</v>
      </c>
      <c r="L108" s="183">
        <f t="shared" si="2"/>
        <v>29.301666666666677</v>
      </c>
      <c r="M108" s="183">
        <f t="shared" si="2"/>
        <v>74.085625000000007</v>
      </c>
      <c r="N108" s="183">
        <f t="shared" si="2"/>
        <v>159.51979166666669</v>
      </c>
      <c r="O108" s="183">
        <f t="shared" si="2"/>
        <v>0</v>
      </c>
      <c r="P108" s="183">
        <f t="shared" si="2"/>
        <v>0.39687500000000009</v>
      </c>
      <c r="Q108" s="183">
        <f t="shared" si="2"/>
        <v>4.3963541666666694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1.8340312198408548</v>
      </c>
      <c r="C109" s="183">
        <f t="shared" ref="C109:Q109" si="3">STDEV(C9:C104)</f>
        <v>2.0792574163649826</v>
      </c>
      <c r="D109" s="183">
        <f t="shared" si="3"/>
        <v>2.1212740296274162</v>
      </c>
      <c r="E109" s="183">
        <f t="shared" si="3"/>
        <v>0.97490120394637902</v>
      </c>
      <c r="F109" s="183">
        <f t="shared" si="3"/>
        <v>3.3191499767233235</v>
      </c>
      <c r="G109" s="183">
        <f t="shared" si="3"/>
        <v>5.9787085055835458</v>
      </c>
      <c r="H109" s="183">
        <f t="shared" si="3"/>
        <v>1.7999284586172677</v>
      </c>
      <c r="I109" s="183">
        <f t="shared" si="3"/>
        <v>0.69116783957020211</v>
      </c>
      <c r="J109" s="183">
        <f t="shared" si="3"/>
        <v>0.16720375084981023</v>
      </c>
      <c r="K109" s="183">
        <f t="shared" si="3"/>
        <v>42.835282419474268</v>
      </c>
      <c r="L109" s="183">
        <f t="shared" si="3"/>
        <v>2.5808100183618019</v>
      </c>
      <c r="M109" s="183">
        <f t="shared" si="3"/>
        <v>11.225341894922071</v>
      </c>
      <c r="N109" s="183">
        <f t="shared" si="3"/>
        <v>227.25402416437754</v>
      </c>
      <c r="O109" s="183">
        <f t="shared" si="3"/>
        <v>0</v>
      </c>
      <c r="P109" s="183">
        <f t="shared" si="3"/>
        <v>8.1114765999526356E-2</v>
      </c>
      <c r="Q109" s="183">
        <f t="shared" si="3"/>
        <v>0.11928841468127624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17/08/2023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1774</v>
      </c>
      <c r="B9" s="134">
        <v>8.49</v>
      </c>
      <c r="C9" s="134">
        <v>19.38</v>
      </c>
      <c r="D9" s="134">
        <v>15.89</v>
      </c>
      <c r="E9" s="134">
        <v>7.72</v>
      </c>
      <c r="F9" s="134">
        <v>5.18</v>
      </c>
      <c r="G9" s="134">
        <v>26.57</v>
      </c>
      <c r="H9" s="134">
        <v>6.33</v>
      </c>
      <c r="I9" s="134">
        <v>4.6399999999999997</v>
      </c>
      <c r="J9" s="134">
        <v>0.45</v>
      </c>
      <c r="K9" s="134">
        <v>259.93</v>
      </c>
      <c r="L9" s="134">
        <v>26.66</v>
      </c>
      <c r="M9" s="134">
        <v>85.51</v>
      </c>
      <c r="N9" s="134">
        <v>0</v>
      </c>
      <c r="O9" s="134">
        <v>0</v>
      </c>
      <c r="P9" s="134">
        <v>0.51</v>
      </c>
      <c r="Q9" s="134">
        <v>4.46</v>
      </c>
    </row>
    <row r="10" spans="1:21" customFormat="1">
      <c r="A10" s="112" t="s">
        <v>1775</v>
      </c>
      <c r="B10" s="134">
        <v>8.5399999999999991</v>
      </c>
      <c r="C10" s="134">
        <v>19.68</v>
      </c>
      <c r="D10" s="134">
        <v>16.079999999999998</v>
      </c>
      <c r="E10" s="134">
        <v>7.75</v>
      </c>
      <c r="F10" s="134">
        <v>5.58</v>
      </c>
      <c r="G10" s="134">
        <v>25.43</v>
      </c>
      <c r="H10" s="134">
        <v>6.23</v>
      </c>
      <c r="I10" s="134">
        <v>4.7300000000000004</v>
      </c>
      <c r="J10" s="134">
        <v>0.57999999999999996</v>
      </c>
      <c r="K10" s="134">
        <v>262.57</v>
      </c>
      <c r="L10" s="134">
        <v>26.65</v>
      </c>
      <c r="M10" s="134">
        <v>84.24</v>
      </c>
      <c r="N10" s="134">
        <v>0</v>
      </c>
      <c r="O10" s="134">
        <v>0</v>
      </c>
      <c r="P10" s="134">
        <v>0.47</v>
      </c>
      <c r="Q10" s="134">
        <v>4.4000000000000004</v>
      </c>
    </row>
    <row r="11" spans="1:21" customFormat="1">
      <c r="A11" s="112" t="s">
        <v>1776</v>
      </c>
      <c r="B11" s="134">
        <v>8.33</v>
      </c>
      <c r="C11" s="134">
        <v>19.12</v>
      </c>
      <c r="D11" s="134">
        <v>15.62</v>
      </c>
      <c r="E11" s="134">
        <v>7.19</v>
      </c>
      <c r="F11" s="134">
        <v>6.11</v>
      </c>
      <c r="G11" s="134">
        <v>25.43</v>
      </c>
      <c r="H11" s="134">
        <v>6.23</v>
      </c>
      <c r="I11" s="134">
        <v>4.51</v>
      </c>
      <c r="J11" s="134">
        <v>0.43</v>
      </c>
      <c r="K11" s="134">
        <v>260.52999999999997</v>
      </c>
      <c r="L11" s="134">
        <v>26.66</v>
      </c>
      <c r="M11" s="134">
        <v>84.7</v>
      </c>
      <c r="N11" s="134">
        <v>0</v>
      </c>
      <c r="O11" s="134">
        <v>0</v>
      </c>
      <c r="P11" s="134">
        <v>0.46</v>
      </c>
      <c r="Q11" s="134">
        <v>4.38</v>
      </c>
    </row>
    <row r="12" spans="1:21" customFormat="1">
      <c r="A12" s="112" t="s">
        <v>1777</v>
      </c>
      <c r="B12" s="134">
        <v>8.33</v>
      </c>
      <c r="C12" s="134">
        <v>19.02</v>
      </c>
      <c r="D12" s="134">
        <v>15.57</v>
      </c>
      <c r="E12" s="134">
        <v>7.15</v>
      </c>
      <c r="F12" s="134">
        <v>5.21</v>
      </c>
      <c r="G12" s="134">
        <v>25.43</v>
      </c>
      <c r="H12" s="134">
        <v>6.23</v>
      </c>
      <c r="I12" s="134">
        <v>4.32</v>
      </c>
      <c r="J12" s="134">
        <v>0.35</v>
      </c>
      <c r="K12" s="134">
        <v>260.95</v>
      </c>
      <c r="L12" s="134">
        <v>26.66</v>
      </c>
      <c r="M12" s="134">
        <v>85.07</v>
      </c>
      <c r="N12" s="134">
        <v>0</v>
      </c>
      <c r="O12" s="134">
        <v>0</v>
      </c>
      <c r="P12" s="134">
        <v>0.45</v>
      </c>
      <c r="Q12" s="134">
        <v>4.37</v>
      </c>
    </row>
    <row r="13" spans="1:21" customFormat="1">
      <c r="A13" s="112" t="s">
        <v>1778</v>
      </c>
      <c r="B13" s="134">
        <v>8.9600000000000009</v>
      </c>
      <c r="C13" s="134">
        <v>23.05</v>
      </c>
      <c r="D13" s="134">
        <v>18.18</v>
      </c>
      <c r="E13" s="134">
        <v>7.9</v>
      </c>
      <c r="F13" s="134">
        <v>2.29</v>
      </c>
      <c r="G13" s="134">
        <v>23.59</v>
      </c>
      <c r="H13" s="134">
        <v>7.58</v>
      </c>
      <c r="I13" s="134">
        <v>4.17</v>
      </c>
      <c r="J13" s="134">
        <v>0.46</v>
      </c>
      <c r="K13" s="134">
        <v>262.45</v>
      </c>
      <c r="L13" s="134">
        <v>26.63</v>
      </c>
      <c r="M13" s="134">
        <v>85.31</v>
      </c>
      <c r="N13" s="134">
        <v>0</v>
      </c>
      <c r="O13" s="134">
        <v>0</v>
      </c>
      <c r="P13" s="134">
        <v>0.5</v>
      </c>
      <c r="Q13" s="134">
        <v>4.46</v>
      </c>
    </row>
    <row r="14" spans="1:21" customFormat="1">
      <c r="A14" s="112" t="s">
        <v>1779</v>
      </c>
      <c r="B14" s="134">
        <v>8.99</v>
      </c>
      <c r="C14" s="134">
        <v>22.08</v>
      </c>
      <c r="D14" s="134">
        <v>17.7</v>
      </c>
      <c r="E14" s="134">
        <v>7.8</v>
      </c>
      <c r="F14" s="134">
        <v>3.59</v>
      </c>
      <c r="G14" s="134">
        <v>22.85</v>
      </c>
      <c r="H14" s="134">
        <v>7.67</v>
      </c>
      <c r="I14" s="134">
        <v>4.18</v>
      </c>
      <c r="J14" s="134">
        <v>0.47</v>
      </c>
      <c r="K14" s="134">
        <v>263.98</v>
      </c>
      <c r="L14" s="134">
        <v>26.63</v>
      </c>
      <c r="M14" s="134">
        <v>85.22</v>
      </c>
      <c r="N14" s="134">
        <v>0</v>
      </c>
      <c r="O14" s="134">
        <v>0</v>
      </c>
      <c r="P14" s="134">
        <v>0.48</v>
      </c>
      <c r="Q14" s="134">
        <v>4.43</v>
      </c>
    </row>
    <row r="15" spans="1:21" customFormat="1">
      <c r="A15" s="112" t="s">
        <v>1780</v>
      </c>
      <c r="B15" s="134">
        <v>8.89</v>
      </c>
      <c r="C15" s="134">
        <v>19.96</v>
      </c>
      <c r="D15" s="134">
        <v>16.510000000000002</v>
      </c>
      <c r="E15" s="134">
        <v>7.67</v>
      </c>
      <c r="F15" s="134">
        <v>5.0199999999999996</v>
      </c>
      <c r="G15" s="134">
        <v>22.85</v>
      </c>
      <c r="H15" s="134">
        <v>7.67</v>
      </c>
      <c r="I15" s="134">
        <v>4.45</v>
      </c>
      <c r="J15" s="134">
        <v>0.48</v>
      </c>
      <c r="K15" s="134">
        <v>258.05</v>
      </c>
      <c r="L15" s="134">
        <v>26.57</v>
      </c>
      <c r="M15" s="134">
        <v>85.85</v>
      </c>
      <c r="N15" s="134">
        <v>0</v>
      </c>
      <c r="O15" s="134">
        <v>0</v>
      </c>
      <c r="P15" s="134">
        <v>0.46</v>
      </c>
      <c r="Q15" s="134">
        <v>4.38</v>
      </c>
    </row>
    <row r="16" spans="1:21" customFormat="1">
      <c r="A16" s="112" t="s">
        <v>1781</v>
      </c>
      <c r="B16" s="134">
        <v>9.0299999999999994</v>
      </c>
      <c r="C16" s="134">
        <v>19.96</v>
      </c>
      <c r="D16" s="134">
        <v>16.63</v>
      </c>
      <c r="E16" s="134">
        <v>7.47</v>
      </c>
      <c r="F16" s="134">
        <v>3.96</v>
      </c>
      <c r="G16" s="134">
        <v>22.85</v>
      </c>
      <c r="H16" s="134">
        <v>7.67</v>
      </c>
      <c r="I16" s="134">
        <v>4.26</v>
      </c>
      <c r="J16" s="134">
        <v>0.53</v>
      </c>
      <c r="K16" s="134">
        <v>265.08</v>
      </c>
      <c r="L16" s="134">
        <v>26.46</v>
      </c>
      <c r="M16" s="134">
        <v>86.48</v>
      </c>
      <c r="N16" s="134">
        <v>0</v>
      </c>
      <c r="O16" s="134">
        <v>0</v>
      </c>
      <c r="P16" s="134">
        <v>0.46</v>
      </c>
      <c r="Q16" s="134">
        <v>4.3600000000000003</v>
      </c>
    </row>
    <row r="17" spans="1:17" customFormat="1">
      <c r="A17" s="112" t="s">
        <v>1782</v>
      </c>
      <c r="B17" s="134">
        <v>8.3699999999999992</v>
      </c>
      <c r="C17" s="134">
        <v>21.6</v>
      </c>
      <c r="D17" s="134">
        <v>16.95</v>
      </c>
      <c r="E17" s="134">
        <v>5.64</v>
      </c>
      <c r="F17" s="134">
        <v>3.22</v>
      </c>
      <c r="G17" s="134">
        <v>22.84</v>
      </c>
      <c r="H17" s="134">
        <v>6.22</v>
      </c>
      <c r="I17" s="134">
        <v>4.1399999999999997</v>
      </c>
      <c r="J17" s="134">
        <v>0.38</v>
      </c>
      <c r="K17" s="134">
        <v>258.36</v>
      </c>
      <c r="L17" s="134">
        <v>26.51</v>
      </c>
      <c r="M17" s="134">
        <v>86.83</v>
      </c>
      <c r="N17" s="134">
        <v>0</v>
      </c>
      <c r="O17" s="134">
        <v>0</v>
      </c>
      <c r="P17" s="134">
        <v>0.5</v>
      </c>
      <c r="Q17" s="134">
        <v>4.37</v>
      </c>
    </row>
    <row r="18" spans="1:17" customFormat="1">
      <c r="A18" s="112" t="s">
        <v>1783</v>
      </c>
      <c r="B18" s="134">
        <v>8.18</v>
      </c>
      <c r="C18" s="134">
        <v>22.34</v>
      </c>
      <c r="D18" s="134">
        <v>17.18</v>
      </c>
      <c r="E18" s="134">
        <v>6.43</v>
      </c>
      <c r="F18" s="134">
        <v>2.87</v>
      </c>
      <c r="G18" s="134">
        <v>22.83</v>
      </c>
      <c r="H18" s="134">
        <v>6.11</v>
      </c>
      <c r="I18" s="134">
        <v>4.2</v>
      </c>
      <c r="J18" s="134">
        <v>0.43</v>
      </c>
      <c r="K18" s="134">
        <v>261.75</v>
      </c>
      <c r="L18" s="134">
        <v>26.44</v>
      </c>
      <c r="M18" s="134">
        <v>87.66</v>
      </c>
      <c r="N18" s="134">
        <v>0</v>
      </c>
      <c r="O18" s="134">
        <v>0</v>
      </c>
      <c r="P18" s="134">
        <v>0.48</v>
      </c>
      <c r="Q18" s="134">
        <v>4.3899999999999997</v>
      </c>
    </row>
    <row r="19" spans="1:17" customFormat="1">
      <c r="A19" s="112" t="s">
        <v>1784</v>
      </c>
      <c r="B19" s="134">
        <v>8.34</v>
      </c>
      <c r="C19" s="134">
        <v>20.48</v>
      </c>
      <c r="D19" s="134">
        <v>16.34</v>
      </c>
      <c r="E19" s="134">
        <v>6.3</v>
      </c>
      <c r="F19" s="134">
        <v>3.68</v>
      </c>
      <c r="G19" s="134">
        <v>22.83</v>
      </c>
      <c r="H19" s="134">
        <v>6.11</v>
      </c>
      <c r="I19" s="134">
        <v>4.1399999999999997</v>
      </c>
      <c r="J19" s="134">
        <v>0.51</v>
      </c>
      <c r="K19" s="134">
        <v>264.26</v>
      </c>
      <c r="L19" s="134">
        <v>26.34</v>
      </c>
      <c r="M19" s="134">
        <v>88.16</v>
      </c>
      <c r="N19" s="134">
        <v>0</v>
      </c>
      <c r="O19" s="134">
        <v>0</v>
      </c>
      <c r="P19" s="134">
        <v>0.45</v>
      </c>
      <c r="Q19" s="134">
        <v>4.3600000000000003</v>
      </c>
    </row>
    <row r="20" spans="1:17" customFormat="1">
      <c r="A20" s="112" t="s">
        <v>1785</v>
      </c>
      <c r="B20" s="134">
        <v>8.5500000000000007</v>
      </c>
      <c r="C20" s="134">
        <v>19.420000000000002</v>
      </c>
      <c r="D20" s="134">
        <v>15.96</v>
      </c>
      <c r="E20" s="134">
        <v>5.43</v>
      </c>
      <c r="F20" s="134">
        <v>4.01</v>
      </c>
      <c r="G20" s="134">
        <v>22.83</v>
      </c>
      <c r="H20" s="134">
        <v>6.11</v>
      </c>
      <c r="I20" s="134">
        <v>4.05</v>
      </c>
      <c r="J20" s="134">
        <v>0.37</v>
      </c>
      <c r="K20" s="134">
        <v>257.31</v>
      </c>
      <c r="L20" s="134">
        <v>26.31</v>
      </c>
      <c r="M20" s="134">
        <v>88.84</v>
      </c>
      <c r="N20" s="134">
        <v>0</v>
      </c>
      <c r="O20" s="134">
        <v>0</v>
      </c>
      <c r="P20" s="134">
        <v>0.43</v>
      </c>
      <c r="Q20" s="134">
        <v>4.34</v>
      </c>
    </row>
    <row r="21" spans="1:17" customFormat="1">
      <c r="A21" s="112" t="s">
        <v>1786</v>
      </c>
      <c r="B21" s="134">
        <v>8.2200000000000006</v>
      </c>
      <c r="C21" s="134">
        <v>17.86</v>
      </c>
      <c r="D21" s="134">
        <v>14.88</v>
      </c>
      <c r="E21" s="134">
        <v>5.79</v>
      </c>
      <c r="F21" s="134">
        <v>5.28</v>
      </c>
      <c r="G21" s="134">
        <v>20.61</v>
      </c>
      <c r="H21" s="134">
        <v>7.55</v>
      </c>
      <c r="I21" s="134">
        <v>3.92</v>
      </c>
      <c r="J21" s="134">
        <v>0.41</v>
      </c>
      <c r="K21" s="134">
        <v>262.36</v>
      </c>
      <c r="L21" s="134">
        <v>26.24</v>
      </c>
      <c r="M21" s="134">
        <v>89.78</v>
      </c>
      <c r="N21" s="134">
        <v>0</v>
      </c>
      <c r="O21" s="134">
        <v>0</v>
      </c>
      <c r="P21" s="134">
        <v>0.42</v>
      </c>
      <c r="Q21" s="134">
        <v>4.3499999999999996</v>
      </c>
    </row>
    <row r="22" spans="1:17" customFormat="1">
      <c r="A22" s="112" t="s">
        <v>1787</v>
      </c>
      <c r="B22" s="134">
        <v>8.64</v>
      </c>
      <c r="C22" s="134">
        <v>18.8</v>
      </c>
      <c r="D22" s="134">
        <v>15.71</v>
      </c>
      <c r="E22" s="134">
        <v>6.3</v>
      </c>
      <c r="F22" s="134">
        <v>4.28</v>
      </c>
      <c r="G22" s="134">
        <v>19.71</v>
      </c>
      <c r="H22" s="134">
        <v>7.62</v>
      </c>
      <c r="I22" s="134">
        <v>3.79</v>
      </c>
      <c r="J22" s="134">
        <v>0.37</v>
      </c>
      <c r="K22" s="134">
        <v>263.70999999999998</v>
      </c>
      <c r="L22" s="134">
        <v>26.25</v>
      </c>
      <c r="M22" s="134">
        <v>89.79</v>
      </c>
      <c r="N22" s="134">
        <v>0</v>
      </c>
      <c r="O22" s="134">
        <v>0</v>
      </c>
      <c r="P22" s="134">
        <v>0.41</v>
      </c>
      <c r="Q22" s="134">
        <v>4.3499999999999996</v>
      </c>
    </row>
    <row r="23" spans="1:17" customFormat="1">
      <c r="A23" s="112" t="s">
        <v>1788</v>
      </c>
      <c r="B23" s="134">
        <v>9.27</v>
      </c>
      <c r="C23" s="134">
        <v>22.41</v>
      </c>
      <c r="D23" s="134">
        <v>18.100000000000001</v>
      </c>
      <c r="E23" s="134">
        <v>6.73</v>
      </c>
      <c r="F23" s="134">
        <v>2.02</v>
      </c>
      <c r="G23" s="134">
        <v>19.71</v>
      </c>
      <c r="H23" s="134">
        <v>7.62</v>
      </c>
      <c r="I23" s="134">
        <v>3.62</v>
      </c>
      <c r="J23" s="134">
        <v>0.39</v>
      </c>
      <c r="K23" s="134">
        <v>261.83999999999997</v>
      </c>
      <c r="L23" s="134">
        <v>26.24</v>
      </c>
      <c r="M23" s="134">
        <v>90.2</v>
      </c>
      <c r="N23" s="134">
        <v>0</v>
      </c>
      <c r="O23" s="134">
        <v>0</v>
      </c>
      <c r="P23" s="134">
        <v>0.46</v>
      </c>
      <c r="Q23" s="134">
        <v>4.3899999999999997</v>
      </c>
    </row>
    <row r="24" spans="1:17" customFormat="1">
      <c r="A24" s="112" t="s">
        <v>1789</v>
      </c>
      <c r="B24" s="134">
        <v>9.32</v>
      </c>
      <c r="C24" s="134">
        <v>22.3</v>
      </c>
      <c r="D24" s="134">
        <v>18.079999999999998</v>
      </c>
      <c r="E24" s="134">
        <v>7.32</v>
      </c>
      <c r="F24" s="134">
        <v>2.4</v>
      </c>
      <c r="G24" s="134">
        <v>19.71</v>
      </c>
      <c r="H24" s="134">
        <v>7.62</v>
      </c>
      <c r="I24" s="134">
        <v>3.79</v>
      </c>
      <c r="J24" s="134">
        <v>0.56000000000000005</v>
      </c>
      <c r="K24" s="134">
        <v>265.10000000000002</v>
      </c>
      <c r="L24" s="134">
        <v>26.29</v>
      </c>
      <c r="M24" s="134">
        <v>89.79</v>
      </c>
      <c r="N24" s="134">
        <v>0</v>
      </c>
      <c r="O24" s="134">
        <v>0</v>
      </c>
      <c r="P24" s="134">
        <v>0.46</v>
      </c>
      <c r="Q24" s="134">
        <v>4.45</v>
      </c>
    </row>
    <row r="25" spans="1:17" customFormat="1">
      <c r="A25" s="112" t="s">
        <v>1790</v>
      </c>
      <c r="B25" s="134">
        <v>9.01</v>
      </c>
      <c r="C25" s="134">
        <v>19.809999999999999</v>
      </c>
      <c r="D25" s="134">
        <v>16.53</v>
      </c>
      <c r="E25" s="134">
        <v>7.19</v>
      </c>
      <c r="F25" s="134">
        <v>3.91</v>
      </c>
      <c r="G25" s="134">
        <v>21.04</v>
      </c>
      <c r="H25" s="134">
        <v>6.45</v>
      </c>
      <c r="I25" s="134">
        <v>3.96</v>
      </c>
      <c r="J25" s="134">
        <v>0.38</v>
      </c>
      <c r="K25" s="134">
        <v>267.51</v>
      </c>
      <c r="L25" s="134">
        <v>26.32</v>
      </c>
      <c r="M25" s="134">
        <v>89.97</v>
      </c>
      <c r="N25" s="134">
        <v>0</v>
      </c>
      <c r="O25" s="134">
        <v>0</v>
      </c>
      <c r="P25" s="134">
        <v>0.44</v>
      </c>
      <c r="Q25" s="134">
        <v>4.4400000000000004</v>
      </c>
    </row>
    <row r="26" spans="1:17" customFormat="1">
      <c r="A26" s="112" t="s">
        <v>1791</v>
      </c>
      <c r="B26" s="134">
        <v>9.1999999999999993</v>
      </c>
      <c r="C26" s="134">
        <v>18.79</v>
      </c>
      <c r="D26" s="134">
        <v>16.149999999999999</v>
      </c>
      <c r="E26" s="134">
        <v>6.73</v>
      </c>
      <c r="F26" s="134">
        <v>4.1900000000000004</v>
      </c>
      <c r="G26" s="134">
        <v>21.58</v>
      </c>
      <c r="H26" s="134">
        <v>6.4</v>
      </c>
      <c r="I26" s="134">
        <v>3.9</v>
      </c>
      <c r="J26" s="134">
        <v>0.52</v>
      </c>
      <c r="K26" s="134">
        <v>269.07</v>
      </c>
      <c r="L26" s="134">
        <v>26.33</v>
      </c>
      <c r="M26" s="134">
        <v>89.67</v>
      </c>
      <c r="N26" s="134">
        <v>0</v>
      </c>
      <c r="O26" s="134">
        <v>0</v>
      </c>
      <c r="P26" s="134">
        <v>0.42</v>
      </c>
      <c r="Q26" s="134">
        <v>4.42</v>
      </c>
    </row>
    <row r="27" spans="1:17" customFormat="1">
      <c r="A27" s="112" t="s">
        <v>1792</v>
      </c>
      <c r="B27" s="134">
        <v>9.74</v>
      </c>
      <c r="C27" s="134">
        <v>19.14</v>
      </c>
      <c r="D27" s="134">
        <v>16.77</v>
      </c>
      <c r="E27" s="134">
        <v>6.4</v>
      </c>
      <c r="F27" s="134">
        <v>3.48</v>
      </c>
      <c r="G27" s="134">
        <v>21.58</v>
      </c>
      <c r="H27" s="134">
        <v>6.4</v>
      </c>
      <c r="I27" s="134">
        <v>3.8</v>
      </c>
      <c r="J27" s="134">
        <v>0.54</v>
      </c>
      <c r="K27" s="134">
        <v>263.35000000000002</v>
      </c>
      <c r="L27" s="134">
        <v>26.31</v>
      </c>
      <c r="M27" s="134">
        <v>89.81</v>
      </c>
      <c r="N27" s="134">
        <v>0</v>
      </c>
      <c r="O27" s="134">
        <v>0</v>
      </c>
      <c r="P27" s="134">
        <v>0.43</v>
      </c>
      <c r="Q27" s="134">
        <v>4.4000000000000004</v>
      </c>
    </row>
    <row r="28" spans="1:17" customFormat="1">
      <c r="A28" s="112" t="s">
        <v>1793</v>
      </c>
      <c r="B28" s="134">
        <v>10.19</v>
      </c>
      <c r="C28" s="134">
        <v>22.77</v>
      </c>
      <c r="D28" s="134">
        <v>19.03</v>
      </c>
      <c r="E28" s="134">
        <v>6.68</v>
      </c>
      <c r="F28" s="134">
        <v>1.71</v>
      </c>
      <c r="G28" s="134">
        <v>21.58</v>
      </c>
      <c r="H28" s="134">
        <v>6.4</v>
      </c>
      <c r="I28" s="134">
        <v>3.81</v>
      </c>
      <c r="J28" s="134">
        <v>0.49</v>
      </c>
      <c r="K28" s="134">
        <v>266.81</v>
      </c>
      <c r="L28" s="134">
        <v>26.37</v>
      </c>
      <c r="M28" s="134">
        <v>89.74</v>
      </c>
      <c r="N28" s="134">
        <v>0</v>
      </c>
      <c r="O28" s="134">
        <v>0</v>
      </c>
      <c r="P28" s="134">
        <v>0.47</v>
      </c>
      <c r="Q28" s="134">
        <v>4.4800000000000004</v>
      </c>
    </row>
    <row r="29" spans="1:17" customFormat="1">
      <c r="A29" s="112" t="s">
        <v>1794</v>
      </c>
      <c r="B29" s="134">
        <v>10.119999999999999</v>
      </c>
      <c r="C29" s="134">
        <v>21.3</v>
      </c>
      <c r="D29" s="134">
        <v>18.2</v>
      </c>
      <c r="E29" s="134">
        <v>7.2</v>
      </c>
      <c r="F29" s="134">
        <v>2.93</v>
      </c>
      <c r="G29" s="134">
        <v>21.74</v>
      </c>
      <c r="H29" s="134">
        <v>6.4</v>
      </c>
      <c r="I29" s="134">
        <v>3.88</v>
      </c>
      <c r="J29" s="134">
        <v>0.54</v>
      </c>
      <c r="K29" s="134">
        <v>265.19</v>
      </c>
      <c r="L29" s="134">
        <v>26.3</v>
      </c>
      <c r="M29" s="134">
        <v>90.2</v>
      </c>
      <c r="N29" s="134">
        <v>0</v>
      </c>
      <c r="O29" s="134">
        <v>0</v>
      </c>
      <c r="P29" s="134">
        <v>0.45</v>
      </c>
      <c r="Q29" s="134">
        <v>4.47</v>
      </c>
    </row>
    <row r="30" spans="1:17" customFormat="1">
      <c r="A30" s="112" t="s">
        <v>1795</v>
      </c>
      <c r="B30" s="134">
        <v>10.23</v>
      </c>
      <c r="C30" s="134">
        <v>19.96</v>
      </c>
      <c r="D30" s="134">
        <v>17.59</v>
      </c>
      <c r="E30" s="134">
        <v>7</v>
      </c>
      <c r="F30" s="134">
        <v>3.2</v>
      </c>
      <c r="G30" s="134">
        <v>21.81</v>
      </c>
      <c r="H30" s="134">
        <v>6.39</v>
      </c>
      <c r="I30" s="134">
        <v>4</v>
      </c>
      <c r="J30" s="134">
        <v>0.33</v>
      </c>
      <c r="K30" s="134">
        <v>286.91000000000003</v>
      </c>
      <c r="L30" s="134">
        <v>26.37</v>
      </c>
      <c r="M30" s="134">
        <v>89.7</v>
      </c>
      <c r="N30" s="134">
        <v>0</v>
      </c>
      <c r="O30" s="134">
        <v>0</v>
      </c>
      <c r="P30" s="134">
        <v>0.43</v>
      </c>
      <c r="Q30" s="134">
        <v>4.47</v>
      </c>
    </row>
    <row r="31" spans="1:17" customFormat="1">
      <c r="A31" s="112" t="s">
        <v>1796</v>
      </c>
      <c r="B31" s="134">
        <v>10.84</v>
      </c>
      <c r="C31" s="134">
        <v>19.48</v>
      </c>
      <c r="D31" s="134">
        <v>17.829999999999998</v>
      </c>
      <c r="E31" s="134">
        <v>6.83</v>
      </c>
      <c r="F31" s="134">
        <v>3.19</v>
      </c>
      <c r="G31" s="134">
        <v>21.81</v>
      </c>
      <c r="H31" s="134">
        <v>6.39</v>
      </c>
      <c r="I31" s="134">
        <v>3.94</v>
      </c>
      <c r="J31" s="134">
        <v>0.5</v>
      </c>
      <c r="K31" s="134">
        <v>283.76</v>
      </c>
      <c r="L31" s="134">
        <v>26.46</v>
      </c>
      <c r="M31" s="134">
        <v>88.93</v>
      </c>
      <c r="N31" s="134">
        <v>0.2</v>
      </c>
      <c r="O31" s="134">
        <v>0</v>
      </c>
      <c r="P31" s="134">
        <v>0.42</v>
      </c>
      <c r="Q31" s="134">
        <v>4.45</v>
      </c>
    </row>
    <row r="32" spans="1:17" customFormat="1">
      <c r="A32" s="112" t="s">
        <v>1797</v>
      </c>
      <c r="B32" s="134">
        <v>11.59</v>
      </c>
      <c r="C32" s="134">
        <v>21.02</v>
      </c>
      <c r="D32" s="134">
        <v>19.23</v>
      </c>
      <c r="E32" s="134">
        <v>6.21</v>
      </c>
      <c r="F32" s="134">
        <v>2.46</v>
      </c>
      <c r="G32" s="134">
        <v>21.81</v>
      </c>
      <c r="H32" s="134">
        <v>6.39</v>
      </c>
      <c r="I32" s="134">
        <v>3.98</v>
      </c>
      <c r="J32" s="134">
        <v>0.63</v>
      </c>
      <c r="K32" s="134">
        <v>269.79000000000002</v>
      </c>
      <c r="L32" s="134">
        <v>26.55</v>
      </c>
      <c r="M32" s="134">
        <v>88.23</v>
      </c>
      <c r="N32" s="134">
        <v>11.8</v>
      </c>
      <c r="O32" s="134">
        <v>0</v>
      </c>
      <c r="P32" s="134">
        <v>0.44</v>
      </c>
      <c r="Q32" s="134">
        <v>4.51</v>
      </c>
    </row>
    <row r="33" spans="1:17" customFormat="1">
      <c r="A33" s="112" t="s">
        <v>1798</v>
      </c>
      <c r="B33" s="134">
        <v>11.81</v>
      </c>
      <c r="C33" s="134">
        <v>23.2</v>
      </c>
      <c r="D33" s="134">
        <v>20.55</v>
      </c>
      <c r="E33" s="134">
        <v>7.44</v>
      </c>
      <c r="F33" s="134">
        <v>1.93</v>
      </c>
      <c r="G33" s="134">
        <v>21.68</v>
      </c>
      <c r="H33" s="134">
        <v>7.58</v>
      </c>
      <c r="I33" s="134">
        <v>4.05</v>
      </c>
      <c r="J33" s="134">
        <v>0.51</v>
      </c>
      <c r="K33" s="134">
        <v>290.60000000000002</v>
      </c>
      <c r="L33" s="134">
        <v>26.76</v>
      </c>
      <c r="M33" s="134">
        <v>87.12</v>
      </c>
      <c r="N33" s="134">
        <v>34.299999999999997</v>
      </c>
      <c r="O33" s="134">
        <v>0</v>
      </c>
      <c r="P33" s="134">
        <v>0.46</v>
      </c>
      <c r="Q33" s="134">
        <v>4.63</v>
      </c>
    </row>
    <row r="34" spans="1:17" customFormat="1">
      <c r="A34" s="112" t="s">
        <v>1799</v>
      </c>
      <c r="B34" s="134">
        <v>12.1</v>
      </c>
      <c r="C34" s="134">
        <v>21.38</v>
      </c>
      <c r="D34" s="134">
        <v>19.829999999999998</v>
      </c>
      <c r="E34" s="134">
        <v>7.02</v>
      </c>
      <c r="F34" s="134">
        <v>3.1</v>
      </c>
      <c r="G34" s="134">
        <v>21.62</v>
      </c>
      <c r="H34" s="134">
        <v>7.65</v>
      </c>
      <c r="I34" s="134">
        <v>4.0999999999999996</v>
      </c>
      <c r="J34" s="134">
        <v>0.55000000000000004</v>
      </c>
      <c r="K34" s="134">
        <v>287.12</v>
      </c>
      <c r="L34" s="134">
        <v>26.88</v>
      </c>
      <c r="M34" s="134">
        <v>86.97</v>
      </c>
      <c r="N34" s="134">
        <v>35.6</v>
      </c>
      <c r="O34" s="134">
        <v>0</v>
      </c>
      <c r="P34" s="134">
        <v>0.44</v>
      </c>
      <c r="Q34" s="134">
        <v>4.6100000000000003</v>
      </c>
    </row>
    <row r="35" spans="1:17" customFormat="1">
      <c r="A35" s="112" t="s">
        <v>1800</v>
      </c>
      <c r="B35" s="134">
        <v>12.22</v>
      </c>
      <c r="C35" s="134">
        <v>19.86</v>
      </c>
      <c r="D35" s="134">
        <v>19.13</v>
      </c>
      <c r="E35" s="134">
        <v>6.53</v>
      </c>
      <c r="F35" s="134">
        <v>3.72</v>
      </c>
      <c r="G35" s="134">
        <v>21.62</v>
      </c>
      <c r="H35" s="134">
        <v>7.65</v>
      </c>
      <c r="I35" s="134">
        <v>4.1399999999999997</v>
      </c>
      <c r="J35" s="134">
        <v>0.49</v>
      </c>
      <c r="K35" s="134">
        <v>287.81</v>
      </c>
      <c r="L35" s="134">
        <v>26.91</v>
      </c>
      <c r="M35" s="134">
        <v>86.64</v>
      </c>
      <c r="N35" s="134">
        <v>36.9</v>
      </c>
      <c r="O35" s="134">
        <v>0</v>
      </c>
      <c r="P35" s="134">
        <v>0.42</v>
      </c>
      <c r="Q35" s="134">
        <v>4.59</v>
      </c>
    </row>
    <row r="36" spans="1:17" customFormat="1">
      <c r="A36" s="112" t="s">
        <v>1801</v>
      </c>
      <c r="B36" s="134">
        <v>12.34</v>
      </c>
      <c r="C36" s="134">
        <v>19.91</v>
      </c>
      <c r="D36" s="134">
        <v>19.25</v>
      </c>
      <c r="E36" s="134">
        <v>6.74</v>
      </c>
      <c r="F36" s="134">
        <v>3.77</v>
      </c>
      <c r="G36" s="134">
        <v>21.62</v>
      </c>
      <c r="H36" s="134">
        <v>7.65</v>
      </c>
      <c r="I36" s="134">
        <v>4.05</v>
      </c>
      <c r="J36" s="134">
        <v>0.51</v>
      </c>
      <c r="K36" s="134">
        <v>280.31</v>
      </c>
      <c r="L36" s="134">
        <v>27.04</v>
      </c>
      <c r="M36" s="134">
        <v>86.26</v>
      </c>
      <c r="N36" s="134">
        <v>58.3</v>
      </c>
      <c r="O36" s="134">
        <v>0</v>
      </c>
      <c r="P36" s="134">
        <v>0.42</v>
      </c>
      <c r="Q36" s="134">
        <v>4.55</v>
      </c>
    </row>
    <row r="37" spans="1:17" customFormat="1">
      <c r="A37" s="112" t="s">
        <v>1802</v>
      </c>
      <c r="B37" s="134">
        <v>12.6</v>
      </c>
      <c r="C37" s="134">
        <v>22.39</v>
      </c>
      <c r="D37" s="134">
        <v>20.76</v>
      </c>
      <c r="E37" s="134">
        <v>6.8</v>
      </c>
      <c r="F37" s="134">
        <v>2.39</v>
      </c>
      <c r="G37" s="134">
        <v>24.48</v>
      </c>
      <c r="H37" s="134">
        <v>8.16</v>
      </c>
      <c r="I37" s="134">
        <v>3.93</v>
      </c>
      <c r="J37" s="134">
        <v>0.56999999999999995</v>
      </c>
      <c r="K37" s="134">
        <v>269.85000000000002</v>
      </c>
      <c r="L37" s="134">
        <v>27.35</v>
      </c>
      <c r="M37" s="134">
        <v>84.9</v>
      </c>
      <c r="N37" s="134">
        <v>100.7</v>
      </c>
      <c r="O37" s="134">
        <v>0</v>
      </c>
      <c r="P37" s="134">
        <v>0.46</v>
      </c>
      <c r="Q37" s="134">
        <v>4.58</v>
      </c>
    </row>
    <row r="38" spans="1:17" customFormat="1">
      <c r="A38" s="112" t="s">
        <v>1803</v>
      </c>
      <c r="B38" s="134">
        <v>12.15</v>
      </c>
      <c r="C38" s="134">
        <v>24.37</v>
      </c>
      <c r="D38" s="134">
        <v>21.43</v>
      </c>
      <c r="E38" s="134">
        <v>6.52</v>
      </c>
      <c r="F38" s="134">
        <v>2.25</v>
      </c>
      <c r="G38" s="134">
        <v>25.64</v>
      </c>
      <c r="H38" s="134">
        <v>8.18</v>
      </c>
      <c r="I38" s="134">
        <v>3.97</v>
      </c>
      <c r="J38" s="134">
        <v>0.55000000000000004</v>
      </c>
      <c r="K38" s="134">
        <v>288.66000000000003</v>
      </c>
      <c r="L38" s="134">
        <v>27.91</v>
      </c>
      <c r="M38" s="134">
        <v>82.25</v>
      </c>
      <c r="N38" s="134">
        <v>110</v>
      </c>
      <c r="O38" s="134">
        <v>0</v>
      </c>
      <c r="P38" s="134">
        <v>0.5</v>
      </c>
      <c r="Q38" s="134">
        <v>4.6100000000000003</v>
      </c>
    </row>
    <row r="39" spans="1:17" customFormat="1">
      <c r="A39" s="112" t="s">
        <v>1804</v>
      </c>
      <c r="B39" s="134">
        <v>12.26</v>
      </c>
      <c r="C39" s="134">
        <v>23.19</v>
      </c>
      <c r="D39" s="134">
        <v>20.9</v>
      </c>
      <c r="E39" s="134">
        <v>6.5</v>
      </c>
      <c r="F39" s="134">
        <v>3.07</v>
      </c>
      <c r="G39" s="134">
        <v>25.64</v>
      </c>
      <c r="H39" s="134">
        <v>8.18</v>
      </c>
      <c r="I39" s="134">
        <v>4.0999999999999996</v>
      </c>
      <c r="J39" s="134">
        <v>0.75</v>
      </c>
      <c r="K39" s="134">
        <v>276.79000000000002</v>
      </c>
      <c r="L39" s="134">
        <v>28.3</v>
      </c>
      <c r="M39" s="134">
        <v>79.69</v>
      </c>
      <c r="N39" s="134">
        <v>118.3</v>
      </c>
      <c r="O39" s="134">
        <v>0</v>
      </c>
      <c r="P39" s="134">
        <v>0.47</v>
      </c>
      <c r="Q39" s="134">
        <v>4.6399999999999997</v>
      </c>
    </row>
    <row r="40" spans="1:17" customFormat="1">
      <c r="A40" s="112" t="s">
        <v>1805</v>
      </c>
      <c r="B40" s="134">
        <v>12.24</v>
      </c>
      <c r="C40" s="134">
        <v>20.58</v>
      </c>
      <c r="D40" s="134">
        <v>19.52</v>
      </c>
      <c r="E40" s="134">
        <v>6.15</v>
      </c>
      <c r="F40" s="134">
        <v>4.4400000000000004</v>
      </c>
      <c r="G40" s="134">
        <v>25.64</v>
      </c>
      <c r="H40" s="134">
        <v>8.18</v>
      </c>
      <c r="I40" s="134">
        <v>4.07</v>
      </c>
      <c r="J40" s="134">
        <v>0.55000000000000004</v>
      </c>
      <c r="K40" s="134">
        <v>292.68</v>
      </c>
      <c r="L40" s="134">
        <v>28.99</v>
      </c>
      <c r="M40" s="134">
        <v>76.84</v>
      </c>
      <c r="N40" s="134">
        <v>131.30000000000001</v>
      </c>
      <c r="O40" s="134">
        <v>0</v>
      </c>
      <c r="P40" s="134">
        <v>0.44</v>
      </c>
      <c r="Q40" s="134">
        <v>4.5999999999999996</v>
      </c>
    </row>
    <row r="41" spans="1:17" customFormat="1">
      <c r="A41" s="112" t="s">
        <v>1806</v>
      </c>
      <c r="B41" s="134">
        <v>12.09</v>
      </c>
      <c r="C41" s="134">
        <v>19.68</v>
      </c>
      <c r="D41" s="134">
        <v>18.93</v>
      </c>
      <c r="E41" s="134">
        <v>6.85</v>
      </c>
      <c r="F41" s="134">
        <v>6.12</v>
      </c>
      <c r="G41" s="134">
        <v>28.4</v>
      </c>
      <c r="H41" s="134">
        <v>9.08</v>
      </c>
      <c r="I41" s="134">
        <v>3.94</v>
      </c>
      <c r="J41" s="134">
        <v>0.47</v>
      </c>
      <c r="K41" s="134">
        <v>310.31</v>
      </c>
      <c r="L41" s="134">
        <v>29.05</v>
      </c>
      <c r="M41" s="134">
        <v>75.900000000000006</v>
      </c>
      <c r="N41" s="134">
        <v>139.30000000000001</v>
      </c>
      <c r="O41" s="134">
        <v>0</v>
      </c>
      <c r="P41" s="134">
        <v>0.43</v>
      </c>
      <c r="Q41" s="134">
        <v>4.62</v>
      </c>
    </row>
    <row r="42" spans="1:17" customFormat="1">
      <c r="A42" s="112" t="s">
        <v>1807</v>
      </c>
      <c r="B42" s="134">
        <v>12.69</v>
      </c>
      <c r="C42" s="134">
        <v>20.329999999999998</v>
      </c>
      <c r="D42" s="134">
        <v>19.75</v>
      </c>
      <c r="E42" s="134">
        <v>6.25</v>
      </c>
      <c r="F42" s="134">
        <v>5.14</v>
      </c>
      <c r="G42" s="134">
        <v>29.52</v>
      </c>
      <c r="H42" s="134">
        <v>9.15</v>
      </c>
      <c r="I42" s="134">
        <v>3.79</v>
      </c>
      <c r="J42" s="134">
        <v>0.47</v>
      </c>
      <c r="K42" s="134">
        <v>318.72000000000003</v>
      </c>
      <c r="L42" s="134">
        <v>29</v>
      </c>
      <c r="M42" s="134">
        <v>75.150000000000006</v>
      </c>
      <c r="N42" s="134">
        <v>137.30000000000001</v>
      </c>
      <c r="O42" s="134">
        <v>0</v>
      </c>
      <c r="P42" s="134">
        <v>0.44</v>
      </c>
      <c r="Q42" s="134">
        <v>4.62</v>
      </c>
    </row>
    <row r="43" spans="1:17" customFormat="1">
      <c r="A43" s="112" t="s">
        <v>1808</v>
      </c>
      <c r="B43" s="134">
        <v>12.85</v>
      </c>
      <c r="C43" s="134">
        <v>20.190000000000001</v>
      </c>
      <c r="D43" s="134">
        <v>19.809999999999999</v>
      </c>
      <c r="E43" s="134">
        <v>6.66</v>
      </c>
      <c r="F43" s="134">
        <v>5.15</v>
      </c>
      <c r="G43" s="134">
        <v>29.52</v>
      </c>
      <c r="H43" s="134">
        <v>9.15</v>
      </c>
      <c r="I43" s="134">
        <v>3.74</v>
      </c>
      <c r="J43" s="134">
        <v>0.47</v>
      </c>
      <c r="K43" s="134">
        <v>313.13</v>
      </c>
      <c r="L43" s="134">
        <v>29.12</v>
      </c>
      <c r="M43" s="134">
        <v>74.650000000000006</v>
      </c>
      <c r="N43" s="134">
        <v>200.1</v>
      </c>
      <c r="O43" s="134">
        <v>0</v>
      </c>
      <c r="P43" s="134">
        <v>0.43</v>
      </c>
      <c r="Q43" s="134">
        <v>4.6399999999999997</v>
      </c>
    </row>
    <row r="44" spans="1:17" customFormat="1">
      <c r="A44" s="112" t="s">
        <v>1809</v>
      </c>
      <c r="B44" s="134">
        <v>13.01</v>
      </c>
      <c r="C44" s="134">
        <v>20.51</v>
      </c>
      <c r="D44" s="134">
        <v>20.100000000000001</v>
      </c>
      <c r="E44" s="134">
        <v>7</v>
      </c>
      <c r="F44" s="134">
        <v>4.95</v>
      </c>
      <c r="G44" s="134">
        <v>29.52</v>
      </c>
      <c r="H44" s="134">
        <v>9.15</v>
      </c>
      <c r="I44" s="134">
        <v>3.82</v>
      </c>
      <c r="J44" s="134">
        <v>0.54</v>
      </c>
      <c r="K44" s="134">
        <v>305.29000000000002</v>
      </c>
      <c r="L44" s="134">
        <v>29.41</v>
      </c>
      <c r="M44" s="134">
        <v>73.569999999999993</v>
      </c>
      <c r="N44" s="134">
        <v>240.2</v>
      </c>
      <c r="O44" s="134">
        <v>0</v>
      </c>
      <c r="P44" s="134">
        <v>0.44</v>
      </c>
      <c r="Q44" s="134">
        <v>4.6500000000000004</v>
      </c>
    </row>
    <row r="45" spans="1:17" customFormat="1">
      <c r="A45" s="112" t="s">
        <v>1810</v>
      </c>
      <c r="B45" s="134">
        <v>13.19</v>
      </c>
      <c r="C45" s="134">
        <v>22.32</v>
      </c>
      <c r="D45" s="134">
        <v>21.19</v>
      </c>
      <c r="E45" s="134">
        <v>7.25</v>
      </c>
      <c r="F45" s="134">
        <v>3.79</v>
      </c>
      <c r="G45" s="134">
        <v>33.71</v>
      </c>
      <c r="H45" s="134">
        <v>10.14</v>
      </c>
      <c r="I45" s="134">
        <v>3.78</v>
      </c>
      <c r="J45" s="134">
        <v>0.56000000000000005</v>
      </c>
      <c r="K45" s="134">
        <v>306.67</v>
      </c>
      <c r="L45" s="134">
        <v>29.61</v>
      </c>
      <c r="M45" s="134">
        <v>72.42</v>
      </c>
      <c r="N45" s="134">
        <v>265.3</v>
      </c>
      <c r="O45" s="134">
        <v>0</v>
      </c>
      <c r="P45" s="134">
        <v>0.46</v>
      </c>
      <c r="Q45" s="134">
        <v>4.67</v>
      </c>
    </row>
    <row r="46" spans="1:17" customFormat="1">
      <c r="A46" s="112" t="s">
        <v>1811</v>
      </c>
      <c r="B46" s="134">
        <v>13.33</v>
      </c>
      <c r="C46" s="134">
        <v>23.87</v>
      </c>
      <c r="D46" s="134">
        <v>22.12</v>
      </c>
      <c r="E46" s="134">
        <v>7.81</v>
      </c>
      <c r="F46" s="134">
        <v>3.02</v>
      </c>
      <c r="G46" s="134">
        <v>35.409999999999997</v>
      </c>
      <c r="H46" s="134">
        <v>10.19</v>
      </c>
      <c r="I46" s="134">
        <v>3.82</v>
      </c>
      <c r="J46" s="134">
        <v>0.64</v>
      </c>
      <c r="K46" s="134">
        <v>307.49</v>
      </c>
      <c r="L46" s="134">
        <v>29.91</v>
      </c>
      <c r="M46" s="134">
        <v>71.959999999999994</v>
      </c>
      <c r="N46" s="134">
        <v>313.10000000000002</v>
      </c>
      <c r="O46" s="134">
        <v>0</v>
      </c>
      <c r="P46" s="134">
        <v>0.49</v>
      </c>
      <c r="Q46" s="134">
        <v>4.75</v>
      </c>
    </row>
    <row r="47" spans="1:17" customFormat="1">
      <c r="A47" s="112" t="s">
        <v>1812</v>
      </c>
      <c r="B47" s="134">
        <v>13.37</v>
      </c>
      <c r="C47" s="134">
        <v>22.9</v>
      </c>
      <c r="D47" s="134">
        <v>21.64</v>
      </c>
      <c r="E47" s="134">
        <v>7.81</v>
      </c>
      <c r="F47" s="134">
        <v>4.3600000000000003</v>
      </c>
      <c r="G47" s="134">
        <v>35.409999999999997</v>
      </c>
      <c r="H47" s="134">
        <v>10.19</v>
      </c>
      <c r="I47" s="134">
        <v>3.93</v>
      </c>
      <c r="J47" s="134">
        <v>0.56000000000000005</v>
      </c>
      <c r="K47" s="134">
        <v>307.48</v>
      </c>
      <c r="L47" s="134">
        <v>30.25</v>
      </c>
      <c r="M47" s="134">
        <v>70.94</v>
      </c>
      <c r="N47" s="134">
        <v>319.3</v>
      </c>
      <c r="O47" s="134">
        <v>0</v>
      </c>
      <c r="P47" s="134">
        <v>0.48</v>
      </c>
      <c r="Q47" s="134">
        <v>4.7300000000000004</v>
      </c>
    </row>
    <row r="48" spans="1:17" customFormat="1">
      <c r="A48" s="112" t="s">
        <v>1813</v>
      </c>
      <c r="B48" s="134">
        <v>13.99</v>
      </c>
      <c r="C48" s="134">
        <v>22.83</v>
      </c>
      <c r="D48" s="134">
        <v>22.1</v>
      </c>
      <c r="E48" s="134">
        <v>7.55</v>
      </c>
      <c r="F48" s="134">
        <v>4.51</v>
      </c>
      <c r="G48" s="134">
        <v>35.409999999999997</v>
      </c>
      <c r="H48" s="134">
        <v>10.19</v>
      </c>
      <c r="I48" s="134">
        <v>4</v>
      </c>
      <c r="J48" s="134">
        <v>0.47</v>
      </c>
      <c r="K48" s="134">
        <v>325.41000000000003</v>
      </c>
      <c r="L48" s="134">
        <v>30.42</v>
      </c>
      <c r="M48" s="134">
        <v>70.62</v>
      </c>
      <c r="N48" s="134">
        <v>296.10000000000002</v>
      </c>
      <c r="O48" s="134">
        <v>0</v>
      </c>
      <c r="P48" s="134">
        <v>0.49</v>
      </c>
      <c r="Q48" s="134">
        <v>4.74</v>
      </c>
    </row>
    <row r="49" spans="1:17" customFormat="1">
      <c r="A49" s="112" t="s">
        <v>1814</v>
      </c>
      <c r="B49" s="134">
        <v>13.65</v>
      </c>
      <c r="C49" s="134">
        <v>22.26</v>
      </c>
      <c r="D49" s="134">
        <v>21.54</v>
      </c>
      <c r="E49" s="134">
        <v>7.49</v>
      </c>
      <c r="F49" s="134">
        <v>6.24</v>
      </c>
      <c r="G49" s="134">
        <v>41.73</v>
      </c>
      <c r="H49" s="134">
        <v>13.21</v>
      </c>
      <c r="I49" s="134">
        <v>3.99</v>
      </c>
      <c r="J49" s="134">
        <v>0.54</v>
      </c>
      <c r="K49" s="134">
        <v>301.29000000000002</v>
      </c>
      <c r="L49" s="134">
        <v>30.47</v>
      </c>
      <c r="M49" s="134">
        <v>70.36</v>
      </c>
      <c r="N49" s="134">
        <v>334.4</v>
      </c>
      <c r="O49" s="134">
        <v>0</v>
      </c>
      <c r="P49" s="134">
        <v>0.51</v>
      </c>
      <c r="Q49" s="134">
        <v>4.74</v>
      </c>
    </row>
    <row r="50" spans="1:17" customFormat="1">
      <c r="A50" s="112" t="s">
        <v>1815</v>
      </c>
      <c r="B50" s="134">
        <v>13.49</v>
      </c>
      <c r="C50" s="134">
        <v>22.1</v>
      </c>
      <c r="D50" s="134">
        <v>21.32</v>
      </c>
      <c r="E50" s="134">
        <v>7.92</v>
      </c>
      <c r="F50" s="134">
        <v>5.49</v>
      </c>
      <c r="G50" s="134">
        <v>44.3</v>
      </c>
      <c r="H50" s="134">
        <v>13.35</v>
      </c>
      <c r="I50" s="134">
        <v>4</v>
      </c>
      <c r="J50" s="134">
        <v>0.63</v>
      </c>
      <c r="K50" s="134">
        <v>300.77</v>
      </c>
      <c r="L50" s="134">
        <v>31.04</v>
      </c>
      <c r="M50" s="134">
        <v>68.47</v>
      </c>
      <c r="N50" s="134">
        <v>446.6</v>
      </c>
      <c r="O50" s="134">
        <v>0</v>
      </c>
      <c r="P50" s="134">
        <v>0.49</v>
      </c>
      <c r="Q50" s="134">
        <v>4.71</v>
      </c>
    </row>
    <row r="51" spans="1:17" customFormat="1">
      <c r="A51" s="112" t="s">
        <v>1816</v>
      </c>
      <c r="B51" s="134">
        <v>13.27</v>
      </c>
      <c r="C51" s="134">
        <v>22.05</v>
      </c>
      <c r="D51" s="134">
        <v>21.12</v>
      </c>
      <c r="E51" s="134">
        <v>8.26</v>
      </c>
      <c r="F51" s="134">
        <v>5.4</v>
      </c>
      <c r="G51" s="134">
        <v>44.3</v>
      </c>
      <c r="H51" s="134">
        <v>13.35</v>
      </c>
      <c r="I51" s="134">
        <v>4.03</v>
      </c>
      <c r="J51" s="134">
        <v>0.41</v>
      </c>
      <c r="K51" s="134">
        <v>313.45</v>
      </c>
      <c r="L51" s="134">
        <v>31.41</v>
      </c>
      <c r="M51" s="134">
        <v>67.55</v>
      </c>
      <c r="N51" s="134">
        <v>510.1</v>
      </c>
      <c r="O51" s="134">
        <v>0</v>
      </c>
      <c r="P51" s="134">
        <v>0.5</v>
      </c>
      <c r="Q51" s="134">
        <v>4.72</v>
      </c>
    </row>
    <row r="52" spans="1:17" customFormat="1">
      <c r="A52" s="112" t="s">
        <v>1817</v>
      </c>
      <c r="B52" s="134">
        <v>12.77</v>
      </c>
      <c r="C52" s="134">
        <v>22.24</v>
      </c>
      <c r="D52" s="134">
        <v>20.82</v>
      </c>
      <c r="E52" s="134">
        <v>8.9700000000000006</v>
      </c>
      <c r="F52" s="134">
        <v>6.5</v>
      </c>
      <c r="G52" s="134">
        <v>44.3</v>
      </c>
      <c r="H52" s="134">
        <v>13.35</v>
      </c>
      <c r="I52" s="134">
        <v>3.98</v>
      </c>
      <c r="J52" s="134">
        <v>0.52</v>
      </c>
      <c r="K52" s="134">
        <v>340.56</v>
      </c>
      <c r="L52" s="134">
        <v>31.53</v>
      </c>
      <c r="M52" s="134">
        <v>67.09</v>
      </c>
      <c r="N52" s="134">
        <v>374.9</v>
      </c>
      <c r="O52" s="134">
        <v>0</v>
      </c>
      <c r="P52" s="134">
        <v>0.5</v>
      </c>
      <c r="Q52" s="134">
        <v>4.6900000000000004</v>
      </c>
    </row>
    <row r="53" spans="1:17" customFormat="1">
      <c r="A53" s="112" t="s">
        <v>1818</v>
      </c>
      <c r="B53" s="134">
        <v>12.35</v>
      </c>
      <c r="C53" s="134">
        <v>22.26</v>
      </c>
      <c r="D53" s="134">
        <v>20.49</v>
      </c>
      <c r="E53" s="134">
        <v>9.1199999999999992</v>
      </c>
      <c r="F53" s="134">
        <v>6.92</v>
      </c>
      <c r="G53" s="134">
        <v>47.23</v>
      </c>
      <c r="H53" s="134">
        <v>13.56</v>
      </c>
      <c r="I53" s="134">
        <v>3.99</v>
      </c>
      <c r="J53" s="134">
        <v>0.55000000000000004</v>
      </c>
      <c r="K53" s="134">
        <v>324.25</v>
      </c>
      <c r="L53" s="134">
        <v>31.1</v>
      </c>
      <c r="M53" s="134">
        <v>67.47</v>
      </c>
      <c r="N53" s="134">
        <v>268.39999999999998</v>
      </c>
      <c r="O53" s="134">
        <v>0</v>
      </c>
      <c r="P53" s="134">
        <v>0.5</v>
      </c>
      <c r="Q53" s="134">
        <v>4.6900000000000004</v>
      </c>
    </row>
    <row r="54" spans="1:17" customFormat="1">
      <c r="A54" s="112" t="s">
        <v>1819</v>
      </c>
      <c r="B54" s="134">
        <v>12.53</v>
      </c>
      <c r="C54" s="134">
        <v>22.32</v>
      </c>
      <c r="D54" s="134">
        <v>20.67</v>
      </c>
      <c r="E54" s="134">
        <v>9.2899999999999991</v>
      </c>
      <c r="F54" s="134">
        <v>6.43</v>
      </c>
      <c r="G54" s="134">
        <v>48.42</v>
      </c>
      <c r="H54" s="134">
        <v>13.57</v>
      </c>
      <c r="I54" s="134">
        <v>3.98</v>
      </c>
      <c r="J54" s="134">
        <v>0.44</v>
      </c>
      <c r="K54" s="134">
        <v>340.69</v>
      </c>
      <c r="L54" s="134">
        <v>31.05</v>
      </c>
      <c r="M54" s="134">
        <v>67.94</v>
      </c>
      <c r="N54" s="134">
        <v>349.4</v>
      </c>
      <c r="O54" s="134">
        <v>0</v>
      </c>
      <c r="P54" s="134">
        <v>0.5</v>
      </c>
      <c r="Q54" s="134">
        <v>4.68</v>
      </c>
    </row>
    <row r="55" spans="1:17" customFormat="1">
      <c r="A55" s="112" t="s">
        <v>1820</v>
      </c>
      <c r="B55" s="134">
        <v>12.36</v>
      </c>
      <c r="C55" s="134">
        <v>22.23</v>
      </c>
      <c r="D55" s="134">
        <v>20.49</v>
      </c>
      <c r="E55" s="134">
        <v>9.2899999999999991</v>
      </c>
      <c r="F55" s="134">
        <v>6.22</v>
      </c>
      <c r="G55" s="134">
        <v>48.42</v>
      </c>
      <c r="H55" s="134">
        <v>13.57</v>
      </c>
      <c r="I55" s="134">
        <v>3.97</v>
      </c>
      <c r="J55" s="134">
        <v>0.48</v>
      </c>
      <c r="K55" s="134">
        <v>314.74</v>
      </c>
      <c r="L55" s="134">
        <v>31.5</v>
      </c>
      <c r="M55" s="134">
        <v>67.209999999999994</v>
      </c>
      <c r="N55" s="134">
        <v>420.9</v>
      </c>
      <c r="O55" s="134">
        <v>0</v>
      </c>
      <c r="P55" s="134">
        <v>0.5</v>
      </c>
      <c r="Q55" s="134">
        <v>4.67</v>
      </c>
    </row>
    <row r="56" spans="1:17" customFormat="1">
      <c r="A56" s="112" t="s">
        <v>1821</v>
      </c>
      <c r="B56" s="134">
        <v>12.45</v>
      </c>
      <c r="C56" s="134">
        <v>22.59</v>
      </c>
      <c r="D56" s="134">
        <v>20.75</v>
      </c>
      <c r="E56" s="134">
        <v>9.2799999999999994</v>
      </c>
      <c r="F56" s="134">
        <v>6.04</v>
      </c>
      <c r="G56" s="134">
        <v>48.42</v>
      </c>
      <c r="H56" s="134">
        <v>13.57</v>
      </c>
      <c r="I56" s="134">
        <v>4.03</v>
      </c>
      <c r="J56" s="134">
        <v>0.54</v>
      </c>
      <c r="K56" s="134">
        <v>322.33</v>
      </c>
      <c r="L56" s="134">
        <v>31.51</v>
      </c>
      <c r="M56" s="134">
        <v>66.27</v>
      </c>
      <c r="N56" s="134">
        <v>379.1</v>
      </c>
      <c r="O56" s="134">
        <v>0</v>
      </c>
      <c r="P56" s="134">
        <v>0.51</v>
      </c>
      <c r="Q56" s="134">
        <v>4.66</v>
      </c>
    </row>
    <row r="57" spans="1:17" customFormat="1">
      <c r="A57" s="112" t="s">
        <v>1822</v>
      </c>
      <c r="B57" s="134">
        <v>12.19</v>
      </c>
      <c r="C57" s="134">
        <v>22.62</v>
      </c>
      <c r="D57" s="134">
        <v>20.55</v>
      </c>
      <c r="E57" s="134">
        <v>8.84</v>
      </c>
      <c r="F57" s="134">
        <v>6.27</v>
      </c>
      <c r="G57" s="134">
        <v>50.65</v>
      </c>
      <c r="H57" s="134">
        <v>13.81</v>
      </c>
      <c r="I57" s="134">
        <v>4.04</v>
      </c>
      <c r="J57" s="134">
        <v>0.44</v>
      </c>
      <c r="K57" s="134">
        <v>342.87</v>
      </c>
      <c r="L57" s="134">
        <v>31.57</v>
      </c>
      <c r="M57" s="134">
        <v>66.86</v>
      </c>
      <c r="N57" s="134">
        <v>387</v>
      </c>
      <c r="O57" s="134">
        <v>0</v>
      </c>
      <c r="P57" s="134">
        <v>0.51</v>
      </c>
      <c r="Q57" s="134">
        <v>4.66</v>
      </c>
    </row>
    <row r="58" spans="1:17" customFormat="1">
      <c r="A58" s="112" t="s">
        <v>1823</v>
      </c>
      <c r="B58" s="134">
        <v>11.56</v>
      </c>
      <c r="C58" s="134">
        <v>24.55</v>
      </c>
      <c r="D58" s="134">
        <v>21.05</v>
      </c>
      <c r="E58" s="134">
        <v>7.64</v>
      </c>
      <c r="F58" s="134">
        <v>3.85</v>
      </c>
      <c r="G58" s="134">
        <v>51.56</v>
      </c>
      <c r="H58" s="134">
        <v>13.82</v>
      </c>
      <c r="I58" s="134">
        <v>4.0599999999999996</v>
      </c>
      <c r="J58" s="134">
        <v>0.59</v>
      </c>
      <c r="K58" s="134">
        <v>27.94</v>
      </c>
      <c r="L58" s="134">
        <v>31.31</v>
      </c>
      <c r="M58" s="134">
        <v>67.53</v>
      </c>
      <c r="N58" s="134">
        <v>318.39999999999998</v>
      </c>
      <c r="O58" s="134">
        <v>0</v>
      </c>
      <c r="P58" s="134">
        <v>0.53</v>
      </c>
      <c r="Q58" s="134">
        <v>4.63</v>
      </c>
    </row>
    <row r="59" spans="1:17" customFormat="1">
      <c r="A59" s="112" t="s">
        <v>1824</v>
      </c>
      <c r="B59" s="134">
        <v>10.78</v>
      </c>
      <c r="C59" s="134">
        <v>26.48</v>
      </c>
      <c r="D59" s="134">
        <v>21.43</v>
      </c>
      <c r="E59" s="134">
        <v>7.7</v>
      </c>
      <c r="F59" s="134">
        <v>4.1100000000000003</v>
      </c>
      <c r="G59" s="134">
        <v>51.56</v>
      </c>
      <c r="H59" s="134">
        <v>13.82</v>
      </c>
      <c r="I59" s="134">
        <v>4.09</v>
      </c>
      <c r="J59" s="134">
        <v>0.47</v>
      </c>
      <c r="K59" s="134">
        <v>6.78</v>
      </c>
      <c r="L59" s="134">
        <v>31.16</v>
      </c>
      <c r="M59" s="134">
        <v>68.180000000000007</v>
      </c>
      <c r="N59" s="134">
        <v>260.89999999999998</v>
      </c>
      <c r="O59" s="134">
        <v>0</v>
      </c>
      <c r="P59" s="134">
        <v>0.56999999999999995</v>
      </c>
      <c r="Q59" s="134">
        <v>4.6399999999999997</v>
      </c>
    </row>
    <row r="60" spans="1:17" customFormat="1">
      <c r="A60" s="112" t="s">
        <v>1825</v>
      </c>
      <c r="B60" s="134">
        <v>10.59</v>
      </c>
      <c r="C60" s="134">
        <v>25.46</v>
      </c>
      <c r="D60" s="134">
        <v>20.75</v>
      </c>
      <c r="E60" s="134">
        <v>7.62</v>
      </c>
      <c r="F60" s="134">
        <v>6.59</v>
      </c>
      <c r="G60" s="134">
        <v>51.56</v>
      </c>
      <c r="H60" s="134">
        <v>13.82</v>
      </c>
      <c r="I60" s="134">
        <v>4.25</v>
      </c>
      <c r="J60" s="134">
        <v>0.41</v>
      </c>
      <c r="K60" s="134">
        <v>341.77</v>
      </c>
      <c r="L60" s="134">
        <v>31.31</v>
      </c>
      <c r="M60" s="134">
        <v>67.39</v>
      </c>
      <c r="N60" s="134">
        <v>400.2</v>
      </c>
      <c r="O60" s="134">
        <v>0</v>
      </c>
      <c r="P60" s="134">
        <v>0.54</v>
      </c>
      <c r="Q60" s="134">
        <v>4.6399999999999997</v>
      </c>
    </row>
    <row r="61" spans="1:17" customFormat="1">
      <c r="A61" s="112" t="s">
        <v>1826</v>
      </c>
      <c r="B61" s="134">
        <v>10.39</v>
      </c>
      <c r="C61" s="134">
        <v>23.3</v>
      </c>
      <c r="D61" s="134">
        <v>19.46</v>
      </c>
      <c r="E61" s="134">
        <v>8.0500000000000007</v>
      </c>
      <c r="F61" s="134">
        <v>8.33</v>
      </c>
      <c r="G61" s="134">
        <v>59.3</v>
      </c>
      <c r="H61" s="134">
        <v>14.84</v>
      </c>
      <c r="I61" s="134">
        <v>4.1500000000000004</v>
      </c>
      <c r="J61" s="134">
        <v>0.45</v>
      </c>
      <c r="K61" s="134">
        <v>4.0999999999999996</v>
      </c>
      <c r="L61" s="134">
        <v>31.86</v>
      </c>
      <c r="M61" s="134">
        <v>66.09</v>
      </c>
      <c r="N61" s="134">
        <v>425.6</v>
      </c>
      <c r="O61" s="134">
        <v>0</v>
      </c>
      <c r="P61" s="134">
        <v>0.51</v>
      </c>
      <c r="Q61" s="134">
        <v>4.59</v>
      </c>
    </row>
    <row r="62" spans="1:17" customFormat="1">
      <c r="A62" s="112" t="s">
        <v>1827</v>
      </c>
      <c r="B62" s="134">
        <v>10.7</v>
      </c>
      <c r="C62" s="134">
        <v>23.15</v>
      </c>
      <c r="D62" s="134">
        <v>19.63</v>
      </c>
      <c r="E62" s="134">
        <v>8.07</v>
      </c>
      <c r="F62" s="134">
        <v>10.15</v>
      </c>
      <c r="G62" s="134">
        <v>62.45</v>
      </c>
      <c r="H62" s="134">
        <v>14.89</v>
      </c>
      <c r="I62" s="134">
        <v>3.97</v>
      </c>
      <c r="J62" s="134">
        <v>0.36</v>
      </c>
      <c r="K62" s="134">
        <v>332.21</v>
      </c>
      <c r="L62" s="134">
        <v>32.090000000000003</v>
      </c>
      <c r="M62" s="134">
        <v>66.08</v>
      </c>
      <c r="N62" s="134">
        <v>370.7</v>
      </c>
      <c r="O62" s="134">
        <v>0</v>
      </c>
      <c r="P62" s="134">
        <v>0.5</v>
      </c>
      <c r="Q62" s="134">
        <v>4.5599999999999996</v>
      </c>
    </row>
    <row r="63" spans="1:17" customFormat="1">
      <c r="A63" s="112" t="s">
        <v>1828</v>
      </c>
      <c r="B63" s="134">
        <v>10.24</v>
      </c>
      <c r="C63" s="134">
        <v>21.42</v>
      </c>
      <c r="D63" s="134">
        <v>18.36</v>
      </c>
      <c r="E63" s="134">
        <v>8.9600000000000009</v>
      </c>
      <c r="F63" s="134">
        <v>11.88</v>
      </c>
      <c r="G63" s="134">
        <v>62.45</v>
      </c>
      <c r="H63" s="134">
        <v>14.89</v>
      </c>
      <c r="I63" s="134">
        <v>3.81</v>
      </c>
      <c r="J63" s="134">
        <v>0.35</v>
      </c>
      <c r="K63" s="134">
        <v>10.84</v>
      </c>
      <c r="L63" s="134">
        <v>32.020000000000003</v>
      </c>
      <c r="M63" s="134">
        <v>65.56</v>
      </c>
      <c r="N63" s="134">
        <v>263.60000000000002</v>
      </c>
      <c r="O63" s="134">
        <v>0</v>
      </c>
      <c r="P63" s="134">
        <v>0.48</v>
      </c>
      <c r="Q63" s="134">
        <v>4.57</v>
      </c>
    </row>
    <row r="64" spans="1:17" customFormat="1">
      <c r="A64" s="112" t="s">
        <v>1829</v>
      </c>
      <c r="B64" s="134">
        <v>10.39</v>
      </c>
      <c r="C64" s="134">
        <v>21.59</v>
      </c>
      <c r="D64" s="134">
        <v>18.57</v>
      </c>
      <c r="E64" s="134">
        <v>8.6199999999999992</v>
      </c>
      <c r="F64" s="134">
        <v>9.98</v>
      </c>
      <c r="G64" s="134">
        <v>62.45</v>
      </c>
      <c r="H64" s="134">
        <v>14.89</v>
      </c>
      <c r="I64" s="134">
        <v>3.74</v>
      </c>
      <c r="J64" s="134">
        <v>0.15</v>
      </c>
      <c r="K64" s="134">
        <v>328.37</v>
      </c>
      <c r="L64" s="134">
        <v>31.55</v>
      </c>
      <c r="M64" s="134">
        <v>67.48</v>
      </c>
      <c r="N64" s="134">
        <v>130.5</v>
      </c>
      <c r="O64" s="134">
        <v>0</v>
      </c>
      <c r="P64" s="134">
        <v>0.47</v>
      </c>
      <c r="Q64" s="134">
        <v>4.55</v>
      </c>
    </row>
    <row r="65" spans="1:17" customFormat="1">
      <c r="A65" s="112" t="s">
        <v>1830</v>
      </c>
      <c r="B65" s="134">
        <v>10.99</v>
      </c>
      <c r="C65" s="134">
        <v>22.79</v>
      </c>
      <c r="D65" s="134">
        <v>19.68</v>
      </c>
      <c r="E65" s="134">
        <v>9.4</v>
      </c>
      <c r="F65" s="134">
        <v>9.9700000000000006</v>
      </c>
      <c r="G65" s="134">
        <v>59.81</v>
      </c>
      <c r="H65" s="134">
        <v>14.48</v>
      </c>
      <c r="I65" s="134">
        <v>3.57</v>
      </c>
      <c r="J65" s="134">
        <v>0.25</v>
      </c>
      <c r="K65" s="134">
        <v>320.41000000000003</v>
      </c>
      <c r="L65" s="134">
        <v>31.13</v>
      </c>
      <c r="M65" s="134">
        <v>68.760000000000005</v>
      </c>
      <c r="N65" s="134">
        <v>131.1</v>
      </c>
      <c r="O65" s="134">
        <v>0</v>
      </c>
      <c r="P65" s="134">
        <v>0.47</v>
      </c>
      <c r="Q65" s="134">
        <v>4.59</v>
      </c>
    </row>
    <row r="66" spans="1:17" customFormat="1">
      <c r="A66" s="112" t="s">
        <v>1831</v>
      </c>
      <c r="B66" s="134">
        <v>10.67</v>
      </c>
      <c r="C66" s="134">
        <v>22.41</v>
      </c>
      <c r="D66" s="134">
        <v>19.22</v>
      </c>
      <c r="E66" s="134">
        <v>8.86</v>
      </c>
      <c r="F66" s="134">
        <v>9.0299999999999994</v>
      </c>
      <c r="G66" s="134">
        <v>58.74</v>
      </c>
      <c r="H66" s="134">
        <v>14.45</v>
      </c>
      <c r="I66" s="134">
        <v>3.56</v>
      </c>
      <c r="J66" s="134">
        <v>0.26</v>
      </c>
      <c r="K66" s="134">
        <v>335.1</v>
      </c>
      <c r="L66" s="134">
        <v>31.08</v>
      </c>
      <c r="M66" s="134">
        <v>68.78</v>
      </c>
      <c r="N66" s="134">
        <v>152.4</v>
      </c>
      <c r="O66" s="134">
        <v>0</v>
      </c>
      <c r="P66" s="134">
        <v>0.48</v>
      </c>
      <c r="Q66" s="134">
        <v>4.59</v>
      </c>
    </row>
    <row r="67" spans="1:17" customFormat="1">
      <c r="A67" s="112" t="s">
        <v>1832</v>
      </c>
      <c r="B67" s="134">
        <v>11.3</v>
      </c>
      <c r="C67" s="134">
        <v>22.48</v>
      </c>
      <c r="D67" s="134">
        <v>19.760000000000002</v>
      </c>
      <c r="E67" s="134">
        <v>9.17</v>
      </c>
      <c r="F67" s="134">
        <v>7.52</v>
      </c>
      <c r="G67" s="134">
        <v>58.74</v>
      </c>
      <c r="H67" s="134">
        <v>14.45</v>
      </c>
      <c r="I67" s="134">
        <v>3.51</v>
      </c>
      <c r="J67" s="134">
        <v>0.42</v>
      </c>
      <c r="K67" s="134">
        <v>22.1</v>
      </c>
      <c r="L67" s="134">
        <v>30.94</v>
      </c>
      <c r="M67" s="134">
        <v>69.64</v>
      </c>
      <c r="N67" s="134">
        <v>150.80000000000001</v>
      </c>
      <c r="O67" s="134">
        <v>0</v>
      </c>
      <c r="P67" s="134">
        <v>0.49</v>
      </c>
      <c r="Q67" s="134">
        <v>4.5999999999999996</v>
      </c>
    </row>
    <row r="68" spans="1:17" customFormat="1">
      <c r="A68" s="112" t="s">
        <v>1833</v>
      </c>
      <c r="B68" s="134">
        <v>11.41</v>
      </c>
      <c r="C68" s="134">
        <v>23.69</v>
      </c>
      <c r="D68" s="134">
        <v>20.48</v>
      </c>
      <c r="E68" s="134">
        <v>8.74</v>
      </c>
      <c r="F68" s="134">
        <v>6.12</v>
      </c>
      <c r="G68" s="134">
        <v>58.74</v>
      </c>
      <c r="H68" s="134">
        <v>14.45</v>
      </c>
      <c r="I68" s="134">
        <v>3.61</v>
      </c>
      <c r="J68" s="134">
        <v>0.28999999999999998</v>
      </c>
      <c r="K68" s="134">
        <v>338.53</v>
      </c>
      <c r="L68" s="134">
        <v>31.22</v>
      </c>
      <c r="M68" s="134">
        <v>69.290000000000006</v>
      </c>
      <c r="N68" s="134">
        <v>205.4</v>
      </c>
      <c r="O68" s="134">
        <v>0</v>
      </c>
      <c r="P68" s="134">
        <v>0.51</v>
      </c>
      <c r="Q68" s="134">
        <v>4.5999999999999996</v>
      </c>
    </row>
    <row r="69" spans="1:17" customFormat="1">
      <c r="A69" s="112" t="s">
        <v>1834</v>
      </c>
      <c r="B69" s="134">
        <v>11.36</v>
      </c>
      <c r="C69" s="134">
        <v>22.78</v>
      </c>
      <c r="D69" s="134">
        <v>19.97</v>
      </c>
      <c r="E69" s="134">
        <v>10.35</v>
      </c>
      <c r="F69" s="134">
        <v>9.15</v>
      </c>
      <c r="G69" s="134">
        <v>60.43</v>
      </c>
      <c r="H69" s="134">
        <v>14.66</v>
      </c>
      <c r="I69" s="134">
        <v>3.7</v>
      </c>
      <c r="J69" s="134">
        <v>0.24</v>
      </c>
      <c r="K69" s="134">
        <v>357.37</v>
      </c>
      <c r="L69" s="134">
        <v>31.3</v>
      </c>
      <c r="M69" s="134">
        <v>68.89</v>
      </c>
      <c r="N69" s="134">
        <v>175.1</v>
      </c>
      <c r="O69" s="134">
        <v>0</v>
      </c>
      <c r="P69" s="134">
        <v>0.52</v>
      </c>
      <c r="Q69" s="134">
        <v>4.62</v>
      </c>
    </row>
    <row r="70" spans="1:17" customFormat="1">
      <c r="A70" s="112" t="s">
        <v>1835</v>
      </c>
      <c r="B70" s="134">
        <v>11.34</v>
      </c>
      <c r="C70" s="134">
        <v>22.73</v>
      </c>
      <c r="D70" s="134">
        <v>19.93</v>
      </c>
      <c r="E70" s="134">
        <v>9.9700000000000006</v>
      </c>
      <c r="F70" s="134">
        <v>7.91</v>
      </c>
      <c r="G70" s="134">
        <v>61.12</v>
      </c>
      <c r="H70" s="134">
        <v>14.67</v>
      </c>
      <c r="I70" s="134">
        <v>3.8</v>
      </c>
      <c r="J70" s="134">
        <v>0.26</v>
      </c>
      <c r="K70" s="134">
        <v>9.44</v>
      </c>
      <c r="L70" s="134">
        <v>31.23</v>
      </c>
      <c r="M70" s="134">
        <v>68.16</v>
      </c>
      <c r="N70" s="134">
        <v>171</v>
      </c>
      <c r="O70" s="134">
        <v>0</v>
      </c>
      <c r="P70" s="134">
        <v>0.52</v>
      </c>
      <c r="Q70" s="134">
        <v>4.5999999999999996</v>
      </c>
    </row>
    <row r="71" spans="1:17" customFormat="1">
      <c r="A71" s="112" t="s">
        <v>1836</v>
      </c>
      <c r="B71" s="134">
        <v>11.41</v>
      </c>
      <c r="C71" s="134">
        <v>22.22</v>
      </c>
      <c r="D71" s="134">
        <v>19.71</v>
      </c>
      <c r="E71" s="134">
        <v>9.5399999999999991</v>
      </c>
      <c r="F71" s="134">
        <v>8.93</v>
      </c>
      <c r="G71" s="134">
        <v>61.12</v>
      </c>
      <c r="H71" s="134">
        <v>14.67</v>
      </c>
      <c r="I71" s="134">
        <v>3.68</v>
      </c>
      <c r="J71" s="134">
        <v>0.18</v>
      </c>
      <c r="K71" s="134">
        <v>327.27999999999997</v>
      </c>
      <c r="L71" s="134">
        <v>31.58</v>
      </c>
      <c r="M71" s="134">
        <v>65.400000000000006</v>
      </c>
      <c r="N71" s="134">
        <v>250.7</v>
      </c>
      <c r="O71" s="134">
        <v>0</v>
      </c>
      <c r="P71" s="134">
        <v>0.5</v>
      </c>
      <c r="Q71" s="134">
        <v>4.5999999999999996</v>
      </c>
    </row>
    <row r="72" spans="1:17" customFormat="1">
      <c r="A72" s="112" t="s">
        <v>1837</v>
      </c>
      <c r="B72" s="134">
        <v>11.16</v>
      </c>
      <c r="C72" s="134">
        <v>21.09</v>
      </c>
      <c r="D72" s="134">
        <v>18.920000000000002</v>
      </c>
      <c r="E72" s="134">
        <v>9.6</v>
      </c>
      <c r="F72" s="134">
        <v>9.73</v>
      </c>
      <c r="G72" s="134">
        <v>61.12</v>
      </c>
      <c r="H72" s="134">
        <v>14.67</v>
      </c>
      <c r="I72" s="134">
        <v>3.7</v>
      </c>
      <c r="J72" s="134">
        <v>0.13</v>
      </c>
      <c r="K72" s="134">
        <v>144.66</v>
      </c>
      <c r="L72" s="134">
        <v>31.51</v>
      </c>
      <c r="M72" s="134">
        <v>69.13</v>
      </c>
      <c r="N72" s="134">
        <v>96.7</v>
      </c>
      <c r="O72" s="134">
        <v>0</v>
      </c>
      <c r="P72" s="134">
        <v>0.49</v>
      </c>
      <c r="Q72" s="134">
        <v>4.5999999999999996</v>
      </c>
    </row>
    <row r="73" spans="1:17" customFormat="1">
      <c r="A73" s="112" t="s">
        <v>1838</v>
      </c>
      <c r="B73" s="134">
        <v>10.73</v>
      </c>
      <c r="C73" s="134">
        <v>20.71</v>
      </c>
      <c r="D73" s="134">
        <v>18.38</v>
      </c>
      <c r="E73" s="134">
        <v>8.17</v>
      </c>
      <c r="F73" s="134">
        <v>8.7899999999999991</v>
      </c>
      <c r="G73" s="134">
        <v>61.8</v>
      </c>
      <c r="H73" s="134">
        <v>14.3</v>
      </c>
      <c r="I73" s="134">
        <v>3.61</v>
      </c>
      <c r="J73" s="134">
        <v>0.27</v>
      </c>
      <c r="K73" s="134">
        <v>148.82</v>
      </c>
      <c r="L73" s="134">
        <v>30.06</v>
      </c>
      <c r="M73" s="134">
        <v>77.28</v>
      </c>
      <c r="N73" s="134">
        <v>76.900000000000006</v>
      </c>
      <c r="O73" s="134">
        <v>0</v>
      </c>
      <c r="P73" s="134">
        <v>0.48</v>
      </c>
      <c r="Q73" s="134">
        <v>4.6100000000000003</v>
      </c>
    </row>
    <row r="74" spans="1:17" customFormat="1">
      <c r="A74" s="112" t="s">
        <v>1839</v>
      </c>
      <c r="B74" s="134">
        <v>10.84</v>
      </c>
      <c r="C74" s="134">
        <v>20.37</v>
      </c>
      <c r="D74" s="134">
        <v>18.29</v>
      </c>
      <c r="E74" s="134">
        <v>8.01</v>
      </c>
      <c r="F74" s="134">
        <v>8.36</v>
      </c>
      <c r="G74" s="134">
        <v>62.08</v>
      </c>
      <c r="H74" s="134">
        <v>14.28</v>
      </c>
      <c r="I74" s="134">
        <v>3.56</v>
      </c>
      <c r="J74" s="134">
        <v>0.17</v>
      </c>
      <c r="K74" s="134">
        <v>128.68</v>
      </c>
      <c r="L74" s="134">
        <v>29.4</v>
      </c>
      <c r="M74" s="134">
        <v>80.709999999999994</v>
      </c>
      <c r="N74" s="134">
        <v>86.4</v>
      </c>
      <c r="O74" s="134">
        <v>0</v>
      </c>
      <c r="P74" s="134">
        <v>0.48</v>
      </c>
      <c r="Q74" s="134">
        <v>4.58</v>
      </c>
    </row>
    <row r="75" spans="1:17" customFormat="1">
      <c r="A75" s="112" t="s">
        <v>1840</v>
      </c>
      <c r="B75" s="134">
        <v>10.87</v>
      </c>
      <c r="C75" s="134">
        <v>20.66</v>
      </c>
      <c r="D75" s="134">
        <v>18.47</v>
      </c>
      <c r="E75" s="134">
        <v>8.09</v>
      </c>
      <c r="F75" s="134">
        <v>7.44</v>
      </c>
      <c r="G75" s="134">
        <v>62.08</v>
      </c>
      <c r="H75" s="134">
        <v>14.28</v>
      </c>
      <c r="I75" s="134">
        <v>3.61</v>
      </c>
      <c r="J75" s="134">
        <v>0.46</v>
      </c>
      <c r="K75" s="134">
        <v>242.34</v>
      </c>
      <c r="L75" s="134">
        <v>28.49</v>
      </c>
      <c r="M75" s="134">
        <v>83.21</v>
      </c>
      <c r="N75" s="134">
        <v>20.9</v>
      </c>
      <c r="O75" s="134">
        <v>0</v>
      </c>
      <c r="P75" s="134">
        <v>0.48</v>
      </c>
      <c r="Q75" s="134">
        <v>4.54</v>
      </c>
    </row>
    <row r="76" spans="1:17" customFormat="1">
      <c r="A76" s="112" t="s">
        <v>1841</v>
      </c>
      <c r="B76" s="134">
        <v>10.89</v>
      </c>
      <c r="C76" s="134">
        <v>20.43</v>
      </c>
      <c r="D76" s="134">
        <v>18.36</v>
      </c>
      <c r="E76" s="134">
        <v>7.37</v>
      </c>
      <c r="F76" s="134">
        <v>5.85</v>
      </c>
      <c r="G76" s="134">
        <v>62.08</v>
      </c>
      <c r="H76" s="134">
        <v>14.28</v>
      </c>
      <c r="I76" s="134">
        <v>3.63</v>
      </c>
      <c r="J76" s="134">
        <v>0.98</v>
      </c>
      <c r="K76" s="134">
        <v>264.72000000000003</v>
      </c>
      <c r="L76" s="134">
        <v>26.72</v>
      </c>
      <c r="M76" s="134">
        <v>90.69</v>
      </c>
      <c r="N76" s="134">
        <v>5.9</v>
      </c>
      <c r="O76" s="134">
        <v>8</v>
      </c>
      <c r="P76" s="134">
        <v>0.47</v>
      </c>
      <c r="Q76" s="134">
        <v>4.5</v>
      </c>
    </row>
    <row r="77" spans="1:17" customFormat="1">
      <c r="A77" s="112" t="s">
        <v>1842</v>
      </c>
      <c r="B77" s="134">
        <v>10.61</v>
      </c>
      <c r="C77" s="134">
        <v>19.829999999999998</v>
      </c>
      <c r="D77" s="134">
        <v>17.82</v>
      </c>
      <c r="E77" s="134">
        <v>7.29</v>
      </c>
      <c r="F77" s="134">
        <v>6.74</v>
      </c>
      <c r="G77" s="134">
        <v>50.39</v>
      </c>
      <c r="H77" s="134">
        <v>14.31</v>
      </c>
      <c r="I77" s="134">
        <v>3.67</v>
      </c>
      <c r="J77" s="134">
        <v>1.07</v>
      </c>
      <c r="K77" s="134">
        <v>262.64</v>
      </c>
      <c r="L77" s="134">
        <v>25.02</v>
      </c>
      <c r="M77" s="134">
        <v>97.73</v>
      </c>
      <c r="N77" s="134">
        <v>5</v>
      </c>
      <c r="O77" s="134">
        <v>0.6</v>
      </c>
      <c r="P77" s="134">
        <v>0.45</v>
      </c>
      <c r="Q77" s="134">
        <v>4.4800000000000004</v>
      </c>
    </row>
    <row r="78" spans="1:17" customFormat="1">
      <c r="A78" s="112" t="s">
        <v>1843</v>
      </c>
      <c r="B78" s="134">
        <v>10.52</v>
      </c>
      <c r="C78" s="134">
        <v>20.059999999999999</v>
      </c>
      <c r="D78" s="134">
        <v>17.87</v>
      </c>
      <c r="E78" s="134">
        <v>6.94</v>
      </c>
      <c r="F78" s="134">
        <v>4.38</v>
      </c>
      <c r="G78" s="134">
        <v>45.64</v>
      </c>
      <c r="H78" s="134">
        <v>14.31</v>
      </c>
      <c r="I78" s="134">
        <v>3.66</v>
      </c>
      <c r="J78" s="134">
        <v>0.72</v>
      </c>
      <c r="K78" s="134">
        <v>306.41000000000003</v>
      </c>
      <c r="L78" s="134">
        <v>24.88</v>
      </c>
      <c r="M78" s="134">
        <v>98.47</v>
      </c>
      <c r="N78" s="134">
        <v>0</v>
      </c>
      <c r="O78" s="134">
        <v>4.8</v>
      </c>
      <c r="P78" s="134">
        <v>0.45</v>
      </c>
      <c r="Q78" s="134">
        <v>4.42</v>
      </c>
    </row>
    <row r="79" spans="1:17" customFormat="1">
      <c r="A79" s="112" t="s">
        <v>1844</v>
      </c>
      <c r="B79" s="134">
        <v>10.220000000000001</v>
      </c>
      <c r="C79" s="134">
        <v>21.34</v>
      </c>
      <c r="D79" s="134">
        <v>18.3</v>
      </c>
      <c r="E79" s="134">
        <v>7.5</v>
      </c>
      <c r="F79" s="134">
        <v>3.31</v>
      </c>
      <c r="G79" s="134">
        <v>45.64</v>
      </c>
      <c r="H79" s="134">
        <v>14.31</v>
      </c>
      <c r="I79" s="134">
        <v>3.6</v>
      </c>
      <c r="J79" s="134">
        <v>1.4</v>
      </c>
      <c r="K79" s="134">
        <v>305.32</v>
      </c>
      <c r="L79" s="134">
        <v>24.29</v>
      </c>
      <c r="M79" s="134">
        <v>98.81</v>
      </c>
      <c r="N79" s="134">
        <v>0</v>
      </c>
      <c r="O79" s="134">
        <v>23.4</v>
      </c>
      <c r="P79" s="134">
        <v>0.5</v>
      </c>
      <c r="Q79" s="134">
        <v>4.37</v>
      </c>
    </row>
    <row r="80" spans="1:17" customFormat="1">
      <c r="A80" s="112" t="s">
        <v>1845</v>
      </c>
      <c r="B80" s="134">
        <v>9.6</v>
      </c>
      <c r="C80" s="134">
        <v>22.93</v>
      </c>
      <c r="D80" s="134">
        <v>18.64</v>
      </c>
      <c r="E80" s="134">
        <v>6.81</v>
      </c>
      <c r="F80" s="134">
        <v>2.8</v>
      </c>
      <c r="G80" s="134">
        <v>45.64</v>
      </c>
      <c r="H80" s="134">
        <v>14.31</v>
      </c>
      <c r="I80" s="134">
        <v>3.64</v>
      </c>
      <c r="J80" s="134">
        <v>1.1000000000000001</v>
      </c>
      <c r="K80" s="134">
        <v>308.18</v>
      </c>
      <c r="L80" s="134">
        <v>23.52</v>
      </c>
      <c r="M80" s="134">
        <v>99</v>
      </c>
      <c r="N80" s="134">
        <v>0</v>
      </c>
      <c r="O80" s="134">
        <v>18</v>
      </c>
      <c r="P80" s="134">
        <v>0.51</v>
      </c>
      <c r="Q80" s="134">
        <v>4.41</v>
      </c>
    </row>
    <row r="81" spans="1:17" customFormat="1">
      <c r="A81" s="112" t="s">
        <v>1846</v>
      </c>
      <c r="B81" s="134">
        <v>9.7799999999999994</v>
      </c>
      <c r="C81" s="134">
        <v>21.8</v>
      </c>
      <c r="D81" s="134">
        <v>18.190000000000001</v>
      </c>
      <c r="E81" s="134">
        <v>6.7</v>
      </c>
      <c r="F81" s="134">
        <v>3.45</v>
      </c>
      <c r="G81" s="134">
        <v>35.51</v>
      </c>
      <c r="H81" s="134">
        <v>10.210000000000001</v>
      </c>
      <c r="I81" s="134">
        <v>3.71</v>
      </c>
      <c r="J81" s="134">
        <v>0.67</v>
      </c>
      <c r="K81" s="134">
        <v>288.16000000000003</v>
      </c>
      <c r="L81" s="134">
        <v>23.63</v>
      </c>
      <c r="M81" s="134">
        <v>99.2</v>
      </c>
      <c r="N81" s="134">
        <v>0</v>
      </c>
      <c r="O81" s="134">
        <v>8.4</v>
      </c>
      <c r="P81" s="134">
        <v>0.47</v>
      </c>
      <c r="Q81" s="134">
        <v>4.41</v>
      </c>
    </row>
    <row r="82" spans="1:17" customFormat="1">
      <c r="A82" s="112" t="s">
        <v>1847</v>
      </c>
      <c r="B82" s="134">
        <v>10.25</v>
      </c>
      <c r="C82" s="134">
        <v>21.25</v>
      </c>
      <c r="D82" s="134">
        <v>18.28</v>
      </c>
      <c r="E82" s="134">
        <v>6.97</v>
      </c>
      <c r="F82" s="134">
        <v>3.19</v>
      </c>
      <c r="G82" s="134">
        <v>31.39</v>
      </c>
      <c r="H82" s="134">
        <v>10.02</v>
      </c>
      <c r="I82" s="134">
        <v>3.57</v>
      </c>
      <c r="J82" s="134">
        <v>0.17</v>
      </c>
      <c r="K82" s="134">
        <v>160.63</v>
      </c>
      <c r="L82" s="134">
        <v>23.84</v>
      </c>
      <c r="M82" s="134">
        <v>99.37</v>
      </c>
      <c r="N82" s="134">
        <v>0</v>
      </c>
      <c r="O82" s="134">
        <v>5.6</v>
      </c>
      <c r="P82" s="134">
        <v>0.45</v>
      </c>
      <c r="Q82" s="134">
        <v>4.41</v>
      </c>
    </row>
    <row r="83" spans="1:17" customFormat="1">
      <c r="A83" s="112" t="s">
        <v>1848</v>
      </c>
      <c r="B83" s="134">
        <v>10.54</v>
      </c>
      <c r="C83" s="134">
        <v>21.19</v>
      </c>
      <c r="D83" s="134">
        <v>18.48</v>
      </c>
      <c r="E83" s="134">
        <v>7.11</v>
      </c>
      <c r="F83" s="134">
        <v>2.84</v>
      </c>
      <c r="G83" s="134">
        <v>31.39</v>
      </c>
      <c r="H83" s="134">
        <v>10.02</v>
      </c>
      <c r="I83" s="134">
        <v>3.44</v>
      </c>
      <c r="J83" s="134">
        <v>0.09</v>
      </c>
      <c r="K83" s="134">
        <v>139.61000000000001</v>
      </c>
      <c r="L83" s="134">
        <v>23.71</v>
      </c>
      <c r="M83" s="134">
        <v>99.48</v>
      </c>
      <c r="N83" s="134">
        <v>0</v>
      </c>
      <c r="O83" s="134">
        <v>8.6</v>
      </c>
      <c r="P83" s="134">
        <v>0.45</v>
      </c>
      <c r="Q83" s="134">
        <v>4.4000000000000004</v>
      </c>
    </row>
    <row r="84" spans="1:17" customFormat="1">
      <c r="A84" s="112" t="s">
        <v>1849</v>
      </c>
      <c r="B84" s="134">
        <v>10.84</v>
      </c>
      <c r="C84" s="134">
        <v>23.93</v>
      </c>
      <c r="D84" s="134">
        <v>20.149999999999999</v>
      </c>
      <c r="E84" s="134">
        <v>7.65</v>
      </c>
      <c r="F84" s="134">
        <v>1.28</v>
      </c>
      <c r="G84" s="134">
        <v>31.39</v>
      </c>
      <c r="H84" s="134">
        <v>10.02</v>
      </c>
      <c r="I84" s="134">
        <v>3.44</v>
      </c>
      <c r="J84" s="134">
        <v>0.66</v>
      </c>
      <c r="K84" s="134">
        <v>277.83</v>
      </c>
      <c r="L84" s="134">
        <v>23.61</v>
      </c>
      <c r="M84" s="134">
        <v>99.57</v>
      </c>
      <c r="N84" s="134">
        <v>0</v>
      </c>
      <c r="O84" s="134">
        <v>7.8</v>
      </c>
      <c r="P84" s="134">
        <v>0.49</v>
      </c>
      <c r="Q84" s="134">
        <v>4.51</v>
      </c>
    </row>
    <row r="85" spans="1:17" customFormat="1">
      <c r="A85" s="112" t="s">
        <v>1850</v>
      </c>
      <c r="B85" s="134">
        <v>11.24</v>
      </c>
      <c r="C85" s="134">
        <v>22.84</v>
      </c>
      <c r="D85" s="134">
        <v>19.899999999999999</v>
      </c>
      <c r="E85" s="134">
        <v>8.14</v>
      </c>
      <c r="F85" s="134">
        <v>2.2200000000000002</v>
      </c>
      <c r="G85" s="134">
        <v>21.48</v>
      </c>
      <c r="H85" s="134">
        <v>7.15</v>
      </c>
      <c r="I85" s="134">
        <v>3.46</v>
      </c>
      <c r="J85" s="134">
        <v>0.47</v>
      </c>
      <c r="K85" s="134">
        <v>282.5</v>
      </c>
      <c r="L85" s="134">
        <v>23.7</v>
      </c>
      <c r="M85" s="134">
        <v>99.67</v>
      </c>
      <c r="N85" s="134">
        <v>0</v>
      </c>
      <c r="O85" s="134">
        <v>0.4</v>
      </c>
      <c r="P85" s="134">
        <v>0.48</v>
      </c>
      <c r="Q85" s="134">
        <v>4.53</v>
      </c>
    </row>
    <row r="86" spans="1:17" customFormat="1">
      <c r="A86" s="112" t="s">
        <v>1851</v>
      </c>
      <c r="B86" s="134">
        <v>11.83</v>
      </c>
      <c r="C86" s="134">
        <v>21.76</v>
      </c>
      <c r="D86" s="134">
        <v>19.809999999999999</v>
      </c>
      <c r="E86" s="134">
        <v>7.8</v>
      </c>
      <c r="F86" s="134">
        <v>3.21</v>
      </c>
      <c r="G86" s="134">
        <v>17.45</v>
      </c>
      <c r="H86" s="134">
        <v>7.01</v>
      </c>
      <c r="I86" s="134">
        <v>3.57</v>
      </c>
      <c r="J86" s="134">
        <v>0.28999999999999998</v>
      </c>
      <c r="K86" s="134">
        <v>322.52999999999997</v>
      </c>
      <c r="L86" s="134">
        <v>23.85</v>
      </c>
      <c r="M86" s="134">
        <v>99.76</v>
      </c>
      <c r="N86" s="134">
        <v>0</v>
      </c>
      <c r="O86" s="134">
        <v>0</v>
      </c>
      <c r="P86" s="134">
        <v>0.48</v>
      </c>
      <c r="Q86" s="134">
        <v>4.5199999999999996</v>
      </c>
    </row>
    <row r="87" spans="1:17" customFormat="1">
      <c r="A87" s="112" t="s">
        <v>1852</v>
      </c>
      <c r="B87" s="134">
        <v>12.24</v>
      </c>
      <c r="C87" s="134">
        <v>23.91</v>
      </c>
      <c r="D87" s="134">
        <v>21.26</v>
      </c>
      <c r="E87" s="134">
        <v>8.1300000000000008</v>
      </c>
      <c r="F87" s="134">
        <v>1.89</v>
      </c>
      <c r="G87" s="134">
        <v>17.45</v>
      </c>
      <c r="H87" s="134">
        <v>7.01</v>
      </c>
      <c r="I87" s="134">
        <v>3.54</v>
      </c>
      <c r="J87" s="134">
        <v>0.34</v>
      </c>
      <c r="K87" s="134">
        <v>273.5</v>
      </c>
      <c r="L87" s="134">
        <v>24.11</v>
      </c>
      <c r="M87" s="134">
        <v>99.83</v>
      </c>
      <c r="N87" s="134">
        <v>0</v>
      </c>
      <c r="O87" s="134">
        <v>0.8</v>
      </c>
      <c r="P87" s="134">
        <v>0.51</v>
      </c>
      <c r="Q87" s="134">
        <v>4.63</v>
      </c>
    </row>
    <row r="88" spans="1:17" customFormat="1">
      <c r="A88" s="112" t="s">
        <v>1853</v>
      </c>
      <c r="B88" s="134">
        <v>12.78</v>
      </c>
      <c r="C88" s="134">
        <v>23.77</v>
      </c>
      <c r="D88" s="134">
        <v>21.63</v>
      </c>
      <c r="E88" s="134">
        <v>8.5399999999999991</v>
      </c>
      <c r="F88" s="134">
        <v>2.12</v>
      </c>
      <c r="G88" s="134">
        <v>17.45</v>
      </c>
      <c r="H88" s="134">
        <v>7.01</v>
      </c>
      <c r="I88" s="134">
        <v>3.58</v>
      </c>
      <c r="J88" s="134">
        <v>0.56999999999999995</v>
      </c>
      <c r="K88" s="134">
        <v>258.70999999999998</v>
      </c>
      <c r="L88" s="134">
        <v>24.24</v>
      </c>
      <c r="M88" s="134">
        <v>99.91</v>
      </c>
      <c r="N88" s="134">
        <v>0</v>
      </c>
      <c r="O88" s="134">
        <v>1</v>
      </c>
      <c r="P88" s="134">
        <v>0.52</v>
      </c>
      <c r="Q88" s="134">
        <v>4.6500000000000004</v>
      </c>
    </row>
    <row r="89" spans="1:17" customFormat="1">
      <c r="A89" s="112" t="s">
        <v>1854</v>
      </c>
      <c r="B89" s="134">
        <v>12.77</v>
      </c>
      <c r="C89" s="134">
        <v>22.12</v>
      </c>
      <c r="D89" s="134">
        <v>20.75</v>
      </c>
      <c r="E89" s="134">
        <v>8.0399999999999991</v>
      </c>
      <c r="F89" s="134">
        <v>3.57</v>
      </c>
      <c r="G89" s="134">
        <v>12.22</v>
      </c>
      <c r="H89" s="134">
        <v>5.54</v>
      </c>
      <c r="I89" s="134">
        <v>3.71</v>
      </c>
      <c r="J89" s="134">
        <v>0.47</v>
      </c>
      <c r="K89" s="134">
        <v>262.92</v>
      </c>
      <c r="L89" s="134">
        <v>24.37</v>
      </c>
      <c r="M89" s="134">
        <v>99.96</v>
      </c>
      <c r="N89" s="134">
        <v>0</v>
      </c>
      <c r="O89" s="134">
        <v>0.8</v>
      </c>
      <c r="P89" s="134">
        <v>0.53</v>
      </c>
      <c r="Q89" s="134">
        <v>4.66</v>
      </c>
    </row>
    <row r="90" spans="1:17" customFormat="1">
      <c r="A90" s="112" t="s">
        <v>1855</v>
      </c>
      <c r="B90" s="134">
        <v>13.15</v>
      </c>
      <c r="C90" s="134">
        <v>24.02</v>
      </c>
      <c r="D90" s="134">
        <v>22.05</v>
      </c>
      <c r="E90" s="134">
        <v>8.42</v>
      </c>
      <c r="F90" s="134">
        <v>2.06</v>
      </c>
      <c r="G90" s="134">
        <v>10.09</v>
      </c>
      <c r="H90" s="134">
        <v>5.43</v>
      </c>
      <c r="I90" s="134">
        <v>3.78</v>
      </c>
      <c r="J90" s="134">
        <v>0.44</v>
      </c>
      <c r="K90" s="134">
        <v>255.06</v>
      </c>
      <c r="L90" s="134">
        <v>24.41</v>
      </c>
      <c r="M90" s="134">
        <v>100.02</v>
      </c>
      <c r="N90" s="134">
        <v>0</v>
      </c>
      <c r="O90" s="134">
        <v>0.4</v>
      </c>
      <c r="P90" s="134">
        <v>0.55000000000000004</v>
      </c>
      <c r="Q90" s="134">
        <v>4.71</v>
      </c>
    </row>
    <row r="91" spans="1:17" customFormat="1">
      <c r="A91" s="112" t="s">
        <v>1856</v>
      </c>
      <c r="B91" s="134">
        <v>13.51</v>
      </c>
      <c r="C91" s="134">
        <v>24.07</v>
      </c>
      <c r="D91" s="134">
        <v>22.36</v>
      </c>
      <c r="E91" s="134">
        <v>8.7100000000000009</v>
      </c>
      <c r="F91" s="134">
        <v>2</v>
      </c>
      <c r="G91" s="134">
        <v>10.09</v>
      </c>
      <c r="H91" s="134">
        <v>5.43</v>
      </c>
      <c r="I91" s="134">
        <v>3.88</v>
      </c>
      <c r="J91" s="134">
        <v>0.45</v>
      </c>
      <c r="K91" s="134">
        <v>265.60000000000002</v>
      </c>
      <c r="L91" s="134">
        <v>24.35</v>
      </c>
      <c r="M91" s="134">
        <v>100.07</v>
      </c>
      <c r="N91" s="134">
        <v>0</v>
      </c>
      <c r="O91" s="134">
        <v>0</v>
      </c>
      <c r="P91" s="134">
        <v>0.54</v>
      </c>
      <c r="Q91" s="134">
        <v>4.71</v>
      </c>
    </row>
    <row r="92" spans="1:17" customFormat="1">
      <c r="A92" s="112" t="s">
        <v>1857</v>
      </c>
      <c r="B92" s="134">
        <v>13.87</v>
      </c>
      <c r="C92" s="134">
        <v>22.34</v>
      </c>
      <c r="D92" s="134">
        <v>21.75</v>
      </c>
      <c r="E92" s="134">
        <v>8.6</v>
      </c>
      <c r="F92" s="134">
        <v>2.88</v>
      </c>
      <c r="G92" s="134">
        <v>10.09</v>
      </c>
      <c r="H92" s="134">
        <v>5.43</v>
      </c>
      <c r="I92" s="134">
        <v>3.93</v>
      </c>
      <c r="J92" s="134">
        <v>0.41</v>
      </c>
      <c r="K92" s="134">
        <v>282.57</v>
      </c>
      <c r="L92" s="134">
        <v>24.33</v>
      </c>
      <c r="M92" s="134">
        <v>100.07</v>
      </c>
      <c r="N92" s="134">
        <v>0</v>
      </c>
      <c r="O92" s="134">
        <v>0</v>
      </c>
      <c r="P92" s="134">
        <v>0.54</v>
      </c>
      <c r="Q92" s="134">
        <v>4.6500000000000004</v>
      </c>
    </row>
    <row r="93" spans="1:17" customFormat="1">
      <c r="A93" s="112" t="s">
        <v>1858</v>
      </c>
      <c r="B93" s="134">
        <v>14.16</v>
      </c>
      <c r="C93" s="134">
        <v>22.26</v>
      </c>
      <c r="D93" s="134">
        <v>21.94</v>
      </c>
      <c r="E93" s="134">
        <v>8.59</v>
      </c>
      <c r="F93" s="134">
        <v>2.85</v>
      </c>
      <c r="G93" s="134">
        <v>7.18</v>
      </c>
      <c r="H93" s="134">
        <v>5.05</v>
      </c>
      <c r="I93" s="134">
        <v>3.93</v>
      </c>
      <c r="J93" s="134">
        <v>0.35</v>
      </c>
      <c r="K93" s="134">
        <v>292.92</v>
      </c>
      <c r="L93" s="134">
        <v>24.35</v>
      </c>
      <c r="M93" s="134">
        <v>100.08</v>
      </c>
      <c r="N93" s="134">
        <v>0</v>
      </c>
      <c r="O93" s="134">
        <v>0</v>
      </c>
      <c r="P93" s="134">
        <v>0.53</v>
      </c>
      <c r="Q93" s="134">
        <v>4.71</v>
      </c>
    </row>
    <row r="94" spans="1:17" customFormat="1">
      <c r="A94" s="112" t="s">
        <v>1859</v>
      </c>
      <c r="B94" s="134">
        <v>14.94</v>
      </c>
      <c r="C94" s="134">
        <v>25</v>
      </c>
      <c r="D94" s="134">
        <v>23.99</v>
      </c>
      <c r="E94" s="134">
        <v>8.52</v>
      </c>
      <c r="F94" s="134">
        <v>1.38</v>
      </c>
      <c r="G94" s="134">
        <v>6</v>
      </c>
      <c r="H94" s="134">
        <v>5.04</v>
      </c>
      <c r="I94" s="134">
        <v>3.88</v>
      </c>
      <c r="J94" s="134">
        <v>0.5</v>
      </c>
      <c r="K94" s="134">
        <v>273.35000000000002</v>
      </c>
      <c r="L94" s="134">
        <v>24.41</v>
      </c>
      <c r="M94" s="134">
        <v>100.08</v>
      </c>
      <c r="N94" s="134">
        <v>0</v>
      </c>
      <c r="O94" s="134">
        <v>0</v>
      </c>
      <c r="P94" s="134">
        <v>0.56000000000000005</v>
      </c>
      <c r="Q94" s="134">
        <v>4.8099999999999996</v>
      </c>
    </row>
    <row r="95" spans="1:17" customFormat="1">
      <c r="A95" s="112" t="s">
        <v>1860</v>
      </c>
      <c r="B95" s="134">
        <v>15.76</v>
      </c>
      <c r="C95" s="134">
        <v>24.18</v>
      </c>
      <c r="D95" s="134">
        <v>24.23</v>
      </c>
      <c r="E95" s="134">
        <v>8.68</v>
      </c>
      <c r="F95" s="134">
        <v>2.3199999999999998</v>
      </c>
      <c r="G95" s="134">
        <v>6</v>
      </c>
      <c r="H95" s="134">
        <v>5.04</v>
      </c>
      <c r="I95" s="134">
        <v>3.9</v>
      </c>
      <c r="J95" s="134">
        <v>0.45</v>
      </c>
      <c r="K95" s="134">
        <v>262.33999999999997</v>
      </c>
      <c r="L95" s="134">
        <v>24.3</v>
      </c>
      <c r="M95" s="134">
        <v>100.1</v>
      </c>
      <c r="N95" s="134">
        <v>0</v>
      </c>
      <c r="O95" s="134">
        <v>0</v>
      </c>
      <c r="P95" s="134">
        <v>0.56000000000000005</v>
      </c>
      <c r="Q95" s="134">
        <v>4.8600000000000003</v>
      </c>
    </row>
    <row r="96" spans="1:17" customFormat="1">
      <c r="A96" s="112" t="s">
        <v>1861</v>
      </c>
      <c r="B96" s="134">
        <v>16.05</v>
      </c>
      <c r="C96" s="134">
        <v>22.89</v>
      </c>
      <c r="D96" s="134">
        <v>23.79</v>
      </c>
      <c r="E96" s="134">
        <v>8.76</v>
      </c>
      <c r="F96" s="134">
        <v>2.97</v>
      </c>
      <c r="G96" s="134">
        <v>6</v>
      </c>
      <c r="H96" s="134">
        <v>5.04</v>
      </c>
      <c r="I96" s="134">
        <v>4.01</v>
      </c>
      <c r="J96" s="134">
        <v>0.5</v>
      </c>
      <c r="K96" s="134">
        <v>274.63</v>
      </c>
      <c r="L96" s="134">
        <v>24.25</v>
      </c>
      <c r="M96" s="134">
        <v>100.12</v>
      </c>
      <c r="N96" s="134">
        <v>0</v>
      </c>
      <c r="O96" s="134">
        <v>0</v>
      </c>
      <c r="P96" s="134">
        <v>0.54</v>
      </c>
      <c r="Q96" s="134">
        <v>4.83</v>
      </c>
    </row>
    <row r="97" spans="1:22" customFormat="1">
      <c r="A97" s="112" t="s">
        <v>1862</v>
      </c>
      <c r="B97" s="134">
        <v>16.23</v>
      </c>
      <c r="C97" s="134">
        <v>23.71</v>
      </c>
      <c r="D97" s="134">
        <v>24.35</v>
      </c>
      <c r="E97" s="134">
        <v>8.66</v>
      </c>
      <c r="F97" s="134">
        <v>2.4900000000000002</v>
      </c>
      <c r="G97" s="134">
        <v>5.43</v>
      </c>
      <c r="H97" s="134">
        <v>3.82</v>
      </c>
      <c r="I97" s="134">
        <v>3.97</v>
      </c>
      <c r="J97" s="134">
        <v>0.46</v>
      </c>
      <c r="K97" s="134">
        <v>280.60000000000002</v>
      </c>
      <c r="L97" s="134">
        <v>24.23</v>
      </c>
      <c r="M97" s="134">
        <v>100.13</v>
      </c>
      <c r="N97" s="134">
        <v>0</v>
      </c>
      <c r="O97" s="134">
        <v>0</v>
      </c>
      <c r="P97" s="134">
        <v>0.55000000000000004</v>
      </c>
      <c r="Q97" s="134">
        <v>4.87</v>
      </c>
    </row>
    <row r="98" spans="1:22" customFormat="1">
      <c r="A98" s="112" t="s">
        <v>1863</v>
      </c>
      <c r="B98" s="134">
        <v>16.399999999999999</v>
      </c>
      <c r="C98" s="134">
        <v>25.89</v>
      </c>
      <c r="D98" s="134">
        <v>25.63</v>
      </c>
      <c r="E98" s="134">
        <v>8.9600000000000009</v>
      </c>
      <c r="F98" s="134">
        <v>1.38</v>
      </c>
      <c r="G98" s="134">
        <v>5.19</v>
      </c>
      <c r="H98" s="134">
        <v>3.77</v>
      </c>
      <c r="I98" s="134">
        <v>3.92</v>
      </c>
      <c r="J98" s="134">
        <v>0.4</v>
      </c>
      <c r="K98" s="134">
        <v>294.26</v>
      </c>
      <c r="L98" s="134">
        <v>24.19</v>
      </c>
      <c r="M98" s="134">
        <v>100.13</v>
      </c>
      <c r="N98" s="134">
        <v>0</v>
      </c>
      <c r="O98" s="134">
        <v>0</v>
      </c>
      <c r="P98" s="134">
        <v>0.56999999999999995</v>
      </c>
      <c r="Q98" s="134">
        <v>4.97</v>
      </c>
    </row>
    <row r="99" spans="1:22" customFormat="1">
      <c r="A99" s="112" t="s">
        <v>1864</v>
      </c>
      <c r="B99" s="134">
        <v>16.440000000000001</v>
      </c>
      <c r="C99" s="134">
        <v>24.79</v>
      </c>
      <c r="D99" s="134">
        <v>25.09</v>
      </c>
      <c r="E99" s="134">
        <v>8.84</v>
      </c>
      <c r="F99" s="134">
        <v>2.36</v>
      </c>
      <c r="G99" s="134">
        <v>5.19</v>
      </c>
      <c r="H99" s="134">
        <v>3.77</v>
      </c>
      <c r="I99" s="134">
        <v>3.96</v>
      </c>
      <c r="J99" s="134">
        <v>0.49</v>
      </c>
      <c r="K99" s="134">
        <v>269.99</v>
      </c>
      <c r="L99" s="134">
        <v>24.09</v>
      </c>
      <c r="M99" s="134">
        <v>100.14</v>
      </c>
      <c r="N99" s="134">
        <v>0</v>
      </c>
      <c r="O99" s="134">
        <v>0.2</v>
      </c>
      <c r="P99" s="134">
        <v>0.56000000000000005</v>
      </c>
      <c r="Q99" s="134">
        <v>4.93</v>
      </c>
    </row>
    <row r="100" spans="1:22" customFormat="1">
      <c r="A100" s="112" t="s">
        <v>1865</v>
      </c>
      <c r="B100" s="134">
        <v>15.57</v>
      </c>
      <c r="C100" s="134">
        <v>25.68</v>
      </c>
      <c r="D100" s="134">
        <v>24.86</v>
      </c>
      <c r="E100" s="134">
        <v>8.67</v>
      </c>
      <c r="F100" s="134">
        <v>2.5299999999999998</v>
      </c>
      <c r="G100" s="134">
        <v>5.19</v>
      </c>
      <c r="H100" s="134">
        <v>3.77</v>
      </c>
      <c r="I100" s="134">
        <v>4.03</v>
      </c>
      <c r="J100" s="134">
        <v>0.52</v>
      </c>
      <c r="K100" s="134">
        <v>271.12</v>
      </c>
      <c r="L100" s="134">
        <v>24.01</v>
      </c>
      <c r="M100" s="134">
        <v>100.15</v>
      </c>
      <c r="N100" s="134">
        <v>0</v>
      </c>
      <c r="O100" s="134">
        <v>0</v>
      </c>
      <c r="P100" s="134">
        <v>0.57999999999999996</v>
      </c>
      <c r="Q100" s="134">
        <v>4.87</v>
      </c>
    </row>
    <row r="101" spans="1:22" customFormat="1">
      <c r="A101" s="112" t="s">
        <v>1866</v>
      </c>
      <c r="B101" s="134">
        <v>14.96</v>
      </c>
      <c r="C101" s="134">
        <v>26.29</v>
      </c>
      <c r="D101" s="134">
        <v>24.69</v>
      </c>
      <c r="E101" s="134">
        <v>8.6</v>
      </c>
      <c r="F101" s="134">
        <v>2.5499999999999998</v>
      </c>
      <c r="G101" s="134">
        <v>7.48</v>
      </c>
      <c r="H101" s="134">
        <v>4.1500000000000004</v>
      </c>
      <c r="I101" s="134">
        <v>4.03</v>
      </c>
      <c r="J101" s="134">
        <v>0.46</v>
      </c>
      <c r="K101" s="134">
        <v>271.63</v>
      </c>
      <c r="L101" s="134">
        <v>24.17</v>
      </c>
      <c r="M101" s="134">
        <v>100.15</v>
      </c>
      <c r="N101" s="134">
        <v>0</v>
      </c>
      <c r="O101" s="134">
        <v>0</v>
      </c>
      <c r="P101" s="134">
        <v>0.59</v>
      </c>
      <c r="Q101" s="134">
        <v>4.91</v>
      </c>
    </row>
    <row r="102" spans="1:22" customFormat="1">
      <c r="A102" s="112" t="s">
        <v>1867</v>
      </c>
      <c r="B102" s="134">
        <v>15.24</v>
      </c>
      <c r="C102" s="134">
        <v>23.45</v>
      </c>
      <c r="D102" s="134">
        <v>23.43</v>
      </c>
      <c r="E102" s="134">
        <v>8.14</v>
      </c>
      <c r="F102" s="134">
        <v>3.4</v>
      </c>
      <c r="G102" s="134">
        <v>8.41</v>
      </c>
      <c r="H102" s="134">
        <v>4.17</v>
      </c>
      <c r="I102" s="134">
        <v>4.08</v>
      </c>
      <c r="J102" s="134">
        <v>0.54</v>
      </c>
      <c r="K102" s="134">
        <v>265.89999999999998</v>
      </c>
      <c r="L102" s="134">
        <v>24.25</v>
      </c>
      <c r="M102" s="134">
        <v>100.15</v>
      </c>
      <c r="N102" s="134">
        <v>0</v>
      </c>
      <c r="O102" s="134">
        <v>0</v>
      </c>
      <c r="P102" s="134">
        <v>0.53</v>
      </c>
      <c r="Q102" s="134">
        <v>4.82</v>
      </c>
    </row>
    <row r="103" spans="1:22" customFormat="1">
      <c r="A103" s="112" t="s">
        <v>1868</v>
      </c>
      <c r="B103" s="134">
        <v>15.34</v>
      </c>
      <c r="C103" s="134">
        <v>22.46</v>
      </c>
      <c r="D103" s="134">
        <v>22.99</v>
      </c>
      <c r="E103" s="134">
        <v>8.08</v>
      </c>
      <c r="F103" s="134">
        <v>3.14</v>
      </c>
      <c r="G103" s="134">
        <v>8.41</v>
      </c>
      <c r="H103" s="134">
        <v>4.17</v>
      </c>
      <c r="I103" s="134">
        <v>3.94</v>
      </c>
      <c r="J103" s="134">
        <v>0.56999999999999995</v>
      </c>
      <c r="K103" s="134">
        <v>282.83999999999997</v>
      </c>
      <c r="L103" s="134">
        <v>24.25</v>
      </c>
      <c r="M103" s="134">
        <v>100.16</v>
      </c>
      <c r="N103" s="134">
        <v>0</v>
      </c>
      <c r="O103" s="134">
        <v>0</v>
      </c>
      <c r="P103" s="134">
        <v>0.51</v>
      </c>
      <c r="Q103" s="134">
        <v>4.79</v>
      </c>
    </row>
    <row r="104" spans="1:22" customFormat="1">
      <c r="A104" s="112" t="s">
        <v>1869</v>
      </c>
      <c r="B104" s="134">
        <v>15.52</v>
      </c>
      <c r="C104" s="134">
        <v>22.66</v>
      </c>
      <c r="D104" s="134">
        <v>23.24</v>
      </c>
      <c r="E104" s="134">
        <v>7.69</v>
      </c>
      <c r="F104" s="134">
        <v>2.88</v>
      </c>
      <c r="G104" s="134">
        <v>8.41</v>
      </c>
      <c r="H104" s="134">
        <v>4.17</v>
      </c>
      <c r="I104" s="134">
        <v>3.83</v>
      </c>
      <c r="J104" s="134">
        <v>0.43</v>
      </c>
      <c r="K104" s="134">
        <v>284.06</v>
      </c>
      <c r="L104" s="134">
        <v>24.34</v>
      </c>
      <c r="M104" s="134">
        <v>100.18</v>
      </c>
      <c r="N104" s="134">
        <v>0</v>
      </c>
      <c r="O104" s="134">
        <v>0</v>
      </c>
      <c r="P104" s="134">
        <v>0.49</v>
      </c>
      <c r="Q104" s="134">
        <v>4.8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8.18</v>
      </c>
      <c r="C106" s="183">
        <f>MIN(C9:C104)</f>
        <v>17.86</v>
      </c>
      <c r="D106" s="183">
        <f t="shared" ref="D106:Q106" si="0">MIN(D9:D104)</f>
        <v>14.88</v>
      </c>
      <c r="E106" s="183">
        <f t="shared" si="0"/>
        <v>5.43</v>
      </c>
      <c r="F106" s="183">
        <f t="shared" si="0"/>
        <v>1.28</v>
      </c>
      <c r="G106" s="183">
        <f t="shared" si="0"/>
        <v>5.19</v>
      </c>
      <c r="H106" s="183">
        <f t="shared" si="0"/>
        <v>3.77</v>
      </c>
      <c r="I106" s="183">
        <f t="shared" si="0"/>
        <v>3.44</v>
      </c>
      <c r="J106" s="183">
        <f t="shared" si="0"/>
        <v>0.09</v>
      </c>
      <c r="K106" s="183">
        <f t="shared" si="0"/>
        <v>4.0999999999999996</v>
      </c>
      <c r="L106" s="183">
        <f t="shared" si="0"/>
        <v>23.52</v>
      </c>
      <c r="M106" s="183">
        <f t="shared" si="0"/>
        <v>65.400000000000006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4.34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16.440000000000001</v>
      </c>
      <c r="C107" s="184">
        <f t="shared" ref="C107:Q107" si="1">MAX(C9:C104)</f>
        <v>26.48</v>
      </c>
      <c r="D107" s="184">
        <f t="shared" si="1"/>
        <v>25.63</v>
      </c>
      <c r="E107" s="184">
        <f t="shared" si="1"/>
        <v>10.35</v>
      </c>
      <c r="F107" s="184">
        <f t="shared" si="1"/>
        <v>11.88</v>
      </c>
      <c r="G107" s="184">
        <f t="shared" si="1"/>
        <v>62.45</v>
      </c>
      <c r="H107" s="184">
        <f t="shared" si="1"/>
        <v>14.89</v>
      </c>
      <c r="I107" s="184">
        <f t="shared" si="1"/>
        <v>4.7300000000000004</v>
      </c>
      <c r="J107" s="184">
        <f t="shared" si="1"/>
        <v>1.4</v>
      </c>
      <c r="K107" s="184">
        <f t="shared" si="1"/>
        <v>357.37</v>
      </c>
      <c r="L107" s="184">
        <f t="shared" si="1"/>
        <v>32.090000000000003</v>
      </c>
      <c r="M107" s="184">
        <f t="shared" si="1"/>
        <v>100.18</v>
      </c>
      <c r="N107" s="184">
        <f t="shared" si="1"/>
        <v>510.1</v>
      </c>
      <c r="O107" s="184">
        <f t="shared" si="1"/>
        <v>23.4</v>
      </c>
      <c r="P107" s="184">
        <f t="shared" si="1"/>
        <v>0.59</v>
      </c>
      <c r="Q107" s="184">
        <f t="shared" si="1"/>
        <v>4.97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11.610937499999997</v>
      </c>
      <c r="C108" s="183">
        <f t="shared" ref="C108:Q108" si="2">AVERAGE(C9:C104)</f>
        <v>22.006666666666671</v>
      </c>
      <c r="D108" s="183">
        <f t="shared" si="2"/>
        <v>19.764166666666664</v>
      </c>
      <c r="E108" s="183">
        <f t="shared" si="2"/>
        <v>7.7462500000000007</v>
      </c>
      <c r="F108" s="183">
        <f t="shared" si="2"/>
        <v>4.5715625000000006</v>
      </c>
      <c r="G108" s="183">
        <f t="shared" si="2"/>
        <v>31.698124999999976</v>
      </c>
      <c r="H108" s="183">
        <f t="shared" si="2"/>
        <v>9.3509374999999917</v>
      </c>
      <c r="I108" s="183">
        <f t="shared" si="2"/>
        <v>3.9030208333333323</v>
      </c>
      <c r="J108" s="183">
        <f t="shared" si="2"/>
        <v>0.47906250000000011</v>
      </c>
      <c r="K108" s="183">
        <f t="shared" si="2"/>
        <v>263.51208333333335</v>
      </c>
      <c r="L108" s="183">
        <f t="shared" si="2"/>
        <v>27.451041666666665</v>
      </c>
      <c r="M108" s="183">
        <f t="shared" si="2"/>
        <v>84.536666666666662</v>
      </c>
      <c r="N108" s="183">
        <f t="shared" si="2"/>
        <v>101.21979166666664</v>
      </c>
      <c r="O108" s="183">
        <f t="shared" si="2"/>
        <v>0.92499999999999993</v>
      </c>
      <c r="P108" s="183">
        <f t="shared" si="2"/>
        <v>0.48614583333333344</v>
      </c>
      <c r="Q108" s="183">
        <f t="shared" si="2"/>
        <v>4.5852083333333349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2.1385927877560529</v>
      </c>
      <c r="C109" s="183">
        <f t="shared" ref="C109:Q109" si="3">STDEV(C9:C104)</f>
        <v>1.8176941243851674</v>
      </c>
      <c r="D109" s="183">
        <f t="shared" si="3"/>
        <v>2.3930419604681905</v>
      </c>
      <c r="E109" s="183">
        <f t="shared" si="3"/>
        <v>1.0288995142997752</v>
      </c>
      <c r="F109" s="183">
        <f t="shared" si="3"/>
        <v>2.3720660894871215</v>
      </c>
      <c r="G109" s="183">
        <f t="shared" si="3"/>
        <v>17.970614862954271</v>
      </c>
      <c r="H109" s="183">
        <f t="shared" si="3"/>
        <v>3.7448662622807403</v>
      </c>
      <c r="I109" s="183">
        <f t="shared" si="3"/>
        <v>0.24897736016996219</v>
      </c>
      <c r="J109" s="183">
        <f t="shared" si="3"/>
        <v>0.18955392580865646</v>
      </c>
      <c r="K109" s="183">
        <f t="shared" si="3"/>
        <v>76.816200606473714</v>
      </c>
      <c r="L109" s="183">
        <f t="shared" si="3"/>
        <v>2.8175934035484094</v>
      </c>
      <c r="M109" s="183">
        <f t="shared" si="3"/>
        <v>12.541217826088507</v>
      </c>
      <c r="N109" s="183">
        <f t="shared" si="3"/>
        <v>142.6839124334785</v>
      </c>
      <c r="O109" s="183">
        <f t="shared" si="3"/>
        <v>3.4277198190480416</v>
      </c>
      <c r="P109" s="183">
        <f t="shared" si="3"/>
        <v>4.1202191859596518E-2</v>
      </c>
      <c r="Q109" s="183">
        <f t="shared" si="3"/>
        <v>0.15058467921411287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B110" sqref="B110:I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18/08/2023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1870</v>
      </c>
      <c r="B9" s="134">
        <v>12.94</v>
      </c>
      <c r="C9" s="134">
        <v>27.02</v>
      </c>
      <c r="D9" s="134">
        <v>23.45</v>
      </c>
      <c r="E9" s="134">
        <v>8.49</v>
      </c>
      <c r="F9" s="134">
        <v>1.37</v>
      </c>
      <c r="G9" s="134">
        <v>14.39</v>
      </c>
      <c r="H9" s="134">
        <v>5.72</v>
      </c>
      <c r="I9" s="134">
        <v>3.8</v>
      </c>
      <c r="J9" s="134">
        <v>0.44</v>
      </c>
      <c r="K9" s="134">
        <v>277.14</v>
      </c>
      <c r="L9" s="134">
        <v>24.35</v>
      </c>
      <c r="M9" s="134">
        <v>100.18</v>
      </c>
      <c r="N9" s="134">
        <v>0</v>
      </c>
      <c r="O9" s="134">
        <v>0</v>
      </c>
      <c r="P9" s="134">
        <v>0.53</v>
      </c>
      <c r="Q9" s="134">
        <v>4.8899999999999997</v>
      </c>
    </row>
    <row r="10" spans="1:21" customFormat="1">
      <c r="A10" s="112" t="s">
        <v>1871</v>
      </c>
      <c r="B10" s="134">
        <v>13.11</v>
      </c>
      <c r="C10" s="134">
        <v>25.45</v>
      </c>
      <c r="D10" s="134">
        <v>22.76</v>
      </c>
      <c r="E10" s="134">
        <v>8.61</v>
      </c>
      <c r="F10" s="134">
        <v>1.99</v>
      </c>
      <c r="G10" s="134">
        <v>16.82</v>
      </c>
      <c r="H10" s="134">
        <v>5.8</v>
      </c>
      <c r="I10" s="134">
        <v>3.77</v>
      </c>
      <c r="J10" s="134">
        <v>0.51</v>
      </c>
      <c r="K10" s="134">
        <v>276.95</v>
      </c>
      <c r="L10" s="134">
        <v>24.36</v>
      </c>
      <c r="M10" s="134">
        <v>100.16</v>
      </c>
      <c r="N10" s="134">
        <v>0</v>
      </c>
      <c r="O10" s="134">
        <v>0</v>
      </c>
      <c r="P10" s="134">
        <v>0.53</v>
      </c>
      <c r="Q10" s="134">
        <v>4.9000000000000004</v>
      </c>
    </row>
    <row r="11" spans="1:21" customFormat="1">
      <c r="A11" s="112" t="s">
        <v>1872</v>
      </c>
      <c r="B11" s="134">
        <v>13.21</v>
      </c>
      <c r="C11" s="134">
        <v>22.98</v>
      </c>
      <c r="D11" s="134">
        <v>21.55</v>
      </c>
      <c r="E11" s="134">
        <v>8.1</v>
      </c>
      <c r="F11" s="134">
        <v>2.94</v>
      </c>
      <c r="G11" s="134">
        <v>16.82</v>
      </c>
      <c r="H11" s="134">
        <v>5.8</v>
      </c>
      <c r="I11" s="134">
        <v>3.85</v>
      </c>
      <c r="J11" s="134">
        <v>0.47</v>
      </c>
      <c r="K11" s="134">
        <v>281.3</v>
      </c>
      <c r="L11" s="134">
        <v>24.39</v>
      </c>
      <c r="M11" s="134">
        <v>100.15</v>
      </c>
      <c r="N11" s="134">
        <v>0</v>
      </c>
      <c r="O11" s="134">
        <v>0</v>
      </c>
      <c r="P11" s="134">
        <v>0.51</v>
      </c>
      <c r="Q11" s="134">
        <v>4.8600000000000003</v>
      </c>
    </row>
    <row r="12" spans="1:21" customFormat="1">
      <c r="A12" s="112" t="s">
        <v>1873</v>
      </c>
      <c r="B12" s="134">
        <v>13.23</v>
      </c>
      <c r="C12" s="134">
        <v>22.13</v>
      </c>
      <c r="D12" s="134">
        <v>21.13</v>
      </c>
      <c r="E12" s="134">
        <v>7.91</v>
      </c>
      <c r="F12" s="134">
        <v>2.93</v>
      </c>
      <c r="G12" s="134">
        <v>16.82</v>
      </c>
      <c r="H12" s="134">
        <v>5.8</v>
      </c>
      <c r="I12" s="134">
        <v>3.82</v>
      </c>
      <c r="J12" s="134">
        <v>0.4</v>
      </c>
      <c r="K12" s="134">
        <v>265.13</v>
      </c>
      <c r="L12" s="134">
        <v>24.35</v>
      </c>
      <c r="M12" s="134">
        <v>100.15</v>
      </c>
      <c r="N12" s="134">
        <v>0</v>
      </c>
      <c r="O12" s="134">
        <v>0</v>
      </c>
      <c r="P12" s="134">
        <v>0.49</v>
      </c>
      <c r="Q12" s="134">
        <v>4.8</v>
      </c>
    </row>
    <row r="13" spans="1:21" customFormat="1">
      <c r="A13" s="112" t="s">
        <v>1874</v>
      </c>
      <c r="B13" s="134">
        <v>13.17</v>
      </c>
      <c r="C13" s="134">
        <v>24.98</v>
      </c>
      <c r="D13" s="134">
        <v>22.57</v>
      </c>
      <c r="E13" s="134">
        <v>8.64</v>
      </c>
      <c r="F13" s="134">
        <v>1.48</v>
      </c>
      <c r="G13" s="134">
        <v>15.18</v>
      </c>
      <c r="H13" s="134">
        <v>5.19</v>
      </c>
      <c r="I13" s="134">
        <v>3.74</v>
      </c>
      <c r="J13" s="134">
        <v>0.4</v>
      </c>
      <c r="K13" s="134">
        <v>261.70999999999998</v>
      </c>
      <c r="L13" s="134">
        <v>24.38</v>
      </c>
      <c r="M13" s="134">
        <v>100.11</v>
      </c>
      <c r="N13" s="134">
        <v>0</v>
      </c>
      <c r="O13" s="134">
        <v>0</v>
      </c>
      <c r="P13" s="134">
        <v>0.53</v>
      </c>
      <c r="Q13" s="134">
        <v>4.87</v>
      </c>
    </row>
    <row r="14" spans="1:21" customFormat="1">
      <c r="A14" s="112" t="s">
        <v>1875</v>
      </c>
      <c r="B14" s="134">
        <v>13.33</v>
      </c>
      <c r="C14" s="134">
        <v>23.4</v>
      </c>
      <c r="D14" s="134">
        <v>21.87</v>
      </c>
      <c r="E14" s="134">
        <v>8.7200000000000006</v>
      </c>
      <c r="F14" s="134">
        <v>2.1800000000000002</v>
      </c>
      <c r="G14" s="134">
        <v>14.52</v>
      </c>
      <c r="H14" s="134">
        <v>5.15</v>
      </c>
      <c r="I14" s="134">
        <v>3.73</v>
      </c>
      <c r="J14" s="134">
        <v>0.3</v>
      </c>
      <c r="K14" s="134">
        <v>257.44</v>
      </c>
      <c r="L14" s="134">
        <v>24.37</v>
      </c>
      <c r="M14" s="134">
        <v>99.9</v>
      </c>
      <c r="N14" s="134">
        <v>0</v>
      </c>
      <c r="O14" s="134">
        <v>0</v>
      </c>
      <c r="P14" s="134">
        <v>0.51</v>
      </c>
      <c r="Q14" s="134">
        <v>4.83</v>
      </c>
    </row>
    <row r="15" spans="1:21" customFormat="1">
      <c r="A15" s="112" t="s">
        <v>1876</v>
      </c>
      <c r="B15" s="134">
        <v>13.29</v>
      </c>
      <c r="C15" s="134">
        <v>21.82</v>
      </c>
      <c r="D15" s="134">
        <v>21.01</v>
      </c>
      <c r="E15" s="134">
        <v>8.39</v>
      </c>
      <c r="F15" s="134">
        <v>3.02</v>
      </c>
      <c r="G15" s="134">
        <v>14.52</v>
      </c>
      <c r="H15" s="134">
        <v>5.15</v>
      </c>
      <c r="I15" s="134">
        <v>3.82</v>
      </c>
      <c r="J15" s="134">
        <v>0.46</v>
      </c>
      <c r="K15" s="134">
        <v>262.81</v>
      </c>
      <c r="L15" s="134">
        <v>24.36</v>
      </c>
      <c r="M15" s="134">
        <v>99.65</v>
      </c>
      <c r="N15" s="134">
        <v>0</v>
      </c>
      <c r="O15" s="134">
        <v>0</v>
      </c>
      <c r="P15" s="134">
        <v>0.48</v>
      </c>
      <c r="Q15" s="134">
        <v>4.8099999999999996</v>
      </c>
    </row>
    <row r="16" spans="1:21" customFormat="1">
      <c r="A16" s="112" t="s">
        <v>1877</v>
      </c>
      <c r="B16" s="134">
        <v>13.18</v>
      </c>
      <c r="C16" s="134">
        <v>24.22</v>
      </c>
      <c r="D16" s="134">
        <v>22.18</v>
      </c>
      <c r="E16" s="134">
        <v>8.43</v>
      </c>
      <c r="F16" s="134">
        <v>1.62</v>
      </c>
      <c r="G16" s="134">
        <v>14.52</v>
      </c>
      <c r="H16" s="134">
        <v>5.15</v>
      </c>
      <c r="I16" s="134">
        <v>3.74</v>
      </c>
      <c r="J16" s="134">
        <v>0.53</v>
      </c>
      <c r="K16" s="134">
        <v>262.8</v>
      </c>
      <c r="L16" s="134">
        <v>24.37</v>
      </c>
      <c r="M16" s="134">
        <v>99.23</v>
      </c>
      <c r="N16" s="134">
        <v>0</v>
      </c>
      <c r="O16" s="134">
        <v>0</v>
      </c>
      <c r="P16" s="134">
        <v>0.51</v>
      </c>
      <c r="Q16" s="134">
        <v>4.8499999999999996</v>
      </c>
    </row>
    <row r="17" spans="1:17" customFormat="1">
      <c r="A17" s="112" t="s">
        <v>1878</v>
      </c>
      <c r="B17" s="134">
        <v>13.02</v>
      </c>
      <c r="C17" s="134">
        <v>22.8</v>
      </c>
      <c r="D17" s="134">
        <v>21.31</v>
      </c>
      <c r="E17" s="134">
        <v>7.44</v>
      </c>
      <c r="F17" s="134">
        <v>2.64</v>
      </c>
      <c r="G17" s="134">
        <v>13.71</v>
      </c>
      <c r="H17" s="134">
        <v>3.85</v>
      </c>
      <c r="I17" s="134">
        <v>3.69</v>
      </c>
      <c r="J17" s="134">
        <v>0.34</v>
      </c>
      <c r="K17" s="134">
        <v>261.92</v>
      </c>
      <c r="L17" s="134">
        <v>24.38</v>
      </c>
      <c r="M17" s="134">
        <v>98.64</v>
      </c>
      <c r="N17" s="134">
        <v>0</v>
      </c>
      <c r="O17" s="134">
        <v>0</v>
      </c>
      <c r="P17" s="134">
        <v>0.5</v>
      </c>
      <c r="Q17" s="134">
        <v>4.83</v>
      </c>
    </row>
    <row r="18" spans="1:17" customFormat="1">
      <c r="A18" s="112" t="s">
        <v>1879</v>
      </c>
      <c r="B18" s="134">
        <v>13.18</v>
      </c>
      <c r="C18" s="134">
        <v>21.4</v>
      </c>
      <c r="D18" s="134">
        <v>20.71</v>
      </c>
      <c r="E18" s="134">
        <v>7.71</v>
      </c>
      <c r="F18" s="134">
        <v>2.97</v>
      </c>
      <c r="G18" s="134">
        <v>13.37</v>
      </c>
      <c r="H18" s="134">
        <v>3.75</v>
      </c>
      <c r="I18" s="134">
        <v>3.75</v>
      </c>
      <c r="J18" s="134">
        <v>0.46</v>
      </c>
      <c r="K18" s="134">
        <v>263.3</v>
      </c>
      <c r="L18" s="134">
        <v>24.44</v>
      </c>
      <c r="M18" s="134">
        <v>97.92</v>
      </c>
      <c r="N18" s="134">
        <v>0</v>
      </c>
      <c r="O18" s="134">
        <v>0</v>
      </c>
      <c r="P18" s="134">
        <v>0.47</v>
      </c>
      <c r="Q18" s="134">
        <v>4.78</v>
      </c>
    </row>
    <row r="19" spans="1:17" customFormat="1">
      <c r="A19" s="112" t="s">
        <v>1880</v>
      </c>
      <c r="B19" s="134">
        <v>13.27</v>
      </c>
      <c r="C19" s="134">
        <v>24.02</v>
      </c>
      <c r="D19" s="134">
        <v>22.15</v>
      </c>
      <c r="E19" s="134">
        <v>8.11</v>
      </c>
      <c r="F19" s="134">
        <v>1.51</v>
      </c>
      <c r="G19" s="134">
        <v>13.37</v>
      </c>
      <c r="H19" s="134">
        <v>3.75</v>
      </c>
      <c r="I19" s="134">
        <v>3.66</v>
      </c>
      <c r="J19" s="134">
        <v>0.4</v>
      </c>
      <c r="K19" s="134">
        <v>264.60000000000002</v>
      </c>
      <c r="L19" s="134">
        <v>24.42</v>
      </c>
      <c r="M19" s="134">
        <v>97.29</v>
      </c>
      <c r="N19" s="134">
        <v>0</v>
      </c>
      <c r="O19" s="134">
        <v>0</v>
      </c>
      <c r="P19" s="134">
        <v>0.51</v>
      </c>
      <c r="Q19" s="134">
        <v>4.83</v>
      </c>
    </row>
    <row r="20" spans="1:17" customFormat="1">
      <c r="A20" s="112" t="s">
        <v>1881</v>
      </c>
      <c r="B20" s="134">
        <v>13.52</v>
      </c>
      <c r="C20" s="134">
        <v>23.33</v>
      </c>
      <c r="D20" s="134">
        <v>21.98</v>
      </c>
      <c r="E20" s="134">
        <v>8.7799999999999994</v>
      </c>
      <c r="F20" s="134">
        <v>2.15</v>
      </c>
      <c r="G20" s="134">
        <v>13.37</v>
      </c>
      <c r="H20" s="134">
        <v>3.75</v>
      </c>
      <c r="I20" s="134">
        <v>3.69</v>
      </c>
      <c r="J20" s="134">
        <v>0.33</v>
      </c>
      <c r="K20" s="134">
        <v>263.74</v>
      </c>
      <c r="L20" s="134">
        <v>24.43</v>
      </c>
      <c r="M20" s="134">
        <v>97.21</v>
      </c>
      <c r="N20" s="134">
        <v>0</v>
      </c>
      <c r="O20" s="134">
        <v>0</v>
      </c>
      <c r="P20" s="134">
        <v>0.5</v>
      </c>
      <c r="Q20" s="134">
        <v>4.8499999999999996</v>
      </c>
    </row>
    <row r="21" spans="1:17" customFormat="1">
      <c r="A21" s="112" t="s">
        <v>1882</v>
      </c>
      <c r="B21" s="134">
        <v>13.51</v>
      </c>
      <c r="C21" s="134">
        <v>21.36</v>
      </c>
      <c r="D21" s="134">
        <v>20.95</v>
      </c>
      <c r="E21" s="134">
        <v>8.58</v>
      </c>
      <c r="F21" s="134">
        <v>2.98</v>
      </c>
      <c r="G21" s="134">
        <v>12.99</v>
      </c>
      <c r="H21" s="134">
        <v>4.1900000000000004</v>
      </c>
      <c r="I21" s="134">
        <v>3.77</v>
      </c>
      <c r="J21" s="134">
        <v>0.51</v>
      </c>
      <c r="K21" s="134">
        <v>265.36</v>
      </c>
      <c r="L21" s="134">
        <v>24.41</v>
      </c>
      <c r="M21" s="134">
        <v>97.49</v>
      </c>
      <c r="N21" s="134">
        <v>0</v>
      </c>
      <c r="O21" s="134">
        <v>0</v>
      </c>
      <c r="P21" s="134">
        <v>0.51</v>
      </c>
      <c r="Q21" s="134">
        <v>4.83</v>
      </c>
    </row>
    <row r="22" spans="1:17" customFormat="1">
      <c r="A22" s="112" t="s">
        <v>1883</v>
      </c>
      <c r="B22" s="134">
        <v>13.61</v>
      </c>
      <c r="C22" s="134">
        <v>23.66</v>
      </c>
      <c r="D22" s="134">
        <v>22.23</v>
      </c>
      <c r="E22" s="134">
        <v>8.06</v>
      </c>
      <c r="F22" s="134">
        <v>1.67</v>
      </c>
      <c r="G22" s="134">
        <v>12.84</v>
      </c>
      <c r="H22" s="134">
        <v>4.21</v>
      </c>
      <c r="I22" s="134">
        <v>3.88</v>
      </c>
      <c r="J22" s="134">
        <v>0.66</v>
      </c>
      <c r="K22" s="134">
        <v>262.56</v>
      </c>
      <c r="L22" s="134">
        <v>24.43</v>
      </c>
      <c r="M22" s="134">
        <v>97.53</v>
      </c>
      <c r="N22" s="134">
        <v>0</v>
      </c>
      <c r="O22" s="134">
        <v>0</v>
      </c>
      <c r="P22" s="134">
        <v>0.53</v>
      </c>
      <c r="Q22" s="134">
        <v>4.8600000000000003</v>
      </c>
    </row>
    <row r="23" spans="1:17" customFormat="1">
      <c r="A23" s="112" t="s">
        <v>1884</v>
      </c>
      <c r="B23" s="134">
        <v>13.71</v>
      </c>
      <c r="C23" s="134">
        <v>23.28</v>
      </c>
      <c r="D23" s="134">
        <v>22.11</v>
      </c>
      <c r="E23" s="134">
        <v>8.92</v>
      </c>
      <c r="F23" s="134">
        <v>2.14</v>
      </c>
      <c r="G23" s="134">
        <v>12.84</v>
      </c>
      <c r="H23" s="134">
        <v>4.21</v>
      </c>
      <c r="I23" s="134">
        <v>4.1100000000000003</v>
      </c>
      <c r="J23" s="134">
        <v>0.56000000000000005</v>
      </c>
      <c r="K23" s="134">
        <v>268.06</v>
      </c>
      <c r="L23" s="134">
        <v>24.44</v>
      </c>
      <c r="M23" s="134">
        <v>97.38</v>
      </c>
      <c r="N23" s="134">
        <v>0</v>
      </c>
      <c r="O23" s="134">
        <v>0</v>
      </c>
      <c r="P23" s="134">
        <v>0.53</v>
      </c>
      <c r="Q23" s="134">
        <v>4.87</v>
      </c>
    </row>
    <row r="24" spans="1:17" customFormat="1">
      <c r="A24" s="112" t="s">
        <v>1885</v>
      </c>
      <c r="B24" s="134">
        <v>13.31</v>
      </c>
      <c r="C24" s="134">
        <v>22.36</v>
      </c>
      <c r="D24" s="134">
        <v>21.31</v>
      </c>
      <c r="E24" s="134">
        <v>8.36</v>
      </c>
      <c r="F24" s="134">
        <v>2.84</v>
      </c>
      <c r="G24" s="134">
        <v>12.84</v>
      </c>
      <c r="H24" s="134">
        <v>4.21</v>
      </c>
      <c r="I24" s="134">
        <v>4.18</v>
      </c>
      <c r="J24" s="134">
        <v>0.44</v>
      </c>
      <c r="K24" s="134">
        <v>265.13</v>
      </c>
      <c r="L24" s="134">
        <v>24.42</v>
      </c>
      <c r="M24" s="134">
        <v>97.38</v>
      </c>
      <c r="N24" s="134">
        <v>0</v>
      </c>
      <c r="O24" s="134">
        <v>0</v>
      </c>
      <c r="P24" s="134">
        <v>0.54</v>
      </c>
      <c r="Q24" s="134">
        <v>4.8099999999999996</v>
      </c>
    </row>
    <row r="25" spans="1:17" customFormat="1">
      <c r="A25" s="112" t="s">
        <v>1886</v>
      </c>
      <c r="B25" s="134">
        <v>12.18</v>
      </c>
      <c r="C25" s="134">
        <v>23.74</v>
      </c>
      <c r="D25" s="134">
        <v>21.13</v>
      </c>
      <c r="E25" s="134">
        <v>8.07</v>
      </c>
      <c r="F25" s="134">
        <v>2.73</v>
      </c>
      <c r="G25" s="134">
        <v>12.24</v>
      </c>
      <c r="H25" s="134">
        <v>3.18</v>
      </c>
      <c r="I25" s="134">
        <v>4.2300000000000004</v>
      </c>
      <c r="J25" s="134">
        <v>0.51</v>
      </c>
      <c r="K25" s="134">
        <v>266.35000000000002</v>
      </c>
      <c r="L25" s="134">
        <v>24.45</v>
      </c>
      <c r="M25" s="134">
        <v>97.52</v>
      </c>
      <c r="N25" s="134">
        <v>0</v>
      </c>
      <c r="O25" s="134">
        <v>0</v>
      </c>
      <c r="P25" s="134">
        <v>0.56999999999999995</v>
      </c>
      <c r="Q25" s="134">
        <v>4.79</v>
      </c>
    </row>
    <row r="26" spans="1:17" customFormat="1">
      <c r="A26" s="112" t="s">
        <v>1887</v>
      </c>
      <c r="B26" s="134">
        <v>11.87</v>
      </c>
      <c r="C26" s="134">
        <v>23.67</v>
      </c>
      <c r="D26" s="134">
        <v>20.84</v>
      </c>
      <c r="E26" s="134">
        <v>7.8</v>
      </c>
      <c r="F26" s="134">
        <v>2.74</v>
      </c>
      <c r="G26" s="134">
        <v>12</v>
      </c>
      <c r="H26" s="134">
        <v>3.13</v>
      </c>
      <c r="I26" s="134">
        <v>4.3099999999999996</v>
      </c>
      <c r="J26" s="134">
        <v>0.46</v>
      </c>
      <c r="K26" s="134">
        <v>267.27999999999997</v>
      </c>
      <c r="L26" s="134">
        <v>24.53</v>
      </c>
      <c r="M26" s="134">
        <v>97.4</v>
      </c>
      <c r="N26" s="134">
        <v>0</v>
      </c>
      <c r="O26" s="134">
        <v>0</v>
      </c>
      <c r="P26" s="134">
        <v>0.56999999999999995</v>
      </c>
      <c r="Q26" s="134">
        <v>4.8</v>
      </c>
    </row>
    <row r="27" spans="1:17" customFormat="1">
      <c r="A27" s="112" t="s">
        <v>1888</v>
      </c>
      <c r="B27" s="134">
        <v>12.02</v>
      </c>
      <c r="C27" s="134">
        <v>21.36</v>
      </c>
      <c r="D27" s="134">
        <v>19.75</v>
      </c>
      <c r="E27" s="134">
        <v>7.25</v>
      </c>
      <c r="F27" s="134">
        <v>3.14</v>
      </c>
      <c r="G27" s="134">
        <v>12</v>
      </c>
      <c r="H27" s="134">
        <v>3.13</v>
      </c>
      <c r="I27" s="134">
        <v>4.3600000000000003</v>
      </c>
      <c r="J27" s="134">
        <v>0.36</v>
      </c>
      <c r="K27" s="134">
        <v>269.83999999999997</v>
      </c>
      <c r="L27" s="134">
        <v>24.56</v>
      </c>
      <c r="M27" s="134">
        <v>97.54</v>
      </c>
      <c r="N27" s="134">
        <v>0</v>
      </c>
      <c r="O27" s="134">
        <v>0</v>
      </c>
      <c r="P27" s="134">
        <v>0.53</v>
      </c>
      <c r="Q27" s="134">
        <v>4.74</v>
      </c>
    </row>
    <row r="28" spans="1:17" customFormat="1">
      <c r="A28" s="112" t="s">
        <v>1889</v>
      </c>
      <c r="B28" s="134">
        <v>12.23</v>
      </c>
      <c r="C28" s="134">
        <v>20.88</v>
      </c>
      <c r="D28" s="134">
        <v>19.670000000000002</v>
      </c>
      <c r="E28" s="134">
        <v>7.7</v>
      </c>
      <c r="F28" s="134">
        <v>2.94</v>
      </c>
      <c r="G28" s="134">
        <v>12</v>
      </c>
      <c r="H28" s="134">
        <v>3.13</v>
      </c>
      <c r="I28" s="134">
        <v>4.3499999999999996</v>
      </c>
      <c r="J28" s="134">
        <v>0.47</v>
      </c>
      <c r="K28" s="134">
        <v>262.94</v>
      </c>
      <c r="L28" s="134">
        <v>24.61</v>
      </c>
      <c r="M28" s="134">
        <v>97.36</v>
      </c>
      <c r="N28" s="134">
        <v>0</v>
      </c>
      <c r="O28" s="134">
        <v>0</v>
      </c>
      <c r="P28" s="134">
        <v>0.52</v>
      </c>
      <c r="Q28" s="134">
        <v>4.71</v>
      </c>
    </row>
    <row r="29" spans="1:17" customFormat="1">
      <c r="A29" s="112" t="s">
        <v>1890</v>
      </c>
      <c r="B29" s="134">
        <v>12</v>
      </c>
      <c r="C29" s="134">
        <v>21.33</v>
      </c>
      <c r="D29" s="134">
        <v>19.73</v>
      </c>
      <c r="E29" s="134">
        <v>7.71</v>
      </c>
      <c r="F29" s="134">
        <v>2.69</v>
      </c>
      <c r="G29" s="134">
        <v>14.52</v>
      </c>
      <c r="H29" s="134">
        <v>3.9</v>
      </c>
      <c r="I29" s="134">
        <v>4.33</v>
      </c>
      <c r="J29" s="134">
        <v>0.4</v>
      </c>
      <c r="K29" s="134">
        <v>263.07</v>
      </c>
      <c r="L29" s="134">
        <v>24.66</v>
      </c>
      <c r="M29" s="134">
        <v>97.07</v>
      </c>
      <c r="N29" s="134">
        <v>0</v>
      </c>
      <c r="O29" s="134">
        <v>0</v>
      </c>
      <c r="P29" s="134">
        <v>0.52</v>
      </c>
      <c r="Q29" s="134">
        <v>4.7300000000000004</v>
      </c>
    </row>
    <row r="30" spans="1:17" customFormat="1">
      <c r="A30" s="112" t="s">
        <v>1891</v>
      </c>
      <c r="B30" s="134">
        <v>12.18</v>
      </c>
      <c r="C30" s="134">
        <v>23.91</v>
      </c>
      <c r="D30" s="134">
        <v>21.22</v>
      </c>
      <c r="E30" s="134">
        <v>8.1999999999999993</v>
      </c>
      <c r="F30" s="134">
        <v>1.46</v>
      </c>
      <c r="G30" s="134">
        <v>15.55</v>
      </c>
      <c r="H30" s="134">
        <v>3.95</v>
      </c>
      <c r="I30" s="134">
        <v>4.3600000000000003</v>
      </c>
      <c r="J30" s="134">
        <v>0.18</v>
      </c>
      <c r="K30" s="134">
        <v>239.65</v>
      </c>
      <c r="L30" s="134">
        <v>24.67</v>
      </c>
      <c r="M30" s="134">
        <v>97.35</v>
      </c>
      <c r="N30" s="134">
        <v>0</v>
      </c>
      <c r="O30" s="134">
        <v>0</v>
      </c>
      <c r="P30" s="134">
        <v>0.54</v>
      </c>
      <c r="Q30" s="134">
        <v>4.76</v>
      </c>
    </row>
    <row r="31" spans="1:17" customFormat="1">
      <c r="A31" s="112" t="s">
        <v>1892</v>
      </c>
      <c r="B31" s="134">
        <v>12.43</v>
      </c>
      <c r="C31" s="134">
        <v>22.11</v>
      </c>
      <c r="D31" s="134">
        <v>20.47</v>
      </c>
      <c r="E31" s="134">
        <v>7.79</v>
      </c>
      <c r="F31" s="134">
        <v>2.3199999999999998</v>
      </c>
      <c r="G31" s="134">
        <v>15.55</v>
      </c>
      <c r="H31" s="134">
        <v>3.95</v>
      </c>
      <c r="I31" s="134">
        <v>4.4000000000000004</v>
      </c>
      <c r="J31" s="134">
        <v>0.37</v>
      </c>
      <c r="K31" s="134">
        <v>263.01</v>
      </c>
      <c r="L31" s="134">
        <v>24.68</v>
      </c>
      <c r="M31" s="134">
        <v>97.27</v>
      </c>
      <c r="N31" s="134">
        <v>0</v>
      </c>
      <c r="O31" s="134">
        <v>0</v>
      </c>
      <c r="P31" s="134">
        <v>0.53</v>
      </c>
      <c r="Q31" s="134">
        <v>4.75</v>
      </c>
    </row>
    <row r="32" spans="1:17" customFormat="1">
      <c r="A32" s="112" t="s">
        <v>1893</v>
      </c>
      <c r="B32" s="134">
        <v>12.44</v>
      </c>
      <c r="C32" s="134">
        <v>20.77</v>
      </c>
      <c r="D32" s="134">
        <v>19.78</v>
      </c>
      <c r="E32" s="134">
        <v>7.71</v>
      </c>
      <c r="F32" s="134">
        <v>2.9</v>
      </c>
      <c r="G32" s="134">
        <v>15.55</v>
      </c>
      <c r="H32" s="134">
        <v>3.95</v>
      </c>
      <c r="I32" s="134">
        <v>4.49</v>
      </c>
      <c r="J32" s="134">
        <v>0.53</v>
      </c>
      <c r="K32" s="134">
        <v>261.52999999999997</v>
      </c>
      <c r="L32" s="134">
        <v>24.69</v>
      </c>
      <c r="M32" s="134">
        <v>96.87</v>
      </c>
      <c r="N32" s="134">
        <v>0</v>
      </c>
      <c r="O32" s="134">
        <v>0</v>
      </c>
      <c r="P32" s="134">
        <v>0.51</v>
      </c>
      <c r="Q32" s="134">
        <v>4.71</v>
      </c>
    </row>
    <row r="33" spans="1:17" customFormat="1">
      <c r="A33" s="112" t="s">
        <v>1894</v>
      </c>
      <c r="B33" s="134">
        <v>12.49</v>
      </c>
      <c r="C33" s="134">
        <v>23.22</v>
      </c>
      <c r="D33" s="134">
        <v>21.1</v>
      </c>
      <c r="E33" s="134">
        <v>7.69</v>
      </c>
      <c r="F33" s="134">
        <v>1.67</v>
      </c>
      <c r="G33" s="134">
        <v>15.44</v>
      </c>
      <c r="H33" s="134">
        <v>4.29</v>
      </c>
      <c r="I33" s="134">
        <v>4.3899999999999997</v>
      </c>
      <c r="J33" s="134">
        <v>0.39</v>
      </c>
      <c r="K33" s="134">
        <v>264.29000000000002</v>
      </c>
      <c r="L33" s="134">
        <v>24.73</v>
      </c>
      <c r="M33" s="134">
        <v>96.66</v>
      </c>
      <c r="N33" s="134">
        <v>0.1</v>
      </c>
      <c r="O33" s="134">
        <v>0</v>
      </c>
      <c r="P33" s="134">
        <v>0.54</v>
      </c>
      <c r="Q33" s="134">
        <v>4.78</v>
      </c>
    </row>
    <row r="34" spans="1:17" customFormat="1">
      <c r="A34" s="112" t="s">
        <v>1895</v>
      </c>
      <c r="B34" s="134">
        <v>12.67</v>
      </c>
      <c r="C34" s="134">
        <v>22.16</v>
      </c>
      <c r="D34" s="134">
        <v>20.69</v>
      </c>
      <c r="E34" s="134">
        <v>8.51</v>
      </c>
      <c r="F34" s="134">
        <v>2.2599999999999998</v>
      </c>
      <c r="G34" s="134">
        <v>15.4</v>
      </c>
      <c r="H34" s="134">
        <v>4.3</v>
      </c>
      <c r="I34" s="134">
        <v>4.33</v>
      </c>
      <c r="J34" s="134">
        <v>0.32</v>
      </c>
      <c r="K34" s="134">
        <v>251.97</v>
      </c>
      <c r="L34" s="134">
        <v>24.81</v>
      </c>
      <c r="M34" s="134">
        <v>96.58</v>
      </c>
      <c r="N34" s="134">
        <v>7.2</v>
      </c>
      <c r="O34" s="134">
        <v>0</v>
      </c>
      <c r="P34" s="134">
        <v>0.52</v>
      </c>
      <c r="Q34" s="134">
        <v>4.76</v>
      </c>
    </row>
    <row r="35" spans="1:17" customFormat="1">
      <c r="A35" s="112" t="s">
        <v>1896</v>
      </c>
      <c r="B35" s="134">
        <v>12.68</v>
      </c>
      <c r="C35" s="134">
        <v>20.329999999999998</v>
      </c>
      <c r="D35" s="134">
        <v>19.75</v>
      </c>
      <c r="E35" s="134">
        <v>8.42</v>
      </c>
      <c r="F35" s="134">
        <v>2.82</v>
      </c>
      <c r="G35" s="134">
        <v>15.4</v>
      </c>
      <c r="H35" s="134">
        <v>4.3</v>
      </c>
      <c r="I35" s="134">
        <v>4.42</v>
      </c>
      <c r="J35" s="134">
        <v>0.45</v>
      </c>
      <c r="K35" s="134">
        <v>260.20999999999998</v>
      </c>
      <c r="L35" s="134">
        <v>24.87</v>
      </c>
      <c r="M35" s="134">
        <v>96.71</v>
      </c>
      <c r="N35" s="134">
        <v>21.9</v>
      </c>
      <c r="O35" s="134">
        <v>0</v>
      </c>
      <c r="P35" s="134">
        <v>0.5</v>
      </c>
      <c r="Q35" s="134">
        <v>4.72</v>
      </c>
    </row>
    <row r="36" spans="1:17" customFormat="1">
      <c r="A36" s="112" t="s">
        <v>1897</v>
      </c>
      <c r="B36" s="134">
        <v>12.66</v>
      </c>
      <c r="C36" s="134">
        <v>22.66</v>
      </c>
      <c r="D36" s="134">
        <v>20.95</v>
      </c>
      <c r="E36" s="134">
        <v>8.35</v>
      </c>
      <c r="F36" s="134">
        <v>1.73</v>
      </c>
      <c r="G36" s="134">
        <v>15.4</v>
      </c>
      <c r="H36" s="134">
        <v>4.3</v>
      </c>
      <c r="I36" s="134">
        <v>4.3499999999999996</v>
      </c>
      <c r="J36" s="134">
        <v>0.42</v>
      </c>
      <c r="K36" s="134">
        <v>266.11</v>
      </c>
      <c r="L36" s="134">
        <v>24.93</v>
      </c>
      <c r="M36" s="134">
        <v>96.22</v>
      </c>
      <c r="N36" s="134">
        <v>27.2</v>
      </c>
      <c r="O36" s="134">
        <v>0</v>
      </c>
      <c r="P36" s="134">
        <v>0.53</v>
      </c>
      <c r="Q36" s="134">
        <v>4.79</v>
      </c>
    </row>
    <row r="37" spans="1:17" customFormat="1">
      <c r="A37" s="112" t="s">
        <v>1898</v>
      </c>
      <c r="B37" s="134">
        <v>12.59</v>
      </c>
      <c r="C37" s="134">
        <v>21.4</v>
      </c>
      <c r="D37" s="134">
        <v>20.23</v>
      </c>
      <c r="E37" s="134">
        <v>8.15</v>
      </c>
      <c r="F37" s="134">
        <v>2.7</v>
      </c>
      <c r="G37" s="134">
        <v>13.53</v>
      </c>
      <c r="H37" s="134">
        <v>5.48</v>
      </c>
      <c r="I37" s="134">
        <v>4.29</v>
      </c>
      <c r="J37" s="134">
        <v>0.32</v>
      </c>
      <c r="K37" s="134">
        <v>259.99</v>
      </c>
      <c r="L37" s="134">
        <v>25.07</v>
      </c>
      <c r="M37" s="134">
        <v>96.13</v>
      </c>
      <c r="N37" s="134">
        <v>21.7</v>
      </c>
      <c r="O37" s="134">
        <v>0</v>
      </c>
      <c r="P37" s="134">
        <v>0.52</v>
      </c>
      <c r="Q37" s="134">
        <v>4.79</v>
      </c>
    </row>
    <row r="38" spans="1:17" customFormat="1">
      <c r="A38" s="112" t="s">
        <v>1899</v>
      </c>
      <c r="B38" s="134">
        <v>12.72</v>
      </c>
      <c r="C38" s="134">
        <v>19.91</v>
      </c>
      <c r="D38" s="134">
        <v>19.559999999999999</v>
      </c>
      <c r="E38" s="134">
        <v>8.1300000000000008</v>
      </c>
      <c r="F38" s="134">
        <v>3.28</v>
      </c>
      <c r="G38" s="134">
        <v>12.77</v>
      </c>
      <c r="H38" s="134">
        <v>5.53</v>
      </c>
      <c r="I38" s="134">
        <v>4.3600000000000003</v>
      </c>
      <c r="J38" s="134">
        <v>0.3</v>
      </c>
      <c r="K38" s="134">
        <v>253.74</v>
      </c>
      <c r="L38" s="134">
        <v>25.1</v>
      </c>
      <c r="M38" s="134">
        <v>95.67</v>
      </c>
      <c r="N38" s="134">
        <v>26.6</v>
      </c>
      <c r="O38" s="134">
        <v>0</v>
      </c>
      <c r="P38" s="134">
        <v>0.5</v>
      </c>
      <c r="Q38" s="134">
        <v>4.75</v>
      </c>
    </row>
    <row r="39" spans="1:17" customFormat="1">
      <c r="A39" s="112" t="s">
        <v>1900</v>
      </c>
      <c r="B39" s="134">
        <v>12.81</v>
      </c>
      <c r="C39" s="134">
        <v>22.47</v>
      </c>
      <c r="D39" s="134">
        <v>20.97</v>
      </c>
      <c r="E39" s="134">
        <v>8.33</v>
      </c>
      <c r="F39" s="134">
        <v>1.81</v>
      </c>
      <c r="G39" s="134">
        <v>12.77</v>
      </c>
      <c r="H39" s="134">
        <v>5.53</v>
      </c>
      <c r="I39" s="134">
        <v>4.2699999999999996</v>
      </c>
      <c r="J39" s="134">
        <v>0.36</v>
      </c>
      <c r="K39" s="134">
        <v>264.08</v>
      </c>
      <c r="L39" s="134">
        <v>25.25</v>
      </c>
      <c r="M39" s="134">
        <v>95.33</v>
      </c>
      <c r="N39" s="134">
        <v>72.2</v>
      </c>
      <c r="O39" s="134">
        <v>0</v>
      </c>
      <c r="P39" s="134">
        <v>0.53</v>
      </c>
      <c r="Q39" s="134">
        <v>4.78</v>
      </c>
    </row>
    <row r="40" spans="1:17" customFormat="1">
      <c r="A40" s="112" t="s">
        <v>1901</v>
      </c>
      <c r="B40" s="134">
        <v>12.94</v>
      </c>
      <c r="C40" s="134">
        <v>21.54</v>
      </c>
      <c r="D40" s="134">
        <v>20.59</v>
      </c>
      <c r="E40" s="134">
        <v>8.5399999999999991</v>
      </c>
      <c r="F40" s="134">
        <v>2.19</v>
      </c>
      <c r="G40" s="134">
        <v>12.77</v>
      </c>
      <c r="H40" s="134">
        <v>5.53</v>
      </c>
      <c r="I40" s="134">
        <v>4.2699999999999996</v>
      </c>
      <c r="J40" s="134">
        <v>0.44</v>
      </c>
      <c r="K40" s="134">
        <v>263.16000000000003</v>
      </c>
      <c r="L40" s="134">
        <v>25.6</v>
      </c>
      <c r="M40" s="134">
        <v>94.51</v>
      </c>
      <c r="N40" s="134">
        <v>138.4</v>
      </c>
      <c r="O40" s="134">
        <v>0</v>
      </c>
      <c r="P40" s="134">
        <v>0.52</v>
      </c>
      <c r="Q40" s="134">
        <v>4.7699999999999996</v>
      </c>
    </row>
    <row r="41" spans="1:17" customFormat="1">
      <c r="A41" s="112" t="s">
        <v>1902</v>
      </c>
      <c r="B41" s="134">
        <v>12.81</v>
      </c>
      <c r="C41" s="134">
        <v>19.79</v>
      </c>
      <c r="D41" s="134">
        <v>19.57</v>
      </c>
      <c r="E41" s="134">
        <v>8.01</v>
      </c>
      <c r="F41" s="134">
        <v>3.4</v>
      </c>
      <c r="G41" s="134">
        <v>15.67</v>
      </c>
      <c r="H41" s="134">
        <v>5.6</v>
      </c>
      <c r="I41" s="134">
        <v>4.3499999999999996</v>
      </c>
      <c r="J41" s="134">
        <v>0.42</v>
      </c>
      <c r="K41" s="134">
        <v>269.12</v>
      </c>
      <c r="L41" s="134">
        <v>26.08</v>
      </c>
      <c r="M41" s="134">
        <v>92.65</v>
      </c>
      <c r="N41" s="134">
        <v>186.5</v>
      </c>
      <c r="O41" s="134">
        <v>0</v>
      </c>
      <c r="P41" s="134">
        <v>0.51</v>
      </c>
      <c r="Q41" s="134">
        <v>4.76</v>
      </c>
    </row>
    <row r="42" spans="1:17" customFormat="1">
      <c r="A42" s="112" t="s">
        <v>1903</v>
      </c>
      <c r="B42" s="134">
        <v>12.83</v>
      </c>
      <c r="C42" s="134">
        <v>22.91</v>
      </c>
      <c r="D42" s="134">
        <v>21.21</v>
      </c>
      <c r="E42" s="134">
        <v>8.5</v>
      </c>
      <c r="F42" s="134">
        <v>2.04</v>
      </c>
      <c r="G42" s="134">
        <v>16.850000000000001</v>
      </c>
      <c r="H42" s="134">
        <v>5.61</v>
      </c>
      <c r="I42" s="134">
        <v>4.32</v>
      </c>
      <c r="J42" s="134">
        <v>0.46</v>
      </c>
      <c r="K42" s="134">
        <v>279.05</v>
      </c>
      <c r="L42" s="134">
        <v>26.56</v>
      </c>
      <c r="M42" s="134">
        <v>90.34</v>
      </c>
      <c r="N42" s="134">
        <v>253.4</v>
      </c>
      <c r="O42" s="134">
        <v>0</v>
      </c>
      <c r="P42" s="134">
        <v>0.54</v>
      </c>
      <c r="Q42" s="134">
        <v>4.82</v>
      </c>
    </row>
    <row r="43" spans="1:17" customFormat="1">
      <c r="A43" s="112" t="s">
        <v>1904</v>
      </c>
      <c r="B43" s="134">
        <v>12.98</v>
      </c>
      <c r="C43" s="134">
        <v>22.51</v>
      </c>
      <c r="D43" s="134">
        <v>21.13</v>
      </c>
      <c r="E43" s="134">
        <v>8.9700000000000006</v>
      </c>
      <c r="F43" s="134">
        <v>2.48</v>
      </c>
      <c r="G43" s="134">
        <v>16.850000000000001</v>
      </c>
      <c r="H43" s="134">
        <v>5.61</v>
      </c>
      <c r="I43" s="134">
        <v>4.3099999999999996</v>
      </c>
      <c r="J43" s="134">
        <v>0.46</v>
      </c>
      <c r="K43" s="134">
        <v>281.44</v>
      </c>
      <c r="L43" s="134">
        <v>27.15</v>
      </c>
      <c r="M43" s="134">
        <v>87.96</v>
      </c>
      <c r="N43" s="134">
        <v>299.60000000000002</v>
      </c>
      <c r="O43" s="134">
        <v>0</v>
      </c>
      <c r="P43" s="134">
        <v>0.54</v>
      </c>
      <c r="Q43" s="134">
        <v>4.82</v>
      </c>
    </row>
    <row r="44" spans="1:17" customFormat="1">
      <c r="A44" s="112" t="s">
        <v>1905</v>
      </c>
      <c r="B44" s="134">
        <v>13.07</v>
      </c>
      <c r="C44" s="134">
        <v>20.89</v>
      </c>
      <c r="D44" s="134">
        <v>20.350000000000001</v>
      </c>
      <c r="E44" s="134">
        <v>8.39</v>
      </c>
      <c r="F44" s="134">
        <v>2.91</v>
      </c>
      <c r="G44" s="134">
        <v>16.850000000000001</v>
      </c>
      <c r="H44" s="134">
        <v>5.61</v>
      </c>
      <c r="I44" s="134">
        <v>4.43</v>
      </c>
      <c r="J44" s="134">
        <v>0.48</v>
      </c>
      <c r="K44" s="134">
        <v>262.95999999999998</v>
      </c>
      <c r="L44" s="134">
        <v>27.12</v>
      </c>
      <c r="M44" s="134">
        <v>86.52</v>
      </c>
      <c r="N44" s="134">
        <v>145.19999999999999</v>
      </c>
      <c r="O44" s="134">
        <v>0</v>
      </c>
      <c r="P44" s="134">
        <v>0.54</v>
      </c>
      <c r="Q44" s="134">
        <v>4.75</v>
      </c>
    </row>
    <row r="45" spans="1:17" customFormat="1">
      <c r="A45" s="112" t="s">
        <v>1906</v>
      </c>
      <c r="B45" s="134">
        <v>12.63</v>
      </c>
      <c r="C45" s="134">
        <v>21.18</v>
      </c>
      <c r="D45" s="134">
        <v>20.149999999999999</v>
      </c>
      <c r="E45" s="134">
        <v>7.99</v>
      </c>
      <c r="F45" s="134">
        <v>2.74</v>
      </c>
      <c r="G45" s="134">
        <v>14.12</v>
      </c>
      <c r="H45" s="134">
        <v>5.52</v>
      </c>
      <c r="I45" s="134">
        <v>4.45</v>
      </c>
      <c r="J45" s="134">
        <v>0.32</v>
      </c>
      <c r="K45" s="134">
        <v>274.3</v>
      </c>
      <c r="L45" s="134">
        <v>26.78</v>
      </c>
      <c r="M45" s="134">
        <v>87.99</v>
      </c>
      <c r="N45" s="134">
        <v>103.6</v>
      </c>
      <c r="O45" s="134">
        <v>0</v>
      </c>
      <c r="P45" s="134">
        <v>0.56999999999999995</v>
      </c>
      <c r="Q45" s="134">
        <v>4.7</v>
      </c>
    </row>
    <row r="46" spans="1:17" customFormat="1">
      <c r="A46" s="112" t="s">
        <v>1907</v>
      </c>
      <c r="B46" s="134">
        <v>11.75</v>
      </c>
      <c r="C46" s="134">
        <v>23.61</v>
      </c>
      <c r="D46" s="134">
        <v>20.71</v>
      </c>
      <c r="E46" s="134">
        <v>8.01</v>
      </c>
      <c r="F46" s="134">
        <v>2.5099999999999998</v>
      </c>
      <c r="G46" s="134">
        <v>13.01</v>
      </c>
      <c r="H46" s="134">
        <v>5.51</v>
      </c>
      <c r="I46" s="134">
        <v>4.47</v>
      </c>
      <c r="J46" s="134">
        <v>0.42</v>
      </c>
      <c r="K46" s="134">
        <v>272.08</v>
      </c>
      <c r="L46" s="134">
        <v>26.83</v>
      </c>
      <c r="M46" s="134">
        <v>88.44</v>
      </c>
      <c r="N46" s="134">
        <v>131.5</v>
      </c>
      <c r="O46" s="134">
        <v>0</v>
      </c>
      <c r="P46" s="134">
        <v>0.6</v>
      </c>
      <c r="Q46" s="134">
        <v>4.7</v>
      </c>
    </row>
    <row r="47" spans="1:17" customFormat="1">
      <c r="A47" s="112" t="s">
        <v>1908</v>
      </c>
      <c r="B47" s="134">
        <v>11.68</v>
      </c>
      <c r="C47" s="134">
        <v>22.87</v>
      </c>
      <c r="D47" s="134">
        <v>20.27</v>
      </c>
      <c r="E47" s="134">
        <v>8.09</v>
      </c>
      <c r="F47" s="134">
        <v>2.85</v>
      </c>
      <c r="G47" s="134">
        <v>13.01</v>
      </c>
      <c r="H47" s="134">
        <v>5.51</v>
      </c>
      <c r="I47" s="134">
        <v>4.57</v>
      </c>
      <c r="J47" s="134">
        <v>0.28000000000000003</v>
      </c>
      <c r="K47" s="134">
        <v>240.89</v>
      </c>
      <c r="L47" s="134">
        <v>27.03</v>
      </c>
      <c r="M47" s="134">
        <v>88.74</v>
      </c>
      <c r="N47" s="134">
        <v>133.80000000000001</v>
      </c>
      <c r="O47" s="134">
        <v>0</v>
      </c>
      <c r="P47" s="134">
        <v>0.57999999999999996</v>
      </c>
      <c r="Q47" s="134">
        <v>4.7300000000000004</v>
      </c>
    </row>
    <row r="48" spans="1:17" customFormat="1">
      <c r="A48" s="112" t="s">
        <v>1909</v>
      </c>
      <c r="B48" s="134">
        <v>11.67</v>
      </c>
      <c r="C48" s="134">
        <v>20.61</v>
      </c>
      <c r="D48" s="134">
        <v>19.079999999999998</v>
      </c>
      <c r="E48" s="134">
        <v>7.32</v>
      </c>
      <c r="F48" s="134">
        <v>3.58</v>
      </c>
      <c r="G48" s="134">
        <v>13.01</v>
      </c>
      <c r="H48" s="134">
        <v>5.51</v>
      </c>
      <c r="I48" s="134">
        <v>4.5999999999999996</v>
      </c>
      <c r="J48" s="134">
        <v>0.23</v>
      </c>
      <c r="K48" s="134">
        <v>242.24</v>
      </c>
      <c r="L48" s="134">
        <v>27.09</v>
      </c>
      <c r="M48" s="134">
        <v>87.88</v>
      </c>
      <c r="N48" s="134">
        <v>135.30000000000001</v>
      </c>
      <c r="O48" s="134">
        <v>0</v>
      </c>
      <c r="P48" s="134">
        <v>0.55000000000000004</v>
      </c>
      <c r="Q48" s="134">
        <v>4.7</v>
      </c>
    </row>
    <row r="49" spans="1:17" customFormat="1">
      <c r="A49" s="112" t="s">
        <v>1910</v>
      </c>
      <c r="B49" s="134">
        <v>11.49</v>
      </c>
      <c r="C49" s="134">
        <v>19.98</v>
      </c>
      <c r="D49" s="134">
        <v>18.61</v>
      </c>
      <c r="E49" s="134">
        <v>6.89</v>
      </c>
      <c r="F49" s="134">
        <v>3.83</v>
      </c>
      <c r="G49" s="134">
        <v>15.5</v>
      </c>
      <c r="H49" s="134">
        <v>6.27</v>
      </c>
      <c r="I49" s="134">
        <v>4.55</v>
      </c>
      <c r="J49" s="134">
        <v>0.3</v>
      </c>
      <c r="K49" s="134">
        <v>272.26</v>
      </c>
      <c r="L49" s="134">
        <v>27.32</v>
      </c>
      <c r="M49" s="134">
        <v>87.21</v>
      </c>
      <c r="N49" s="134">
        <v>145.9</v>
      </c>
      <c r="O49" s="134">
        <v>0</v>
      </c>
      <c r="P49" s="134">
        <v>0.55000000000000004</v>
      </c>
      <c r="Q49" s="134">
        <v>4.6900000000000004</v>
      </c>
    </row>
    <row r="50" spans="1:17" customFormat="1">
      <c r="A50" s="112" t="s">
        <v>1911</v>
      </c>
      <c r="B50" s="134">
        <v>11.6</v>
      </c>
      <c r="C50" s="134">
        <v>20.6</v>
      </c>
      <c r="D50" s="134">
        <v>19.02</v>
      </c>
      <c r="E50" s="134">
        <v>8.65</v>
      </c>
      <c r="F50" s="134">
        <v>3.51</v>
      </c>
      <c r="G50" s="134">
        <v>16.52</v>
      </c>
      <c r="H50" s="134">
        <v>6.31</v>
      </c>
      <c r="I50" s="134">
        <v>4.5199999999999996</v>
      </c>
      <c r="J50" s="134">
        <v>0.36</v>
      </c>
      <c r="K50" s="134">
        <v>276.94</v>
      </c>
      <c r="L50" s="134">
        <v>27.3</v>
      </c>
      <c r="M50" s="134">
        <v>86.69</v>
      </c>
      <c r="N50" s="134">
        <v>159.1</v>
      </c>
      <c r="O50" s="134">
        <v>0</v>
      </c>
      <c r="P50" s="134">
        <v>0.54</v>
      </c>
      <c r="Q50" s="134">
        <v>4.6500000000000004</v>
      </c>
    </row>
    <row r="51" spans="1:17" customFormat="1">
      <c r="A51" s="112" t="s">
        <v>1912</v>
      </c>
      <c r="B51" s="134">
        <v>11.29</v>
      </c>
      <c r="C51" s="134">
        <v>20.170000000000002</v>
      </c>
      <c r="D51" s="134">
        <v>18.55</v>
      </c>
      <c r="E51" s="134">
        <v>8.94</v>
      </c>
      <c r="F51" s="134">
        <v>4.87</v>
      </c>
      <c r="G51" s="134">
        <v>16.52</v>
      </c>
      <c r="H51" s="134">
        <v>6.31</v>
      </c>
      <c r="I51" s="134">
        <v>4.57</v>
      </c>
      <c r="J51" s="134">
        <v>-0.16</v>
      </c>
      <c r="K51" s="134">
        <v>0.21</v>
      </c>
      <c r="L51" s="134">
        <v>27.48</v>
      </c>
      <c r="M51" s="134">
        <v>86.23</v>
      </c>
      <c r="N51" s="134">
        <v>160.30000000000001</v>
      </c>
      <c r="O51" s="134">
        <v>0</v>
      </c>
      <c r="P51" s="134">
        <v>0.55000000000000004</v>
      </c>
      <c r="Q51" s="134">
        <v>4.6399999999999997</v>
      </c>
    </row>
    <row r="52" spans="1:17" customFormat="1">
      <c r="A52" s="112" t="s">
        <v>1913</v>
      </c>
      <c r="B52" s="134">
        <v>10</v>
      </c>
      <c r="C52" s="134">
        <v>23.27</v>
      </c>
      <c r="D52" s="134">
        <v>18.46</v>
      </c>
      <c r="E52" s="134">
        <v>9.08</v>
      </c>
      <c r="F52" s="134">
        <v>6.85</v>
      </c>
      <c r="G52" s="134">
        <v>16.52</v>
      </c>
      <c r="H52" s="134">
        <v>6.31</v>
      </c>
      <c r="I52" s="134">
        <v>4.6100000000000003</v>
      </c>
      <c r="J52" s="134">
        <v>0.49</v>
      </c>
      <c r="K52" s="134">
        <v>257.91000000000003</v>
      </c>
      <c r="L52" s="134">
        <v>27.93</v>
      </c>
      <c r="M52" s="134">
        <v>83.68</v>
      </c>
      <c r="N52" s="134">
        <v>152.6</v>
      </c>
      <c r="O52" s="134">
        <v>0</v>
      </c>
      <c r="P52" s="134">
        <v>0.6</v>
      </c>
      <c r="Q52" s="134">
        <v>4.59</v>
      </c>
    </row>
    <row r="53" spans="1:17" customFormat="1">
      <c r="A53" s="112" t="s">
        <v>1914</v>
      </c>
      <c r="B53" s="134">
        <v>15.15</v>
      </c>
      <c r="C53" s="134">
        <v>21.92</v>
      </c>
      <c r="D53" s="134">
        <v>22.55</v>
      </c>
      <c r="E53" s="134">
        <v>8.7799999999999994</v>
      </c>
      <c r="F53" s="134">
        <v>5.35</v>
      </c>
      <c r="G53" s="134">
        <v>23.15</v>
      </c>
      <c r="H53" s="134">
        <v>7.06</v>
      </c>
      <c r="I53" s="134">
        <v>4.6500000000000004</v>
      </c>
      <c r="J53" s="134">
        <v>0.25</v>
      </c>
      <c r="K53" s="134">
        <v>290.13</v>
      </c>
      <c r="L53" s="134">
        <v>28.25</v>
      </c>
      <c r="M53" s="134">
        <v>82.86</v>
      </c>
      <c r="N53" s="134">
        <v>313.7</v>
      </c>
      <c r="O53" s="134">
        <v>0</v>
      </c>
      <c r="P53" s="134">
        <v>0.61</v>
      </c>
      <c r="Q53" s="134">
        <v>4.59</v>
      </c>
    </row>
    <row r="54" spans="1:17" customFormat="1">
      <c r="A54" s="112" t="s">
        <v>1915</v>
      </c>
      <c r="B54" s="134">
        <v>8.68</v>
      </c>
      <c r="C54" s="134">
        <v>22</v>
      </c>
      <c r="D54" s="134">
        <v>17.41</v>
      </c>
      <c r="E54" s="134">
        <v>9.2799999999999994</v>
      </c>
      <c r="F54" s="134">
        <v>7.36</v>
      </c>
      <c r="G54" s="134">
        <v>25.85</v>
      </c>
      <c r="H54" s="134">
        <v>7.09</v>
      </c>
      <c r="I54" s="134">
        <v>4.6900000000000004</v>
      </c>
      <c r="J54" s="134">
        <v>0.32</v>
      </c>
      <c r="K54" s="134">
        <v>297.99</v>
      </c>
      <c r="L54" s="134">
        <v>28.53</v>
      </c>
      <c r="M54" s="134">
        <v>81.55</v>
      </c>
      <c r="N54" s="134">
        <v>242.5</v>
      </c>
      <c r="O54" s="134">
        <v>0</v>
      </c>
      <c r="P54" s="134">
        <v>0.51</v>
      </c>
      <c r="Q54" s="134">
        <v>4.53</v>
      </c>
    </row>
    <row r="55" spans="1:17" customFormat="1">
      <c r="A55" s="112" t="s">
        <v>1916</v>
      </c>
      <c r="B55" s="151" t="s">
        <v>12</v>
      </c>
      <c r="C55" s="151" t="s">
        <v>12</v>
      </c>
      <c r="D55" s="151" t="s">
        <v>12</v>
      </c>
      <c r="E55" s="151" t="s">
        <v>12</v>
      </c>
      <c r="F55" s="134">
        <v>9.5</v>
      </c>
      <c r="G55" s="151" t="s">
        <v>12</v>
      </c>
      <c r="H55" s="151" t="s">
        <v>12</v>
      </c>
      <c r="I55" s="134">
        <v>5.76</v>
      </c>
      <c r="J55" s="134">
        <v>0.28999999999999998</v>
      </c>
      <c r="K55" s="134">
        <v>317.55</v>
      </c>
      <c r="L55" s="134">
        <v>28.59</v>
      </c>
      <c r="M55" s="134">
        <v>81.209999999999994</v>
      </c>
      <c r="N55" s="134">
        <v>190.4</v>
      </c>
      <c r="O55" s="134">
        <v>0</v>
      </c>
      <c r="P55" s="134">
        <v>0.56999999999999995</v>
      </c>
      <c r="Q55" s="134">
        <v>4.46</v>
      </c>
    </row>
    <row r="56" spans="1:17" customFormat="1">
      <c r="A56" s="112" t="s">
        <v>1917</v>
      </c>
      <c r="B56" s="151" t="s">
        <v>12</v>
      </c>
      <c r="C56" s="151" t="s">
        <v>12</v>
      </c>
      <c r="D56" s="151" t="s">
        <v>12</v>
      </c>
      <c r="E56" s="151" t="s">
        <v>12</v>
      </c>
      <c r="F56" s="134">
        <v>9.99</v>
      </c>
      <c r="G56" s="151" t="s">
        <v>12</v>
      </c>
      <c r="H56" s="151" t="s">
        <v>12</v>
      </c>
      <c r="I56" s="134">
        <v>9.49</v>
      </c>
      <c r="J56" s="134">
        <v>0.34</v>
      </c>
      <c r="K56" s="134">
        <v>320.52999999999997</v>
      </c>
      <c r="L56" s="134">
        <v>28.46</v>
      </c>
      <c r="M56" s="134">
        <v>81.97</v>
      </c>
      <c r="N56" s="134">
        <v>191.2</v>
      </c>
      <c r="O56" s="134">
        <v>0</v>
      </c>
      <c r="P56" s="134">
        <v>0.6</v>
      </c>
      <c r="Q56" s="134">
        <v>4.47</v>
      </c>
    </row>
    <row r="57" spans="1:17" customFormat="1">
      <c r="A57" s="112" t="s">
        <v>1918</v>
      </c>
      <c r="B57" s="134">
        <v>5.91</v>
      </c>
      <c r="C57" s="134">
        <v>18.920000000000002</v>
      </c>
      <c r="D57" s="134">
        <v>15.97</v>
      </c>
      <c r="E57" s="151" t="s">
        <v>12</v>
      </c>
      <c r="F57" s="134">
        <v>11.43</v>
      </c>
      <c r="G57" s="151" t="s">
        <v>12</v>
      </c>
      <c r="H57" s="151" t="s">
        <v>12</v>
      </c>
      <c r="I57" s="134">
        <v>13.32</v>
      </c>
      <c r="J57" s="134">
        <v>0.23</v>
      </c>
      <c r="K57" s="134">
        <v>283.56</v>
      </c>
      <c r="L57" s="134">
        <v>28.79</v>
      </c>
      <c r="M57" s="134">
        <v>81.72</v>
      </c>
      <c r="N57" s="134">
        <v>394.9</v>
      </c>
      <c r="O57" s="134">
        <v>0</v>
      </c>
      <c r="P57" s="134">
        <v>0.57999999999999996</v>
      </c>
      <c r="Q57" s="134">
        <v>4.46</v>
      </c>
    </row>
    <row r="58" spans="1:17" customFormat="1">
      <c r="A58" s="112" t="s">
        <v>1919</v>
      </c>
      <c r="B58" s="134">
        <v>7.2</v>
      </c>
      <c r="C58" s="134">
        <v>23.04</v>
      </c>
      <c r="D58" s="134">
        <v>19.16</v>
      </c>
      <c r="E58" s="151" t="s">
        <v>12</v>
      </c>
      <c r="F58" s="134">
        <v>13.46</v>
      </c>
      <c r="G58" s="151" t="s">
        <v>12</v>
      </c>
      <c r="H58" s="151" t="s">
        <v>12</v>
      </c>
      <c r="I58" s="134">
        <v>24.32</v>
      </c>
      <c r="J58" s="134">
        <v>0.24</v>
      </c>
      <c r="K58" s="134">
        <v>296.02999999999997</v>
      </c>
      <c r="L58" s="134">
        <v>29.27</v>
      </c>
      <c r="M58" s="134">
        <v>78.41</v>
      </c>
      <c r="N58" s="134">
        <v>321</v>
      </c>
      <c r="O58" s="134">
        <v>0</v>
      </c>
      <c r="P58" s="134">
        <v>0.54</v>
      </c>
      <c r="Q58" s="134">
        <v>4.33</v>
      </c>
    </row>
    <row r="59" spans="1:17" customFormat="1">
      <c r="A59" s="112" t="s">
        <v>1920</v>
      </c>
      <c r="B59" s="134">
        <v>5.0199999999999996</v>
      </c>
      <c r="C59" s="134">
        <v>21.15</v>
      </c>
      <c r="D59" s="134">
        <v>16.420000000000002</v>
      </c>
      <c r="E59" s="134">
        <v>2.39</v>
      </c>
      <c r="F59" s="134">
        <v>12.48</v>
      </c>
      <c r="G59" s="151" t="s">
        <v>12</v>
      </c>
      <c r="H59" s="151" t="s">
        <v>12</v>
      </c>
      <c r="I59" s="134">
        <v>41.73</v>
      </c>
      <c r="J59" s="134">
        <v>0.08</v>
      </c>
      <c r="K59" s="134">
        <v>35.65</v>
      </c>
      <c r="L59" s="134">
        <v>29.12</v>
      </c>
      <c r="M59" s="134">
        <v>81.27</v>
      </c>
      <c r="N59" s="134">
        <v>97.5</v>
      </c>
      <c r="O59" s="134">
        <v>0</v>
      </c>
      <c r="P59" s="134">
        <v>0.52</v>
      </c>
      <c r="Q59" s="134">
        <v>4.25</v>
      </c>
    </row>
    <row r="60" spans="1:17" customFormat="1">
      <c r="A60" s="112" t="s">
        <v>1921</v>
      </c>
      <c r="B60" s="134">
        <v>5.08</v>
      </c>
      <c r="C60" s="134">
        <v>20.53</v>
      </c>
      <c r="D60" s="134">
        <v>16.149999999999999</v>
      </c>
      <c r="E60" s="134">
        <v>4.3499999999999996</v>
      </c>
      <c r="F60" s="134">
        <v>11.9</v>
      </c>
      <c r="G60" s="134">
        <v>31.38</v>
      </c>
      <c r="H60" s="134">
        <v>8.34</v>
      </c>
      <c r="I60" s="134">
        <v>46</v>
      </c>
      <c r="J60" s="134">
        <v>0.17</v>
      </c>
      <c r="K60" s="134">
        <v>119.26</v>
      </c>
      <c r="L60" s="134">
        <v>29.03</v>
      </c>
      <c r="M60" s="134">
        <v>81.83</v>
      </c>
      <c r="N60" s="134">
        <v>366</v>
      </c>
      <c r="O60" s="134">
        <v>0</v>
      </c>
      <c r="P60" s="134">
        <v>0.56000000000000005</v>
      </c>
      <c r="Q60" s="134">
        <v>4.1900000000000004</v>
      </c>
    </row>
    <row r="61" spans="1:17" customFormat="1">
      <c r="A61" s="112" t="s">
        <v>1922</v>
      </c>
      <c r="B61" s="134">
        <v>4.63</v>
      </c>
      <c r="C61" s="134">
        <v>19.79</v>
      </c>
      <c r="D61" s="134">
        <v>15.4</v>
      </c>
      <c r="E61" s="134">
        <v>3.72</v>
      </c>
      <c r="F61" s="134">
        <v>7.61</v>
      </c>
      <c r="G61" s="134">
        <v>31.38</v>
      </c>
      <c r="H61" s="134">
        <v>8.34</v>
      </c>
      <c r="I61" s="134">
        <v>45.43</v>
      </c>
      <c r="J61" s="134">
        <v>0.27</v>
      </c>
      <c r="K61" s="134">
        <v>290.01</v>
      </c>
      <c r="L61" s="134">
        <v>29.72</v>
      </c>
      <c r="M61" s="134">
        <v>78.5</v>
      </c>
      <c r="N61" s="134">
        <v>413.2</v>
      </c>
      <c r="O61" s="134">
        <v>0</v>
      </c>
      <c r="P61" s="134">
        <v>0.52</v>
      </c>
      <c r="Q61" s="134">
        <v>4.17</v>
      </c>
    </row>
    <row r="62" spans="1:17" customFormat="1">
      <c r="A62" s="112" t="s">
        <v>1923</v>
      </c>
      <c r="B62" s="134">
        <v>4.78</v>
      </c>
      <c r="C62" s="134">
        <v>19.96</v>
      </c>
      <c r="D62" s="134">
        <v>15.62</v>
      </c>
      <c r="E62" s="134">
        <v>2.69</v>
      </c>
      <c r="F62" s="134">
        <v>4.59</v>
      </c>
      <c r="G62" s="134">
        <v>31.38</v>
      </c>
      <c r="H62" s="134">
        <v>8.34</v>
      </c>
      <c r="I62" s="134">
        <v>37.29</v>
      </c>
      <c r="J62" s="134">
        <v>0.45</v>
      </c>
      <c r="K62" s="134">
        <v>312.39999999999998</v>
      </c>
      <c r="L62" s="134">
        <v>29.21</v>
      </c>
      <c r="M62" s="134">
        <v>80.849999999999994</v>
      </c>
      <c r="N62" s="134">
        <v>397.1</v>
      </c>
      <c r="O62" s="134">
        <v>0</v>
      </c>
      <c r="P62" s="134">
        <v>0.51</v>
      </c>
      <c r="Q62" s="134">
        <v>4.13</v>
      </c>
    </row>
    <row r="63" spans="1:17" customFormat="1">
      <c r="A63" s="112" t="s">
        <v>1924</v>
      </c>
      <c r="B63" s="134">
        <v>5.47</v>
      </c>
      <c r="C63" s="134">
        <v>19.89</v>
      </c>
      <c r="D63" s="134">
        <v>16.13</v>
      </c>
      <c r="E63" s="134">
        <v>2.78</v>
      </c>
      <c r="F63" s="134">
        <v>4.0599999999999996</v>
      </c>
      <c r="G63" s="134">
        <v>31.38</v>
      </c>
      <c r="H63" s="134">
        <v>8.34</v>
      </c>
      <c r="I63" s="134">
        <v>35.770000000000003</v>
      </c>
      <c r="J63" s="134">
        <v>0.32</v>
      </c>
      <c r="K63" s="134">
        <v>280.42</v>
      </c>
      <c r="L63" s="134">
        <v>29.36</v>
      </c>
      <c r="M63" s="134">
        <v>79.86</v>
      </c>
      <c r="N63" s="134">
        <v>246.8</v>
      </c>
      <c r="O63" s="134">
        <v>0</v>
      </c>
      <c r="P63" s="134">
        <v>0.52</v>
      </c>
      <c r="Q63" s="134">
        <v>4.16</v>
      </c>
    </row>
    <row r="64" spans="1:17" customFormat="1">
      <c r="A64" s="112" t="s">
        <v>1925</v>
      </c>
      <c r="B64" s="134">
        <v>5.76</v>
      </c>
      <c r="C64" s="134">
        <v>19.47</v>
      </c>
      <c r="D64" s="134">
        <v>16.14</v>
      </c>
      <c r="E64" s="134">
        <v>3.61</v>
      </c>
      <c r="F64" s="134">
        <v>5.66</v>
      </c>
      <c r="G64" s="134">
        <v>31.94</v>
      </c>
      <c r="H64" s="134">
        <v>10.61</v>
      </c>
      <c r="I64" s="134">
        <v>35.78</v>
      </c>
      <c r="J64" s="134">
        <v>0.31</v>
      </c>
      <c r="K64" s="134">
        <v>274.29000000000002</v>
      </c>
      <c r="L64" s="134">
        <v>29.21</v>
      </c>
      <c r="M64" s="134">
        <v>80.44</v>
      </c>
      <c r="N64" s="134">
        <v>217.1</v>
      </c>
      <c r="O64" s="134">
        <v>0</v>
      </c>
      <c r="P64" s="134">
        <v>0.51</v>
      </c>
      <c r="Q64" s="134">
        <v>4.1900000000000004</v>
      </c>
    </row>
    <row r="65" spans="1:17" customFormat="1">
      <c r="A65" s="112" t="s">
        <v>1926</v>
      </c>
      <c r="B65" s="134">
        <v>5.99</v>
      </c>
      <c r="C65" s="134">
        <v>19.28</v>
      </c>
      <c r="D65" s="134">
        <v>16.23</v>
      </c>
      <c r="E65" s="134">
        <v>3.16</v>
      </c>
      <c r="F65" s="134">
        <v>4.88</v>
      </c>
      <c r="G65" s="134">
        <v>36.43</v>
      </c>
      <c r="H65" s="134">
        <v>24.96</v>
      </c>
      <c r="I65" s="134">
        <v>33.93</v>
      </c>
      <c r="J65" s="134">
        <v>0.13</v>
      </c>
      <c r="K65" s="134">
        <v>355.73</v>
      </c>
      <c r="L65" s="134">
        <v>29.38</v>
      </c>
      <c r="M65" s="134">
        <v>79.44</v>
      </c>
      <c r="N65" s="134">
        <v>146.6</v>
      </c>
      <c r="O65" s="134">
        <v>0</v>
      </c>
      <c r="P65" s="134">
        <v>0.49</v>
      </c>
      <c r="Q65" s="134">
        <v>4.21</v>
      </c>
    </row>
    <row r="66" spans="1:17" customFormat="1">
      <c r="A66" s="112" t="s">
        <v>1927</v>
      </c>
      <c r="B66" s="134">
        <v>6.08</v>
      </c>
      <c r="C66" s="134">
        <v>21.03</v>
      </c>
      <c r="D66" s="134">
        <v>17.21</v>
      </c>
      <c r="E66" s="134">
        <v>2.63</v>
      </c>
      <c r="F66" s="134">
        <v>3.73</v>
      </c>
      <c r="G66" s="134">
        <v>36.43</v>
      </c>
      <c r="H66" s="134">
        <v>24.96</v>
      </c>
      <c r="I66" s="134">
        <v>31.51</v>
      </c>
      <c r="J66" s="134">
        <v>0.09</v>
      </c>
      <c r="K66" s="134">
        <v>156.68</v>
      </c>
      <c r="L66" s="134">
        <v>29.57</v>
      </c>
      <c r="M66" s="134">
        <v>79.92</v>
      </c>
      <c r="N66" s="134">
        <v>242</v>
      </c>
      <c r="O66" s="134">
        <v>0</v>
      </c>
      <c r="P66" s="134">
        <v>0.56000000000000005</v>
      </c>
      <c r="Q66" s="134">
        <v>4.26</v>
      </c>
    </row>
    <row r="67" spans="1:17" customFormat="1">
      <c r="A67" s="112" t="s">
        <v>1928</v>
      </c>
      <c r="B67" s="134">
        <v>5.68</v>
      </c>
      <c r="C67" s="134">
        <v>21.96</v>
      </c>
      <c r="D67" s="134">
        <v>17.38</v>
      </c>
      <c r="E67" s="134">
        <v>2.85</v>
      </c>
      <c r="F67" s="134">
        <v>3.95</v>
      </c>
      <c r="G67" s="134">
        <v>36.43</v>
      </c>
      <c r="H67" s="134">
        <v>24.96</v>
      </c>
      <c r="I67" s="134">
        <v>30.92</v>
      </c>
      <c r="J67" s="134">
        <v>0.11</v>
      </c>
      <c r="K67" s="134">
        <v>223.67</v>
      </c>
      <c r="L67" s="134">
        <v>29.53</v>
      </c>
      <c r="M67" s="134">
        <v>82.15</v>
      </c>
      <c r="N67" s="134">
        <v>274.10000000000002</v>
      </c>
      <c r="O67" s="134">
        <v>0</v>
      </c>
      <c r="P67" s="134">
        <v>0.56999999999999995</v>
      </c>
      <c r="Q67" s="134">
        <v>4.28</v>
      </c>
    </row>
    <row r="68" spans="1:17" customFormat="1">
      <c r="A68" s="112" t="s">
        <v>1929</v>
      </c>
      <c r="B68" s="134">
        <v>4.9400000000000004</v>
      </c>
      <c r="C68" s="134">
        <v>19.28</v>
      </c>
      <c r="D68" s="134">
        <v>15.38</v>
      </c>
      <c r="E68" s="134">
        <v>4.6100000000000003</v>
      </c>
      <c r="F68" s="134">
        <v>8.57</v>
      </c>
      <c r="G68" s="134">
        <v>36.409999999999997</v>
      </c>
      <c r="H68" s="134">
        <v>24.25</v>
      </c>
      <c r="I68" s="134">
        <v>29.88</v>
      </c>
      <c r="J68" s="134">
        <v>0.28000000000000003</v>
      </c>
      <c r="K68" s="134">
        <v>267.43</v>
      </c>
      <c r="L68" s="134">
        <v>29.98</v>
      </c>
      <c r="M68" s="134">
        <v>78.400000000000006</v>
      </c>
      <c r="N68" s="134">
        <v>335.7</v>
      </c>
      <c r="O68" s="134">
        <v>0</v>
      </c>
      <c r="P68" s="134">
        <v>0.53</v>
      </c>
      <c r="Q68" s="134">
        <v>4.25</v>
      </c>
    </row>
    <row r="69" spans="1:17" customFormat="1">
      <c r="A69" s="112" t="s">
        <v>1930</v>
      </c>
      <c r="B69" s="134">
        <v>5.09</v>
      </c>
      <c r="C69" s="134">
        <v>18.11</v>
      </c>
      <c r="D69" s="134">
        <v>14.9</v>
      </c>
      <c r="E69" s="134">
        <v>11.87</v>
      </c>
      <c r="F69" s="134">
        <v>14.46</v>
      </c>
      <c r="G69" s="134">
        <v>36.26</v>
      </c>
      <c r="H69" s="134">
        <v>19.78</v>
      </c>
      <c r="I69" s="134">
        <v>27.12</v>
      </c>
      <c r="J69" s="134">
        <v>0.32</v>
      </c>
      <c r="K69" s="134">
        <v>323.89999999999998</v>
      </c>
      <c r="L69" s="134">
        <v>30.27</v>
      </c>
      <c r="M69" s="134">
        <v>75.28</v>
      </c>
      <c r="N69" s="134">
        <v>338</v>
      </c>
      <c r="O69" s="134">
        <v>0</v>
      </c>
      <c r="P69" s="134">
        <v>0.51</v>
      </c>
      <c r="Q69" s="134">
        <v>4.1900000000000004</v>
      </c>
    </row>
    <row r="70" spans="1:17" customFormat="1">
      <c r="A70" s="112" t="s">
        <v>1931</v>
      </c>
      <c r="B70" s="134">
        <v>5.39</v>
      </c>
      <c r="C70" s="134">
        <v>19.02</v>
      </c>
      <c r="D70" s="134">
        <v>15.61</v>
      </c>
      <c r="E70" s="134">
        <v>10.95</v>
      </c>
      <c r="F70" s="134">
        <v>10.62</v>
      </c>
      <c r="G70" s="134">
        <v>36.26</v>
      </c>
      <c r="H70" s="134">
        <v>19.78</v>
      </c>
      <c r="I70" s="134">
        <v>23.99</v>
      </c>
      <c r="J70" s="134">
        <v>0.52</v>
      </c>
      <c r="K70" s="134">
        <v>287.66000000000003</v>
      </c>
      <c r="L70" s="134">
        <v>30.11</v>
      </c>
      <c r="M70" s="134">
        <v>76.89</v>
      </c>
      <c r="N70" s="134">
        <v>236.1</v>
      </c>
      <c r="O70" s="134">
        <v>0</v>
      </c>
      <c r="P70" s="134">
        <v>0.49</v>
      </c>
      <c r="Q70" s="134">
        <v>4.2</v>
      </c>
    </row>
    <row r="71" spans="1:17" customFormat="1">
      <c r="A71" s="112" t="s">
        <v>1932</v>
      </c>
      <c r="B71" s="134">
        <v>5.0199999999999996</v>
      </c>
      <c r="C71" s="134">
        <v>19.86</v>
      </c>
      <c r="D71" s="134">
        <v>15.75</v>
      </c>
      <c r="E71" s="134">
        <v>5.27</v>
      </c>
      <c r="F71" s="134">
        <v>7.17</v>
      </c>
      <c r="G71" s="134">
        <v>36.26</v>
      </c>
      <c r="H71" s="134">
        <v>19.78</v>
      </c>
      <c r="I71" s="134">
        <v>21.9</v>
      </c>
      <c r="J71" s="134">
        <v>0.72</v>
      </c>
      <c r="K71" s="134">
        <v>274.91000000000003</v>
      </c>
      <c r="L71" s="134">
        <v>29.66</v>
      </c>
      <c r="M71" s="134">
        <v>78.400000000000006</v>
      </c>
      <c r="N71" s="134">
        <v>202.8</v>
      </c>
      <c r="O71" s="134">
        <v>0</v>
      </c>
      <c r="P71" s="134">
        <v>0.47</v>
      </c>
      <c r="Q71" s="134">
        <v>4.18</v>
      </c>
    </row>
    <row r="72" spans="1:17" customFormat="1">
      <c r="A72" s="112" t="s">
        <v>1933</v>
      </c>
      <c r="B72" s="134">
        <v>5.78</v>
      </c>
      <c r="C72" s="134">
        <v>20.04</v>
      </c>
      <c r="D72" s="134">
        <v>16.46</v>
      </c>
      <c r="E72" s="134">
        <v>6.26</v>
      </c>
      <c r="F72" s="134">
        <v>8.7100000000000009</v>
      </c>
      <c r="G72" s="134">
        <v>36.9</v>
      </c>
      <c r="H72" s="134">
        <v>19.600000000000001</v>
      </c>
      <c r="I72" s="134">
        <v>19.45</v>
      </c>
      <c r="J72" s="134">
        <v>0.53</v>
      </c>
      <c r="K72" s="134">
        <v>294.27999999999997</v>
      </c>
      <c r="L72" s="134">
        <v>29.15</v>
      </c>
      <c r="M72" s="134">
        <v>78.52</v>
      </c>
      <c r="N72" s="134">
        <v>85.7</v>
      </c>
      <c r="O72" s="134">
        <v>0</v>
      </c>
      <c r="P72" s="134">
        <v>0.48</v>
      </c>
      <c r="Q72" s="134">
        <v>4.1500000000000004</v>
      </c>
    </row>
    <row r="73" spans="1:17" customFormat="1">
      <c r="A73" s="112" t="s">
        <v>1934</v>
      </c>
      <c r="B73" s="134">
        <v>6.55</v>
      </c>
      <c r="C73" s="134">
        <v>21.21</v>
      </c>
      <c r="D73" s="134">
        <v>17.690000000000001</v>
      </c>
      <c r="E73" s="134">
        <v>4.7300000000000004</v>
      </c>
      <c r="F73" s="134">
        <v>5.1100000000000003</v>
      </c>
      <c r="G73" s="134">
        <v>42.02</v>
      </c>
      <c r="H73" s="134">
        <v>18.48</v>
      </c>
      <c r="I73" s="134">
        <v>18.670000000000002</v>
      </c>
      <c r="J73" s="134">
        <v>0.61</v>
      </c>
      <c r="K73" s="134">
        <v>282.64</v>
      </c>
      <c r="L73" s="134">
        <v>29.5</v>
      </c>
      <c r="M73" s="134">
        <v>77.819999999999993</v>
      </c>
      <c r="N73" s="134">
        <v>199.6</v>
      </c>
      <c r="O73" s="134">
        <v>0</v>
      </c>
      <c r="P73" s="134">
        <v>0.48</v>
      </c>
      <c r="Q73" s="134">
        <v>4.21</v>
      </c>
    </row>
    <row r="74" spans="1:17" customFormat="1">
      <c r="A74" s="112" t="s">
        <v>1935</v>
      </c>
      <c r="B74" s="134">
        <v>6.91</v>
      </c>
      <c r="C74" s="134">
        <v>20.36</v>
      </c>
      <c r="D74" s="134">
        <v>17.53</v>
      </c>
      <c r="E74" s="134">
        <v>4.71</v>
      </c>
      <c r="F74" s="134">
        <v>3.9</v>
      </c>
      <c r="G74" s="134">
        <v>42.02</v>
      </c>
      <c r="H74" s="134">
        <v>18.48</v>
      </c>
      <c r="I74" s="134">
        <v>17.13</v>
      </c>
      <c r="J74" s="134">
        <v>0.71</v>
      </c>
      <c r="K74" s="134">
        <v>298.72000000000003</v>
      </c>
      <c r="L74" s="134">
        <v>29.25</v>
      </c>
      <c r="M74" s="134">
        <v>77.760000000000005</v>
      </c>
      <c r="N74" s="134">
        <v>158.1</v>
      </c>
      <c r="O74" s="134">
        <v>0</v>
      </c>
      <c r="P74" s="134">
        <v>0.5</v>
      </c>
      <c r="Q74" s="134">
        <v>4.29</v>
      </c>
    </row>
    <row r="75" spans="1:17" customFormat="1">
      <c r="A75" s="112" t="s">
        <v>1936</v>
      </c>
      <c r="B75" s="134">
        <v>7.36</v>
      </c>
      <c r="C75" s="134">
        <v>19.329999999999998</v>
      </c>
      <c r="D75" s="134">
        <v>17.350000000000001</v>
      </c>
      <c r="E75" s="134">
        <v>4.6900000000000004</v>
      </c>
      <c r="F75" s="134">
        <v>7.05</v>
      </c>
      <c r="G75" s="134">
        <v>42.02</v>
      </c>
      <c r="H75" s="134">
        <v>18.48</v>
      </c>
      <c r="I75" s="134">
        <v>17.350000000000001</v>
      </c>
      <c r="J75" s="134">
        <v>0.68</v>
      </c>
      <c r="K75" s="134">
        <v>320.14</v>
      </c>
      <c r="L75" s="134">
        <v>29.37</v>
      </c>
      <c r="M75" s="134">
        <v>77.02</v>
      </c>
      <c r="N75" s="134">
        <v>164.8</v>
      </c>
      <c r="O75" s="134">
        <v>0</v>
      </c>
      <c r="P75" s="134">
        <v>0.5</v>
      </c>
      <c r="Q75" s="134">
        <v>4.25</v>
      </c>
    </row>
    <row r="76" spans="1:17" customFormat="1">
      <c r="A76" s="112" t="s">
        <v>1937</v>
      </c>
      <c r="B76" s="134">
        <v>7.75</v>
      </c>
      <c r="C76" s="134">
        <v>18.41</v>
      </c>
      <c r="D76" s="134">
        <v>17.18</v>
      </c>
      <c r="E76" s="134">
        <v>4.2699999999999996</v>
      </c>
      <c r="F76" s="134">
        <v>6.59</v>
      </c>
      <c r="G76" s="134">
        <v>41.57</v>
      </c>
      <c r="H76" s="134">
        <v>18.3</v>
      </c>
      <c r="I76" s="134">
        <v>17.03</v>
      </c>
      <c r="J76" s="134">
        <v>0.64</v>
      </c>
      <c r="K76" s="134">
        <v>298.39</v>
      </c>
      <c r="L76" s="134">
        <v>29.24</v>
      </c>
      <c r="M76" s="134">
        <v>78.2</v>
      </c>
      <c r="N76" s="134">
        <v>125.7</v>
      </c>
      <c r="O76" s="134">
        <v>0</v>
      </c>
      <c r="P76" s="134">
        <v>0.49</v>
      </c>
      <c r="Q76" s="134">
        <v>4.21</v>
      </c>
    </row>
    <row r="77" spans="1:17" customFormat="1">
      <c r="A77" s="112" t="s">
        <v>1938</v>
      </c>
      <c r="B77" s="134">
        <v>8.17</v>
      </c>
      <c r="C77" s="134">
        <v>18.16</v>
      </c>
      <c r="D77" s="134">
        <v>17.39</v>
      </c>
      <c r="E77" s="134">
        <v>4.0599999999999996</v>
      </c>
      <c r="F77" s="134">
        <v>7.39</v>
      </c>
      <c r="G77" s="134">
        <v>37.99</v>
      </c>
      <c r="H77" s="134">
        <v>17.14</v>
      </c>
      <c r="I77" s="134">
        <v>16.05</v>
      </c>
      <c r="J77" s="134">
        <v>0.46</v>
      </c>
      <c r="K77" s="134">
        <v>304.99</v>
      </c>
      <c r="L77" s="134">
        <v>29.06</v>
      </c>
      <c r="M77" s="134">
        <v>79</v>
      </c>
      <c r="N77" s="134">
        <v>85.9</v>
      </c>
      <c r="O77" s="134">
        <v>0</v>
      </c>
      <c r="P77" s="134">
        <v>0.49</v>
      </c>
      <c r="Q77" s="134">
        <v>4.2300000000000004</v>
      </c>
    </row>
    <row r="78" spans="1:17" customFormat="1">
      <c r="A78" s="112" t="s">
        <v>1939</v>
      </c>
      <c r="B78" s="134">
        <v>8.44</v>
      </c>
      <c r="C78" s="134">
        <v>17.97</v>
      </c>
      <c r="D78" s="134">
        <v>17.510000000000002</v>
      </c>
      <c r="E78" s="134">
        <v>4.3899999999999997</v>
      </c>
      <c r="F78" s="134">
        <v>7.8</v>
      </c>
      <c r="G78" s="134">
        <v>37.99</v>
      </c>
      <c r="H78" s="134">
        <v>17.14</v>
      </c>
      <c r="I78" s="134">
        <v>15.52</v>
      </c>
      <c r="J78" s="134">
        <v>0.45</v>
      </c>
      <c r="K78" s="134">
        <v>295.58999999999997</v>
      </c>
      <c r="L78" s="134">
        <v>28.95</v>
      </c>
      <c r="M78" s="134">
        <v>80.02</v>
      </c>
      <c r="N78" s="134">
        <v>44.6</v>
      </c>
      <c r="O78" s="134">
        <v>0</v>
      </c>
      <c r="P78" s="134">
        <v>0.49</v>
      </c>
      <c r="Q78" s="134">
        <v>4.22</v>
      </c>
    </row>
    <row r="79" spans="1:17" customFormat="1">
      <c r="A79" s="112" t="s">
        <v>1940</v>
      </c>
      <c r="B79" s="134">
        <v>8.8699999999999992</v>
      </c>
      <c r="C79" s="134">
        <v>18.559999999999999</v>
      </c>
      <c r="D79" s="134">
        <v>18.16</v>
      </c>
      <c r="E79" s="134">
        <v>5.61</v>
      </c>
      <c r="F79" s="134">
        <v>7.3</v>
      </c>
      <c r="G79" s="134">
        <v>37.99</v>
      </c>
      <c r="H79" s="134">
        <v>17.14</v>
      </c>
      <c r="I79" s="134">
        <v>14.69</v>
      </c>
      <c r="J79" s="134">
        <v>0.39</v>
      </c>
      <c r="K79" s="134">
        <v>306.76</v>
      </c>
      <c r="L79" s="134">
        <v>28.82</v>
      </c>
      <c r="M79" s="134">
        <v>80.849999999999994</v>
      </c>
      <c r="N79" s="134">
        <v>15.7</v>
      </c>
      <c r="O79" s="134">
        <v>0</v>
      </c>
      <c r="P79" s="134">
        <v>0.51</v>
      </c>
      <c r="Q79" s="134">
        <v>4.2300000000000004</v>
      </c>
    </row>
    <row r="80" spans="1:17" customFormat="1">
      <c r="A80" s="112" t="s">
        <v>1941</v>
      </c>
      <c r="B80" s="134">
        <v>11.27</v>
      </c>
      <c r="C80" s="134">
        <v>21.86</v>
      </c>
      <c r="D80" s="134">
        <v>21.8</v>
      </c>
      <c r="E80" s="134">
        <v>5.64</v>
      </c>
      <c r="F80" s="134">
        <v>7.52</v>
      </c>
      <c r="G80" s="134">
        <v>38.49</v>
      </c>
      <c r="H80" s="134">
        <v>17.04</v>
      </c>
      <c r="I80" s="134">
        <v>13.92</v>
      </c>
      <c r="J80" s="134">
        <v>0.27</v>
      </c>
      <c r="K80" s="134">
        <v>353.78</v>
      </c>
      <c r="L80" s="134">
        <v>28.75</v>
      </c>
      <c r="M80" s="134">
        <v>82.09</v>
      </c>
      <c r="N80" s="134">
        <v>1.1000000000000001</v>
      </c>
      <c r="O80" s="134">
        <v>0</v>
      </c>
      <c r="P80" s="134">
        <v>0.56000000000000005</v>
      </c>
      <c r="Q80" s="134">
        <v>4.29</v>
      </c>
    </row>
    <row r="81" spans="1:17" customFormat="1">
      <c r="A81" s="112" t="s">
        <v>1942</v>
      </c>
      <c r="B81" s="134">
        <v>11.19</v>
      </c>
      <c r="C81" s="134">
        <v>20.63</v>
      </c>
      <c r="D81" s="134">
        <v>21.1</v>
      </c>
      <c r="E81" s="134">
        <v>2.78</v>
      </c>
      <c r="F81" s="134">
        <v>9.1300000000000008</v>
      </c>
      <c r="G81" s="134">
        <v>42.5</v>
      </c>
      <c r="H81" s="134">
        <v>16.420000000000002</v>
      </c>
      <c r="I81" s="134">
        <v>13.48</v>
      </c>
      <c r="J81" s="134">
        <v>0.35</v>
      </c>
      <c r="K81" s="134">
        <v>350.07</v>
      </c>
      <c r="L81" s="134">
        <v>28.3</v>
      </c>
      <c r="M81" s="134">
        <v>83.21</v>
      </c>
      <c r="N81" s="134">
        <v>0</v>
      </c>
      <c r="O81" s="134">
        <v>0</v>
      </c>
      <c r="P81" s="134">
        <v>0.52</v>
      </c>
      <c r="Q81" s="134">
        <v>4.34</v>
      </c>
    </row>
    <row r="82" spans="1:17" customFormat="1">
      <c r="A82" s="112" t="s">
        <v>1943</v>
      </c>
      <c r="B82" s="134">
        <v>9.9700000000000006</v>
      </c>
      <c r="C82" s="134">
        <v>17.38</v>
      </c>
      <c r="D82" s="134">
        <v>18.43</v>
      </c>
      <c r="E82" s="134">
        <v>3</v>
      </c>
      <c r="F82" s="134">
        <v>9.5500000000000007</v>
      </c>
      <c r="G82" s="134">
        <v>42.5</v>
      </c>
      <c r="H82" s="134">
        <v>16.420000000000002</v>
      </c>
      <c r="I82" s="134">
        <v>12.61</v>
      </c>
      <c r="J82" s="134">
        <v>0.52</v>
      </c>
      <c r="K82" s="134">
        <v>270.12</v>
      </c>
      <c r="L82" s="134">
        <v>27.82</v>
      </c>
      <c r="M82" s="134">
        <v>84.39</v>
      </c>
      <c r="N82" s="134">
        <v>0</v>
      </c>
      <c r="O82" s="134">
        <v>0</v>
      </c>
      <c r="P82" s="134">
        <v>0.49</v>
      </c>
      <c r="Q82" s="134">
        <v>4.34</v>
      </c>
    </row>
    <row r="83" spans="1:17" customFormat="1">
      <c r="A83" s="112" t="s">
        <v>1944</v>
      </c>
      <c r="B83" s="134">
        <v>9.4</v>
      </c>
      <c r="C83" s="134">
        <v>15.85</v>
      </c>
      <c r="D83" s="134">
        <v>17.170000000000002</v>
      </c>
      <c r="E83" s="134">
        <v>3.25</v>
      </c>
      <c r="F83" s="134">
        <v>10.36</v>
      </c>
      <c r="G83" s="134">
        <v>42.5</v>
      </c>
      <c r="H83" s="134">
        <v>16.420000000000002</v>
      </c>
      <c r="I83" s="134">
        <v>12.57</v>
      </c>
      <c r="J83" s="134">
        <v>0.17</v>
      </c>
      <c r="K83" s="134">
        <v>249.05</v>
      </c>
      <c r="L83" s="134">
        <v>27.22</v>
      </c>
      <c r="M83" s="134">
        <v>90.47</v>
      </c>
      <c r="N83" s="134">
        <v>0</v>
      </c>
      <c r="O83" s="134">
        <v>4</v>
      </c>
      <c r="P83" s="134">
        <v>0.46</v>
      </c>
      <c r="Q83" s="134">
        <v>4.34</v>
      </c>
    </row>
    <row r="84" spans="1:17" customFormat="1">
      <c r="A84" s="112" t="s">
        <v>1945</v>
      </c>
      <c r="B84" s="134">
        <v>9.5399999999999991</v>
      </c>
      <c r="C84" s="134">
        <v>16.54</v>
      </c>
      <c r="D84" s="134">
        <v>17.649999999999999</v>
      </c>
      <c r="E84" s="134">
        <v>2.37</v>
      </c>
      <c r="F84" s="134">
        <v>4.5199999999999996</v>
      </c>
      <c r="G84" s="134">
        <v>41.95</v>
      </c>
      <c r="H84" s="134">
        <v>16.760000000000002</v>
      </c>
      <c r="I84" s="134">
        <v>12.71</v>
      </c>
      <c r="J84" s="134">
        <v>7.0000000000000007E-2</v>
      </c>
      <c r="K84" s="134">
        <v>201.54</v>
      </c>
      <c r="L84" s="134">
        <v>26.08</v>
      </c>
      <c r="M84" s="134">
        <v>97.49</v>
      </c>
      <c r="N84" s="134">
        <v>0</v>
      </c>
      <c r="O84" s="134">
        <v>6.2</v>
      </c>
      <c r="P84" s="134">
        <v>0.49</v>
      </c>
      <c r="Q84" s="134">
        <v>4.32</v>
      </c>
    </row>
    <row r="85" spans="1:17" customFormat="1">
      <c r="A85" s="112" t="s">
        <v>1946</v>
      </c>
      <c r="B85" s="134">
        <v>10.19</v>
      </c>
      <c r="C85" s="134">
        <v>19.239999999999998</v>
      </c>
      <c r="D85" s="134">
        <v>19.579999999999998</v>
      </c>
      <c r="E85" s="134">
        <v>2.96</v>
      </c>
      <c r="F85" s="134">
        <v>2.76</v>
      </c>
      <c r="G85" s="134">
        <v>37.51</v>
      </c>
      <c r="H85" s="134">
        <v>18.920000000000002</v>
      </c>
      <c r="I85" s="134">
        <v>12.42</v>
      </c>
      <c r="J85" s="134">
        <v>0.19</v>
      </c>
      <c r="K85" s="134">
        <v>288.64999999999998</v>
      </c>
      <c r="L85" s="134">
        <v>25.83</v>
      </c>
      <c r="M85" s="134">
        <v>98.59</v>
      </c>
      <c r="N85" s="134">
        <v>0</v>
      </c>
      <c r="O85" s="134">
        <v>5.4</v>
      </c>
      <c r="P85" s="134">
        <v>0.54</v>
      </c>
      <c r="Q85" s="134">
        <v>4.43</v>
      </c>
    </row>
    <row r="86" spans="1:17" customFormat="1">
      <c r="A86" s="112" t="s">
        <v>1947</v>
      </c>
      <c r="B86" s="134">
        <v>10.73</v>
      </c>
      <c r="C86" s="134">
        <v>18.809999999999999</v>
      </c>
      <c r="D86" s="134">
        <v>19.78</v>
      </c>
      <c r="E86" s="134">
        <v>2.42</v>
      </c>
      <c r="F86" s="134">
        <v>3.12</v>
      </c>
      <c r="G86" s="134">
        <v>37.51</v>
      </c>
      <c r="H86" s="134">
        <v>18.920000000000002</v>
      </c>
      <c r="I86" s="134">
        <v>13.02</v>
      </c>
      <c r="J86" s="134">
        <v>0.59</v>
      </c>
      <c r="K86" s="134">
        <v>256.18</v>
      </c>
      <c r="L86" s="134">
        <v>25.99</v>
      </c>
      <c r="M86" s="134">
        <v>99.05</v>
      </c>
      <c r="N86" s="134">
        <v>0</v>
      </c>
      <c r="O86" s="134">
        <v>6.6</v>
      </c>
      <c r="P86" s="134">
        <v>0.54</v>
      </c>
      <c r="Q86" s="134">
        <v>4.41</v>
      </c>
    </row>
    <row r="87" spans="1:17" customFormat="1">
      <c r="A87" s="112" t="s">
        <v>1948</v>
      </c>
      <c r="B87" s="134">
        <v>10.56</v>
      </c>
      <c r="C87" s="134">
        <v>20.16</v>
      </c>
      <c r="D87" s="134">
        <v>20.350000000000001</v>
      </c>
      <c r="E87" s="134">
        <v>2.16</v>
      </c>
      <c r="F87" s="134">
        <v>3.13</v>
      </c>
      <c r="G87" s="134">
        <v>37.51</v>
      </c>
      <c r="H87" s="134">
        <v>18.920000000000002</v>
      </c>
      <c r="I87" s="134">
        <v>13.39</v>
      </c>
      <c r="J87" s="134">
        <v>0.46</v>
      </c>
      <c r="K87" s="134">
        <v>12.55</v>
      </c>
      <c r="L87" s="134">
        <v>25.82</v>
      </c>
      <c r="M87" s="134">
        <v>99.29</v>
      </c>
      <c r="N87" s="134">
        <v>0</v>
      </c>
      <c r="O87" s="134">
        <v>10.8</v>
      </c>
      <c r="P87" s="134">
        <v>0.57999999999999996</v>
      </c>
      <c r="Q87" s="134">
        <v>4.47</v>
      </c>
    </row>
    <row r="88" spans="1:17" customFormat="1">
      <c r="A88" s="112" t="s">
        <v>1949</v>
      </c>
      <c r="B88" s="134">
        <v>10.31</v>
      </c>
      <c r="C88" s="134">
        <v>21.1</v>
      </c>
      <c r="D88" s="134">
        <v>20.64</v>
      </c>
      <c r="E88" s="134">
        <v>2.06</v>
      </c>
      <c r="F88" s="134">
        <v>3.37</v>
      </c>
      <c r="G88" s="134">
        <v>36.22</v>
      </c>
      <c r="H88" s="134">
        <v>18.260000000000002</v>
      </c>
      <c r="I88" s="134">
        <v>13.05</v>
      </c>
      <c r="J88" s="134">
        <v>1.1100000000000001</v>
      </c>
      <c r="K88" s="134">
        <v>342.42</v>
      </c>
      <c r="L88" s="134">
        <v>23.64</v>
      </c>
      <c r="M88" s="134">
        <v>99.28</v>
      </c>
      <c r="N88" s="134">
        <v>0</v>
      </c>
      <c r="O88" s="134">
        <v>18.600000000000001</v>
      </c>
      <c r="P88" s="134">
        <v>0.57999999999999996</v>
      </c>
      <c r="Q88" s="134">
        <v>4.47</v>
      </c>
    </row>
    <row r="89" spans="1:17" customFormat="1">
      <c r="A89" s="112" t="s">
        <v>1950</v>
      </c>
      <c r="B89" s="134">
        <v>10.45</v>
      </c>
      <c r="C89" s="134">
        <v>19.27</v>
      </c>
      <c r="D89" s="134">
        <v>19.79</v>
      </c>
      <c r="E89" s="134">
        <v>1.56</v>
      </c>
      <c r="F89" s="134">
        <v>4.24</v>
      </c>
      <c r="G89" s="134">
        <v>25.92</v>
      </c>
      <c r="H89" s="134">
        <v>14.08</v>
      </c>
      <c r="I89" s="134">
        <v>12.75</v>
      </c>
      <c r="J89" s="134">
        <v>0.22</v>
      </c>
      <c r="K89" s="134">
        <v>195.38</v>
      </c>
      <c r="L89" s="134">
        <v>23.31</v>
      </c>
      <c r="M89" s="134">
        <v>99.4</v>
      </c>
      <c r="N89" s="134">
        <v>0</v>
      </c>
      <c r="O89" s="134">
        <v>1</v>
      </c>
      <c r="P89" s="134">
        <v>0.52</v>
      </c>
      <c r="Q89" s="134">
        <v>4.45</v>
      </c>
    </row>
    <row r="90" spans="1:17" customFormat="1">
      <c r="A90" s="112" t="s">
        <v>1951</v>
      </c>
      <c r="B90" s="134">
        <v>10.76</v>
      </c>
      <c r="C90" s="134">
        <v>18.29</v>
      </c>
      <c r="D90" s="134">
        <v>19.53</v>
      </c>
      <c r="E90" s="134">
        <v>1.33</v>
      </c>
      <c r="F90" s="134">
        <v>3.69</v>
      </c>
      <c r="G90" s="134">
        <v>25.92</v>
      </c>
      <c r="H90" s="134">
        <v>14.08</v>
      </c>
      <c r="I90" s="134">
        <v>12.17</v>
      </c>
      <c r="J90" s="134">
        <v>0.14000000000000001</v>
      </c>
      <c r="K90" s="134">
        <v>286.10000000000002</v>
      </c>
      <c r="L90" s="134">
        <v>23.99</v>
      </c>
      <c r="M90" s="134">
        <v>99.6</v>
      </c>
      <c r="N90" s="134">
        <v>0</v>
      </c>
      <c r="O90" s="134">
        <v>0.6</v>
      </c>
      <c r="P90" s="134">
        <v>0.49</v>
      </c>
      <c r="Q90" s="134">
        <v>4.41</v>
      </c>
    </row>
    <row r="91" spans="1:17" customFormat="1">
      <c r="A91" s="112" t="s">
        <v>1952</v>
      </c>
      <c r="B91" s="134">
        <v>11.14</v>
      </c>
      <c r="C91" s="134">
        <v>18.47</v>
      </c>
      <c r="D91" s="134">
        <v>19.93</v>
      </c>
      <c r="E91" s="134">
        <v>1.1399999999999999</v>
      </c>
      <c r="F91" s="134">
        <v>3.73</v>
      </c>
      <c r="G91" s="134">
        <v>25.92</v>
      </c>
      <c r="H91" s="134">
        <v>14.08</v>
      </c>
      <c r="I91" s="134">
        <v>11.61</v>
      </c>
      <c r="J91" s="134">
        <v>0.5</v>
      </c>
      <c r="K91" s="134">
        <v>299.51</v>
      </c>
      <c r="L91" s="134">
        <v>24.63</v>
      </c>
      <c r="M91" s="134">
        <v>99.76</v>
      </c>
      <c r="N91" s="134">
        <v>0</v>
      </c>
      <c r="O91" s="134">
        <v>4.2</v>
      </c>
      <c r="P91" s="134">
        <v>0.49</v>
      </c>
      <c r="Q91" s="134">
        <v>4.38</v>
      </c>
    </row>
    <row r="92" spans="1:17" customFormat="1">
      <c r="A92" s="112" t="s">
        <v>1953</v>
      </c>
      <c r="B92" s="134">
        <v>11.14</v>
      </c>
      <c r="C92" s="134">
        <v>19.809999999999999</v>
      </c>
      <c r="D92" s="134">
        <v>20.63</v>
      </c>
      <c r="E92" s="134">
        <v>1.82</v>
      </c>
      <c r="F92" s="134">
        <v>2.58</v>
      </c>
      <c r="G92" s="134">
        <v>25.41</v>
      </c>
      <c r="H92" s="134">
        <v>13.64</v>
      </c>
      <c r="I92" s="134">
        <v>11.34</v>
      </c>
      <c r="J92" s="134">
        <v>0.4</v>
      </c>
      <c r="K92" s="134">
        <v>315.81</v>
      </c>
      <c r="L92" s="134">
        <v>24.85</v>
      </c>
      <c r="M92" s="134">
        <v>99.9</v>
      </c>
      <c r="N92" s="134">
        <v>0</v>
      </c>
      <c r="O92" s="134">
        <v>0.2</v>
      </c>
      <c r="P92" s="134">
        <v>0.52</v>
      </c>
      <c r="Q92" s="134">
        <v>4.4400000000000004</v>
      </c>
    </row>
    <row r="93" spans="1:17" customFormat="1">
      <c r="A93" s="112" t="s">
        <v>1954</v>
      </c>
      <c r="B93" s="134">
        <v>11.26</v>
      </c>
      <c r="C93" s="134">
        <v>20.75</v>
      </c>
      <c r="D93" s="134">
        <v>21.22</v>
      </c>
      <c r="E93" s="134">
        <v>2.54</v>
      </c>
      <c r="F93" s="134">
        <v>2.69</v>
      </c>
      <c r="G93" s="134">
        <v>21.32</v>
      </c>
      <c r="H93" s="134">
        <v>10.84</v>
      </c>
      <c r="I93" s="134">
        <v>10.9</v>
      </c>
      <c r="J93" s="134">
        <v>0.25</v>
      </c>
      <c r="K93" s="134">
        <v>26.13</v>
      </c>
      <c r="L93" s="134">
        <v>24.89</v>
      </c>
      <c r="M93" s="134">
        <v>100</v>
      </c>
      <c r="N93" s="134">
        <v>0</v>
      </c>
      <c r="O93" s="134">
        <v>3.2</v>
      </c>
      <c r="P93" s="134">
        <v>0.54</v>
      </c>
      <c r="Q93" s="134">
        <v>4.53</v>
      </c>
    </row>
    <row r="94" spans="1:17" customFormat="1">
      <c r="A94" s="112" t="s">
        <v>1955</v>
      </c>
      <c r="B94" s="134">
        <v>11.46</v>
      </c>
      <c r="C94" s="134">
        <v>19.09</v>
      </c>
      <c r="D94" s="134">
        <v>20.51</v>
      </c>
      <c r="E94" s="134">
        <v>2.2799999999999998</v>
      </c>
      <c r="F94" s="134">
        <v>3.95</v>
      </c>
      <c r="G94" s="134">
        <v>21.32</v>
      </c>
      <c r="H94" s="134">
        <v>10.84</v>
      </c>
      <c r="I94" s="134">
        <v>10.96</v>
      </c>
      <c r="J94" s="134">
        <v>0.22</v>
      </c>
      <c r="K94" s="134">
        <v>267.76</v>
      </c>
      <c r="L94" s="134">
        <v>25.01</v>
      </c>
      <c r="M94" s="134">
        <v>100.07</v>
      </c>
      <c r="N94" s="134">
        <v>0</v>
      </c>
      <c r="O94" s="134">
        <v>2</v>
      </c>
      <c r="P94" s="134">
        <v>0.52</v>
      </c>
      <c r="Q94" s="134">
        <v>4.51</v>
      </c>
    </row>
    <row r="95" spans="1:17" customFormat="1">
      <c r="A95" s="112" t="s">
        <v>1956</v>
      </c>
      <c r="B95" s="134">
        <v>11.35</v>
      </c>
      <c r="C95" s="134">
        <v>17.96</v>
      </c>
      <c r="D95" s="134">
        <v>19.829999999999998</v>
      </c>
      <c r="E95" s="134">
        <v>2.08</v>
      </c>
      <c r="F95" s="134">
        <v>5.79</v>
      </c>
      <c r="G95" s="134">
        <v>21.32</v>
      </c>
      <c r="H95" s="134">
        <v>10.84</v>
      </c>
      <c r="I95" s="134">
        <v>10.6</v>
      </c>
      <c r="J95" s="134">
        <v>0.14000000000000001</v>
      </c>
      <c r="K95" s="134">
        <v>167.02</v>
      </c>
      <c r="L95" s="134">
        <v>24.93</v>
      </c>
      <c r="M95" s="134">
        <v>100.14</v>
      </c>
      <c r="N95" s="134">
        <v>0</v>
      </c>
      <c r="O95" s="134">
        <v>0</v>
      </c>
      <c r="P95" s="134">
        <v>0.49</v>
      </c>
      <c r="Q95" s="134">
        <v>4.47</v>
      </c>
    </row>
    <row r="96" spans="1:17" customFormat="1">
      <c r="A96" s="112" t="s">
        <v>1957</v>
      </c>
      <c r="B96" s="134">
        <v>11.67</v>
      </c>
      <c r="C96" s="134">
        <v>18.690000000000001</v>
      </c>
      <c r="D96" s="134">
        <v>20.47</v>
      </c>
      <c r="E96" s="134">
        <v>2.15</v>
      </c>
      <c r="F96" s="134">
        <v>3.89</v>
      </c>
      <c r="G96" s="134">
        <v>21</v>
      </c>
      <c r="H96" s="134">
        <v>10.86</v>
      </c>
      <c r="I96" s="134">
        <v>10.09</v>
      </c>
      <c r="J96" s="134">
        <v>0.1</v>
      </c>
      <c r="K96" s="134">
        <v>189.61</v>
      </c>
      <c r="L96" s="134">
        <v>25.01</v>
      </c>
      <c r="M96" s="134">
        <v>100.21</v>
      </c>
      <c r="N96" s="134">
        <v>0</v>
      </c>
      <c r="O96" s="134">
        <v>0</v>
      </c>
      <c r="P96" s="134">
        <v>0.51</v>
      </c>
      <c r="Q96" s="134">
        <v>4.47</v>
      </c>
    </row>
    <row r="97" spans="1:22" customFormat="1">
      <c r="A97" s="112" t="s">
        <v>1958</v>
      </c>
      <c r="B97" s="134">
        <v>12.35</v>
      </c>
      <c r="C97" s="134">
        <v>21.36</v>
      </c>
      <c r="D97" s="134">
        <v>22.41</v>
      </c>
      <c r="E97" s="134">
        <v>2.57</v>
      </c>
      <c r="F97" s="134">
        <v>1.97</v>
      </c>
      <c r="G97" s="134">
        <v>18.38</v>
      </c>
      <c r="H97" s="134">
        <v>10.99</v>
      </c>
      <c r="I97" s="134">
        <v>9.6300000000000008</v>
      </c>
      <c r="J97" s="134">
        <v>0.24</v>
      </c>
      <c r="K97" s="134">
        <v>14.43</v>
      </c>
      <c r="L97" s="134">
        <v>25.15</v>
      </c>
      <c r="M97" s="134">
        <v>100.27</v>
      </c>
      <c r="N97" s="134">
        <v>0</v>
      </c>
      <c r="O97" s="134">
        <v>0</v>
      </c>
      <c r="P97" s="134">
        <v>0.54</v>
      </c>
      <c r="Q97" s="134">
        <v>4.59</v>
      </c>
    </row>
    <row r="98" spans="1:22" customFormat="1">
      <c r="A98" s="112" t="s">
        <v>1959</v>
      </c>
      <c r="B98" s="134">
        <v>13.07</v>
      </c>
      <c r="C98" s="134">
        <v>20.05</v>
      </c>
      <c r="D98" s="134">
        <v>22.31</v>
      </c>
      <c r="E98" s="134">
        <v>3.61</v>
      </c>
      <c r="F98" s="134">
        <v>3.56</v>
      </c>
      <c r="G98" s="134">
        <v>18.38</v>
      </c>
      <c r="H98" s="134">
        <v>10.99</v>
      </c>
      <c r="I98" s="134">
        <v>10.06</v>
      </c>
      <c r="J98" s="134">
        <v>0.38</v>
      </c>
      <c r="K98" s="134">
        <v>16.059999999999999</v>
      </c>
      <c r="L98" s="134">
        <v>24.44</v>
      </c>
      <c r="M98" s="134">
        <v>100.28</v>
      </c>
      <c r="N98" s="134">
        <v>0</v>
      </c>
      <c r="O98" s="134">
        <v>0</v>
      </c>
      <c r="P98" s="134">
        <v>0.53</v>
      </c>
      <c r="Q98" s="134">
        <v>4.5999999999999996</v>
      </c>
    </row>
    <row r="99" spans="1:22" customFormat="1">
      <c r="A99" s="112" t="s">
        <v>1960</v>
      </c>
      <c r="B99" s="134">
        <v>13.52</v>
      </c>
      <c r="C99" s="134">
        <v>19.55</v>
      </c>
      <c r="D99" s="134">
        <v>22.4</v>
      </c>
      <c r="E99" s="134">
        <v>4.6100000000000003</v>
      </c>
      <c r="F99" s="134">
        <v>3.68</v>
      </c>
      <c r="G99" s="134">
        <v>18.38</v>
      </c>
      <c r="H99" s="134">
        <v>10.99</v>
      </c>
      <c r="I99" s="134">
        <v>9.99</v>
      </c>
      <c r="J99" s="134">
        <v>0.28000000000000003</v>
      </c>
      <c r="K99" s="134">
        <v>33.979999999999997</v>
      </c>
      <c r="L99" s="134">
        <v>24.12</v>
      </c>
      <c r="M99" s="134">
        <v>100.28</v>
      </c>
      <c r="N99" s="134">
        <v>0</v>
      </c>
      <c r="O99" s="134">
        <v>1.6</v>
      </c>
      <c r="P99" s="134">
        <v>0.51</v>
      </c>
      <c r="Q99" s="134">
        <v>4.6100000000000003</v>
      </c>
    </row>
    <row r="100" spans="1:22" customFormat="1">
      <c r="A100" s="112" t="s">
        <v>1961</v>
      </c>
      <c r="B100" s="134">
        <v>13.83</v>
      </c>
      <c r="C100" s="134">
        <v>19.989999999999998</v>
      </c>
      <c r="D100" s="134">
        <v>22.89</v>
      </c>
      <c r="E100" s="134">
        <v>3.23</v>
      </c>
      <c r="F100" s="134">
        <v>2.67</v>
      </c>
      <c r="G100" s="134">
        <v>18.670000000000002</v>
      </c>
      <c r="H100" s="134">
        <v>10.91</v>
      </c>
      <c r="I100" s="134">
        <v>9.66</v>
      </c>
      <c r="J100" s="134">
        <v>0.24</v>
      </c>
      <c r="K100" s="134">
        <v>286.72000000000003</v>
      </c>
      <c r="L100" s="134">
        <v>24.2</v>
      </c>
      <c r="M100" s="134">
        <v>100.32</v>
      </c>
      <c r="N100" s="134">
        <v>0</v>
      </c>
      <c r="O100" s="134">
        <v>0.2</v>
      </c>
      <c r="P100" s="134">
        <v>0.52</v>
      </c>
      <c r="Q100" s="134">
        <v>4.63</v>
      </c>
    </row>
    <row r="101" spans="1:22" customFormat="1">
      <c r="A101" s="112" t="s">
        <v>1962</v>
      </c>
      <c r="B101" s="134">
        <v>14.09</v>
      </c>
      <c r="C101" s="134">
        <v>21.85</v>
      </c>
      <c r="D101" s="134">
        <v>24.06</v>
      </c>
      <c r="E101" s="134">
        <v>2.91</v>
      </c>
      <c r="F101" s="134">
        <v>1.73</v>
      </c>
      <c r="G101" s="134">
        <v>20.96</v>
      </c>
      <c r="H101" s="134">
        <v>10.4</v>
      </c>
      <c r="I101" s="134">
        <v>9.51</v>
      </c>
      <c r="J101" s="134">
        <v>0.44</v>
      </c>
      <c r="K101" s="134">
        <v>265.13</v>
      </c>
      <c r="L101" s="134">
        <v>24.24</v>
      </c>
      <c r="M101" s="134">
        <v>100.35</v>
      </c>
      <c r="N101" s="134">
        <v>0</v>
      </c>
      <c r="O101" s="134">
        <v>0</v>
      </c>
      <c r="P101" s="134">
        <v>0.56000000000000005</v>
      </c>
      <c r="Q101" s="134">
        <v>4.74</v>
      </c>
    </row>
    <row r="102" spans="1:22" customFormat="1">
      <c r="A102" s="112" t="s">
        <v>1963</v>
      </c>
      <c r="B102" s="134">
        <v>14.36</v>
      </c>
      <c r="C102" s="134">
        <v>20.05</v>
      </c>
      <c r="D102" s="134">
        <v>23.35</v>
      </c>
      <c r="E102" s="134">
        <v>2.61</v>
      </c>
      <c r="F102" s="134">
        <v>2.67</v>
      </c>
      <c r="G102" s="134">
        <v>20.96</v>
      </c>
      <c r="H102" s="134">
        <v>10.4</v>
      </c>
      <c r="I102" s="134">
        <v>9.6300000000000008</v>
      </c>
      <c r="J102" s="134">
        <v>0.27</v>
      </c>
      <c r="K102" s="134">
        <v>252.17</v>
      </c>
      <c r="L102" s="134">
        <v>24.31</v>
      </c>
      <c r="M102" s="134">
        <v>100.38</v>
      </c>
      <c r="N102" s="134">
        <v>0</v>
      </c>
      <c r="O102" s="134">
        <v>0</v>
      </c>
      <c r="P102" s="134">
        <v>0.54</v>
      </c>
      <c r="Q102" s="134">
        <v>4.72</v>
      </c>
    </row>
    <row r="103" spans="1:22" customFormat="1">
      <c r="A103" s="112" t="s">
        <v>1964</v>
      </c>
      <c r="B103" s="134">
        <v>14.39</v>
      </c>
      <c r="C103" s="134">
        <v>19.47</v>
      </c>
      <c r="D103" s="134">
        <v>23.06</v>
      </c>
      <c r="E103" s="134">
        <v>2.15</v>
      </c>
      <c r="F103" s="134">
        <v>2.93</v>
      </c>
      <c r="G103" s="134">
        <v>20.96</v>
      </c>
      <c r="H103" s="134">
        <v>10.4</v>
      </c>
      <c r="I103" s="134">
        <v>9.64</v>
      </c>
      <c r="J103" s="134">
        <v>0.3</v>
      </c>
      <c r="K103" s="134">
        <v>251.66</v>
      </c>
      <c r="L103" s="134">
        <v>24.24</v>
      </c>
      <c r="M103" s="134">
        <v>100.38</v>
      </c>
      <c r="N103" s="134">
        <v>0</v>
      </c>
      <c r="O103" s="134">
        <v>0</v>
      </c>
      <c r="P103" s="134">
        <v>0.54</v>
      </c>
      <c r="Q103" s="134">
        <v>4.6900000000000004</v>
      </c>
    </row>
    <row r="104" spans="1:22" customFormat="1">
      <c r="A104" s="112" t="s">
        <v>1965</v>
      </c>
      <c r="B104" s="134">
        <v>14.47</v>
      </c>
      <c r="C104" s="134">
        <v>21.81</v>
      </c>
      <c r="D104" s="134">
        <v>24.35</v>
      </c>
      <c r="E104" s="134">
        <v>2.99</v>
      </c>
      <c r="F104" s="134">
        <v>1.65</v>
      </c>
      <c r="G104" s="134">
        <v>20.89</v>
      </c>
      <c r="H104" s="134">
        <v>10.61</v>
      </c>
      <c r="I104" s="134">
        <v>9.4700000000000006</v>
      </c>
      <c r="J104" s="134">
        <v>0.09</v>
      </c>
      <c r="K104" s="134">
        <v>242.26</v>
      </c>
      <c r="L104" s="134">
        <v>24.29</v>
      </c>
      <c r="M104" s="134">
        <v>100.39</v>
      </c>
      <c r="N104" s="134">
        <v>0</v>
      </c>
      <c r="O104" s="134">
        <v>0</v>
      </c>
      <c r="P104" s="134">
        <v>0.56999999999999995</v>
      </c>
      <c r="Q104" s="134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4.63</v>
      </c>
      <c r="C106" s="183">
        <f>MIN(C9:C104)</f>
        <v>15.85</v>
      </c>
      <c r="D106" s="183">
        <f t="shared" ref="D106:Q106" si="0">MIN(D9:D104)</f>
        <v>14.9</v>
      </c>
      <c r="E106" s="183">
        <f t="shared" si="0"/>
        <v>1.1399999999999999</v>
      </c>
      <c r="F106" s="183">
        <f t="shared" si="0"/>
        <v>1.37</v>
      </c>
      <c r="G106" s="183">
        <f t="shared" si="0"/>
        <v>12</v>
      </c>
      <c r="H106" s="183">
        <f t="shared" si="0"/>
        <v>3.13</v>
      </c>
      <c r="I106" s="183">
        <f t="shared" si="0"/>
        <v>3.66</v>
      </c>
      <c r="J106" s="183">
        <f t="shared" si="0"/>
        <v>-0.16</v>
      </c>
      <c r="K106" s="183">
        <f t="shared" si="0"/>
        <v>0.21</v>
      </c>
      <c r="L106" s="183">
        <f t="shared" si="0"/>
        <v>23.31</v>
      </c>
      <c r="M106" s="183">
        <f t="shared" si="0"/>
        <v>75.28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4.13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15.15</v>
      </c>
      <c r="C107" s="184">
        <f t="shared" ref="C107:Q107" si="1">MAX(C9:C104)</f>
        <v>27.02</v>
      </c>
      <c r="D107" s="184">
        <f t="shared" si="1"/>
        <v>24.35</v>
      </c>
      <c r="E107" s="184">
        <f t="shared" si="1"/>
        <v>11.87</v>
      </c>
      <c r="F107" s="184">
        <f t="shared" si="1"/>
        <v>14.46</v>
      </c>
      <c r="G107" s="184">
        <f t="shared" si="1"/>
        <v>42.5</v>
      </c>
      <c r="H107" s="184">
        <f t="shared" si="1"/>
        <v>24.96</v>
      </c>
      <c r="I107" s="184">
        <f t="shared" si="1"/>
        <v>46</v>
      </c>
      <c r="J107" s="184">
        <f t="shared" si="1"/>
        <v>1.1100000000000001</v>
      </c>
      <c r="K107" s="184">
        <f t="shared" si="1"/>
        <v>355.73</v>
      </c>
      <c r="L107" s="184">
        <f t="shared" si="1"/>
        <v>30.27</v>
      </c>
      <c r="M107" s="184">
        <f t="shared" si="1"/>
        <v>100.39</v>
      </c>
      <c r="N107" s="184">
        <f t="shared" si="1"/>
        <v>413.2</v>
      </c>
      <c r="O107" s="184">
        <f t="shared" si="1"/>
        <v>18.600000000000001</v>
      </c>
      <c r="P107" s="184">
        <f t="shared" si="1"/>
        <v>0.61</v>
      </c>
      <c r="Q107" s="184">
        <f t="shared" si="1"/>
        <v>4.9000000000000004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10.781595744680853</v>
      </c>
      <c r="C108" s="183">
        <f t="shared" ref="C108:Q108" si="2">AVERAGE(C9:C104)</f>
        <v>20.971702127659565</v>
      </c>
      <c r="D108" s="183">
        <f t="shared" si="2"/>
        <v>19.773723404255328</v>
      </c>
      <c r="E108" s="183">
        <f t="shared" si="2"/>
        <v>5.9165217391304328</v>
      </c>
      <c r="F108" s="183">
        <f t="shared" si="2"/>
        <v>4.5091666666666672</v>
      </c>
      <c r="G108" s="183">
        <f t="shared" si="2"/>
        <v>23.2756043956044</v>
      </c>
      <c r="H108" s="183">
        <f t="shared" si="2"/>
        <v>10.080439560439558</v>
      </c>
      <c r="I108" s="183">
        <f t="shared" si="2"/>
        <v>11.550104166666669</v>
      </c>
      <c r="J108" s="183">
        <f t="shared" si="2"/>
        <v>0.36875000000000008</v>
      </c>
      <c r="K108" s="183">
        <f t="shared" si="2"/>
        <v>252.18718749999991</v>
      </c>
      <c r="L108" s="183">
        <f t="shared" si="2"/>
        <v>26.381458333333317</v>
      </c>
      <c r="M108" s="183">
        <f t="shared" si="2"/>
        <v>91.318958333333327</v>
      </c>
      <c r="N108" s="183">
        <f t="shared" si="2"/>
        <v>87.187500000000043</v>
      </c>
      <c r="O108" s="183">
        <f t="shared" si="2"/>
        <v>0.67291666666666672</v>
      </c>
      <c r="P108" s="183">
        <f t="shared" si="2"/>
        <v>0.52666666666666684</v>
      </c>
      <c r="Q108" s="183">
        <f t="shared" si="2"/>
        <v>4.560833333333334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2.9373718423442168</v>
      </c>
      <c r="C109" s="183">
        <f t="shared" ref="C109:Q109" si="3">STDEV(C9:C104)</f>
        <v>2.0061033959020897</v>
      </c>
      <c r="D109" s="183">
        <f t="shared" si="3"/>
        <v>2.2697756907044315</v>
      </c>
      <c r="E109" s="183">
        <f t="shared" si="3"/>
        <v>2.7653696113601729</v>
      </c>
      <c r="F109" s="183">
        <f t="shared" si="3"/>
        <v>3.0252608992898335</v>
      </c>
      <c r="G109" s="183">
        <f t="shared" si="3"/>
        <v>10.496865374301153</v>
      </c>
      <c r="H109" s="183">
        <f t="shared" si="3"/>
        <v>6.2608902299358773</v>
      </c>
      <c r="I109" s="183">
        <f t="shared" si="3"/>
        <v>10.358230746588017</v>
      </c>
      <c r="J109" s="183">
        <f t="shared" si="3"/>
        <v>0.17363149120145857</v>
      </c>
      <c r="K109" s="183">
        <f t="shared" si="3"/>
        <v>74.770262139621138</v>
      </c>
      <c r="L109" s="183">
        <f t="shared" si="3"/>
        <v>2.1014260717638304</v>
      </c>
      <c r="M109" s="183">
        <f t="shared" si="3"/>
        <v>8.6261934617972003</v>
      </c>
      <c r="N109" s="183">
        <f t="shared" si="3"/>
        <v>118.73900902044741</v>
      </c>
      <c r="O109" s="183">
        <f t="shared" si="3"/>
        <v>2.4755001266800578</v>
      </c>
      <c r="P109" s="183">
        <f t="shared" si="3"/>
        <v>3.1678206576912706E-2</v>
      </c>
      <c r="Q109" s="183">
        <f t="shared" si="3"/>
        <v>0.24009501043353659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f t="shared" ref="J110:Q110" si="4">COUNT(J9:J104)</f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19/08/2023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1966</v>
      </c>
      <c r="B9" s="134">
        <v>12.3</v>
      </c>
      <c r="C9" s="134">
        <v>18.89</v>
      </c>
      <c r="D9" s="134">
        <v>21.08</v>
      </c>
      <c r="E9" s="134">
        <v>3.37</v>
      </c>
      <c r="F9" s="134">
        <v>3.18</v>
      </c>
      <c r="G9" s="134">
        <v>20.34</v>
      </c>
      <c r="H9" s="134">
        <v>11.92</v>
      </c>
      <c r="I9" s="134">
        <v>9.32</v>
      </c>
      <c r="J9" s="134">
        <v>0.12</v>
      </c>
      <c r="K9" s="134">
        <v>211.86</v>
      </c>
      <c r="L9" s="134">
        <v>24.33</v>
      </c>
      <c r="M9" s="134">
        <v>100.4</v>
      </c>
      <c r="N9" s="134">
        <v>0</v>
      </c>
      <c r="O9" s="134">
        <v>0</v>
      </c>
      <c r="P9" s="134">
        <v>0.55000000000000004</v>
      </c>
      <c r="Q9" s="134">
        <v>4.75</v>
      </c>
    </row>
    <row r="10" spans="1:21" customFormat="1">
      <c r="A10" s="112" t="s">
        <v>1967</v>
      </c>
      <c r="B10" s="134">
        <v>12.73</v>
      </c>
      <c r="C10" s="134">
        <v>18.77</v>
      </c>
      <c r="D10" s="134">
        <v>21.37</v>
      </c>
      <c r="E10" s="134">
        <v>2.67</v>
      </c>
      <c r="F10" s="134">
        <v>4.1900000000000004</v>
      </c>
      <c r="G10" s="134">
        <v>20.34</v>
      </c>
      <c r="H10" s="134">
        <v>11.92</v>
      </c>
      <c r="I10" s="134">
        <v>9.3000000000000007</v>
      </c>
      <c r="J10" s="134">
        <v>0.14000000000000001</v>
      </c>
      <c r="K10" s="134">
        <v>189.46</v>
      </c>
      <c r="L10" s="134">
        <v>24.48</v>
      </c>
      <c r="M10" s="134">
        <v>100.4</v>
      </c>
      <c r="N10" s="134">
        <v>0</v>
      </c>
      <c r="O10" s="134">
        <v>0</v>
      </c>
      <c r="P10" s="134">
        <v>0.53</v>
      </c>
      <c r="Q10" s="134">
        <v>4.7</v>
      </c>
    </row>
    <row r="11" spans="1:21" customFormat="1">
      <c r="A11" s="112" t="s">
        <v>1968</v>
      </c>
      <c r="B11" s="134">
        <v>12.82</v>
      </c>
      <c r="C11" s="134">
        <v>21.12</v>
      </c>
      <c r="D11" s="134">
        <v>22.66</v>
      </c>
      <c r="E11" s="134">
        <v>2.99</v>
      </c>
      <c r="F11" s="134">
        <v>2.2400000000000002</v>
      </c>
      <c r="G11" s="134">
        <v>20.34</v>
      </c>
      <c r="H11" s="134">
        <v>11.92</v>
      </c>
      <c r="I11" s="134">
        <v>9.02</v>
      </c>
      <c r="J11" s="134">
        <v>0.14000000000000001</v>
      </c>
      <c r="K11" s="134">
        <v>171.25</v>
      </c>
      <c r="L11" s="134">
        <v>24.68</v>
      </c>
      <c r="M11" s="134">
        <v>100.42</v>
      </c>
      <c r="N11" s="134">
        <v>0</v>
      </c>
      <c r="O11" s="134">
        <v>0</v>
      </c>
      <c r="P11" s="134">
        <v>0.56999999999999995</v>
      </c>
      <c r="Q11" s="134">
        <v>4.79</v>
      </c>
    </row>
    <row r="12" spans="1:21" customFormat="1">
      <c r="A12" s="112" t="s">
        <v>1969</v>
      </c>
      <c r="B12" s="134">
        <v>12.03</v>
      </c>
      <c r="C12" s="134">
        <v>22.71</v>
      </c>
      <c r="D12" s="134">
        <v>22.86</v>
      </c>
      <c r="E12" s="134">
        <v>3.13</v>
      </c>
      <c r="F12" s="134">
        <v>2.0699999999999998</v>
      </c>
      <c r="G12" s="134">
        <v>19.989999999999998</v>
      </c>
      <c r="H12" s="134">
        <v>12.02</v>
      </c>
      <c r="I12" s="134">
        <v>8.98</v>
      </c>
      <c r="J12" s="134">
        <v>0.09</v>
      </c>
      <c r="K12" s="134">
        <v>240.64</v>
      </c>
      <c r="L12" s="134">
        <v>24.71</v>
      </c>
      <c r="M12" s="134">
        <v>100.43</v>
      </c>
      <c r="N12" s="134">
        <v>0</v>
      </c>
      <c r="O12" s="134">
        <v>0.4</v>
      </c>
      <c r="P12" s="134">
        <v>0.61</v>
      </c>
      <c r="Q12" s="134">
        <v>4.84</v>
      </c>
    </row>
    <row r="13" spans="1:21" customFormat="1">
      <c r="A13" s="112" t="s">
        <v>1970</v>
      </c>
      <c r="B13" s="134">
        <v>11.68</v>
      </c>
      <c r="C13" s="134">
        <v>22.63</v>
      </c>
      <c r="D13" s="134">
        <v>22.54</v>
      </c>
      <c r="E13" s="134">
        <v>2.94</v>
      </c>
      <c r="F13" s="134">
        <v>2.38</v>
      </c>
      <c r="G13" s="134">
        <v>17.25</v>
      </c>
      <c r="H13" s="134">
        <v>12.63</v>
      </c>
      <c r="I13" s="134">
        <v>9.0299999999999994</v>
      </c>
      <c r="J13" s="134">
        <v>0.12</v>
      </c>
      <c r="K13" s="134">
        <v>235.36</v>
      </c>
      <c r="L13" s="134">
        <v>24.74</v>
      </c>
      <c r="M13" s="134">
        <v>100.44</v>
      </c>
      <c r="N13" s="134">
        <v>0</v>
      </c>
      <c r="O13" s="134">
        <v>0</v>
      </c>
      <c r="P13" s="134">
        <v>0.59</v>
      </c>
      <c r="Q13" s="134">
        <v>4.8</v>
      </c>
    </row>
    <row r="14" spans="1:21" customFormat="1">
      <c r="A14" s="112" t="s">
        <v>1971</v>
      </c>
      <c r="B14" s="134">
        <v>11.91</v>
      </c>
      <c r="C14" s="134">
        <v>19.28</v>
      </c>
      <c r="D14" s="134">
        <v>20.98</v>
      </c>
      <c r="E14" s="134">
        <v>2.81</v>
      </c>
      <c r="F14" s="134">
        <v>3.4</v>
      </c>
      <c r="G14" s="134">
        <v>17.25</v>
      </c>
      <c r="H14" s="134">
        <v>12.63</v>
      </c>
      <c r="I14" s="134">
        <v>8.7799999999999994</v>
      </c>
      <c r="J14" s="134">
        <v>0.14000000000000001</v>
      </c>
      <c r="K14" s="134">
        <v>196.96</v>
      </c>
      <c r="L14" s="134">
        <v>24.72</v>
      </c>
      <c r="M14" s="134">
        <v>100.45</v>
      </c>
      <c r="N14" s="134">
        <v>0</v>
      </c>
      <c r="O14" s="134">
        <v>0</v>
      </c>
      <c r="P14" s="134">
        <v>0.53</v>
      </c>
      <c r="Q14" s="134">
        <v>4.7</v>
      </c>
    </row>
    <row r="15" spans="1:21" customFormat="1">
      <c r="A15" s="112" t="s">
        <v>1972</v>
      </c>
      <c r="B15" s="134">
        <v>12.06</v>
      </c>
      <c r="C15" s="134">
        <v>18.18</v>
      </c>
      <c r="D15" s="134">
        <v>20.52</v>
      </c>
      <c r="E15" s="134">
        <v>2.3199999999999998</v>
      </c>
      <c r="F15" s="134">
        <v>3.43</v>
      </c>
      <c r="G15" s="134">
        <v>17.25</v>
      </c>
      <c r="H15" s="134">
        <v>12.63</v>
      </c>
      <c r="I15" s="134">
        <v>8.56</v>
      </c>
      <c r="J15" s="134">
        <v>0.2</v>
      </c>
      <c r="K15" s="134">
        <v>266.79000000000002</v>
      </c>
      <c r="L15" s="134">
        <v>24.56</v>
      </c>
      <c r="M15" s="134">
        <v>100.47</v>
      </c>
      <c r="N15" s="134">
        <v>0</v>
      </c>
      <c r="O15" s="134">
        <v>0.2</v>
      </c>
      <c r="P15" s="134">
        <v>0.51</v>
      </c>
      <c r="Q15" s="134">
        <v>4.6100000000000003</v>
      </c>
    </row>
    <row r="16" spans="1:21" customFormat="1">
      <c r="A16" s="112" t="s">
        <v>1973</v>
      </c>
      <c r="B16" s="134">
        <v>12</v>
      </c>
      <c r="C16" s="134">
        <v>17.739999999999998</v>
      </c>
      <c r="D16" s="134">
        <v>20.239999999999998</v>
      </c>
      <c r="E16" s="134">
        <v>2.2799999999999998</v>
      </c>
      <c r="F16" s="134">
        <v>3.94</v>
      </c>
      <c r="G16" s="134">
        <v>17.09</v>
      </c>
      <c r="H16" s="134">
        <v>12.48</v>
      </c>
      <c r="I16" s="134">
        <v>8.34</v>
      </c>
      <c r="J16" s="134">
        <v>0.17</v>
      </c>
      <c r="K16" s="134">
        <v>255.93</v>
      </c>
      <c r="L16" s="134">
        <v>24.48</v>
      </c>
      <c r="M16" s="134">
        <v>100.48</v>
      </c>
      <c r="N16" s="134">
        <v>0</v>
      </c>
      <c r="O16" s="134">
        <v>0</v>
      </c>
      <c r="P16" s="134">
        <v>0.49</v>
      </c>
      <c r="Q16" s="134">
        <v>4.62</v>
      </c>
    </row>
    <row r="17" spans="1:17" customFormat="1">
      <c r="A17" s="112" t="s">
        <v>1974</v>
      </c>
      <c r="B17" s="134">
        <v>12.01</v>
      </c>
      <c r="C17" s="134">
        <v>19.82</v>
      </c>
      <c r="D17" s="134">
        <v>21.34</v>
      </c>
      <c r="E17" s="134">
        <v>2.7</v>
      </c>
      <c r="F17" s="134">
        <v>2.2000000000000002</v>
      </c>
      <c r="G17" s="134">
        <v>15.8</v>
      </c>
      <c r="H17" s="134">
        <v>11.56</v>
      </c>
      <c r="I17" s="134">
        <v>8.17</v>
      </c>
      <c r="J17" s="134">
        <v>0.14000000000000001</v>
      </c>
      <c r="K17" s="134">
        <v>236.11</v>
      </c>
      <c r="L17" s="134">
        <v>24.59</v>
      </c>
      <c r="M17" s="134">
        <v>100.48</v>
      </c>
      <c r="N17" s="134">
        <v>0</v>
      </c>
      <c r="O17" s="134">
        <v>0</v>
      </c>
      <c r="P17" s="134">
        <v>0.52</v>
      </c>
      <c r="Q17" s="134">
        <v>4.67</v>
      </c>
    </row>
    <row r="18" spans="1:17" customFormat="1">
      <c r="A18" s="112" t="s">
        <v>1975</v>
      </c>
      <c r="B18" s="134">
        <v>12.19</v>
      </c>
      <c r="C18" s="134">
        <v>20.91</v>
      </c>
      <c r="D18" s="134">
        <v>22.06</v>
      </c>
      <c r="E18" s="134">
        <v>3.68</v>
      </c>
      <c r="F18" s="134">
        <v>1.88</v>
      </c>
      <c r="G18" s="134">
        <v>15.8</v>
      </c>
      <c r="H18" s="134">
        <v>11.56</v>
      </c>
      <c r="I18" s="134">
        <v>7.98</v>
      </c>
      <c r="J18" s="134">
        <v>0.11</v>
      </c>
      <c r="K18" s="134">
        <v>248.52</v>
      </c>
      <c r="L18" s="134">
        <v>24.63</v>
      </c>
      <c r="M18" s="134">
        <v>100.49</v>
      </c>
      <c r="N18" s="134">
        <v>0</v>
      </c>
      <c r="O18" s="134">
        <v>0</v>
      </c>
      <c r="P18" s="134">
        <v>0.53</v>
      </c>
      <c r="Q18" s="134">
        <v>4.7</v>
      </c>
    </row>
    <row r="19" spans="1:17" customFormat="1">
      <c r="A19" s="112" t="s">
        <v>1976</v>
      </c>
      <c r="B19" s="134">
        <v>12.32</v>
      </c>
      <c r="C19" s="134">
        <v>18.86</v>
      </c>
      <c r="D19" s="134">
        <v>21.08</v>
      </c>
      <c r="E19" s="134">
        <v>4.18</v>
      </c>
      <c r="F19" s="134">
        <v>3.09</v>
      </c>
      <c r="G19" s="134">
        <v>15.8</v>
      </c>
      <c r="H19" s="134">
        <v>11.56</v>
      </c>
      <c r="I19" s="134">
        <v>8.06</v>
      </c>
      <c r="J19" s="134">
        <v>0.11</v>
      </c>
      <c r="K19" s="134">
        <v>205.26</v>
      </c>
      <c r="L19" s="134">
        <v>24.67</v>
      </c>
      <c r="M19" s="134">
        <v>100.5</v>
      </c>
      <c r="N19" s="134">
        <v>0</v>
      </c>
      <c r="O19" s="134">
        <v>0</v>
      </c>
      <c r="P19" s="134">
        <v>0.51</v>
      </c>
      <c r="Q19" s="134">
        <v>4.68</v>
      </c>
    </row>
    <row r="20" spans="1:17" customFormat="1">
      <c r="A20" s="112" t="s">
        <v>1977</v>
      </c>
      <c r="B20" s="134">
        <v>12.07</v>
      </c>
      <c r="C20" s="134">
        <v>17.32</v>
      </c>
      <c r="D20" s="134">
        <v>20.079999999999998</v>
      </c>
      <c r="E20" s="134">
        <v>3.47</v>
      </c>
      <c r="F20" s="134">
        <v>4.41</v>
      </c>
      <c r="G20" s="134">
        <v>15.34</v>
      </c>
      <c r="H20" s="134">
        <v>11.32</v>
      </c>
      <c r="I20" s="134">
        <v>7.97</v>
      </c>
      <c r="J20" s="134">
        <v>0.19</v>
      </c>
      <c r="K20" s="134">
        <v>262.12</v>
      </c>
      <c r="L20" s="134">
        <v>24.69</v>
      </c>
      <c r="M20" s="134">
        <v>100.5</v>
      </c>
      <c r="N20" s="134">
        <v>0</v>
      </c>
      <c r="O20" s="134">
        <v>0</v>
      </c>
      <c r="P20" s="134">
        <v>0.49</v>
      </c>
      <c r="Q20" s="134">
        <v>4.6399999999999997</v>
      </c>
    </row>
    <row r="21" spans="1:17" customFormat="1">
      <c r="A21" s="112" t="s">
        <v>1978</v>
      </c>
      <c r="B21" s="134">
        <v>12.28</v>
      </c>
      <c r="C21" s="134">
        <v>19.29</v>
      </c>
      <c r="D21" s="134">
        <v>21.28</v>
      </c>
      <c r="E21" s="134">
        <v>3.81</v>
      </c>
      <c r="F21" s="134">
        <v>2.61</v>
      </c>
      <c r="G21" s="134">
        <v>11.69</v>
      </c>
      <c r="H21" s="134">
        <v>9.75</v>
      </c>
      <c r="I21" s="134">
        <v>7.74</v>
      </c>
      <c r="J21" s="134">
        <v>0.05</v>
      </c>
      <c r="K21" s="134">
        <v>235.12</v>
      </c>
      <c r="L21" s="134">
        <v>24.78</v>
      </c>
      <c r="M21" s="134">
        <v>100.5</v>
      </c>
      <c r="N21" s="134">
        <v>0</v>
      </c>
      <c r="O21" s="134">
        <v>0</v>
      </c>
      <c r="P21" s="134">
        <v>0.52</v>
      </c>
      <c r="Q21" s="134">
        <v>4.67</v>
      </c>
    </row>
    <row r="22" spans="1:17" customFormat="1">
      <c r="A22" s="112" t="s">
        <v>1979</v>
      </c>
      <c r="B22" s="134">
        <v>12.7</v>
      </c>
      <c r="C22" s="134">
        <v>20.96</v>
      </c>
      <c r="D22" s="134">
        <v>22.49</v>
      </c>
      <c r="E22" s="134">
        <v>4.3</v>
      </c>
      <c r="F22" s="134">
        <v>1.82</v>
      </c>
      <c r="G22" s="134">
        <v>11.69</v>
      </c>
      <c r="H22" s="134">
        <v>9.75</v>
      </c>
      <c r="I22" s="134">
        <v>7.51</v>
      </c>
      <c r="J22" s="134">
        <v>0.15</v>
      </c>
      <c r="K22" s="134">
        <v>236.55</v>
      </c>
      <c r="L22" s="134">
        <v>24.83</v>
      </c>
      <c r="M22" s="134">
        <v>100.52</v>
      </c>
      <c r="N22" s="134">
        <v>0</v>
      </c>
      <c r="O22" s="134">
        <v>0</v>
      </c>
      <c r="P22" s="134">
        <v>0.54</v>
      </c>
      <c r="Q22" s="134">
        <v>4.74</v>
      </c>
    </row>
    <row r="23" spans="1:17" customFormat="1">
      <c r="A23" s="112" t="s">
        <v>1980</v>
      </c>
      <c r="B23" s="134">
        <v>12.71</v>
      </c>
      <c r="C23" s="134">
        <v>19.05</v>
      </c>
      <c r="D23" s="134">
        <v>21.5</v>
      </c>
      <c r="E23" s="134">
        <v>4.16</v>
      </c>
      <c r="F23" s="134">
        <v>2.93</v>
      </c>
      <c r="G23" s="134">
        <v>11.69</v>
      </c>
      <c r="H23" s="134">
        <v>9.75</v>
      </c>
      <c r="I23" s="134">
        <v>7.67</v>
      </c>
      <c r="J23" s="134">
        <v>0.13</v>
      </c>
      <c r="K23" s="134">
        <v>218.32</v>
      </c>
      <c r="L23" s="134">
        <v>24.94</v>
      </c>
      <c r="M23" s="134">
        <v>100.53</v>
      </c>
      <c r="N23" s="134">
        <v>0</v>
      </c>
      <c r="O23" s="134">
        <v>0</v>
      </c>
      <c r="P23" s="134">
        <v>0.56000000000000005</v>
      </c>
      <c r="Q23" s="134">
        <v>4.7</v>
      </c>
    </row>
    <row r="24" spans="1:17" customFormat="1">
      <c r="A24" s="112" t="s">
        <v>1981</v>
      </c>
      <c r="B24" s="134">
        <v>12.39</v>
      </c>
      <c r="C24" s="134">
        <v>17.63</v>
      </c>
      <c r="D24" s="134">
        <v>20.49</v>
      </c>
      <c r="E24" s="134">
        <v>4.1900000000000004</v>
      </c>
      <c r="F24" s="134">
        <v>3.49</v>
      </c>
      <c r="G24" s="134">
        <v>12.23</v>
      </c>
      <c r="H24" s="134">
        <v>9.7899999999999991</v>
      </c>
      <c r="I24" s="134">
        <v>7.82</v>
      </c>
      <c r="J24" s="134">
        <v>0.14000000000000001</v>
      </c>
      <c r="K24" s="134">
        <v>234.7</v>
      </c>
      <c r="L24" s="134">
        <v>24.95</v>
      </c>
      <c r="M24" s="134">
        <v>100.53</v>
      </c>
      <c r="N24" s="134">
        <v>0</v>
      </c>
      <c r="O24" s="134">
        <v>0</v>
      </c>
      <c r="P24" s="134">
        <v>0.56999999999999995</v>
      </c>
      <c r="Q24" s="134">
        <v>4.67</v>
      </c>
    </row>
    <row r="25" spans="1:17" customFormat="1">
      <c r="A25" s="112" t="s">
        <v>1982</v>
      </c>
      <c r="B25" s="134">
        <v>12.8</v>
      </c>
      <c r="C25" s="134">
        <v>20.399999999999999</v>
      </c>
      <c r="D25" s="134">
        <v>22.27</v>
      </c>
      <c r="E25" s="134">
        <v>3.99</v>
      </c>
      <c r="F25" s="134">
        <v>1.91</v>
      </c>
      <c r="G25" s="134">
        <v>16.52</v>
      </c>
      <c r="H25" s="134">
        <v>10.029999999999999</v>
      </c>
      <c r="I25" s="134">
        <v>7.88</v>
      </c>
      <c r="J25" s="134">
        <v>0.28000000000000003</v>
      </c>
      <c r="K25" s="134">
        <v>259.92</v>
      </c>
      <c r="L25" s="134">
        <v>24.9</v>
      </c>
      <c r="M25" s="134">
        <v>100.53</v>
      </c>
      <c r="N25" s="134">
        <v>0</v>
      </c>
      <c r="O25" s="134">
        <v>0</v>
      </c>
      <c r="P25" s="134">
        <v>0.59</v>
      </c>
      <c r="Q25" s="134">
        <v>4.7300000000000004</v>
      </c>
    </row>
    <row r="26" spans="1:17" customFormat="1">
      <c r="A26" s="112" t="s">
        <v>1983</v>
      </c>
      <c r="B26" s="134">
        <v>13.08</v>
      </c>
      <c r="C26" s="134">
        <v>20.6</v>
      </c>
      <c r="D26" s="134">
        <v>22.61</v>
      </c>
      <c r="E26" s="134">
        <v>4.59</v>
      </c>
      <c r="F26" s="134">
        <v>2.0299999999999998</v>
      </c>
      <c r="G26" s="134">
        <v>16.52</v>
      </c>
      <c r="H26" s="134">
        <v>10.029999999999999</v>
      </c>
      <c r="I26" s="134">
        <v>7.96</v>
      </c>
      <c r="J26" s="134">
        <v>0.25</v>
      </c>
      <c r="K26" s="134">
        <v>260.45</v>
      </c>
      <c r="L26" s="134">
        <v>24.87</v>
      </c>
      <c r="M26" s="134">
        <v>100.53</v>
      </c>
      <c r="N26" s="134">
        <v>0</v>
      </c>
      <c r="O26" s="134">
        <v>0</v>
      </c>
      <c r="P26" s="134">
        <v>0.6</v>
      </c>
      <c r="Q26" s="134">
        <v>4.79</v>
      </c>
    </row>
    <row r="27" spans="1:17" customFormat="1">
      <c r="A27" s="112" t="s">
        <v>1984</v>
      </c>
      <c r="B27" s="134">
        <v>13.12</v>
      </c>
      <c r="C27" s="134">
        <v>18.510000000000002</v>
      </c>
      <c r="D27" s="134">
        <v>21.54</v>
      </c>
      <c r="E27" s="134">
        <v>4.26</v>
      </c>
      <c r="F27" s="134">
        <v>3.23</v>
      </c>
      <c r="G27" s="134">
        <v>16.52</v>
      </c>
      <c r="H27" s="134">
        <v>10.029999999999999</v>
      </c>
      <c r="I27" s="134">
        <v>8.02</v>
      </c>
      <c r="J27" s="134">
        <v>0.33</v>
      </c>
      <c r="K27" s="134">
        <v>259.76</v>
      </c>
      <c r="L27" s="134">
        <v>24.82</v>
      </c>
      <c r="M27" s="134">
        <v>100.54</v>
      </c>
      <c r="N27" s="134">
        <v>0</v>
      </c>
      <c r="O27" s="134">
        <v>0</v>
      </c>
      <c r="P27" s="134">
        <v>0.57999999999999996</v>
      </c>
      <c r="Q27" s="134">
        <v>4.74</v>
      </c>
    </row>
    <row r="28" spans="1:17" customFormat="1">
      <c r="A28" s="112" t="s">
        <v>1985</v>
      </c>
      <c r="B28" s="134">
        <v>12.92</v>
      </c>
      <c r="C28" s="134">
        <v>17.2</v>
      </c>
      <c r="D28" s="134">
        <v>20.7</v>
      </c>
      <c r="E28" s="134">
        <v>4.1500000000000004</v>
      </c>
      <c r="F28" s="134">
        <v>3.97</v>
      </c>
      <c r="G28" s="134">
        <v>16.600000000000001</v>
      </c>
      <c r="H28" s="134">
        <v>10.19</v>
      </c>
      <c r="I28" s="134">
        <v>7.98</v>
      </c>
      <c r="J28" s="134">
        <v>0.12</v>
      </c>
      <c r="K28" s="134">
        <v>217.01</v>
      </c>
      <c r="L28" s="134">
        <v>24.85</v>
      </c>
      <c r="M28" s="134">
        <v>100.58</v>
      </c>
      <c r="N28" s="134">
        <v>0</v>
      </c>
      <c r="O28" s="134">
        <v>0</v>
      </c>
      <c r="P28" s="134">
        <v>0.56000000000000005</v>
      </c>
      <c r="Q28" s="134">
        <v>4.68</v>
      </c>
    </row>
    <row r="29" spans="1:17" customFormat="1">
      <c r="A29" s="112" t="s">
        <v>1986</v>
      </c>
      <c r="B29" s="134">
        <v>13.09</v>
      </c>
      <c r="C29" s="134">
        <v>19.61</v>
      </c>
      <c r="D29" s="134">
        <v>22.1</v>
      </c>
      <c r="E29" s="134">
        <v>4.57</v>
      </c>
      <c r="F29" s="134">
        <v>2.44</v>
      </c>
      <c r="G29" s="134">
        <v>17.2</v>
      </c>
      <c r="H29" s="134">
        <v>11.19</v>
      </c>
      <c r="I29" s="134">
        <v>7.82</v>
      </c>
      <c r="J29" s="134">
        <v>0.12</v>
      </c>
      <c r="K29" s="134">
        <v>155.37</v>
      </c>
      <c r="L29" s="134">
        <v>24.8</v>
      </c>
      <c r="M29" s="134">
        <v>100.58</v>
      </c>
      <c r="N29" s="134">
        <v>0</v>
      </c>
      <c r="O29" s="134">
        <v>0</v>
      </c>
      <c r="P29" s="134">
        <v>0.59</v>
      </c>
      <c r="Q29" s="134">
        <v>4.7300000000000004</v>
      </c>
    </row>
    <row r="30" spans="1:17" customFormat="1">
      <c r="A30" s="112" t="s">
        <v>1987</v>
      </c>
      <c r="B30" s="134">
        <v>13.33</v>
      </c>
      <c r="C30" s="134">
        <v>21.12</v>
      </c>
      <c r="D30" s="134">
        <v>23.08</v>
      </c>
      <c r="E30" s="134">
        <v>4.93</v>
      </c>
      <c r="F30" s="134">
        <v>1.78</v>
      </c>
      <c r="G30" s="134">
        <v>17.2</v>
      </c>
      <c r="H30" s="134">
        <v>11.19</v>
      </c>
      <c r="I30" s="134">
        <v>7.67</v>
      </c>
      <c r="J30" s="134">
        <v>0.09</v>
      </c>
      <c r="K30" s="134">
        <v>156.59</v>
      </c>
      <c r="L30" s="134">
        <v>24.9</v>
      </c>
      <c r="M30" s="134">
        <v>100.6</v>
      </c>
      <c r="N30" s="134">
        <v>0</v>
      </c>
      <c r="O30" s="134">
        <v>0</v>
      </c>
      <c r="P30" s="134">
        <v>0.61</v>
      </c>
      <c r="Q30" s="134">
        <v>4.82</v>
      </c>
    </row>
    <row r="31" spans="1:17" customFormat="1">
      <c r="A31" s="112" t="s">
        <v>1988</v>
      </c>
      <c r="B31" s="134">
        <v>13.47</v>
      </c>
      <c r="C31" s="134">
        <v>19.02</v>
      </c>
      <c r="D31" s="134">
        <v>22.09</v>
      </c>
      <c r="E31" s="134">
        <v>4.43</v>
      </c>
      <c r="F31" s="134">
        <v>2.96</v>
      </c>
      <c r="G31" s="134">
        <v>17.2</v>
      </c>
      <c r="H31" s="134">
        <v>11.19</v>
      </c>
      <c r="I31" s="134">
        <v>7.8</v>
      </c>
      <c r="J31" s="134">
        <v>0.12</v>
      </c>
      <c r="K31" s="134">
        <v>193.75</v>
      </c>
      <c r="L31" s="134">
        <v>24.84</v>
      </c>
      <c r="M31" s="134">
        <v>100.46</v>
      </c>
      <c r="N31" s="134">
        <v>0</v>
      </c>
      <c r="O31" s="134">
        <v>0</v>
      </c>
      <c r="P31" s="134">
        <v>0.59</v>
      </c>
      <c r="Q31" s="134">
        <v>4.75</v>
      </c>
    </row>
    <row r="32" spans="1:17" customFormat="1">
      <c r="A32" s="112" t="s">
        <v>1989</v>
      </c>
      <c r="B32" s="134">
        <v>13.35</v>
      </c>
      <c r="C32" s="134">
        <v>18.760000000000002</v>
      </c>
      <c r="D32" s="134">
        <v>21.86</v>
      </c>
      <c r="E32" s="134">
        <v>3.94</v>
      </c>
      <c r="F32" s="134">
        <v>3.02</v>
      </c>
      <c r="G32" s="134">
        <v>17.170000000000002</v>
      </c>
      <c r="H32" s="134">
        <v>10.79</v>
      </c>
      <c r="I32" s="134">
        <v>7.74</v>
      </c>
      <c r="J32" s="134">
        <v>0.09</v>
      </c>
      <c r="K32" s="134">
        <v>260.98</v>
      </c>
      <c r="L32" s="134">
        <v>24.91</v>
      </c>
      <c r="M32" s="134">
        <v>100.35</v>
      </c>
      <c r="N32" s="134">
        <v>0.8</v>
      </c>
      <c r="O32" s="134">
        <v>0</v>
      </c>
      <c r="P32" s="134">
        <v>0.6</v>
      </c>
      <c r="Q32" s="134">
        <v>4.75</v>
      </c>
    </row>
    <row r="33" spans="1:17" customFormat="1">
      <c r="A33" s="112" t="s">
        <v>1990</v>
      </c>
      <c r="B33" s="134">
        <v>12.5</v>
      </c>
      <c r="C33" s="134">
        <v>20.149999999999999</v>
      </c>
      <c r="D33" s="134">
        <v>21.9</v>
      </c>
      <c r="E33" s="134">
        <v>4.3499999999999996</v>
      </c>
      <c r="F33" s="134">
        <v>2.71</v>
      </c>
      <c r="G33" s="134">
        <v>16.89</v>
      </c>
      <c r="H33" s="134">
        <v>8.19</v>
      </c>
      <c r="I33" s="134">
        <v>7.59</v>
      </c>
      <c r="J33" s="134">
        <v>0.11</v>
      </c>
      <c r="K33" s="134">
        <v>256.58999999999997</v>
      </c>
      <c r="L33" s="134">
        <v>24.92</v>
      </c>
      <c r="M33" s="134">
        <v>100.35</v>
      </c>
      <c r="N33" s="134">
        <v>5.8</v>
      </c>
      <c r="O33" s="134">
        <v>0</v>
      </c>
      <c r="P33" s="134">
        <v>0.63</v>
      </c>
      <c r="Q33" s="134">
        <v>4.75</v>
      </c>
    </row>
    <row r="34" spans="1:17" customFormat="1">
      <c r="A34" s="112" t="s">
        <v>1991</v>
      </c>
      <c r="B34" s="134">
        <v>12.27</v>
      </c>
      <c r="C34" s="134">
        <v>20.149999999999999</v>
      </c>
      <c r="D34" s="134">
        <v>21.72</v>
      </c>
      <c r="E34" s="134">
        <v>4</v>
      </c>
      <c r="F34" s="134">
        <v>2.69</v>
      </c>
      <c r="G34" s="134">
        <v>16.89</v>
      </c>
      <c r="H34" s="134">
        <v>8.19</v>
      </c>
      <c r="I34" s="134">
        <v>7.55</v>
      </c>
      <c r="J34" s="134">
        <v>0.14000000000000001</v>
      </c>
      <c r="K34" s="134">
        <v>257.69</v>
      </c>
      <c r="L34" s="134">
        <v>24.99</v>
      </c>
      <c r="M34" s="134">
        <v>100.37</v>
      </c>
      <c r="N34" s="134">
        <v>7.8</v>
      </c>
      <c r="O34" s="134">
        <v>0</v>
      </c>
      <c r="P34" s="134">
        <v>0.61</v>
      </c>
      <c r="Q34" s="134">
        <v>4.71</v>
      </c>
    </row>
    <row r="35" spans="1:17" customFormat="1">
      <c r="A35" s="112" t="s">
        <v>1992</v>
      </c>
      <c r="B35" s="134">
        <v>12.32</v>
      </c>
      <c r="C35" s="134">
        <v>18.329999999999998</v>
      </c>
      <c r="D35" s="134">
        <v>20.8</v>
      </c>
      <c r="E35" s="134">
        <v>3.23</v>
      </c>
      <c r="F35" s="134">
        <v>3.31</v>
      </c>
      <c r="G35" s="134">
        <v>16.89</v>
      </c>
      <c r="H35" s="134">
        <v>8.19</v>
      </c>
      <c r="I35" s="134">
        <v>7.49</v>
      </c>
      <c r="J35" s="134">
        <v>0.13</v>
      </c>
      <c r="K35" s="134">
        <v>260.08</v>
      </c>
      <c r="L35" s="134">
        <v>25.06</v>
      </c>
      <c r="M35" s="134">
        <v>100.38</v>
      </c>
      <c r="N35" s="134">
        <v>20</v>
      </c>
      <c r="O35" s="134">
        <v>0</v>
      </c>
      <c r="P35" s="134">
        <v>0.59</v>
      </c>
      <c r="Q35" s="134">
        <v>4.6900000000000004</v>
      </c>
    </row>
    <row r="36" spans="1:17" customFormat="1">
      <c r="A36" s="112" t="s">
        <v>1993</v>
      </c>
      <c r="B36" s="134">
        <v>12.08</v>
      </c>
      <c r="C36" s="134">
        <v>17.190000000000001</v>
      </c>
      <c r="D36" s="134">
        <v>20.02</v>
      </c>
      <c r="E36" s="134">
        <v>2.94</v>
      </c>
      <c r="F36" s="134">
        <v>4.32</v>
      </c>
      <c r="G36" s="134">
        <v>17</v>
      </c>
      <c r="H36" s="134">
        <v>9.5299999999999994</v>
      </c>
      <c r="I36" s="134">
        <v>7.49</v>
      </c>
      <c r="J36" s="134">
        <v>0.06</v>
      </c>
      <c r="K36" s="134">
        <v>261.25</v>
      </c>
      <c r="L36" s="134">
        <v>25.14</v>
      </c>
      <c r="M36" s="134">
        <v>100.4</v>
      </c>
      <c r="N36" s="134">
        <v>11.4</v>
      </c>
      <c r="O36" s="134">
        <v>0</v>
      </c>
      <c r="P36" s="134">
        <v>0.56999999999999995</v>
      </c>
      <c r="Q36" s="134">
        <v>4.68</v>
      </c>
    </row>
    <row r="37" spans="1:17" customFormat="1">
      <c r="A37" s="112" t="s">
        <v>1994</v>
      </c>
      <c r="B37" s="134">
        <v>12.17</v>
      </c>
      <c r="C37" s="134">
        <v>18.39</v>
      </c>
      <c r="D37" s="134">
        <v>20.72</v>
      </c>
      <c r="E37" s="134">
        <v>3.41</v>
      </c>
      <c r="F37" s="134">
        <v>3.47</v>
      </c>
      <c r="G37" s="134">
        <v>17.850000000000001</v>
      </c>
      <c r="H37" s="134">
        <v>18</v>
      </c>
      <c r="I37" s="134">
        <v>7.5</v>
      </c>
      <c r="J37" s="134">
        <v>0.19</v>
      </c>
      <c r="K37" s="134">
        <v>260.24</v>
      </c>
      <c r="L37" s="134">
        <v>25.18</v>
      </c>
      <c r="M37" s="134">
        <v>100.41</v>
      </c>
      <c r="N37" s="134">
        <v>42.4</v>
      </c>
      <c r="O37" s="134">
        <v>0</v>
      </c>
      <c r="P37" s="134">
        <v>0.59</v>
      </c>
      <c r="Q37" s="134">
        <v>4.6900000000000004</v>
      </c>
    </row>
    <row r="38" spans="1:17" customFormat="1">
      <c r="A38" s="112" t="s">
        <v>1995</v>
      </c>
      <c r="B38" s="134">
        <v>12.66</v>
      </c>
      <c r="C38" s="134">
        <v>20.71</v>
      </c>
      <c r="D38" s="134">
        <v>22.33</v>
      </c>
      <c r="E38" s="134">
        <v>4.29</v>
      </c>
      <c r="F38" s="134">
        <v>1.88</v>
      </c>
      <c r="G38" s="134">
        <v>17.850000000000001</v>
      </c>
      <c r="H38" s="134">
        <v>18</v>
      </c>
      <c r="I38" s="134">
        <v>7.52</v>
      </c>
      <c r="J38" s="134">
        <v>0.21</v>
      </c>
      <c r="K38" s="134">
        <v>259.95</v>
      </c>
      <c r="L38" s="134">
        <v>25.34</v>
      </c>
      <c r="M38" s="134">
        <v>100.43</v>
      </c>
      <c r="N38" s="134">
        <v>62.9</v>
      </c>
      <c r="O38" s="134">
        <v>0</v>
      </c>
      <c r="P38" s="134">
        <v>0.61</v>
      </c>
      <c r="Q38" s="134">
        <v>4.75</v>
      </c>
    </row>
    <row r="39" spans="1:17" customFormat="1">
      <c r="A39" s="112" t="s">
        <v>1996</v>
      </c>
      <c r="B39" s="134">
        <v>12.72</v>
      </c>
      <c r="C39" s="134">
        <v>19.09</v>
      </c>
      <c r="D39" s="134">
        <v>21.53</v>
      </c>
      <c r="E39" s="134">
        <v>4.28</v>
      </c>
      <c r="F39" s="134">
        <v>2.89</v>
      </c>
      <c r="G39" s="134">
        <v>17.850000000000001</v>
      </c>
      <c r="H39" s="134">
        <v>18</v>
      </c>
      <c r="I39" s="134">
        <v>7.56</v>
      </c>
      <c r="J39" s="134">
        <v>7.0000000000000007E-2</v>
      </c>
      <c r="K39" s="134">
        <v>266.64</v>
      </c>
      <c r="L39" s="134">
        <v>25.57</v>
      </c>
      <c r="M39" s="134">
        <v>100.39</v>
      </c>
      <c r="N39" s="134">
        <v>59.1</v>
      </c>
      <c r="O39" s="134">
        <v>0</v>
      </c>
      <c r="P39" s="134">
        <v>0.59</v>
      </c>
      <c r="Q39" s="134">
        <v>4.7300000000000004</v>
      </c>
    </row>
    <row r="40" spans="1:17" customFormat="1">
      <c r="A40" s="112" t="s">
        <v>1997</v>
      </c>
      <c r="B40" s="134">
        <v>12.38</v>
      </c>
      <c r="C40" s="134">
        <v>16.989999999999998</v>
      </c>
      <c r="D40" s="134">
        <v>20.149999999999999</v>
      </c>
      <c r="E40" s="134">
        <v>4.01</v>
      </c>
      <c r="F40" s="134">
        <v>4.76</v>
      </c>
      <c r="G40" s="134">
        <v>17.96</v>
      </c>
      <c r="H40" s="134">
        <v>17.46</v>
      </c>
      <c r="I40" s="134">
        <v>7.64</v>
      </c>
      <c r="J40" s="134">
        <v>0.12</v>
      </c>
      <c r="K40" s="134">
        <v>263.05</v>
      </c>
      <c r="L40" s="134">
        <v>25.49</v>
      </c>
      <c r="M40" s="134">
        <v>100.41</v>
      </c>
      <c r="N40" s="134">
        <v>37.5</v>
      </c>
      <c r="O40" s="134">
        <v>0</v>
      </c>
      <c r="P40" s="134">
        <v>0.56999999999999995</v>
      </c>
      <c r="Q40" s="134">
        <v>4.6900000000000004</v>
      </c>
    </row>
    <row r="41" spans="1:17" customFormat="1">
      <c r="A41" s="112" t="s">
        <v>1998</v>
      </c>
      <c r="B41" s="134">
        <v>12.56</v>
      </c>
      <c r="C41" s="134">
        <v>18.57</v>
      </c>
      <c r="D41" s="134">
        <v>21.13</v>
      </c>
      <c r="E41" s="134">
        <v>4.3600000000000003</v>
      </c>
      <c r="F41" s="134">
        <v>3.4</v>
      </c>
      <c r="G41" s="134">
        <v>18.829999999999998</v>
      </c>
      <c r="H41" s="134">
        <v>14.04</v>
      </c>
      <c r="I41" s="134">
        <v>7.5</v>
      </c>
      <c r="J41" s="134">
        <v>0.2</v>
      </c>
      <c r="K41" s="134">
        <v>254.65</v>
      </c>
      <c r="L41" s="134">
        <v>25.34</v>
      </c>
      <c r="M41" s="134">
        <v>100.43</v>
      </c>
      <c r="N41" s="134">
        <v>26.9</v>
      </c>
      <c r="O41" s="134">
        <v>0</v>
      </c>
      <c r="P41" s="134">
        <v>0.59</v>
      </c>
      <c r="Q41" s="134">
        <v>4.6900000000000004</v>
      </c>
    </row>
    <row r="42" spans="1:17" customFormat="1">
      <c r="A42" s="112" t="s">
        <v>1999</v>
      </c>
      <c r="B42" s="134">
        <v>12.83</v>
      </c>
      <c r="C42" s="134">
        <v>20.62</v>
      </c>
      <c r="D42" s="134">
        <v>22.41</v>
      </c>
      <c r="E42" s="134">
        <v>4.68</v>
      </c>
      <c r="F42" s="134">
        <v>2.0699999999999998</v>
      </c>
      <c r="G42" s="134">
        <v>18.829999999999998</v>
      </c>
      <c r="H42" s="134">
        <v>14.04</v>
      </c>
      <c r="I42" s="134">
        <v>7.32</v>
      </c>
      <c r="J42" s="134">
        <v>0.06</v>
      </c>
      <c r="K42" s="134">
        <v>232.38</v>
      </c>
      <c r="L42" s="134">
        <v>25.37</v>
      </c>
      <c r="M42" s="134">
        <v>100.49</v>
      </c>
      <c r="N42" s="134">
        <v>50.1</v>
      </c>
      <c r="O42" s="134">
        <v>0.4</v>
      </c>
      <c r="P42" s="134">
        <v>0.6</v>
      </c>
      <c r="Q42" s="134">
        <v>4.74</v>
      </c>
    </row>
    <row r="43" spans="1:17" customFormat="1">
      <c r="A43" s="112" t="s">
        <v>2000</v>
      </c>
      <c r="B43" s="134">
        <v>12.77</v>
      </c>
      <c r="C43" s="134">
        <v>18.600000000000001</v>
      </c>
      <c r="D43" s="134">
        <v>21.31</v>
      </c>
      <c r="E43" s="134">
        <v>4.26</v>
      </c>
      <c r="F43" s="134">
        <v>3.33</v>
      </c>
      <c r="G43" s="134">
        <v>18.829999999999998</v>
      </c>
      <c r="H43" s="134">
        <v>14.04</v>
      </c>
      <c r="I43" s="134">
        <v>7.41</v>
      </c>
      <c r="J43" s="134">
        <v>0.15</v>
      </c>
      <c r="K43" s="134">
        <v>274.52999999999997</v>
      </c>
      <c r="L43" s="134">
        <v>25.57</v>
      </c>
      <c r="M43" s="134">
        <v>100.52</v>
      </c>
      <c r="N43" s="134">
        <v>133.80000000000001</v>
      </c>
      <c r="O43" s="134">
        <v>0</v>
      </c>
      <c r="P43" s="134">
        <v>0.57999999999999996</v>
      </c>
      <c r="Q43" s="134">
        <v>4.6900000000000004</v>
      </c>
    </row>
    <row r="44" spans="1:17" customFormat="1">
      <c r="A44" s="112" t="s">
        <v>2001</v>
      </c>
      <c r="B44" s="134">
        <v>12.55</v>
      </c>
      <c r="C44" s="134">
        <v>16.82</v>
      </c>
      <c r="D44" s="134">
        <v>20.2</v>
      </c>
      <c r="E44" s="134">
        <v>3.83</v>
      </c>
      <c r="F44" s="134">
        <v>5.13</v>
      </c>
      <c r="G44" s="134">
        <v>18.25</v>
      </c>
      <c r="H44" s="134">
        <v>13.48</v>
      </c>
      <c r="I44" s="134">
        <v>7.39</v>
      </c>
      <c r="J44" s="134">
        <v>0.18</v>
      </c>
      <c r="K44" s="134">
        <v>287.91000000000003</v>
      </c>
      <c r="L44" s="134">
        <v>25.89</v>
      </c>
      <c r="M44" s="134">
        <v>100.52</v>
      </c>
      <c r="N44" s="134">
        <v>168.3</v>
      </c>
      <c r="O44" s="134">
        <v>0</v>
      </c>
      <c r="P44" s="134">
        <v>0.56000000000000005</v>
      </c>
      <c r="Q44" s="134">
        <v>4.68</v>
      </c>
    </row>
    <row r="45" spans="1:17" customFormat="1">
      <c r="A45" s="112" t="s">
        <v>2002</v>
      </c>
      <c r="B45" s="134">
        <v>12.49</v>
      </c>
      <c r="C45" s="134">
        <v>18.18</v>
      </c>
      <c r="D45" s="134">
        <v>20.87</v>
      </c>
      <c r="E45" s="134">
        <v>4.45</v>
      </c>
      <c r="F45" s="134">
        <v>3.87</v>
      </c>
      <c r="G45" s="134">
        <v>13.63</v>
      </c>
      <c r="H45" s="134">
        <v>9.9499999999999993</v>
      </c>
      <c r="I45" s="134">
        <v>7.16</v>
      </c>
      <c r="J45" s="134">
        <v>0.05</v>
      </c>
      <c r="K45" s="134">
        <v>288.73</v>
      </c>
      <c r="L45" s="134">
        <v>26.56</v>
      </c>
      <c r="M45" s="134">
        <v>100.52</v>
      </c>
      <c r="N45" s="134">
        <v>300</v>
      </c>
      <c r="O45" s="134">
        <v>0</v>
      </c>
      <c r="P45" s="134">
        <v>0.56999999999999995</v>
      </c>
      <c r="Q45" s="134">
        <v>4.71</v>
      </c>
    </row>
    <row r="46" spans="1:17" customFormat="1">
      <c r="A46" s="112" t="s">
        <v>2003</v>
      </c>
      <c r="B46" s="134">
        <v>12.73</v>
      </c>
      <c r="C46" s="134">
        <v>20.65</v>
      </c>
      <c r="D46" s="134">
        <v>22.35</v>
      </c>
      <c r="E46" s="134">
        <v>4.84</v>
      </c>
      <c r="F46" s="134">
        <v>2.27</v>
      </c>
      <c r="G46" s="134">
        <v>13.63</v>
      </c>
      <c r="H46" s="134">
        <v>9.9499999999999993</v>
      </c>
      <c r="I46" s="134">
        <v>7.02</v>
      </c>
      <c r="J46" s="134">
        <v>0.09</v>
      </c>
      <c r="K46" s="134">
        <v>195.54</v>
      </c>
      <c r="L46" s="134">
        <v>27.5</v>
      </c>
      <c r="M46" s="134">
        <v>99.97</v>
      </c>
      <c r="N46" s="134">
        <v>309.10000000000002</v>
      </c>
      <c r="O46" s="134">
        <v>0</v>
      </c>
      <c r="P46" s="134">
        <v>0.59</v>
      </c>
      <c r="Q46" s="134">
        <v>4.74</v>
      </c>
    </row>
    <row r="47" spans="1:17" customFormat="1">
      <c r="A47" s="112" t="s">
        <v>2004</v>
      </c>
      <c r="B47" s="134">
        <v>12.78</v>
      </c>
      <c r="C47" s="134">
        <v>19.04</v>
      </c>
      <c r="D47" s="134">
        <v>21.55</v>
      </c>
      <c r="E47" s="134">
        <v>5.23</v>
      </c>
      <c r="F47" s="134">
        <v>3.24</v>
      </c>
      <c r="G47" s="134">
        <v>13.63</v>
      </c>
      <c r="H47" s="134">
        <v>9.9499999999999993</v>
      </c>
      <c r="I47" s="134">
        <v>7.03</v>
      </c>
      <c r="J47" s="134">
        <v>0.11</v>
      </c>
      <c r="K47" s="134">
        <v>214.39</v>
      </c>
      <c r="L47" s="134">
        <v>27.96</v>
      </c>
      <c r="M47" s="134">
        <v>93.49</v>
      </c>
      <c r="N47" s="134">
        <v>258.39999999999998</v>
      </c>
      <c r="O47" s="134">
        <v>0</v>
      </c>
      <c r="P47" s="134">
        <v>0.57999999999999996</v>
      </c>
      <c r="Q47" s="134">
        <v>4.72</v>
      </c>
    </row>
    <row r="48" spans="1:17" customFormat="1">
      <c r="A48" s="112" t="s">
        <v>2005</v>
      </c>
      <c r="B48" s="134">
        <v>12.39</v>
      </c>
      <c r="C48" s="134">
        <v>17.89</v>
      </c>
      <c r="D48" s="134">
        <v>20.63</v>
      </c>
      <c r="E48" s="134">
        <v>4.59</v>
      </c>
      <c r="F48" s="134">
        <v>4.37</v>
      </c>
      <c r="G48" s="134">
        <v>13.84</v>
      </c>
      <c r="H48" s="134">
        <v>9.59</v>
      </c>
      <c r="I48" s="134">
        <v>7.09</v>
      </c>
      <c r="J48" s="134">
        <v>0.28000000000000003</v>
      </c>
      <c r="K48" s="134">
        <v>258.98</v>
      </c>
      <c r="L48" s="134">
        <v>28.62</v>
      </c>
      <c r="M48" s="134">
        <v>88.51</v>
      </c>
      <c r="N48" s="134">
        <v>492.3</v>
      </c>
      <c r="O48" s="134">
        <v>0</v>
      </c>
      <c r="P48" s="134">
        <v>0.56000000000000005</v>
      </c>
      <c r="Q48" s="134">
        <v>4.63</v>
      </c>
    </row>
    <row r="49" spans="1:17" customFormat="1">
      <c r="A49" s="112" t="s">
        <v>2006</v>
      </c>
      <c r="B49" s="134">
        <v>12.27</v>
      </c>
      <c r="C49" s="134">
        <v>17.61</v>
      </c>
      <c r="D49" s="134">
        <v>20.39</v>
      </c>
      <c r="E49" s="134">
        <v>2.04</v>
      </c>
      <c r="F49" s="134">
        <v>3.9</v>
      </c>
      <c r="G49" s="134">
        <v>15.55</v>
      </c>
      <c r="H49" s="134">
        <v>7.29</v>
      </c>
      <c r="I49" s="134">
        <v>6.93</v>
      </c>
      <c r="J49" s="134">
        <v>0.34</v>
      </c>
      <c r="K49" s="134">
        <v>262.58999999999997</v>
      </c>
      <c r="L49" s="134">
        <v>28.76</v>
      </c>
      <c r="M49" s="134">
        <v>86.88</v>
      </c>
      <c r="N49" s="134">
        <v>425.6</v>
      </c>
      <c r="O49" s="134">
        <v>0</v>
      </c>
      <c r="P49" s="134">
        <v>0.55000000000000004</v>
      </c>
      <c r="Q49" s="134">
        <v>4.6399999999999997</v>
      </c>
    </row>
    <row r="50" spans="1:17" customFormat="1">
      <c r="A50" s="112" t="s">
        <v>2007</v>
      </c>
      <c r="B50" s="134">
        <v>11.79</v>
      </c>
      <c r="C50" s="134">
        <v>17.38</v>
      </c>
      <c r="D50" s="134">
        <v>19.88</v>
      </c>
      <c r="E50" s="134">
        <v>3.18</v>
      </c>
      <c r="F50" s="134">
        <v>4.1500000000000004</v>
      </c>
      <c r="G50" s="134">
        <v>15.55</v>
      </c>
      <c r="H50" s="134">
        <v>7.29</v>
      </c>
      <c r="I50" s="134">
        <v>6.74</v>
      </c>
      <c r="J50" s="134">
        <v>0.09</v>
      </c>
      <c r="K50" s="134">
        <v>216.32</v>
      </c>
      <c r="L50" s="134">
        <v>28.75</v>
      </c>
      <c r="M50" s="134">
        <v>85.23</v>
      </c>
      <c r="N50" s="134">
        <v>345.3</v>
      </c>
      <c r="O50" s="134">
        <v>0</v>
      </c>
      <c r="P50" s="134">
        <v>0.54</v>
      </c>
      <c r="Q50" s="134">
        <v>4.6100000000000003</v>
      </c>
    </row>
    <row r="51" spans="1:17" customFormat="1">
      <c r="A51" s="112" t="s">
        <v>2008</v>
      </c>
      <c r="B51" s="134">
        <v>10.97</v>
      </c>
      <c r="C51" s="134">
        <v>16.21</v>
      </c>
      <c r="D51" s="134">
        <v>18.62</v>
      </c>
      <c r="E51" s="134">
        <v>3.31</v>
      </c>
      <c r="F51" s="134">
        <v>5.89</v>
      </c>
      <c r="G51" s="134">
        <v>15.55</v>
      </c>
      <c r="H51" s="134">
        <v>7.29</v>
      </c>
      <c r="I51" s="134">
        <v>6.69</v>
      </c>
      <c r="J51" s="134">
        <v>0.23</v>
      </c>
      <c r="K51" s="134">
        <v>254.32</v>
      </c>
      <c r="L51" s="134">
        <v>29.03</v>
      </c>
      <c r="M51" s="134">
        <v>83.94</v>
      </c>
      <c r="N51" s="134">
        <v>445.6</v>
      </c>
      <c r="O51" s="134">
        <v>0</v>
      </c>
      <c r="P51" s="134">
        <v>0.53</v>
      </c>
      <c r="Q51" s="134">
        <v>4.5599999999999996</v>
      </c>
    </row>
    <row r="52" spans="1:17" customFormat="1">
      <c r="A52" s="112" t="s">
        <v>2009</v>
      </c>
      <c r="B52" s="134">
        <v>10.52</v>
      </c>
      <c r="C52" s="134">
        <v>16.5</v>
      </c>
      <c r="D52" s="134">
        <v>18.41</v>
      </c>
      <c r="E52" s="134">
        <v>3.06</v>
      </c>
      <c r="F52" s="134">
        <v>5.16</v>
      </c>
      <c r="G52" s="134">
        <v>15.32</v>
      </c>
      <c r="H52" s="134">
        <v>6.99</v>
      </c>
      <c r="I52" s="134">
        <v>6.46</v>
      </c>
      <c r="J52" s="134">
        <v>0.16</v>
      </c>
      <c r="K52" s="134">
        <v>175.31</v>
      </c>
      <c r="L52" s="134">
        <v>29.43</v>
      </c>
      <c r="M52" s="134">
        <v>81.84</v>
      </c>
      <c r="N52" s="134">
        <v>493.5</v>
      </c>
      <c r="O52" s="134">
        <v>0</v>
      </c>
      <c r="P52" s="134">
        <v>0.52</v>
      </c>
      <c r="Q52" s="134">
        <v>4.51</v>
      </c>
    </row>
    <row r="53" spans="1:17" customFormat="1">
      <c r="A53" s="112" t="s">
        <v>2010</v>
      </c>
      <c r="B53" s="134">
        <v>10.199999999999999</v>
      </c>
      <c r="C53" s="134">
        <v>17.79</v>
      </c>
      <c r="D53" s="134">
        <v>18.829999999999998</v>
      </c>
      <c r="E53" s="134">
        <v>3.28</v>
      </c>
      <c r="F53" s="134">
        <v>3.34</v>
      </c>
      <c r="G53" s="134">
        <v>13.51</v>
      </c>
      <c r="H53" s="134">
        <v>5.0999999999999996</v>
      </c>
      <c r="I53" s="134">
        <v>6.26</v>
      </c>
      <c r="J53" s="134">
        <v>0.12</v>
      </c>
      <c r="K53" s="134">
        <v>263.07</v>
      </c>
      <c r="L53" s="134">
        <v>29.65</v>
      </c>
      <c r="M53" s="134">
        <v>81.66</v>
      </c>
      <c r="N53" s="134">
        <v>270.7</v>
      </c>
      <c r="O53" s="134">
        <v>0</v>
      </c>
      <c r="P53" s="134">
        <v>0.55000000000000004</v>
      </c>
      <c r="Q53" s="134">
        <v>4.53</v>
      </c>
    </row>
    <row r="54" spans="1:17" customFormat="1">
      <c r="A54" s="112" t="s">
        <v>2011</v>
      </c>
      <c r="B54" s="134">
        <v>8.9600000000000009</v>
      </c>
      <c r="C54" s="134">
        <v>19.47</v>
      </c>
      <c r="D54" s="134">
        <v>18.71</v>
      </c>
      <c r="E54" s="134">
        <v>2.83</v>
      </c>
      <c r="F54" s="134">
        <v>2.86</v>
      </c>
      <c r="G54" s="134">
        <v>13.51</v>
      </c>
      <c r="H54" s="134">
        <v>5.0999999999999996</v>
      </c>
      <c r="I54" s="134">
        <v>6.23</v>
      </c>
      <c r="J54" s="134">
        <v>0.14000000000000001</v>
      </c>
      <c r="K54" s="134">
        <v>249.94</v>
      </c>
      <c r="L54" s="134">
        <v>29.33</v>
      </c>
      <c r="M54" s="134">
        <v>83.19</v>
      </c>
      <c r="N54" s="134">
        <v>252.8</v>
      </c>
      <c r="O54" s="134">
        <v>0</v>
      </c>
      <c r="P54" s="134">
        <v>0.57999999999999996</v>
      </c>
      <c r="Q54" s="134">
        <v>4.51</v>
      </c>
    </row>
    <row r="55" spans="1:17" customFormat="1">
      <c r="A55" s="112" t="s">
        <v>2012</v>
      </c>
      <c r="B55" s="134">
        <v>8.15</v>
      </c>
      <c r="C55" s="134">
        <v>18.809999999999999</v>
      </c>
      <c r="D55" s="134">
        <v>17.72</v>
      </c>
      <c r="E55" s="134">
        <v>2.67</v>
      </c>
      <c r="F55" s="134">
        <v>4.1500000000000004</v>
      </c>
      <c r="G55" s="134">
        <v>13.51</v>
      </c>
      <c r="H55" s="134">
        <v>5.0999999999999996</v>
      </c>
      <c r="I55" s="134">
        <v>6.3</v>
      </c>
      <c r="J55" s="134">
        <v>0.15</v>
      </c>
      <c r="K55" s="134">
        <v>228.09</v>
      </c>
      <c r="L55" s="134">
        <v>29.7</v>
      </c>
      <c r="M55" s="134">
        <v>81.41</v>
      </c>
      <c r="N55" s="134">
        <v>357.2</v>
      </c>
      <c r="O55" s="134">
        <v>0</v>
      </c>
      <c r="P55" s="134">
        <v>0.54</v>
      </c>
      <c r="Q55" s="134">
        <v>4.45</v>
      </c>
    </row>
    <row r="56" spans="1:17" customFormat="1">
      <c r="A56" s="112" t="s">
        <v>2013</v>
      </c>
      <c r="B56" s="134">
        <v>7.93</v>
      </c>
      <c r="C56" s="134">
        <v>16.59</v>
      </c>
      <c r="D56" s="134">
        <v>16.38</v>
      </c>
      <c r="E56" s="134">
        <v>1.92</v>
      </c>
      <c r="F56" s="134">
        <v>5.66</v>
      </c>
      <c r="G56" s="134">
        <v>13.33</v>
      </c>
      <c r="H56" s="134">
        <v>4.91</v>
      </c>
      <c r="I56" s="134">
        <v>6.07</v>
      </c>
      <c r="J56" s="134">
        <v>0.22</v>
      </c>
      <c r="K56" s="134">
        <v>238.37</v>
      </c>
      <c r="L56" s="134">
        <v>30.14</v>
      </c>
      <c r="M56" s="134">
        <v>79.760000000000005</v>
      </c>
      <c r="N56" s="134">
        <v>649.6</v>
      </c>
      <c r="O56" s="134">
        <v>0</v>
      </c>
      <c r="P56" s="134">
        <v>0.49</v>
      </c>
      <c r="Q56" s="134">
        <v>4.4000000000000004</v>
      </c>
    </row>
    <row r="57" spans="1:17" customFormat="1">
      <c r="A57" s="112" t="s">
        <v>2014</v>
      </c>
      <c r="B57" s="134">
        <v>7.81</v>
      </c>
      <c r="C57" s="134">
        <v>15.62</v>
      </c>
      <c r="D57" s="134">
        <v>15.77</v>
      </c>
      <c r="E57" s="134">
        <v>2.1</v>
      </c>
      <c r="F57" s="134">
        <v>6.6</v>
      </c>
      <c r="G57" s="134">
        <v>11.82</v>
      </c>
      <c r="H57" s="134">
        <v>3.67</v>
      </c>
      <c r="I57" s="134">
        <v>5.78</v>
      </c>
      <c r="J57" s="134">
        <v>0.13</v>
      </c>
      <c r="K57" s="134">
        <v>230.84</v>
      </c>
      <c r="L57" s="134">
        <v>30.96</v>
      </c>
      <c r="M57" s="134">
        <v>75.239999999999995</v>
      </c>
      <c r="N57" s="134">
        <v>540.20000000000005</v>
      </c>
      <c r="O57" s="134">
        <v>0</v>
      </c>
      <c r="P57" s="134">
        <v>0.48</v>
      </c>
      <c r="Q57" s="134">
        <v>4.38</v>
      </c>
    </row>
    <row r="58" spans="1:17" customFormat="1">
      <c r="A58" s="112" t="s">
        <v>2015</v>
      </c>
      <c r="B58" s="134">
        <v>8.09</v>
      </c>
      <c r="C58" s="134">
        <v>15.7</v>
      </c>
      <c r="D58" s="134">
        <v>16.04</v>
      </c>
      <c r="E58" s="134">
        <v>2.64</v>
      </c>
      <c r="F58" s="134">
        <v>6.25</v>
      </c>
      <c r="G58" s="134">
        <v>11.82</v>
      </c>
      <c r="H58" s="134">
        <v>3.67</v>
      </c>
      <c r="I58" s="134">
        <v>5.51</v>
      </c>
      <c r="J58" s="134">
        <v>0.1</v>
      </c>
      <c r="K58" s="134">
        <v>230.62</v>
      </c>
      <c r="L58" s="134">
        <v>31.08</v>
      </c>
      <c r="M58" s="134">
        <v>75.03</v>
      </c>
      <c r="N58" s="134">
        <v>721</v>
      </c>
      <c r="O58" s="134">
        <v>0.2</v>
      </c>
      <c r="P58" s="134">
        <v>0.46</v>
      </c>
      <c r="Q58" s="134">
        <v>4.3600000000000003</v>
      </c>
    </row>
    <row r="59" spans="1:17" customFormat="1">
      <c r="A59" s="112" t="s">
        <v>2016</v>
      </c>
      <c r="B59" s="134">
        <v>8.07</v>
      </c>
      <c r="C59" s="134">
        <v>15.48</v>
      </c>
      <c r="D59" s="134">
        <v>15.92</v>
      </c>
      <c r="E59" s="134">
        <v>2.2200000000000002</v>
      </c>
      <c r="F59" s="134">
        <v>5.52</v>
      </c>
      <c r="G59" s="134">
        <v>11.82</v>
      </c>
      <c r="H59" s="134">
        <v>3.67</v>
      </c>
      <c r="I59" s="134">
        <v>5.31</v>
      </c>
      <c r="J59" s="134">
        <v>0.38</v>
      </c>
      <c r="K59" s="134">
        <v>247.01</v>
      </c>
      <c r="L59" s="134">
        <v>31.17</v>
      </c>
      <c r="M59" s="134">
        <v>74.17</v>
      </c>
      <c r="N59" s="134">
        <v>523.4</v>
      </c>
      <c r="O59" s="134">
        <v>0</v>
      </c>
      <c r="P59" s="134">
        <v>0.46</v>
      </c>
      <c r="Q59" s="134">
        <v>4.3099999999999996</v>
      </c>
    </row>
    <row r="60" spans="1:17" customFormat="1">
      <c r="A60" s="112" t="s">
        <v>2017</v>
      </c>
      <c r="B60" s="134">
        <v>8.07</v>
      </c>
      <c r="C60" s="134">
        <v>15.8</v>
      </c>
      <c r="D60" s="134">
        <v>16.079999999999998</v>
      </c>
      <c r="E60" s="134">
        <v>2.4300000000000002</v>
      </c>
      <c r="F60" s="134">
        <v>5</v>
      </c>
      <c r="G60" s="134">
        <v>11.46</v>
      </c>
      <c r="H60" s="134">
        <v>3.57</v>
      </c>
      <c r="I60" s="134">
        <v>5.34</v>
      </c>
      <c r="J60" s="134">
        <v>0.27</v>
      </c>
      <c r="K60" s="134">
        <v>243.56</v>
      </c>
      <c r="L60" s="134">
        <v>30.45</v>
      </c>
      <c r="M60" s="134">
        <v>78.5</v>
      </c>
      <c r="N60" s="134">
        <v>217.5</v>
      </c>
      <c r="O60" s="134">
        <v>0</v>
      </c>
      <c r="P60" s="134">
        <v>0.45</v>
      </c>
      <c r="Q60" s="134">
        <v>4.3099999999999996</v>
      </c>
    </row>
    <row r="61" spans="1:17" customFormat="1">
      <c r="A61" s="112" t="s">
        <v>2018</v>
      </c>
      <c r="B61" s="134">
        <v>7.87</v>
      </c>
      <c r="C61" s="134">
        <v>15.46</v>
      </c>
      <c r="D61" s="134">
        <v>15.74</v>
      </c>
      <c r="E61" s="134">
        <v>2.09</v>
      </c>
      <c r="F61" s="134">
        <v>5.56</v>
      </c>
      <c r="G61" s="134">
        <v>8.57</v>
      </c>
      <c r="H61" s="134">
        <v>2.95</v>
      </c>
      <c r="I61" s="134">
        <v>5.24</v>
      </c>
      <c r="J61" s="134">
        <v>0.35</v>
      </c>
      <c r="K61" s="134">
        <v>241.74</v>
      </c>
      <c r="L61" s="134">
        <v>29.94</v>
      </c>
      <c r="M61" s="134">
        <v>79.900000000000006</v>
      </c>
      <c r="N61" s="134">
        <v>565.1</v>
      </c>
      <c r="O61" s="134">
        <v>0</v>
      </c>
      <c r="P61" s="134">
        <v>0.45</v>
      </c>
      <c r="Q61" s="134">
        <v>4.32</v>
      </c>
    </row>
    <row r="62" spans="1:17" customFormat="1">
      <c r="A62" s="112" t="s">
        <v>2019</v>
      </c>
      <c r="B62" s="134">
        <v>7.87</v>
      </c>
      <c r="C62" s="134">
        <v>15.4</v>
      </c>
      <c r="D62" s="134">
        <v>15.71</v>
      </c>
      <c r="E62" s="134">
        <v>2.33</v>
      </c>
      <c r="F62" s="134">
        <v>5.34</v>
      </c>
      <c r="G62" s="134">
        <v>8.57</v>
      </c>
      <c r="H62" s="134">
        <v>2.95</v>
      </c>
      <c r="I62" s="134">
        <v>5.25</v>
      </c>
      <c r="J62" s="134">
        <v>0.18</v>
      </c>
      <c r="K62" s="134">
        <v>211.78</v>
      </c>
      <c r="L62" s="134">
        <v>31.29</v>
      </c>
      <c r="M62" s="134">
        <v>72.95</v>
      </c>
      <c r="N62" s="134">
        <v>824.7</v>
      </c>
      <c r="O62" s="134">
        <v>0</v>
      </c>
      <c r="P62" s="134">
        <v>0.44</v>
      </c>
      <c r="Q62" s="134">
        <v>4.28</v>
      </c>
    </row>
    <row r="63" spans="1:17" customFormat="1">
      <c r="A63" s="112" t="s">
        <v>2020</v>
      </c>
      <c r="B63" s="134">
        <v>7.88</v>
      </c>
      <c r="C63" s="134">
        <v>15.44</v>
      </c>
      <c r="D63" s="134">
        <v>15.73</v>
      </c>
      <c r="E63" s="134">
        <v>2.74</v>
      </c>
      <c r="F63" s="134">
        <v>4.79</v>
      </c>
      <c r="G63" s="134">
        <v>8.57</v>
      </c>
      <c r="H63" s="134">
        <v>2.95</v>
      </c>
      <c r="I63" s="134">
        <v>5.07</v>
      </c>
      <c r="J63" s="134">
        <v>0.13</v>
      </c>
      <c r="K63" s="134">
        <v>197.06</v>
      </c>
      <c r="L63" s="134">
        <v>31.63</v>
      </c>
      <c r="M63" s="134">
        <v>73.78</v>
      </c>
      <c r="N63" s="134">
        <v>364</v>
      </c>
      <c r="O63" s="134">
        <v>0</v>
      </c>
      <c r="P63" s="134">
        <v>0.45</v>
      </c>
      <c r="Q63" s="134">
        <v>4.24</v>
      </c>
    </row>
    <row r="64" spans="1:17" customFormat="1">
      <c r="A64" s="112" t="s">
        <v>2021</v>
      </c>
      <c r="B64" s="134">
        <v>7.89</v>
      </c>
      <c r="C64" s="134">
        <v>14.91</v>
      </c>
      <c r="D64" s="134">
        <v>15.47</v>
      </c>
      <c r="E64" s="134">
        <v>2.72</v>
      </c>
      <c r="F64" s="134">
        <v>5.5</v>
      </c>
      <c r="G64" s="134">
        <v>8.42</v>
      </c>
      <c r="H64" s="134">
        <v>2.88</v>
      </c>
      <c r="I64" s="134">
        <v>5.04</v>
      </c>
      <c r="J64" s="134">
        <v>0.22</v>
      </c>
      <c r="K64" s="134">
        <v>240.79</v>
      </c>
      <c r="L64" s="134">
        <v>31.35</v>
      </c>
      <c r="M64" s="134">
        <v>74.92</v>
      </c>
      <c r="N64" s="134">
        <v>642.6</v>
      </c>
      <c r="O64" s="134">
        <v>0</v>
      </c>
      <c r="P64" s="134">
        <v>0.43</v>
      </c>
      <c r="Q64" s="134">
        <v>4.2699999999999996</v>
      </c>
    </row>
    <row r="65" spans="1:17" customFormat="1">
      <c r="A65" s="112" t="s">
        <v>2022</v>
      </c>
      <c r="B65" s="134">
        <v>7.85</v>
      </c>
      <c r="C65" s="134">
        <v>14.35</v>
      </c>
      <c r="D65" s="134">
        <v>15.14</v>
      </c>
      <c r="E65" s="134">
        <v>2.4</v>
      </c>
      <c r="F65" s="134">
        <v>5.61</v>
      </c>
      <c r="G65" s="134">
        <v>7.28</v>
      </c>
      <c r="H65" s="134">
        <v>2.44</v>
      </c>
      <c r="I65" s="134">
        <v>4.97</v>
      </c>
      <c r="J65" s="134">
        <v>0.48</v>
      </c>
      <c r="K65" s="134">
        <v>251.61</v>
      </c>
      <c r="L65" s="134">
        <v>31.69</v>
      </c>
      <c r="M65" s="134">
        <v>72.62</v>
      </c>
      <c r="N65" s="134">
        <v>710.9</v>
      </c>
      <c r="O65" s="134">
        <v>0</v>
      </c>
      <c r="P65" s="134">
        <v>0.42</v>
      </c>
      <c r="Q65" s="134">
        <v>4.24</v>
      </c>
    </row>
    <row r="66" spans="1:17" customFormat="1">
      <c r="A66" s="112" t="s">
        <v>2023</v>
      </c>
      <c r="B66" s="134">
        <v>7.97</v>
      </c>
      <c r="C66" s="134">
        <v>14.7</v>
      </c>
      <c r="D66" s="134">
        <v>15.42</v>
      </c>
      <c r="E66" s="134">
        <v>2.37</v>
      </c>
      <c r="F66" s="134">
        <v>4.79</v>
      </c>
      <c r="G66" s="134">
        <v>7.28</v>
      </c>
      <c r="H66" s="134">
        <v>2.44</v>
      </c>
      <c r="I66" s="134">
        <v>4.84</v>
      </c>
      <c r="J66" s="134">
        <v>0.27</v>
      </c>
      <c r="K66" s="134">
        <v>229.92</v>
      </c>
      <c r="L66" s="134">
        <v>31.95</v>
      </c>
      <c r="M66" s="134">
        <v>72.2</v>
      </c>
      <c r="N66" s="134">
        <v>714.4</v>
      </c>
      <c r="O66" s="134">
        <v>0</v>
      </c>
      <c r="P66" s="134">
        <v>0.42</v>
      </c>
      <c r="Q66" s="134">
        <v>4.2</v>
      </c>
    </row>
    <row r="67" spans="1:17" customFormat="1">
      <c r="A67" s="112" t="s">
        <v>2024</v>
      </c>
      <c r="B67" s="134">
        <v>7.88</v>
      </c>
      <c r="C67" s="134">
        <v>14.75</v>
      </c>
      <c r="D67" s="134">
        <v>15.38</v>
      </c>
      <c r="E67" s="134">
        <v>2.34</v>
      </c>
      <c r="F67" s="134">
        <v>5.1100000000000003</v>
      </c>
      <c r="G67" s="134">
        <v>7.28</v>
      </c>
      <c r="H67" s="134">
        <v>2.44</v>
      </c>
      <c r="I67" s="134">
        <v>4.78</v>
      </c>
      <c r="J67" s="134">
        <v>0.25</v>
      </c>
      <c r="K67" s="134">
        <v>218.91</v>
      </c>
      <c r="L67" s="134">
        <v>31.44</v>
      </c>
      <c r="M67" s="134">
        <v>74.27</v>
      </c>
      <c r="N67" s="134">
        <v>250.6</v>
      </c>
      <c r="O67" s="134">
        <v>0</v>
      </c>
      <c r="P67" s="134">
        <v>0.42</v>
      </c>
      <c r="Q67" s="134">
        <v>4.2</v>
      </c>
    </row>
    <row r="68" spans="1:17" customFormat="1">
      <c r="A68" s="112" t="s">
        <v>2025</v>
      </c>
      <c r="B68" s="134">
        <v>7.9</v>
      </c>
      <c r="C68" s="134">
        <v>13.97</v>
      </c>
      <c r="D68" s="134">
        <v>14.99</v>
      </c>
      <c r="E68" s="134">
        <v>2.29</v>
      </c>
      <c r="F68" s="134">
        <v>5.55</v>
      </c>
      <c r="G68" s="134">
        <v>7.08</v>
      </c>
      <c r="H68" s="134">
        <v>2.37</v>
      </c>
      <c r="I68" s="134">
        <v>4.78</v>
      </c>
      <c r="J68" s="134">
        <v>0.16</v>
      </c>
      <c r="K68" s="134">
        <v>79.42</v>
      </c>
      <c r="L68" s="134">
        <v>29.26</v>
      </c>
      <c r="M68" s="134">
        <v>88.26</v>
      </c>
      <c r="N68" s="134">
        <v>133.9</v>
      </c>
      <c r="O68" s="134">
        <v>0.4</v>
      </c>
      <c r="P68" s="134">
        <v>0.42</v>
      </c>
      <c r="Q68" s="134">
        <v>4.24</v>
      </c>
    </row>
    <row r="69" spans="1:17" customFormat="1">
      <c r="A69" s="112" t="s">
        <v>2026</v>
      </c>
      <c r="B69" s="134">
        <v>7.79</v>
      </c>
      <c r="C69" s="134">
        <v>13.23</v>
      </c>
      <c r="D69" s="134">
        <v>14.51</v>
      </c>
      <c r="E69" s="134">
        <v>2.23</v>
      </c>
      <c r="F69" s="134">
        <v>6.45</v>
      </c>
      <c r="G69" s="134">
        <v>5.46</v>
      </c>
      <c r="H69" s="134">
        <v>1.92</v>
      </c>
      <c r="I69" s="134">
        <v>4.66</v>
      </c>
      <c r="J69" s="134">
        <v>0.13</v>
      </c>
      <c r="K69" s="134">
        <v>85.99</v>
      </c>
      <c r="L69" s="134">
        <v>28.81</v>
      </c>
      <c r="M69" s="134">
        <v>90.01</v>
      </c>
      <c r="N69" s="134">
        <v>151.19999999999999</v>
      </c>
      <c r="O69" s="134">
        <v>0</v>
      </c>
      <c r="P69" s="134">
        <v>0.41</v>
      </c>
      <c r="Q69" s="134">
        <v>4.24</v>
      </c>
    </row>
    <row r="70" spans="1:17" customFormat="1">
      <c r="A70" s="112" t="s">
        <v>2027</v>
      </c>
      <c r="B70" s="134">
        <v>7.86</v>
      </c>
      <c r="C70" s="134">
        <v>13.04</v>
      </c>
      <c r="D70" s="134">
        <v>14.47</v>
      </c>
      <c r="E70" s="134">
        <v>2.4700000000000002</v>
      </c>
      <c r="F70" s="134">
        <v>6.36</v>
      </c>
      <c r="G70" s="134">
        <v>5.46</v>
      </c>
      <c r="H70" s="134">
        <v>1.92</v>
      </c>
      <c r="I70" s="134">
        <v>4.5</v>
      </c>
      <c r="J70" s="134">
        <v>0.19</v>
      </c>
      <c r="K70" s="134">
        <v>175.15</v>
      </c>
      <c r="L70" s="134">
        <v>28.93</v>
      </c>
      <c r="M70" s="134">
        <v>88.3</v>
      </c>
      <c r="N70" s="134">
        <v>262.60000000000002</v>
      </c>
      <c r="O70" s="134">
        <v>0</v>
      </c>
      <c r="P70" s="134">
        <v>0.4</v>
      </c>
      <c r="Q70" s="134">
        <v>4.25</v>
      </c>
    </row>
    <row r="71" spans="1:17" customFormat="1">
      <c r="A71" s="112" t="s">
        <v>2028</v>
      </c>
      <c r="B71" s="134">
        <v>8.17</v>
      </c>
      <c r="C71" s="134">
        <v>13.76</v>
      </c>
      <c r="D71" s="134">
        <v>15.09</v>
      </c>
      <c r="E71" s="134">
        <v>2.48</v>
      </c>
      <c r="F71" s="134">
        <v>5.57</v>
      </c>
      <c r="G71" s="134">
        <v>5.46</v>
      </c>
      <c r="H71" s="134">
        <v>1.92</v>
      </c>
      <c r="I71" s="134">
        <v>4.29</v>
      </c>
      <c r="J71" s="134">
        <v>0.1</v>
      </c>
      <c r="K71" s="134">
        <v>103.84</v>
      </c>
      <c r="L71" s="134">
        <v>30.26</v>
      </c>
      <c r="M71" s="134">
        <v>80.08</v>
      </c>
      <c r="N71" s="134">
        <v>449.1</v>
      </c>
      <c r="O71" s="134">
        <v>0</v>
      </c>
      <c r="P71" s="134">
        <v>0.4</v>
      </c>
      <c r="Q71" s="134">
        <v>4.2300000000000004</v>
      </c>
    </row>
    <row r="72" spans="1:17" customFormat="1">
      <c r="A72" s="112" t="s">
        <v>2029</v>
      </c>
      <c r="B72" s="134">
        <v>8.5</v>
      </c>
      <c r="C72" s="134">
        <v>15.59</v>
      </c>
      <c r="D72" s="134">
        <v>16.309999999999999</v>
      </c>
      <c r="E72" s="134">
        <v>3.05</v>
      </c>
      <c r="F72" s="134">
        <v>4.28</v>
      </c>
      <c r="G72" s="134">
        <v>5.32</v>
      </c>
      <c r="H72" s="134">
        <v>1.86</v>
      </c>
      <c r="I72" s="134">
        <v>4.3499999999999996</v>
      </c>
      <c r="J72" s="134">
        <v>0.16</v>
      </c>
      <c r="K72" s="134">
        <v>179.78</v>
      </c>
      <c r="L72" s="134">
        <v>30.37</v>
      </c>
      <c r="M72" s="134">
        <v>80.59</v>
      </c>
      <c r="N72" s="134">
        <v>286.60000000000002</v>
      </c>
      <c r="O72" s="134">
        <v>0</v>
      </c>
      <c r="P72" s="134">
        <v>0.42</v>
      </c>
      <c r="Q72" s="134">
        <v>4.26</v>
      </c>
    </row>
    <row r="73" spans="1:17" customFormat="1">
      <c r="A73" s="112" t="s">
        <v>2030</v>
      </c>
      <c r="B73" s="134">
        <v>8.56</v>
      </c>
      <c r="C73" s="134">
        <v>15.12</v>
      </c>
      <c r="D73" s="134">
        <v>16.11</v>
      </c>
      <c r="E73" s="134">
        <v>2.73</v>
      </c>
      <c r="F73" s="134">
        <v>5.12</v>
      </c>
      <c r="G73" s="134">
        <v>4.1500000000000004</v>
      </c>
      <c r="H73" s="134">
        <v>1.5</v>
      </c>
      <c r="I73" s="134">
        <v>4.4000000000000004</v>
      </c>
      <c r="J73" s="134">
        <v>0.37</v>
      </c>
      <c r="K73" s="134">
        <v>175.53</v>
      </c>
      <c r="L73" s="134">
        <v>30.4</v>
      </c>
      <c r="M73" s="134">
        <v>77.510000000000005</v>
      </c>
      <c r="N73" s="134">
        <v>330.1</v>
      </c>
      <c r="O73" s="134">
        <v>0</v>
      </c>
      <c r="P73" s="134">
        <v>0.42</v>
      </c>
      <c r="Q73" s="134">
        <v>4.29</v>
      </c>
    </row>
    <row r="74" spans="1:17" customFormat="1">
      <c r="A74" s="112" t="s">
        <v>2031</v>
      </c>
      <c r="B74" s="134">
        <v>8.3800000000000008</v>
      </c>
      <c r="C74" s="134">
        <v>16.68</v>
      </c>
      <c r="D74" s="134">
        <v>16.79</v>
      </c>
      <c r="E74" s="134">
        <v>2.85</v>
      </c>
      <c r="F74" s="134">
        <v>3.42</v>
      </c>
      <c r="G74" s="134">
        <v>4.1500000000000004</v>
      </c>
      <c r="H74" s="134">
        <v>1.5</v>
      </c>
      <c r="I74" s="134">
        <v>4.5599999999999996</v>
      </c>
      <c r="J74" s="134">
        <v>0.32</v>
      </c>
      <c r="K74" s="134">
        <v>170.49</v>
      </c>
      <c r="L74" s="134">
        <v>30.83</v>
      </c>
      <c r="M74" s="134">
        <v>76.2</v>
      </c>
      <c r="N74" s="134">
        <v>258.60000000000002</v>
      </c>
      <c r="O74" s="134">
        <v>0</v>
      </c>
      <c r="P74" s="134">
        <v>0.46</v>
      </c>
      <c r="Q74" s="134">
        <v>4.28</v>
      </c>
    </row>
    <row r="75" spans="1:17" customFormat="1">
      <c r="A75" s="112" t="s">
        <v>2032</v>
      </c>
      <c r="B75" s="134">
        <v>7.66</v>
      </c>
      <c r="C75" s="134">
        <v>18.190000000000001</v>
      </c>
      <c r="D75" s="134">
        <v>17</v>
      </c>
      <c r="E75" s="134">
        <v>2.93</v>
      </c>
      <c r="F75" s="134">
        <v>2.92</v>
      </c>
      <c r="G75" s="134">
        <v>4.1500000000000004</v>
      </c>
      <c r="H75" s="134">
        <v>1.5</v>
      </c>
      <c r="I75" s="134">
        <v>4.49</v>
      </c>
      <c r="J75" s="134">
        <v>0.4</v>
      </c>
      <c r="K75" s="134">
        <v>250.85</v>
      </c>
      <c r="L75" s="134">
        <v>28.99</v>
      </c>
      <c r="M75" s="134">
        <v>85.18</v>
      </c>
      <c r="N75" s="134">
        <v>43.2</v>
      </c>
      <c r="O75" s="134">
        <v>0.2</v>
      </c>
      <c r="P75" s="134">
        <v>0.47</v>
      </c>
      <c r="Q75" s="134">
        <v>4.34</v>
      </c>
    </row>
    <row r="76" spans="1:17" customFormat="1">
      <c r="A76" s="112" t="s">
        <v>2033</v>
      </c>
      <c r="B76" s="134">
        <v>7.56</v>
      </c>
      <c r="C76" s="134">
        <v>15.98</v>
      </c>
      <c r="D76" s="134">
        <v>15.76</v>
      </c>
      <c r="E76" s="134">
        <v>2.68</v>
      </c>
      <c r="F76" s="134">
        <v>4.54</v>
      </c>
      <c r="G76" s="134">
        <v>4.1100000000000003</v>
      </c>
      <c r="H76" s="134">
        <v>1.47</v>
      </c>
      <c r="I76" s="134">
        <v>4.62</v>
      </c>
      <c r="J76" s="134">
        <v>0.27</v>
      </c>
      <c r="K76" s="134">
        <v>242.54</v>
      </c>
      <c r="L76" s="134">
        <v>27.39</v>
      </c>
      <c r="M76" s="134">
        <v>92.61</v>
      </c>
      <c r="N76" s="134">
        <v>50.2</v>
      </c>
      <c r="O76" s="134">
        <v>0</v>
      </c>
      <c r="P76" s="134">
        <v>0.42</v>
      </c>
      <c r="Q76" s="134">
        <v>4.3</v>
      </c>
    </row>
    <row r="77" spans="1:17" customFormat="1">
      <c r="A77" s="112" t="s">
        <v>2034</v>
      </c>
      <c r="B77" s="134">
        <v>7.62</v>
      </c>
      <c r="C77" s="134">
        <v>13.6</v>
      </c>
      <c r="D77" s="134">
        <v>14.56</v>
      </c>
      <c r="E77" s="134">
        <v>1.59</v>
      </c>
      <c r="F77" s="134">
        <v>7.4</v>
      </c>
      <c r="G77" s="134">
        <v>3.79</v>
      </c>
      <c r="H77" s="134">
        <v>1.3</v>
      </c>
      <c r="I77" s="134">
        <v>4.4400000000000004</v>
      </c>
      <c r="J77" s="134">
        <v>0.24</v>
      </c>
      <c r="K77" s="134">
        <v>228.67</v>
      </c>
      <c r="L77" s="134">
        <v>27.12</v>
      </c>
      <c r="M77" s="134">
        <v>92.55</v>
      </c>
      <c r="N77" s="134">
        <v>10.6</v>
      </c>
      <c r="O77" s="134">
        <v>0</v>
      </c>
      <c r="P77" s="134">
        <v>0.37</v>
      </c>
      <c r="Q77" s="134">
        <v>4.24</v>
      </c>
    </row>
    <row r="78" spans="1:17" customFormat="1">
      <c r="A78" s="112" t="s">
        <v>2035</v>
      </c>
      <c r="B78" s="134">
        <v>7.8</v>
      </c>
      <c r="C78" s="134">
        <v>12.14</v>
      </c>
      <c r="D78" s="134">
        <v>13.94</v>
      </c>
      <c r="E78" s="134">
        <v>1.71</v>
      </c>
      <c r="F78" s="134">
        <v>8.16</v>
      </c>
      <c r="G78" s="134">
        <v>3.79</v>
      </c>
      <c r="H78" s="134">
        <v>1.3</v>
      </c>
      <c r="I78" s="134">
        <v>4.08</v>
      </c>
      <c r="J78" s="134">
        <v>0.12</v>
      </c>
      <c r="K78" s="134">
        <v>215.87</v>
      </c>
      <c r="L78" s="134">
        <v>26.9</v>
      </c>
      <c r="M78" s="134">
        <v>94.67</v>
      </c>
      <c r="N78" s="134">
        <v>10.1</v>
      </c>
      <c r="O78" s="134">
        <v>0.2</v>
      </c>
      <c r="P78" s="134">
        <v>0.34</v>
      </c>
      <c r="Q78" s="134">
        <v>4.18</v>
      </c>
    </row>
    <row r="79" spans="1:17" customFormat="1">
      <c r="A79" s="112" t="s">
        <v>2036</v>
      </c>
      <c r="B79" s="134">
        <v>8.2100000000000009</v>
      </c>
      <c r="C79" s="134">
        <v>12.73</v>
      </c>
      <c r="D79" s="134">
        <v>14.59</v>
      </c>
      <c r="E79" s="134">
        <v>1.72</v>
      </c>
      <c r="F79" s="134">
        <v>7.16</v>
      </c>
      <c r="G79" s="134">
        <v>3.79</v>
      </c>
      <c r="H79" s="134">
        <v>1.3</v>
      </c>
      <c r="I79" s="134">
        <v>3.78</v>
      </c>
      <c r="J79" s="134">
        <v>0.16</v>
      </c>
      <c r="K79" s="134">
        <v>167.88</v>
      </c>
      <c r="L79" s="134">
        <v>26.7</v>
      </c>
      <c r="M79" s="134">
        <v>94.86</v>
      </c>
      <c r="N79" s="134">
        <v>1.7</v>
      </c>
      <c r="O79" s="134">
        <v>0</v>
      </c>
      <c r="P79" s="134">
        <v>0.34</v>
      </c>
      <c r="Q79" s="134">
        <v>4.1900000000000004</v>
      </c>
    </row>
    <row r="80" spans="1:17" customFormat="1">
      <c r="A80" s="112" t="s">
        <v>2037</v>
      </c>
      <c r="B80" s="134">
        <v>8.35</v>
      </c>
      <c r="C80" s="134">
        <v>12.91</v>
      </c>
      <c r="D80" s="134">
        <v>14.79</v>
      </c>
      <c r="E80" s="134">
        <v>2.62</v>
      </c>
      <c r="F80" s="134">
        <v>6.45</v>
      </c>
      <c r="G80" s="134">
        <v>3.86</v>
      </c>
      <c r="H80" s="134">
        <v>1.25</v>
      </c>
      <c r="I80" s="134">
        <v>3.71</v>
      </c>
      <c r="J80" s="134">
        <v>0.19</v>
      </c>
      <c r="K80" s="134">
        <v>209.81</v>
      </c>
      <c r="L80" s="134">
        <v>26.54</v>
      </c>
      <c r="M80" s="134">
        <v>95.34</v>
      </c>
      <c r="N80" s="134">
        <v>0</v>
      </c>
      <c r="O80" s="134">
        <v>0.4</v>
      </c>
      <c r="P80" s="134">
        <v>0.35</v>
      </c>
      <c r="Q80" s="134">
        <v>4.1900000000000004</v>
      </c>
    </row>
    <row r="81" spans="1:17" customFormat="1">
      <c r="A81" s="112" t="s">
        <v>2038</v>
      </c>
      <c r="B81" s="134">
        <v>9.02</v>
      </c>
      <c r="C81" s="134">
        <v>16.7</v>
      </c>
      <c r="D81" s="134">
        <v>17.3</v>
      </c>
      <c r="E81" s="134">
        <v>3.61</v>
      </c>
      <c r="F81" s="134">
        <v>2.81</v>
      </c>
      <c r="G81" s="134">
        <v>4.4400000000000004</v>
      </c>
      <c r="H81" s="134">
        <v>0.96</v>
      </c>
      <c r="I81" s="134">
        <v>3.8</v>
      </c>
      <c r="J81" s="134">
        <v>0.23</v>
      </c>
      <c r="K81" s="134">
        <v>252.32</v>
      </c>
      <c r="L81" s="134">
        <v>26.44</v>
      </c>
      <c r="M81" s="134">
        <v>97.1</v>
      </c>
      <c r="N81" s="134">
        <v>0</v>
      </c>
      <c r="O81" s="134">
        <v>0.6</v>
      </c>
      <c r="P81" s="134">
        <v>0.4</v>
      </c>
      <c r="Q81" s="134">
        <v>4.32</v>
      </c>
    </row>
    <row r="82" spans="1:17" customFormat="1">
      <c r="A82" s="112" t="s">
        <v>2039</v>
      </c>
      <c r="B82" s="134">
        <v>9.36</v>
      </c>
      <c r="C82" s="134">
        <v>17.100000000000001</v>
      </c>
      <c r="D82" s="134">
        <v>17.79</v>
      </c>
      <c r="E82" s="134">
        <v>5.34</v>
      </c>
      <c r="F82" s="134">
        <v>2.78</v>
      </c>
      <c r="G82" s="134">
        <v>4.4400000000000004</v>
      </c>
      <c r="H82" s="134">
        <v>0.96</v>
      </c>
      <c r="I82" s="134">
        <v>3.84</v>
      </c>
      <c r="J82" s="134">
        <v>0.18</v>
      </c>
      <c r="K82" s="134">
        <v>250.59</v>
      </c>
      <c r="L82" s="134">
        <v>26.13</v>
      </c>
      <c r="M82" s="134">
        <v>97.22</v>
      </c>
      <c r="N82" s="134">
        <v>0</v>
      </c>
      <c r="O82" s="134">
        <v>0</v>
      </c>
      <c r="P82" s="134">
        <v>0.4</v>
      </c>
      <c r="Q82" s="134">
        <v>4.3600000000000003</v>
      </c>
    </row>
    <row r="83" spans="1:17" customFormat="1">
      <c r="A83" s="112" t="s">
        <v>2040</v>
      </c>
      <c r="B83" s="134">
        <v>9.2200000000000006</v>
      </c>
      <c r="C83" s="134">
        <v>14.52</v>
      </c>
      <c r="D83" s="134">
        <v>16.34</v>
      </c>
      <c r="E83" s="134">
        <v>4.78</v>
      </c>
      <c r="F83" s="134">
        <v>5.25</v>
      </c>
      <c r="G83" s="134">
        <v>4.4400000000000004</v>
      </c>
      <c r="H83" s="134">
        <v>0.96</v>
      </c>
      <c r="I83" s="134">
        <v>4.1900000000000004</v>
      </c>
      <c r="J83" s="134">
        <v>0.2</v>
      </c>
      <c r="K83" s="134">
        <v>253.1</v>
      </c>
      <c r="L83" s="134">
        <v>25.96</v>
      </c>
      <c r="M83" s="134">
        <v>97.45</v>
      </c>
      <c r="N83" s="134">
        <v>0</v>
      </c>
      <c r="O83" s="134">
        <v>0</v>
      </c>
      <c r="P83" s="134">
        <v>0.38</v>
      </c>
      <c r="Q83" s="134">
        <v>4.33</v>
      </c>
    </row>
    <row r="84" spans="1:17" customFormat="1">
      <c r="A84" s="112" t="s">
        <v>2041</v>
      </c>
      <c r="B84" s="134">
        <v>9.17</v>
      </c>
      <c r="C84" s="134">
        <v>13.57</v>
      </c>
      <c r="D84" s="134">
        <v>15.8</v>
      </c>
      <c r="E84" s="134">
        <v>4.74</v>
      </c>
      <c r="F84" s="134">
        <v>6.41</v>
      </c>
      <c r="G84" s="134">
        <v>4.32</v>
      </c>
      <c r="H84" s="134">
        <v>0.99</v>
      </c>
      <c r="I84" s="134">
        <v>4.07</v>
      </c>
      <c r="J84" s="134">
        <v>0.12</v>
      </c>
      <c r="K84" s="134">
        <v>217.97</v>
      </c>
      <c r="L84" s="134">
        <v>26.06</v>
      </c>
      <c r="M84" s="134">
        <v>97.57</v>
      </c>
      <c r="N84" s="134">
        <v>0</v>
      </c>
      <c r="O84" s="134">
        <v>0</v>
      </c>
      <c r="P84" s="134">
        <v>0.37</v>
      </c>
      <c r="Q84" s="134">
        <v>4.3099999999999996</v>
      </c>
    </row>
    <row r="85" spans="1:17" customFormat="1">
      <c r="A85" s="112" t="s">
        <v>2042</v>
      </c>
      <c r="B85" s="134">
        <v>9.1999999999999993</v>
      </c>
      <c r="C85" s="134">
        <v>13.3</v>
      </c>
      <c r="D85" s="134">
        <v>15.68</v>
      </c>
      <c r="E85" s="134">
        <v>5.0599999999999996</v>
      </c>
      <c r="F85" s="134">
        <v>6.94</v>
      </c>
      <c r="G85" s="134">
        <v>3.37</v>
      </c>
      <c r="H85" s="134">
        <v>1.1499999999999999</v>
      </c>
      <c r="I85" s="134">
        <v>3.74</v>
      </c>
      <c r="J85" s="134">
        <v>0.09</v>
      </c>
      <c r="K85" s="134">
        <v>170.24</v>
      </c>
      <c r="L85" s="134">
        <v>26.14</v>
      </c>
      <c r="M85" s="134">
        <v>98.15</v>
      </c>
      <c r="N85" s="134">
        <v>0</v>
      </c>
      <c r="O85" s="134">
        <v>0</v>
      </c>
      <c r="P85" s="134">
        <v>0.36</v>
      </c>
      <c r="Q85" s="134">
        <v>4.3</v>
      </c>
    </row>
    <row r="86" spans="1:17" customFormat="1">
      <c r="A86" s="112" t="s">
        <v>2043</v>
      </c>
      <c r="B86" s="134">
        <v>9.93</v>
      </c>
      <c r="C86" s="134">
        <v>17.57</v>
      </c>
      <c r="D86" s="134">
        <v>18.489999999999998</v>
      </c>
      <c r="E86" s="134">
        <v>5.52</v>
      </c>
      <c r="F86" s="134">
        <v>2.71</v>
      </c>
      <c r="G86" s="134">
        <v>3.37</v>
      </c>
      <c r="H86" s="134">
        <v>1.1499999999999999</v>
      </c>
      <c r="I86" s="134">
        <v>3.7</v>
      </c>
      <c r="J86" s="134">
        <v>0.09</v>
      </c>
      <c r="K86" s="134">
        <v>198.62</v>
      </c>
      <c r="L86" s="134">
        <v>26.04</v>
      </c>
      <c r="M86" s="134">
        <v>98.33</v>
      </c>
      <c r="N86" s="134">
        <v>0</v>
      </c>
      <c r="O86" s="134">
        <v>0</v>
      </c>
      <c r="P86" s="134">
        <v>0.41</v>
      </c>
      <c r="Q86" s="134">
        <v>4.37</v>
      </c>
    </row>
    <row r="87" spans="1:17" customFormat="1">
      <c r="A87" s="112" t="s">
        <v>2044</v>
      </c>
      <c r="B87" s="134">
        <v>10.19</v>
      </c>
      <c r="C87" s="134">
        <v>16.670000000000002</v>
      </c>
      <c r="D87" s="134">
        <v>18.23</v>
      </c>
      <c r="E87" s="134">
        <v>5.49</v>
      </c>
      <c r="F87" s="134">
        <v>3.2</v>
      </c>
      <c r="G87" s="134">
        <v>3.37</v>
      </c>
      <c r="H87" s="134">
        <v>1.1499999999999999</v>
      </c>
      <c r="I87" s="134">
        <v>3.74</v>
      </c>
      <c r="J87" s="134">
        <v>0.09</v>
      </c>
      <c r="K87" s="134">
        <v>200.68</v>
      </c>
      <c r="L87" s="134">
        <v>26.06</v>
      </c>
      <c r="M87" s="134">
        <v>98.53</v>
      </c>
      <c r="N87" s="134">
        <v>0</v>
      </c>
      <c r="O87" s="134">
        <v>0</v>
      </c>
      <c r="P87" s="134">
        <v>0.41</v>
      </c>
      <c r="Q87" s="134">
        <v>4.38</v>
      </c>
    </row>
    <row r="88" spans="1:17" customFormat="1">
      <c r="A88" s="112" t="s">
        <v>2045</v>
      </c>
      <c r="B88" s="134">
        <v>9.94</v>
      </c>
      <c r="C88" s="134">
        <v>14.22</v>
      </c>
      <c r="D88" s="134">
        <v>16.75</v>
      </c>
      <c r="E88" s="134">
        <v>5.17</v>
      </c>
      <c r="F88" s="134">
        <v>5.18</v>
      </c>
      <c r="G88" s="134">
        <v>3.3</v>
      </c>
      <c r="H88" s="134">
        <v>1.1100000000000001</v>
      </c>
      <c r="I88" s="134">
        <v>4.1100000000000003</v>
      </c>
      <c r="J88" s="134">
        <v>0.1</v>
      </c>
      <c r="K88" s="134">
        <v>180.27</v>
      </c>
      <c r="L88" s="134">
        <v>26.07</v>
      </c>
      <c r="M88" s="134">
        <v>98.81</v>
      </c>
      <c r="N88" s="134">
        <v>0</v>
      </c>
      <c r="O88" s="134">
        <v>0</v>
      </c>
      <c r="P88" s="134">
        <v>0.39</v>
      </c>
      <c r="Q88" s="134">
        <v>4.3600000000000003</v>
      </c>
    </row>
    <row r="89" spans="1:17" customFormat="1">
      <c r="A89" s="112" t="s">
        <v>2046</v>
      </c>
      <c r="B89" s="134">
        <v>9.6300000000000008</v>
      </c>
      <c r="C89" s="134">
        <v>12.43</v>
      </c>
      <c r="D89" s="134">
        <v>15.57</v>
      </c>
      <c r="E89" s="134">
        <v>4.8499999999999996</v>
      </c>
      <c r="F89" s="134">
        <v>6.37</v>
      </c>
      <c r="G89" s="134">
        <v>2.73</v>
      </c>
      <c r="H89" s="134">
        <v>0.91</v>
      </c>
      <c r="I89" s="134">
        <v>3.96</v>
      </c>
      <c r="J89" s="134">
        <v>0.1</v>
      </c>
      <c r="K89" s="134">
        <v>246.99</v>
      </c>
      <c r="L89" s="134">
        <v>26.07</v>
      </c>
      <c r="M89" s="134">
        <v>98.97</v>
      </c>
      <c r="N89" s="134">
        <v>0</v>
      </c>
      <c r="O89" s="134">
        <v>0</v>
      </c>
      <c r="P89" s="134">
        <v>0.38</v>
      </c>
      <c r="Q89" s="134">
        <v>4.37</v>
      </c>
    </row>
    <row r="90" spans="1:17" customFormat="1">
      <c r="A90" s="112" t="s">
        <v>2047</v>
      </c>
      <c r="B90" s="134">
        <v>10.029999999999999</v>
      </c>
      <c r="C90" s="134">
        <v>13.47</v>
      </c>
      <c r="D90" s="134">
        <v>16.43</v>
      </c>
      <c r="E90" s="134">
        <v>5.51</v>
      </c>
      <c r="F90" s="134">
        <v>5.24</v>
      </c>
      <c r="G90" s="134">
        <v>2.73</v>
      </c>
      <c r="H90" s="134">
        <v>0.91</v>
      </c>
      <c r="I90" s="134">
        <v>3.71</v>
      </c>
      <c r="J90" s="134">
        <v>0.12</v>
      </c>
      <c r="K90" s="134">
        <v>275.83999999999997</v>
      </c>
      <c r="L90" s="134">
        <v>26.12</v>
      </c>
      <c r="M90" s="134">
        <v>98.79</v>
      </c>
      <c r="N90" s="134">
        <v>0</v>
      </c>
      <c r="O90" s="134">
        <v>0</v>
      </c>
      <c r="P90" s="134">
        <v>0.38</v>
      </c>
      <c r="Q90" s="134">
        <v>4.3600000000000003</v>
      </c>
    </row>
    <row r="91" spans="1:17" customFormat="1">
      <c r="A91" s="112" t="s">
        <v>2048</v>
      </c>
      <c r="B91" s="134">
        <v>10.91</v>
      </c>
      <c r="C91" s="134">
        <v>17.309999999999999</v>
      </c>
      <c r="D91" s="134">
        <v>19.149999999999999</v>
      </c>
      <c r="E91" s="134">
        <v>5.81</v>
      </c>
      <c r="F91" s="134">
        <v>2.57</v>
      </c>
      <c r="G91" s="134">
        <v>2.73</v>
      </c>
      <c r="H91" s="134">
        <v>0.91</v>
      </c>
      <c r="I91" s="134">
        <v>3.58</v>
      </c>
      <c r="J91" s="134">
        <v>0.19</v>
      </c>
      <c r="K91" s="134">
        <v>269.87</v>
      </c>
      <c r="L91" s="134">
        <v>26</v>
      </c>
      <c r="M91" s="134">
        <v>97.13</v>
      </c>
      <c r="N91" s="134">
        <v>0</v>
      </c>
      <c r="O91" s="134">
        <v>0</v>
      </c>
      <c r="P91" s="134">
        <v>0.42</v>
      </c>
      <c r="Q91" s="134">
        <v>4.4400000000000004</v>
      </c>
    </row>
    <row r="92" spans="1:17" customFormat="1">
      <c r="A92" s="112" t="s">
        <v>2049</v>
      </c>
      <c r="B92" s="134">
        <v>10.98</v>
      </c>
      <c r="C92" s="134">
        <v>16.27</v>
      </c>
      <c r="D92" s="134">
        <v>18.66</v>
      </c>
      <c r="E92" s="134">
        <v>5.81</v>
      </c>
      <c r="F92" s="134">
        <v>3.57</v>
      </c>
      <c r="G92" s="134">
        <v>2.66</v>
      </c>
      <c r="H92" s="134">
        <v>1.03</v>
      </c>
      <c r="I92" s="134">
        <v>3.86</v>
      </c>
      <c r="J92" s="134">
        <v>0.16</v>
      </c>
      <c r="K92" s="134">
        <v>277.39</v>
      </c>
      <c r="L92" s="134">
        <v>25.81</v>
      </c>
      <c r="M92" s="134">
        <v>95.55</v>
      </c>
      <c r="N92" s="134">
        <v>0</v>
      </c>
      <c r="O92" s="134">
        <v>0</v>
      </c>
      <c r="P92" s="134">
        <v>0.41</v>
      </c>
      <c r="Q92" s="134">
        <v>4.45</v>
      </c>
    </row>
    <row r="93" spans="1:17" customFormat="1">
      <c r="A93" s="112" t="s">
        <v>2050</v>
      </c>
      <c r="B93" s="134">
        <v>10.85</v>
      </c>
      <c r="C93" s="134">
        <v>14.41</v>
      </c>
      <c r="D93" s="134">
        <v>17.59</v>
      </c>
      <c r="E93" s="134">
        <v>5.52</v>
      </c>
      <c r="F93" s="134">
        <v>4.76</v>
      </c>
      <c r="G93" s="134">
        <v>2.12</v>
      </c>
      <c r="H93" s="134">
        <v>1.75</v>
      </c>
      <c r="I93" s="134">
        <v>4.0599999999999996</v>
      </c>
      <c r="J93" s="134">
        <v>0.13</v>
      </c>
      <c r="K93" s="134">
        <v>281.88</v>
      </c>
      <c r="L93" s="134">
        <v>25.62</v>
      </c>
      <c r="M93" s="134">
        <v>95.44</v>
      </c>
      <c r="N93" s="134">
        <v>0</v>
      </c>
      <c r="O93" s="134">
        <v>0</v>
      </c>
      <c r="P93" s="134">
        <v>0.38</v>
      </c>
      <c r="Q93" s="134">
        <v>4.43</v>
      </c>
    </row>
    <row r="94" spans="1:17" customFormat="1">
      <c r="A94" s="112" t="s">
        <v>2051</v>
      </c>
      <c r="B94" s="134">
        <v>11.16</v>
      </c>
      <c r="C94" s="134">
        <v>14.4</v>
      </c>
      <c r="D94" s="134">
        <v>17.829999999999998</v>
      </c>
      <c r="E94" s="134">
        <v>5.13</v>
      </c>
      <c r="F94" s="134">
        <v>4.2</v>
      </c>
      <c r="G94" s="134">
        <v>2.12</v>
      </c>
      <c r="H94" s="134">
        <v>1.75</v>
      </c>
      <c r="I94" s="134">
        <v>3.86</v>
      </c>
      <c r="J94" s="134">
        <v>0.06</v>
      </c>
      <c r="K94" s="134">
        <v>219.75</v>
      </c>
      <c r="L94" s="134">
        <v>25.48</v>
      </c>
      <c r="M94" s="134">
        <v>96.26</v>
      </c>
      <c r="N94" s="134">
        <v>0</v>
      </c>
      <c r="O94" s="134">
        <v>0</v>
      </c>
      <c r="P94" s="134">
        <v>0.38</v>
      </c>
      <c r="Q94" s="134">
        <v>4.43</v>
      </c>
    </row>
    <row r="95" spans="1:17" customFormat="1">
      <c r="A95" s="112" t="s">
        <v>2052</v>
      </c>
      <c r="B95" s="134">
        <v>11.02</v>
      </c>
      <c r="C95" s="134">
        <v>16.04</v>
      </c>
      <c r="D95" s="134">
        <v>18.57</v>
      </c>
      <c r="E95" s="134">
        <v>5.42</v>
      </c>
      <c r="F95" s="134">
        <v>3.27</v>
      </c>
      <c r="G95" s="134">
        <v>2.12</v>
      </c>
      <c r="H95" s="134">
        <v>1.75</v>
      </c>
      <c r="I95" s="134">
        <v>3.75</v>
      </c>
      <c r="J95" s="134">
        <v>0.08</v>
      </c>
      <c r="K95" s="134">
        <v>221.77</v>
      </c>
      <c r="L95" s="134">
        <v>25.32</v>
      </c>
      <c r="M95" s="134">
        <v>97.25</v>
      </c>
      <c r="N95" s="134">
        <v>0</v>
      </c>
      <c r="O95" s="134">
        <v>0</v>
      </c>
      <c r="P95" s="134">
        <v>0.42</v>
      </c>
      <c r="Q95" s="134">
        <v>4.4000000000000004</v>
      </c>
    </row>
    <row r="96" spans="1:17" customFormat="1">
      <c r="A96" s="112" t="s">
        <v>2053</v>
      </c>
      <c r="B96" s="134">
        <v>10.53</v>
      </c>
      <c r="C96" s="134">
        <v>16.87</v>
      </c>
      <c r="D96" s="134">
        <v>18.61</v>
      </c>
      <c r="E96" s="134">
        <v>5.0599999999999996</v>
      </c>
      <c r="F96" s="134">
        <v>2.9</v>
      </c>
      <c r="G96" s="134">
        <v>2.2400000000000002</v>
      </c>
      <c r="H96" s="134">
        <v>1.74</v>
      </c>
      <c r="I96" s="134">
        <v>3.83</v>
      </c>
      <c r="J96" s="134">
        <v>0.1</v>
      </c>
      <c r="K96" s="134">
        <v>112.72</v>
      </c>
      <c r="L96" s="134">
        <v>25.38</v>
      </c>
      <c r="M96" s="134">
        <v>97.77</v>
      </c>
      <c r="N96" s="134">
        <v>0</v>
      </c>
      <c r="O96" s="134">
        <v>0</v>
      </c>
      <c r="P96" s="134">
        <v>0.42</v>
      </c>
      <c r="Q96" s="134">
        <v>4.4400000000000004</v>
      </c>
    </row>
    <row r="97" spans="1:22" customFormat="1">
      <c r="A97" s="112" t="s">
        <v>2054</v>
      </c>
      <c r="B97" s="134">
        <v>10.66</v>
      </c>
      <c r="C97" s="134">
        <v>15.24</v>
      </c>
      <c r="D97" s="134">
        <v>17.86</v>
      </c>
      <c r="E97" s="134">
        <v>4.93</v>
      </c>
      <c r="F97" s="134">
        <v>3.33</v>
      </c>
      <c r="G97" s="134">
        <v>3.19</v>
      </c>
      <c r="H97" s="134">
        <v>1.69</v>
      </c>
      <c r="I97" s="134">
        <v>3.88</v>
      </c>
      <c r="J97" s="134">
        <v>0.1</v>
      </c>
      <c r="K97" s="134">
        <v>113.61</v>
      </c>
      <c r="L97" s="134">
        <v>25.37</v>
      </c>
      <c r="M97" s="134">
        <v>98.02</v>
      </c>
      <c r="N97" s="134">
        <v>0</v>
      </c>
      <c r="O97" s="134">
        <v>0</v>
      </c>
      <c r="P97" s="134">
        <v>0.39</v>
      </c>
      <c r="Q97" s="134">
        <v>4.42</v>
      </c>
    </row>
    <row r="98" spans="1:22" customFormat="1">
      <c r="A98" s="112" t="s">
        <v>2055</v>
      </c>
      <c r="B98" s="134">
        <v>11.04</v>
      </c>
      <c r="C98" s="134">
        <v>14.82</v>
      </c>
      <c r="D98" s="134">
        <v>17.95</v>
      </c>
      <c r="E98" s="134">
        <v>4.95</v>
      </c>
      <c r="F98" s="134">
        <v>3.22</v>
      </c>
      <c r="G98" s="134">
        <v>3.19</v>
      </c>
      <c r="H98" s="134">
        <v>1.69</v>
      </c>
      <c r="I98" s="134">
        <v>3.77</v>
      </c>
      <c r="J98" s="134">
        <v>0.17</v>
      </c>
      <c r="K98" s="134">
        <v>168.94</v>
      </c>
      <c r="L98" s="134">
        <v>25.36</v>
      </c>
      <c r="M98" s="134">
        <v>97.8</v>
      </c>
      <c r="N98" s="134">
        <v>0</v>
      </c>
      <c r="O98" s="134">
        <v>0</v>
      </c>
      <c r="P98" s="134">
        <v>0.38</v>
      </c>
      <c r="Q98" s="134">
        <v>4.4000000000000004</v>
      </c>
    </row>
    <row r="99" spans="1:22" customFormat="1">
      <c r="A99" s="112" t="s">
        <v>2056</v>
      </c>
      <c r="B99" s="134">
        <v>11.19</v>
      </c>
      <c r="C99" s="134">
        <v>14.06</v>
      </c>
      <c r="D99" s="134">
        <v>17.670000000000002</v>
      </c>
      <c r="E99" s="134">
        <v>4.6399999999999997</v>
      </c>
      <c r="F99" s="134">
        <v>3.39</v>
      </c>
      <c r="G99" s="134">
        <v>3.19</v>
      </c>
      <c r="H99" s="134">
        <v>1.69</v>
      </c>
      <c r="I99" s="134">
        <v>3.64</v>
      </c>
      <c r="J99" s="134">
        <v>0.06</v>
      </c>
      <c r="K99" s="134">
        <v>196.52</v>
      </c>
      <c r="L99" s="134">
        <v>25.35</v>
      </c>
      <c r="M99" s="134">
        <v>97.32</v>
      </c>
      <c r="N99" s="134">
        <v>0</v>
      </c>
      <c r="O99" s="134">
        <v>0</v>
      </c>
      <c r="P99" s="134">
        <v>0.35</v>
      </c>
      <c r="Q99" s="134">
        <v>4.4000000000000004</v>
      </c>
    </row>
    <row r="100" spans="1:22" customFormat="1">
      <c r="A100" s="112" t="s">
        <v>2057</v>
      </c>
      <c r="B100" s="134">
        <v>11.58</v>
      </c>
      <c r="C100" s="134">
        <v>14.9</v>
      </c>
      <c r="D100" s="134">
        <v>18.420000000000002</v>
      </c>
      <c r="E100" s="134">
        <v>4.84</v>
      </c>
      <c r="F100" s="134">
        <v>3.09</v>
      </c>
      <c r="G100" s="134">
        <v>3.59</v>
      </c>
      <c r="H100" s="134">
        <v>1.67</v>
      </c>
      <c r="I100" s="134">
        <v>3.59</v>
      </c>
      <c r="J100" s="134">
        <v>0.11</v>
      </c>
      <c r="K100" s="134">
        <v>249.36</v>
      </c>
      <c r="L100" s="134">
        <v>25.14</v>
      </c>
      <c r="M100" s="134">
        <v>97.25</v>
      </c>
      <c r="N100" s="134">
        <v>0</v>
      </c>
      <c r="O100" s="134">
        <v>0</v>
      </c>
      <c r="P100" s="134">
        <v>0.37</v>
      </c>
      <c r="Q100" s="134">
        <v>4.4400000000000004</v>
      </c>
    </row>
    <row r="101" spans="1:22" customFormat="1">
      <c r="A101" s="112" t="s">
        <v>2058</v>
      </c>
      <c r="B101" s="134">
        <v>12.18</v>
      </c>
      <c r="C101" s="134">
        <v>17.920000000000002</v>
      </c>
      <c r="D101" s="134">
        <v>20.48</v>
      </c>
      <c r="E101" s="134">
        <v>5.47</v>
      </c>
      <c r="F101" s="134">
        <v>1.63</v>
      </c>
      <c r="G101" s="134">
        <v>6.76</v>
      </c>
      <c r="H101" s="134">
        <v>1.56</v>
      </c>
      <c r="I101" s="134">
        <v>3.48</v>
      </c>
      <c r="J101" s="134">
        <v>0.06</v>
      </c>
      <c r="K101" s="134">
        <v>248.42</v>
      </c>
      <c r="L101" s="134">
        <v>25.05</v>
      </c>
      <c r="M101" s="134">
        <v>97.03</v>
      </c>
      <c r="N101" s="134">
        <v>0</v>
      </c>
      <c r="O101" s="134">
        <v>0</v>
      </c>
      <c r="P101" s="134">
        <v>0.4</v>
      </c>
      <c r="Q101" s="134">
        <v>4.54</v>
      </c>
    </row>
    <row r="102" spans="1:22" customFormat="1">
      <c r="A102" s="112" t="s">
        <v>2059</v>
      </c>
      <c r="B102" s="134">
        <v>12.4</v>
      </c>
      <c r="C102" s="134">
        <v>16.53</v>
      </c>
      <c r="D102" s="134">
        <v>19.93</v>
      </c>
      <c r="E102" s="134">
        <v>5.77</v>
      </c>
      <c r="F102" s="134">
        <v>2.5499999999999998</v>
      </c>
      <c r="G102" s="134">
        <v>6.76</v>
      </c>
      <c r="H102" s="134">
        <v>1.56</v>
      </c>
      <c r="I102" s="134">
        <v>3.62</v>
      </c>
      <c r="J102" s="134">
        <v>0.15</v>
      </c>
      <c r="K102" s="134">
        <v>121.42</v>
      </c>
      <c r="L102" s="134">
        <v>25.06</v>
      </c>
      <c r="M102" s="134">
        <v>97.12</v>
      </c>
      <c r="N102" s="134">
        <v>0</v>
      </c>
      <c r="O102" s="134">
        <v>0</v>
      </c>
      <c r="P102" s="134">
        <v>0.38</v>
      </c>
      <c r="Q102" s="134">
        <v>4.53</v>
      </c>
    </row>
    <row r="103" spans="1:22" customFormat="1">
      <c r="A103" s="112" t="s">
        <v>2060</v>
      </c>
      <c r="B103" s="134">
        <v>12.44</v>
      </c>
      <c r="C103" s="134">
        <v>14.59</v>
      </c>
      <c r="D103" s="134">
        <v>18.95</v>
      </c>
      <c r="E103" s="134">
        <v>5.47</v>
      </c>
      <c r="F103" s="134">
        <v>3.77</v>
      </c>
      <c r="G103" s="134">
        <v>6.76</v>
      </c>
      <c r="H103" s="134">
        <v>1.56</v>
      </c>
      <c r="I103" s="134">
        <v>3.77</v>
      </c>
      <c r="J103" s="134">
        <v>0.05</v>
      </c>
      <c r="K103" s="134">
        <v>149.6</v>
      </c>
      <c r="L103" s="134">
        <v>24.98</v>
      </c>
      <c r="M103" s="134">
        <v>97.19</v>
      </c>
      <c r="N103" s="134">
        <v>0</v>
      </c>
      <c r="O103" s="134">
        <v>0</v>
      </c>
      <c r="P103" s="134">
        <v>0.36</v>
      </c>
      <c r="Q103" s="134">
        <v>4.47</v>
      </c>
    </row>
    <row r="104" spans="1:22" customFormat="1">
      <c r="A104" s="112" t="s">
        <v>2061</v>
      </c>
      <c r="B104" s="134">
        <v>12.59</v>
      </c>
      <c r="C104" s="134">
        <v>16.12</v>
      </c>
      <c r="D104" s="134">
        <v>19.87</v>
      </c>
      <c r="E104" s="134">
        <v>5.28</v>
      </c>
      <c r="F104" s="134">
        <v>2.87</v>
      </c>
      <c r="G104" s="134">
        <v>6.58</v>
      </c>
      <c r="H104" s="134">
        <v>1.55</v>
      </c>
      <c r="I104" s="134">
        <v>3.63</v>
      </c>
      <c r="J104" s="134">
        <v>0.13</v>
      </c>
      <c r="K104" s="134">
        <v>151.1</v>
      </c>
      <c r="L104" s="134">
        <v>24.99</v>
      </c>
      <c r="M104" s="134">
        <v>96.51</v>
      </c>
      <c r="N104" s="134">
        <v>0</v>
      </c>
      <c r="O104" s="134">
        <v>0</v>
      </c>
      <c r="P104" s="134">
        <v>0.38</v>
      </c>
      <c r="Q104" s="134">
        <v>4.5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7.56</v>
      </c>
      <c r="C106" s="183">
        <f>MIN(C9:C104)</f>
        <v>12.14</v>
      </c>
      <c r="D106" s="183">
        <f t="shared" ref="D106:Q106" si="0">MIN(D9:D104)</f>
        <v>13.94</v>
      </c>
      <c r="E106" s="183">
        <f t="shared" si="0"/>
        <v>1.59</v>
      </c>
      <c r="F106" s="183">
        <f t="shared" si="0"/>
        <v>1.63</v>
      </c>
      <c r="G106" s="183">
        <f t="shared" si="0"/>
        <v>2.12</v>
      </c>
      <c r="H106" s="183">
        <f t="shared" si="0"/>
        <v>0.91</v>
      </c>
      <c r="I106" s="183">
        <f t="shared" si="0"/>
        <v>3.48</v>
      </c>
      <c r="J106" s="183">
        <f t="shared" si="0"/>
        <v>0.05</v>
      </c>
      <c r="K106" s="183">
        <f t="shared" si="0"/>
        <v>79.42</v>
      </c>
      <c r="L106" s="183">
        <f t="shared" si="0"/>
        <v>24.33</v>
      </c>
      <c r="M106" s="183">
        <f t="shared" si="0"/>
        <v>72.2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4.18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13.47</v>
      </c>
      <c r="C107" s="184">
        <f t="shared" ref="C107:Q107" si="1">MAX(C9:C104)</f>
        <v>22.71</v>
      </c>
      <c r="D107" s="184">
        <f t="shared" si="1"/>
        <v>23.08</v>
      </c>
      <c r="E107" s="184">
        <f t="shared" si="1"/>
        <v>5.81</v>
      </c>
      <c r="F107" s="184">
        <f t="shared" si="1"/>
        <v>8.16</v>
      </c>
      <c r="G107" s="184">
        <f t="shared" si="1"/>
        <v>20.34</v>
      </c>
      <c r="H107" s="184">
        <f t="shared" si="1"/>
        <v>18</v>
      </c>
      <c r="I107" s="184">
        <f t="shared" si="1"/>
        <v>9.32</v>
      </c>
      <c r="J107" s="184">
        <f t="shared" si="1"/>
        <v>0.48</v>
      </c>
      <c r="K107" s="184">
        <f t="shared" si="1"/>
        <v>288.73</v>
      </c>
      <c r="L107" s="184">
        <f t="shared" si="1"/>
        <v>31.95</v>
      </c>
      <c r="M107" s="184">
        <f t="shared" si="1"/>
        <v>100.6</v>
      </c>
      <c r="N107" s="184">
        <f t="shared" si="1"/>
        <v>824.7</v>
      </c>
      <c r="O107" s="184">
        <f t="shared" si="1"/>
        <v>0.6</v>
      </c>
      <c r="P107" s="184">
        <f t="shared" si="1"/>
        <v>0.63</v>
      </c>
      <c r="Q107" s="184">
        <f t="shared" si="1"/>
        <v>4.84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10.720624999999998</v>
      </c>
      <c r="C108" s="183">
        <f t="shared" ref="C108:Q108" si="2">AVERAGE(C9:C104)</f>
        <v>17.017604166666668</v>
      </c>
      <c r="D108" s="183">
        <f t="shared" si="2"/>
        <v>18.8396875</v>
      </c>
      <c r="E108" s="183">
        <f t="shared" si="2"/>
        <v>3.7375000000000003</v>
      </c>
      <c r="F108" s="183">
        <f t="shared" si="2"/>
        <v>3.988333333333332</v>
      </c>
      <c r="G108" s="183">
        <f t="shared" si="2"/>
        <v>10.763333333333341</v>
      </c>
      <c r="H108" s="183">
        <f t="shared" si="2"/>
        <v>6.2957291666666668</v>
      </c>
      <c r="I108" s="183">
        <f t="shared" si="2"/>
        <v>5.9586458333333345</v>
      </c>
      <c r="J108" s="183">
        <f t="shared" si="2"/>
        <v>0.16229166666666664</v>
      </c>
      <c r="K108" s="183">
        <f t="shared" si="2"/>
        <v>221.33354166666666</v>
      </c>
      <c r="L108" s="183">
        <f t="shared" si="2"/>
        <v>26.81677083333334</v>
      </c>
      <c r="M108" s="183">
        <f t="shared" si="2"/>
        <v>93.349062499999988</v>
      </c>
      <c r="N108" s="183">
        <f t="shared" si="2"/>
        <v>138.42916666666673</v>
      </c>
      <c r="O108" s="183">
        <f t="shared" si="2"/>
        <v>3.125E-2</v>
      </c>
      <c r="P108" s="183">
        <f t="shared" si="2"/>
        <v>0.48385416666666675</v>
      </c>
      <c r="Q108" s="183">
        <f t="shared" si="2"/>
        <v>4.5089583333333332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1.9731224586533156</v>
      </c>
      <c r="C109" s="183">
        <f t="shared" ref="C109:Q109" si="3">STDEV(C9:C104)</f>
        <v>2.4652877465410539</v>
      </c>
      <c r="D109" s="183">
        <f t="shared" si="3"/>
        <v>2.6379220103889667</v>
      </c>
      <c r="E109" s="183">
        <f t="shared" si="3"/>
        <v>1.1793102355101273</v>
      </c>
      <c r="F109" s="183">
        <f t="shared" si="3"/>
        <v>1.494592122967032</v>
      </c>
      <c r="G109" s="183">
        <f t="shared" si="3"/>
        <v>6.0421564060430963</v>
      </c>
      <c r="H109" s="183">
        <f t="shared" si="3"/>
        <v>5.0637948625598685</v>
      </c>
      <c r="I109" s="183">
        <f t="shared" si="3"/>
        <v>1.8347990681854072</v>
      </c>
      <c r="J109" s="183">
        <f t="shared" si="3"/>
        <v>8.5378157772122293E-2</v>
      </c>
      <c r="K109" s="183">
        <f t="shared" si="3"/>
        <v>45.950631516859779</v>
      </c>
      <c r="L109" s="183">
        <f t="shared" si="3"/>
        <v>2.3219703496866666</v>
      </c>
      <c r="M109" s="183">
        <f t="shared" si="3"/>
        <v>9.2306983345478493</v>
      </c>
      <c r="N109" s="183">
        <f t="shared" si="3"/>
        <v>217.04731374405154</v>
      </c>
      <c r="O109" s="183">
        <f t="shared" si="3"/>
        <v>0.10594189072565355</v>
      </c>
      <c r="P109" s="183">
        <f t="shared" si="3"/>
        <v>8.7013245109934065E-2</v>
      </c>
      <c r="Q109" s="183">
        <f t="shared" si="3"/>
        <v>0.19698506043628186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20/08/2023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2062</v>
      </c>
      <c r="B9" s="134">
        <v>11.78</v>
      </c>
      <c r="C9" s="134">
        <v>19.05</v>
      </c>
      <c r="D9" s="134">
        <v>20.75</v>
      </c>
      <c r="E9" s="134">
        <v>5.68</v>
      </c>
      <c r="F9" s="134">
        <v>1.7</v>
      </c>
      <c r="G9" s="134">
        <v>5.1100000000000003</v>
      </c>
      <c r="H9" s="134">
        <v>1.48</v>
      </c>
      <c r="I9" s="134">
        <v>3.53</v>
      </c>
      <c r="J9" s="134">
        <v>0.08</v>
      </c>
      <c r="K9" s="134">
        <v>115.17</v>
      </c>
      <c r="L9" s="134">
        <v>24.92</v>
      </c>
      <c r="M9" s="134">
        <v>96.71</v>
      </c>
      <c r="N9" s="134">
        <v>0</v>
      </c>
      <c r="O9" s="134">
        <v>0</v>
      </c>
      <c r="P9" s="134">
        <v>0.4</v>
      </c>
      <c r="Q9" s="134">
        <v>4.6100000000000003</v>
      </c>
    </row>
    <row r="10" spans="1:21" customFormat="1">
      <c r="A10" s="112" t="s">
        <v>2063</v>
      </c>
      <c r="B10" s="134">
        <v>11.96</v>
      </c>
      <c r="C10" s="134">
        <v>16.63</v>
      </c>
      <c r="D10" s="134">
        <v>19.64</v>
      </c>
      <c r="E10" s="134">
        <v>5.68</v>
      </c>
      <c r="F10" s="134">
        <v>2.93</v>
      </c>
      <c r="G10" s="134">
        <v>5.1100000000000003</v>
      </c>
      <c r="H10" s="134">
        <v>1.48</v>
      </c>
      <c r="I10" s="134">
        <v>3.67</v>
      </c>
      <c r="J10" s="134">
        <v>0.16</v>
      </c>
      <c r="K10" s="134">
        <v>123.3</v>
      </c>
      <c r="L10" s="134">
        <v>24.83</v>
      </c>
      <c r="M10" s="134">
        <v>96.82</v>
      </c>
      <c r="N10" s="134">
        <v>0</v>
      </c>
      <c r="O10" s="134">
        <v>0</v>
      </c>
      <c r="P10" s="134">
        <v>0.38</v>
      </c>
      <c r="Q10" s="134">
        <v>4.59</v>
      </c>
    </row>
    <row r="11" spans="1:21" customFormat="1">
      <c r="A11" s="112" t="s">
        <v>2064</v>
      </c>
      <c r="B11" s="134">
        <v>12.14</v>
      </c>
      <c r="C11" s="134">
        <v>15.92</v>
      </c>
      <c r="D11" s="134">
        <v>19.399999999999999</v>
      </c>
      <c r="E11" s="134">
        <v>5.3</v>
      </c>
      <c r="F11" s="134">
        <v>3.01</v>
      </c>
      <c r="G11" s="134">
        <v>5.1100000000000003</v>
      </c>
      <c r="H11" s="134">
        <v>1.48</v>
      </c>
      <c r="I11" s="134">
        <v>3.73</v>
      </c>
      <c r="J11" s="134">
        <v>0.14000000000000001</v>
      </c>
      <c r="K11" s="134">
        <v>95.94</v>
      </c>
      <c r="L11" s="134">
        <v>24.91</v>
      </c>
      <c r="M11" s="134">
        <v>96.92</v>
      </c>
      <c r="N11" s="134">
        <v>0</v>
      </c>
      <c r="O11" s="134">
        <v>0</v>
      </c>
      <c r="P11" s="134">
        <v>0.38</v>
      </c>
      <c r="Q11" s="134">
        <v>4.53</v>
      </c>
    </row>
    <row r="12" spans="1:21" customFormat="1">
      <c r="A12" s="112" t="s">
        <v>2065</v>
      </c>
      <c r="B12" s="134">
        <v>12.44</v>
      </c>
      <c r="C12" s="134">
        <v>18.149999999999999</v>
      </c>
      <c r="D12" s="134">
        <v>20.81</v>
      </c>
      <c r="E12" s="134">
        <v>5.86</v>
      </c>
      <c r="F12" s="134">
        <v>1.85</v>
      </c>
      <c r="G12" s="134">
        <v>5.08</v>
      </c>
      <c r="H12" s="134">
        <v>1.48</v>
      </c>
      <c r="I12" s="134">
        <v>3.6</v>
      </c>
      <c r="J12" s="134">
        <v>0.28000000000000003</v>
      </c>
      <c r="K12" s="134">
        <v>125.73</v>
      </c>
      <c r="L12" s="134">
        <v>24.95</v>
      </c>
      <c r="M12" s="134">
        <v>96.66</v>
      </c>
      <c r="N12" s="134">
        <v>0</v>
      </c>
      <c r="O12" s="134">
        <v>0</v>
      </c>
      <c r="P12" s="134">
        <v>0.41</v>
      </c>
      <c r="Q12" s="134">
        <v>4.63</v>
      </c>
    </row>
    <row r="13" spans="1:21" customFormat="1">
      <c r="A13" s="112" t="s">
        <v>2066</v>
      </c>
      <c r="B13" s="134">
        <v>12.42</v>
      </c>
      <c r="C13" s="134">
        <v>16.75</v>
      </c>
      <c r="D13" s="134">
        <v>20.07</v>
      </c>
      <c r="E13" s="134">
        <v>5.43</v>
      </c>
      <c r="F13" s="134">
        <v>3.2</v>
      </c>
      <c r="G13" s="134">
        <v>4.8499999999999996</v>
      </c>
      <c r="H13" s="134">
        <v>1.43</v>
      </c>
      <c r="I13" s="134">
        <v>3.61</v>
      </c>
      <c r="J13" s="134">
        <v>0.18</v>
      </c>
      <c r="K13" s="134">
        <v>136.78</v>
      </c>
      <c r="L13" s="134">
        <v>25.02</v>
      </c>
      <c r="M13" s="134">
        <v>95.5</v>
      </c>
      <c r="N13" s="134">
        <v>0</v>
      </c>
      <c r="O13" s="134">
        <v>0</v>
      </c>
      <c r="P13" s="134">
        <v>0.39</v>
      </c>
      <c r="Q13" s="134">
        <v>4.6500000000000004</v>
      </c>
    </row>
    <row r="14" spans="1:21" customFormat="1">
      <c r="A14" s="112" t="s">
        <v>2067</v>
      </c>
      <c r="B14" s="134">
        <v>12.53</v>
      </c>
      <c r="C14" s="134">
        <v>16.25</v>
      </c>
      <c r="D14" s="134">
        <v>19.899999999999999</v>
      </c>
      <c r="E14" s="134">
        <v>5.46</v>
      </c>
      <c r="F14" s="134">
        <v>3.31</v>
      </c>
      <c r="G14" s="134">
        <v>4.8499999999999996</v>
      </c>
      <c r="H14" s="134">
        <v>1.43</v>
      </c>
      <c r="I14" s="134">
        <v>3.71</v>
      </c>
      <c r="J14" s="134">
        <v>0.2</v>
      </c>
      <c r="K14" s="134">
        <v>143.52000000000001</v>
      </c>
      <c r="L14" s="134">
        <v>25.04</v>
      </c>
      <c r="M14" s="134">
        <v>95.58</v>
      </c>
      <c r="N14" s="134">
        <v>0</v>
      </c>
      <c r="O14" s="134">
        <v>0</v>
      </c>
      <c r="P14" s="134">
        <v>0.38</v>
      </c>
      <c r="Q14" s="134">
        <v>4.62</v>
      </c>
    </row>
    <row r="15" spans="1:21" customFormat="1">
      <c r="A15" s="112" t="s">
        <v>2068</v>
      </c>
      <c r="B15" s="134">
        <v>12.87</v>
      </c>
      <c r="C15" s="134">
        <v>18.53</v>
      </c>
      <c r="D15" s="134">
        <v>21.36</v>
      </c>
      <c r="E15" s="134">
        <v>5.93</v>
      </c>
      <c r="F15" s="134">
        <v>1.94</v>
      </c>
      <c r="G15" s="134">
        <v>4.8499999999999996</v>
      </c>
      <c r="H15" s="134">
        <v>1.43</v>
      </c>
      <c r="I15" s="134">
        <v>3.59</v>
      </c>
      <c r="J15" s="134">
        <v>0.06</v>
      </c>
      <c r="K15" s="134">
        <v>136.41</v>
      </c>
      <c r="L15" s="134">
        <v>24.84</v>
      </c>
      <c r="M15" s="134">
        <v>96.68</v>
      </c>
      <c r="N15" s="134">
        <v>0</v>
      </c>
      <c r="O15" s="134">
        <v>0</v>
      </c>
      <c r="P15" s="134">
        <v>0.4</v>
      </c>
      <c r="Q15" s="134">
        <v>4.7</v>
      </c>
    </row>
    <row r="16" spans="1:21" customFormat="1">
      <c r="A16" s="112" t="s">
        <v>2069</v>
      </c>
      <c r="B16" s="134">
        <v>12.89</v>
      </c>
      <c r="C16" s="134">
        <v>17.309999999999999</v>
      </c>
      <c r="D16" s="134">
        <v>20.73</v>
      </c>
      <c r="E16" s="134">
        <v>5.66</v>
      </c>
      <c r="F16" s="134">
        <v>2.72</v>
      </c>
      <c r="G16" s="134">
        <v>4.7</v>
      </c>
      <c r="H16" s="134">
        <v>1.43</v>
      </c>
      <c r="I16" s="134">
        <v>3.57</v>
      </c>
      <c r="J16" s="134">
        <v>0.13</v>
      </c>
      <c r="K16" s="134">
        <v>135.05000000000001</v>
      </c>
      <c r="L16" s="134">
        <v>24.77</v>
      </c>
      <c r="M16" s="134">
        <v>97.02</v>
      </c>
      <c r="N16" s="134">
        <v>0</v>
      </c>
      <c r="O16" s="134">
        <v>0</v>
      </c>
      <c r="P16" s="134">
        <v>0.39</v>
      </c>
      <c r="Q16" s="134">
        <v>4.6900000000000004</v>
      </c>
    </row>
    <row r="17" spans="1:17" customFormat="1">
      <c r="A17" s="112" t="s">
        <v>2070</v>
      </c>
      <c r="B17" s="134">
        <v>12.76</v>
      </c>
      <c r="C17" s="134">
        <v>15.87</v>
      </c>
      <c r="D17" s="134">
        <v>19.87</v>
      </c>
      <c r="E17" s="134">
        <v>3.94</v>
      </c>
      <c r="F17" s="134">
        <v>3.36</v>
      </c>
      <c r="G17" s="134">
        <v>3.45</v>
      </c>
      <c r="H17" s="134">
        <v>1.41</v>
      </c>
      <c r="I17" s="134">
        <v>3.7</v>
      </c>
      <c r="J17" s="134">
        <v>0.16</v>
      </c>
      <c r="K17" s="134">
        <v>152.81</v>
      </c>
      <c r="L17" s="134">
        <v>24.72</v>
      </c>
      <c r="M17" s="134">
        <v>97.21</v>
      </c>
      <c r="N17" s="134">
        <v>0</v>
      </c>
      <c r="O17" s="134">
        <v>0</v>
      </c>
      <c r="P17" s="134">
        <v>0.37</v>
      </c>
      <c r="Q17" s="134">
        <v>4.6500000000000004</v>
      </c>
    </row>
    <row r="18" spans="1:17" customFormat="1">
      <c r="A18" s="112" t="s">
        <v>2071</v>
      </c>
      <c r="B18" s="134">
        <v>13.21</v>
      </c>
      <c r="C18" s="134">
        <v>18.55</v>
      </c>
      <c r="D18" s="134">
        <v>21.64</v>
      </c>
      <c r="E18" s="134">
        <v>4.87</v>
      </c>
      <c r="F18" s="134">
        <v>1.93</v>
      </c>
      <c r="G18" s="134">
        <v>3.45</v>
      </c>
      <c r="H18" s="134">
        <v>1.41</v>
      </c>
      <c r="I18" s="134">
        <v>3.58</v>
      </c>
      <c r="J18" s="134">
        <v>0.09</v>
      </c>
      <c r="K18" s="134">
        <v>114.42</v>
      </c>
      <c r="L18" s="134">
        <v>24.76</v>
      </c>
      <c r="M18" s="134">
        <v>97.58</v>
      </c>
      <c r="N18" s="134">
        <v>0</v>
      </c>
      <c r="O18" s="134">
        <v>0</v>
      </c>
      <c r="P18" s="134">
        <v>0.39</v>
      </c>
      <c r="Q18" s="134">
        <v>4.71</v>
      </c>
    </row>
    <row r="19" spans="1:17" customFormat="1">
      <c r="A19" s="112" t="s">
        <v>2072</v>
      </c>
      <c r="B19" s="134">
        <v>13.16</v>
      </c>
      <c r="C19" s="134">
        <v>18.97</v>
      </c>
      <c r="D19" s="134">
        <v>21.81</v>
      </c>
      <c r="E19" s="134">
        <v>5.57</v>
      </c>
      <c r="F19" s="134">
        <v>2.2400000000000002</v>
      </c>
      <c r="G19" s="134">
        <v>3.45</v>
      </c>
      <c r="H19" s="134">
        <v>1.41</v>
      </c>
      <c r="I19" s="134">
        <v>3.53</v>
      </c>
      <c r="J19" s="134">
        <v>0.04</v>
      </c>
      <c r="K19" s="134">
        <v>160.54</v>
      </c>
      <c r="L19" s="134">
        <v>24.92</v>
      </c>
      <c r="M19" s="134">
        <v>97.35</v>
      </c>
      <c r="N19" s="134">
        <v>0</v>
      </c>
      <c r="O19" s="134">
        <v>0</v>
      </c>
      <c r="P19" s="134">
        <v>0.41</v>
      </c>
      <c r="Q19" s="134">
        <v>4.74</v>
      </c>
    </row>
    <row r="20" spans="1:17" customFormat="1">
      <c r="A20" s="112" t="s">
        <v>2073</v>
      </c>
      <c r="B20" s="134">
        <v>12.24</v>
      </c>
      <c r="C20" s="134">
        <v>20.07</v>
      </c>
      <c r="D20" s="134">
        <v>21.65</v>
      </c>
      <c r="E20" s="134">
        <v>4.78</v>
      </c>
      <c r="F20" s="134">
        <v>2.31</v>
      </c>
      <c r="G20" s="134">
        <v>3.67</v>
      </c>
      <c r="H20" s="134">
        <v>1.42</v>
      </c>
      <c r="I20" s="134">
        <v>3.71</v>
      </c>
      <c r="J20" s="134">
        <v>0.08</v>
      </c>
      <c r="K20" s="134">
        <v>280</v>
      </c>
      <c r="L20" s="134">
        <v>24.98</v>
      </c>
      <c r="M20" s="134">
        <v>97.25</v>
      </c>
      <c r="N20" s="134">
        <v>0</v>
      </c>
      <c r="O20" s="134">
        <v>0</v>
      </c>
      <c r="P20" s="134">
        <v>0.45</v>
      </c>
      <c r="Q20" s="134">
        <v>4.75</v>
      </c>
    </row>
    <row r="21" spans="1:17" customFormat="1">
      <c r="A21" s="112" t="s">
        <v>2074</v>
      </c>
      <c r="B21" s="134">
        <v>12.21</v>
      </c>
      <c r="C21" s="134">
        <v>19.13</v>
      </c>
      <c r="D21" s="134">
        <v>21.14</v>
      </c>
      <c r="E21" s="134">
        <v>4.7699999999999996</v>
      </c>
      <c r="F21" s="134">
        <v>2.6</v>
      </c>
      <c r="G21" s="134">
        <v>5.47</v>
      </c>
      <c r="H21" s="134">
        <v>1.45</v>
      </c>
      <c r="I21" s="134">
        <v>3.65</v>
      </c>
      <c r="J21" s="134">
        <v>7.0000000000000007E-2</v>
      </c>
      <c r="K21" s="134">
        <v>149.06</v>
      </c>
      <c r="L21" s="134">
        <v>24.94</v>
      </c>
      <c r="M21" s="134">
        <v>96.27</v>
      </c>
      <c r="N21" s="134">
        <v>0</v>
      </c>
      <c r="O21" s="134">
        <v>0</v>
      </c>
      <c r="P21" s="134">
        <v>0.41</v>
      </c>
      <c r="Q21" s="134">
        <v>4.75</v>
      </c>
    </row>
    <row r="22" spans="1:17" customFormat="1">
      <c r="A22" s="112" t="s">
        <v>2075</v>
      </c>
      <c r="B22" s="134">
        <v>12.59</v>
      </c>
      <c r="C22" s="134">
        <v>16.309999999999999</v>
      </c>
      <c r="D22" s="134">
        <v>19.97</v>
      </c>
      <c r="E22" s="134">
        <v>4.4800000000000004</v>
      </c>
      <c r="F22" s="134">
        <v>3.24</v>
      </c>
      <c r="G22" s="134">
        <v>5.47</v>
      </c>
      <c r="H22" s="134">
        <v>1.45</v>
      </c>
      <c r="I22" s="134">
        <v>3.6</v>
      </c>
      <c r="J22" s="134">
        <v>0.06</v>
      </c>
      <c r="K22" s="134">
        <v>131.1</v>
      </c>
      <c r="L22" s="134">
        <v>24.92</v>
      </c>
      <c r="M22" s="134">
        <v>96.35</v>
      </c>
      <c r="N22" s="134">
        <v>0</v>
      </c>
      <c r="O22" s="134">
        <v>0</v>
      </c>
      <c r="P22" s="134">
        <v>0.37</v>
      </c>
      <c r="Q22" s="134">
        <v>4.67</v>
      </c>
    </row>
    <row r="23" spans="1:17" customFormat="1">
      <c r="A23" s="112" t="s">
        <v>2076</v>
      </c>
      <c r="B23" s="134">
        <v>12.66</v>
      </c>
      <c r="C23" s="134">
        <v>15.84</v>
      </c>
      <c r="D23" s="134">
        <v>19.78</v>
      </c>
      <c r="E23" s="134">
        <v>3.67</v>
      </c>
      <c r="F23" s="134">
        <v>3.3</v>
      </c>
      <c r="G23" s="134">
        <v>5.47</v>
      </c>
      <c r="H23" s="134">
        <v>1.45</v>
      </c>
      <c r="I23" s="134">
        <v>3.48</v>
      </c>
      <c r="J23" s="134">
        <v>0.06</v>
      </c>
      <c r="K23" s="134">
        <v>172</v>
      </c>
      <c r="L23" s="134">
        <v>24.87</v>
      </c>
      <c r="M23" s="134">
        <v>96.1</v>
      </c>
      <c r="N23" s="134">
        <v>0</v>
      </c>
      <c r="O23" s="134">
        <v>0</v>
      </c>
      <c r="P23" s="134">
        <v>0.35</v>
      </c>
      <c r="Q23" s="134">
        <v>4.67</v>
      </c>
    </row>
    <row r="24" spans="1:17" customFormat="1">
      <c r="A24" s="112" t="s">
        <v>2077</v>
      </c>
      <c r="B24" s="134">
        <v>12.78</v>
      </c>
      <c r="C24" s="134">
        <v>16.03</v>
      </c>
      <c r="D24" s="134">
        <v>19.98</v>
      </c>
      <c r="E24" s="134">
        <v>4.33</v>
      </c>
      <c r="F24" s="134">
        <v>3.17</v>
      </c>
      <c r="G24" s="134">
        <v>5.35</v>
      </c>
      <c r="H24" s="134">
        <v>1.43</v>
      </c>
      <c r="I24" s="134">
        <v>3.36</v>
      </c>
      <c r="J24" s="134">
        <v>0.15</v>
      </c>
      <c r="K24" s="134">
        <v>268.89</v>
      </c>
      <c r="L24" s="134">
        <v>24.87</v>
      </c>
      <c r="M24" s="134">
        <v>95.55</v>
      </c>
      <c r="N24" s="134">
        <v>0</v>
      </c>
      <c r="O24" s="134">
        <v>0</v>
      </c>
      <c r="P24" s="134">
        <v>0.34</v>
      </c>
      <c r="Q24" s="134">
        <v>4.6900000000000004</v>
      </c>
    </row>
    <row r="25" spans="1:17" customFormat="1">
      <c r="A25" s="112" t="s">
        <v>2078</v>
      </c>
      <c r="B25" s="134">
        <v>13.17</v>
      </c>
      <c r="C25" s="134">
        <v>19.13</v>
      </c>
      <c r="D25" s="134">
        <v>21.91</v>
      </c>
      <c r="E25" s="134">
        <v>4.74</v>
      </c>
      <c r="F25" s="134">
        <v>1.71</v>
      </c>
      <c r="G25" s="134">
        <v>4.4000000000000004</v>
      </c>
      <c r="H25" s="134">
        <v>1.36</v>
      </c>
      <c r="I25" s="134">
        <v>3.31</v>
      </c>
      <c r="J25" s="134">
        <v>0.04</v>
      </c>
      <c r="K25" s="134">
        <v>254.01</v>
      </c>
      <c r="L25" s="134">
        <v>24.8</v>
      </c>
      <c r="M25" s="134">
        <v>96.02</v>
      </c>
      <c r="N25" s="134">
        <v>0</v>
      </c>
      <c r="O25" s="134">
        <v>0</v>
      </c>
      <c r="P25" s="134">
        <v>0.38</v>
      </c>
      <c r="Q25" s="134">
        <v>4.76</v>
      </c>
    </row>
    <row r="26" spans="1:17" customFormat="1">
      <c r="A26" s="112" t="s">
        <v>2079</v>
      </c>
      <c r="B26" s="134">
        <v>13.44</v>
      </c>
      <c r="C26" s="134">
        <v>18.72</v>
      </c>
      <c r="D26" s="134">
        <v>21.9</v>
      </c>
      <c r="E26" s="134">
        <v>4.68</v>
      </c>
      <c r="F26" s="134">
        <v>2.25</v>
      </c>
      <c r="G26" s="134">
        <v>4.4000000000000004</v>
      </c>
      <c r="H26" s="134">
        <v>1.36</v>
      </c>
      <c r="I26" s="134">
        <v>3.3</v>
      </c>
      <c r="J26" s="134">
        <v>0.06</v>
      </c>
      <c r="K26" s="134">
        <v>151.1</v>
      </c>
      <c r="L26" s="134">
        <v>24.73</v>
      </c>
      <c r="M26" s="134">
        <v>96.32</v>
      </c>
      <c r="N26" s="134">
        <v>0</v>
      </c>
      <c r="O26" s="134">
        <v>0</v>
      </c>
      <c r="P26" s="134">
        <v>0.39</v>
      </c>
      <c r="Q26" s="134">
        <v>4.7300000000000004</v>
      </c>
    </row>
    <row r="27" spans="1:17" customFormat="1">
      <c r="A27" s="112" t="s">
        <v>2080</v>
      </c>
      <c r="B27" s="134">
        <v>13.57</v>
      </c>
      <c r="C27" s="134">
        <v>16.760000000000002</v>
      </c>
      <c r="D27" s="134">
        <v>20.99</v>
      </c>
      <c r="E27" s="134">
        <v>4.55</v>
      </c>
      <c r="F27" s="134">
        <v>2.92</v>
      </c>
      <c r="G27" s="134">
        <v>4.4000000000000004</v>
      </c>
      <c r="H27" s="134">
        <v>1.36</v>
      </c>
      <c r="I27" s="134">
        <v>3.44</v>
      </c>
      <c r="J27" s="134">
        <v>0.11</v>
      </c>
      <c r="K27" s="134">
        <v>84.44</v>
      </c>
      <c r="L27" s="134">
        <v>24.8</v>
      </c>
      <c r="M27" s="134">
        <v>96.63</v>
      </c>
      <c r="N27" s="134">
        <v>0</v>
      </c>
      <c r="O27" s="134">
        <v>0</v>
      </c>
      <c r="P27" s="134">
        <v>0.35</v>
      </c>
      <c r="Q27" s="134">
        <v>4.71</v>
      </c>
    </row>
    <row r="28" spans="1:17" customFormat="1">
      <c r="A28" s="112" t="s">
        <v>2081</v>
      </c>
      <c r="B28" s="134">
        <v>13.57</v>
      </c>
      <c r="C28" s="134">
        <v>16.12</v>
      </c>
      <c r="D28" s="134">
        <v>20.66</v>
      </c>
      <c r="E28" s="134">
        <v>4.5999999999999996</v>
      </c>
      <c r="F28" s="134">
        <v>2.98</v>
      </c>
      <c r="G28" s="134">
        <v>4.26</v>
      </c>
      <c r="H28" s="134">
        <v>1.36</v>
      </c>
      <c r="I28" s="134">
        <v>3.38</v>
      </c>
      <c r="J28" s="134">
        <v>0.18</v>
      </c>
      <c r="K28" s="134">
        <v>110.5</v>
      </c>
      <c r="L28" s="134">
        <v>24.85</v>
      </c>
      <c r="M28" s="134">
        <v>96.59</v>
      </c>
      <c r="N28" s="134">
        <v>0</v>
      </c>
      <c r="O28" s="134">
        <v>0</v>
      </c>
      <c r="P28" s="134">
        <v>0.35</v>
      </c>
      <c r="Q28" s="134">
        <v>4.68</v>
      </c>
    </row>
    <row r="29" spans="1:17" customFormat="1">
      <c r="A29" s="112" t="s">
        <v>2082</v>
      </c>
      <c r="B29" s="134">
        <v>13.79</v>
      </c>
      <c r="C29" s="134">
        <v>19.46</v>
      </c>
      <c r="D29" s="134">
        <v>22.57</v>
      </c>
      <c r="E29" s="134">
        <v>4.8499999999999996</v>
      </c>
      <c r="F29" s="134">
        <v>1.58</v>
      </c>
      <c r="G29" s="134">
        <v>3.18</v>
      </c>
      <c r="H29" s="134">
        <v>1.35</v>
      </c>
      <c r="I29" s="134">
        <v>3.28</v>
      </c>
      <c r="J29" s="134">
        <v>0.19</v>
      </c>
      <c r="K29" s="134">
        <v>126.57</v>
      </c>
      <c r="L29" s="134">
        <v>24.83</v>
      </c>
      <c r="M29" s="134">
        <v>96</v>
      </c>
      <c r="N29" s="134">
        <v>0</v>
      </c>
      <c r="O29" s="134">
        <v>0</v>
      </c>
      <c r="P29" s="134">
        <v>0.39</v>
      </c>
      <c r="Q29" s="134">
        <v>4.78</v>
      </c>
    </row>
    <row r="30" spans="1:17" customFormat="1">
      <c r="A30" s="112" t="s">
        <v>2083</v>
      </c>
      <c r="B30" s="134">
        <v>14.05</v>
      </c>
      <c r="C30" s="134">
        <v>18.399999999999999</v>
      </c>
      <c r="D30" s="134">
        <v>22.23</v>
      </c>
      <c r="E30" s="134">
        <v>5.62</v>
      </c>
      <c r="F30" s="134">
        <v>2.2999999999999998</v>
      </c>
      <c r="G30" s="134">
        <v>3.18</v>
      </c>
      <c r="H30" s="134">
        <v>1.35</v>
      </c>
      <c r="I30" s="134">
        <v>3.3</v>
      </c>
      <c r="J30" s="134">
        <v>0.17</v>
      </c>
      <c r="K30" s="134">
        <v>135</v>
      </c>
      <c r="L30" s="134">
        <v>24.89</v>
      </c>
      <c r="M30" s="134">
        <v>96.09</v>
      </c>
      <c r="N30" s="134">
        <v>0</v>
      </c>
      <c r="O30" s="134">
        <v>0</v>
      </c>
      <c r="P30" s="134">
        <v>0.38</v>
      </c>
      <c r="Q30" s="134">
        <v>4.7699999999999996</v>
      </c>
    </row>
    <row r="31" spans="1:17" customFormat="1">
      <c r="A31" s="112" t="s">
        <v>2084</v>
      </c>
      <c r="B31" s="134">
        <v>14.04</v>
      </c>
      <c r="C31" s="134">
        <v>16.71</v>
      </c>
      <c r="D31" s="134">
        <v>21.34</v>
      </c>
      <c r="E31" s="134">
        <v>4.83</v>
      </c>
      <c r="F31" s="134">
        <v>3.11</v>
      </c>
      <c r="G31" s="134">
        <v>3.18</v>
      </c>
      <c r="H31" s="134">
        <v>1.35</v>
      </c>
      <c r="I31" s="134">
        <v>3.43</v>
      </c>
      <c r="J31" s="134">
        <v>0.21</v>
      </c>
      <c r="K31" s="134">
        <v>135.66999999999999</v>
      </c>
      <c r="L31" s="134">
        <v>24.64</v>
      </c>
      <c r="M31" s="134">
        <v>97.1</v>
      </c>
      <c r="N31" s="134">
        <v>0</v>
      </c>
      <c r="O31" s="134">
        <v>0.4</v>
      </c>
      <c r="P31" s="134">
        <v>0.36</v>
      </c>
      <c r="Q31" s="134">
        <v>4.74</v>
      </c>
    </row>
    <row r="32" spans="1:17" customFormat="1">
      <c r="A32" s="112" t="s">
        <v>2085</v>
      </c>
      <c r="B32" s="134">
        <v>14.17</v>
      </c>
      <c r="C32" s="134">
        <v>19</v>
      </c>
      <c r="D32" s="134">
        <v>22.65</v>
      </c>
      <c r="E32" s="134">
        <v>5.03</v>
      </c>
      <c r="F32" s="134">
        <v>1.95</v>
      </c>
      <c r="G32" s="134">
        <v>3.09</v>
      </c>
      <c r="H32" s="134">
        <v>1.35</v>
      </c>
      <c r="I32" s="134">
        <v>3.37</v>
      </c>
      <c r="J32" s="134">
        <v>0.12</v>
      </c>
      <c r="K32" s="134">
        <v>110.51</v>
      </c>
      <c r="L32" s="134">
        <v>24.52</v>
      </c>
      <c r="M32" s="134">
        <v>98.15</v>
      </c>
      <c r="N32" s="134">
        <v>0.6</v>
      </c>
      <c r="O32" s="134">
        <v>0</v>
      </c>
      <c r="P32" s="134">
        <v>0.39</v>
      </c>
      <c r="Q32" s="134">
        <v>4.79</v>
      </c>
    </row>
    <row r="33" spans="1:17" customFormat="1">
      <c r="A33" s="112" t="s">
        <v>2086</v>
      </c>
      <c r="B33" s="134">
        <v>14.24</v>
      </c>
      <c r="C33" s="134">
        <v>18.399999999999999</v>
      </c>
      <c r="D33" s="134">
        <v>22.39</v>
      </c>
      <c r="E33" s="134">
        <v>5.15</v>
      </c>
      <c r="F33" s="134">
        <v>2.52</v>
      </c>
      <c r="G33" s="134">
        <v>2.42</v>
      </c>
      <c r="H33" s="134">
        <v>1.33</v>
      </c>
      <c r="I33" s="134">
        <v>3.29</v>
      </c>
      <c r="J33" s="134">
        <v>0.12</v>
      </c>
      <c r="K33" s="134">
        <v>128.02000000000001</v>
      </c>
      <c r="L33" s="134">
        <v>24.68</v>
      </c>
      <c r="M33" s="134">
        <v>98.54</v>
      </c>
      <c r="N33" s="134">
        <v>5.8</v>
      </c>
      <c r="O33" s="134">
        <v>0</v>
      </c>
      <c r="P33" s="134">
        <v>0.38</v>
      </c>
      <c r="Q33" s="134">
        <v>4.83</v>
      </c>
    </row>
    <row r="34" spans="1:17" customFormat="1">
      <c r="A34" s="112" t="s">
        <v>2087</v>
      </c>
      <c r="B34" s="134">
        <v>14.31</v>
      </c>
      <c r="C34" s="134">
        <v>16.579999999999998</v>
      </c>
      <c r="D34" s="134">
        <v>21.49</v>
      </c>
      <c r="E34" s="134">
        <v>5.31</v>
      </c>
      <c r="F34" s="134">
        <v>3.07</v>
      </c>
      <c r="G34" s="134">
        <v>2.42</v>
      </c>
      <c r="H34" s="134">
        <v>1.33</v>
      </c>
      <c r="I34" s="134">
        <v>3.42</v>
      </c>
      <c r="J34" s="134">
        <v>0.12</v>
      </c>
      <c r="K34" s="134">
        <v>98.67</v>
      </c>
      <c r="L34" s="134">
        <v>24.79</v>
      </c>
      <c r="M34" s="134">
        <v>98.55</v>
      </c>
      <c r="N34" s="134">
        <v>8.4</v>
      </c>
      <c r="O34" s="134">
        <v>0</v>
      </c>
      <c r="P34" s="134">
        <v>0.36</v>
      </c>
      <c r="Q34" s="134">
        <v>4.7699999999999996</v>
      </c>
    </row>
    <row r="35" spans="1:17" customFormat="1">
      <c r="A35" s="112" t="s">
        <v>2088</v>
      </c>
      <c r="B35" s="134">
        <v>14.52</v>
      </c>
      <c r="C35" s="134">
        <v>18.79</v>
      </c>
      <c r="D35" s="134">
        <v>22.81</v>
      </c>
      <c r="E35" s="134">
        <v>5.43</v>
      </c>
      <c r="F35" s="134">
        <v>1.87</v>
      </c>
      <c r="G35" s="134">
        <v>2.42</v>
      </c>
      <c r="H35" s="134">
        <v>1.33</v>
      </c>
      <c r="I35" s="134">
        <v>3.32</v>
      </c>
      <c r="J35" s="134">
        <v>0.18</v>
      </c>
      <c r="K35" s="134">
        <v>94.57</v>
      </c>
      <c r="L35" s="134">
        <v>24.94</v>
      </c>
      <c r="M35" s="134">
        <v>98.34</v>
      </c>
      <c r="N35" s="134">
        <v>20.3</v>
      </c>
      <c r="O35" s="134">
        <v>0</v>
      </c>
      <c r="P35" s="134">
        <v>0.38</v>
      </c>
      <c r="Q35" s="134">
        <v>4.84</v>
      </c>
    </row>
    <row r="36" spans="1:17" customFormat="1">
      <c r="A36" s="112" t="s">
        <v>2089</v>
      </c>
      <c r="B36" s="134">
        <v>14.74</v>
      </c>
      <c r="C36" s="134">
        <v>18.579999999999998</v>
      </c>
      <c r="D36" s="134">
        <v>22.88</v>
      </c>
      <c r="E36" s="134">
        <v>5.52</v>
      </c>
      <c r="F36" s="134">
        <v>2.29</v>
      </c>
      <c r="G36" s="134">
        <v>2.37</v>
      </c>
      <c r="H36" s="134">
        <v>1.33</v>
      </c>
      <c r="I36" s="134">
        <v>3.29</v>
      </c>
      <c r="J36" s="134">
        <v>0.06</v>
      </c>
      <c r="K36" s="134">
        <v>141.32</v>
      </c>
      <c r="L36" s="134">
        <v>25.11</v>
      </c>
      <c r="M36" s="134">
        <v>98.19</v>
      </c>
      <c r="N36" s="134">
        <v>31.6</v>
      </c>
      <c r="O36" s="134">
        <v>0</v>
      </c>
      <c r="P36" s="134">
        <v>0.38</v>
      </c>
      <c r="Q36" s="134">
        <v>4.8499999999999996</v>
      </c>
    </row>
    <row r="37" spans="1:17" customFormat="1">
      <c r="A37" s="112" t="s">
        <v>2090</v>
      </c>
      <c r="B37" s="134">
        <v>14.6</v>
      </c>
      <c r="C37" s="134">
        <v>16.91</v>
      </c>
      <c r="D37" s="134">
        <v>21.89</v>
      </c>
      <c r="E37" s="134">
        <v>5.12</v>
      </c>
      <c r="F37" s="134">
        <v>3.09</v>
      </c>
      <c r="G37" s="134">
        <v>1.89</v>
      </c>
      <c r="H37" s="134">
        <v>1.3</v>
      </c>
      <c r="I37" s="134">
        <v>3.41</v>
      </c>
      <c r="J37" s="134">
        <v>0.32</v>
      </c>
      <c r="K37" s="134">
        <v>270.29000000000002</v>
      </c>
      <c r="L37" s="134">
        <v>25.08</v>
      </c>
      <c r="M37" s="134">
        <v>96.55</v>
      </c>
      <c r="N37" s="134">
        <v>41.6</v>
      </c>
      <c r="O37" s="134">
        <v>0</v>
      </c>
      <c r="P37" s="134">
        <v>0.37</v>
      </c>
      <c r="Q37" s="134">
        <v>4.8099999999999996</v>
      </c>
    </row>
    <row r="38" spans="1:17" customFormat="1">
      <c r="A38" s="112" t="s">
        <v>2091</v>
      </c>
      <c r="B38" s="134">
        <v>14.78</v>
      </c>
      <c r="C38" s="134">
        <v>16.93</v>
      </c>
      <c r="D38" s="134">
        <v>22.05</v>
      </c>
      <c r="E38" s="134">
        <v>5.0199999999999996</v>
      </c>
      <c r="F38" s="134">
        <v>2.81</v>
      </c>
      <c r="G38" s="134">
        <v>1.89</v>
      </c>
      <c r="H38" s="134">
        <v>1.3</v>
      </c>
      <c r="I38" s="134">
        <v>3.36</v>
      </c>
      <c r="J38" s="134">
        <v>0.18</v>
      </c>
      <c r="K38" s="134">
        <v>283.57</v>
      </c>
      <c r="L38" s="134">
        <v>25.28</v>
      </c>
      <c r="M38" s="134">
        <v>96.17</v>
      </c>
      <c r="N38" s="134">
        <v>75.599999999999994</v>
      </c>
      <c r="O38" s="134">
        <v>0</v>
      </c>
      <c r="P38" s="134">
        <v>0.36</v>
      </c>
      <c r="Q38" s="134">
        <v>4.7699999999999996</v>
      </c>
    </row>
    <row r="39" spans="1:17" customFormat="1">
      <c r="A39" s="112" t="s">
        <v>2092</v>
      </c>
      <c r="B39" s="134">
        <v>14.9</v>
      </c>
      <c r="C39" s="134">
        <v>19.3</v>
      </c>
      <c r="D39" s="134">
        <v>23.38</v>
      </c>
      <c r="E39" s="134">
        <v>5.58</v>
      </c>
      <c r="F39" s="134">
        <v>1.74</v>
      </c>
      <c r="G39" s="134">
        <v>1.89</v>
      </c>
      <c r="H39" s="134">
        <v>1.3</v>
      </c>
      <c r="I39" s="134">
        <v>3.27</v>
      </c>
      <c r="J39" s="134">
        <v>0.26</v>
      </c>
      <c r="K39" s="134">
        <v>259.95999999999998</v>
      </c>
      <c r="L39" s="134">
        <v>25.74</v>
      </c>
      <c r="M39" s="134">
        <v>94.99</v>
      </c>
      <c r="N39" s="134">
        <v>138.19999999999999</v>
      </c>
      <c r="O39" s="134">
        <v>0</v>
      </c>
      <c r="P39" s="134">
        <v>0.39</v>
      </c>
      <c r="Q39" s="134">
        <v>4.8499999999999996</v>
      </c>
    </row>
    <row r="40" spans="1:17" customFormat="1">
      <c r="A40" s="112" t="s">
        <v>2093</v>
      </c>
      <c r="B40" s="134">
        <v>14.52</v>
      </c>
      <c r="C40" s="134">
        <v>19.47</v>
      </c>
      <c r="D40" s="134">
        <v>23.16</v>
      </c>
      <c r="E40" s="134">
        <v>5.3</v>
      </c>
      <c r="F40" s="134">
        <v>2.27</v>
      </c>
      <c r="G40" s="134">
        <v>1.89</v>
      </c>
      <c r="H40" s="134">
        <v>1.3</v>
      </c>
      <c r="I40" s="134">
        <v>3.32</v>
      </c>
      <c r="J40" s="134">
        <v>0.37</v>
      </c>
      <c r="K40" s="134">
        <v>264.13</v>
      </c>
      <c r="L40" s="134">
        <v>25.76</v>
      </c>
      <c r="M40" s="134">
        <v>92.15</v>
      </c>
      <c r="N40" s="134">
        <v>111.4</v>
      </c>
      <c r="O40" s="134">
        <v>0</v>
      </c>
      <c r="P40" s="134">
        <v>0.42</v>
      </c>
      <c r="Q40" s="134">
        <v>4.87</v>
      </c>
    </row>
    <row r="41" spans="1:17" customFormat="1">
      <c r="A41" s="112" t="s">
        <v>2094</v>
      </c>
      <c r="B41" s="134">
        <v>13.45</v>
      </c>
      <c r="C41" s="134">
        <v>20.84</v>
      </c>
      <c r="D41" s="134">
        <v>23.02</v>
      </c>
      <c r="E41" s="134">
        <v>5.25</v>
      </c>
      <c r="F41" s="134">
        <v>2.35</v>
      </c>
      <c r="G41" s="134">
        <v>1.9</v>
      </c>
      <c r="H41" s="134">
        <v>1.33</v>
      </c>
      <c r="I41" s="134">
        <v>3.43</v>
      </c>
      <c r="J41" s="134">
        <v>0.27</v>
      </c>
      <c r="K41" s="134">
        <v>266.81</v>
      </c>
      <c r="L41" s="134">
        <v>25.81</v>
      </c>
      <c r="M41" s="134">
        <v>92.41</v>
      </c>
      <c r="N41" s="134">
        <v>102.2</v>
      </c>
      <c r="O41" s="134">
        <v>0</v>
      </c>
      <c r="P41" s="134">
        <v>0.43</v>
      </c>
      <c r="Q41" s="134">
        <v>4.87</v>
      </c>
    </row>
    <row r="42" spans="1:17" customFormat="1">
      <c r="A42" s="112" t="s">
        <v>2095</v>
      </c>
      <c r="B42" s="134">
        <v>13.22</v>
      </c>
      <c r="C42" s="134">
        <v>18.670000000000002</v>
      </c>
      <c r="D42" s="134">
        <v>21.7</v>
      </c>
      <c r="E42" s="134">
        <v>4.99</v>
      </c>
      <c r="F42" s="134">
        <v>3.16</v>
      </c>
      <c r="G42" s="134">
        <v>1.9</v>
      </c>
      <c r="H42" s="134">
        <v>1.33</v>
      </c>
      <c r="I42" s="134">
        <v>3.42</v>
      </c>
      <c r="J42" s="134">
        <v>0.08</v>
      </c>
      <c r="K42" s="134">
        <v>274.37</v>
      </c>
      <c r="L42" s="134">
        <v>25.92</v>
      </c>
      <c r="M42" s="134">
        <v>91.64</v>
      </c>
      <c r="N42" s="134">
        <v>124.7</v>
      </c>
      <c r="O42" s="134">
        <v>0</v>
      </c>
      <c r="P42" s="134">
        <v>0.38</v>
      </c>
      <c r="Q42" s="134">
        <v>4.79</v>
      </c>
    </row>
    <row r="43" spans="1:17" customFormat="1">
      <c r="A43" s="112" t="s">
        <v>2096</v>
      </c>
      <c r="B43" s="134">
        <v>13.32</v>
      </c>
      <c r="C43" s="134">
        <v>16.47</v>
      </c>
      <c r="D43" s="134">
        <v>20.64</v>
      </c>
      <c r="E43" s="134">
        <v>4.32</v>
      </c>
      <c r="F43" s="134">
        <v>3.33</v>
      </c>
      <c r="G43" s="134">
        <v>1.9</v>
      </c>
      <c r="H43" s="134">
        <v>1.33</v>
      </c>
      <c r="I43" s="134">
        <v>3.34</v>
      </c>
      <c r="J43" s="134">
        <v>0.2</v>
      </c>
      <c r="K43" s="134">
        <v>279.26</v>
      </c>
      <c r="L43" s="134">
        <v>25.93</v>
      </c>
      <c r="M43" s="134">
        <v>90.46</v>
      </c>
      <c r="N43" s="134">
        <v>84.7</v>
      </c>
      <c r="O43" s="134">
        <v>0</v>
      </c>
      <c r="P43" s="134">
        <v>0.36</v>
      </c>
      <c r="Q43" s="134">
        <v>4.7300000000000004</v>
      </c>
    </row>
    <row r="44" spans="1:17" customFormat="1">
      <c r="A44" s="112" t="s">
        <v>2097</v>
      </c>
      <c r="B44" s="134">
        <v>13.38</v>
      </c>
      <c r="C44" s="134">
        <v>16.03</v>
      </c>
      <c r="D44" s="134">
        <v>20.45</v>
      </c>
      <c r="E44" s="134">
        <v>4.0999999999999996</v>
      </c>
      <c r="F44" s="134">
        <v>3.35</v>
      </c>
      <c r="G44" s="134">
        <v>1.86</v>
      </c>
      <c r="H44" s="134">
        <v>1.33</v>
      </c>
      <c r="I44" s="134">
        <v>3.21</v>
      </c>
      <c r="J44" s="134">
        <v>0.13</v>
      </c>
      <c r="K44" s="134">
        <v>273.23</v>
      </c>
      <c r="L44" s="134">
        <v>25.94</v>
      </c>
      <c r="M44" s="134">
        <v>91.38</v>
      </c>
      <c r="N44" s="134">
        <v>92.5</v>
      </c>
      <c r="O44" s="134">
        <v>0</v>
      </c>
      <c r="P44" s="134">
        <v>0.35</v>
      </c>
      <c r="Q44" s="134">
        <v>4.71</v>
      </c>
    </row>
    <row r="45" spans="1:17" customFormat="1">
      <c r="A45" s="112" t="s">
        <v>2098</v>
      </c>
      <c r="B45" s="134">
        <v>13.36</v>
      </c>
      <c r="C45" s="134">
        <v>15.6</v>
      </c>
      <c r="D45" s="134">
        <v>20.22</v>
      </c>
      <c r="E45" s="134">
        <v>4.12</v>
      </c>
      <c r="F45" s="134">
        <v>3.5</v>
      </c>
      <c r="G45" s="134">
        <v>1.5</v>
      </c>
      <c r="H45" s="134">
        <v>1.3</v>
      </c>
      <c r="I45" s="134">
        <v>3.16</v>
      </c>
      <c r="J45" s="134">
        <v>0.16</v>
      </c>
      <c r="K45" s="134">
        <v>275.26</v>
      </c>
      <c r="L45" s="134">
        <v>26.18</v>
      </c>
      <c r="M45" s="134">
        <v>90.89</v>
      </c>
      <c r="N45" s="134">
        <v>132.69999999999999</v>
      </c>
      <c r="O45" s="134">
        <v>0</v>
      </c>
      <c r="P45" s="134">
        <v>0.33</v>
      </c>
      <c r="Q45" s="134">
        <v>4.7</v>
      </c>
    </row>
    <row r="46" spans="1:17" customFormat="1">
      <c r="A46" s="112" t="s">
        <v>2099</v>
      </c>
      <c r="B46" s="134">
        <v>13.83</v>
      </c>
      <c r="C46" s="134">
        <v>19.170000000000002</v>
      </c>
      <c r="D46" s="134">
        <v>22.45</v>
      </c>
      <c r="E46" s="134">
        <v>4.75</v>
      </c>
      <c r="F46" s="134">
        <v>1.91</v>
      </c>
      <c r="G46" s="134">
        <v>1.5</v>
      </c>
      <c r="H46" s="134">
        <v>1.3</v>
      </c>
      <c r="I46" s="134">
        <v>3.12</v>
      </c>
      <c r="J46" s="134">
        <v>0.1</v>
      </c>
      <c r="K46" s="134">
        <v>264.93</v>
      </c>
      <c r="L46" s="134">
        <v>26.32</v>
      </c>
      <c r="M46" s="134">
        <v>89.35</v>
      </c>
      <c r="N46" s="134">
        <v>129.30000000000001</v>
      </c>
      <c r="O46" s="134">
        <v>0</v>
      </c>
      <c r="P46" s="134">
        <v>0.38</v>
      </c>
      <c r="Q46" s="134">
        <v>4.7699999999999996</v>
      </c>
    </row>
    <row r="47" spans="1:17" customFormat="1">
      <c r="A47" s="112" t="s">
        <v>2100</v>
      </c>
      <c r="B47" s="134">
        <v>13.95</v>
      </c>
      <c r="C47" s="134">
        <v>18.71</v>
      </c>
      <c r="D47" s="134">
        <v>22.31</v>
      </c>
      <c r="E47" s="134">
        <v>5.21</v>
      </c>
      <c r="F47" s="134">
        <v>2.4500000000000002</v>
      </c>
      <c r="G47" s="134">
        <v>1.5</v>
      </c>
      <c r="H47" s="134">
        <v>1.3</v>
      </c>
      <c r="I47" s="134">
        <v>3.1</v>
      </c>
      <c r="J47" s="134">
        <v>0.05</v>
      </c>
      <c r="K47" s="134">
        <v>224.7</v>
      </c>
      <c r="L47" s="134">
        <v>26.65</v>
      </c>
      <c r="M47" s="134">
        <v>88.52</v>
      </c>
      <c r="N47" s="134">
        <v>160.30000000000001</v>
      </c>
      <c r="O47" s="134">
        <v>0</v>
      </c>
      <c r="P47" s="134">
        <v>0.38</v>
      </c>
      <c r="Q47" s="134">
        <v>4.74</v>
      </c>
    </row>
    <row r="48" spans="1:17" customFormat="1">
      <c r="A48" s="112" t="s">
        <v>2101</v>
      </c>
      <c r="B48" s="134">
        <v>13.8</v>
      </c>
      <c r="C48" s="134">
        <v>16.89</v>
      </c>
      <c r="D48" s="134">
        <v>21.25</v>
      </c>
      <c r="E48" s="134">
        <v>5.23</v>
      </c>
      <c r="F48" s="134">
        <v>3.31</v>
      </c>
      <c r="G48" s="134">
        <v>1.82</v>
      </c>
      <c r="H48" s="134">
        <v>1.3</v>
      </c>
      <c r="I48" s="134">
        <v>3.27</v>
      </c>
      <c r="J48" s="134">
        <v>0.12</v>
      </c>
      <c r="K48" s="134">
        <v>208.68</v>
      </c>
      <c r="L48" s="134">
        <v>26.86</v>
      </c>
      <c r="M48" s="134">
        <v>87.03</v>
      </c>
      <c r="N48" s="134">
        <v>205.1</v>
      </c>
      <c r="O48" s="134">
        <v>0</v>
      </c>
      <c r="P48" s="134">
        <v>0.36</v>
      </c>
      <c r="Q48" s="134">
        <v>4.72</v>
      </c>
    </row>
    <row r="49" spans="1:17" customFormat="1">
      <c r="A49" s="112" t="s">
        <v>2102</v>
      </c>
      <c r="B49" s="134">
        <v>13.59</v>
      </c>
      <c r="C49" s="134">
        <v>15.99</v>
      </c>
      <c r="D49" s="134">
        <v>20.6</v>
      </c>
      <c r="E49" s="134">
        <v>2.54</v>
      </c>
      <c r="F49" s="134">
        <v>3.53</v>
      </c>
      <c r="G49" s="134">
        <v>4.4400000000000004</v>
      </c>
      <c r="H49" s="134">
        <v>1.27</v>
      </c>
      <c r="I49" s="134">
        <v>3.21</v>
      </c>
      <c r="J49" s="134">
        <v>0.1</v>
      </c>
      <c r="K49" s="134">
        <v>217.84</v>
      </c>
      <c r="L49" s="134">
        <v>27.32</v>
      </c>
      <c r="M49" s="134">
        <v>86.49</v>
      </c>
      <c r="N49" s="134">
        <v>179.5</v>
      </c>
      <c r="O49" s="134">
        <v>0</v>
      </c>
      <c r="P49" s="134">
        <v>0.34</v>
      </c>
      <c r="Q49" s="134">
        <v>4.71</v>
      </c>
    </row>
    <row r="50" spans="1:17" customFormat="1">
      <c r="A50" s="112" t="s">
        <v>2103</v>
      </c>
      <c r="B50" s="134">
        <v>13.26</v>
      </c>
      <c r="C50" s="134">
        <v>16.11</v>
      </c>
      <c r="D50" s="134">
        <v>20.399999999999999</v>
      </c>
      <c r="E50" s="134">
        <v>3.18</v>
      </c>
      <c r="F50" s="134">
        <v>3.32</v>
      </c>
      <c r="G50" s="134">
        <v>4.4400000000000004</v>
      </c>
      <c r="H50" s="134">
        <v>1.27</v>
      </c>
      <c r="I50" s="134">
        <v>3.13</v>
      </c>
      <c r="J50" s="134">
        <v>0.08</v>
      </c>
      <c r="K50" s="134">
        <v>295.25</v>
      </c>
      <c r="L50" s="134">
        <v>27.2</v>
      </c>
      <c r="M50" s="134">
        <v>87.73</v>
      </c>
      <c r="N50" s="134">
        <v>124.7</v>
      </c>
      <c r="O50" s="134">
        <v>0</v>
      </c>
      <c r="P50" s="134">
        <v>0.34</v>
      </c>
      <c r="Q50" s="134">
        <v>4.7</v>
      </c>
    </row>
    <row r="51" spans="1:17" customFormat="1">
      <c r="A51" s="112" t="s">
        <v>2104</v>
      </c>
      <c r="B51" s="134">
        <v>13.22</v>
      </c>
      <c r="C51" s="134">
        <v>18.93</v>
      </c>
      <c r="D51" s="134">
        <v>21.84</v>
      </c>
      <c r="E51" s="134">
        <v>4.1500000000000004</v>
      </c>
      <c r="F51" s="134">
        <v>1.81</v>
      </c>
      <c r="G51" s="134">
        <v>4.4400000000000004</v>
      </c>
      <c r="H51" s="134">
        <v>1.27</v>
      </c>
      <c r="I51" s="134">
        <v>3.08</v>
      </c>
      <c r="J51" s="134">
        <v>0.17</v>
      </c>
      <c r="K51" s="134">
        <v>244.38</v>
      </c>
      <c r="L51" s="134">
        <v>27.22</v>
      </c>
      <c r="M51" s="134">
        <v>86.65</v>
      </c>
      <c r="N51" s="134">
        <v>170.5</v>
      </c>
      <c r="O51" s="134">
        <v>0</v>
      </c>
      <c r="P51" s="134">
        <v>0.37</v>
      </c>
      <c r="Q51" s="134">
        <v>4.71</v>
      </c>
    </row>
    <row r="52" spans="1:17" customFormat="1">
      <c r="A52" s="112" t="s">
        <v>2105</v>
      </c>
      <c r="B52" s="134">
        <v>13.25</v>
      </c>
      <c r="C52" s="134">
        <v>18.54</v>
      </c>
      <c r="D52" s="134">
        <v>21.67</v>
      </c>
      <c r="E52" s="134">
        <v>3.88</v>
      </c>
      <c r="F52" s="134">
        <v>2.4900000000000002</v>
      </c>
      <c r="G52" s="134">
        <v>4.33</v>
      </c>
      <c r="H52" s="134">
        <v>1.27</v>
      </c>
      <c r="I52" s="134">
        <v>3.1</v>
      </c>
      <c r="J52" s="134">
        <v>0.19</v>
      </c>
      <c r="K52" s="134">
        <v>239.74</v>
      </c>
      <c r="L52" s="134">
        <v>27.54</v>
      </c>
      <c r="M52" s="134">
        <v>84.94</v>
      </c>
      <c r="N52" s="134">
        <v>303.5</v>
      </c>
      <c r="O52" s="134">
        <v>0</v>
      </c>
      <c r="P52" s="134">
        <v>0.38</v>
      </c>
      <c r="Q52" s="134">
        <v>4.7300000000000004</v>
      </c>
    </row>
    <row r="53" spans="1:17" customFormat="1">
      <c r="A53" s="112" t="s">
        <v>2106</v>
      </c>
      <c r="B53" s="134">
        <v>13.18</v>
      </c>
      <c r="C53" s="134">
        <v>16.96</v>
      </c>
      <c r="D53" s="134">
        <v>20.78</v>
      </c>
      <c r="E53" s="134">
        <v>3.34</v>
      </c>
      <c r="F53" s="134">
        <v>3.55</v>
      </c>
      <c r="G53" s="134">
        <v>3.47</v>
      </c>
      <c r="H53" s="134">
        <v>1.26</v>
      </c>
      <c r="I53" s="134">
        <v>3.23</v>
      </c>
      <c r="J53" s="134">
        <v>0.27</v>
      </c>
      <c r="K53" s="134">
        <v>246.65</v>
      </c>
      <c r="L53" s="134">
        <v>27.93</v>
      </c>
      <c r="M53" s="134">
        <v>83.25</v>
      </c>
      <c r="N53" s="134">
        <v>206.4</v>
      </c>
      <c r="O53" s="134">
        <v>0</v>
      </c>
      <c r="P53" s="134">
        <v>0.36</v>
      </c>
      <c r="Q53" s="134">
        <v>4.7</v>
      </c>
    </row>
    <row r="54" spans="1:17" customFormat="1">
      <c r="A54" s="112" t="s">
        <v>2107</v>
      </c>
      <c r="B54" s="134">
        <v>13.19</v>
      </c>
      <c r="C54" s="134">
        <v>16.09</v>
      </c>
      <c r="D54" s="134">
        <v>20.34</v>
      </c>
      <c r="E54" s="134">
        <v>3.33</v>
      </c>
      <c r="F54" s="134">
        <v>3.51</v>
      </c>
      <c r="G54" s="134">
        <v>3.47</v>
      </c>
      <c r="H54" s="134">
        <v>1.26</v>
      </c>
      <c r="I54" s="134">
        <v>3.17</v>
      </c>
      <c r="J54" s="134">
        <v>0.27</v>
      </c>
      <c r="K54" s="134">
        <v>262.01</v>
      </c>
      <c r="L54" s="134">
        <v>27.86</v>
      </c>
      <c r="M54" s="134">
        <v>83.58</v>
      </c>
      <c r="N54" s="134">
        <v>257</v>
      </c>
      <c r="O54" s="134">
        <v>0</v>
      </c>
      <c r="P54" s="134">
        <v>0.35</v>
      </c>
      <c r="Q54" s="134">
        <v>4.6399999999999997</v>
      </c>
    </row>
    <row r="55" spans="1:17" customFormat="1">
      <c r="A55" s="112" t="s">
        <v>2108</v>
      </c>
      <c r="B55" s="134">
        <v>12.99</v>
      </c>
      <c r="C55" s="134">
        <v>15.6</v>
      </c>
      <c r="D55" s="134">
        <v>19.920000000000002</v>
      </c>
      <c r="E55" s="134">
        <v>3.52</v>
      </c>
      <c r="F55" s="134">
        <v>3.57</v>
      </c>
      <c r="G55" s="134">
        <v>3.47</v>
      </c>
      <c r="H55" s="134">
        <v>1.26</v>
      </c>
      <c r="I55" s="134">
        <v>3.11</v>
      </c>
      <c r="J55" s="134">
        <v>0.45</v>
      </c>
      <c r="K55" s="134">
        <v>254.9</v>
      </c>
      <c r="L55" s="134">
        <v>28.22</v>
      </c>
      <c r="M55" s="134">
        <v>81.27</v>
      </c>
      <c r="N55" s="134">
        <v>305</v>
      </c>
      <c r="O55" s="134">
        <v>0</v>
      </c>
      <c r="P55" s="134">
        <v>0.34</v>
      </c>
      <c r="Q55" s="134">
        <v>4.63</v>
      </c>
    </row>
    <row r="56" spans="1:17" customFormat="1">
      <c r="A56" s="112" t="s">
        <v>2109</v>
      </c>
      <c r="B56" s="134">
        <v>12.49</v>
      </c>
      <c r="C56" s="134">
        <v>15.28</v>
      </c>
      <c r="D56" s="134">
        <v>19.350000000000001</v>
      </c>
      <c r="E56" s="134">
        <v>3.41</v>
      </c>
      <c r="F56" s="134">
        <v>3.73</v>
      </c>
      <c r="G56" s="134">
        <v>3.37</v>
      </c>
      <c r="H56" s="134">
        <v>1.26</v>
      </c>
      <c r="I56" s="134">
        <v>3.1</v>
      </c>
      <c r="J56" s="134">
        <v>0.43</v>
      </c>
      <c r="K56" s="134">
        <v>257.07</v>
      </c>
      <c r="L56" s="134">
        <v>27.86</v>
      </c>
      <c r="M56" s="134">
        <v>82.58</v>
      </c>
      <c r="N56" s="134">
        <v>213.3</v>
      </c>
      <c r="O56" s="134">
        <v>0</v>
      </c>
      <c r="P56" s="134">
        <v>0.34</v>
      </c>
      <c r="Q56" s="134">
        <v>4.59</v>
      </c>
    </row>
    <row r="57" spans="1:17" customFormat="1">
      <c r="A57" s="112" t="s">
        <v>2110</v>
      </c>
      <c r="B57" s="134">
        <v>11.96</v>
      </c>
      <c r="C57" s="134">
        <v>15.48</v>
      </c>
      <c r="D57" s="134">
        <v>19.03</v>
      </c>
      <c r="E57" s="134">
        <v>3.28</v>
      </c>
      <c r="F57" s="134">
        <v>4.0199999999999996</v>
      </c>
      <c r="G57" s="134">
        <v>2.5099999999999998</v>
      </c>
      <c r="H57" s="134">
        <v>1.24</v>
      </c>
      <c r="I57" s="134">
        <v>3.05</v>
      </c>
      <c r="J57" s="134">
        <v>0.5</v>
      </c>
      <c r="K57" s="134">
        <v>256.97000000000003</v>
      </c>
      <c r="L57" s="134">
        <v>27.64</v>
      </c>
      <c r="M57" s="134">
        <v>82.93</v>
      </c>
      <c r="N57" s="134">
        <v>205.3</v>
      </c>
      <c r="O57" s="134">
        <v>0</v>
      </c>
      <c r="P57" s="134">
        <v>0.33</v>
      </c>
      <c r="Q57" s="134">
        <v>4.58</v>
      </c>
    </row>
    <row r="58" spans="1:17" customFormat="1">
      <c r="A58" s="112" t="s">
        <v>2111</v>
      </c>
      <c r="B58" s="134">
        <v>12.12</v>
      </c>
      <c r="C58" s="134">
        <v>18.75</v>
      </c>
      <c r="D58" s="134">
        <v>20.87</v>
      </c>
      <c r="E58" s="134">
        <v>3.39</v>
      </c>
      <c r="F58" s="134">
        <v>1.95</v>
      </c>
      <c r="G58" s="134">
        <v>2.5099999999999998</v>
      </c>
      <c r="H58" s="134">
        <v>1.24</v>
      </c>
      <c r="I58" s="134">
        <v>2.99</v>
      </c>
      <c r="J58" s="134">
        <v>0.56000000000000005</v>
      </c>
      <c r="K58" s="134">
        <v>257.3</v>
      </c>
      <c r="L58" s="134">
        <v>27.5</v>
      </c>
      <c r="M58" s="134">
        <v>82.45</v>
      </c>
      <c r="N58" s="134">
        <v>246.9</v>
      </c>
      <c r="O58" s="134">
        <v>0</v>
      </c>
      <c r="P58" s="134">
        <v>0.38</v>
      </c>
      <c r="Q58" s="134">
        <v>4.6500000000000004</v>
      </c>
    </row>
    <row r="59" spans="1:17" customFormat="1">
      <c r="A59" s="112" t="s">
        <v>2112</v>
      </c>
      <c r="B59" s="134">
        <v>12.08</v>
      </c>
      <c r="C59" s="134">
        <v>17.84</v>
      </c>
      <c r="D59" s="134">
        <v>20.36</v>
      </c>
      <c r="E59" s="134">
        <v>4.03</v>
      </c>
      <c r="F59" s="134">
        <v>2.87</v>
      </c>
      <c r="G59" s="134">
        <v>2.5099999999999998</v>
      </c>
      <c r="H59" s="134">
        <v>1.24</v>
      </c>
      <c r="I59" s="134">
        <v>3</v>
      </c>
      <c r="J59" s="134">
        <v>0.41</v>
      </c>
      <c r="K59" s="134">
        <v>249.94</v>
      </c>
      <c r="L59" s="134">
        <v>27.4</v>
      </c>
      <c r="M59" s="134">
        <v>83.78</v>
      </c>
      <c r="N59" s="134">
        <v>150.1</v>
      </c>
      <c r="O59" s="134">
        <v>0</v>
      </c>
      <c r="P59" s="134">
        <v>0.37</v>
      </c>
      <c r="Q59" s="134">
        <v>4.6399999999999997</v>
      </c>
    </row>
    <row r="60" spans="1:17" customFormat="1">
      <c r="A60" s="112" t="s">
        <v>2113</v>
      </c>
      <c r="B60" s="134">
        <v>12.1</v>
      </c>
      <c r="C60" s="134">
        <v>16.68</v>
      </c>
      <c r="D60" s="134">
        <v>19.77</v>
      </c>
      <c r="E60" s="134">
        <v>3.65</v>
      </c>
      <c r="F60" s="134">
        <v>3.23</v>
      </c>
      <c r="G60" s="134">
        <v>2.4300000000000002</v>
      </c>
      <c r="H60" s="134">
        <v>1.25</v>
      </c>
      <c r="I60" s="134">
        <v>3.15</v>
      </c>
      <c r="J60" s="134">
        <v>0.47</v>
      </c>
      <c r="K60" s="134">
        <v>259.45</v>
      </c>
      <c r="L60" s="134">
        <v>27.28</v>
      </c>
      <c r="M60" s="134">
        <v>84.01</v>
      </c>
      <c r="N60" s="134">
        <v>233.5</v>
      </c>
      <c r="O60" s="134">
        <v>0</v>
      </c>
      <c r="P60" s="134">
        <v>0.36</v>
      </c>
      <c r="Q60" s="134">
        <v>4.5999999999999996</v>
      </c>
    </row>
    <row r="61" spans="1:17" customFormat="1">
      <c r="A61" s="112" t="s">
        <v>2114</v>
      </c>
      <c r="B61" s="134">
        <v>11.34</v>
      </c>
      <c r="C61" s="134">
        <v>17.66</v>
      </c>
      <c r="D61" s="134">
        <v>19.670000000000002</v>
      </c>
      <c r="E61" s="134">
        <v>3.67</v>
      </c>
      <c r="F61" s="134">
        <v>2.92</v>
      </c>
      <c r="G61" s="134">
        <v>1.78</v>
      </c>
      <c r="H61" s="134">
        <v>1.34</v>
      </c>
      <c r="I61" s="134">
        <v>3.07</v>
      </c>
      <c r="J61" s="134">
        <v>0.25</v>
      </c>
      <c r="K61" s="134">
        <v>232.06</v>
      </c>
      <c r="L61" s="134">
        <v>27.61</v>
      </c>
      <c r="M61" s="134">
        <v>83.27</v>
      </c>
      <c r="N61" s="134">
        <v>106.6</v>
      </c>
      <c r="O61" s="134">
        <v>0</v>
      </c>
      <c r="P61" s="134">
        <v>0.39</v>
      </c>
      <c r="Q61" s="134">
        <v>4.58</v>
      </c>
    </row>
    <row r="62" spans="1:17" customFormat="1">
      <c r="A62" s="112" t="s">
        <v>2115</v>
      </c>
      <c r="B62" s="134">
        <v>10.4</v>
      </c>
      <c r="C62" s="134">
        <v>18.78</v>
      </c>
      <c r="D62" s="134">
        <v>19.510000000000002</v>
      </c>
      <c r="E62" s="134">
        <v>3.06</v>
      </c>
      <c r="F62" s="134">
        <v>2.64</v>
      </c>
      <c r="G62" s="134">
        <v>1.78</v>
      </c>
      <c r="H62" s="134">
        <v>1.34</v>
      </c>
      <c r="I62" s="134">
        <v>3.08</v>
      </c>
      <c r="J62" s="134">
        <v>0.17</v>
      </c>
      <c r="K62" s="134">
        <v>195.97</v>
      </c>
      <c r="L62" s="134">
        <v>28.08</v>
      </c>
      <c r="M62" s="134">
        <v>82.94</v>
      </c>
      <c r="N62" s="134">
        <v>293.5</v>
      </c>
      <c r="O62" s="134">
        <v>0</v>
      </c>
      <c r="P62" s="134">
        <v>0.4</v>
      </c>
      <c r="Q62" s="134">
        <v>4.58</v>
      </c>
    </row>
    <row r="63" spans="1:17" customFormat="1">
      <c r="A63" s="112" t="s">
        <v>2116</v>
      </c>
      <c r="B63" s="134">
        <v>10.26</v>
      </c>
      <c r="C63" s="134">
        <v>16.16</v>
      </c>
      <c r="D63" s="134">
        <v>18.02</v>
      </c>
      <c r="E63" s="134">
        <v>2.59</v>
      </c>
      <c r="F63" s="134">
        <v>3.94</v>
      </c>
      <c r="G63" s="134">
        <v>1.78</v>
      </c>
      <c r="H63" s="134">
        <v>1.34</v>
      </c>
      <c r="I63" s="134">
        <v>3.12</v>
      </c>
      <c r="J63" s="134">
        <v>0.41</v>
      </c>
      <c r="K63" s="134">
        <v>250.29</v>
      </c>
      <c r="L63" s="134">
        <v>28.46</v>
      </c>
      <c r="M63" s="134">
        <v>80.62</v>
      </c>
      <c r="N63" s="134">
        <v>258.3</v>
      </c>
      <c r="O63" s="134">
        <v>0</v>
      </c>
      <c r="P63" s="134">
        <v>0.35</v>
      </c>
      <c r="Q63" s="134">
        <v>4.5199999999999996</v>
      </c>
    </row>
    <row r="64" spans="1:17" customFormat="1">
      <c r="A64" s="112" t="s">
        <v>2117</v>
      </c>
      <c r="B64" s="134">
        <v>10.17</v>
      </c>
      <c r="C64" s="134">
        <v>14.69</v>
      </c>
      <c r="D64" s="134">
        <v>17.18</v>
      </c>
      <c r="E64" s="134">
        <v>2.63</v>
      </c>
      <c r="F64" s="134">
        <v>4.45</v>
      </c>
      <c r="G64" s="134">
        <v>1.77</v>
      </c>
      <c r="H64" s="134">
        <v>1.34</v>
      </c>
      <c r="I64" s="134">
        <v>3.02</v>
      </c>
      <c r="J64" s="134">
        <v>0.56000000000000005</v>
      </c>
      <c r="K64" s="134">
        <v>253.91</v>
      </c>
      <c r="L64" s="134">
        <v>28.38</v>
      </c>
      <c r="M64" s="134">
        <v>80.989999999999995</v>
      </c>
      <c r="N64" s="134">
        <v>285.8</v>
      </c>
      <c r="O64" s="134">
        <v>0</v>
      </c>
      <c r="P64" s="134">
        <v>0.32</v>
      </c>
      <c r="Q64" s="134">
        <v>4.46</v>
      </c>
    </row>
    <row r="65" spans="1:17" customFormat="1">
      <c r="A65" s="112" t="s">
        <v>2118</v>
      </c>
      <c r="B65" s="134">
        <v>10.210000000000001</v>
      </c>
      <c r="C65" s="134">
        <v>15.49</v>
      </c>
      <c r="D65" s="134">
        <v>17.63</v>
      </c>
      <c r="E65" s="134">
        <v>2.72</v>
      </c>
      <c r="F65" s="134">
        <v>3.81</v>
      </c>
      <c r="G65" s="134">
        <v>1.69</v>
      </c>
      <c r="H65" s="134">
        <v>1.3</v>
      </c>
      <c r="I65" s="134">
        <v>2.85</v>
      </c>
      <c r="J65" s="134">
        <v>0.51</v>
      </c>
      <c r="K65" s="134">
        <v>255.68</v>
      </c>
      <c r="L65" s="134">
        <v>28.49</v>
      </c>
      <c r="M65" s="134">
        <v>80.27</v>
      </c>
      <c r="N65" s="134">
        <v>188.4</v>
      </c>
      <c r="O65" s="134">
        <v>0</v>
      </c>
      <c r="P65" s="134">
        <v>0.31</v>
      </c>
      <c r="Q65" s="134">
        <v>4.4400000000000004</v>
      </c>
    </row>
    <row r="66" spans="1:17" customFormat="1">
      <c r="A66" s="112" t="s">
        <v>2119</v>
      </c>
      <c r="B66" s="134">
        <v>10.31</v>
      </c>
      <c r="C66" s="134">
        <v>15.68</v>
      </c>
      <c r="D66" s="134">
        <v>17.809999999999999</v>
      </c>
      <c r="E66" s="134">
        <v>2.62</v>
      </c>
      <c r="F66" s="134">
        <v>3.43</v>
      </c>
      <c r="G66" s="134">
        <v>1.69</v>
      </c>
      <c r="H66" s="134">
        <v>1.3</v>
      </c>
      <c r="I66" s="134">
        <v>2.81</v>
      </c>
      <c r="J66" s="134">
        <v>0.55000000000000004</v>
      </c>
      <c r="K66" s="134">
        <v>255.57</v>
      </c>
      <c r="L66" s="134">
        <v>27.9</v>
      </c>
      <c r="M66" s="134">
        <v>82.39</v>
      </c>
      <c r="N66" s="134">
        <v>124.4</v>
      </c>
      <c r="O66" s="134">
        <v>0</v>
      </c>
      <c r="P66" s="134">
        <v>0.31</v>
      </c>
      <c r="Q66" s="134">
        <v>4.43</v>
      </c>
    </row>
    <row r="67" spans="1:17" customFormat="1">
      <c r="A67" s="112" t="s">
        <v>2120</v>
      </c>
      <c r="B67" s="134">
        <v>10.220000000000001</v>
      </c>
      <c r="C67" s="134">
        <v>15.36</v>
      </c>
      <c r="D67" s="134">
        <v>17.57</v>
      </c>
      <c r="E67" s="134">
        <v>2.59</v>
      </c>
      <c r="F67" s="134">
        <v>3.43</v>
      </c>
      <c r="G67" s="134">
        <v>1.69</v>
      </c>
      <c r="H67" s="134">
        <v>1.3</v>
      </c>
      <c r="I67" s="134">
        <v>2.86</v>
      </c>
      <c r="J67" s="134">
        <v>0.54</v>
      </c>
      <c r="K67" s="134">
        <v>255.89</v>
      </c>
      <c r="L67" s="134">
        <v>27.64</v>
      </c>
      <c r="M67" s="134">
        <v>82.93</v>
      </c>
      <c r="N67" s="134">
        <v>130.9</v>
      </c>
      <c r="O67" s="134">
        <v>0</v>
      </c>
      <c r="P67" s="134">
        <v>0.32</v>
      </c>
      <c r="Q67" s="134">
        <v>4.42</v>
      </c>
    </row>
    <row r="68" spans="1:17" customFormat="1">
      <c r="A68" s="112" t="s">
        <v>2121</v>
      </c>
      <c r="B68" s="134">
        <v>10.210000000000001</v>
      </c>
      <c r="C68" s="134">
        <v>16.760000000000002</v>
      </c>
      <c r="D68" s="134">
        <v>18.29</v>
      </c>
      <c r="E68" s="134">
        <v>3.02</v>
      </c>
      <c r="F68" s="134">
        <v>2.41</v>
      </c>
      <c r="G68" s="134">
        <v>1.86</v>
      </c>
      <c r="H68" s="134">
        <v>1.3</v>
      </c>
      <c r="I68" s="134">
        <v>2.83</v>
      </c>
      <c r="J68" s="134">
        <v>0.52</v>
      </c>
      <c r="K68" s="134">
        <v>266.23</v>
      </c>
      <c r="L68" s="134">
        <v>27.53</v>
      </c>
      <c r="M68" s="134">
        <v>84.82</v>
      </c>
      <c r="N68" s="134">
        <v>119.7</v>
      </c>
      <c r="O68" s="134">
        <v>0</v>
      </c>
      <c r="P68" s="134">
        <v>0.34</v>
      </c>
      <c r="Q68" s="134">
        <v>4.41</v>
      </c>
    </row>
    <row r="69" spans="1:17" customFormat="1">
      <c r="A69" s="112" t="s">
        <v>2122</v>
      </c>
      <c r="B69" s="134">
        <v>10.18</v>
      </c>
      <c r="C69" s="134">
        <v>18.27</v>
      </c>
      <c r="D69" s="134">
        <v>19.059999999999999</v>
      </c>
      <c r="E69" s="134">
        <v>3.15</v>
      </c>
      <c r="F69" s="134">
        <v>1.85</v>
      </c>
      <c r="G69" s="134">
        <v>3.23</v>
      </c>
      <c r="H69" s="134">
        <v>1.28</v>
      </c>
      <c r="I69" s="134">
        <v>2.83</v>
      </c>
      <c r="J69" s="134">
        <v>0.48</v>
      </c>
      <c r="K69" s="134">
        <v>256.05</v>
      </c>
      <c r="L69" s="134">
        <v>27.51</v>
      </c>
      <c r="M69" s="134">
        <v>84.08</v>
      </c>
      <c r="N69" s="134">
        <v>132.5</v>
      </c>
      <c r="O69" s="134">
        <v>0</v>
      </c>
      <c r="P69" s="134">
        <v>0.36</v>
      </c>
      <c r="Q69" s="134">
        <v>4.4800000000000004</v>
      </c>
    </row>
    <row r="70" spans="1:17" customFormat="1">
      <c r="A70" s="112" t="s">
        <v>2123</v>
      </c>
      <c r="B70" s="134">
        <v>10.19</v>
      </c>
      <c r="C70" s="134">
        <v>16.95</v>
      </c>
      <c r="D70" s="134">
        <v>18.38</v>
      </c>
      <c r="E70" s="134">
        <v>3.1</v>
      </c>
      <c r="F70" s="134">
        <v>2.8</v>
      </c>
      <c r="G70" s="134">
        <v>3.23</v>
      </c>
      <c r="H70" s="134">
        <v>1.28</v>
      </c>
      <c r="I70" s="134">
        <v>2.91</v>
      </c>
      <c r="J70" s="134">
        <v>0.61</v>
      </c>
      <c r="K70" s="134">
        <v>258.06</v>
      </c>
      <c r="L70" s="134">
        <v>27.48</v>
      </c>
      <c r="M70" s="134">
        <v>82.53</v>
      </c>
      <c r="N70" s="134">
        <v>178.4</v>
      </c>
      <c r="O70" s="134">
        <v>0</v>
      </c>
      <c r="P70" s="134">
        <v>0.34</v>
      </c>
      <c r="Q70" s="134">
        <v>4.43</v>
      </c>
    </row>
    <row r="71" spans="1:17" customFormat="1">
      <c r="A71" s="112" t="s">
        <v>2124</v>
      </c>
      <c r="B71" s="134">
        <v>10.18</v>
      </c>
      <c r="C71" s="134">
        <v>15.89</v>
      </c>
      <c r="D71" s="134">
        <v>17.82</v>
      </c>
      <c r="E71" s="134">
        <v>3.09</v>
      </c>
      <c r="F71" s="134">
        <v>3.29</v>
      </c>
      <c r="G71" s="134">
        <v>3.23</v>
      </c>
      <c r="H71" s="134">
        <v>1.28</v>
      </c>
      <c r="I71" s="134">
        <v>2.93</v>
      </c>
      <c r="J71" s="134">
        <v>0.46</v>
      </c>
      <c r="K71" s="134">
        <v>255.98</v>
      </c>
      <c r="L71" s="134">
        <v>27.74</v>
      </c>
      <c r="M71" s="134">
        <v>82.48</v>
      </c>
      <c r="N71" s="134">
        <v>211.7</v>
      </c>
      <c r="O71" s="134">
        <v>0</v>
      </c>
      <c r="P71" s="134">
        <v>0.32</v>
      </c>
      <c r="Q71" s="134">
        <v>4.41</v>
      </c>
    </row>
    <row r="72" spans="1:17" customFormat="1">
      <c r="A72" s="112" t="s">
        <v>2125</v>
      </c>
      <c r="B72" s="134">
        <v>10.18</v>
      </c>
      <c r="C72" s="134">
        <v>15.47</v>
      </c>
      <c r="D72" s="134">
        <v>17.600000000000001</v>
      </c>
      <c r="E72" s="134">
        <v>2.94</v>
      </c>
      <c r="F72" s="134">
        <v>3.54</v>
      </c>
      <c r="G72" s="134">
        <v>3.37</v>
      </c>
      <c r="H72" s="134">
        <v>1.28</v>
      </c>
      <c r="I72" s="134">
        <v>2.87</v>
      </c>
      <c r="J72" s="134">
        <v>0.61</v>
      </c>
      <c r="K72" s="134">
        <v>254.38</v>
      </c>
      <c r="L72" s="134">
        <v>27.89</v>
      </c>
      <c r="M72" s="134">
        <v>81.849999999999994</v>
      </c>
      <c r="N72" s="134">
        <v>154.30000000000001</v>
      </c>
      <c r="O72" s="134">
        <v>0</v>
      </c>
      <c r="P72" s="134">
        <v>0.32</v>
      </c>
      <c r="Q72" s="134">
        <v>4.4000000000000004</v>
      </c>
    </row>
    <row r="73" spans="1:17" customFormat="1">
      <c r="A73" s="112" t="s">
        <v>2126</v>
      </c>
      <c r="B73" s="134">
        <v>10.01</v>
      </c>
      <c r="C73" s="134">
        <v>14.96</v>
      </c>
      <c r="D73" s="134">
        <v>17.2</v>
      </c>
      <c r="E73" s="134">
        <v>2.99</v>
      </c>
      <c r="F73" s="134">
        <v>3.82</v>
      </c>
      <c r="G73" s="134">
        <v>4.5</v>
      </c>
      <c r="H73" s="134">
        <v>1.27</v>
      </c>
      <c r="I73" s="134">
        <v>2.83</v>
      </c>
      <c r="J73" s="134">
        <v>0.53</v>
      </c>
      <c r="K73" s="134">
        <v>254.42</v>
      </c>
      <c r="L73" s="134">
        <v>27.6</v>
      </c>
      <c r="M73" s="134">
        <v>82.62</v>
      </c>
      <c r="N73" s="134">
        <v>113.5</v>
      </c>
      <c r="O73" s="134">
        <v>0</v>
      </c>
      <c r="P73" s="134">
        <v>0.31</v>
      </c>
      <c r="Q73" s="134">
        <v>4.37</v>
      </c>
    </row>
    <row r="74" spans="1:17" customFormat="1">
      <c r="A74" s="112" t="s">
        <v>2127</v>
      </c>
      <c r="B74" s="134">
        <v>9.8800000000000008</v>
      </c>
      <c r="C74" s="134">
        <v>14.65</v>
      </c>
      <c r="D74" s="134">
        <v>16.93</v>
      </c>
      <c r="E74" s="134">
        <v>2.67</v>
      </c>
      <c r="F74" s="134">
        <v>3.85</v>
      </c>
      <c r="G74" s="134">
        <v>4.5</v>
      </c>
      <c r="H74" s="134">
        <v>1.27</v>
      </c>
      <c r="I74" s="134">
        <v>2.8</v>
      </c>
      <c r="J74" s="134">
        <v>0.51</v>
      </c>
      <c r="K74" s="134">
        <v>252.55</v>
      </c>
      <c r="L74" s="134">
        <v>27.16</v>
      </c>
      <c r="M74" s="134">
        <v>83.88</v>
      </c>
      <c r="N74" s="134">
        <v>57.9</v>
      </c>
      <c r="O74" s="134">
        <v>0</v>
      </c>
      <c r="P74" s="134">
        <v>0.3</v>
      </c>
      <c r="Q74" s="134">
        <v>4.3600000000000003</v>
      </c>
    </row>
    <row r="75" spans="1:17" customFormat="1">
      <c r="A75" s="112" t="s">
        <v>2128</v>
      </c>
      <c r="B75" s="134">
        <v>9.8000000000000007</v>
      </c>
      <c r="C75" s="134">
        <v>15.52</v>
      </c>
      <c r="D75" s="134">
        <v>17.32</v>
      </c>
      <c r="E75" s="134">
        <v>2.9</v>
      </c>
      <c r="F75" s="134">
        <v>3.25</v>
      </c>
      <c r="G75" s="134">
        <v>4.5</v>
      </c>
      <c r="H75" s="134">
        <v>1.27</v>
      </c>
      <c r="I75" s="134">
        <v>2.75</v>
      </c>
      <c r="J75" s="134">
        <v>0.28999999999999998</v>
      </c>
      <c r="K75" s="134">
        <v>252.55</v>
      </c>
      <c r="L75" s="134">
        <v>27.1</v>
      </c>
      <c r="M75" s="134">
        <v>84.91</v>
      </c>
      <c r="N75" s="134">
        <v>58.5</v>
      </c>
      <c r="O75" s="134">
        <v>0</v>
      </c>
      <c r="P75" s="134">
        <v>0.31</v>
      </c>
      <c r="Q75" s="134">
        <v>4.3600000000000003</v>
      </c>
    </row>
    <row r="76" spans="1:17" customFormat="1">
      <c r="A76" s="112" t="s">
        <v>2129</v>
      </c>
      <c r="B76" s="134">
        <v>9.91</v>
      </c>
      <c r="C76" s="134">
        <v>17.47</v>
      </c>
      <c r="D76" s="134">
        <v>18.43</v>
      </c>
      <c r="E76" s="134">
        <v>3.28</v>
      </c>
      <c r="F76" s="134">
        <v>2.12</v>
      </c>
      <c r="G76" s="134">
        <v>4.7699999999999996</v>
      </c>
      <c r="H76" s="134">
        <v>1.27</v>
      </c>
      <c r="I76" s="134">
        <v>2.74</v>
      </c>
      <c r="J76" s="134">
        <v>0.45</v>
      </c>
      <c r="K76" s="134">
        <v>256.83999999999997</v>
      </c>
      <c r="L76" s="134">
        <v>27.07</v>
      </c>
      <c r="M76" s="134">
        <v>83.35</v>
      </c>
      <c r="N76" s="134">
        <v>42.6</v>
      </c>
      <c r="O76" s="134">
        <v>0</v>
      </c>
      <c r="P76" s="134">
        <v>0.35</v>
      </c>
      <c r="Q76" s="134">
        <v>4.42</v>
      </c>
    </row>
    <row r="77" spans="1:17" customFormat="1">
      <c r="A77" s="112" t="s">
        <v>2130</v>
      </c>
      <c r="B77" s="134">
        <v>9.9</v>
      </c>
      <c r="C77" s="134">
        <v>16</v>
      </c>
      <c r="D77" s="134">
        <v>17.649999999999999</v>
      </c>
      <c r="E77" s="134">
        <v>3.5</v>
      </c>
      <c r="F77" s="134">
        <v>3.65</v>
      </c>
      <c r="G77" s="134">
        <v>6.94</v>
      </c>
      <c r="H77" s="134">
        <v>1.25</v>
      </c>
      <c r="I77" s="134">
        <v>2.77</v>
      </c>
      <c r="J77" s="134">
        <v>0.55000000000000004</v>
      </c>
      <c r="K77" s="134">
        <v>262.5</v>
      </c>
      <c r="L77" s="134">
        <v>26.92</v>
      </c>
      <c r="M77" s="134">
        <v>82.98</v>
      </c>
      <c r="N77" s="134">
        <v>42.8</v>
      </c>
      <c r="O77" s="134">
        <v>0</v>
      </c>
      <c r="P77" s="134">
        <v>0.34</v>
      </c>
      <c r="Q77" s="134">
        <v>4.4000000000000004</v>
      </c>
    </row>
    <row r="78" spans="1:17" customFormat="1">
      <c r="A78" s="112" t="s">
        <v>2131</v>
      </c>
      <c r="B78" s="134">
        <v>9.9</v>
      </c>
      <c r="C78" s="134">
        <v>15.07</v>
      </c>
      <c r="D78" s="134">
        <v>17.16</v>
      </c>
      <c r="E78" s="134">
        <v>3.23</v>
      </c>
      <c r="F78" s="134">
        <v>4.0199999999999996</v>
      </c>
      <c r="G78" s="134">
        <v>6.94</v>
      </c>
      <c r="H78" s="134">
        <v>1.25</v>
      </c>
      <c r="I78" s="134">
        <v>2.84</v>
      </c>
      <c r="J78" s="134">
        <v>0.54</v>
      </c>
      <c r="K78" s="134">
        <v>253.72</v>
      </c>
      <c r="L78" s="134">
        <v>26.87</v>
      </c>
      <c r="M78" s="134">
        <v>83.02</v>
      </c>
      <c r="N78" s="134">
        <v>28.9</v>
      </c>
      <c r="O78" s="134">
        <v>0</v>
      </c>
      <c r="P78" s="134">
        <v>0.32</v>
      </c>
      <c r="Q78" s="134">
        <v>4.3600000000000003</v>
      </c>
    </row>
    <row r="79" spans="1:17" customFormat="1">
      <c r="A79" s="112" t="s">
        <v>2132</v>
      </c>
      <c r="B79" s="134">
        <v>9.7100000000000009</v>
      </c>
      <c r="C79" s="134">
        <v>14.61</v>
      </c>
      <c r="D79" s="134">
        <v>16.77</v>
      </c>
      <c r="E79" s="134">
        <v>3.1</v>
      </c>
      <c r="F79" s="134">
        <v>4.4800000000000004</v>
      </c>
      <c r="G79" s="134">
        <v>6.94</v>
      </c>
      <c r="H79" s="134">
        <v>1.25</v>
      </c>
      <c r="I79" s="134">
        <v>2.76</v>
      </c>
      <c r="J79" s="134">
        <v>0.43</v>
      </c>
      <c r="K79" s="134">
        <v>257.43</v>
      </c>
      <c r="L79" s="134">
        <v>26.76</v>
      </c>
      <c r="M79" s="134">
        <v>84.43</v>
      </c>
      <c r="N79" s="134">
        <v>19.5</v>
      </c>
      <c r="O79" s="134">
        <v>0</v>
      </c>
      <c r="P79" s="134">
        <v>0.31</v>
      </c>
      <c r="Q79" s="134">
        <v>4.33</v>
      </c>
    </row>
    <row r="80" spans="1:17" customFormat="1">
      <c r="A80" s="112" t="s">
        <v>2133</v>
      </c>
      <c r="B80" s="134">
        <v>9.6300000000000008</v>
      </c>
      <c r="C80" s="134">
        <v>15.22</v>
      </c>
      <c r="D80" s="134">
        <v>17.03</v>
      </c>
      <c r="E80" s="134">
        <v>3.13</v>
      </c>
      <c r="F80" s="134">
        <v>4.24</v>
      </c>
      <c r="G80" s="134">
        <v>6.96</v>
      </c>
      <c r="H80" s="134">
        <v>1.25</v>
      </c>
      <c r="I80" s="134">
        <v>2.74</v>
      </c>
      <c r="J80" s="134">
        <v>0.63</v>
      </c>
      <c r="K80" s="134">
        <v>261.33</v>
      </c>
      <c r="L80" s="134">
        <v>26.66</v>
      </c>
      <c r="M80" s="134">
        <v>85.22</v>
      </c>
      <c r="N80" s="134">
        <v>14.7</v>
      </c>
      <c r="O80" s="134">
        <v>0</v>
      </c>
      <c r="P80" s="134">
        <v>0.32</v>
      </c>
      <c r="Q80" s="134">
        <v>4.32</v>
      </c>
    </row>
    <row r="81" spans="1:17" customFormat="1">
      <c r="A81" s="112" t="s">
        <v>2134</v>
      </c>
      <c r="B81" s="134">
        <v>9.64</v>
      </c>
      <c r="C81" s="134">
        <v>18.37</v>
      </c>
      <c r="D81" s="134">
        <v>18.68</v>
      </c>
      <c r="E81" s="134">
        <v>1.91</v>
      </c>
      <c r="F81" s="134">
        <v>1.91</v>
      </c>
      <c r="G81" s="134">
        <v>7.05</v>
      </c>
      <c r="H81" s="134">
        <v>1.25</v>
      </c>
      <c r="I81" s="134">
        <v>2.7</v>
      </c>
      <c r="J81" s="134">
        <v>0.69</v>
      </c>
      <c r="K81" s="134">
        <v>260.54000000000002</v>
      </c>
      <c r="L81" s="134">
        <v>26.57</v>
      </c>
      <c r="M81" s="134">
        <v>85.25</v>
      </c>
      <c r="N81" s="134">
        <v>2.8</v>
      </c>
      <c r="O81" s="134">
        <v>0</v>
      </c>
      <c r="P81" s="134">
        <v>0.37</v>
      </c>
      <c r="Q81" s="134">
        <v>4.43</v>
      </c>
    </row>
    <row r="82" spans="1:17" customFormat="1">
      <c r="A82" s="112" t="s">
        <v>2135</v>
      </c>
      <c r="B82" s="134">
        <v>8.86</v>
      </c>
      <c r="C82" s="134">
        <v>19.87</v>
      </c>
      <c r="D82" s="134">
        <v>18.84</v>
      </c>
      <c r="E82" s="134">
        <v>3.51</v>
      </c>
      <c r="F82" s="134">
        <v>1.91</v>
      </c>
      <c r="G82" s="134">
        <v>7.05</v>
      </c>
      <c r="H82" s="134">
        <v>1.25</v>
      </c>
      <c r="I82" s="134">
        <v>2.75</v>
      </c>
      <c r="J82" s="134">
        <v>0.59</v>
      </c>
      <c r="K82" s="134">
        <v>258.95999999999998</v>
      </c>
      <c r="L82" s="134">
        <v>26.35</v>
      </c>
      <c r="M82" s="134">
        <v>85.49</v>
      </c>
      <c r="N82" s="134">
        <v>0</v>
      </c>
      <c r="O82" s="134">
        <v>0</v>
      </c>
      <c r="P82" s="134">
        <v>0.4</v>
      </c>
      <c r="Q82" s="134">
        <v>4.4400000000000004</v>
      </c>
    </row>
    <row r="83" spans="1:17" customFormat="1">
      <c r="A83" s="112" t="s">
        <v>2136</v>
      </c>
      <c r="B83" s="134">
        <v>8.3699999999999992</v>
      </c>
      <c r="C83" s="134">
        <v>19.07</v>
      </c>
      <c r="D83" s="134">
        <v>18.03</v>
      </c>
      <c r="E83" s="134">
        <v>3.92</v>
      </c>
      <c r="F83" s="134">
        <v>2.65</v>
      </c>
      <c r="G83" s="134">
        <v>7.05</v>
      </c>
      <c r="H83" s="134">
        <v>1.25</v>
      </c>
      <c r="I83" s="134">
        <v>2.93</v>
      </c>
      <c r="J83" s="134">
        <v>0.42</v>
      </c>
      <c r="K83" s="134">
        <v>260.67</v>
      </c>
      <c r="L83" s="134">
        <v>26.17</v>
      </c>
      <c r="M83" s="134">
        <v>87.21</v>
      </c>
      <c r="N83" s="134">
        <v>0</v>
      </c>
      <c r="O83" s="134">
        <v>0</v>
      </c>
      <c r="P83" s="134">
        <v>0.38</v>
      </c>
      <c r="Q83" s="134">
        <v>4.45</v>
      </c>
    </row>
    <row r="84" spans="1:17" customFormat="1">
      <c r="A84" s="112" t="s">
        <v>2137</v>
      </c>
      <c r="B84" s="134">
        <v>8.32</v>
      </c>
      <c r="C84" s="134">
        <v>16.190000000000001</v>
      </c>
      <c r="D84" s="134">
        <v>16.489999999999998</v>
      </c>
      <c r="E84" s="134">
        <v>2.94</v>
      </c>
      <c r="F84" s="134">
        <v>4.22</v>
      </c>
      <c r="G84" s="134">
        <v>7.05</v>
      </c>
      <c r="H84" s="134">
        <v>1.24</v>
      </c>
      <c r="I84" s="134">
        <v>2.92</v>
      </c>
      <c r="J84" s="134">
        <v>0.36</v>
      </c>
      <c r="K84" s="134">
        <v>252.88</v>
      </c>
      <c r="L84" s="134">
        <v>26.08</v>
      </c>
      <c r="M84" s="134">
        <v>88.09</v>
      </c>
      <c r="N84" s="134">
        <v>0</v>
      </c>
      <c r="O84" s="134">
        <v>0</v>
      </c>
      <c r="P84" s="134">
        <v>0.33</v>
      </c>
      <c r="Q84" s="134">
        <v>4.37</v>
      </c>
    </row>
    <row r="85" spans="1:17" customFormat="1">
      <c r="A85" s="112" t="s">
        <v>2138</v>
      </c>
      <c r="B85" s="134">
        <v>8.6199999999999992</v>
      </c>
      <c r="C85" s="134">
        <v>15.34</v>
      </c>
      <c r="D85" s="134">
        <v>16.28</v>
      </c>
      <c r="E85" s="134">
        <v>2.66</v>
      </c>
      <c r="F85" s="134">
        <v>4.38</v>
      </c>
      <c r="G85" s="134">
        <v>7.01</v>
      </c>
      <c r="H85" s="134">
        <v>1.23</v>
      </c>
      <c r="I85" s="134">
        <v>2.8</v>
      </c>
      <c r="J85" s="134">
        <v>0.3</v>
      </c>
      <c r="K85" s="134">
        <v>248.86</v>
      </c>
      <c r="L85" s="134">
        <v>25.98</v>
      </c>
      <c r="M85" s="134">
        <v>88.99</v>
      </c>
      <c r="N85" s="134">
        <v>0</v>
      </c>
      <c r="O85" s="134">
        <v>0</v>
      </c>
      <c r="P85" s="134">
        <v>0.32</v>
      </c>
      <c r="Q85" s="134">
        <v>4.3600000000000003</v>
      </c>
    </row>
    <row r="86" spans="1:17" customFormat="1">
      <c r="A86" s="112" t="s">
        <v>2139</v>
      </c>
      <c r="B86" s="134">
        <v>8.8000000000000007</v>
      </c>
      <c r="C86" s="134">
        <v>14.81</v>
      </c>
      <c r="D86" s="134">
        <v>16.149999999999999</v>
      </c>
      <c r="E86" s="134">
        <v>2.67</v>
      </c>
      <c r="F86" s="134">
        <v>4.7300000000000004</v>
      </c>
      <c r="G86" s="134">
        <v>7.01</v>
      </c>
      <c r="H86" s="134">
        <v>1.23</v>
      </c>
      <c r="I86" s="134">
        <v>2.7</v>
      </c>
      <c r="J86" s="134">
        <v>0.17</v>
      </c>
      <c r="K86" s="134">
        <v>248.39</v>
      </c>
      <c r="L86" s="134">
        <v>25.97</v>
      </c>
      <c r="M86" s="134">
        <v>89.22</v>
      </c>
      <c r="N86" s="134">
        <v>0</v>
      </c>
      <c r="O86" s="134">
        <v>0</v>
      </c>
      <c r="P86" s="134">
        <v>0.31</v>
      </c>
      <c r="Q86" s="134">
        <v>4.34</v>
      </c>
    </row>
    <row r="87" spans="1:17" customFormat="1">
      <c r="A87" s="112" t="s">
        <v>2140</v>
      </c>
      <c r="B87" s="134">
        <v>8.9</v>
      </c>
      <c r="C87" s="134">
        <v>14.9</v>
      </c>
      <c r="D87" s="134">
        <v>16.27</v>
      </c>
      <c r="E87" s="134">
        <v>3.05</v>
      </c>
      <c r="F87" s="134">
        <v>4.7300000000000004</v>
      </c>
      <c r="G87" s="134">
        <v>7.01</v>
      </c>
      <c r="H87" s="134">
        <v>1.23</v>
      </c>
      <c r="I87" s="134">
        <v>2.72</v>
      </c>
      <c r="J87" s="134">
        <v>0.39</v>
      </c>
      <c r="K87" s="134">
        <v>256.64999999999998</v>
      </c>
      <c r="L87" s="134">
        <v>25.9</v>
      </c>
      <c r="M87" s="134">
        <v>88.99</v>
      </c>
      <c r="N87" s="134">
        <v>0</v>
      </c>
      <c r="O87" s="134">
        <v>0</v>
      </c>
      <c r="P87" s="134">
        <v>0.31</v>
      </c>
      <c r="Q87" s="134">
        <v>4.3099999999999996</v>
      </c>
    </row>
    <row r="88" spans="1:17" customFormat="1">
      <c r="A88" s="112" t="s">
        <v>2141</v>
      </c>
      <c r="B88" s="134">
        <v>9.2200000000000006</v>
      </c>
      <c r="C88" s="134">
        <v>18.22</v>
      </c>
      <c r="D88" s="134">
        <v>18.260000000000002</v>
      </c>
      <c r="E88" s="134">
        <v>3.55</v>
      </c>
      <c r="F88" s="134">
        <v>2.0699999999999998</v>
      </c>
      <c r="G88" s="134">
        <v>7.26</v>
      </c>
      <c r="H88" s="134">
        <v>1.24</v>
      </c>
      <c r="I88" s="134">
        <v>2.7</v>
      </c>
      <c r="J88" s="134">
        <v>0.4</v>
      </c>
      <c r="K88" s="134">
        <v>259.66000000000003</v>
      </c>
      <c r="L88" s="134">
        <v>25.83</v>
      </c>
      <c r="M88" s="134">
        <v>88.83</v>
      </c>
      <c r="N88" s="134">
        <v>0</v>
      </c>
      <c r="O88" s="134">
        <v>0</v>
      </c>
      <c r="P88" s="134">
        <v>0.35</v>
      </c>
      <c r="Q88" s="134">
        <v>4.42</v>
      </c>
    </row>
    <row r="89" spans="1:17" customFormat="1">
      <c r="A89" s="112" t="s">
        <v>2142</v>
      </c>
      <c r="B89" s="134">
        <v>9.49</v>
      </c>
      <c r="C89" s="134">
        <v>17.46</v>
      </c>
      <c r="D89" s="134">
        <v>18.079999999999998</v>
      </c>
      <c r="E89" s="134">
        <v>3.89</v>
      </c>
      <c r="F89" s="134">
        <v>2.91</v>
      </c>
      <c r="G89" s="134">
        <v>9.2899999999999991</v>
      </c>
      <c r="H89" s="134">
        <v>1.32</v>
      </c>
      <c r="I89" s="134">
        <v>2.74</v>
      </c>
      <c r="J89" s="134">
        <v>0.31</v>
      </c>
      <c r="K89" s="134">
        <v>249.88</v>
      </c>
      <c r="L89" s="134">
        <v>25.8</v>
      </c>
      <c r="M89" s="134">
        <v>89.28</v>
      </c>
      <c r="N89" s="134">
        <v>0</v>
      </c>
      <c r="O89" s="134">
        <v>0</v>
      </c>
      <c r="P89" s="134">
        <v>0.35</v>
      </c>
      <c r="Q89" s="134">
        <v>4.42</v>
      </c>
    </row>
    <row r="90" spans="1:17" customFormat="1">
      <c r="A90" s="112" t="s">
        <v>2143</v>
      </c>
      <c r="B90" s="134">
        <v>9.75</v>
      </c>
      <c r="C90" s="134">
        <v>15.92</v>
      </c>
      <c r="D90" s="134">
        <v>17.48</v>
      </c>
      <c r="E90" s="134">
        <v>3.29</v>
      </c>
      <c r="F90" s="134">
        <v>3.7</v>
      </c>
      <c r="G90" s="134">
        <v>9.2899999999999991</v>
      </c>
      <c r="H90" s="134">
        <v>1.32</v>
      </c>
      <c r="I90" s="134">
        <v>2.91</v>
      </c>
      <c r="J90" s="134">
        <v>0.49</v>
      </c>
      <c r="K90" s="134">
        <v>259.85000000000002</v>
      </c>
      <c r="L90" s="134">
        <v>25.71</v>
      </c>
      <c r="M90" s="134">
        <v>88.68</v>
      </c>
      <c r="N90" s="134">
        <v>0</v>
      </c>
      <c r="O90" s="134">
        <v>0</v>
      </c>
      <c r="P90" s="134">
        <v>0.33</v>
      </c>
      <c r="Q90" s="134">
        <v>4.38</v>
      </c>
    </row>
    <row r="91" spans="1:17" customFormat="1">
      <c r="A91" s="112" t="s">
        <v>2144</v>
      </c>
      <c r="B91" s="134">
        <v>9.83</v>
      </c>
      <c r="C91" s="134">
        <v>15.05</v>
      </c>
      <c r="D91" s="134">
        <v>17.09</v>
      </c>
      <c r="E91" s="134">
        <v>2.6</v>
      </c>
      <c r="F91" s="134">
        <v>3.96</v>
      </c>
      <c r="G91" s="134">
        <v>9.2899999999999991</v>
      </c>
      <c r="H91" s="134">
        <v>1.32</v>
      </c>
      <c r="I91" s="134">
        <v>2.87</v>
      </c>
      <c r="J91" s="134">
        <v>0.3</v>
      </c>
      <c r="K91" s="134">
        <v>255.49</v>
      </c>
      <c r="L91" s="134">
        <v>25.56</v>
      </c>
      <c r="M91" s="134">
        <v>89.76</v>
      </c>
      <c r="N91" s="134">
        <v>0</v>
      </c>
      <c r="O91" s="134">
        <v>0</v>
      </c>
      <c r="P91" s="134">
        <v>0.31</v>
      </c>
      <c r="Q91" s="134">
        <v>4.3600000000000003</v>
      </c>
    </row>
    <row r="92" spans="1:17" customFormat="1">
      <c r="A92" s="112" t="s">
        <v>2145</v>
      </c>
      <c r="B92" s="134">
        <v>9.73</v>
      </c>
      <c r="C92" s="134">
        <v>17.63</v>
      </c>
      <c r="D92" s="134">
        <v>18.37</v>
      </c>
      <c r="E92" s="134">
        <v>3.09</v>
      </c>
      <c r="F92" s="134">
        <v>2.11</v>
      </c>
      <c r="G92" s="134">
        <v>9.0299999999999994</v>
      </c>
      <c r="H92" s="134">
        <v>1.32</v>
      </c>
      <c r="I92" s="134">
        <v>2.81</v>
      </c>
      <c r="J92" s="134">
        <v>0.35</v>
      </c>
      <c r="K92" s="134">
        <v>256.89</v>
      </c>
      <c r="L92" s="134">
        <v>25.43</v>
      </c>
      <c r="M92" s="134">
        <v>90.49</v>
      </c>
      <c r="N92" s="134">
        <v>0</v>
      </c>
      <c r="O92" s="134">
        <v>0</v>
      </c>
      <c r="P92" s="134">
        <v>0.35</v>
      </c>
      <c r="Q92" s="134">
        <v>4.37</v>
      </c>
    </row>
    <row r="93" spans="1:17" customFormat="1">
      <c r="A93" s="112" t="s">
        <v>2146</v>
      </c>
      <c r="B93" s="134">
        <v>9.83</v>
      </c>
      <c r="C93" s="134">
        <v>18.36</v>
      </c>
      <c r="D93" s="134">
        <v>18.829999999999998</v>
      </c>
      <c r="E93" s="134">
        <v>3.86</v>
      </c>
      <c r="F93" s="134">
        <v>2.15</v>
      </c>
      <c r="G93" s="134">
        <v>7</v>
      </c>
      <c r="H93" s="134">
        <v>1.31</v>
      </c>
      <c r="I93" s="134">
        <v>2.81</v>
      </c>
      <c r="J93" s="134">
        <v>0.42</v>
      </c>
      <c r="K93" s="134">
        <v>256.31</v>
      </c>
      <c r="L93" s="134">
        <v>25.37</v>
      </c>
      <c r="M93" s="134">
        <v>90.53</v>
      </c>
      <c r="N93" s="134">
        <v>0</v>
      </c>
      <c r="O93" s="134">
        <v>0</v>
      </c>
      <c r="P93" s="134">
        <v>0.36</v>
      </c>
      <c r="Q93" s="134">
        <v>4.45</v>
      </c>
    </row>
    <row r="94" spans="1:17" customFormat="1">
      <c r="A94" s="112" t="s">
        <v>2147</v>
      </c>
      <c r="B94" s="134">
        <v>9.99</v>
      </c>
      <c r="C94" s="134">
        <v>16.38</v>
      </c>
      <c r="D94" s="134">
        <v>17.920000000000002</v>
      </c>
      <c r="E94" s="134">
        <v>3.72</v>
      </c>
      <c r="F94" s="134">
        <v>3.36</v>
      </c>
      <c r="G94" s="134">
        <v>7</v>
      </c>
      <c r="H94" s="134">
        <v>1.31</v>
      </c>
      <c r="I94" s="134">
        <v>2.93</v>
      </c>
      <c r="J94" s="134">
        <v>0.22</v>
      </c>
      <c r="K94" s="134">
        <v>256.06</v>
      </c>
      <c r="L94" s="134">
        <v>25.3</v>
      </c>
      <c r="M94" s="134">
        <v>91.31</v>
      </c>
      <c r="N94" s="134">
        <v>0</v>
      </c>
      <c r="O94" s="134">
        <v>0</v>
      </c>
      <c r="P94" s="134">
        <v>0.34</v>
      </c>
      <c r="Q94" s="134">
        <v>4.4000000000000004</v>
      </c>
    </row>
    <row r="95" spans="1:17" customFormat="1">
      <c r="A95" s="112" t="s">
        <v>2148</v>
      </c>
      <c r="B95" s="134">
        <v>10.08</v>
      </c>
      <c r="C95" s="134">
        <v>14.73</v>
      </c>
      <c r="D95" s="134">
        <v>17.13</v>
      </c>
      <c r="E95" s="134">
        <v>2.94</v>
      </c>
      <c r="F95" s="134">
        <v>4.08</v>
      </c>
      <c r="G95" s="134">
        <v>7</v>
      </c>
      <c r="H95" s="134">
        <v>1.31</v>
      </c>
      <c r="I95" s="134">
        <v>2.92</v>
      </c>
      <c r="J95" s="134">
        <v>0.19</v>
      </c>
      <c r="K95" s="134">
        <v>246.61</v>
      </c>
      <c r="L95" s="134">
        <v>25.17</v>
      </c>
      <c r="M95" s="134">
        <v>92.47</v>
      </c>
      <c r="N95" s="134">
        <v>0</v>
      </c>
      <c r="O95" s="134">
        <v>0</v>
      </c>
      <c r="P95" s="134">
        <v>0.32</v>
      </c>
      <c r="Q95" s="134">
        <v>4.38</v>
      </c>
    </row>
    <row r="96" spans="1:17" customFormat="1">
      <c r="A96" s="112" t="s">
        <v>2149</v>
      </c>
      <c r="B96" s="134">
        <v>10.32</v>
      </c>
      <c r="C96" s="134">
        <v>16.71</v>
      </c>
      <c r="D96" s="134">
        <v>18.350000000000001</v>
      </c>
      <c r="E96" s="134">
        <v>3.08</v>
      </c>
      <c r="F96" s="134">
        <v>2.44</v>
      </c>
      <c r="G96" s="134">
        <v>7.25</v>
      </c>
      <c r="H96" s="134">
        <v>1.4</v>
      </c>
      <c r="I96" s="134">
        <v>2.84</v>
      </c>
      <c r="J96" s="134">
        <v>0.06</v>
      </c>
      <c r="K96" s="134">
        <v>189.11</v>
      </c>
      <c r="L96" s="134">
        <v>25.03</v>
      </c>
      <c r="M96" s="134">
        <v>93.48</v>
      </c>
      <c r="N96" s="134">
        <v>0</v>
      </c>
      <c r="O96" s="134">
        <v>0</v>
      </c>
      <c r="P96" s="134">
        <v>0.35</v>
      </c>
      <c r="Q96" s="134">
        <v>4.41</v>
      </c>
    </row>
    <row r="97" spans="1:22" customFormat="1">
      <c r="A97" s="112" t="s">
        <v>2150</v>
      </c>
      <c r="B97" s="134">
        <v>10.53</v>
      </c>
      <c r="C97" s="134">
        <v>18.260000000000002</v>
      </c>
      <c r="D97" s="134">
        <v>19.34</v>
      </c>
      <c r="E97" s="134">
        <v>3.22</v>
      </c>
      <c r="F97" s="134">
        <v>1.82</v>
      </c>
      <c r="G97" s="134">
        <v>9.33</v>
      </c>
      <c r="H97" s="134">
        <v>2</v>
      </c>
      <c r="I97" s="134">
        <v>2.8</v>
      </c>
      <c r="J97" s="134">
        <v>7.0000000000000007E-2</v>
      </c>
      <c r="K97" s="134">
        <v>204.92</v>
      </c>
      <c r="L97" s="134">
        <v>24.89</v>
      </c>
      <c r="M97" s="134">
        <v>94.77</v>
      </c>
      <c r="N97" s="134">
        <v>0</v>
      </c>
      <c r="O97" s="134">
        <v>0</v>
      </c>
      <c r="P97" s="134">
        <v>0.36</v>
      </c>
      <c r="Q97" s="134">
        <v>4.5</v>
      </c>
    </row>
    <row r="98" spans="1:22" customFormat="1">
      <c r="A98" s="112" t="s">
        <v>2151</v>
      </c>
      <c r="B98" s="134">
        <v>10.66</v>
      </c>
      <c r="C98" s="134">
        <v>16.440000000000001</v>
      </c>
      <c r="D98" s="134">
        <v>18.489999999999998</v>
      </c>
      <c r="E98" s="134">
        <v>3.63</v>
      </c>
      <c r="F98" s="134">
        <v>2.95</v>
      </c>
      <c r="G98" s="134">
        <v>9.33</v>
      </c>
      <c r="H98" s="134">
        <v>2</v>
      </c>
      <c r="I98" s="134">
        <v>2.92</v>
      </c>
      <c r="J98" s="134">
        <v>0.2</v>
      </c>
      <c r="K98" s="134">
        <v>255.35</v>
      </c>
      <c r="L98" s="134">
        <v>24.87</v>
      </c>
      <c r="M98" s="134">
        <v>94.34</v>
      </c>
      <c r="N98" s="134">
        <v>0</v>
      </c>
      <c r="O98" s="134">
        <v>0</v>
      </c>
      <c r="P98" s="134">
        <v>0.35</v>
      </c>
      <c r="Q98" s="134">
        <v>4.45</v>
      </c>
    </row>
    <row r="99" spans="1:22" customFormat="1">
      <c r="A99" s="112" t="s">
        <v>2152</v>
      </c>
      <c r="B99" s="134">
        <v>10.75</v>
      </c>
      <c r="C99" s="134">
        <v>16.48</v>
      </c>
      <c r="D99" s="134">
        <v>18.579999999999998</v>
      </c>
      <c r="E99" s="134">
        <v>3.57</v>
      </c>
      <c r="F99" s="134">
        <v>3.38</v>
      </c>
      <c r="G99" s="134">
        <v>9.33</v>
      </c>
      <c r="H99" s="134">
        <v>2</v>
      </c>
      <c r="I99" s="134">
        <v>2.95</v>
      </c>
      <c r="J99" s="134">
        <v>0.09</v>
      </c>
      <c r="K99" s="134">
        <v>195.53</v>
      </c>
      <c r="L99" s="134">
        <v>24.82</v>
      </c>
      <c r="M99" s="134">
        <v>94.84</v>
      </c>
      <c r="N99" s="134">
        <v>0</v>
      </c>
      <c r="O99" s="134">
        <v>0</v>
      </c>
      <c r="P99" s="134">
        <v>0.35</v>
      </c>
      <c r="Q99" s="134">
        <v>4.4400000000000004</v>
      </c>
    </row>
    <row r="100" spans="1:22" customFormat="1">
      <c r="A100" s="112" t="s">
        <v>2153</v>
      </c>
      <c r="B100" s="134">
        <v>10.96</v>
      </c>
      <c r="C100" s="134">
        <v>18.46</v>
      </c>
      <c r="D100" s="134">
        <v>19.79</v>
      </c>
      <c r="E100" s="134">
        <v>3.92</v>
      </c>
      <c r="F100" s="134">
        <v>1.88</v>
      </c>
      <c r="G100" s="134">
        <v>9.6199999999999992</v>
      </c>
      <c r="H100" s="134">
        <v>1.99</v>
      </c>
      <c r="I100" s="134">
        <v>2.9</v>
      </c>
      <c r="J100" s="134">
        <v>0.11</v>
      </c>
      <c r="K100" s="134">
        <v>183.71</v>
      </c>
      <c r="L100" s="134">
        <v>24.63</v>
      </c>
      <c r="M100" s="134">
        <v>95.75</v>
      </c>
      <c r="N100" s="134">
        <v>0</v>
      </c>
      <c r="O100" s="134">
        <v>0</v>
      </c>
      <c r="P100" s="134">
        <v>0.38</v>
      </c>
      <c r="Q100" s="134">
        <v>4.5</v>
      </c>
    </row>
    <row r="101" spans="1:22" customFormat="1">
      <c r="A101" s="112" t="s">
        <v>2154</v>
      </c>
      <c r="B101" s="134">
        <v>11.07</v>
      </c>
      <c r="C101" s="134">
        <v>16.95</v>
      </c>
      <c r="D101" s="134">
        <v>19.079999999999998</v>
      </c>
      <c r="E101" s="134">
        <v>3.6</v>
      </c>
      <c r="F101" s="134">
        <v>2.9</v>
      </c>
      <c r="G101" s="134">
        <v>11.99</v>
      </c>
      <c r="H101" s="134">
        <v>1.9</v>
      </c>
      <c r="I101" s="134">
        <v>2.91</v>
      </c>
      <c r="J101" s="134">
        <v>0.1</v>
      </c>
      <c r="K101" s="134">
        <v>241.51</v>
      </c>
      <c r="L101" s="134">
        <v>24.58</v>
      </c>
      <c r="M101" s="134">
        <v>96.44</v>
      </c>
      <c r="N101" s="134">
        <v>0</v>
      </c>
      <c r="O101" s="134">
        <v>0</v>
      </c>
      <c r="P101" s="134">
        <v>0.36</v>
      </c>
      <c r="Q101" s="134">
        <v>4.4800000000000004</v>
      </c>
    </row>
    <row r="102" spans="1:22" customFormat="1">
      <c r="A102" s="112" t="s">
        <v>2155</v>
      </c>
      <c r="B102" s="134">
        <v>10.91</v>
      </c>
      <c r="C102" s="134">
        <v>16.579999999999998</v>
      </c>
      <c r="D102" s="134">
        <v>18.760000000000002</v>
      </c>
      <c r="E102" s="134">
        <v>3</v>
      </c>
      <c r="F102" s="134">
        <v>2.88</v>
      </c>
      <c r="G102" s="134">
        <v>11.99</v>
      </c>
      <c r="H102" s="134">
        <v>1.9</v>
      </c>
      <c r="I102" s="134">
        <v>3</v>
      </c>
      <c r="J102" s="134">
        <v>0.09</v>
      </c>
      <c r="K102" s="134">
        <v>214.23</v>
      </c>
      <c r="L102" s="134">
        <v>24.54</v>
      </c>
      <c r="M102" s="134">
        <v>96.89</v>
      </c>
      <c r="N102" s="134">
        <v>0</v>
      </c>
      <c r="O102" s="134">
        <v>0</v>
      </c>
      <c r="P102" s="134">
        <v>0.37</v>
      </c>
      <c r="Q102" s="134">
        <v>4.4400000000000004</v>
      </c>
    </row>
    <row r="103" spans="1:22" customFormat="1">
      <c r="A103" s="112" t="s">
        <v>2156</v>
      </c>
      <c r="B103" s="134">
        <v>9.8699999999999992</v>
      </c>
      <c r="C103" s="134">
        <v>17.71</v>
      </c>
      <c r="D103" s="134">
        <v>18.52</v>
      </c>
      <c r="E103" s="134">
        <v>3.23</v>
      </c>
      <c r="F103" s="134">
        <v>2.58</v>
      </c>
      <c r="G103" s="134">
        <v>11.99</v>
      </c>
      <c r="H103" s="134">
        <v>1.9</v>
      </c>
      <c r="I103" s="134">
        <v>2.96</v>
      </c>
      <c r="J103" s="134">
        <v>7.0000000000000007E-2</v>
      </c>
      <c r="K103" s="134">
        <v>174.9</v>
      </c>
      <c r="L103" s="134">
        <v>24.45</v>
      </c>
      <c r="M103" s="134">
        <v>97.06</v>
      </c>
      <c r="N103" s="134">
        <v>0</v>
      </c>
      <c r="O103" s="134">
        <v>0</v>
      </c>
      <c r="P103" s="134">
        <v>0.4</v>
      </c>
      <c r="Q103" s="134">
        <v>4.45</v>
      </c>
    </row>
    <row r="104" spans="1:22" customFormat="1">
      <c r="A104" s="112" t="s">
        <v>2157</v>
      </c>
      <c r="B104" s="134">
        <v>9.61</v>
      </c>
      <c r="C104" s="134">
        <v>16.940000000000001</v>
      </c>
      <c r="D104" s="134">
        <v>17.91</v>
      </c>
      <c r="E104" s="134">
        <v>3.03</v>
      </c>
      <c r="F104" s="134">
        <v>2.9</v>
      </c>
      <c r="G104" s="134">
        <v>12.16</v>
      </c>
      <c r="H104" s="134">
        <v>2.2999999999999998</v>
      </c>
      <c r="I104" s="134">
        <v>2.96</v>
      </c>
      <c r="J104" s="134">
        <v>0.11</v>
      </c>
      <c r="K104" s="134">
        <v>231.64</v>
      </c>
      <c r="L104" s="134">
        <v>24.42</v>
      </c>
      <c r="M104" s="134">
        <v>97.24</v>
      </c>
      <c r="N104" s="134">
        <v>0</v>
      </c>
      <c r="O104" s="134">
        <v>0</v>
      </c>
      <c r="P104" s="134">
        <v>0.37</v>
      </c>
      <c r="Q104" s="134">
        <v>4.4400000000000004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8.32</v>
      </c>
      <c r="C106" s="183">
        <f>MIN(C9:C104)</f>
        <v>14.61</v>
      </c>
      <c r="D106" s="183">
        <f t="shared" ref="D106:Q106" si="0">MIN(D9:D104)</f>
        <v>16.149999999999999</v>
      </c>
      <c r="E106" s="183">
        <f t="shared" si="0"/>
        <v>1.91</v>
      </c>
      <c r="F106" s="183">
        <f t="shared" si="0"/>
        <v>1.58</v>
      </c>
      <c r="G106" s="183">
        <f t="shared" si="0"/>
        <v>1.5</v>
      </c>
      <c r="H106" s="183">
        <f t="shared" si="0"/>
        <v>1.23</v>
      </c>
      <c r="I106" s="183">
        <f t="shared" si="0"/>
        <v>2.7</v>
      </c>
      <c r="J106" s="183">
        <f t="shared" si="0"/>
        <v>0.04</v>
      </c>
      <c r="K106" s="183">
        <f t="shared" si="0"/>
        <v>84.44</v>
      </c>
      <c r="L106" s="183">
        <f t="shared" si="0"/>
        <v>24.42</v>
      </c>
      <c r="M106" s="183">
        <f t="shared" si="0"/>
        <v>80.27</v>
      </c>
      <c r="N106" s="183">
        <f t="shared" si="0"/>
        <v>0</v>
      </c>
      <c r="O106" s="183">
        <f t="shared" si="0"/>
        <v>0</v>
      </c>
      <c r="P106" s="183">
        <f t="shared" si="0"/>
        <v>0.3</v>
      </c>
      <c r="Q106" s="183">
        <f t="shared" si="0"/>
        <v>4.3099999999999996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14.9</v>
      </c>
      <c r="C107" s="184">
        <f t="shared" ref="C107:Q107" si="1">MAX(C9:C104)</f>
        <v>20.84</v>
      </c>
      <c r="D107" s="184">
        <f t="shared" si="1"/>
        <v>23.38</v>
      </c>
      <c r="E107" s="184">
        <f t="shared" si="1"/>
        <v>5.93</v>
      </c>
      <c r="F107" s="184">
        <f t="shared" si="1"/>
        <v>4.7300000000000004</v>
      </c>
      <c r="G107" s="184">
        <f t="shared" si="1"/>
        <v>12.16</v>
      </c>
      <c r="H107" s="184">
        <f t="shared" si="1"/>
        <v>2.2999999999999998</v>
      </c>
      <c r="I107" s="184">
        <f t="shared" si="1"/>
        <v>3.73</v>
      </c>
      <c r="J107" s="184">
        <f t="shared" si="1"/>
        <v>0.69</v>
      </c>
      <c r="K107" s="184">
        <f t="shared" si="1"/>
        <v>295.25</v>
      </c>
      <c r="L107" s="184">
        <f t="shared" si="1"/>
        <v>28.49</v>
      </c>
      <c r="M107" s="184">
        <f t="shared" si="1"/>
        <v>98.55</v>
      </c>
      <c r="N107" s="184">
        <f t="shared" si="1"/>
        <v>305</v>
      </c>
      <c r="O107" s="184">
        <f t="shared" si="1"/>
        <v>0.4</v>
      </c>
      <c r="P107" s="184">
        <f t="shared" si="1"/>
        <v>0.45</v>
      </c>
      <c r="Q107" s="184">
        <f t="shared" si="1"/>
        <v>4.87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11.723854166666667</v>
      </c>
      <c r="C108" s="183">
        <f t="shared" ref="C108:Q108" si="2">AVERAGE(C9:C104)</f>
        <v>17.091041666666666</v>
      </c>
      <c r="D108" s="183">
        <f t="shared" si="2"/>
        <v>19.682499999999994</v>
      </c>
      <c r="E108" s="183">
        <f t="shared" si="2"/>
        <v>3.9611458333333349</v>
      </c>
      <c r="F108" s="183">
        <f t="shared" si="2"/>
        <v>2.9453124999999982</v>
      </c>
      <c r="G108" s="183">
        <f t="shared" si="2"/>
        <v>4.776250000000001</v>
      </c>
      <c r="H108" s="183">
        <f t="shared" si="2"/>
        <v>1.3783333333333327</v>
      </c>
      <c r="I108" s="183">
        <f t="shared" si="2"/>
        <v>3.1285416666666674</v>
      </c>
      <c r="J108" s="183">
        <f t="shared" si="2"/>
        <v>0.268125</v>
      </c>
      <c r="K108" s="183">
        <f t="shared" si="2"/>
        <v>218.31041666666658</v>
      </c>
      <c r="L108" s="183">
        <f t="shared" si="2"/>
        <v>26.026562500000001</v>
      </c>
      <c r="M108" s="183">
        <f t="shared" si="2"/>
        <v>90.3984375</v>
      </c>
      <c r="N108" s="183">
        <f t="shared" si="2"/>
        <v>69.024999999999991</v>
      </c>
      <c r="O108" s="183">
        <f t="shared" si="2"/>
        <v>4.1666666666666666E-3</v>
      </c>
      <c r="P108" s="183">
        <f t="shared" si="2"/>
        <v>0.35979166666666651</v>
      </c>
      <c r="Q108" s="183">
        <f t="shared" si="2"/>
        <v>4.5789583333333344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1.8282694548565495</v>
      </c>
      <c r="C109" s="183">
        <f t="shared" ref="C109:Q109" si="3">STDEV(C9:C104)</f>
        <v>1.5046940442052519</v>
      </c>
      <c r="D109" s="183">
        <f t="shared" si="3"/>
        <v>1.9024172988457169</v>
      </c>
      <c r="E109" s="183">
        <f t="shared" si="3"/>
        <v>1.0235283348266258</v>
      </c>
      <c r="F109" s="183">
        <f t="shared" si="3"/>
        <v>0.78756781245206942</v>
      </c>
      <c r="G109" s="183">
        <f t="shared" si="3"/>
        <v>2.7491951932386161</v>
      </c>
      <c r="H109" s="183">
        <f t="shared" si="3"/>
        <v>0.20227998660880564</v>
      </c>
      <c r="I109" s="183">
        <f t="shared" si="3"/>
        <v>0.29829331790834868</v>
      </c>
      <c r="J109" s="183">
        <f t="shared" si="3"/>
        <v>0.1804340526852429</v>
      </c>
      <c r="K109" s="183">
        <f t="shared" si="3"/>
        <v>58.26629465184967</v>
      </c>
      <c r="L109" s="183">
        <f t="shared" si="3"/>
        <v>1.22785377847512</v>
      </c>
      <c r="M109" s="183">
        <f t="shared" si="3"/>
        <v>5.8962445368351144</v>
      </c>
      <c r="N109" s="183">
        <f t="shared" si="3"/>
        <v>91.437244513439552</v>
      </c>
      <c r="O109" s="183">
        <f t="shared" si="3"/>
        <v>4.0824829046386304E-2</v>
      </c>
      <c r="P109" s="183">
        <f t="shared" si="3"/>
        <v>3.0949166017731171E-2</v>
      </c>
      <c r="Q109" s="183">
        <f t="shared" si="3"/>
        <v>0.16331099918909128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21/08/2023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2158</v>
      </c>
      <c r="B9" s="134">
        <v>10.029999999999999</v>
      </c>
      <c r="C9" s="134">
        <v>14.52</v>
      </c>
      <c r="D9" s="134">
        <v>16.98</v>
      </c>
      <c r="E9" s="134">
        <v>2.52</v>
      </c>
      <c r="F9" s="134">
        <v>3.41</v>
      </c>
      <c r="G9" s="134">
        <v>13.49</v>
      </c>
      <c r="H9" s="134">
        <v>4.8600000000000003</v>
      </c>
      <c r="I9" s="134">
        <v>2.89</v>
      </c>
      <c r="J9" s="134">
        <v>0.05</v>
      </c>
      <c r="K9" s="134">
        <v>244.52</v>
      </c>
      <c r="L9" s="134">
        <v>24.34</v>
      </c>
      <c r="M9" s="134">
        <v>97.58</v>
      </c>
      <c r="N9" s="134">
        <v>0</v>
      </c>
      <c r="O9" s="134">
        <v>0</v>
      </c>
      <c r="P9" s="134">
        <v>0.34</v>
      </c>
      <c r="Q9" s="134">
        <v>4.4400000000000004</v>
      </c>
    </row>
    <row r="10" spans="1:21" customFormat="1">
      <c r="A10" s="112" t="s">
        <v>2159</v>
      </c>
      <c r="B10" s="134">
        <v>10.51</v>
      </c>
      <c r="C10" s="134">
        <v>15.2</v>
      </c>
      <c r="D10" s="134">
        <v>17.72</v>
      </c>
      <c r="E10" s="134">
        <v>2.39</v>
      </c>
      <c r="F10" s="134">
        <v>3</v>
      </c>
      <c r="G10" s="134">
        <v>13.49</v>
      </c>
      <c r="H10" s="134">
        <v>4.8600000000000003</v>
      </c>
      <c r="I10" s="134">
        <v>2.8</v>
      </c>
      <c r="J10" s="134">
        <v>0.01</v>
      </c>
      <c r="K10" s="134">
        <v>214.74</v>
      </c>
      <c r="L10" s="134">
        <v>24.31</v>
      </c>
      <c r="M10" s="134">
        <v>97.78</v>
      </c>
      <c r="N10" s="134">
        <v>0</v>
      </c>
      <c r="O10" s="134">
        <v>0</v>
      </c>
      <c r="P10" s="134">
        <v>0.32</v>
      </c>
      <c r="Q10" s="134">
        <v>4.4400000000000004</v>
      </c>
    </row>
    <row r="11" spans="1:21" customFormat="1">
      <c r="A11" s="112" t="s">
        <v>2160</v>
      </c>
      <c r="B11" s="134">
        <v>11.01</v>
      </c>
      <c r="C11" s="134">
        <v>17.809999999999999</v>
      </c>
      <c r="D11" s="134">
        <v>19.489999999999998</v>
      </c>
      <c r="E11" s="134">
        <v>2.87</v>
      </c>
      <c r="F11" s="134">
        <v>1.66</v>
      </c>
      <c r="G11" s="134">
        <v>13.49</v>
      </c>
      <c r="H11" s="134">
        <v>4.8600000000000003</v>
      </c>
      <c r="I11" s="134">
        <v>2.74</v>
      </c>
      <c r="J11" s="134">
        <v>7.0000000000000007E-2</v>
      </c>
      <c r="K11" s="134">
        <v>177.73</v>
      </c>
      <c r="L11" s="134">
        <v>24.39</v>
      </c>
      <c r="M11" s="134">
        <v>97.91</v>
      </c>
      <c r="N11" s="134">
        <v>0</v>
      </c>
      <c r="O11" s="134">
        <v>0</v>
      </c>
      <c r="P11" s="134">
        <v>0.36</v>
      </c>
      <c r="Q11" s="134">
        <v>4.4800000000000004</v>
      </c>
    </row>
    <row r="12" spans="1:21" customFormat="1">
      <c r="A12" s="112" t="s">
        <v>2161</v>
      </c>
      <c r="B12" s="134">
        <v>11.34</v>
      </c>
      <c r="C12" s="134">
        <v>18.079999999999998</v>
      </c>
      <c r="D12" s="134">
        <v>19.89</v>
      </c>
      <c r="E12" s="134">
        <v>3.53</v>
      </c>
      <c r="F12" s="134">
        <v>2.23</v>
      </c>
      <c r="G12" s="134">
        <v>13.61</v>
      </c>
      <c r="H12" s="134">
        <v>4.71</v>
      </c>
      <c r="I12" s="134">
        <v>2.78</v>
      </c>
      <c r="J12" s="134">
        <v>0.15</v>
      </c>
      <c r="K12" s="134">
        <v>254.28</v>
      </c>
      <c r="L12" s="134">
        <v>24.58</v>
      </c>
      <c r="M12" s="134">
        <v>97.8</v>
      </c>
      <c r="N12" s="134">
        <v>0</v>
      </c>
      <c r="O12" s="134">
        <v>0</v>
      </c>
      <c r="P12" s="134">
        <v>0.36</v>
      </c>
      <c r="Q12" s="134">
        <v>4.54</v>
      </c>
    </row>
    <row r="13" spans="1:21" customFormat="1">
      <c r="A13" s="112" t="s">
        <v>2162</v>
      </c>
      <c r="B13" s="134">
        <v>11.27</v>
      </c>
      <c r="C13" s="134">
        <v>16.13</v>
      </c>
      <c r="D13" s="134">
        <v>18.82</v>
      </c>
      <c r="E13" s="134">
        <v>3.11</v>
      </c>
      <c r="F13" s="134">
        <v>3.17</v>
      </c>
      <c r="G13" s="134">
        <v>14.52</v>
      </c>
      <c r="H13" s="134">
        <v>3.83</v>
      </c>
      <c r="I13" s="134">
        <v>2.9</v>
      </c>
      <c r="J13" s="134">
        <v>0.12</v>
      </c>
      <c r="K13" s="134">
        <v>264.51</v>
      </c>
      <c r="L13" s="134">
        <v>24.71</v>
      </c>
      <c r="M13" s="134">
        <v>97.52</v>
      </c>
      <c r="N13" s="134">
        <v>0</v>
      </c>
      <c r="O13" s="134">
        <v>0</v>
      </c>
      <c r="P13" s="134">
        <v>0.34</v>
      </c>
      <c r="Q13" s="134">
        <v>4.5199999999999996</v>
      </c>
    </row>
    <row r="14" spans="1:21" customFormat="1">
      <c r="A14" s="112" t="s">
        <v>2163</v>
      </c>
      <c r="B14" s="134">
        <v>11.55</v>
      </c>
      <c r="C14" s="134">
        <v>17.82</v>
      </c>
      <c r="D14" s="134">
        <v>19.920000000000002</v>
      </c>
      <c r="E14" s="134">
        <v>3.18</v>
      </c>
      <c r="F14" s="134">
        <v>2.0699999999999998</v>
      </c>
      <c r="G14" s="134">
        <v>14.52</v>
      </c>
      <c r="H14" s="134">
        <v>3.83</v>
      </c>
      <c r="I14" s="134">
        <v>2.85</v>
      </c>
      <c r="J14" s="134">
        <v>7.0000000000000007E-2</v>
      </c>
      <c r="K14" s="134">
        <v>225.25</v>
      </c>
      <c r="L14" s="134">
        <v>24.75</v>
      </c>
      <c r="M14" s="134">
        <v>97.04</v>
      </c>
      <c r="N14" s="134">
        <v>0</v>
      </c>
      <c r="O14" s="134">
        <v>0</v>
      </c>
      <c r="P14" s="134">
        <v>0.37</v>
      </c>
      <c r="Q14" s="134">
        <v>4.5199999999999996</v>
      </c>
    </row>
    <row r="15" spans="1:21" customFormat="1">
      <c r="A15" s="112" t="s">
        <v>2164</v>
      </c>
      <c r="B15" s="134">
        <v>11.78</v>
      </c>
      <c r="C15" s="134">
        <v>17.940000000000001</v>
      </c>
      <c r="D15" s="134">
        <v>20.170000000000002</v>
      </c>
      <c r="E15" s="134">
        <v>3.35</v>
      </c>
      <c r="F15" s="134">
        <v>2.1800000000000002</v>
      </c>
      <c r="G15" s="134">
        <v>14.52</v>
      </c>
      <c r="H15" s="134">
        <v>3.83</v>
      </c>
      <c r="I15" s="134">
        <v>2.82</v>
      </c>
      <c r="J15" s="134">
        <v>0.08</v>
      </c>
      <c r="K15" s="134">
        <v>217.07</v>
      </c>
      <c r="L15" s="134">
        <v>24.81</v>
      </c>
      <c r="M15" s="134">
        <v>96.6</v>
      </c>
      <c r="N15" s="134">
        <v>0</v>
      </c>
      <c r="O15" s="134">
        <v>0</v>
      </c>
      <c r="P15" s="134">
        <v>0.38</v>
      </c>
      <c r="Q15" s="134">
        <v>4.57</v>
      </c>
    </row>
    <row r="16" spans="1:21" customFormat="1">
      <c r="A16" s="112" t="s">
        <v>2165</v>
      </c>
      <c r="B16" s="134">
        <v>11.77</v>
      </c>
      <c r="C16" s="134">
        <v>16.170000000000002</v>
      </c>
      <c r="D16" s="134">
        <v>19.239999999999998</v>
      </c>
      <c r="E16" s="134">
        <v>3.36</v>
      </c>
      <c r="F16" s="134">
        <v>3.4</v>
      </c>
      <c r="G16" s="134">
        <v>14.51</v>
      </c>
      <c r="H16" s="134">
        <v>4.1500000000000004</v>
      </c>
      <c r="I16" s="134">
        <v>2.92</v>
      </c>
      <c r="J16" s="134">
        <v>0.13</v>
      </c>
      <c r="K16" s="134">
        <v>267.57</v>
      </c>
      <c r="L16" s="134">
        <v>24.81</v>
      </c>
      <c r="M16" s="134">
        <v>96.65</v>
      </c>
      <c r="N16" s="134">
        <v>0</v>
      </c>
      <c r="O16" s="134">
        <v>0</v>
      </c>
      <c r="P16" s="134">
        <v>0.36</v>
      </c>
      <c r="Q16" s="134">
        <v>4.54</v>
      </c>
    </row>
    <row r="17" spans="1:17" customFormat="1">
      <c r="A17" s="112" t="s">
        <v>2166</v>
      </c>
      <c r="B17" s="134">
        <v>11.92</v>
      </c>
      <c r="C17" s="134">
        <v>17.57</v>
      </c>
      <c r="D17" s="134">
        <v>20.09</v>
      </c>
      <c r="E17" s="134">
        <v>1.96</v>
      </c>
      <c r="F17" s="134">
        <v>2.5099999999999998</v>
      </c>
      <c r="G17" s="134">
        <v>14.43</v>
      </c>
      <c r="H17" s="134">
        <v>6.14</v>
      </c>
      <c r="I17" s="134">
        <v>2.9</v>
      </c>
      <c r="J17" s="134">
        <v>0.13</v>
      </c>
      <c r="K17" s="134">
        <v>266.38</v>
      </c>
      <c r="L17" s="134">
        <v>24.84</v>
      </c>
      <c r="M17" s="134">
        <v>96.46</v>
      </c>
      <c r="N17" s="134">
        <v>0</v>
      </c>
      <c r="O17" s="134">
        <v>0</v>
      </c>
      <c r="P17" s="134">
        <v>0.37</v>
      </c>
      <c r="Q17" s="134">
        <v>4.5599999999999996</v>
      </c>
    </row>
    <row r="18" spans="1:17" customFormat="1">
      <c r="A18" s="112" t="s">
        <v>2167</v>
      </c>
      <c r="B18" s="134">
        <v>12.13</v>
      </c>
      <c r="C18" s="134">
        <v>18.38</v>
      </c>
      <c r="D18" s="134">
        <v>20.68</v>
      </c>
      <c r="E18" s="134">
        <v>2.74</v>
      </c>
      <c r="F18" s="134">
        <v>2.0299999999999998</v>
      </c>
      <c r="G18" s="134">
        <v>14.43</v>
      </c>
      <c r="H18" s="134">
        <v>6.14</v>
      </c>
      <c r="I18" s="134">
        <v>2.82</v>
      </c>
      <c r="J18" s="134">
        <v>0.12</v>
      </c>
      <c r="K18" s="134">
        <v>259.44</v>
      </c>
      <c r="L18" s="134">
        <v>24.84</v>
      </c>
      <c r="M18" s="134">
        <v>95.95</v>
      </c>
      <c r="N18" s="134">
        <v>0</v>
      </c>
      <c r="O18" s="134">
        <v>0</v>
      </c>
      <c r="P18" s="134">
        <v>0.38</v>
      </c>
      <c r="Q18" s="134">
        <v>4.62</v>
      </c>
    </row>
    <row r="19" spans="1:17" customFormat="1">
      <c r="A19" s="112" t="s">
        <v>2168</v>
      </c>
      <c r="B19" s="134">
        <v>11.98</v>
      </c>
      <c r="C19" s="134">
        <v>16.850000000000001</v>
      </c>
      <c r="D19" s="134">
        <v>19.77</v>
      </c>
      <c r="E19" s="134">
        <v>2.81</v>
      </c>
      <c r="F19" s="134">
        <v>2.97</v>
      </c>
      <c r="G19" s="134">
        <v>14.43</v>
      </c>
      <c r="H19" s="134">
        <v>6.14</v>
      </c>
      <c r="I19" s="134">
        <v>2.91</v>
      </c>
      <c r="J19" s="134">
        <v>0.13</v>
      </c>
      <c r="K19" s="134">
        <v>254.15</v>
      </c>
      <c r="L19" s="134">
        <v>24.81</v>
      </c>
      <c r="M19" s="134">
        <v>95.87</v>
      </c>
      <c r="N19" s="134">
        <v>0</v>
      </c>
      <c r="O19" s="134">
        <v>0</v>
      </c>
      <c r="P19" s="134">
        <v>0.37</v>
      </c>
      <c r="Q19" s="134">
        <v>4.58</v>
      </c>
    </row>
    <row r="20" spans="1:17" customFormat="1">
      <c r="A20" s="112" t="s">
        <v>2169</v>
      </c>
      <c r="B20" s="134">
        <v>11.96</v>
      </c>
      <c r="C20" s="134">
        <v>16.23</v>
      </c>
      <c r="D20" s="134">
        <v>19.420000000000002</v>
      </c>
      <c r="E20" s="134">
        <v>2.92</v>
      </c>
      <c r="F20" s="134">
        <v>3.32</v>
      </c>
      <c r="G20" s="134">
        <v>14.25</v>
      </c>
      <c r="H20" s="134">
        <v>6.19</v>
      </c>
      <c r="I20" s="134">
        <v>2.92</v>
      </c>
      <c r="J20" s="134">
        <v>7.0000000000000007E-2</v>
      </c>
      <c r="K20" s="134">
        <v>263.70999999999998</v>
      </c>
      <c r="L20" s="134">
        <v>24.84</v>
      </c>
      <c r="M20" s="134">
        <v>95.63</v>
      </c>
      <c r="N20" s="134">
        <v>0</v>
      </c>
      <c r="O20" s="134">
        <v>0</v>
      </c>
      <c r="P20" s="134">
        <v>0.35</v>
      </c>
      <c r="Q20" s="134">
        <v>4.57</v>
      </c>
    </row>
    <row r="21" spans="1:17" customFormat="1">
      <c r="A21" s="112" t="s">
        <v>2170</v>
      </c>
      <c r="B21" s="134">
        <v>12.28</v>
      </c>
      <c r="C21" s="134">
        <v>19.04</v>
      </c>
      <c r="D21" s="134">
        <v>21.15</v>
      </c>
      <c r="E21" s="134">
        <v>3.04</v>
      </c>
      <c r="F21" s="134">
        <v>1.73</v>
      </c>
      <c r="G21" s="134">
        <v>12.77</v>
      </c>
      <c r="H21" s="134">
        <v>6.45</v>
      </c>
      <c r="I21" s="134">
        <v>2.82</v>
      </c>
      <c r="J21" s="134">
        <v>0.16</v>
      </c>
      <c r="K21" s="134">
        <v>250.7</v>
      </c>
      <c r="L21" s="134">
        <v>24.7</v>
      </c>
      <c r="M21" s="134">
        <v>96.01</v>
      </c>
      <c r="N21" s="134">
        <v>0</v>
      </c>
      <c r="O21" s="134">
        <v>0</v>
      </c>
      <c r="P21" s="134">
        <v>0.38</v>
      </c>
      <c r="Q21" s="134">
        <v>4.6399999999999997</v>
      </c>
    </row>
    <row r="22" spans="1:17" customFormat="1">
      <c r="A22" s="112" t="s">
        <v>2171</v>
      </c>
      <c r="B22" s="134">
        <v>12.53</v>
      </c>
      <c r="C22" s="134">
        <v>18.55</v>
      </c>
      <c r="D22" s="134">
        <v>21.09</v>
      </c>
      <c r="E22" s="134">
        <v>3.13</v>
      </c>
      <c r="F22" s="134">
        <v>2.2200000000000002</v>
      </c>
      <c r="G22" s="134">
        <v>12.77</v>
      </c>
      <c r="H22" s="134">
        <v>6.45</v>
      </c>
      <c r="I22" s="134">
        <v>2.81</v>
      </c>
      <c r="J22" s="134">
        <v>0.06</v>
      </c>
      <c r="K22" s="134">
        <v>256.68</v>
      </c>
      <c r="L22" s="134">
        <v>24.76</v>
      </c>
      <c r="M22" s="134">
        <v>96.38</v>
      </c>
      <c r="N22" s="134">
        <v>0</v>
      </c>
      <c r="O22" s="134">
        <v>0</v>
      </c>
      <c r="P22" s="134">
        <v>0.38</v>
      </c>
      <c r="Q22" s="134">
        <v>4.6399999999999997</v>
      </c>
    </row>
    <row r="23" spans="1:17" customFormat="1">
      <c r="A23" s="112" t="s">
        <v>2172</v>
      </c>
      <c r="B23" s="134">
        <v>12.47</v>
      </c>
      <c r="C23" s="134">
        <v>16.760000000000002</v>
      </c>
      <c r="D23" s="134">
        <v>20.11</v>
      </c>
      <c r="E23" s="134">
        <v>3.13</v>
      </c>
      <c r="F23" s="134">
        <v>2.99</v>
      </c>
      <c r="G23" s="134">
        <v>12.77</v>
      </c>
      <c r="H23" s="134">
        <v>6.45</v>
      </c>
      <c r="I23" s="134">
        <v>2.95</v>
      </c>
      <c r="J23" s="134">
        <v>0.04</v>
      </c>
      <c r="K23" s="134">
        <v>236.69</v>
      </c>
      <c r="L23" s="134">
        <v>24.81</v>
      </c>
      <c r="M23" s="134">
        <v>96.15</v>
      </c>
      <c r="N23" s="134">
        <v>0</v>
      </c>
      <c r="O23" s="134">
        <v>0</v>
      </c>
      <c r="P23" s="134">
        <v>0.35</v>
      </c>
      <c r="Q23" s="134">
        <v>4.59</v>
      </c>
    </row>
    <row r="24" spans="1:17" customFormat="1">
      <c r="A24" s="112" t="s">
        <v>2173</v>
      </c>
      <c r="B24" s="134">
        <v>12.38</v>
      </c>
      <c r="C24" s="134">
        <v>16.489999999999998</v>
      </c>
      <c r="D24" s="134">
        <v>19.899999999999999</v>
      </c>
      <c r="E24" s="134">
        <v>2.63</v>
      </c>
      <c r="F24" s="134">
        <v>2.98</v>
      </c>
      <c r="G24" s="134">
        <v>12.68</v>
      </c>
      <c r="H24" s="134">
        <v>6.28</v>
      </c>
      <c r="I24" s="134">
        <v>2.91</v>
      </c>
      <c r="J24" s="134">
        <v>0.13</v>
      </c>
      <c r="K24" s="134">
        <v>255.02</v>
      </c>
      <c r="L24" s="134">
        <v>24.82</v>
      </c>
      <c r="M24" s="134">
        <v>96.06</v>
      </c>
      <c r="N24" s="134">
        <v>0</v>
      </c>
      <c r="O24" s="134">
        <v>0</v>
      </c>
      <c r="P24" s="134">
        <v>0.35</v>
      </c>
      <c r="Q24" s="134">
        <v>4.59</v>
      </c>
    </row>
    <row r="25" spans="1:17" customFormat="1">
      <c r="A25" s="112" t="s">
        <v>2174</v>
      </c>
      <c r="B25" s="134">
        <v>12.76</v>
      </c>
      <c r="C25" s="134">
        <v>19.36</v>
      </c>
      <c r="D25" s="134">
        <v>21.7</v>
      </c>
      <c r="E25" s="134">
        <v>2.99</v>
      </c>
      <c r="F25" s="134">
        <v>1.46</v>
      </c>
      <c r="G25" s="134">
        <v>11.94</v>
      </c>
      <c r="H25" s="134">
        <v>5.2</v>
      </c>
      <c r="I25" s="134">
        <v>2.82</v>
      </c>
      <c r="J25" s="134">
        <v>0.1</v>
      </c>
      <c r="K25" s="134">
        <v>252.85</v>
      </c>
      <c r="L25" s="134">
        <v>24.89</v>
      </c>
      <c r="M25" s="134">
        <v>95.62</v>
      </c>
      <c r="N25" s="134">
        <v>0</v>
      </c>
      <c r="O25" s="134">
        <v>0</v>
      </c>
      <c r="P25" s="134">
        <v>0.38</v>
      </c>
      <c r="Q25" s="134">
        <v>4.68</v>
      </c>
    </row>
    <row r="26" spans="1:17" customFormat="1">
      <c r="A26" s="112" t="s">
        <v>2175</v>
      </c>
      <c r="B26" s="134">
        <v>12.97</v>
      </c>
      <c r="C26" s="134">
        <v>18.32</v>
      </c>
      <c r="D26" s="134">
        <v>21.32</v>
      </c>
      <c r="E26" s="134">
        <v>3.17</v>
      </c>
      <c r="F26" s="134">
        <v>2.16</v>
      </c>
      <c r="G26" s="134">
        <v>11.94</v>
      </c>
      <c r="H26" s="134">
        <v>5.2</v>
      </c>
      <c r="I26" s="134">
        <v>2.83</v>
      </c>
      <c r="J26" s="134">
        <v>0.12</v>
      </c>
      <c r="K26" s="134">
        <v>249.4</v>
      </c>
      <c r="L26" s="134">
        <v>24.92</v>
      </c>
      <c r="M26" s="134">
        <v>95.58</v>
      </c>
      <c r="N26" s="134">
        <v>0</v>
      </c>
      <c r="O26" s="134">
        <v>0</v>
      </c>
      <c r="P26" s="134">
        <v>0.38</v>
      </c>
      <c r="Q26" s="134">
        <v>4.66</v>
      </c>
    </row>
    <row r="27" spans="1:17" customFormat="1">
      <c r="A27" s="112" t="s">
        <v>2176</v>
      </c>
      <c r="B27" s="134">
        <v>12.21</v>
      </c>
      <c r="C27" s="134">
        <v>18.39</v>
      </c>
      <c r="D27" s="134">
        <v>20.75</v>
      </c>
      <c r="E27" s="134">
        <v>3.26</v>
      </c>
      <c r="F27" s="134">
        <v>2.64</v>
      </c>
      <c r="G27" s="134">
        <v>11.94</v>
      </c>
      <c r="H27" s="134">
        <v>5.2</v>
      </c>
      <c r="I27" s="134">
        <v>2.96</v>
      </c>
      <c r="J27" s="134">
        <v>0.08</v>
      </c>
      <c r="K27" s="134">
        <v>197.98</v>
      </c>
      <c r="L27" s="134">
        <v>24.93</v>
      </c>
      <c r="M27" s="134">
        <v>95.33</v>
      </c>
      <c r="N27" s="134">
        <v>0</v>
      </c>
      <c r="O27" s="134">
        <v>0</v>
      </c>
      <c r="P27" s="134">
        <v>0.4</v>
      </c>
      <c r="Q27" s="134">
        <v>4.6500000000000004</v>
      </c>
    </row>
    <row r="28" spans="1:17" customFormat="1">
      <c r="A28" s="112" t="s">
        <v>2177</v>
      </c>
      <c r="B28" s="134">
        <v>11.41</v>
      </c>
      <c r="C28" s="134">
        <v>19.3</v>
      </c>
      <c r="D28" s="134">
        <v>20.59</v>
      </c>
      <c r="E28" s="134">
        <v>2.41</v>
      </c>
      <c r="F28" s="134">
        <v>2.56</v>
      </c>
      <c r="G28" s="134">
        <v>11.86</v>
      </c>
      <c r="H28" s="134">
        <v>5.36</v>
      </c>
      <c r="I28" s="134">
        <v>2.95</v>
      </c>
      <c r="J28" s="134">
        <v>0.12</v>
      </c>
      <c r="K28" s="134">
        <v>244.47</v>
      </c>
      <c r="L28" s="134">
        <v>24.9</v>
      </c>
      <c r="M28" s="134">
        <v>95.43</v>
      </c>
      <c r="N28" s="134">
        <v>0</v>
      </c>
      <c r="O28" s="134">
        <v>0</v>
      </c>
      <c r="P28" s="134">
        <v>0.41</v>
      </c>
      <c r="Q28" s="134">
        <v>4.66</v>
      </c>
    </row>
    <row r="29" spans="1:17" customFormat="1">
      <c r="A29" s="112" t="s">
        <v>2178</v>
      </c>
      <c r="B29" s="134">
        <v>11.56</v>
      </c>
      <c r="C29" s="134">
        <v>17.23</v>
      </c>
      <c r="D29" s="134">
        <v>19.62</v>
      </c>
      <c r="E29" s="134">
        <v>2.48</v>
      </c>
      <c r="F29" s="134">
        <v>3.08</v>
      </c>
      <c r="G29" s="134">
        <v>11.2</v>
      </c>
      <c r="H29" s="134">
        <v>6.33</v>
      </c>
      <c r="I29" s="134">
        <v>2.94</v>
      </c>
      <c r="J29" s="134">
        <v>0.04</v>
      </c>
      <c r="K29" s="134">
        <v>247.32</v>
      </c>
      <c r="L29" s="134">
        <v>24.89</v>
      </c>
      <c r="M29" s="134">
        <v>95.65</v>
      </c>
      <c r="N29" s="134">
        <v>0</v>
      </c>
      <c r="O29" s="134">
        <v>0</v>
      </c>
      <c r="P29" s="134">
        <v>0.37</v>
      </c>
      <c r="Q29" s="134">
        <v>4.63</v>
      </c>
    </row>
    <row r="30" spans="1:17" customFormat="1">
      <c r="A30" s="112" t="s">
        <v>2179</v>
      </c>
      <c r="B30" s="134">
        <v>11.8</v>
      </c>
      <c r="C30" s="134">
        <v>16.45</v>
      </c>
      <c r="D30" s="134">
        <v>19.41</v>
      </c>
      <c r="E30" s="134">
        <v>2.2999999999999998</v>
      </c>
      <c r="F30" s="134">
        <v>2.92</v>
      </c>
      <c r="G30" s="134">
        <v>11.2</v>
      </c>
      <c r="H30" s="134">
        <v>6.33</v>
      </c>
      <c r="I30" s="134">
        <v>2.86</v>
      </c>
      <c r="J30" s="134">
        <v>0.09</v>
      </c>
      <c r="K30" s="134">
        <v>256.52</v>
      </c>
      <c r="L30" s="134">
        <v>24.91</v>
      </c>
      <c r="M30" s="134">
        <v>95.99</v>
      </c>
      <c r="N30" s="134">
        <v>0</v>
      </c>
      <c r="O30" s="134">
        <v>0</v>
      </c>
      <c r="P30" s="134">
        <v>0.35</v>
      </c>
      <c r="Q30" s="134">
        <v>4.59</v>
      </c>
    </row>
    <row r="31" spans="1:17" customFormat="1">
      <c r="A31" s="112" t="s">
        <v>2180</v>
      </c>
      <c r="B31" s="134">
        <v>11.92</v>
      </c>
      <c r="C31" s="134">
        <v>15.95</v>
      </c>
      <c r="D31" s="134">
        <v>19.25</v>
      </c>
      <c r="E31" s="134">
        <v>2.0099999999999998</v>
      </c>
      <c r="F31" s="134">
        <v>2.99</v>
      </c>
      <c r="G31" s="134">
        <v>11.2</v>
      </c>
      <c r="H31" s="134">
        <v>6.33</v>
      </c>
      <c r="I31" s="134">
        <v>2.77</v>
      </c>
      <c r="J31" s="134">
        <v>0.05</v>
      </c>
      <c r="K31" s="134">
        <v>212.03</v>
      </c>
      <c r="L31" s="134">
        <v>24.95</v>
      </c>
      <c r="M31" s="134">
        <v>96.21</v>
      </c>
      <c r="N31" s="134">
        <v>0</v>
      </c>
      <c r="O31" s="134">
        <v>0</v>
      </c>
      <c r="P31" s="134">
        <v>0.33</v>
      </c>
      <c r="Q31" s="134">
        <v>4.5599999999999996</v>
      </c>
    </row>
    <row r="32" spans="1:17" customFormat="1">
      <c r="A32" s="112" t="s">
        <v>2181</v>
      </c>
      <c r="B32" s="134">
        <v>12.16</v>
      </c>
      <c r="C32" s="134">
        <v>16.47</v>
      </c>
      <c r="D32" s="134">
        <v>19.71</v>
      </c>
      <c r="E32" s="134">
        <v>2.17</v>
      </c>
      <c r="F32" s="134">
        <v>2.78</v>
      </c>
      <c r="G32" s="134">
        <v>11.85</v>
      </c>
      <c r="H32" s="134">
        <v>6.18</v>
      </c>
      <c r="I32" s="134">
        <v>2.74</v>
      </c>
      <c r="J32" s="134">
        <v>0.01</v>
      </c>
      <c r="K32" s="134">
        <v>163.98</v>
      </c>
      <c r="L32" s="134">
        <v>25.01</v>
      </c>
      <c r="M32" s="134">
        <v>96.3</v>
      </c>
      <c r="N32" s="134">
        <v>0</v>
      </c>
      <c r="O32" s="134">
        <v>0</v>
      </c>
      <c r="P32" s="134">
        <v>0.34</v>
      </c>
      <c r="Q32" s="134">
        <v>4.58</v>
      </c>
    </row>
    <row r="33" spans="1:17" customFormat="1">
      <c r="A33" s="112" t="s">
        <v>2182</v>
      </c>
      <c r="B33" s="134">
        <v>12.52</v>
      </c>
      <c r="C33" s="134">
        <v>19.46</v>
      </c>
      <c r="D33" s="134">
        <v>21.55</v>
      </c>
      <c r="E33" s="134">
        <v>3.04</v>
      </c>
      <c r="F33" s="134">
        <v>1.47</v>
      </c>
      <c r="G33" s="134">
        <v>17.05</v>
      </c>
      <c r="H33" s="134">
        <v>5.23</v>
      </c>
      <c r="I33" s="134">
        <v>2.68</v>
      </c>
      <c r="J33" s="134">
        <v>0.09</v>
      </c>
      <c r="K33" s="134">
        <v>260.56</v>
      </c>
      <c r="L33" s="134">
        <v>24.99</v>
      </c>
      <c r="M33" s="134">
        <v>96.7</v>
      </c>
      <c r="N33" s="134">
        <v>0.6</v>
      </c>
      <c r="O33" s="134">
        <v>0</v>
      </c>
      <c r="P33" s="134">
        <v>0.38</v>
      </c>
      <c r="Q33" s="134">
        <v>4.6900000000000004</v>
      </c>
    </row>
    <row r="34" spans="1:17" customFormat="1">
      <c r="A34" s="112" t="s">
        <v>2183</v>
      </c>
      <c r="B34" s="134">
        <v>12.82</v>
      </c>
      <c r="C34" s="134">
        <v>18.13</v>
      </c>
      <c r="D34" s="134">
        <v>21.1</v>
      </c>
      <c r="E34" s="134">
        <v>3.11</v>
      </c>
      <c r="F34" s="134">
        <v>2.29</v>
      </c>
      <c r="G34" s="134">
        <v>17.05</v>
      </c>
      <c r="H34" s="134">
        <v>5.23</v>
      </c>
      <c r="I34" s="134">
        <v>2.75</v>
      </c>
      <c r="J34" s="134">
        <v>0.15</v>
      </c>
      <c r="K34" s="134">
        <v>258.41000000000003</v>
      </c>
      <c r="L34" s="134">
        <v>24.85</v>
      </c>
      <c r="M34" s="134">
        <v>97.37</v>
      </c>
      <c r="N34" s="134">
        <v>3.7</v>
      </c>
      <c r="O34" s="134">
        <v>0</v>
      </c>
      <c r="P34" s="134">
        <v>0.36</v>
      </c>
      <c r="Q34" s="134">
        <v>4.66</v>
      </c>
    </row>
    <row r="35" spans="1:17" customFormat="1">
      <c r="A35" s="112" t="s">
        <v>2184</v>
      </c>
      <c r="B35" s="134">
        <v>12.83</v>
      </c>
      <c r="C35" s="134">
        <v>16.97</v>
      </c>
      <c r="D35" s="134">
        <v>20.51</v>
      </c>
      <c r="E35" s="134">
        <v>2.85</v>
      </c>
      <c r="F35" s="134">
        <v>2.67</v>
      </c>
      <c r="G35" s="134">
        <v>17.05</v>
      </c>
      <c r="H35" s="134">
        <v>5.23</v>
      </c>
      <c r="I35" s="134">
        <v>2.89</v>
      </c>
      <c r="J35" s="134">
        <v>0.19</v>
      </c>
      <c r="K35" s="134">
        <v>271.56</v>
      </c>
      <c r="L35" s="134">
        <v>24.85</v>
      </c>
      <c r="M35" s="134">
        <v>97.81</v>
      </c>
      <c r="N35" s="134">
        <v>7.2</v>
      </c>
      <c r="O35" s="134">
        <v>0</v>
      </c>
      <c r="P35" s="134">
        <v>0.36</v>
      </c>
      <c r="Q35" s="134">
        <v>4.62</v>
      </c>
    </row>
    <row r="36" spans="1:17" customFormat="1">
      <c r="A36" s="112" t="s">
        <v>2185</v>
      </c>
      <c r="B36" s="134">
        <v>13.02</v>
      </c>
      <c r="C36" s="134">
        <v>19.010000000000002</v>
      </c>
      <c r="D36" s="134">
        <v>21.72</v>
      </c>
      <c r="E36" s="134">
        <v>3.29</v>
      </c>
      <c r="F36" s="134">
        <v>1.68</v>
      </c>
      <c r="G36" s="134">
        <v>16.54</v>
      </c>
      <c r="H36" s="134">
        <v>5.6</v>
      </c>
      <c r="I36" s="134">
        <v>2.83</v>
      </c>
      <c r="J36" s="134">
        <v>0.06</v>
      </c>
      <c r="K36" s="134">
        <v>294.49</v>
      </c>
      <c r="L36" s="134">
        <v>24.97</v>
      </c>
      <c r="M36" s="134">
        <v>98.25</v>
      </c>
      <c r="N36" s="134">
        <v>15.7</v>
      </c>
      <c r="O36" s="134">
        <v>0</v>
      </c>
      <c r="P36" s="134">
        <v>0.38</v>
      </c>
      <c r="Q36" s="134">
        <v>4.68</v>
      </c>
    </row>
    <row r="37" spans="1:17" customFormat="1">
      <c r="A37" s="112" t="s">
        <v>2186</v>
      </c>
      <c r="B37" s="134">
        <v>13.07</v>
      </c>
      <c r="C37" s="134">
        <v>17.739999999999998</v>
      </c>
      <c r="D37" s="134">
        <v>21.1</v>
      </c>
      <c r="E37" s="134">
        <v>2.97</v>
      </c>
      <c r="F37" s="134">
        <v>2.4900000000000002</v>
      </c>
      <c r="G37" s="134">
        <v>12.49</v>
      </c>
      <c r="H37" s="134">
        <v>7.96</v>
      </c>
      <c r="I37" s="134">
        <v>2.81</v>
      </c>
      <c r="J37" s="134">
        <v>0.01</v>
      </c>
      <c r="K37" s="134">
        <v>172.67</v>
      </c>
      <c r="L37" s="134">
        <v>25.16</v>
      </c>
      <c r="M37" s="134">
        <v>98.31</v>
      </c>
      <c r="N37" s="134">
        <v>35.799999999999997</v>
      </c>
      <c r="O37" s="134">
        <v>0</v>
      </c>
      <c r="P37" s="134">
        <v>0.37</v>
      </c>
      <c r="Q37" s="134">
        <v>4.7</v>
      </c>
    </row>
    <row r="38" spans="1:17" customFormat="1">
      <c r="A38" s="112" t="s">
        <v>2187</v>
      </c>
      <c r="B38" s="134">
        <v>12.98</v>
      </c>
      <c r="C38" s="134">
        <v>16.25</v>
      </c>
      <c r="D38" s="134">
        <v>20.25</v>
      </c>
      <c r="E38" s="134">
        <v>3.1</v>
      </c>
      <c r="F38" s="134">
        <v>3.06</v>
      </c>
      <c r="G38" s="134">
        <v>12.49</v>
      </c>
      <c r="H38" s="134">
        <v>7.96</v>
      </c>
      <c r="I38" s="134">
        <v>2.92</v>
      </c>
      <c r="J38" s="134">
        <v>0.09</v>
      </c>
      <c r="K38" s="134">
        <v>271.81</v>
      </c>
      <c r="L38" s="134">
        <v>25.39</v>
      </c>
      <c r="M38" s="134">
        <v>97.65</v>
      </c>
      <c r="N38" s="134">
        <v>41.8</v>
      </c>
      <c r="O38" s="134">
        <v>0</v>
      </c>
      <c r="P38" s="134">
        <v>0.35</v>
      </c>
      <c r="Q38" s="134">
        <v>4.6500000000000004</v>
      </c>
    </row>
    <row r="39" spans="1:17" customFormat="1">
      <c r="A39" s="112" t="s">
        <v>2188</v>
      </c>
      <c r="B39" s="134">
        <v>13.15</v>
      </c>
      <c r="C39" s="134">
        <v>16.73</v>
      </c>
      <c r="D39" s="134">
        <v>20.63</v>
      </c>
      <c r="E39" s="134">
        <v>2.98</v>
      </c>
      <c r="F39" s="134">
        <v>2.64</v>
      </c>
      <c r="G39" s="134">
        <v>12.49</v>
      </c>
      <c r="H39" s="134">
        <v>7.96</v>
      </c>
      <c r="I39" s="134">
        <v>2.87</v>
      </c>
      <c r="J39" s="134">
        <v>0.27</v>
      </c>
      <c r="K39" s="134">
        <v>264.12</v>
      </c>
      <c r="L39" s="134">
        <v>25.5</v>
      </c>
      <c r="M39" s="134">
        <v>96.67</v>
      </c>
      <c r="N39" s="134">
        <v>60.9</v>
      </c>
      <c r="O39" s="134">
        <v>0</v>
      </c>
      <c r="P39" s="134">
        <v>0.36</v>
      </c>
      <c r="Q39" s="134">
        <v>4.67</v>
      </c>
    </row>
    <row r="40" spans="1:17" customFormat="1">
      <c r="A40" s="112" t="s">
        <v>2189</v>
      </c>
      <c r="B40" s="134">
        <v>13.14</v>
      </c>
      <c r="C40" s="134">
        <v>18.98</v>
      </c>
      <c r="D40" s="134">
        <v>21.8</v>
      </c>
      <c r="E40" s="134">
        <v>3.62</v>
      </c>
      <c r="F40" s="134">
        <v>1.87</v>
      </c>
      <c r="G40" s="134">
        <v>12.72</v>
      </c>
      <c r="H40" s="134">
        <v>7.76</v>
      </c>
      <c r="I40" s="134">
        <v>2.86</v>
      </c>
      <c r="J40" s="134">
        <v>0.13</v>
      </c>
      <c r="K40" s="134">
        <v>271.54000000000002</v>
      </c>
      <c r="L40" s="134">
        <v>25.82</v>
      </c>
      <c r="M40" s="134">
        <v>95.23</v>
      </c>
      <c r="N40" s="134">
        <v>109.2</v>
      </c>
      <c r="O40" s="134">
        <v>0</v>
      </c>
      <c r="P40" s="134">
        <v>0.39</v>
      </c>
      <c r="Q40" s="134">
        <v>4.76</v>
      </c>
    </row>
    <row r="41" spans="1:17" customFormat="1">
      <c r="A41" s="112" t="s">
        <v>2190</v>
      </c>
      <c r="B41" s="134">
        <v>13.17</v>
      </c>
      <c r="C41" s="134">
        <v>16.64</v>
      </c>
      <c r="D41" s="134">
        <v>20.61</v>
      </c>
      <c r="E41" s="134">
        <v>2.9</v>
      </c>
      <c r="F41" s="134">
        <v>2.99</v>
      </c>
      <c r="G41" s="134">
        <v>14.57</v>
      </c>
      <c r="H41" s="134">
        <v>6.49</v>
      </c>
      <c r="I41" s="134">
        <v>2.92</v>
      </c>
      <c r="J41" s="134">
        <v>0.38</v>
      </c>
      <c r="K41" s="134">
        <v>256.05</v>
      </c>
      <c r="L41" s="134">
        <v>26.24</v>
      </c>
      <c r="M41" s="134">
        <v>92.72</v>
      </c>
      <c r="N41" s="134">
        <v>128.30000000000001</v>
      </c>
      <c r="O41" s="134">
        <v>0</v>
      </c>
      <c r="P41" s="134">
        <v>0.37</v>
      </c>
      <c r="Q41" s="134">
        <v>4.74</v>
      </c>
    </row>
    <row r="42" spans="1:17" customFormat="1">
      <c r="A42" s="112" t="s">
        <v>2191</v>
      </c>
      <c r="B42" s="134">
        <v>13.2</v>
      </c>
      <c r="C42" s="134">
        <v>15.34</v>
      </c>
      <c r="D42" s="134">
        <v>19.95</v>
      </c>
      <c r="E42" s="134">
        <v>2.91</v>
      </c>
      <c r="F42" s="134">
        <v>3.5</v>
      </c>
      <c r="G42" s="134">
        <v>14.57</v>
      </c>
      <c r="H42" s="134">
        <v>6.49</v>
      </c>
      <c r="I42" s="134">
        <v>3</v>
      </c>
      <c r="J42" s="134">
        <v>0.28000000000000003</v>
      </c>
      <c r="K42" s="134">
        <v>250.33</v>
      </c>
      <c r="L42" s="134">
        <v>26.32</v>
      </c>
      <c r="M42" s="134">
        <v>91.94</v>
      </c>
      <c r="N42" s="134">
        <v>112</v>
      </c>
      <c r="O42" s="134">
        <v>0.2</v>
      </c>
      <c r="P42" s="134">
        <v>0.35</v>
      </c>
      <c r="Q42" s="134">
        <v>4.6900000000000004</v>
      </c>
    </row>
    <row r="43" spans="1:17" customFormat="1">
      <c r="A43" s="112" t="s">
        <v>2192</v>
      </c>
      <c r="B43" s="134">
        <v>13.29</v>
      </c>
      <c r="C43" s="134">
        <v>16.23</v>
      </c>
      <c r="D43" s="134">
        <v>20.49</v>
      </c>
      <c r="E43" s="134">
        <v>3</v>
      </c>
      <c r="F43" s="134">
        <v>2.93</v>
      </c>
      <c r="G43" s="134">
        <v>14.57</v>
      </c>
      <c r="H43" s="134">
        <v>6.49</v>
      </c>
      <c r="I43" s="134">
        <v>2.91</v>
      </c>
      <c r="J43" s="134">
        <v>0.32</v>
      </c>
      <c r="K43" s="134">
        <v>259.57</v>
      </c>
      <c r="L43" s="134">
        <v>26.52</v>
      </c>
      <c r="M43" s="134">
        <v>91.17</v>
      </c>
      <c r="N43" s="134">
        <v>109.5</v>
      </c>
      <c r="O43" s="134">
        <v>0</v>
      </c>
      <c r="P43" s="134">
        <v>0.36</v>
      </c>
      <c r="Q43" s="134">
        <v>4.7</v>
      </c>
    </row>
    <row r="44" spans="1:17" customFormat="1">
      <c r="A44" s="112" t="s">
        <v>2193</v>
      </c>
      <c r="B44" s="134">
        <v>13.41</v>
      </c>
      <c r="C44" s="134">
        <v>19</v>
      </c>
      <c r="D44" s="134">
        <v>22.03</v>
      </c>
      <c r="E44" s="134">
        <v>3.38</v>
      </c>
      <c r="F44" s="134">
        <v>1.76</v>
      </c>
      <c r="G44" s="134">
        <v>14.13</v>
      </c>
      <c r="H44" s="134">
        <v>6.36</v>
      </c>
      <c r="I44" s="134">
        <v>2.89</v>
      </c>
      <c r="J44" s="134">
        <v>0.28000000000000003</v>
      </c>
      <c r="K44" s="134">
        <v>255.32</v>
      </c>
      <c r="L44" s="134">
        <v>26.44</v>
      </c>
      <c r="M44" s="134">
        <v>91.34</v>
      </c>
      <c r="N44" s="134">
        <v>65.7</v>
      </c>
      <c r="O44" s="134">
        <v>0</v>
      </c>
      <c r="P44" s="134">
        <v>0.39</v>
      </c>
      <c r="Q44" s="134">
        <v>4.75</v>
      </c>
    </row>
    <row r="45" spans="1:17" customFormat="1">
      <c r="A45" s="112" t="s">
        <v>2194</v>
      </c>
      <c r="B45" s="134">
        <v>13.43</v>
      </c>
      <c r="C45" s="134">
        <v>17.54</v>
      </c>
      <c r="D45" s="134">
        <v>21.28</v>
      </c>
      <c r="E45" s="134">
        <v>3.55</v>
      </c>
      <c r="F45" s="134">
        <v>2.68</v>
      </c>
      <c r="G45" s="134">
        <v>10.62</v>
      </c>
      <c r="H45" s="134">
        <v>5.56</v>
      </c>
      <c r="I45" s="134">
        <v>2.97</v>
      </c>
      <c r="J45" s="134">
        <v>0.37</v>
      </c>
      <c r="K45" s="134">
        <v>262.14999999999998</v>
      </c>
      <c r="L45" s="134">
        <v>26.48</v>
      </c>
      <c r="M45" s="134">
        <v>91.24</v>
      </c>
      <c r="N45" s="134">
        <v>128.19999999999999</v>
      </c>
      <c r="O45" s="134">
        <v>0</v>
      </c>
      <c r="P45" s="134">
        <v>0.39</v>
      </c>
      <c r="Q45" s="134">
        <v>4.74</v>
      </c>
    </row>
    <row r="46" spans="1:17" customFormat="1">
      <c r="A46" s="112" t="s">
        <v>2195</v>
      </c>
      <c r="B46" s="134">
        <v>13.16</v>
      </c>
      <c r="C46" s="134">
        <v>16.18</v>
      </c>
      <c r="D46" s="134">
        <v>20.36</v>
      </c>
      <c r="E46" s="134">
        <v>3.43</v>
      </c>
      <c r="F46" s="134">
        <v>3.39</v>
      </c>
      <c r="G46" s="134">
        <v>10.62</v>
      </c>
      <c r="H46" s="134">
        <v>5.56</v>
      </c>
      <c r="I46" s="134">
        <v>3.06</v>
      </c>
      <c r="J46" s="134">
        <v>0.4</v>
      </c>
      <c r="K46" s="134">
        <v>258.24</v>
      </c>
      <c r="L46" s="134">
        <v>27.03</v>
      </c>
      <c r="M46" s="134">
        <v>88.76</v>
      </c>
      <c r="N46" s="134">
        <v>221.3</v>
      </c>
      <c r="O46" s="134">
        <v>0</v>
      </c>
      <c r="P46" s="134">
        <v>0.36</v>
      </c>
      <c r="Q46" s="134">
        <v>4.68</v>
      </c>
    </row>
    <row r="47" spans="1:17" customFormat="1">
      <c r="A47" s="112" t="s">
        <v>2196</v>
      </c>
      <c r="B47" s="134">
        <v>13.2</v>
      </c>
      <c r="C47" s="134">
        <v>16.309999999999999</v>
      </c>
      <c r="D47" s="134">
        <v>20.46</v>
      </c>
      <c r="E47" s="134">
        <v>2.98</v>
      </c>
      <c r="F47" s="134">
        <v>3.13</v>
      </c>
      <c r="G47" s="134">
        <v>10.62</v>
      </c>
      <c r="H47" s="134">
        <v>5.56</v>
      </c>
      <c r="I47" s="134">
        <v>3</v>
      </c>
      <c r="J47" s="134">
        <v>0.48</v>
      </c>
      <c r="K47" s="134">
        <v>256.13</v>
      </c>
      <c r="L47" s="134">
        <v>27.12</v>
      </c>
      <c r="M47" s="134">
        <v>87.87</v>
      </c>
      <c r="N47" s="134">
        <v>159.5</v>
      </c>
      <c r="O47" s="134">
        <v>0</v>
      </c>
      <c r="P47" s="134">
        <v>0.37</v>
      </c>
      <c r="Q47" s="134">
        <v>4.6399999999999997</v>
      </c>
    </row>
    <row r="48" spans="1:17" customFormat="1">
      <c r="A48" s="112" t="s">
        <v>2197</v>
      </c>
      <c r="B48" s="134">
        <v>12.53</v>
      </c>
      <c r="C48" s="134">
        <v>17.47</v>
      </c>
      <c r="D48" s="134">
        <v>20.52</v>
      </c>
      <c r="E48" s="134">
        <v>2.87</v>
      </c>
      <c r="F48" s="134">
        <v>2.74</v>
      </c>
      <c r="G48" s="134">
        <v>11.13</v>
      </c>
      <c r="H48" s="134">
        <v>5.57</v>
      </c>
      <c r="I48" s="134">
        <v>2.97</v>
      </c>
      <c r="J48" s="134">
        <v>0.41</v>
      </c>
      <c r="K48" s="134">
        <v>256.14999999999998</v>
      </c>
      <c r="L48" s="134">
        <v>27.25</v>
      </c>
      <c r="M48" s="134">
        <v>87.61</v>
      </c>
      <c r="N48" s="134">
        <v>195.9</v>
      </c>
      <c r="O48" s="134">
        <v>0</v>
      </c>
      <c r="P48" s="134">
        <v>0.41</v>
      </c>
      <c r="Q48" s="134">
        <v>4.6399999999999997</v>
      </c>
    </row>
    <row r="49" spans="1:17" customFormat="1">
      <c r="A49" s="112" t="s">
        <v>2198</v>
      </c>
      <c r="B49" s="134">
        <v>11.83</v>
      </c>
      <c r="C49" s="134">
        <v>18.52</v>
      </c>
      <c r="D49" s="134">
        <v>20.51</v>
      </c>
      <c r="E49" s="134">
        <v>2.35</v>
      </c>
      <c r="F49" s="134">
        <v>2.54</v>
      </c>
      <c r="G49" s="134">
        <v>15.2</v>
      </c>
      <c r="H49" s="134">
        <v>5.67</v>
      </c>
      <c r="I49" s="134">
        <v>3.02</v>
      </c>
      <c r="J49" s="134">
        <v>0.49</v>
      </c>
      <c r="K49" s="134">
        <v>255.66</v>
      </c>
      <c r="L49" s="134">
        <v>27.37</v>
      </c>
      <c r="M49" s="134">
        <v>87.05</v>
      </c>
      <c r="N49" s="134">
        <v>184.3</v>
      </c>
      <c r="O49" s="134">
        <v>0</v>
      </c>
      <c r="P49" s="134">
        <v>0.42</v>
      </c>
      <c r="Q49" s="134">
        <v>4.66</v>
      </c>
    </row>
    <row r="50" spans="1:17" customFormat="1">
      <c r="A50" s="112" t="s">
        <v>2199</v>
      </c>
      <c r="B50" s="134">
        <v>11.74</v>
      </c>
      <c r="C50" s="134">
        <v>17.13</v>
      </c>
      <c r="D50" s="134">
        <v>19.71</v>
      </c>
      <c r="E50" s="134">
        <v>3.35</v>
      </c>
      <c r="F50" s="134">
        <v>2.97</v>
      </c>
      <c r="G50" s="134">
        <v>15.2</v>
      </c>
      <c r="H50" s="134">
        <v>5.67</v>
      </c>
      <c r="I50" s="134">
        <v>3.05</v>
      </c>
      <c r="J50" s="134">
        <v>0.38</v>
      </c>
      <c r="K50" s="134">
        <v>244.37</v>
      </c>
      <c r="L50" s="134">
        <v>27.37</v>
      </c>
      <c r="M50" s="134">
        <v>87.17</v>
      </c>
      <c r="N50" s="134">
        <v>131.5</v>
      </c>
      <c r="O50" s="134">
        <v>0</v>
      </c>
      <c r="P50" s="134">
        <v>0.39</v>
      </c>
      <c r="Q50" s="134">
        <v>4.59</v>
      </c>
    </row>
    <row r="51" spans="1:17" customFormat="1">
      <c r="A51" s="112" t="s">
        <v>2200</v>
      </c>
      <c r="B51" s="134">
        <v>11.83</v>
      </c>
      <c r="C51" s="134">
        <v>16.649999999999999</v>
      </c>
      <c r="D51" s="134">
        <v>19.53</v>
      </c>
      <c r="E51" s="134">
        <v>3.6</v>
      </c>
      <c r="F51" s="134">
        <v>2.87</v>
      </c>
      <c r="G51" s="134">
        <v>15.2</v>
      </c>
      <c r="H51" s="134">
        <v>5.67</v>
      </c>
      <c r="I51" s="134">
        <v>3.02</v>
      </c>
      <c r="J51" s="134">
        <v>0.46</v>
      </c>
      <c r="K51" s="134">
        <v>257.13</v>
      </c>
      <c r="L51" s="134">
        <v>27.12</v>
      </c>
      <c r="M51" s="134">
        <v>88.03</v>
      </c>
      <c r="N51" s="134">
        <v>171.3</v>
      </c>
      <c r="O51" s="134">
        <v>0</v>
      </c>
      <c r="P51" s="134">
        <v>0.37</v>
      </c>
      <c r="Q51" s="134">
        <v>4.58</v>
      </c>
    </row>
    <row r="52" spans="1:17" customFormat="1">
      <c r="A52" s="112" t="s">
        <v>2201</v>
      </c>
      <c r="B52" s="134">
        <v>11.77</v>
      </c>
      <c r="C52" s="134">
        <v>16.28</v>
      </c>
      <c r="D52" s="134">
        <v>19.3</v>
      </c>
      <c r="E52" s="134">
        <v>3.6</v>
      </c>
      <c r="F52" s="134">
        <v>2.94</v>
      </c>
      <c r="G52" s="134">
        <v>15.04</v>
      </c>
      <c r="H52" s="134">
        <v>6.03</v>
      </c>
      <c r="I52" s="134">
        <v>2.96</v>
      </c>
      <c r="J52" s="134">
        <v>0.59</v>
      </c>
      <c r="K52" s="134">
        <v>260.12</v>
      </c>
      <c r="L52" s="134">
        <v>27.7</v>
      </c>
      <c r="M52" s="134">
        <v>86.35</v>
      </c>
      <c r="N52" s="134">
        <v>198.5</v>
      </c>
      <c r="O52" s="134">
        <v>0</v>
      </c>
      <c r="P52" s="134">
        <v>0.35</v>
      </c>
      <c r="Q52" s="134">
        <v>4.57</v>
      </c>
    </row>
    <row r="53" spans="1:17" customFormat="1">
      <c r="A53" s="112" t="s">
        <v>2202</v>
      </c>
      <c r="B53" s="134">
        <v>11.85</v>
      </c>
      <c r="C53" s="134">
        <v>16.059999999999999</v>
      </c>
      <c r="D53" s="134">
        <v>19.239999999999998</v>
      </c>
      <c r="E53" s="134">
        <v>3.94</v>
      </c>
      <c r="F53" s="134">
        <v>3.08</v>
      </c>
      <c r="G53" s="134">
        <v>13.84</v>
      </c>
      <c r="H53" s="134">
        <v>8.2899999999999991</v>
      </c>
      <c r="I53" s="134">
        <v>2.95</v>
      </c>
      <c r="J53" s="134">
        <v>0.52</v>
      </c>
      <c r="K53" s="134">
        <v>254.43</v>
      </c>
      <c r="L53" s="134">
        <v>27.48</v>
      </c>
      <c r="M53" s="134">
        <v>87.14</v>
      </c>
      <c r="N53" s="134">
        <v>229.8</v>
      </c>
      <c r="O53" s="134">
        <v>0</v>
      </c>
      <c r="P53" s="134">
        <v>0.35</v>
      </c>
      <c r="Q53" s="134">
        <v>4.5599999999999996</v>
      </c>
    </row>
    <row r="54" spans="1:17" customFormat="1">
      <c r="A54" s="112" t="s">
        <v>2203</v>
      </c>
      <c r="B54" s="134">
        <v>11.77</v>
      </c>
      <c r="C54" s="134">
        <v>15.65</v>
      </c>
      <c r="D54" s="134">
        <v>18.97</v>
      </c>
      <c r="E54" s="134">
        <v>3.5</v>
      </c>
      <c r="F54" s="134">
        <v>3.34</v>
      </c>
      <c r="G54" s="134">
        <v>13.84</v>
      </c>
      <c r="H54" s="134">
        <v>8.2899999999999991</v>
      </c>
      <c r="I54" s="134">
        <v>2.92</v>
      </c>
      <c r="J54" s="134">
        <v>0.57999999999999996</v>
      </c>
      <c r="K54" s="134">
        <v>251.92</v>
      </c>
      <c r="L54" s="134">
        <v>27.7</v>
      </c>
      <c r="M54" s="134">
        <v>86.02</v>
      </c>
      <c r="N54" s="134">
        <v>247.8</v>
      </c>
      <c r="O54" s="134">
        <v>0</v>
      </c>
      <c r="P54" s="134">
        <v>0.34</v>
      </c>
      <c r="Q54" s="134">
        <v>4.53</v>
      </c>
    </row>
    <row r="55" spans="1:17" customFormat="1">
      <c r="A55" s="112" t="s">
        <v>2204</v>
      </c>
      <c r="B55" s="134">
        <v>11.68</v>
      </c>
      <c r="C55" s="134">
        <v>15.85</v>
      </c>
      <c r="D55" s="134">
        <v>19</v>
      </c>
      <c r="E55" s="134">
        <v>4.2</v>
      </c>
      <c r="F55" s="134">
        <v>3.21</v>
      </c>
      <c r="G55" s="134">
        <v>13.84</v>
      </c>
      <c r="H55" s="134">
        <v>8.2899999999999991</v>
      </c>
      <c r="I55" s="134">
        <v>2.92</v>
      </c>
      <c r="J55" s="134">
        <v>0.53</v>
      </c>
      <c r="K55" s="134">
        <v>260.02</v>
      </c>
      <c r="L55" s="134">
        <v>28.07</v>
      </c>
      <c r="M55" s="134">
        <v>84.03</v>
      </c>
      <c r="N55" s="134">
        <v>327.10000000000002</v>
      </c>
      <c r="O55" s="134">
        <v>0</v>
      </c>
      <c r="P55" s="134">
        <v>0.34</v>
      </c>
      <c r="Q55" s="134">
        <v>4.51</v>
      </c>
    </row>
    <row r="56" spans="1:17" customFormat="1">
      <c r="A56" s="112" t="s">
        <v>2205</v>
      </c>
      <c r="B56" s="134">
        <v>11.62</v>
      </c>
      <c r="C56" s="134">
        <v>16.34</v>
      </c>
      <c r="D56" s="134">
        <v>19.21</v>
      </c>
      <c r="E56" s="134">
        <v>3.46</v>
      </c>
      <c r="F56" s="134">
        <v>2.81</v>
      </c>
      <c r="G56" s="134">
        <v>14.35</v>
      </c>
      <c r="H56" s="134">
        <v>8.15</v>
      </c>
      <c r="I56" s="134">
        <v>2.88</v>
      </c>
      <c r="J56" s="134">
        <v>0.56999999999999995</v>
      </c>
      <c r="K56" s="134">
        <v>255.34</v>
      </c>
      <c r="L56" s="134">
        <v>28.19</v>
      </c>
      <c r="M56" s="134">
        <v>83.61</v>
      </c>
      <c r="N56" s="134">
        <v>230.6</v>
      </c>
      <c r="O56" s="134">
        <v>0</v>
      </c>
      <c r="P56" s="134">
        <v>0.35</v>
      </c>
      <c r="Q56" s="134">
        <v>4.51</v>
      </c>
    </row>
    <row r="57" spans="1:17" customFormat="1">
      <c r="A57" s="112" t="s">
        <v>2206</v>
      </c>
      <c r="B57" s="134">
        <v>11.6</v>
      </c>
      <c r="C57" s="134">
        <v>18.48</v>
      </c>
      <c r="D57" s="134">
        <v>20.309999999999999</v>
      </c>
      <c r="E57" s="134">
        <v>4.32</v>
      </c>
      <c r="F57" s="134">
        <v>1.88</v>
      </c>
      <c r="G57" s="134">
        <v>18.43</v>
      </c>
      <c r="H57" s="134">
        <v>7.28</v>
      </c>
      <c r="I57" s="134">
        <v>2.89</v>
      </c>
      <c r="J57" s="134">
        <v>0.5</v>
      </c>
      <c r="K57" s="134">
        <v>263.56</v>
      </c>
      <c r="L57" s="134">
        <v>28.31</v>
      </c>
      <c r="M57" s="134">
        <v>84.12</v>
      </c>
      <c r="N57" s="134">
        <v>233.8</v>
      </c>
      <c r="O57" s="134">
        <v>0</v>
      </c>
      <c r="P57" s="134">
        <v>0.39</v>
      </c>
      <c r="Q57" s="134">
        <v>4.58</v>
      </c>
    </row>
    <row r="58" spans="1:17" customFormat="1">
      <c r="A58" s="112" t="s">
        <v>2207</v>
      </c>
      <c r="B58" s="134">
        <v>11.59</v>
      </c>
      <c r="C58" s="134">
        <v>17.579999999999998</v>
      </c>
      <c r="D58" s="134">
        <v>19.829999999999998</v>
      </c>
      <c r="E58" s="134">
        <v>4.78</v>
      </c>
      <c r="F58" s="134">
        <v>2.87</v>
      </c>
      <c r="G58" s="134">
        <v>18.43</v>
      </c>
      <c r="H58" s="134">
        <v>7.28</v>
      </c>
      <c r="I58" s="134">
        <v>2.91</v>
      </c>
      <c r="J58" s="134">
        <v>0.59</v>
      </c>
      <c r="K58" s="134">
        <v>258.52999999999997</v>
      </c>
      <c r="L58" s="134">
        <v>28.55</v>
      </c>
      <c r="M58" s="134">
        <v>82.38</v>
      </c>
      <c r="N58" s="134">
        <v>327.7</v>
      </c>
      <c r="O58" s="134">
        <v>0</v>
      </c>
      <c r="P58" s="134">
        <v>0.38</v>
      </c>
      <c r="Q58" s="134">
        <v>4.55</v>
      </c>
    </row>
    <row r="59" spans="1:17" customFormat="1">
      <c r="A59" s="112" t="s">
        <v>2208</v>
      </c>
      <c r="B59" s="134">
        <v>11.3</v>
      </c>
      <c r="C59" s="134">
        <v>16.48</v>
      </c>
      <c r="D59" s="134">
        <v>19.03</v>
      </c>
      <c r="E59" s="134">
        <v>4.26</v>
      </c>
      <c r="F59" s="134">
        <v>3.61</v>
      </c>
      <c r="G59" s="134">
        <v>18.43</v>
      </c>
      <c r="H59" s="134">
        <v>7.28</v>
      </c>
      <c r="I59" s="134">
        <v>3.02</v>
      </c>
      <c r="J59" s="134">
        <v>0.45</v>
      </c>
      <c r="K59" s="134">
        <v>257.10000000000002</v>
      </c>
      <c r="L59" s="134">
        <v>29.11</v>
      </c>
      <c r="M59" s="134">
        <v>80.23</v>
      </c>
      <c r="N59" s="134">
        <v>373.5</v>
      </c>
      <c r="O59" s="134">
        <v>0</v>
      </c>
      <c r="P59" s="134">
        <v>0.37</v>
      </c>
      <c r="Q59" s="134">
        <v>4.51</v>
      </c>
    </row>
    <row r="60" spans="1:17" customFormat="1">
      <c r="A60" s="112" t="s">
        <v>2209</v>
      </c>
      <c r="B60" s="134">
        <v>11.09</v>
      </c>
      <c r="C60" s="134">
        <v>16.100000000000001</v>
      </c>
      <c r="D60" s="134">
        <v>18.649999999999999</v>
      </c>
      <c r="E60" s="134">
        <v>4.05</v>
      </c>
      <c r="F60" s="134">
        <v>3.64</v>
      </c>
      <c r="G60" s="134">
        <v>18.34</v>
      </c>
      <c r="H60" s="134">
        <v>7.2</v>
      </c>
      <c r="I60" s="134">
        <v>2.97</v>
      </c>
      <c r="J60" s="134">
        <v>0.6</v>
      </c>
      <c r="K60" s="134">
        <v>256.11</v>
      </c>
      <c r="L60" s="134">
        <v>29.38</v>
      </c>
      <c r="M60" s="134">
        <v>78.87</v>
      </c>
      <c r="N60" s="134">
        <v>433</v>
      </c>
      <c r="O60" s="134">
        <v>0</v>
      </c>
      <c r="P60" s="134">
        <v>0.36</v>
      </c>
      <c r="Q60" s="134">
        <v>4.49</v>
      </c>
    </row>
    <row r="61" spans="1:17" customFormat="1">
      <c r="A61" s="112" t="s">
        <v>2210</v>
      </c>
      <c r="B61" s="134">
        <v>10.96</v>
      </c>
      <c r="C61" s="134">
        <v>15.82</v>
      </c>
      <c r="D61" s="134">
        <v>18.399999999999999</v>
      </c>
      <c r="E61" s="134">
        <v>4.0199999999999996</v>
      </c>
      <c r="F61" s="134">
        <v>3.57</v>
      </c>
      <c r="G61" s="134">
        <v>17.64</v>
      </c>
      <c r="H61" s="134">
        <v>6.71</v>
      </c>
      <c r="I61" s="134">
        <v>2.94</v>
      </c>
      <c r="J61" s="134">
        <v>0.53</v>
      </c>
      <c r="K61" s="134">
        <v>252.81</v>
      </c>
      <c r="L61" s="134">
        <v>29.53</v>
      </c>
      <c r="M61" s="134">
        <v>77.53</v>
      </c>
      <c r="N61" s="134">
        <v>363.3</v>
      </c>
      <c r="O61" s="134">
        <v>0</v>
      </c>
      <c r="P61" s="134">
        <v>0.35</v>
      </c>
      <c r="Q61" s="134">
        <v>4.4800000000000004</v>
      </c>
    </row>
    <row r="62" spans="1:17" customFormat="1">
      <c r="A62" s="112" t="s">
        <v>2211</v>
      </c>
      <c r="B62" s="134">
        <v>10.91</v>
      </c>
      <c r="C62" s="134">
        <v>15.78</v>
      </c>
      <c r="D62" s="134">
        <v>18.34</v>
      </c>
      <c r="E62" s="134">
        <v>3.51</v>
      </c>
      <c r="F62" s="134">
        <v>3.39</v>
      </c>
      <c r="G62" s="134">
        <v>17.64</v>
      </c>
      <c r="H62" s="134">
        <v>6.71</v>
      </c>
      <c r="I62" s="134">
        <v>2.92</v>
      </c>
      <c r="J62" s="134">
        <v>0.24</v>
      </c>
      <c r="K62" s="134">
        <v>238.91</v>
      </c>
      <c r="L62" s="134">
        <v>29.7</v>
      </c>
      <c r="M62" s="134">
        <v>77.7</v>
      </c>
      <c r="N62" s="134">
        <v>291.7</v>
      </c>
      <c r="O62" s="134">
        <v>0</v>
      </c>
      <c r="P62" s="134">
        <v>0.35</v>
      </c>
      <c r="Q62" s="134">
        <v>4.46</v>
      </c>
    </row>
    <row r="63" spans="1:17" customFormat="1">
      <c r="A63" s="112" t="s">
        <v>2212</v>
      </c>
      <c r="B63" s="134">
        <v>10.72</v>
      </c>
      <c r="C63" s="134">
        <v>15.81</v>
      </c>
      <c r="D63" s="134">
        <v>18.2</v>
      </c>
      <c r="E63" s="134">
        <v>3.61</v>
      </c>
      <c r="F63" s="134">
        <v>3.54</v>
      </c>
      <c r="G63" s="134">
        <v>17.64</v>
      </c>
      <c r="H63" s="134">
        <v>6.71</v>
      </c>
      <c r="I63" s="134">
        <v>2.89</v>
      </c>
      <c r="J63" s="134">
        <v>0.38</v>
      </c>
      <c r="K63" s="134">
        <v>254.52</v>
      </c>
      <c r="L63" s="134">
        <v>29.34</v>
      </c>
      <c r="M63" s="134">
        <v>79.62</v>
      </c>
      <c r="N63" s="134">
        <v>102.5</v>
      </c>
      <c r="O63" s="134">
        <v>0</v>
      </c>
      <c r="P63" s="134">
        <v>0.35</v>
      </c>
      <c r="Q63" s="134">
        <v>4.4400000000000004</v>
      </c>
    </row>
    <row r="64" spans="1:17" customFormat="1">
      <c r="A64" s="112" t="s">
        <v>2213</v>
      </c>
      <c r="B64" s="134">
        <v>10.95</v>
      </c>
      <c r="C64" s="134">
        <v>15.91</v>
      </c>
      <c r="D64" s="134">
        <v>18.45</v>
      </c>
      <c r="E64" s="134">
        <v>3.21</v>
      </c>
      <c r="F64" s="134">
        <v>3.74</v>
      </c>
      <c r="G64" s="134">
        <v>17.66</v>
      </c>
      <c r="H64" s="134">
        <v>6.57</v>
      </c>
      <c r="I64" s="134">
        <v>2.89</v>
      </c>
      <c r="J64" s="134">
        <v>0.53</v>
      </c>
      <c r="K64" s="134">
        <v>291.14</v>
      </c>
      <c r="L64" s="134">
        <v>28.75</v>
      </c>
      <c r="M64" s="134">
        <v>82.01</v>
      </c>
      <c r="N64" s="134">
        <v>194.4</v>
      </c>
      <c r="O64" s="134">
        <v>0</v>
      </c>
      <c r="P64" s="134">
        <v>0.36</v>
      </c>
      <c r="Q64" s="134">
        <v>4.41</v>
      </c>
    </row>
    <row r="65" spans="1:17" customFormat="1">
      <c r="A65" s="112" t="s">
        <v>2214</v>
      </c>
      <c r="B65" s="134">
        <v>11.21</v>
      </c>
      <c r="C65" s="134">
        <v>16.489999999999998</v>
      </c>
      <c r="D65" s="134">
        <v>18.95</v>
      </c>
      <c r="E65" s="134">
        <v>3.33</v>
      </c>
      <c r="F65" s="134">
        <v>3.48</v>
      </c>
      <c r="G65" s="134">
        <v>17.87</v>
      </c>
      <c r="H65" s="134">
        <v>5.74</v>
      </c>
      <c r="I65" s="134">
        <v>2.87</v>
      </c>
      <c r="J65" s="134">
        <v>0.77</v>
      </c>
      <c r="K65" s="134">
        <v>268.14</v>
      </c>
      <c r="L65" s="134">
        <v>29.18</v>
      </c>
      <c r="M65" s="134">
        <v>79.400000000000006</v>
      </c>
      <c r="N65" s="134">
        <v>253</v>
      </c>
      <c r="O65" s="134">
        <v>0</v>
      </c>
      <c r="P65" s="134">
        <v>0.35</v>
      </c>
      <c r="Q65" s="134">
        <v>4.42</v>
      </c>
    </row>
    <row r="66" spans="1:17" customFormat="1">
      <c r="A66" s="112" t="s">
        <v>2215</v>
      </c>
      <c r="B66" s="134">
        <v>11.01</v>
      </c>
      <c r="C66" s="134">
        <v>17.649999999999999</v>
      </c>
      <c r="D66" s="134">
        <v>19.399999999999999</v>
      </c>
      <c r="E66" s="134">
        <v>4.0199999999999996</v>
      </c>
      <c r="F66" s="134">
        <v>2.4900000000000002</v>
      </c>
      <c r="G66" s="134">
        <v>17.87</v>
      </c>
      <c r="H66" s="134">
        <v>5.74</v>
      </c>
      <c r="I66" s="134">
        <v>2.86</v>
      </c>
      <c r="J66" s="134">
        <v>0.52</v>
      </c>
      <c r="K66" s="134">
        <v>256.48</v>
      </c>
      <c r="L66" s="134">
        <v>28.94</v>
      </c>
      <c r="M66" s="134">
        <v>80.94</v>
      </c>
      <c r="N66" s="134">
        <v>220.7</v>
      </c>
      <c r="O66" s="134">
        <v>0</v>
      </c>
      <c r="P66" s="134">
        <v>0.39</v>
      </c>
      <c r="Q66" s="134">
        <v>4.4800000000000004</v>
      </c>
    </row>
    <row r="67" spans="1:17" customFormat="1">
      <c r="A67" s="112" t="s">
        <v>2216</v>
      </c>
      <c r="B67" s="134">
        <v>10.86</v>
      </c>
      <c r="C67" s="134">
        <v>16.78</v>
      </c>
      <c r="D67" s="134">
        <v>18.829999999999998</v>
      </c>
      <c r="E67" s="134">
        <v>4.12</v>
      </c>
      <c r="F67" s="134">
        <v>3.08</v>
      </c>
      <c r="G67" s="134">
        <v>17.87</v>
      </c>
      <c r="H67" s="134">
        <v>5.74</v>
      </c>
      <c r="I67" s="134">
        <v>2.91</v>
      </c>
      <c r="J67" s="134">
        <v>0.5</v>
      </c>
      <c r="K67" s="134">
        <v>257.77</v>
      </c>
      <c r="L67" s="134">
        <v>28.58</v>
      </c>
      <c r="M67" s="134">
        <v>83.03</v>
      </c>
      <c r="N67" s="134">
        <v>119.1</v>
      </c>
      <c r="O67" s="134">
        <v>0</v>
      </c>
      <c r="P67" s="134">
        <v>0.38</v>
      </c>
      <c r="Q67" s="134">
        <v>4.46</v>
      </c>
    </row>
    <row r="68" spans="1:17" customFormat="1">
      <c r="A68" s="112" t="s">
        <v>2217</v>
      </c>
      <c r="B68" s="134">
        <v>10.53</v>
      </c>
      <c r="C68" s="134">
        <v>16.940000000000001</v>
      </c>
      <c r="D68" s="134">
        <v>18.64</v>
      </c>
      <c r="E68" s="134">
        <v>4.13</v>
      </c>
      <c r="F68" s="134">
        <v>3.06</v>
      </c>
      <c r="G68" s="134">
        <v>17.91</v>
      </c>
      <c r="H68" s="134">
        <v>6.03</v>
      </c>
      <c r="I68" s="134">
        <v>3.01</v>
      </c>
      <c r="J68" s="134">
        <v>0.47</v>
      </c>
      <c r="K68" s="134">
        <v>258.82</v>
      </c>
      <c r="L68" s="134">
        <v>28.64</v>
      </c>
      <c r="M68" s="134">
        <v>84.19</v>
      </c>
      <c r="N68" s="134">
        <v>251.2</v>
      </c>
      <c r="O68" s="134">
        <v>0</v>
      </c>
      <c r="P68" s="134">
        <v>0.4</v>
      </c>
      <c r="Q68" s="134">
        <v>4.42</v>
      </c>
    </row>
    <row r="69" spans="1:17" customFormat="1">
      <c r="A69" s="112" t="s">
        <v>2218</v>
      </c>
      <c r="B69" s="134">
        <v>9.5</v>
      </c>
      <c r="C69" s="134">
        <v>18.350000000000001</v>
      </c>
      <c r="D69" s="134">
        <v>18.559999999999999</v>
      </c>
      <c r="E69" s="134">
        <v>3.38</v>
      </c>
      <c r="F69" s="134">
        <v>2.81</v>
      </c>
      <c r="G69" s="134">
        <v>18.21</v>
      </c>
      <c r="H69" s="134">
        <v>7.91</v>
      </c>
      <c r="I69" s="134">
        <v>2.99</v>
      </c>
      <c r="J69" s="134">
        <v>0.55000000000000004</v>
      </c>
      <c r="K69" s="134">
        <v>266.74</v>
      </c>
      <c r="L69" s="134">
        <v>29.14</v>
      </c>
      <c r="M69" s="134">
        <v>81.45</v>
      </c>
      <c r="N69" s="134">
        <v>236.5</v>
      </c>
      <c r="O69" s="134">
        <v>0</v>
      </c>
      <c r="P69" s="134">
        <v>0.43</v>
      </c>
      <c r="Q69" s="134">
        <v>4.4400000000000004</v>
      </c>
    </row>
    <row r="70" spans="1:17" customFormat="1">
      <c r="A70" s="112" t="s">
        <v>2219</v>
      </c>
      <c r="B70" s="134">
        <v>9.07</v>
      </c>
      <c r="C70" s="134">
        <v>18.05</v>
      </c>
      <c r="D70" s="134">
        <v>18.059999999999999</v>
      </c>
      <c r="E70" s="134">
        <v>3.24</v>
      </c>
      <c r="F70" s="134">
        <v>3.08</v>
      </c>
      <c r="G70" s="134">
        <v>18.21</v>
      </c>
      <c r="H70" s="134">
        <v>7.91</v>
      </c>
      <c r="I70" s="134">
        <v>3.05</v>
      </c>
      <c r="J70" s="134">
        <v>0.75</v>
      </c>
      <c r="K70" s="134">
        <v>261.39999999999998</v>
      </c>
      <c r="L70" s="134">
        <v>29.24</v>
      </c>
      <c r="M70" s="134">
        <v>79.2</v>
      </c>
      <c r="N70" s="134">
        <v>288.8</v>
      </c>
      <c r="O70" s="134">
        <v>0</v>
      </c>
      <c r="P70" s="134">
        <v>0.42</v>
      </c>
      <c r="Q70" s="134">
        <v>4.42</v>
      </c>
    </row>
    <row r="71" spans="1:17" customFormat="1">
      <c r="A71" s="112" t="s">
        <v>2220</v>
      </c>
      <c r="B71" s="134">
        <v>9.02</v>
      </c>
      <c r="C71" s="134">
        <v>15.76</v>
      </c>
      <c r="D71" s="134">
        <v>16.82</v>
      </c>
      <c r="E71" s="134">
        <v>2.98</v>
      </c>
      <c r="F71" s="134">
        <v>4.47</v>
      </c>
      <c r="G71" s="134">
        <v>18.21</v>
      </c>
      <c r="H71" s="134">
        <v>7.91</v>
      </c>
      <c r="I71" s="134">
        <v>3.07</v>
      </c>
      <c r="J71" s="134">
        <v>0.64</v>
      </c>
      <c r="K71" s="134">
        <v>263.48</v>
      </c>
      <c r="L71" s="134">
        <v>29.02</v>
      </c>
      <c r="M71" s="134">
        <v>80.25</v>
      </c>
      <c r="N71" s="134">
        <v>155</v>
      </c>
      <c r="O71" s="134">
        <v>0</v>
      </c>
      <c r="P71" s="134">
        <v>0.38</v>
      </c>
      <c r="Q71" s="134">
        <v>4.3899999999999997</v>
      </c>
    </row>
    <row r="72" spans="1:17" customFormat="1">
      <c r="A72" s="112" t="s">
        <v>2221</v>
      </c>
      <c r="B72" s="134">
        <v>8.99</v>
      </c>
      <c r="C72" s="134">
        <v>14.33</v>
      </c>
      <c r="D72" s="134">
        <v>16.05</v>
      </c>
      <c r="E72" s="134">
        <v>2.5099999999999998</v>
      </c>
      <c r="F72" s="134">
        <v>5.33</v>
      </c>
      <c r="G72" s="134">
        <v>17.61</v>
      </c>
      <c r="H72" s="134">
        <v>7.89</v>
      </c>
      <c r="I72" s="134">
        <v>2.94</v>
      </c>
      <c r="J72" s="134">
        <v>0.67</v>
      </c>
      <c r="K72" s="134">
        <v>262.97000000000003</v>
      </c>
      <c r="L72" s="134">
        <v>28.89</v>
      </c>
      <c r="M72" s="134">
        <v>80.22</v>
      </c>
      <c r="N72" s="134">
        <v>253.8</v>
      </c>
      <c r="O72" s="134">
        <v>0</v>
      </c>
      <c r="P72" s="134">
        <v>0.36</v>
      </c>
      <c r="Q72" s="134">
        <v>4.33</v>
      </c>
    </row>
    <row r="73" spans="1:17" customFormat="1">
      <c r="A73" s="112" t="s">
        <v>2222</v>
      </c>
      <c r="B73" s="134">
        <v>8.92</v>
      </c>
      <c r="C73" s="134">
        <v>13.6</v>
      </c>
      <c r="D73" s="134">
        <v>15.61</v>
      </c>
      <c r="E73" s="134">
        <v>2.98</v>
      </c>
      <c r="F73" s="134">
        <v>6.42</v>
      </c>
      <c r="G73" s="134">
        <v>12.83</v>
      </c>
      <c r="H73" s="134">
        <v>7.76</v>
      </c>
      <c r="I73" s="134">
        <v>2.82</v>
      </c>
      <c r="J73" s="134">
        <v>0.62</v>
      </c>
      <c r="K73" s="134">
        <v>266.02999999999997</v>
      </c>
      <c r="L73" s="134">
        <v>29.22</v>
      </c>
      <c r="M73" s="134">
        <v>78.900000000000006</v>
      </c>
      <c r="N73" s="134">
        <v>217</v>
      </c>
      <c r="O73" s="134">
        <v>0</v>
      </c>
      <c r="P73" s="134">
        <v>0.33</v>
      </c>
      <c r="Q73" s="134">
        <v>4.32</v>
      </c>
    </row>
    <row r="74" spans="1:17" customFormat="1">
      <c r="A74" s="112" t="s">
        <v>2223</v>
      </c>
      <c r="B74" s="134">
        <v>9.2799999999999994</v>
      </c>
      <c r="C74" s="134">
        <v>14.22</v>
      </c>
      <c r="D74" s="134">
        <v>16.22</v>
      </c>
      <c r="E74" s="134">
        <v>2.77</v>
      </c>
      <c r="F74" s="134">
        <v>5.2</v>
      </c>
      <c r="G74" s="134">
        <v>12.83</v>
      </c>
      <c r="H74" s="134">
        <v>7.76</v>
      </c>
      <c r="I74" s="134">
        <v>2.67</v>
      </c>
      <c r="J74" s="134">
        <v>0.65</v>
      </c>
      <c r="K74" s="134">
        <v>268.10000000000002</v>
      </c>
      <c r="L74" s="134">
        <v>29.51</v>
      </c>
      <c r="M74" s="134">
        <v>77.47</v>
      </c>
      <c r="N74" s="134">
        <v>255.2</v>
      </c>
      <c r="O74" s="134">
        <v>0</v>
      </c>
      <c r="P74" s="134">
        <v>0.33</v>
      </c>
      <c r="Q74" s="134">
        <v>4.3099999999999996</v>
      </c>
    </row>
    <row r="75" spans="1:17" customFormat="1">
      <c r="A75" s="112" t="s">
        <v>2224</v>
      </c>
      <c r="B75" s="134">
        <v>9.3800000000000008</v>
      </c>
      <c r="C75" s="134">
        <v>14.87</v>
      </c>
      <c r="D75" s="134">
        <v>16.64</v>
      </c>
      <c r="E75" s="134">
        <v>3.09</v>
      </c>
      <c r="F75" s="134">
        <v>4.82</v>
      </c>
      <c r="G75" s="134">
        <v>12.83</v>
      </c>
      <c r="H75" s="134">
        <v>7.76</v>
      </c>
      <c r="I75" s="134">
        <v>2.64</v>
      </c>
      <c r="J75" s="134">
        <v>0.78</v>
      </c>
      <c r="K75" s="134">
        <v>268.44</v>
      </c>
      <c r="L75" s="134">
        <v>29.26</v>
      </c>
      <c r="M75" s="134">
        <v>78.83</v>
      </c>
      <c r="N75" s="134">
        <v>120.5</v>
      </c>
      <c r="O75" s="134">
        <v>0</v>
      </c>
      <c r="P75" s="134">
        <v>0.34</v>
      </c>
      <c r="Q75" s="134">
        <v>4.3</v>
      </c>
    </row>
    <row r="76" spans="1:17" customFormat="1">
      <c r="A76" s="112" t="s">
        <v>2225</v>
      </c>
      <c r="B76" s="134">
        <v>9.3800000000000008</v>
      </c>
      <c r="C76" s="134">
        <v>14.89</v>
      </c>
      <c r="D76" s="134">
        <v>16.649999999999999</v>
      </c>
      <c r="E76" s="134">
        <v>3.38</v>
      </c>
      <c r="F76" s="134">
        <v>4.54</v>
      </c>
      <c r="G76" s="134">
        <v>13.11</v>
      </c>
      <c r="H76" s="134">
        <v>7.53</v>
      </c>
      <c r="I76" s="134">
        <v>2.73</v>
      </c>
      <c r="J76" s="134">
        <v>0.56000000000000005</v>
      </c>
      <c r="K76" s="134">
        <v>262.45</v>
      </c>
      <c r="L76" s="134">
        <v>28.79</v>
      </c>
      <c r="M76" s="134">
        <v>80.06</v>
      </c>
      <c r="N76" s="134">
        <v>89.8</v>
      </c>
      <c r="O76" s="134">
        <v>0</v>
      </c>
      <c r="P76" s="134">
        <v>0.35</v>
      </c>
      <c r="Q76" s="134">
        <v>4.3099999999999996</v>
      </c>
    </row>
    <row r="77" spans="1:17" customFormat="1">
      <c r="A77" s="112" t="s">
        <v>2226</v>
      </c>
      <c r="B77" s="134">
        <v>9.52</v>
      </c>
      <c r="C77" s="134">
        <v>17.11</v>
      </c>
      <c r="D77" s="134">
        <v>17.93</v>
      </c>
      <c r="E77" s="134">
        <v>3.82</v>
      </c>
      <c r="F77" s="134">
        <v>2.66</v>
      </c>
      <c r="G77" s="134">
        <v>15.41</v>
      </c>
      <c r="H77" s="134">
        <v>6.12</v>
      </c>
      <c r="I77" s="134">
        <v>2.74</v>
      </c>
      <c r="J77" s="134">
        <v>0.61</v>
      </c>
      <c r="K77" s="134">
        <v>263.76</v>
      </c>
      <c r="L77" s="134">
        <v>28.38</v>
      </c>
      <c r="M77" s="134">
        <v>82.48</v>
      </c>
      <c r="N77" s="134">
        <v>56.2</v>
      </c>
      <c r="O77" s="134">
        <v>0</v>
      </c>
      <c r="P77" s="134">
        <v>0.38</v>
      </c>
      <c r="Q77" s="134">
        <v>4.37</v>
      </c>
    </row>
    <row r="78" spans="1:17" customFormat="1">
      <c r="A78" s="112" t="s">
        <v>2227</v>
      </c>
      <c r="B78" s="134">
        <v>9.5299999999999994</v>
      </c>
      <c r="C78" s="134">
        <v>16.73</v>
      </c>
      <c r="D78" s="134">
        <v>17.73</v>
      </c>
      <c r="E78" s="134">
        <v>3.85</v>
      </c>
      <c r="F78" s="134">
        <v>3.37</v>
      </c>
      <c r="G78" s="134">
        <v>15.41</v>
      </c>
      <c r="H78" s="134">
        <v>6.12</v>
      </c>
      <c r="I78" s="134">
        <v>2.79</v>
      </c>
      <c r="J78" s="134">
        <v>0.48</v>
      </c>
      <c r="K78" s="134">
        <v>263.72000000000003</v>
      </c>
      <c r="L78" s="134">
        <v>28.3</v>
      </c>
      <c r="M78" s="134">
        <v>83.14</v>
      </c>
      <c r="N78" s="134">
        <v>46.8</v>
      </c>
      <c r="O78" s="134">
        <v>0</v>
      </c>
      <c r="P78" s="134">
        <v>0.38</v>
      </c>
      <c r="Q78" s="134">
        <v>4.37</v>
      </c>
    </row>
    <row r="79" spans="1:17" customFormat="1">
      <c r="A79" s="112" t="s">
        <v>2228</v>
      </c>
      <c r="B79" s="134">
        <v>9.5500000000000007</v>
      </c>
      <c r="C79" s="134">
        <v>15.39</v>
      </c>
      <c r="D79" s="134">
        <v>17.05</v>
      </c>
      <c r="E79" s="134">
        <v>3.42</v>
      </c>
      <c r="F79" s="134">
        <v>4.82</v>
      </c>
      <c r="G79" s="134">
        <v>15.41</v>
      </c>
      <c r="H79" s="134">
        <v>6.12</v>
      </c>
      <c r="I79" s="134">
        <v>2.9</v>
      </c>
      <c r="J79" s="134">
        <v>0.73</v>
      </c>
      <c r="K79" s="134">
        <v>262.37</v>
      </c>
      <c r="L79" s="134">
        <v>28.14</v>
      </c>
      <c r="M79" s="134">
        <v>83.26</v>
      </c>
      <c r="N79" s="134">
        <v>33.200000000000003</v>
      </c>
      <c r="O79" s="134">
        <v>0</v>
      </c>
      <c r="P79" s="134">
        <v>0.37</v>
      </c>
      <c r="Q79" s="134">
        <v>4.32</v>
      </c>
    </row>
    <row r="80" spans="1:17" customFormat="1">
      <c r="A80" s="112" t="s">
        <v>2229</v>
      </c>
      <c r="B80" s="134">
        <v>9.32</v>
      </c>
      <c r="C80" s="134">
        <v>14.47</v>
      </c>
      <c r="D80" s="134">
        <v>16.39</v>
      </c>
      <c r="E80" s="134">
        <v>3.2</v>
      </c>
      <c r="F80" s="134">
        <v>5.86</v>
      </c>
      <c r="G80" s="134">
        <v>15.35</v>
      </c>
      <c r="H80" s="134">
        <v>6.29</v>
      </c>
      <c r="I80" s="134">
        <v>2.87</v>
      </c>
      <c r="J80" s="134">
        <v>0.45</v>
      </c>
      <c r="K80" s="134">
        <v>260.69</v>
      </c>
      <c r="L80" s="134">
        <v>27.86</v>
      </c>
      <c r="M80" s="134">
        <v>84.27</v>
      </c>
      <c r="N80" s="134">
        <v>18.100000000000001</v>
      </c>
      <c r="O80" s="134">
        <v>0</v>
      </c>
      <c r="P80" s="134">
        <v>0.36</v>
      </c>
      <c r="Q80" s="134">
        <v>4.33</v>
      </c>
    </row>
    <row r="81" spans="1:17" customFormat="1">
      <c r="A81" s="112" t="s">
        <v>2230</v>
      </c>
      <c r="B81" s="134">
        <v>8.94</v>
      </c>
      <c r="C81" s="134">
        <v>13.18</v>
      </c>
      <c r="D81" s="134">
        <v>15.41</v>
      </c>
      <c r="E81" s="134">
        <v>2.63</v>
      </c>
      <c r="F81" s="134">
        <v>7.69</v>
      </c>
      <c r="G81" s="134">
        <v>14.9</v>
      </c>
      <c r="H81" s="134">
        <v>7.36</v>
      </c>
      <c r="I81" s="134">
        <v>2.8</v>
      </c>
      <c r="J81" s="134">
        <v>0.41</v>
      </c>
      <c r="K81" s="134">
        <v>259.93</v>
      </c>
      <c r="L81" s="134">
        <v>27.64</v>
      </c>
      <c r="M81" s="134">
        <v>85.68</v>
      </c>
      <c r="N81" s="134">
        <v>3.1</v>
      </c>
      <c r="O81" s="134">
        <v>0</v>
      </c>
      <c r="P81" s="134">
        <v>0.34</v>
      </c>
      <c r="Q81" s="134">
        <v>4.32</v>
      </c>
    </row>
    <row r="82" spans="1:17" customFormat="1">
      <c r="A82" s="112" t="s">
        <v>2231</v>
      </c>
      <c r="B82" s="134">
        <v>9.07</v>
      </c>
      <c r="C82" s="134">
        <v>13.07</v>
      </c>
      <c r="D82" s="134">
        <v>15.46</v>
      </c>
      <c r="E82" s="134">
        <v>2.88</v>
      </c>
      <c r="F82" s="134">
        <v>7.06</v>
      </c>
      <c r="G82" s="134">
        <v>14.9</v>
      </c>
      <c r="H82" s="134">
        <v>7.36</v>
      </c>
      <c r="I82" s="134">
        <v>2.7</v>
      </c>
      <c r="J82" s="134">
        <v>0.39</v>
      </c>
      <c r="K82" s="134">
        <v>254.29</v>
      </c>
      <c r="L82" s="134">
        <v>27.4</v>
      </c>
      <c r="M82" s="134">
        <v>87.13</v>
      </c>
      <c r="N82" s="134">
        <v>0</v>
      </c>
      <c r="O82" s="134">
        <v>0</v>
      </c>
      <c r="P82" s="134">
        <v>0.34</v>
      </c>
      <c r="Q82" s="134">
        <v>4.28</v>
      </c>
    </row>
    <row r="83" spans="1:17" customFormat="1">
      <c r="A83" s="112" t="s">
        <v>2232</v>
      </c>
      <c r="B83" s="134">
        <v>9.2100000000000009</v>
      </c>
      <c r="C83" s="134">
        <v>13.18</v>
      </c>
      <c r="D83" s="134">
        <v>15.62</v>
      </c>
      <c r="E83" s="134">
        <v>3.21</v>
      </c>
      <c r="F83" s="134">
        <v>6.92</v>
      </c>
      <c r="G83" s="134">
        <v>14.9</v>
      </c>
      <c r="H83" s="134">
        <v>7.36</v>
      </c>
      <c r="I83" s="134">
        <v>2.58</v>
      </c>
      <c r="J83" s="134">
        <v>0.28000000000000003</v>
      </c>
      <c r="K83" s="134">
        <v>252.29</v>
      </c>
      <c r="L83" s="134">
        <v>27.15</v>
      </c>
      <c r="M83" s="134">
        <v>88.34</v>
      </c>
      <c r="N83" s="134">
        <v>0</v>
      </c>
      <c r="O83" s="134">
        <v>0</v>
      </c>
      <c r="P83" s="134">
        <v>0.33</v>
      </c>
      <c r="Q83" s="134">
        <v>4.2699999999999996</v>
      </c>
    </row>
    <row r="84" spans="1:17" customFormat="1">
      <c r="A84" s="112" t="s">
        <v>2233</v>
      </c>
      <c r="B84" s="134">
        <v>9.7200000000000006</v>
      </c>
      <c r="C84" s="134">
        <v>16</v>
      </c>
      <c r="D84" s="134">
        <v>17.5</v>
      </c>
      <c r="E84" s="134">
        <v>4.05</v>
      </c>
      <c r="F84" s="134">
        <v>3.67</v>
      </c>
      <c r="G84" s="134">
        <v>14.76</v>
      </c>
      <c r="H84" s="134">
        <v>7.2</v>
      </c>
      <c r="I84" s="134">
        <v>2.59</v>
      </c>
      <c r="J84" s="134">
        <v>0.23</v>
      </c>
      <c r="K84" s="134">
        <v>242.97</v>
      </c>
      <c r="L84" s="134">
        <v>27.01</v>
      </c>
      <c r="M84" s="134">
        <v>88.99</v>
      </c>
      <c r="N84" s="134">
        <v>0</v>
      </c>
      <c r="O84" s="134">
        <v>0</v>
      </c>
      <c r="P84" s="134">
        <v>0.37</v>
      </c>
      <c r="Q84" s="134">
        <v>4.33</v>
      </c>
    </row>
    <row r="85" spans="1:17" customFormat="1">
      <c r="A85" s="112" t="s">
        <v>2234</v>
      </c>
      <c r="B85" s="134">
        <v>9.89</v>
      </c>
      <c r="C85" s="134">
        <v>16.38</v>
      </c>
      <c r="D85" s="134">
        <v>17.84</v>
      </c>
      <c r="E85" s="134">
        <v>4.51</v>
      </c>
      <c r="F85" s="134">
        <v>4.18</v>
      </c>
      <c r="G85" s="134">
        <v>13.7</v>
      </c>
      <c r="H85" s="134">
        <v>6.18</v>
      </c>
      <c r="I85" s="134">
        <v>2.69</v>
      </c>
      <c r="J85" s="134">
        <v>0.32</v>
      </c>
      <c r="K85" s="134">
        <v>254.14</v>
      </c>
      <c r="L85" s="134">
        <v>26.89</v>
      </c>
      <c r="M85" s="134">
        <v>89.22</v>
      </c>
      <c r="N85" s="134">
        <v>0</v>
      </c>
      <c r="O85" s="134">
        <v>0</v>
      </c>
      <c r="P85" s="134">
        <v>0.38</v>
      </c>
      <c r="Q85" s="134">
        <v>4.3899999999999997</v>
      </c>
    </row>
    <row r="86" spans="1:17" customFormat="1">
      <c r="A86" s="112" t="s">
        <v>2235</v>
      </c>
      <c r="B86" s="134">
        <v>9.58</v>
      </c>
      <c r="C86" s="134">
        <v>14.71</v>
      </c>
      <c r="D86" s="134">
        <v>16.72</v>
      </c>
      <c r="E86" s="134">
        <v>3.84</v>
      </c>
      <c r="F86" s="134">
        <v>6.07</v>
      </c>
      <c r="G86" s="134">
        <v>13.7</v>
      </c>
      <c r="H86" s="134">
        <v>6.18</v>
      </c>
      <c r="I86" s="134">
        <v>2.9</v>
      </c>
      <c r="J86" s="134">
        <v>0.26</v>
      </c>
      <c r="K86" s="134">
        <v>255.48</v>
      </c>
      <c r="L86" s="134">
        <v>26.79</v>
      </c>
      <c r="M86" s="134">
        <v>89.88</v>
      </c>
      <c r="N86" s="134">
        <v>0</v>
      </c>
      <c r="O86" s="134">
        <v>0</v>
      </c>
      <c r="P86" s="134">
        <v>0.37</v>
      </c>
      <c r="Q86" s="134">
        <v>4.3499999999999996</v>
      </c>
    </row>
    <row r="87" spans="1:17" customFormat="1">
      <c r="A87" s="112" t="s">
        <v>2236</v>
      </c>
      <c r="B87" s="134">
        <v>9.49</v>
      </c>
      <c r="C87" s="134">
        <v>13.25</v>
      </c>
      <c r="D87" s="134">
        <v>15.89</v>
      </c>
      <c r="E87" s="134">
        <v>4.0999999999999996</v>
      </c>
      <c r="F87" s="134">
        <v>7.1</v>
      </c>
      <c r="G87" s="134">
        <v>13.7</v>
      </c>
      <c r="H87" s="134">
        <v>6.18</v>
      </c>
      <c r="I87" s="134">
        <v>2.85</v>
      </c>
      <c r="J87" s="134">
        <v>0.23</v>
      </c>
      <c r="K87" s="134">
        <v>250.08</v>
      </c>
      <c r="L87" s="134">
        <v>26.71</v>
      </c>
      <c r="M87" s="134">
        <v>90.64</v>
      </c>
      <c r="N87" s="134">
        <v>0</v>
      </c>
      <c r="O87" s="134">
        <v>0</v>
      </c>
      <c r="P87" s="134">
        <v>0.35</v>
      </c>
      <c r="Q87" s="134">
        <v>4.3099999999999996</v>
      </c>
    </row>
    <row r="88" spans="1:17" customFormat="1">
      <c r="A88" s="112" t="s">
        <v>2237</v>
      </c>
      <c r="B88" s="134">
        <v>9.57</v>
      </c>
      <c r="C88" s="134">
        <v>13.1</v>
      </c>
      <c r="D88" s="134">
        <v>15.87</v>
      </c>
      <c r="E88" s="134">
        <v>3.45</v>
      </c>
      <c r="F88" s="134">
        <v>6.68</v>
      </c>
      <c r="G88" s="134">
        <v>14.44</v>
      </c>
      <c r="H88" s="134">
        <v>6.48</v>
      </c>
      <c r="I88" s="134">
        <v>2.79</v>
      </c>
      <c r="J88" s="134">
        <v>0.32</v>
      </c>
      <c r="K88" s="134">
        <v>259.08</v>
      </c>
      <c r="L88" s="134">
        <v>26.67</v>
      </c>
      <c r="M88" s="134">
        <v>90.54</v>
      </c>
      <c r="N88" s="134">
        <v>0</v>
      </c>
      <c r="O88" s="134">
        <v>0</v>
      </c>
      <c r="P88" s="134">
        <v>0.35</v>
      </c>
      <c r="Q88" s="134">
        <v>4.3</v>
      </c>
    </row>
    <row r="89" spans="1:17" customFormat="1">
      <c r="A89" s="112" t="s">
        <v>2238</v>
      </c>
      <c r="B89" s="134">
        <v>9.89</v>
      </c>
      <c r="C89" s="134">
        <v>15.11</v>
      </c>
      <c r="D89" s="134">
        <v>17.18</v>
      </c>
      <c r="E89" s="134">
        <v>3.65</v>
      </c>
      <c r="F89" s="134">
        <v>3.76</v>
      </c>
      <c r="G89" s="134">
        <v>20.36</v>
      </c>
      <c r="H89" s="134">
        <v>8.4</v>
      </c>
      <c r="I89" s="134">
        <v>2.72</v>
      </c>
      <c r="J89" s="134">
        <v>0.2</v>
      </c>
      <c r="K89" s="134">
        <v>247.52</v>
      </c>
      <c r="L89" s="134">
        <v>26.62</v>
      </c>
      <c r="M89" s="134">
        <v>91.19</v>
      </c>
      <c r="N89" s="134">
        <v>0</v>
      </c>
      <c r="O89" s="134">
        <v>0</v>
      </c>
      <c r="P89" s="134">
        <v>0.39</v>
      </c>
      <c r="Q89" s="134">
        <v>4.28</v>
      </c>
    </row>
    <row r="90" spans="1:17" customFormat="1">
      <c r="A90" s="112" t="s">
        <v>2239</v>
      </c>
      <c r="B90" s="134">
        <v>9.23</v>
      </c>
      <c r="C90" s="134">
        <v>16.54</v>
      </c>
      <c r="D90" s="134">
        <v>17.399999999999999</v>
      </c>
      <c r="E90" s="134">
        <v>3.53</v>
      </c>
      <c r="F90" s="134">
        <v>3.05</v>
      </c>
      <c r="G90" s="134">
        <v>20.36</v>
      </c>
      <c r="H90" s="134">
        <v>8.4</v>
      </c>
      <c r="I90" s="134">
        <v>2.75</v>
      </c>
      <c r="J90" s="134">
        <v>0.28000000000000003</v>
      </c>
      <c r="K90" s="134">
        <v>255.44</v>
      </c>
      <c r="L90" s="134">
        <v>26.47</v>
      </c>
      <c r="M90" s="134">
        <v>91.36</v>
      </c>
      <c r="N90" s="134">
        <v>0</v>
      </c>
      <c r="O90" s="134">
        <v>0</v>
      </c>
      <c r="P90" s="134">
        <v>0.41</v>
      </c>
      <c r="Q90" s="134">
        <v>4.34</v>
      </c>
    </row>
    <row r="91" spans="1:17" customFormat="1">
      <c r="A91" s="112" t="s">
        <v>2240</v>
      </c>
      <c r="B91" s="134">
        <v>8.9499999999999993</v>
      </c>
      <c r="C91" s="134">
        <v>15.88</v>
      </c>
      <c r="D91" s="134">
        <v>16.82</v>
      </c>
      <c r="E91" s="134">
        <v>3.34</v>
      </c>
      <c r="F91" s="134">
        <v>3.61</v>
      </c>
      <c r="G91" s="134">
        <v>20.36</v>
      </c>
      <c r="H91" s="134">
        <v>8.4</v>
      </c>
      <c r="I91" s="134">
        <v>2.96</v>
      </c>
      <c r="J91" s="134">
        <v>0.25</v>
      </c>
      <c r="K91" s="134">
        <v>250.76</v>
      </c>
      <c r="L91" s="134">
        <v>26.38</v>
      </c>
      <c r="M91" s="134">
        <v>91.33</v>
      </c>
      <c r="N91" s="134">
        <v>0</v>
      </c>
      <c r="O91" s="134">
        <v>0</v>
      </c>
      <c r="P91" s="134">
        <v>0.39</v>
      </c>
      <c r="Q91" s="134">
        <v>4.3099999999999996</v>
      </c>
    </row>
    <row r="92" spans="1:17" customFormat="1">
      <c r="A92" s="112" t="s">
        <v>2241</v>
      </c>
      <c r="B92" s="134">
        <v>8.9700000000000006</v>
      </c>
      <c r="C92" s="134">
        <v>14.76</v>
      </c>
      <c r="D92" s="134">
        <v>16.260000000000002</v>
      </c>
      <c r="E92" s="134">
        <v>3.3</v>
      </c>
      <c r="F92" s="134">
        <v>4.2699999999999996</v>
      </c>
      <c r="G92" s="134">
        <v>20.010000000000002</v>
      </c>
      <c r="H92" s="134">
        <v>8.4700000000000006</v>
      </c>
      <c r="I92" s="134">
        <v>2.96</v>
      </c>
      <c r="J92" s="134">
        <v>0.36</v>
      </c>
      <c r="K92" s="134">
        <v>261.25</v>
      </c>
      <c r="L92" s="134">
        <v>26.37</v>
      </c>
      <c r="M92" s="134">
        <v>90.77</v>
      </c>
      <c r="N92" s="134">
        <v>0</v>
      </c>
      <c r="O92" s="134">
        <v>0</v>
      </c>
      <c r="P92" s="134">
        <v>0.38</v>
      </c>
      <c r="Q92" s="134">
        <v>4.28</v>
      </c>
    </row>
    <row r="93" spans="1:17" customFormat="1">
      <c r="A93" s="112" t="s">
        <v>2242</v>
      </c>
      <c r="B93" s="134">
        <v>8.93</v>
      </c>
      <c r="C93" s="134">
        <v>13.8</v>
      </c>
      <c r="D93" s="134">
        <v>15.72</v>
      </c>
      <c r="E93" s="134">
        <v>2.87</v>
      </c>
      <c r="F93" s="134">
        <v>5.33</v>
      </c>
      <c r="G93" s="134">
        <v>17.16</v>
      </c>
      <c r="H93" s="134">
        <v>8.86</v>
      </c>
      <c r="I93" s="134">
        <v>2.89</v>
      </c>
      <c r="J93" s="134">
        <v>0.22</v>
      </c>
      <c r="K93" s="134">
        <v>248.15</v>
      </c>
      <c r="L93" s="134">
        <v>26.22</v>
      </c>
      <c r="M93" s="134">
        <v>92.17</v>
      </c>
      <c r="N93" s="134">
        <v>0</v>
      </c>
      <c r="O93" s="134">
        <v>0</v>
      </c>
      <c r="P93" s="134">
        <v>0.36</v>
      </c>
      <c r="Q93" s="134">
        <v>4.3099999999999996</v>
      </c>
    </row>
    <row r="94" spans="1:17" customFormat="1">
      <c r="A94" s="112" t="s">
        <v>2243</v>
      </c>
      <c r="B94" s="134">
        <v>9.2799999999999994</v>
      </c>
      <c r="C94" s="134">
        <v>13.58</v>
      </c>
      <c r="D94" s="134">
        <v>15.89</v>
      </c>
      <c r="E94" s="134">
        <v>2.25</v>
      </c>
      <c r="F94" s="134">
        <v>4.9400000000000004</v>
      </c>
      <c r="G94" s="134">
        <v>17.16</v>
      </c>
      <c r="H94" s="134">
        <v>8.86</v>
      </c>
      <c r="I94" s="134">
        <v>2.81</v>
      </c>
      <c r="J94" s="134">
        <v>0.34</v>
      </c>
      <c r="K94" s="134">
        <v>261.33</v>
      </c>
      <c r="L94" s="134">
        <v>26.1</v>
      </c>
      <c r="M94" s="134">
        <v>92.64</v>
      </c>
      <c r="N94" s="134">
        <v>0</v>
      </c>
      <c r="O94" s="134">
        <v>0</v>
      </c>
      <c r="P94" s="134">
        <v>0.35</v>
      </c>
      <c r="Q94" s="134">
        <v>4.3</v>
      </c>
    </row>
    <row r="95" spans="1:17" customFormat="1">
      <c r="A95" s="112" t="s">
        <v>2244</v>
      </c>
      <c r="B95" s="134">
        <v>9.51</v>
      </c>
      <c r="C95" s="134">
        <v>13.91</v>
      </c>
      <c r="D95" s="134">
        <v>16.25</v>
      </c>
      <c r="E95" s="134">
        <v>3.32</v>
      </c>
      <c r="F95" s="134">
        <v>4.4800000000000004</v>
      </c>
      <c r="G95" s="134">
        <v>17.16</v>
      </c>
      <c r="H95" s="134">
        <v>8.86</v>
      </c>
      <c r="I95" s="134">
        <v>2.73</v>
      </c>
      <c r="J95" s="134">
        <v>0.33</v>
      </c>
      <c r="K95" s="134">
        <v>252.54</v>
      </c>
      <c r="L95" s="134">
        <v>26.09</v>
      </c>
      <c r="M95" s="134">
        <v>92.17</v>
      </c>
      <c r="N95" s="134">
        <v>0</v>
      </c>
      <c r="O95" s="134">
        <v>0</v>
      </c>
      <c r="P95" s="134">
        <v>0.35</v>
      </c>
      <c r="Q95" s="134">
        <v>4.3</v>
      </c>
    </row>
    <row r="96" spans="1:17" customFormat="1">
      <c r="A96" s="112" t="s">
        <v>2245</v>
      </c>
      <c r="B96" s="134">
        <v>10.01</v>
      </c>
      <c r="C96" s="134">
        <v>16.77</v>
      </c>
      <c r="D96" s="134">
        <v>18.14</v>
      </c>
      <c r="E96" s="134">
        <v>3.92</v>
      </c>
      <c r="F96" s="134">
        <v>2.34</v>
      </c>
      <c r="G96" s="134">
        <v>17.100000000000001</v>
      </c>
      <c r="H96" s="134">
        <v>8.52</v>
      </c>
      <c r="I96" s="134">
        <v>2.77</v>
      </c>
      <c r="J96" s="134">
        <v>0.3</v>
      </c>
      <c r="K96" s="134">
        <v>252.07</v>
      </c>
      <c r="L96" s="134">
        <v>25.99</v>
      </c>
      <c r="M96" s="134">
        <v>92.61</v>
      </c>
      <c r="N96" s="134">
        <v>0</v>
      </c>
      <c r="O96" s="134">
        <v>0</v>
      </c>
      <c r="P96" s="134">
        <v>0.4</v>
      </c>
      <c r="Q96" s="134">
        <v>4.3600000000000003</v>
      </c>
    </row>
    <row r="97" spans="1:22" customFormat="1">
      <c r="A97" s="112" t="s">
        <v>2246</v>
      </c>
      <c r="B97" s="134">
        <v>10.14</v>
      </c>
      <c r="C97" s="134">
        <v>16.18</v>
      </c>
      <c r="D97" s="134">
        <v>17.940000000000001</v>
      </c>
      <c r="E97" s="134">
        <v>3.82</v>
      </c>
      <c r="F97" s="134">
        <v>3.1</v>
      </c>
      <c r="G97" s="134">
        <v>16.57</v>
      </c>
      <c r="H97" s="134">
        <v>6.61</v>
      </c>
      <c r="I97" s="134">
        <v>2.84</v>
      </c>
      <c r="J97" s="134">
        <v>0.37</v>
      </c>
      <c r="K97" s="134">
        <v>258.13</v>
      </c>
      <c r="L97" s="134">
        <v>26</v>
      </c>
      <c r="M97" s="134">
        <v>92.49</v>
      </c>
      <c r="N97" s="134">
        <v>0</v>
      </c>
      <c r="O97" s="134">
        <v>0</v>
      </c>
      <c r="P97" s="134">
        <v>0.39</v>
      </c>
      <c r="Q97" s="134">
        <v>4.3899999999999997</v>
      </c>
    </row>
    <row r="98" spans="1:22" customFormat="1">
      <c r="A98" s="112" t="s">
        <v>2247</v>
      </c>
      <c r="B98" s="134">
        <v>10.220000000000001</v>
      </c>
      <c r="C98" s="134">
        <v>14.87</v>
      </c>
      <c r="D98" s="134">
        <v>17.309999999999999</v>
      </c>
      <c r="E98" s="134">
        <v>3.47</v>
      </c>
      <c r="F98" s="134">
        <v>4.0599999999999996</v>
      </c>
      <c r="G98" s="134">
        <v>16.57</v>
      </c>
      <c r="H98" s="134">
        <v>6.61</v>
      </c>
      <c r="I98" s="134">
        <v>3</v>
      </c>
      <c r="J98" s="134">
        <v>0.37</v>
      </c>
      <c r="K98" s="134">
        <v>254.75</v>
      </c>
      <c r="L98" s="134">
        <v>25.97</v>
      </c>
      <c r="M98" s="134">
        <v>92.24</v>
      </c>
      <c r="N98" s="134">
        <v>0</v>
      </c>
      <c r="O98" s="134">
        <v>0</v>
      </c>
      <c r="P98" s="134">
        <v>0.37</v>
      </c>
      <c r="Q98" s="134">
        <v>4.3499999999999996</v>
      </c>
    </row>
    <row r="99" spans="1:22" customFormat="1">
      <c r="A99" s="112" t="s">
        <v>2248</v>
      </c>
      <c r="B99" s="134">
        <v>10.119999999999999</v>
      </c>
      <c r="C99" s="134">
        <v>13.95</v>
      </c>
      <c r="D99" s="134">
        <v>16.760000000000002</v>
      </c>
      <c r="E99" s="134">
        <v>2.91</v>
      </c>
      <c r="F99" s="134">
        <v>4.42</v>
      </c>
      <c r="G99" s="134">
        <v>16.57</v>
      </c>
      <c r="H99" s="134">
        <v>6.61</v>
      </c>
      <c r="I99" s="134">
        <v>2.94</v>
      </c>
      <c r="J99" s="134">
        <v>0.19</v>
      </c>
      <c r="K99" s="134">
        <v>252.57</v>
      </c>
      <c r="L99" s="134">
        <v>25.85</v>
      </c>
      <c r="M99" s="134">
        <v>92.97</v>
      </c>
      <c r="N99" s="134">
        <v>0</v>
      </c>
      <c r="O99" s="134">
        <v>0</v>
      </c>
      <c r="P99" s="134">
        <v>0.36</v>
      </c>
      <c r="Q99" s="134">
        <v>4.32</v>
      </c>
    </row>
    <row r="100" spans="1:22" customFormat="1">
      <c r="A100" s="112" t="s">
        <v>2249</v>
      </c>
      <c r="B100" s="134">
        <v>10.44</v>
      </c>
      <c r="C100" s="134">
        <v>16.690000000000001</v>
      </c>
      <c r="D100" s="134">
        <v>18.440000000000001</v>
      </c>
      <c r="E100" s="134">
        <v>4</v>
      </c>
      <c r="F100" s="134">
        <v>2.4500000000000002</v>
      </c>
      <c r="G100" s="134">
        <v>16.350000000000001</v>
      </c>
      <c r="H100" s="134">
        <v>6.82</v>
      </c>
      <c r="I100" s="134">
        <v>2.86</v>
      </c>
      <c r="J100" s="134">
        <v>0.19</v>
      </c>
      <c r="K100" s="134">
        <v>265.48</v>
      </c>
      <c r="L100" s="134">
        <v>25.8</v>
      </c>
      <c r="M100" s="134">
        <v>93.08</v>
      </c>
      <c r="N100" s="134">
        <v>0</v>
      </c>
      <c r="O100" s="134">
        <v>0</v>
      </c>
      <c r="P100" s="134">
        <v>0.39</v>
      </c>
      <c r="Q100" s="134">
        <v>4.3899999999999997</v>
      </c>
    </row>
    <row r="101" spans="1:22" customFormat="1">
      <c r="A101" s="112" t="s">
        <v>2250</v>
      </c>
      <c r="B101" s="134">
        <v>10.56</v>
      </c>
      <c r="C101" s="134">
        <v>15.82</v>
      </c>
      <c r="D101" s="134">
        <v>18.079999999999998</v>
      </c>
      <c r="E101" s="134">
        <v>4</v>
      </c>
      <c r="F101" s="134">
        <v>3.27</v>
      </c>
      <c r="G101" s="134">
        <v>14.62</v>
      </c>
      <c r="H101" s="134">
        <v>8.01</v>
      </c>
      <c r="I101" s="134">
        <v>2.86</v>
      </c>
      <c r="J101" s="134">
        <v>0.1</v>
      </c>
      <c r="K101" s="134">
        <v>214.38</v>
      </c>
      <c r="L101" s="134">
        <v>25.66</v>
      </c>
      <c r="M101" s="134">
        <v>93.91</v>
      </c>
      <c r="N101" s="134">
        <v>0</v>
      </c>
      <c r="O101" s="134">
        <v>0</v>
      </c>
      <c r="P101" s="134">
        <v>0.39</v>
      </c>
      <c r="Q101" s="134">
        <v>4.43</v>
      </c>
    </row>
    <row r="102" spans="1:22" customFormat="1">
      <c r="A102" s="112" t="s">
        <v>2251</v>
      </c>
      <c r="B102" s="134">
        <v>10.57</v>
      </c>
      <c r="C102" s="134">
        <v>14.33</v>
      </c>
      <c r="D102" s="134">
        <v>17.32</v>
      </c>
      <c r="E102" s="134">
        <v>3.63</v>
      </c>
      <c r="F102" s="134">
        <v>4.33</v>
      </c>
      <c r="G102" s="134">
        <v>14.62</v>
      </c>
      <c r="H102" s="134">
        <v>8.01</v>
      </c>
      <c r="I102" s="134">
        <v>3.01</v>
      </c>
      <c r="J102" s="134">
        <v>0.25</v>
      </c>
      <c r="K102" s="134">
        <v>262.42</v>
      </c>
      <c r="L102" s="134">
        <v>25.73</v>
      </c>
      <c r="M102" s="134">
        <v>93.78</v>
      </c>
      <c r="N102" s="134">
        <v>0</v>
      </c>
      <c r="O102" s="134">
        <v>0</v>
      </c>
      <c r="P102" s="134">
        <v>0.37</v>
      </c>
      <c r="Q102" s="134">
        <v>4.3899999999999997</v>
      </c>
    </row>
    <row r="103" spans="1:22" customFormat="1">
      <c r="A103" s="112" t="s">
        <v>2252</v>
      </c>
      <c r="B103" s="134">
        <v>10.69</v>
      </c>
      <c r="C103" s="134">
        <v>15.46</v>
      </c>
      <c r="D103" s="134">
        <v>18</v>
      </c>
      <c r="E103" s="134">
        <v>3.66</v>
      </c>
      <c r="F103" s="134">
        <v>3.53</v>
      </c>
      <c r="G103" s="134">
        <v>14.62</v>
      </c>
      <c r="H103" s="134">
        <v>8.01</v>
      </c>
      <c r="I103" s="134">
        <v>2.87</v>
      </c>
      <c r="J103" s="134">
        <v>0.34</v>
      </c>
      <c r="K103" s="134">
        <v>255.46</v>
      </c>
      <c r="L103" s="134">
        <v>25.79</v>
      </c>
      <c r="M103" s="134">
        <v>92.86</v>
      </c>
      <c r="N103" s="134">
        <v>0</v>
      </c>
      <c r="O103" s="134">
        <v>0</v>
      </c>
      <c r="P103" s="134">
        <v>0.38</v>
      </c>
      <c r="Q103" s="134">
        <v>4.38</v>
      </c>
    </row>
    <row r="104" spans="1:22" customFormat="1">
      <c r="A104" s="112" t="s">
        <v>2253</v>
      </c>
      <c r="B104" s="134">
        <v>11.08</v>
      </c>
      <c r="C104" s="134">
        <v>16.7</v>
      </c>
      <c r="D104" s="134">
        <v>18.96</v>
      </c>
      <c r="E104" s="134">
        <v>3.73</v>
      </c>
      <c r="F104" s="134">
        <v>2.59</v>
      </c>
      <c r="G104" s="134">
        <v>14.84</v>
      </c>
      <c r="H104" s="134">
        <v>8.06</v>
      </c>
      <c r="I104" s="134">
        <v>2.84</v>
      </c>
      <c r="J104" s="134">
        <v>0.35</v>
      </c>
      <c r="K104" s="134">
        <v>259.61</v>
      </c>
      <c r="L104" s="134">
        <v>25.93</v>
      </c>
      <c r="M104" s="134">
        <v>92.28</v>
      </c>
      <c r="N104" s="134">
        <v>0</v>
      </c>
      <c r="O104" s="134">
        <v>0</v>
      </c>
      <c r="P104" s="134">
        <v>0.4</v>
      </c>
      <c r="Q104" s="134">
        <v>4.46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8.92</v>
      </c>
      <c r="C106" s="183">
        <f>MIN(C9:C104)</f>
        <v>13.07</v>
      </c>
      <c r="D106" s="183">
        <f t="shared" ref="D106:Q106" si="0">MIN(D9:D104)</f>
        <v>15.41</v>
      </c>
      <c r="E106" s="183">
        <f t="shared" si="0"/>
        <v>1.96</v>
      </c>
      <c r="F106" s="183">
        <f t="shared" si="0"/>
        <v>1.46</v>
      </c>
      <c r="G106" s="183">
        <f t="shared" si="0"/>
        <v>10.62</v>
      </c>
      <c r="H106" s="183">
        <f t="shared" si="0"/>
        <v>3.83</v>
      </c>
      <c r="I106" s="183">
        <f t="shared" si="0"/>
        <v>2.58</v>
      </c>
      <c r="J106" s="183">
        <f t="shared" si="0"/>
        <v>0.01</v>
      </c>
      <c r="K106" s="183">
        <f t="shared" si="0"/>
        <v>163.98</v>
      </c>
      <c r="L106" s="183">
        <f t="shared" si="0"/>
        <v>24.31</v>
      </c>
      <c r="M106" s="183">
        <f t="shared" si="0"/>
        <v>77.47</v>
      </c>
      <c r="N106" s="183">
        <f t="shared" si="0"/>
        <v>0</v>
      </c>
      <c r="O106" s="183">
        <f t="shared" si="0"/>
        <v>0</v>
      </c>
      <c r="P106" s="183">
        <f t="shared" si="0"/>
        <v>0.32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13.43</v>
      </c>
      <c r="C107" s="184">
        <f t="shared" ref="C107:Q107" si="1">MAX(C9:C104)</f>
        <v>19.46</v>
      </c>
      <c r="D107" s="184">
        <f t="shared" si="1"/>
        <v>22.03</v>
      </c>
      <c r="E107" s="184">
        <f t="shared" si="1"/>
        <v>4.78</v>
      </c>
      <c r="F107" s="184">
        <f t="shared" si="1"/>
        <v>7.69</v>
      </c>
      <c r="G107" s="184">
        <f t="shared" si="1"/>
        <v>20.36</v>
      </c>
      <c r="H107" s="184">
        <f t="shared" si="1"/>
        <v>8.86</v>
      </c>
      <c r="I107" s="184">
        <f t="shared" si="1"/>
        <v>3.07</v>
      </c>
      <c r="J107" s="184">
        <f t="shared" si="1"/>
        <v>0.78</v>
      </c>
      <c r="K107" s="184">
        <f t="shared" si="1"/>
        <v>294.49</v>
      </c>
      <c r="L107" s="184">
        <f t="shared" si="1"/>
        <v>29.7</v>
      </c>
      <c r="M107" s="184">
        <f t="shared" si="1"/>
        <v>98.31</v>
      </c>
      <c r="N107" s="184">
        <f t="shared" si="1"/>
        <v>433</v>
      </c>
      <c r="O107" s="184">
        <f t="shared" si="1"/>
        <v>0.2</v>
      </c>
      <c r="P107" s="184">
        <f t="shared" si="1"/>
        <v>0.43</v>
      </c>
      <c r="Q107" s="184">
        <f t="shared" si="1"/>
        <v>4.76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11.093333333333335</v>
      </c>
      <c r="C108" s="183">
        <f t="shared" ref="C108:Q108" si="2">AVERAGE(C9:C104)</f>
        <v>16.357083333333328</v>
      </c>
      <c r="D108" s="183">
        <f t="shared" si="2"/>
        <v>18.793125000000007</v>
      </c>
      <c r="E108" s="183">
        <f t="shared" si="2"/>
        <v>3.2863541666666669</v>
      </c>
      <c r="F108" s="183">
        <f t="shared" si="2"/>
        <v>3.4181249999999994</v>
      </c>
      <c r="G108" s="183">
        <f t="shared" si="2"/>
        <v>14.995937499999998</v>
      </c>
      <c r="H108" s="183">
        <f t="shared" si="2"/>
        <v>6.627604166666667</v>
      </c>
      <c r="I108" s="183">
        <f t="shared" si="2"/>
        <v>2.8714583333333326</v>
      </c>
      <c r="J108" s="183">
        <f t="shared" si="2"/>
        <v>0.31885416666666677</v>
      </c>
      <c r="K108" s="183">
        <f t="shared" si="2"/>
        <v>252.65875000000003</v>
      </c>
      <c r="L108" s="183">
        <f t="shared" si="2"/>
        <v>26.639999999999997</v>
      </c>
      <c r="M108" s="183">
        <f t="shared" si="2"/>
        <v>89.910000000000025</v>
      </c>
      <c r="N108" s="183">
        <f t="shared" si="2"/>
        <v>83.896875000000009</v>
      </c>
      <c r="O108" s="183">
        <f t="shared" si="2"/>
        <v>2.0833333333333333E-3</v>
      </c>
      <c r="P108" s="183">
        <f t="shared" si="2"/>
        <v>0.36822916666666666</v>
      </c>
      <c r="Q108" s="183">
        <f t="shared" si="2"/>
        <v>4.4939583333333317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1.386764250952264</v>
      </c>
      <c r="C109" s="183">
        <f t="shared" ref="C109:Q109" si="3">STDEV(C9:C104)</f>
        <v>1.5896573061126698</v>
      </c>
      <c r="D109" s="183">
        <f t="shared" si="3"/>
        <v>1.7639789427672279</v>
      </c>
      <c r="E109" s="183">
        <f t="shared" si="3"/>
        <v>0.56619156102147083</v>
      </c>
      <c r="F109" s="183">
        <f t="shared" si="3"/>
        <v>1.3157301855063741</v>
      </c>
      <c r="G109" s="183">
        <f t="shared" si="3"/>
        <v>2.4033750733959671</v>
      </c>
      <c r="H109" s="183">
        <f t="shared" si="3"/>
        <v>1.222767133480166</v>
      </c>
      <c r="I109" s="183">
        <f t="shared" si="3"/>
        <v>0.10361852269560948</v>
      </c>
      <c r="J109" s="183">
        <f t="shared" si="3"/>
        <v>0.20648879052877181</v>
      </c>
      <c r="K109" s="183">
        <f t="shared" si="3"/>
        <v>20.19096683120874</v>
      </c>
      <c r="L109" s="183">
        <f t="shared" si="3"/>
        <v>1.6199597135992581</v>
      </c>
      <c r="M109" s="183">
        <f t="shared" si="3"/>
        <v>6.3677818992005726</v>
      </c>
      <c r="N109" s="183">
        <f t="shared" si="3"/>
        <v>113.59996984166112</v>
      </c>
      <c r="O109" s="183">
        <f t="shared" si="3"/>
        <v>2.0412414523193152E-2</v>
      </c>
      <c r="P109" s="183">
        <f t="shared" si="3"/>
        <v>2.233688437335828E-2</v>
      </c>
      <c r="Q109" s="183">
        <f t="shared" si="3"/>
        <v>0.14102242573936777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22/08/2023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2254</v>
      </c>
      <c r="B9" s="134">
        <v>9.51</v>
      </c>
      <c r="C9" s="134">
        <v>13.36</v>
      </c>
      <c r="D9" s="134">
        <v>15.95</v>
      </c>
      <c r="E9" s="134">
        <v>4.1500000000000004</v>
      </c>
      <c r="F9" s="134">
        <v>4.5</v>
      </c>
      <c r="G9" s="134">
        <v>16.63</v>
      </c>
      <c r="H9" s="134">
        <v>8.3000000000000007</v>
      </c>
      <c r="I9" s="134">
        <v>2.92</v>
      </c>
      <c r="J9" s="134">
        <v>0.32</v>
      </c>
      <c r="K9" s="134">
        <v>254</v>
      </c>
      <c r="L9" s="134">
        <v>25.93</v>
      </c>
      <c r="M9" s="134">
        <v>92.1</v>
      </c>
      <c r="N9" s="134">
        <v>0</v>
      </c>
      <c r="O9" s="134">
        <v>0</v>
      </c>
      <c r="P9" s="134">
        <v>0.37</v>
      </c>
      <c r="Q9" s="134">
        <v>4.42</v>
      </c>
    </row>
    <row r="10" spans="1:21" customFormat="1">
      <c r="A10" s="112" t="s">
        <v>2255</v>
      </c>
      <c r="B10" s="134">
        <v>9.75</v>
      </c>
      <c r="C10" s="134">
        <v>14.89</v>
      </c>
      <c r="D10" s="134">
        <v>16.95</v>
      </c>
      <c r="E10" s="134">
        <v>4.28</v>
      </c>
      <c r="F10" s="134">
        <v>3.79</v>
      </c>
      <c r="G10" s="134">
        <v>16.63</v>
      </c>
      <c r="H10" s="134">
        <v>8.3000000000000007</v>
      </c>
      <c r="I10" s="134">
        <v>2.97</v>
      </c>
      <c r="J10" s="134">
        <v>0.46</v>
      </c>
      <c r="K10" s="134">
        <v>256.27</v>
      </c>
      <c r="L10" s="134">
        <v>25.89</v>
      </c>
      <c r="M10" s="134">
        <v>92.09</v>
      </c>
      <c r="N10" s="134">
        <v>0</v>
      </c>
      <c r="O10" s="134">
        <v>0</v>
      </c>
      <c r="P10" s="134">
        <v>0.38</v>
      </c>
      <c r="Q10" s="134">
        <v>4.42</v>
      </c>
    </row>
    <row r="11" spans="1:21" customFormat="1">
      <c r="A11" s="112" t="s">
        <v>2256</v>
      </c>
      <c r="B11" s="134">
        <v>9.86</v>
      </c>
      <c r="C11" s="134">
        <v>17.34</v>
      </c>
      <c r="D11" s="134">
        <v>18.32</v>
      </c>
      <c r="E11" s="134">
        <v>4.5999999999999996</v>
      </c>
      <c r="F11" s="134">
        <v>2.4</v>
      </c>
      <c r="G11" s="134">
        <v>16.63</v>
      </c>
      <c r="H11" s="134">
        <v>8.3000000000000007</v>
      </c>
      <c r="I11" s="134">
        <v>2.85</v>
      </c>
      <c r="J11" s="134">
        <v>0.41</v>
      </c>
      <c r="K11" s="134">
        <v>259.04000000000002</v>
      </c>
      <c r="L11" s="134">
        <v>25.92</v>
      </c>
      <c r="M11" s="134">
        <v>92.04</v>
      </c>
      <c r="N11" s="134">
        <v>0</v>
      </c>
      <c r="O11" s="134">
        <v>0</v>
      </c>
      <c r="P11" s="134">
        <v>0.4</v>
      </c>
      <c r="Q11" s="134">
        <v>4.49</v>
      </c>
    </row>
    <row r="12" spans="1:21" customFormat="1">
      <c r="A12" s="112" t="s">
        <v>2257</v>
      </c>
      <c r="B12" s="134">
        <v>9.86</v>
      </c>
      <c r="C12" s="134">
        <v>15.75</v>
      </c>
      <c r="D12" s="134">
        <v>17.489999999999998</v>
      </c>
      <c r="E12" s="134">
        <v>4.24</v>
      </c>
      <c r="F12" s="134">
        <v>3.49</v>
      </c>
      <c r="G12" s="134">
        <v>16.329999999999998</v>
      </c>
      <c r="H12" s="134">
        <v>7.96</v>
      </c>
      <c r="I12" s="134">
        <v>2.95</v>
      </c>
      <c r="J12" s="134">
        <v>0.47</v>
      </c>
      <c r="K12" s="134">
        <v>259.01</v>
      </c>
      <c r="L12" s="134">
        <v>25.98</v>
      </c>
      <c r="M12" s="134">
        <v>91.87</v>
      </c>
      <c r="N12" s="134">
        <v>0</v>
      </c>
      <c r="O12" s="134">
        <v>0</v>
      </c>
      <c r="P12" s="134">
        <v>0.39</v>
      </c>
      <c r="Q12" s="134">
        <v>4.4800000000000004</v>
      </c>
    </row>
    <row r="13" spans="1:21" customFormat="1">
      <c r="A13" s="112" t="s">
        <v>2258</v>
      </c>
      <c r="B13" s="134">
        <v>9.7899999999999991</v>
      </c>
      <c r="C13" s="134">
        <v>14.46</v>
      </c>
      <c r="D13" s="134">
        <v>16.760000000000002</v>
      </c>
      <c r="E13" s="134">
        <v>3.8</v>
      </c>
      <c r="F13" s="134">
        <v>4.25</v>
      </c>
      <c r="G13" s="134">
        <v>14.01</v>
      </c>
      <c r="H13" s="134">
        <v>6.03</v>
      </c>
      <c r="I13" s="134">
        <v>3.03</v>
      </c>
      <c r="J13" s="134">
        <v>0.28000000000000003</v>
      </c>
      <c r="K13" s="134">
        <v>252.01</v>
      </c>
      <c r="L13" s="134">
        <v>25.88</v>
      </c>
      <c r="M13" s="134">
        <v>92.91</v>
      </c>
      <c r="N13" s="134">
        <v>0</v>
      </c>
      <c r="O13" s="134">
        <v>0</v>
      </c>
      <c r="P13" s="134">
        <v>0.37</v>
      </c>
      <c r="Q13" s="134">
        <v>4.46</v>
      </c>
    </row>
    <row r="14" spans="1:21" customFormat="1">
      <c r="A14" s="112" t="s">
        <v>2259</v>
      </c>
      <c r="B14" s="134">
        <v>9.5299999999999994</v>
      </c>
      <c r="C14" s="134">
        <v>15.73</v>
      </c>
      <c r="D14" s="134">
        <v>17.21</v>
      </c>
      <c r="E14" s="134">
        <v>3.67</v>
      </c>
      <c r="F14" s="134">
        <v>3.12</v>
      </c>
      <c r="G14" s="134">
        <v>14.01</v>
      </c>
      <c r="H14" s="134">
        <v>6.03</v>
      </c>
      <c r="I14" s="134">
        <v>2.93</v>
      </c>
      <c r="J14" s="134">
        <v>0.32</v>
      </c>
      <c r="K14" s="134">
        <v>256.91000000000003</v>
      </c>
      <c r="L14" s="134">
        <v>25.95</v>
      </c>
      <c r="M14" s="134">
        <v>92.25</v>
      </c>
      <c r="N14" s="134">
        <v>0</v>
      </c>
      <c r="O14" s="134">
        <v>0</v>
      </c>
      <c r="P14" s="134">
        <v>0.41</v>
      </c>
      <c r="Q14" s="134">
        <v>4.43</v>
      </c>
    </row>
    <row r="15" spans="1:21" customFormat="1">
      <c r="A15" s="112" t="s">
        <v>2260</v>
      </c>
      <c r="B15" s="134">
        <v>8.83</v>
      </c>
      <c r="C15" s="134">
        <v>17.190000000000001</v>
      </c>
      <c r="D15" s="134">
        <v>17.420000000000002</v>
      </c>
      <c r="E15" s="134">
        <v>3.53</v>
      </c>
      <c r="F15" s="134">
        <v>2.6</v>
      </c>
      <c r="G15" s="134">
        <v>14.01</v>
      </c>
      <c r="H15" s="134">
        <v>6.03</v>
      </c>
      <c r="I15" s="134">
        <v>2.91</v>
      </c>
      <c r="J15" s="134">
        <v>0.41</v>
      </c>
      <c r="K15" s="134">
        <v>263.27</v>
      </c>
      <c r="L15" s="134">
        <v>25.96</v>
      </c>
      <c r="M15" s="134">
        <v>92.44</v>
      </c>
      <c r="N15" s="134">
        <v>0</v>
      </c>
      <c r="O15" s="134">
        <v>0</v>
      </c>
      <c r="P15" s="134">
        <v>0.43</v>
      </c>
      <c r="Q15" s="134">
        <v>4.45</v>
      </c>
    </row>
    <row r="16" spans="1:21" customFormat="1">
      <c r="A16" s="112" t="s">
        <v>2261</v>
      </c>
      <c r="B16" s="134">
        <v>8.76</v>
      </c>
      <c r="C16" s="134">
        <v>15.81</v>
      </c>
      <c r="D16" s="134">
        <v>16.63</v>
      </c>
      <c r="E16" s="134">
        <v>3.47</v>
      </c>
      <c r="F16" s="134">
        <v>3.35</v>
      </c>
      <c r="G16" s="134">
        <v>13.84</v>
      </c>
      <c r="H16" s="134">
        <v>6.3</v>
      </c>
      <c r="I16" s="134">
        <v>3</v>
      </c>
      <c r="J16" s="134">
        <v>0.56999999999999995</v>
      </c>
      <c r="K16" s="134">
        <v>262.69</v>
      </c>
      <c r="L16" s="134">
        <v>25.98</v>
      </c>
      <c r="M16" s="134">
        <v>91.8</v>
      </c>
      <c r="N16" s="134">
        <v>0</v>
      </c>
      <c r="O16" s="134">
        <v>0</v>
      </c>
      <c r="P16" s="134">
        <v>0.4</v>
      </c>
      <c r="Q16" s="134">
        <v>4.46</v>
      </c>
    </row>
    <row r="17" spans="1:17" customFormat="1">
      <c r="A17" s="112" t="s">
        <v>2262</v>
      </c>
      <c r="B17" s="134">
        <v>8.85</v>
      </c>
      <c r="C17" s="134">
        <v>14.66</v>
      </c>
      <c r="D17" s="134">
        <v>16.11</v>
      </c>
      <c r="E17" s="134">
        <v>2.4</v>
      </c>
      <c r="F17" s="134">
        <v>3.7</v>
      </c>
      <c r="G17" s="134">
        <v>12.5</v>
      </c>
      <c r="H17" s="134">
        <v>7.96</v>
      </c>
      <c r="I17" s="134">
        <v>2.94</v>
      </c>
      <c r="J17" s="134">
        <v>0.36</v>
      </c>
      <c r="K17" s="134">
        <v>258.04000000000002</v>
      </c>
      <c r="L17" s="134">
        <v>25.96</v>
      </c>
      <c r="M17" s="134">
        <v>92.48</v>
      </c>
      <c r="N17" s="134">
        <v>0</v>
      </c>
      <c r="O17" s="134">
        <v>0</v>
      </c>
      <c r="P17" s="134">
        <v>0.37</v>
      </c>
      <c r="Q17" s="134">
        <v>4.4000000000000004</v>
      </c>
    </row>
    <row r="18" spans="1:17" customFormat="1">
      <c r="A18" s="112" t="s">
        <v>2263</v>
      </c>
      <c r="B18" s="134">
        <v>8.93</v>
      </c>
      <c r="C18" s="134">
        <v>14.3</v>
      </c>
      <c r="D18" s="134">
        <v>15.98</v>
      </c>
      <c r="E18" s="134">
        <v>3.49</v>
      </c>
      <c r="F18" s="134">
        <v>3.99</v>
      </c>
      <c r="G18" s="134">
        <v>12.5</v>
      </c>
      <c r="H18" s="134">
        <v>7.96</v>
      </c>
      <c r="I18" s="134">
        <v>2.84</v>
      </c>
      <c r="J18" s="134">
        <v>0.4</v>
      </c>
      <c r="K18" s="134">
        <v>263.33999999999997</v>
      </c>
      <c r="L18" s="134">
        <v>25.93</v>
      </c>
      <c r="M18" s="134">
        <v>92.29</v>
      </c>
      <c r="N18" s="134">
        <v>0</v>
      </c>
      <c r="O18" s="134">
        <v>0</v>
      </c>
      <c r="P18" s="134">
        <v>0.36</v>
      </c>
      <c r="Q18" s="134">
        <v>4.3899999999999997</v>
      </c>
    </row>
    <row r="19" spans="1:17" customFormat="1">
      <c r="A19" s="112" t="s">
        <v>2264</v>
      </c>
      <c r="B19" s="134">
        <v>9.14</v>
      </c>
      <c r="C19" s="134">
        <v>13.93</v>
      </c>
      <c r="D19" s="134">
        <v>15.96</v>
      </c>
      <c r="E19" s="134">
        <v>3.66</v>
      </c>
      <c r="F19" s="134">
        <v>4.13</v>
      </c>
      <c r="G19" s="134">
        <v>12.5</v>
      </c>
      <c r="H19" s="134">
        <v>7.96</v>
      </c>
      <c r="I19" s="134">
        <v>2.78</v>
      </c>
      <c r="J19" s="134">
        <v>0.54</v>
      </c>
      <c r="K19" s="134">
        <v>256.69</v>
      </c>
      <c r="L19" s="134">
        <v>26.04</v>
      </c>
      <c r="M19" s="134">
        <v>91.77</v>
      </c>
      <c r="N19" s="134">
        <v>0</v>
      </c>
      <c r="O19" s="134">
        <v>0</v>
      </c>
      <c r="P19" s="134">
        <v>0.35</v>
      </c>
      <c r="Q19" s="134">
        <v>4.41</v>
      </c>
    </row>
    <row r="20" spans="1:17" customFormat="1">
      <c r="A20" s="112" t="s">
        <v>2265</v>
      </c>
      <c r="B20" s="134">
        <v>9.48</v>
      </c>
      <c r="C20" s="134">
        <v>14.28</v>
      </c>
      <c r="D20" s="134">
        <v>16.41</v>
      </c>
      <c r="E20" s="134">
        <v>3.55</v>
      </c>
      <c r="F20" s="134">
        <v>3.77</v>
      </c>
      <c r="G20" s="134">
        <v>12.89</v>
      </c>
      <c r="H20" s="134">
        <v>7.78</v>
      </c>
      <c r="I20" s="134">
        <v>2.71</v>
      </c>
      <c r="J20" s="134">
        <v>0.53</v>
      </c>
      <c r="K20" s="134">
        <v>259.56</v>
      </c>
      <c r="L20" s="134">
        <v>25.92</v>
      </c>
      <c r="M20" s="134">
        <v>91.94</v>
      </c>
      <c r="N20" s="134">
        <v>0</v>
      </c>
      <c r="O20" s="134">
        <v>0</v>
      </c>
      <c r="P20" s="134">
        <v>0.35</v>
      </c>
      <c r="Q20" s="134">
        <v>4.42</v>
      </c>
    </row>
    <row r="21" spans="1:17" customFormat="1">
      <c r="A21" s="112" t="s">
        <v>2266</v>
      </c>
      <c r="B21" s="134">
        <v>9.93</v>
      </c>
      <c r="C21" s="134">
        <v>17.37</v>
      </c>
      <c r="D21" s="134">
        <v>18.39</v>
      </c>
      <c r="E21" s="134">
        <v>4.6100000000000003</v>
      </c>
      <c r="F21" s="134">
        <v>1.85</v>
      </c>
      <c r="G21" s="134">
        <v>16.03</v>
      </c>
      <c r="H21" s="134">
        <v>6.7</v>
      </c>
      <c r="I21" s="134">
        <v>2.69</v>
      </c>
      <c r="J21" s="134">
        <v>0.62</v>
      </c>
      <c r="K21" s="134">
        <v>262.52</v>
      </c>
      <c r="L21" s="134">
        <v>25.93</v>
      </c>
      <c r="M21" s="134">
        <v>91.98</v>
      </c>
      <c r="N21" s="134">
        <v>0</v>
      </c>
      <c r="O21" s="134">
        <v>0</v>
      </c>
      <c r="P21" s="134">
        <v>0.39</v>
      </c>
      <c r="Q21" s="134">
        <v>4.49</v>
      </c>
    </row>
    <row r="22" spans="1:17" customFormat="1">
      <c r="A22" s="112" t="s">
        <v>2267</v>
      </c>
      <c r="B22" s="134">
        <v>9.8699999999999992</v>
      </c>
      <c r="C22" s="134">
        <v>16.899999999999999</v>
      </c>
      <c r="D22" s="134">
        <v>18.09</v>
      </c>
      <c r="E22" s="134">
        <v>4.45</v>
      </c>
      <c r="F22" s="134">
        <v>2.66</v>
      </c>
      <c r="G22" s="134">
        <v>16.03</v>
      </c>
      <c r="H22" s="134">
        <v>6.7</v>
      </c>
      <c r="I22" s="134">
        <v>2.74</v>
      </c>
      <c r="J22" s="134">
        <v>0.57999999999999996</v>
      </c>
      <c r="K22" s="134">
        <v>263.95</v>
      </c>
      <c r="L22" s="134">
        <v>25.88</v>
      </c>
      <c r="M22" s="134">
        <v>91.83</v>
      </c>
      <c r="N22" s="134">
        <v>0</v>
      </c>
      <c r="O22" s="134">
        <v>0</v>
      </c>
      <c r="P22" s="134">
        <v>0.38</v>
      </c>
      <c r="Q22" s="134">
        <v>4.46</v>
      </c>
    </row>
    <row r="23" spans="1:17" customFormat="1">
      <c r="A23" s="112" t="s">
        <v>2268</v>
      </c>
      <c r="B23" s="134">
        <v>9.56</v>
      </c>
      <c r="C23" s="134">
        <v>15.23</v>
      </c>
      <c r="D23" s="134">
        <v>16.97</v>
      </c>
      <c r="E23" s="134">
        <v>3.98</v>
      </c>
      <c r="F23" s="134">
        <v>3.82</v>
      </c>
      <c r="G23" s="134">
        <v>16.03</v>
      </c>
      <c r="H23" s="134">
        <v>6.7</v>
      </c>
      <c r="I23" s="134">
        <v>2.9</v>
      </c>
      <c r="J23" s="134">
        <v>0.4</v>
      </c>
      <c r="K23" s="134">
        <v>259.82</v>
      </c>
      <c r="L23" s="134">
        <v>25.9</v>
      </c>
      <c r="M23" s="134">
        <v>92.32</v>
      </c>
      <c r="N23" s="134">
        <v>0</v>
      </c>
      <c r="O23" s="134">
        <v>0</v>
      </c>
      <c r="P23" s="134">
        <v>0.37</v>
      </c>
      <c r="Q23" s="134">
        <v>4.45</v>
      </c>
    </row>
    <row r="24" spans="1:17" customFormat="1">
      <c r="A24" s="112" t="s">
        <v>2269</v>
      </c>
      <c r="B24" s="134">
        <v>9.3000000000000007</v>
      </c>
      <c r="C24" s="134">
        <v>14.14</v>
      </c>
      <c r="D24" s="134">
        <v>16.2</v>
      </c>
      <c r="E24" s="134">
        <v>3.69</v>
      </c>
      <c r="F24" s="134">
        <v>4.55</v>
      </c>
      <c r="G24" s="134">
        <v>16.07</v>
      </c>
      <c r="H24" s="134">
        <v>6.66</v>
      </c>
      <c r="I24" s="134">
        <v>2.81</v>
      </c>
      <c r="J24" s="134">
        <v>0.44</v>
      </c>
      <c r="K24" s="134">
        <v>257.85000000000002</v>
      </c>
      <c r="L24" s="134">
        <v>25.79</v>
      </c>
      <c r="M24" s="134">
        <v>93.19</v>
      </c>
      <c r="N24" s="134">
        <v>0</v>
      </c>
      <c r="O24" s="134">
        <v>0</v>
      </c>
      <c r="P24" s="134">
        <v>0.35</v>
      </c>
      <c r="Q24" s="134">
        <v>4.43</v>
      </c>
    </row>
    <row r="25" spans="1:17" customFormat="1">
      <c r="A25" s="112" t="s">
        <v>2270</v>
      </c>
      <c r="B25" s="134">
        <v>9.6199999999999992</v>
      </c>
      <c r="C25" s="134">
        <v>15.8</v>
      </c>
      <c r="D25" s="134">
        <v>17.32</v>
      </c>
      <c r="E25" s="134">
        <v>3.68</v>
      </c>
      <c r="F25" s="134">
        <v>3.24</v>
      </c>
      <c r="G25" s="134">
        <v>16.38</v>
      </c>
      <c r="H25" s="134">
        <v>6.38</v>
      </c>
      <c r="I25" s="134">
        <v>2.72</v>
      </c>
      <c r="J25" s="134">
        <v>0.55000000000000004</v>
      </c>
      <c r="K25" s="134">
        <v>262.31</v>
      </c>
      <c r="L25" s="134">
        <v>25.77</v>
      </c>
      <c r="M25" s="134">
        <v>92.79</v>
      </c>
      <c r="N25" s="134">
        <v>0</v>
      </c>
      <c r="O25" s="134">
        <v>0</v>
      </c>
      <c r="P25" s="134">
        <v>0.37</v>
      </c>
      <c r="Q25" s="134">
        <v>4.43</v>
      </c>
    </row>
    <row r="26" spans="1:17" customFormat="1">
      <c r="A26" s="112" t="s">
        <v>2271</v>
      </c>
      <c r="B26" s="134">
        <v>9.91</v>
      </c>
      <c r="C26" s="134">
        <v>17.37</v>
      </c>
      <c r="D26" s="134">
        <v>18.37</v>
      </c>
      <c r="E26" s="134">
        <v>4.55</v>
      </c>
      <c r="F26" s="134">
        <v>2.2200000000000002</v>
      </c>
      <c r="G26" s="134">
        <v>16.38</v>
      </c>
      <c r="H26" s="134">
        <v>6.38</v>
      </c>
      <c r="I26" s="134">
        <v>2.71</v>
      </c>
      <c r="J26" s="134">
        <v>0.59</v>
      </c>
      <c r="K26" s="134">
        <v>263.47000000000003</v>
      </c>
      <c r="L26" s="134">
        <v>25.76</v>
      </c>
      <c r="M26" s="134">
        <v>92.63</v>
      </c>
      <c r="N26" s="134">
        <v>0</v>
      </c>
      <c r="O26" s="134">
        <v>0</v>
      </c>
      <c r="P26" s="134">
        <v>0.39</v>
      </c>
      <c r="Q26" s="134">
        <v>4.51</v>
      </c>
    </row>
    <row r="27" spans="1:17" customFormat="1">
      <c r="A27" s="112" t="s">
        <v>2272</v>
      </c>
      <c r="B27" s="134">
        <v>9.9</v>
      </c>
      <c r="C27" s="134">
        <v>15.8</v>
      </c>
      <c r="D27" s="134">
        <v>17.54</v>
      </c>
      <c r="E27" s="134">
        <v>4.3099999999999996</v>
      </c>
      <c r="F27" s="134">
        <v>3.29</v>
      </c>
      <c r="G27" s="134">
        <v>16.38</v>
      </c>
      <c r="H27" s="134">
        <v>6.38</v>
      </c>
      <c r="I27" s="134">
        <v>2.79</v>
      </c>
      <c r="J27" s="134">
        <v>0.54</v>
      </c>
      <c r="K27" s="134">
        <v>257.98</v>
      </c>
      <c r="L27" s="134">
        <v>25.8</v>
      </c>
      <c r="M27" s="134">
        <v>92.68</v>
      </c>
      <c r="N27" s="134">
        <v>0</v>
      </c>
      <c r="O27" s="134">
        <v>0</v>
      </c>
      <c r="P27" s="134">
        <v>0.37</v>
      </c>
      <c r="Q27" s="134">
        <v>4.46</v>
      </c>
    </row>
    <row r="28" spans="1:17" customFormat="1">
      <c r="A28" s="112" t="s">
        <v>2273</v>
      </c>
      <c r="B28" s="134">
        <v>9.66</v>
      </c>
      <c r="C28" s="134">
        <v>14.43</v>
      </c>
      <c r="D28" s="134">
        <v>16.63</v>
      </c>
      <c r="E28" s="134">
        <v>4.0999999999999996</v>
      </c>
      <c r="F28" s="134">
        <v>4.33</v>
      </c>
      <c r="G28" s="134">
        <v>16.28</v>
      </c>
      <c r="H28" s="134">
        <v>6.15</v>
      </c>
      <c r="I28" s="134">
        <v>2.85</v>
      </c>
      <c r="J28" s="134">
        <v>0.47</v>
      </c>
      <c r="K28" s="134">
        <v>260</v>
      </c>
      <c r="L28" s="134">
        <v>25.7</v>
      </c>
      <c r="M28" s="134">
        <v>93.12</v>
      </c>
      <c r="N28" s="134">
        <v>0</v>
      </c>
      <c r="O28" s="134">
        <v>0</v>
      </c>
      <c r="P28" s="134">
        <v>0.36</v>
      </c>
      <c r="Q28" s="134">
        <v>4.42</v>
      </c>
    </row>
    <row r="29" spans="1:17" customFormat="1">
      <c r="A29" s="112" t="s">
        <v>2274</v>
      </c>
      <c r="B29" s="134">
        <v>9.9700000000000006</v>
      </c>
      <c r="C29" s="134">
        <v>15.93</v>
      </c>
      <c r="D29" s="134">
        <v>17.670000000000002</v>
      </c>
      <c r="E29" s="134">
        <v>4.21</v>
      </c>
      <c r="F29" s="134">
        <v>2.94</v>
      </c>
      <c r="G29" s="134">
        <v>15.42</v>
      </c>
      <c r="H29" s="134">
        <v>4.6500000000000004</v>
      </c>
      <c r="I29" s="134">
        <v>2.73</v>
      </c>
      <c r="J29" s="134">
        <v>0.56999999999999995</v>
      </c>
      <c r="K29" s="134">
        <v>260.77</v>
      </c>
      <c r="L29" s="134">
        <v>25.69</v>
      </c>
      <c r="M29" s="134">
        <v>92.59</v>
      </c>
      <c r="N29" s="134">
        <v>0</v>
      </c>
      <c r="O29" s="134">
        <v>0</v>
      </c>
      <c r="P29" s="134">
        <v>0.38</v>
      </c>
      <c r="Q29" s="134">
        <v>4.46</v>
      </c>
    </row>
    <row r="30" spans="1:17" customFormat="1">
      <c r="A30" s="112" t="s">
        <v>2275</v>
      </c>
      <c r="B30" s="134">
        <v>10.08</v>
      </c>
      <c r="C30" s="134">
        <v>17.34</v>
      </c>
      <c r="D30" s="134">
        <v>18.5</v>
      </c>
      <c r="E30" s="134">
        <v>4.3099999999999996</v>
      </c>
      <c r="F30" s="134">
        <v>2.17</v>
      </c>
      <c r="G30" s="134">
        <v>15.42</v>
      </c>
      <c r="H30" s="134">
        <v>4.6500000000000004</v>
      </c>
      <c r="I30" s="134">
        <v>2.68</v>
      </c>
      <c r="J30" s="134">
        <v>0.56999999999999995</v>
      </c>
      <c r="K30" s="134">
        <v>262.39999999999998</v>
      </c>
      <c r="L30" s="134">
        <v>25.67</v>
      </c>
      <c r="M30" s="134">
        <v>93.05</v>
      </c>
      <c r="N30" s="134">
        <v>0</v>
      </c>
      <c r="O30" s="134">
        <v>0</v>
      </c>
      <c r="P30" s="134">
        <v>0.39</v>
      </c>
      <c r="Q30" s="134">
        <v>4.51</v>
      </c>
    </row>
    <row r="31" spans="1:17" customFormat="1">
      <c r="A31" s="112" t="s">
        <v>2276</v>
      </c>
      <c r="B31" s="134">
        <v>10.1</v>
      </c>
      <c r="C31" s="134">
        <v>16.03</v>
      </c>
      <c r="D31" s="134">
        <v>17.829999999999998</v>
      </c>
      <c r="E31" s="134">
        <v>4.46</v>
      </c>
      <c r="F31" s="134">
        <v>3.13</v>
      </c>
      <c r="G31" s="134">
        <v>15.42</v>
      </c>
      <c r="H31" s="134">
        <v>4.6500000000000004</v>
      </c>
      <c r="I31" s="134">
        <v>2.81</v>
      </c>
      <c r="J31" s="134">
        <v>0.46</v>
      </c>
      <c r="K31" s="134">
        <v>258.57</v>
      </c>
      <c r="L31" s="134">
        <v>25.54</v>
      </c>
      <c r="M31" s="134">
        <v>93.46</v>
      </c>
      <c r="N31" s="134">
        <v>0</v>
      </c>
      <c r="O31" s="134">
        <v>0</v>
      </c>
      <c r="P31" s="134">
        <v>0.37</v>
      </c>
      <c r="Q31" s="134">
        <v>4.45</v>
      </c>
    </row>
    <row r="32" spans="1:17" customFormat="1">
      <c r="A32" s="112" t="s">
        <v>2277</v>
      </c>
      <c r="B32" s="134">
        <v>9.94</v>
      </c>
      <c r="C32" s="134">
        <v>14.69</v>
      </c>
      <c r="D32" s="134">
        <v>17</v>
      </c>
      <c r="E32" s="134">
        <v>3.92</v>
      </c>
      <c r="F32" s="134">
        <v>3.8</v>
      </c>
      <c r="G32" s="134">
        <v>15.61</v>
      </c>
      <c r="H32" s="134">
        <v>5.27</v>
      </c>
      <c r="I32" s="134">
        <v>2.84</v>
      </c>
      <c r="J32" s="134">
        <v>0.55000000000000004</v>
      </c>
      <c r="K32" s="134">
        <v>258.57</v>
      </c>
      <c r="L32" s="134">
        <v>25.47</v>
      </c>
      <c r="M32" s="134">
        <v>93.99</v>
      </c>
      <c r="N32" s="134">
        <v>8.1999999999999993</v>
      </c>
      <c r="O32" s="134">
        <v>0</v>
      </c>
      <c r="P32" s="134">
        <v>0.35</v>
      </c>
      <c r="Q32" s="134">
        <v>4.45</v>
      </c>
    </row>
    <row r="33" spans="1:17" customFormat="1">
      <c r="A33" s="112" t="s">
        <v>2278</v>
      </c>
      <c r="B33" s="134">
        <v>10.220000000000001</v>
      </c>
      <c r="C33" s="134">
        <v>16.66</v>
      </c>
      <c r="D33" s="134">
        <v>18.25</v>
      </c>
      <c r="E33" s="134">
        <v>4.6500000000000004</v>
      </c>
      <c r="F33" s="134">
        <v>2.35</v>
      </c>
      <c r="G33" s="134">
        <v>17.059999999999999</v>
      </c>
      <c r="H33" s="134">
        <v>9.17</v>
      </c>
      <c r="I33" s="134">
        <v>2.75</v>
      </c>
      <c r="J33" s="134">
        <v>0.6</v>
      </c>
      <c r="K33" s="134">
        <v>263.58</v>
      </c>
      <c r="L33" s="134">
        <v>25.52</v>
      </c>
      <c r="M33" s="134">
        <v>93.6</v>
      </c>
      <c r="N33" s="134">
        <v>26</v>
      </c>
      <c r="O33" s="134">
        <v>0</v>
      </c>
      <c r="P33" s="134">
        <v>0.38</v>
      </c>
      <c r="Q33" s="134">
        <v>4.5</v>
      </c>
    </row>
    <row r="34" spans="1:17" customFormat="1">
      <c r="A34" s="112" t="s">
        <v>2279</v>
      </c>
      <c r="B34" s="134">
        <v>10.23</v>
      </c>
      <c r="C34" s="134">
        <v>18.53</v>
      </c>
      <c r="D34" s="134">
        <v>19.239999999999998</v>
      </c>
      <c r="E34" s="134">
        <v>4.62</v>
      </c>
      <c r="F34" s="134">
        <v>1.67</v>
      </c>
      <c r="G34" s="134">
        <v>17.059999999999999</v>
      </c>
      <c r="H34" s="134">
        <v>9.17</v>
      </c>
      <c r="I34" s="134">
        <v>2.72</v>
      </c>
      <c r="J34" s="134">
        <v>0.53</v>
      </c>
      <c r="K34" s="134">
        <v>261.31</v>
      </c>
      <c r="L34" s="134">
        <v>25.67</v>
      </c>
      <c r="M34" s="134">
        <v>93.44</v>
      </c>
      <c r="N34" s="134">
        <v>46.2</v>
      </c>
      <c r="O34" s="134">
        <v>0</v>
      </c>
      <c r="P34" s="134">
        <v>0.41</v>
      </c>
      <c r="Q34" s="134">
        <v>4.57</v>
      </c>
    </row>
    <row r="35" spans="1:17" customFormat="1">
      <c r="A35" s="112" t="s">
        <v>2280</v>
      </c>
      <c r="B35" s="134">
        <v>9.41</v>
      </c>
      <c r="C35" s="134">
        <v>19.36</v>
      </c>
      <c r="D35" s="134">
        <v>19.010000000000002</v>
      </c>
      <c r="E35" s="134">
        <v>4.53</v>
      </c>
      <c r="F35" s="134">
        <v>2.2200000000000002</v>
      </c>
      <c r="G35" s="134">
        <v>17.059999999999999</v>
      </c>
      <c r="H35" s="134">
        <v>9.17</v>
      </c>
      <c r="I35" s="134">
        <v>2.87</v>
      </c>
      <c r="J35" s="134">
        <v>0.5</v>
      </c>
      <c r="K35" s="134">
        <v>255.97</v>
      </c>
      <c r="L35" s="134">
        <v>25.88</v>
      </c>
      <c r="M35" s="134">
        <v>92.8</v>
      </c>
      <c r="N35" s="134">
        <v>65.3</v>
      </c>
      <c r="O35" s="134">
        <v>0</v>
      </c>
      <c r="P35" s="134">
        <v>0.44</v>
      </c>
      <c r="Q35" s="134">
        <v>4.57</v>
      </c>
    </row>
    <row r="36" spans="1:17" customFormat="1">
      <c r="A36" s="112" t="s">
        <v>2281</v>
      </c>
      <c r="B36" s="134">
        <v>8.83</v>
      </c>
      <c r="C36" s="134">
        <v>19.63</v>
      </c>
      <c r="D36" s="134">
        <v>18.690000000000001</v>
      </c>
      <c r="E36" s="134">
        <v>4.6399999999999997</v>
      </c>
      <c r="F36" s="134">
        <v>2.54</v>
      </c>
      <c r="G36" s="134">
        <v>17.5</v>
      </c>
      <c r="H36" s="134">
        <v>8.9700000000000006</v>
      </c>
      <c r="I36" s="134">
        <v>2.95</v>
      </c>
      <c r="J36" s="134">
        <v>0.48</v>
      </c>
      <c r="K36" s="134">
        <v>259.32</v>
      </c>
      <c r="L36" s="134">
        <v>26.17</v>
      </c>
      <c r="M36" s="134">
        <v>91.48</v>
      </c>
      <c r="N36" s="134">
        <v>90.3</v>
      </c>
      <c r="O36" s="134">
        <v>0</v>
      </c>
      <c r="P36" s="134">
        <v>0.43</v>
      </c>
      <c r="Q36" s="134">
        <v>4.58</v>
      </c>
    </row>
    <row r="37" spans="1:17" customFormat="1">
      <c r="A37" s="112" t="s">
        <v>2282</v>
      </c>
      <c r="B37" s="134">
        <v>8.99</v>
      </c>
      <c r="C37" s="134">
        <v>16.57</v>
      </c>
      <c r="D37" s="134">
        <v>17.22</v>
      </c>
      <c r="E37" s="134">
        <v>3.79</v>
      </c>
      <c r="F37" s="134">
        <v>3.38</v>
      </c>
      <c r="G37" s="134">
        <v>21</v>
      </c>
      <c r="H37" s="134">
        <v>7.68</v>
      </c>
      <c r="I37" s="134">
        <v>2.96</v>
      </c>
      <c r="J37" s="134">
        <v>0.56000000000000005</v>
      </c>
      <c r="K37" s="134">
        <v>257.97000000000003</v>
      </c>
      <c r="L37" s="134">
        <v>26.54</v>
      </c>
      <c r="M37" s="134">
        <v>90.18</v>
      </c>
      <c r="N37" s="134">
        <v>110.8</v>
      </c>
      <c r="O37" s="134">
        <v>0</v>
      </c>
      <c r="P37" s="134">
        <v>0.38</v>
      </c>
      <c r="Q37" s="134">
        <v>4.4800000000000004</v>
      </c>
    </row>
    <row r="38" spans="1:17" customFormat="1">
      <c r="A38" s="112" t="s">
        <v>2283</v>
      </c>
      <c r="B38" s="134">
        <v>9.3000000000000007</v>
      </c>
      <c r="C38" s="134">
        <v>15.46</v>
      </c>
      <c r="D38" s="134">
        <v>16.88</v>
      </c>
      <c r="E38" s="134">
        <v>3.7</v>
      </c>
      <c r="F38" s="134">
        <v>3.3</v>
      </c>
      <c r="G38" s="134">
        <v>21</v>
      </c>
      <c r="H38" s="134">
        <v>7.68</v>
      </c>
      <c r="I38" s="134">
        <v>2.91</v>
      </c>
      <c r="J38" s="134">
        <v>0.44</v>
      </c>
      <c r="K38" s="134">
        <v>261.01</v>
      </c>
      <c r="L38" s="134">
        <v>26.87</v>
      </c>
      <c r="M38" s="134">
        <v>89.27</v>
      </c>
      <c r="N38" s="134">
        <v>133.5</v>
      </c>
      <c r="O38" s="134">
        <v>0</v>
      </c>
      <c r="P38" s="134">
        <v>0.37</v>
      </c>
      <c r="Q38" s="134">
        <v>4.42</v>
      </c>
    </row>
    <row r="39" spans="1:17" customFormat="1">
      <c r="A39" s="112" t="s">
        <v>2284</v>
      </c>
      <c r="B39" s="134">
        <v>9.6300000000000008</v>
      </c>
      <c r="C39" s="134">
        <v>15.36</v>
      </c>
      <c r="D39" s="134">
        <v>17.100000000000001</v>
      </c>
      <c r="E39" s="134">
        <v>3.36</v>
      </c>
      <c r="F39" s="134">
        <v>3.05</v>
      </c>
      <c r="G39" s="134">
        <v>21</v>
      </c>
      <c r="H39" s="134">
        <v>7.68</v>
      </c>
      <c r="I39" s="134">
        <v>2.82</v>
      </c>
      <c r="J39" s="134">
        <v>0.7</v>
      </c>
      <c r="K39" s="134">
        <v>256.48</v>
      </c>
      <c r="L39" s="134">
        <v>27.13</v>
      </c>
      <c r="M39" s="134">
        <v>87.63</v>
      </c>
      <c r="N39" s="134">
        <v>154.1</v>
      </c>
      <c r="O39" s="134">
        <v>0</v>
      </c>
      <c r="P39" s="134">
        <v>0.36</v>
      </c>
      <c r="Q39" s="134">
        <v>4.41</v>
      </c>
    </row>
    <row r="40" spans="1:17" customFormat="1">
      <c r="A40" s="112" t="s">
        <v>2285</v>
      </c>
      <c r="B40" s="134">
        <v>9.76</v>
      </c>
      <c r="C40" s="134">
        <v>15.15</v>
      </c>
      <c r="D40" s="134">
        <v>17.09</v>
      </c>
      <c r="E40" s="134">
        <v>3.74</v>
      </c>
      <c r="F40" s="134">
        <v>3.13</v>
      </c>
      <c r="G40" s="134">
        <v>20.81</v>
      </c>
      <c r="H40" s="134">
        <v>7.73</v>
      </c>
      <c r="I40" s="134">
        <v>2.81</v>
      </c>
      <c r="J40" s="134">
        <v>0.64</v>
      </c>
      <c r="K40" s="134">
        <v>264.27</v>
      </c>
      <c r="L40" s="134">
        <v>27.46</v>
      </c>
      <c r="M40" s="134">
        <v>86.15</v>
      </c>
      <c r="N40" s="134">
        <v>164.1</v>
      </c>
      <c r="O40" s="134">
        <v>0</v>
      </c>
      <c r="P40" s="134">
        <v>0.35</v>
      </c>
      <c r="Q40" s="134">
        <v>4.46</v>
      </c>
    </row>
    <row r="41" spans="1:17" customFormat="1">
      <c r="A41" s="112" t="s">
        <v>2286</v>
      </c>
      <c r="B41" s="134">
        <v>9.6999999999999993</v>
      </c>
      <c r="C41" s="134">
        <v>15.45</v>
      </c>
      <c r="D41" s="134">
        <v>17.2</v>
      </c>
      <c r="E41" s="134">
        <v>3.68</v>
      </c>
      <c r="F41" s="134">
        <v>3.06</v>
      </c>
      <c r="G41" s="134">
        <v>19.329999999999998</v>
      </c>
      <c r="H41" s="134">
        <v>8.01</v>
      </c>
      <c r="I41" s="134">
        <v>2.82</v>
      </c>
      <c r="J41" s="134">
        <v>0.62</v>
      </c>
      <c r="K41" s="134">
        <v>263.94</v>
      </c>
      <c r="L41" s="134">
        <v>27.93</v>
      </c>
      <c r="M41" s="134">
        <v>84.5</v>
      </c>
      <c r="N41" s="134">
        <v>180.1</v>
      </c>
      <c r="O41" s="134">
        <v>0</v>
      </c>
      <c r="P41" s="134">
        <v>0.35</v>
      </c>
      <c r="Q41" s="134">
        <v>4.45</v>
      </c>
    </row>
    <row r="42" spans="1:17" customFormat="1">
      <c r="A42" s="112" t="s">
        <v>2287</v>
      </c>
      <c r="B42" s="134">
        <v>9.74</v>
      </c>
      <c r="C42" s="134">
        <v>16.739999999999998</v>
      </c>
      <c r="D42" s="134">
        <v>17.899999999999999</v>
      </c>
      <c r="E42" s="134">
        <v>3.87</v>
      </c>
      <c r="F42" s="134">
        <v>2.25</v>
      </c>
      <c r="G42" s="134">
        <v>19.329999999999998</v>
      </c>
      <c r="H42" s="134">
        <v>8.01</v>
      </c>
      <c r="I42" s="134">
        <v>2.81</v>
      </c>
      <c r="J42" s="134">
        <v>0.56999999999999995</v>
      </c>
      <c r="K42" s="134">
        <v>253.96</v>
      </c>
      <c r="L42" s="134">
        <v>28.22</v>
      </c>
      <c r="M42" s="134">
        <v>83.71</v>
      </c>
      <c r="N42" s="134">
        <v>277.8</v>
      </c>
      <c r="O42" s="134">
        <v>0</v>
      </c>
      <c r="P42" s="134">
        <v>0.37</v>
      </c>
      <c r="Q42" s="134">
        <v>4.45</v>
      </c>
    </row>
    <row r="43" spans="1:17" customFormat="1">
      <c r="A43" s="112" t="s">
        <v>2288</v>
      </c>
      <c r="B43" s="134">
        <v>9.84</v>
      </c>
      <c r="C43" s="134">
        <v>18.260000000000002</v>
      </c>
      <c r="D43" s="134">
        <v>18.78</v>
      </c>
      <c r="E43" s="134">
        <v>4.83</v>
      </c>
      <c r="F43" s="134">
        <v>1.87</v>
      </c>
      <c r="G43" s="134">
        <v>19.329999999999998</v>
      </c>
      <c r="H43" s="134">
        <v>8.01</v>
      </c>
      <c r="I43" s="134">
        <v>2.86</v>
      </c>
      <c r="J43" s="134">
        <v>0.7</v>
      </c>
      <c r="K43" s="134">
        <v>266.86</v>
      </c>
      <c r="L43" s="134">
        <v>28.37</v>
      </c>
      <c r="M43" s="134">
        <v>82.64</v>
      </c>
      <c r="N43" s="134">
        <v>290.39999999999998</v>
      </c>
      <c r="O43" s="134">
        <v>0</v>
      </c>
      <c r="P43" s="134">
        <v>0.4</v>
      </c>
      <c r="Q43" s="134">
        <v>4.51</v>
      </c>
    </row>
    <row r="44" spans="1:17" customFormat="1">
      <c r="A44" s="112" t="s">
        <v>2289</v>
      </c>
      <c r="B44" s="134">
        <v>9.8699999999999992</v>
      </c>
      <c r="C44" s="134">
        <v>17.14</v>
      </c>
      <c r="D44" s="134">
        <v>18.22</v>
      </c>
      <c r="E44" s="134">
        <v>4.8600000000000003</v>
      </c>
      <c r="F44" s="134">
        <v>2.78</v>
      </c>
      <c r="G44" s="134">
        <v>19.45</v>
      </c>
      <c r="H44" s="134">
        <v>8.36</v>
      </c>
      <c r="I44" s="134">
        <v>2.97</v>
      </c>
      <c r="J44" s="134">
        <v>0.64</v>
      </c>
      <c r="K44" s="134">
        <v>271.52999999999997</v>
      </c>
      <c r="L44" s="134">
        <v>28.75</v>
      </c>
      <c r="M44" s="134">
        <v>81.19</v>
      </c>
      <c r="N44" s="134">
        <v>267.39999999999998</v>
      </c>
      <c r="O44" s="134">
        <v>0</v>
      </c>
      <c r="P44" s="134">
        <v>0.41</v>
      </c>
      <c r="Q44" s="134">
        <v>4.5</v>
      </c>
    </row>
    <row r="45" spans="1:17" customFormat="1">
      <c r="A45" s="112" t="s">
        <v>2290</v>
      </c>
      <c r="B45" s="134">
        <v>9.99</v>
      </c>
      <c r="C45" s="134">
        <v>16.2</v>
      </c>
      <c r="D45" s="134">
        <v>17.829999999999998</v>
      </c>
      <c r="E45" s="134">
        <v>4.7300000000000004</v>
      </c>
      <c r="F45" s="134">
        <v>3.18</v>
      </c>
      <c r="G45" s="134">
        <v>20.41</v>
      </c>
      <c r="H45" s="134">
        <v>10.57</v>
      </c>
      <c r="I45" s="134">
        <v>3.08</v>
      </c>
      <c r="J45" s="134">
        <v>0.62</v>
      </c>
      <c r="K45" s="134">
        <v>258.79000000000002</v>
      </c>
      <c r="L45" s="134">
        <v>29.22</v>
      </c>
      <c r="M45" s="134">
        <v>79.8</v>
      </c>
      <c r="N45" s="134">
        <v>311.2</v>
      </c>
      <c r="O45" s="134">
        <v>0</v>
      </c>
      <c r="P45" s="134">
        <v>0.41</v>
      </c>
      <c r="Q45" s="134">
        <v>4.4800000000000004</v>
      </c>
    </row>
    <row r="46" spans="1:17" customFormat="1">
      <c r="A46" s="112" t="s">
        <v>2291</v>
      </c>
      <c r="B46" s="134">
        <v>10.16</v>
      </c>
      <c r="C46" s="134">
        <v>16.18</v>
      </c>
      <c r="D46" s="134">
        <v>17.95</v>
      </c>
      <c r="E46" s="134">
        <v>4.17</v>
      </c>
      <c r="F46" s="134">
        <v>2.87</v>
      </c>
      <c r="G46" s="134">
        <v>20.41</v>
      </c>
      <c r="H46" s="134">
        <v>10.57</v>
      </c>
      <c r="I46" s="134">
        <v>3.14</v>
      </c>
      <c r="J46" s="134">
        <v>0.48</v>
      </c>
      <c r="K46" s="134">
        <v>259.48</v>
      </c>
      <c r="L46" s="134">
        <v>29.29</v>
      </c>
      <c r="M46" s="134">
        <v>79.11</v>
      </c>
      <c r="N46" s="134">
        <v>259.5</v>
      </c>
      <c r="O46" s="134">
        <v>0</v>
      </c>
      <c r="P46" s="134">
        <v>0.42</v>
      </c>
      <c r="Q46" s="134">
        <v>4.46</v>
      </c>
    </row>
    <row r="47" spans="1:17" customFormat="1">
      <c r="A47" s="112" t="s">
        <v>2292</v>
      </c>
      <c r="B47" s="134">
        <v>10.15</v>
      </c>
      <c r="C47" s="134">
        <v>16.059999999999999</v>
      </c>
      <c r="D47" s="134">
        <v>17.88</v>
      </c>
      <c r="E47" s="134">
        <v>4.8</v>
      </c>
      <c r="F47" s="134">
        <v>3</v>
      </c>
      <c r="G47" s="134">
        <v>20.41</v>
      </c>
      <c r="H47" s="134">
        <v>10.57</v>
      </c>
      <c r="I47" s="134">
        <v>3.25</v>
      </c>
      <c r="J47" s="134">
        <v>0.57999999999999996</v>
      </c>
      <c r="K47" s="134">
        <v>258.17</v>
      </c>
      <c r="L47" s="134">
        <v>30.04</v>
      </c>
      <c r="M47" s="134">
        <v>76.94</v>
      </c>
      <c r="N47" s="134">
        <v>342.9</v>
      </c>
      <c r="O47" s="134">
        <v>0</v>
      </c>
      <c r="P47" s="134">
        <v>0.43</v>
      </c>
      <c r="Q47" s="134">
        <v>4.4400000000000004</v>
      </c>
    </row>
    <row r="48" spans="1:17" customFormat="1">
      <c r="A48" s="112" t="s">
        <v>2293</v>
      </c>
      <c r="B48" s="134">
        <v>10.01</v>
      </c>
      <c r="C48" s="134">
        <v>16.28</v>
      </c>
      <c r="D48" s="134">
        <v>17.88</v>
      </c>
      <c r="E48" s="134">
        <v>5.23</v>
      </c>
      <c r="F48" s="134">
        <v>3.25</v>
      </c>
      <c r="G48" s="134">
        <v>21.15</v>
      </c>
      <c r="H48" s="134">
        <v>10.64</v>
      </c>
      <c r="I48" s="134">
        <v>3.38</v>
      </c>
      <c r="J48" s="134">
        <v>0.46</v>
      </c>
      <c r="K48" s="134">
        <v>255.8</v>
      </c>
      <c r="L48" s="134">
        <v>30.2</v>
      </c>
      <c r="M48" s="134">
        <v>75.33</v>
      </c>
      <c r="N48" s="134">
        <v>343.4</v>
      </c>
      <c r="O48" s="134">
        <v>0</v>
      </c>
      <c r="P48" s="134">
        <v>0.43</v>
      </c>
      <c r="Q48" s="134">
        <v>4.47</v>
      </c>
    </row>
    <row r="49" spans="1:17" customFormat="1">
      <c r="A49" s="112" t="s">
        <v>2294</v>
      </c>
      <c r="B49" s="134">
        <v>10.02</v>
      </c>
      <c r="C49" s="134">
        <v>15.93</v>
      </c>
      <c r="D49" s="134">
        <v>17.71</v>
      </c>
      <c r="E49" s="134">
        <v>3.9</v>
      </c>
      <c r="F49" s="134">
        <v>3.5</v>
      </c>
      <c r="G49" s="134">
        <v>27.08</v>
      </c>
      <c r="H49" s="134">
        <v>11.08</v>
      </c>
      <c r="I49" s="134">
        <v>3.47</v>
      </c>
      <c r="J49" s="134">
        <v>0.74</v>
      </c>
      <c r="K49" s="134">
        <v>266.56</v>
      </c>
      <c r="L49" s="134">
        <v>30.16</v>
      </c>
      <c r="M49" s="134">
        <v>74.59</v>
      </c>
      <c r="N49" s="134">
        <v>502.4</v>
      </c>
      <c r="O49" s="134">
        <v>0</v>
      </c>
      <c r="P49" s="134">
        <v>0.44</v>
      </c>
      <c r="Q49" s="134">
        <v>4.4800000000000004</v>
      </c>
    </row>
    <row r="50" spans="1:17" customFormat="1">
      <c r="A50" s="112" t="s">
        <v>2295</v>
      </c>
      <c r="B50" s="134">
        <v>8.73</v>
      </c>
      <c r="C50" s="134">
        <v>15.04</v>
      </c>
      <c r="D50" s="134">
        <v>16.2</v>
      </c>
      <c r="E50" s="134">
        <v>11.48</v>
      </c>
      <c r="F50" s="134">
        <v>9.25</v>
      </c>
      <c r="G50" s="134">
        <v>27.08</v>
      </c>
      <c r="H50" s="134">
        <v>11.08</v>
      </c>
      <c r="I50" s="134">
        <v>3.54</v>
      </c>
      <c r="J50" s="134">
        <v>0.56999999999999995</v>
      </c>
      <c r="K50" s="134">
        <v>262.98</v>
      </c>
      <c r="L50" s="134">
        <v>30.34</v>
      </c>
      <c r="M50" s="134">
        <v>73.53</v>
      </c>
      <c r="N50" s="134">
        <v>385.9</v>
      </c>
      <c r="O50" s="134">
        <v>0</v>
      </c>
      <c r="P50" s="134">
        <v>0.47</v>
      </c>
      <c r="Q50" s="134">
        <v>4.4000000000000004</v>
      </c>
    </row>
    <row r="51" spans="1:17" customFormat="1">
      <c r="A51" s="112" t="s">
        <v>2296</v>
      </c>
      <c r="B51" s="134">
        <v>5.95</v>
      </c>
      <c r="C51" s="134">
        <v>15</v>
      </c>
      <c r="D51" s="134">
        <v>13.96</v>
      </c>
      <c r="E51" s="134">
        <v>14.77</v>
      </c>
      <c r="F51" s="134">
        <v>8.93</v>
      </c>
      <c r="G51" s="134">
        <v>27.08</v>
      </c>
      <c r="H51" s="134">
        <v>11.08</v>
      </c>
      <c r="I51" s="134">
        <v>3.51</v>
      </c>
      <c r="J51" s="134">
        <v>0.55000000000000004</v>
      </c>
      <c r="K51" s="134">
        <v>265.86</v>
      </c>
      <c r="L51" s="134">
        <v>31</v>
      </c>
      <c r="M51" s="134">
        <v>72.180000000000007</v>
      </c>
      <c r="N51" s="134">
        <v>681.7</v>
      </c>
      <c r="O51" s="134">
        <v>0</v>
      </c>
      <c r="P51" s="134">
        <v>0.49</v>
      </c>
      <c r="Q51" s="134">
        <v>4.1900000000000004</v>
      </c>
    </row>
    <row r="52" spans="1:17" customFormat="1">
      <c r="A52" s="112" t="s">
        <v>2297</v>
      </c>
      <c r="B52" s="134">
        <v>4.49</v>
      </c>
      <c r="C52" s="134">
        <v>14.61</v>
      </c>
      <c r="D52" s="134">
        <v>12.58</v>
      </c>
      <c r="E52" s="134">
        <v>15.93</v>
      </c>
      <c r="F52" s="134">
        <v>12.42</v>
      </c>
      <c r="G52" s="134">
        <v>26.78</v>
      </c>
      <c r="H52" s="134">
        <v>11.22</v>
      </c>
      <c r="I52" s="134">
        <v>3.32</v>
      </c>
      <c r="J52" s="134">
        <v>0.72</v>
      </c>
      <c r="K52" s="134">
        <v>258.61</v>
      </c>
      <c r="L52" s="134">
        <v>31.16</v>
      </c>
      <c r="M52" s="134">
        <v>71.56</v>
      </c>
      <c r="N52" s="134">
        <v>672.2</v>
      </c>
      <c r="O52" s="134">
        <v>0</v>
      </c>
      <c r="P52" s="134">
        <v>0.49</v>
      </c>
      <c r="Q52" s="134">
        <v>4.07</v>
      </c>
    </row>
    <row r="53" spans="1:17" customFormat="1">
      <c r="A53" s="112" t="s">
        <v>2298</v>
      </c>
      <c r="B53" s="134">
        <v>3.75</v>
      </c>
      <c r="C53" s="134">
        <v>14.26</v>
      </c>
      <c r="D53" s="134">
        <v>11.81</v>
      </c>
      <c r="E53" s="134">
        <v>11.45</v>
      </c>
      <c r="F53" s="134">
        <v>7.57</v>
      </c>
      <c r="G53" s="134">
        <v>24.39</v>
      </c>
      <c r="H53" s="134">
        <v>12.14</v>
      </c>
      <c r="I53" s="134">
        <v>3.13</v>
      </c>
      <c r="J53" s="134">
        <v>0.67</v>
      </c>
      <c r="K53" s="134">
        <v>262.13</v>
      </c>
      <c r="L53" s="134">
        <v>31.35</v>
      </c>
      <c r="M53" s="134">
        <v>71.7</v>
      </c>
      <c r="N53" s="134">
        <v>570.20000000000005</v>
      </c>
      <c r="O53" s="134">
        <v>0</v>
      </c>
      <c r="P53" s="134">
        <v>0.5</v>
      </c>
      <c r="Q53" s="134">
        <v>4.05</v>
      </c>
    </row>
    <row r="54" spans="1:17" customFormat="1">
      <c r="A54" s="112" t="s">
        <v>2299</v>
      </c>
      <c r="B54" s="134">
        <v>3.31</v>
      </c>
      <c r="C54" s="134">
        <v>14.42</v>
      </c>
      <c r="D54" s="134">
        <v>11.54</v>
      </c>
      <c r="E54" s="134">
        <v>4.0999999999999996</v>
      </c>
      <c r="F54" s="134">
        <v>4.51</v>
      </c>
      <c r="G54" s="134">
        <v>24.39</v>
      </c>
      <c r="H54" s="134">
        <v>12.14</v>
      </c>
      <c r="I54" s="134">
        <v>3.29</v>
      </c>
      <c r="J54" s="134">
        <v>0.46</v>
      </c>
      <c r="K54" s="134">
        <v>243.45</v>
      </c>
      <c r="L54" s="134">
        <v>31.18</v>
      </c>
      <c r="M54" s="134">
        <v>73.150000000000006</v>
      </c>
      <c r="N54" s="134">
        <v>449.5</v>
      </c>
      <c r="O54" s="134">
        <v>0</v>
      </c>
      <c r="P54" s="134">
        <v>0.49</v>
      </c>
      <c r="Q54" s="134">
        <v>4.03</v>
      </c>
    </row>
    <row r="55" spans="1:17" customFormat="1">
      <c r="A55" s="112" t="s">
        <v>2300</v>
      </c>
      <c r="B55" s="134">
        <v>2.95</v>
      </c>
      <c r="C55" s="134">
        <v>14.77</v>
      </c>
      <c r="D55" s="134">
        <v>11.43</v>
      </c>
      <c r="E55" s="134">
        <v>3.32</v>
      </c>
      <c r="F55" s="134">
        <v>3.76</v>
      </c>
      <c r="G55" s="134">
        <v>24.39</v>
      </c>
      <c r="H55" s="134">
        <v>12.14</v>
      </c>
      <c r="I55" s="134">
        <v>3.43</v>
      </c>
      <c r="J55" s="134">
        <v>0.79</v>
      </c>
      <c r="K55" s="134">
        <v>263.16000000000003</v>
      </c>
      <c r="L55" s="134">
        <v>30.77</v>
      </c>
      <c r="M55" s="134">
        <v>73.73</v>
      </c>
      <c r="N55" s="134">
        <v>453.1</v>
      </c>
      <c r="O55" s="134">
        <v>0</v>
      </c>
      <c r="P55" s="134">
        <v>0.5</v>
      </c>
      <c r="Q55" s="134">
        <v>4.01</v>
      </c>
    </row>
    <row r="56" spans="1:17" customFormat="1">
      <c r="A56" s="112" t="s">
        <v>2301</v>
      </c>
      <c r="B56" s="134">
        <v>2.36</v>
      </c>
      <c r="C56" s="134">
        <v>16.14</v>
      </c>
      <c r="D56" s="134">
        <v>11.68</v>
      </c>
      <c r="E56" s="134">
        <v>4</v>
      </c>
      <c r="F56" s="134">
        <v>3.69</v>
      </c>
      <c r="G56" s="134">
        <v>25.13</v>
      </c>
      <c r="H56" s="134">
        <v>12.35</v>
      </c>
      <c r="I56" s="134">
        <v>3.53</v>
      </c>
      <c r="J56" s="134">
        <v>0.72</v>
      </c>
      <c r="K56" s="134">
        <v>256.52999999999997</v>
      </c>
      <c r="L56" s="134">
        <v>31.3</v>
      </c>
      <c r="M56" s="134">
        <v>71.97</v>
      </c>
      <c r="N56" s="134">
        <v>688</v>
      </c>
      <c r="O56" s="134">
        <v>0</v>
      </c>
      <c r="P56" s="134">
        <v>0.56000000000000005</v>
      </c>
      <c r="Q56" s="134">
        <v>4.09</v>
      </c>
    </row>
    <row r="57" spans="1:17" customFormat="1">
      <c r="A57" s="112" t="s">
        <v>2302</v>
      </c>
      <c r="B57" s="134">
        <v>2.14</v>
      </c>
      <c r="C57" s="134">
        <v>16.97</v>
      </c>
      <c r="D57" s="134">
        <v>11.93</v>
      </c>
      <c r="E57" s="134">
        <v>3.6</v>
      </c>
      <c r="F57" s="134">
        <v>3.65</v>
      </c>
      <c r="G57" s="134">
        <v>31.03</v>
      </c>
      <c r="H57" s="134">
        <v>13.69</v>
      </c>
      <c r="I57" s="134">
        <v>3.68</v>
      </c>
      <c r="J57" s="134">
        <v>0.9</v>
      </c>
      <c r="K57" s="134">
        <v>264.52</v>
      </c>
      <c r="L57" s="134">
        <v>31.17</v>
      </c>
      <c r="M57" s="134">
        <v>70.98</v>
      </c>
      <c r="N57" s="134">
        <v>655.4</v>
      </c>
      <c r="O57" s="134">
        <v>0</v>
      </c>
      <c r="P57" s="134">
        <v>0.56000000000000005</v>
      </c>
      <c r="Q57" s="134">
        <v>4.1900000000000004</v>
      </c>
    </row>
    <row r="58" spans="1:17" customFormat="1">
      <c r="A58" s="112" t="s">
        <v>2303</v>
      </c>
      <c r="B58" s="134">
        <v>2.11</v>
      </c>
      <c r="C58" s="134">
        <v>16.329999999999998</v>
      </c>
      <c r="D58" s="134">
        <v>11.57</v>
      </c>
      <c r="E58" s="134">
        <v>2.91</v>
      </c>
      <c r="F58" s="134">
        <v>3.64</v>
      </c>
      <c r="G58" s="134">
        <v>31.03</v>
      </c>
      <c r="H58" s="134">
        <v>13.69</v>
      </c>
      <c r="I58" s="134">
        <v>3.82</v>
      </c>
      <c r="J58" s="134">
        <v>0.66</v>
      </c>
      <c r="K58" s="134">
        <v>252.59</v>
      </c>
      <c r="L58" s="134">
        <v>31.57</v>
      </c>
      <c r="M58" s="134">
        <v>69.73</v>
      </c>
      <c r="N58" s="134">
        <v>641.6</v>
      </c>
      <c r="O58" s="134">
        <v>0</v>
      </c>
      <c r="P58" s="134">
        <v>0.52</v>
      </c>
      <c r="Q58" s="134">
        <v>4.18</v>
      </c>
    </row>
    <row r="59" spans="1:17" customFormat="1">
      <c r="A59" s="112" t="s">
        <v>2304</v>
      </c>
      <c r="B59" s="134">
        <v>2</v>
      </c>
      <c r="C59" s="134">
        <v>15.64</v>
      </c>
      <c r="D59" s="134">
        <v>11.13</v>
      </c>
      <c r="E59" s="134">
        <v>2.44</v>
      </c>
      <c r="F59" s="134">
        <v>4.08</v>
      </c>
      <c r="G59" s="134">
        <v>31.03</v>
      </c>
      <c r="H59" s="134">
        <v>13.69</v>
      </c>
      <c r="I59" s="134">
        <v>3.83</v>
      </c>
      <c r="J59" s="134">
        <v>0.63</v>
      </c>
      <c r="K59" s="134">
        <v>251.15</v>
      </c>
      <c r="L59" s="134">
        <v>31.45</v>
      </c>
      <c r="M59" s="134">
        <v>69.89</v>
      </c>
      <c r="N59" s="134">
        <v>539.4</v>
      </c>
      <c r="O59" s="134">
        <v>0</v>
      </c>
      <c r="P59" s="134">
        <v>0.51</v>
      </c>
      <c r="Q59" s="134">
        <v>4.12</v>
      </c>
    </row>
    <row r="60" spans="1:17" customFormat="1">
      <c r="A60" s="112" t="s">
        <v>2305</v>
      </c>
      <c r="B60" s="134">
        <v>2</v>
      </c>
      <c r="C60" s="134">
        <v>14.95</v>
      </c>
      <c r="D60" s="134">
        <v>10.77</v>
      </c>
      <c r="E60" s="134">
        <v>2.54</v>
      </c>
      <c r="F60" s="134">
        <v>4.6100000000000003</v>
      </c>
      <c r="G60" s="134">
        <v>30.58</v>
      </c>
      <c r="H60" s="134">
        <v>13.13</v>
      </c>
      <c r="I60" s="134">
        <v>3.81</v>
      </c>
      <c r="J60" s="134">
        <v>0.98</v>
      </c>
      <c r="K60" s="134">
        <v>263.66000000000003</v>
      </c>
      <c r="L60" s="134">
        <v>30.93</v>
      </c>
      <c r="M60" s="134">
        <v>70.11</v>
      </c>
      <c r="N60" s="134">
        <v>391.7</v>
      </c>
      <c r="O60" s="134">
        <v>0</v>
      </c>
      <c r="P60" s="134">
        <v>0.49</v>
      </c>
      <c r="Q60" s="134">
        <v>4.08</v>
      </c>
    </row>
    <row r="61" spans="1:17" customFormat="1">
      <c r="A61" s="112" t="s">
        <v>2306</v>
      </c>
      <c r="B61" s="134">
        <v>2</v>
      </c>
      <c r="C61" s="134">
        <v>14.25</v>
      </c>
      <c r="D61" s="134">
        <v>10.4</v>
      </c>
      <c r="E61" s="134">
        <v>2.7</v>
      </c>
      <c r="F61" s="134">
        <v>6.36</v>
      </c>
      <c r="G61" s="134">
        <v>26.96</v>
      </c>
      <c r="H61" s="134">
        <v>9.6199999999999992</v>
      </c>
      <c r="I61" s="134">
        <v>3.74</v>
      </c>
      <c r="J61" s="134">
        <v>0.63</v>
      </c>
      <c r="K61" s="134">
        <v>262.86</v>
      </c>
      <c r="L61" s="134">
        <v>30.92</v>
      </c>
      <c r="M61" s="134">
        <v>71.16</v>
      </c>
      <c r="N61" s="134">
        <v>443.5</v>
      </c>
      <c r="O61" s="134">
        <v>0</v>
      </c>
      <c r="P61" s="134">
        <v>0.47</v>
      </c>
      <c r="Q61" s="134">
        <v>4.0599999999999996</v>
      </c>
    </row>
    <row r="62" spans="1:17" customFormat="1">
      <c r="A62" s="112" t="s">
        <v>2307</v>
      </c>
      <c r="B62" s="134">
        <v>2</v>
      </c>
      <c r="C62" s="134">
        <v>13.66</v>
      </c>
      <c r="D62" s="134">
        <v>10.09</v>
      </c>
      <c r="E62" s="134">
        <v>2.71</v>
      </c>
      <c r="F62" s="134">
        <v>5.33</v>
      </c>
      <c r="G62" s="134">
        <v>26.96</v>
      </c>
      <c r="H62" s="134">
        <v>9.6199999999999992</v>
      </c>
      <c r="I62" s="134">
        <v>3.7</v>
      </c>
      <c r="J62" s="134">
        <v>0.78</v>
      </c>
      <c r="K62" s="134">
        <v>263.3</v>
      </c>
      <c r="L62" s="134">
        <v>31.53</v>
      </c>
      <c r="M62" s="134">
        <v>68.150000000000006</v>
      </c>
      <c r="N62" s="134">
        <v>659</v>
      </c>
      <c r="O62" s="134">
        <v>0</v>
      </c>
      <c r="P62" s="134">
        <v>0.45</v>
      </c>
      <c r="Q62" s="134">
        <v>4.03</v>
      </c>
    </row>
    <row r="63" spans="1:17" customFormat="1">
      <c r="A63" s="112" t="s">
        <v>2308</v>
      </c>
      <c r="B63" s="134">
        <v>2</v>
      </c>
      <c r="C63" s="134">
        <v>13.21</v>
      </c>
      <c r="D63" s="134">
        <v>9.86</v>
      </c>
      <c r="E63" s="134">
        <v>2.88</v>
      </c>
      <c r="F63" s="134">
        <v>7.03</v>
      </c>
      <c r="G63" s="134">
        <v>26.96</v>
      </c>
      <c r="H63" s="134">
        <v>9.6199999999999992</v>
      </c>
      <c r="I63" s="134">
        <v>3.6</v>
      </c>
      <c r="J63" s="134">
        <v>1.06</v>
      </c>
      <c r="K63" s="134">
        <v>269.64999999999998</v>
      </c>
      <c r="L63" s="134">
        <v>31.62</v>
      </c>
      <c r="M63" s="134">
        <v>67.27</v>
      </c>
      <c r="N63" s="134">
        <v>592.20000000000005</v>
      </c>
      <c r="O63" s="134">
        <v>0</v>
      </c>
      <c r="P63" s="134">
        <v>0.44</v>
      </c>
      <c r="Q63" s="134">
        <v>4.0199999999999996</v>
      </c>
    </row>
    <row r="64" spans="1:17" customFormat="1">
      <c r="A64" s="112" t="s">
        <v>2309</v>
      </c>
      <c r="B64" s="134">
        <v>2</v>
      </c>
      <c r="C64" s="134">
        <v>12.73</v>
      </c>
      <c r="D64" s="134">
        <v>9.61</v>
      </c>
      <c r="E64" s="134">
        <v>2.52</v>
      </c>
      <c r="F64" s="134">
        <v>7.24</v>
      </c>
      <c r="G64" s="134">
        <v>26.42</v>
      </c>
      <c r="H64" s="134">
        <v>9.5299999999999994</v>
      </c>
      <c r="I64" s="134">
        <v>3.44</v>
      </c>
      <c r="J64" s="134">
        <v>0.92</v>
      </c>
      <c r="K64" s="134">
        <v>266.02999999999997</v>
      </c>
      <c r="L64" s="134">
        <v>31.09</v>
      </c>
      <c r="M64" s="134">
        <v>70.010000000000005</v>
      </c>
      <c r="N64" s="134">
        <v>386.9</v>
      </c>
      <c r="O64" s="134">
        <v>0</v>
      </c>
      <c r="P64" s="134">
        <v>0.43</v>
      </c>
      <c r="Q64" s="134">
        <v>4.01</v>
      </c>
    </row>
    <row r="65" spans="1:17" customFormat="1">
      <c r="A65" s="112" t="s">
        <v>2310</v>
      </c>
      <c r="B65" s="134">
        <v>2</v>
      </c>
      <c r="C65" s="134">
        <v>12.1</v>
      </c>
      <c r="D65" s="134">
        <v>9.2799999999999994</v>
      </c>
      <c r="E65" s="134">
        <v>2.4500000000000002</v>
      </c>
      <c r="F65" s="134">
        <v>6.73</v>
      </c>
      <c r="G65" s="134">
        <v>22.07</v>
      </c>
      <c r="H65" s="134">
        <v>8.99</v>
      </c>
      <c r="I65" s="134">
        <v>3.4</v>
      </c>
      <c r="J65" s="134">
        <v>0.75</v>
      </c>
      <c r="K65" s="134">
        <v>266.61</v>
      </c>
      <c r="L65" s="134">
        <v>31.74</v>
      </c>
      <c r="M65" s="134">
        <v>69.23</v>
      </c>
      <c r="N65" s="134">
        <v>634.79999999999995</v>
      </c>
      <c r="O65" s="134">
        <v>0</v>
      </c>
      <c r="P65" s="134">
        <v>0.39</v>
      </c>
      <c r="Q65" s="134">
        <v>3.99</v>
      </c>
    </row>
    <row r="66" spans="1:17" customFormat="1">
      <c r="A66" s="112" t="s">
        <v>2311</v>
      </c>
      <c r="B66" s="134">
        <v>2.02</v>
      </c>
      <c r="C66" s="134">
        <v>12.58</v>
      </c>
      <c r="D66" s="134">
        <v>9.5399999999999991</v>
      </c>
      <c r="E66" s="134">
        <v>2.04</v>
      </c>
      <c r="F66" s="134">
        <v>6.07</v>
      </c>
      <c r="G66" s="134">
        <v>22.07</v>
      </c>
      <c r="H66" s="134">
        <v>8.99</v>
      </c>
      <c r="I66" s="134">
        <v>3.26</v>
      </c>
      <c r="J66" s="134">
        <v>0.92</v>
      </c>
      <c r="K66" s="134">
        <v>262.08999999999997</v>
      </c>
      <c r="L66" s="134">
        <v>31.63</v>
      </c>
      <c r="M66" s="134">
        <v>67.989999999999995</v>
      </c>
      <c r="N66" s="134">
        <v>541.9</v>
      </c>
      <c r="O66" s="134">
        <v>0</v>
      </c>
      <c r="P66" s="134">
        <v>0.41</v>
      </c>
      <c r="Q66" s="134">
        <v>3.98</v>
      </c>
    </row>
    <row r="67" spans="1:17" customFormat="1">
      <c r="A67" s="112" t="s">
        <v>2312</v>
      </c>
      <c r="B67" s="134">
        <v>2</v>
      </c>
      <c r="C67" s="134">
        <v>11.93</v>
      </c>
      <c r="D67" s="134">
        <v>9.19</v>
      </c>
      <c r="E67" s="134">
        <v>2.2599999999999998</v>
      </c>
      <c r="F67" s="134">
        <v>8.44</v>
      </c>
      <c r="G67" s="134">
        <v>22.07</v>
      </c>
      <c r="H67" s="134">
        <v>8.99</v>
      </c>
      <c r="I67" s="134">
        <v>3.15</v>
      </c>
      <c r="J67" s="134">
        <v>1.1399999999999999</v>
      </c>
      <c r="K67" s="134">
        <v>270.51</v>
      </c>
      <c r="L67" s="134">
        <v>31.77</v>
      </c>
      <c r="M67" s="134">
        <v>65.430000000000007</v>
      </c>
      <c r="N67" s="134">
        <v>608.6</v>
      </c>
      <c r="O67" s="134">
        <v>0</v>
      </c>
      <c r="P67" s="134">
        <v>0.39</v>
      </c>
      <c r="Q67" s="134">
        <v>3.95</v>
      </c>
    </row>
    <row r="68" spans="1:17" customFormat="1">
      <c r="A68" s="112" t="s">
        <v>2313</v>
      </c>
      <c r="B68" s="134">
        <v>2</v>
      </c>
      <c r="C68" s="134">
        <v>11.76</v>
      </c>
      <c r="D68" s="134">
        <v>9.1</v>
      </c>
      <c r="E68" s="134">
        <v>3.43</v>
      </c>
      <c r="F68" s="134">
        <v>7.77</v>
      </c>
      <c r="G68" s="134">
        <v>22.14</v>
      </c>
      <c r="H68" s="134">
        <v>8.7899999999999991</v>
      </c>
      <c r="I68" s="134">
        <v>3.14</v>
      </c>
      <c r="J68" s="134">
        <v>1.0900000000000001</v>
      </c>
      <c r="K68" s="134">
        <v>272.56</v>
      </c>
      <c r="L68" s="134">
        <v>31.24</v>
      </c>
      <c r="M68" s="134">
        <v>66.52</v>
      </c>
      <c r="N68" s="134">
        <v>334.8</v>
      </c>
      <c r="O68" s="134">
        <v>0</v>
      </c>
      <c r="P68" s="134">
        <v>0.39</v>
      </c>
      <c r="Q68" s="134">
        <v>3.93</v>
      </c>
    </row>
    <row r="69" spans="1:17" customFormat="1">
      <c r="A69" s="112" t="s">
        <v>2314</v>
      </c>
      <c r="B69" s="134">
        <v>2.02</v>
      </c>
      <c r="C69" s="134">
        <v>12.62</v>
      </c>
      <c r="D69" s="134">
        <v>9.56</v>
      </c>
      <c r="E69" s="134">
        <v>5.71</v>
      </c>
      <c r="F69" s="134">
        <v>8.3699999999999992</v>
      </c>
      <c r="G69" s="134">
        <v>22.75</v>
      </c>
      <c r="H69" s="134">
        <v>7.57</v>
      </c>
      <c r="I69" s="134">
        <v>2.99</v>
      </c>
      <c r="J69" s="134">
        <v>0.93</v>
      </c>
      <c r="K69" s="134">
        <v>281.17</v>
      </c>
      <c r="L69" s="134">
        <v>30.99</v>
      </c>
      <c r="M69" s="134">
        <v>68.540000000000006</v>
      </c>
      <c r="N69" s="134">
        <v>280.89999999999998</v>
      </c>
      <c r="O69" s="134">
        <v>0</v>
      </c>
      <c r="P69" s="134">
        <v>0.39</v>
      </c>
      <c r="Q69" s="134">
        <v>3.94</v>
      </c>
    </row>
    <row r="70" spans="1:17" customFormat="1">
      <c r="A70" s="112" t="s">
        <v>2315</v>
      </c>
      <c r="B70" s="134">
        <v>2.04</v>
      </c>
      <c r="C70" s="134">
        <v>13.11</v>
      </c>
      <c r="D70" s="134">
        <v>9.83</v>
      </c>
      <c r="E70" s="134">
        <v>5.65</v>
      </c>
      <c r="F70" s="134">
        <v>7.11</v>
      </c>
      <c r="G70" s="134">
        <v>22.75</v>
      </c>
      <c r="H70" s="134">
        <v>7.57</v>
      </c>
      <c r="I70" s="134">
        <v>3.07</v>
      </c>
      <c r="J70" s="134">
        <v>0.99</v>
      </c>
      <c r="K70" s="134">
        <v>269.39999999999998</v>
      </c>
      <c r="L70" s="134">
        <v>30.77</v>
      </c>
      <c r="M70" s="134">
        <v>68.349999999999994</v>
      </c>
      <c r="N70" s="134">
        <v>227.2</v>
      </c>
      <c r="O70" s="134">
        <v>0</v>
      </c>
      <c r="P70" s="134">
        <v>0.39</v>
      </c>
      <c r="Q70" s="134">
        <v>3.94</v>
      </c>
    </row>
    <row r="71" spans="1:17" customFormat="1">
      <c r="A71" s="112" t="s">
        <v>2316</v>
      </c>
      <c r="B71" s="134">
        <v>2.02</v>
      </c>
      <c r="C71" s="134">
        <v>12.64</v>
      </c>
      <c r="D71" s="134">
        <v>9.58</v>
      </c>
      <c r="E71" s="134">
        <v>10.35</v>
      </c>
      <c r="F71" s="134">
        <v>18.399999999999999</v>
      </c>
      <c r="G71" s="134">
        <v>22.75</v>
      </c>
      <c r="H71" s="134">
        <v>7.57</v>
      </c>
      <c r="I71" s="134">
        <v>3.36</v>
      </c>
      <c r="J71" s="134">
        <v>0.8</v>
      </c>
      <c r="K71" s="134">
        <v>273.64999999999998</v>
      </c>
      <c r="L71" s="134">
        <v>30.39</v>
      </c>
      <c r="M71" s="134">
        <v>70.14</v>
      </c>
      <c r="N71" s="134">
        <v>155.1</v>
      </c>
      <c r="O71" s="134">
        <v>0</v>
      </c>
      <c r="P71" s="134">
        <v>0.42</v>
      </c>
      <c r="Q71" s="134">
        <v>4.0199999999999996</v>
      </c>
    </row>
    <row r="72" spans="1:17" customFormat="1">
      <c r="A72" s="112" t="s">
        <v>2317</v>
      </c>
      <c r="B72" s="134">
        <v>2</v>
      </c>
      <c r="C72" s="134">
        <v>10.52</v>
      </c>
      <c r="D72" s="134">
        <v>8.4499999999999993</v>
      </c>
      <c r="E72" s="134">
        <v>12.64</v>
      </c>
      <c r="F72" s="134">
        <v>17.95</v>
      </c>
      <c r="G72" s="134">
        <v>23.43</v>
      </c>
      <c r="H72" s="134">
        <v>8.4499999999999993</v>
      </c>
      <c r="I72" s="134">
        <v>3.61</v>
      </c>
      <c r="J72" s="134">
        <v>0.99</v>
      </c>
      <c r="K72" s="134">
        <v>270.33</v>
      </c>
      <c r="L72" s="134">
        <v>30.6</v>
      </c>
      <c r="M72" s="134">
        <v>69.400000000000006</v>
      </c>
      <c r="N72" s="134">
        <v>283.2</v>
      </c>
      <c r="O72" s="134">
        <v>0</v>
      </c>
      <c r="P72" s="134">
        <v>0.45</v>
      </c>
      <c r="Q72" s="134">
        <v>4.04</v>
      </c>
    </row>
    <row r="73" spans="1:17" customFormat="1">
      <c r="A73" s="112" t="s">
        <v>2318</v>
      </c>
      <c r="B73" s="134">
        <v>2</v>
      </c>
      <c r="C73" s="134">
        <v>11.13</v>
      </c>
      <c r="D73" s="134">
        <v>8.77</v>
      </c>
      <c r="E73" s="134">
        <v>8.27</v>
      </c>
      <c r="F73" s="134">
        <v>10.27</v>
      </c>
      <c r="G73" s="134">
        <v>28.83</v>
      </c>
      <c r="H73" s="134">
        <v>14.02</v>
      </c>
      <c r="I73" s="134">
        <v>3.73</v>
      </c>
      <c r="J73" s="134">
        <v>1.02</v>
      </c>
      <c r="K73" s="134">
        <v>268.56</v>
      </c>
      <c r="L73" s="134">
        <v>30.7</v>
      </c>
      <c r="M73" s="134">
        <v>69.45</v>
      </c>
      <c r="N73" s="134">
        <v>269.10000000000002</v>
      </c>
      <c r="O73" s="134">
        <v>0</v>
      </c>
      <c r="P73" s="134">
        <v>0.45</v>
      </c>
      <c r="Q73" s="134">
        <v>3.96</v>
      </c>
    </row>
    <row r="74" spans="1:17" customFormat="1">
      <c r="A74" s="112" t="s">
        <v>2319</v>
      </c>
      <c r="B74" s="134">
        <v>2</v>
      </c>
      <c r="C74" s="134">
        <v>12.97</v>
      </c>
      <c r="D74" s="134">
        <v>9.73</v>
      </c>
      <c r="E74" s="134">
        <v>7.71</v>
      </c>
      <c r="F74" s="134">
        <v>8.2899999999999991</v>
      </c>
      <c r="G74" s="134">
        <v>28.83</v>
      </c>
      <c r="H74" s="134">
        <v>14.02</v>
      </c>
      <c r="I74" s="134">
        <v>3.53</v>
      </c>
      <c r="J74" s="134">
        <v>0.79</v>
      </c>
      <c r="K74" s="134">
        <v>287.32</v>
      </c>
      <c r="L74" s="134">
        <v>30.72</v>
      </c>
      <c r="M74" s="134">
        <v>68.62</v>
      </c>
      <c r="N74" s="134">
        <v>159.30000000000001</v>
      </c>
      <c r="O74" s="134">
        <v>0</v>
      </c>
      <c r="P74" s="134">
        <v>0.45</v>
      </c>
      <c r="Q74" s="134">
        <v>3.95</v>
      </c>
    </row>
    <row r="75" spans="1:17" customFormat="1">
      <c r="A75" s="112" t="s">
        <v>2320</v>
      </c>
      <c r="B75" s="134">
        <v>2.0699999999999998</v>
      </c>
      <c r="C75" s="134">
        <v>13.18</v>
      </c>
      <c r="D75" s="134">
        <v>9.9</v>
      </c>
      <c r="E75" s="134">
        <v>5.29</v>
      </c>
      <c r="F75" s="134">
        <v>7.87</v>
      </c>
      <c r="G75" s="134">
        <v>28.83</v>
      </c>
      <c r="H75" s="134">
        <v>14.02</v>
      </c>
      <c r="I75" s="134">
        <v>4.3</v>
      </c>
      <c r="J75" s="134">
        <v>0.79</v>
      </c>
      <c r="K75" s="134">
        <v>267.79000000000002</v>
      </c>
      <c r="L75" s="134">
        <v>30.39</v>
      </c>
      <c r="M75" s="134">
        <v>69.45</v>
      </c>
      <c r="N75" s="134">
        <v>131</v>
      </c>
      <c r="O75" s="134">
        <v>0</v>
      </c>
      <c r="P75" s="134">
        <v>0.44</v>
      </c>
      <c r="Q75" s="134">
        <v>3.95</v>
      </c>
    </row>
    <row r="76" spans="1:17" customFormat="1">
      <c r="A76" s="112" t="s">
        <v>2321</v>
      </c>
      <c r="B76" s="134">
        <v>2.09</v>
      </c>
      <c r="C76" s="134">
        <v>14.58</v>
      </c>
      <c r="D76" s="134">
        <v>10.64</v>
      </c>
      <c r="E76" s="134">
        <v>2.78</v>
      </c>
      <c r="F76" s="134">
        <v>4.2699999999999996</v>
      </c>
      <c r="G76" s="134">
        <v>28.85</v>
      </c>
      <c r="H76" s="134">
        <v>13.39</v>
      </c>
      <c r="I76" s="134">
        <v>4.57</v>
      </c>
      <c r="J76" s="134">
        <v>0.8</v>
      </c>
      <c r="K76" s="134">
        <v>271.38</v>
      </c>
      <c r="L76" s="134">
        <v>30.24</v>
      </c>
      <c r="M76" s="134">
        <v>69.349999999999994</v>
      </c>
      <c r="N76" s="134">
        <v>77.900000000000006</v>
      </c>
      <c r="O76" s="134">
        <v>0</v>
      </c>
      <c r="P76" s="134">
        <v>0.47</v>
      </c>
      <c r="Q76" s="134">
        <v>4</v>
      </c>
    </row>
    <row r="77" spans="1:17" customFormat="1">
      <c r="A77" s="112" t="s">
        <v>2322</v>
      </c>
      <c r="B77" s="134">
        <v>2</v>
      </c>
      <c r="C77" s="134">
        <v>16.32</v>
      </c>
      <c r="D77" s="134">
        <v>11.48</v>
      </c>
      <c r="E77" s="134">
        <v>3.11</v>
      </c>
      <c r="F77" s="134">
        <v>3.97</v>
      </c>
      <c r="G77" s="134">
        <v>29.01</v>
      </c>
      <c r="H77" s="134">
        <v>9.8000000000000007</v>
      </c>
      <c r="I77" s="134">
        <v>4.58</v>
      </c>
      <c r="J77" s="134">
        <v>0.9</v>
      </c>
      <c r="K77" s="134">
        <v>270.11</v>
      </c>
      <c r="L77" s="134">
        <v>29.87</v>
      </c>
      <c r="M77" s="134">
        <v>69.06</v>
      </c>
      <c r="N77" s="134">
        <v>61.5</v>
      </c>
      <c r="O77" s="134">
        <v>0</v>
      </c>
      <c r="P77" s="134">
        <v>0.51</v>
      </c>
      <c r="Q77" s="134">
        <v>4.09</v>
      </c>
    </row>
    <row r="78" spans="1:17" customFormat="1">
      <c r="A78" s="112" t="s">
        <v>2323</v>
      </c>
      <c r="B78" s="134">
        <v>2.2000000000000002</v>
      </c>
      <c r="C78" s="134">
        <v>16.149999999999999</v>
      </c>
      <c r="D78" s="134">
        <v>11.55</v>
      </c>
      <c r="E78" s="134">
        <v>2.76</v>
      </c>
      <c r="F78" s="134">
        <v>4.37</v>
      </c>
      <c r="G78" s="134">
        <v>29.01</v>
      </c>
      <c r="H78" s="134">
        <v>9.8000000000000007</v>
      </c>
      <c r="I78" s="134">
        <v>4.62</v>
      </c>
      <c r="J78" s="134">
        <v>0.95</v>
      </c>
      <c r="K78" s="134">
        <v>270.83999999999997</v>
      </c>
      <c r="L78" s="134">
        <v>29.57</v>
      </c>
      <c r="M78" s="134">
        <v>69.97</v>
      </c>
      <c r="N78" s="134">
        <v>40.700000000000003</v>
      </c>
      <c r="O78" s="134">
        <v>0</v>
      </c>
      <c r="P78" s="134">
        <v>0.5</v>
      </c>
      <c r="Q78" s="134">
        <v>4.1100000000000003</v>
      </c>
    </row>
    <row r="79" spans="1:17" customFormat="1">
      <c r="A79" s="112" t="s">
        <v>2324</v>
      </c>
      <c r="B79" s="134">
        <v>2.5299999999999998</v>
      </c>
      <c r="C79" s="134">
        <v>14.61</v>
      </c>
      <c r="D79" s="134">
        <v>11.01</v>
      </c>
      <c r="E79" s="134">
        <v>3.4</v>
      </c>
      <c r="F79" s="134">
        <v>7.43</v>
      </c>
      <c r="G79" s="134">
        <v>29.01</v>
      </c>
      <c r="H79" s="134">
        <v>9.8000000000000007</v>
      </c>
      <c r="I79" s="134">
        <v>4.6399999999999997</v>
      </c>
      <c r="J79" s="134">
        <v>0.77</v>
      </c>
      <c r="K79" s="134">
        <v>264.16000000000003</v>
      </c>
      <c r="L79" s="134">
        <v>29.36</v>
      </c>
      <c r="M79" s="134">
        <v>71.400000000000006</v>
      </c>
      <c r="N79" s="134">
        <v>25.3</v>
      </c>
      <c r="O79" s="134">
        <v>0</v>
      </c>
      <c r="P79" s="134">
        <v>0.46</v>
      </c>
      <c r="Q79" s="134">
        <v>4.0599999999999996</v>
      </c>
    </row>
    <row r="80" spans="1:17" customFormat="1">
      <c r="A80" s="112" t="s">
        <v>2325</v>
      </c>
      <c r="B80" s="134">
        <v>2.82</v>
      </c>
      <c r="C80" s="134">
        <v>13.52</v>
      </c>
      <c r="D80" s="134">
        <v>10.67</v>
      </c>
      <c r="E80" s="134">
        <v>5.43</v>
      </c>
      <c r="F80" s="134">
        <v>11.61</v>
      </c>
      <c r="G80" s="134">
        <v>29.42</v>
      </c>
      <c r="H80" s="134">
        <v>9.8699999999999992</v>
      </c>
      <c r="I80" s="134">
        <v>4.58</v>
      </c>
      <c r="J80" s="134">
        <v>0.63</v>
      </c>
      <c r="K80" s="134">
        <v>264.36</v>
      </c>
      <c r="L80" s="134">
        <v>29.28</v>
      </c>
      <c r="M80" s="134">
        <v>72.63</v>
      </c>
      <c r="N80" s="134">
        <v>12.6</v>
      </c>
      <c r="O80" s="134">
        <v>0</v>
      </c>
      <c r="P80" s="134">
        <v>0.47</v>
      </c>
      <c r="Q80" s="134">
        <v>4.05</v>
      </c>
    </row>
    <row r="81" spans="1:17" customFormat="1">
      <c r="A81" s="112" t="s">
        <v>2326</v>
      </c>
      <c r="B81" s="134">
        <v>3.3</v>
      </c>
      <c r="C81" s="134">
        <v>14.01</v>
      </c>
      <c r="D81" s="134">
        <v>11.32</v>
      </c>
      <c r="E81" s="134">
        <v>5.36</v>
      </c>
      <c r="F81" s="134">
        <v>6.51</v>
      </c>
      <c r="G81" s="134">
        <v>32.76</v>
      </c>
      <c r="H81" s="134">
        <v>10.3</v>
      </c>
      <c r="I81" s="134">
        <v>4.46</v>
      </c>
      <c r="J81" s="134">
        <v>0.57999999999999996</v>
      </c>
      <c r="K81" s="134">
        <v>264.35000000000002</v>
      </c>
      <c r="L81" s="134">
        <v>28.99</v>
      </c>
      <c r="M81" s="134">
        <v>74</v>
      </c>
      <c r="N81" s="134">
        <v>1.6</v>
      </c>
      <c r="O81" s="134">
        <v>0</v>
      </c>
      <c r="P81" s="134">
        <v>0.46</v>
      </c>
      <c r="Q81" s="134">
        <v>4.09</v>
      </c>
    </row>
    <row r="82" spans="1:17" customFormat="1">
      <c r="A82" s="112" t="s">
        <v>2327</v>
      </c>
      <c r="B82" s="134">
        <v>3.88</v>
      </c>
      <c r="C82" s="134">
        <v>15.8</v>
      </c>
      <c r="D82" s="134">
        <v>12.72</v>
      </c>
      <c r="E82" s="134">
        <v>5.7</v>
      </c>
      <c r="F82" s="134">
        <v>4.57</v>
      </c>
      <c r="G82" s="134">
        <v>32.76</v>
      </c>
      <c r="H82" s="134">
        <v>10.3</v>
      </c>
      <c r="I82" s="134">
        <v>4.8600000000000003</v>
      </c>
      <c r="J82" s="134">
        <v>0.52</v>
      </c>
      <c r="K82" s="134">
        <v>257.43</v>
      </c>
      <c r="L82" s="134">
        <v>28.69</v>
      </c>
      <c r="M82" s="134">
        <v>75.16</v>
      </c>
      <c r="N82" s="134">
        <v>0</v>
      </c>
      <c r="O82" s="134">
        <v>0</v>
      </c>
      <c r="P82" s="134">
        <v>0.48</v>
      </c>
      <c r="Q82" s="134">
        <v>4.17</v>
      </c>
    </row>
    <row r="83" spans="1:17" customFormat="1">
      <c r="A83" s="112" t="s">
        <v>2328</v>
      </c>
      <c r="B83" s="134">
        <v>4.24</v>
      </c>
      <c r="C83" s="134">
        <v>15.15</v>
      </c>
      <c r="D83" s="134">
        <v>12.67</v>
      </c>
      <c r="E83" s="134">
        <v>5.61</v>
      </c>
      <c r="F83" s="134">
        <v>5.62</v>
      </c>
      <c r="G83" s="134">
        <v>32.76</v>
      </c>
      <c r="H83" s="134">
        <v>10.3</v>
      </c>
      <c r="I83" s="134">
        <v>5.36</v>
      </c>
      <c r="J83" s="134">
        <v>0.25</v>
      </c>
      <c r="K83" s="134">
        <v>239.15</v>
      </c>
      <c r="L83" s="134">
        <v>28.49</v>
      </c>
      <c r="M83" s="134">
        <v>76.569999999999993</v>
      </c>
      <c r="N83" s="134">
        <v>0</v>
      </c>
      <c r="O83" s="134">
        <v>0</v>
      </c>
      <c r="P83" s="134">
        <v>0.49</v>
      </c>
      <c r="Q83" s="134">
        <v>4.1500000000000004</v>
      </c>
    </row>
    <row r="84" spans="1:17" customFormat="1">
      <c r="A84" s="112" t="s">
        <v>2329</v>
      </c>
      <c r="B84" s="134">
        <v>4.3099999999999996</v>
      </c>
      <c r="C84" s="134">
        <v>13.87</v>
      </c>
      <c r="D84" s="134">
        <v>12.05</v>
      </c>
      <c r="E84" s="134">
        <v>6.31</v>
      </c>
      <c r="F84" s="134">
        <v>9.65</v>
      </c>
      <c r="G84" s="134">
        <v>32.56</v>
      </c>
      <c r="H84" s="134">
        <v>10.09</v>
      </c>
      <c r="I84" s="134">
        <v>4.97</v>
      </c>
      <c r="J84" s="134">
        <v>0.17</v>
      </c>
      <c r="K84" s="134">
        <v>227.17</v>
      </c>
      <c r="L84" s="134">
        <v>28.32</v>
      </c>
      <c r="M84" s="134">
        <v>77.69</v>
      </c>
      <c r="N84" s="134">
        <v>0</v>
      </c>
      <c r="O84" s="134">
        <v>0</v>
      </c>
      <c r="P84" s="134">
        <v>0.47</v>
      </c>
      <c r="Q84" s="134">
        <v>4.13</v>
      </c>
    </row>
    <row r="85" spans="1:17" customFormat="1">
      <c r="A85" s="112" t="s">
        <v>2330</v>
      </c>
      <c r="B85" s="134">
        <v>4.6500000000000004</v>
      </c>
      <c r="C85" s="134">
        <v>12.96</v>
      </c>
      <c r="D85" s="134">
        <v>11.85</v>
      </c>
      <c r="E85" s="134">
        <v>5.48</v>
      </c>
      <c r="F85" s="134">
        <v>9.7899999999999991</v>
      </c>
      <c r="G85" s="134">
        <v>30.97</v>
      </c>
      <c r="H85" s="134">
        <v>8.73</v>
      </c>
      <c r="I85" s="134">
        <v>4.87</v>
      </c>
      <c r="J85" s="134">
        <v>0.33</v>
      </c>
      <c r="K85" s="134">
        <v>250.76</v>
      </c>
      <c r="L85" s="134">
        <v>28.04</v>
      </c>
      <c r="M85" s="134">
        <v>79.77</v>
      </c>
      <c r="N85" s="134">
        <v>0</v>
      </c>
      <c r="O85" s="134">
        <v>0</v>
      </c>
      <c r="P85" s="134">
        <v>0.44</v>
      </c>
      <c r="Q85" s="134">
        <v>4.1500000000000004</v>
      </c>
    </row>
    <row r="86" spans="1:17" customFormat="1">
      <c r="A86" s="112" t="s">
        <v>2331</v>
      </c>
      <c r="B86" s="134">
        <v>4.9800000000000004</v>
      </c>
      <c r="C86" s="134">
        <v>12.74</v>
      </c>
      <c r="D86" s="134">
        <v>12</v>
      </c>
      <c r="E86" s="134">
        <v>5.31</v>
      </c>
      <c r="F86" s="134">
        <v>9.3800000000000008</v>
      </c>
      <c r="G86" s="134">
        <v>30.97</v>
      </c>
      <c r="H86" s="134">
        <v>8.73</v>
      </c>
      <c r="I86" s="134">
        <v>4.6500000000000004</v>
      </c>
      <c r="J86" s="134">
        <v>0.42</v>
      </c>
      <c r="K86" s="134">
        <v>261.54000000000002</v>
      </c>
      <c r="L86" s="134">
        <v>28.03</v>
      </c>
      <c r="M86" s="134">
        <v>78.87</v>
      </c>
      <c r="N86" s="134">
        <v>0</v>
      </c>
      <c r="O86" s="134">
        <v>0</v>
      </c>
      <c r="P86" s="134">
        <v>0.44</v>
      </c>
      <c r="Q86" s="134">
        <v>4.12</v>
      </c>
    </row>
    <row r="87" spans="1:17" customFormat="1">
      <c r="A87" s="112" t="s">
        <v>2332</v>
      </c>
      <c r="B87" s="134">
        <v>5.09</v>
      </c>
      <c r="C87" s="134">
        <v>12.02</v>
      </c>
      <c r="D87" s="134">
        <v>11.71</v>
      </c>
      <c r="E87" s="134">
        <v>5.91</v>
      </c>
      <c r="F87" s="134">
        <v>11.76</v>
      </c>
      <c r="G87" s="134">
        <v>30.97</v>
      </c>
      <c r="H87" s="134">
        <v>8.73</v>
      </c>
      <c r="I87" s="134">
        <v>4.43</v>
      </c>
      <c r="J87" s="134">
        <v>0.11</v>
      </c>
      <c r="K87" s="134">
        <v>185.99</v>
      </c>
      <c r="L87" s="134">
        <v>27.7</v>
      </c>
      <c r="M87" s="134">
        <v>82.16</v>
      </c>
      <c r="N87" s="134">
        <v>0</v>
      </c>
      <c r="O87" s="134">
        <v>0</v>
      </c>
      <c r="P87" s="134">
        <v>0.43</v>
      </c>
      <c r="Q87" s="134">
        <v>4.13</v>
      </c>
    </row>
    <row r="88" spans="1:17" customFormat="1">
      <c r="A88" s="112" t="s">
        <v>2333</v>
      </c>
      <c r="B88" s="134">
        <v>5.17</v>
      </c>
      <c r="C88" s="134">
        <v>11.23</v>
      </c>
      <c r="D88" s="134">
        <v>11.36</v>
      </c>
      <c r="E88" s="134">
        <v>5.9</v>
      </c>
      <c r="F88" s="134">
        <v>13.52</v>
      </c>
      <c r="G88" s="134">
        <v>30.57</v>
      </c>
      <c r="H88" s="134">
        <v>8.99</v>
      </c>
      <c r="I88" s="134">
        <v>4.3499999999999996</v>
      </c>
      <c r="J88" s="134">
        <v>0.1</v>
      </c>
      <c r="K88" s="134">
        <v>158.07</v>
      </c>
      <c r="L88" s="134">
        <v>27.4</v>
      </c>
      <c r="M88" s="134">
        <v>85.17</v>
      </c>
      <c r="N88" s="134">
        <v>0</v>
      </c>
      <c r="O88" s="134">
        <v>0</v>
      </c>
      <c r="P88" s="134">
        <v>0.42</v>
      </c>
      <c r="Q88" s="134">
        <v>4.13</v>
      </c>
    </row>
    <row r="89" spans="1:17" customFormat="1">
      <c r="A89" s="112" t="s">
        <v>2334</v>
      </c>
      <c r="B89" s="134">
        <v>5.45</v>
      </c>
      <c r="C89" s="134">
        <v>12.57</v>
      </c>
      <c r="D89" s="134">
        <v>12.29</v>
      </c>
      <c r="E89" s="134">
        <v>5.67</v>
      </c>
      <c r="F89" s="134">
        <v>6.79</v>
      </c>
      <c r="G89" s="134">
        <v>27.37</v>
      </c>
      <c r="H89" s="134">
        <v>10.52</v>
      </c>
      <c r="I89" s="134">
        <v>4.07</v>
      </c>
      <c r="J89" s="134">
        <v>0.14000000000000001</v>
      </c>
      <c r="K89" s="134">
        <v>159.19999999999999</v>
      </c>
      <c r="L89" s="134">
        <v>27.36</v>
      </c>
      <c r="M89" s="134">
        <v>85.14</v>
      </c>
      <c r="N89" s="134">
        <v>0</v>
      </c>
      <c r="O89" s="134">
        <v>0</v>
      </c>
      <c r="P89" s="134">
        <v>0.44</v>
      </c>
      <c r="Q89" s="134">
        <v>4.1500000000000004</v>
      </c>
    </row>
    <row r="90" spans="1:17" customFormat="1">
      <c r="A90" s="112" t="s">
        <v>2335</v>
      </c>
      <c r="B90" s="134">
        <v>5.99</v>
      </c>
      <c r="C90" s="134">
        <v>15.17</v>
      </c>
      <c r="D90" s="134">
        <v>14.08</v>
      </c>
      <c r="E90" s="134">
        <v>5.9</v>
      </c>
      <c r="F90" s="134">
        <v>5.45</v>
      </c>
      <c r="G90" s="134">
        <v>27.37</v>
      </c>
      <c r="H90" s="134">
        <v>10.52</v>
      </c>
      <c r="I90" s="134">
        <v>4.01</v>
      </c>
      <c r="J90" s="134">
        <v>0.13</v>
      </c>
      <c r="K90" s="134">
        <v>174.94</v>
      </c>
      <c r="L90" s="134">
        <v>27.21</v>
      </c>
      <c r="M90" s="134">
        <v>86</v>
      </c>
      <c r="N90" s="134">
        <v>0</v>
      </c>
      <c r="O90" s="134">
        <v>0</v>
      </c>
      <c r="P90" s="134">
        <v>0.47</v>
      </c>
      <c r="Q90" s="134">
        <v>4.25</v>
      </c>
    </row>
    <row r="91" spans="1:17" customFormat="1">
      <c r="A91" s="112" t="s">
        <v>2336</v>
      </c>
      <c r="B91" s="134">
        <v>6.35</v>
      </c>
      <c r="C91" s="134">
        <v>13.62</v>
      </c>
      <c r="D91" s="134">
        <v>13.56</v>
      </c>
      <c r="E91" s="134">
        <v>5.92</v>
      </c>
      <c r="F91" s="134">
        <v>7.42</v>
      </c>
      <c r="G91" s="134">
        <v>27.37</v>
      </c>
      <c r="H91" s="134">
        <v>10.52</v>
      </c>
      <c r="I91" s="134">
        <v>4.24</v>
      </c>
      <c r="J91" s="134">
        <v>0.12</v>
      </c>
      <c r="K91" s="134">
        <v>168.09</v>
      </c>
      <c r="L91" s="134">
        <v>27.17</v>
      </c>
      <c r="M91" s="134">
        <v>87.28</v>
      </c>
      <c r="N91" s="134">
        <v>0</v>
      </c>
      <c r="O91" s="134">
        <v>0</v>
      </c>
      <c r="P91" s="134">
        <v>0.46</v>
      </c>
      <c r="Q91" s="134">
        <v>4.25</v>
      </c>
    </row>
    <row r="92" spans="1:17" customFormat="1">
      <c r="A92" s="112" t="s">
        <v>2337</v>
      </c>
      <c r="B92" s="134">
        <v>6.19</v>
      </c>
      <c r="C92" s="134">
        <v>12.24</v>
      </c>
      <c r="D92" s="134">
        <v>12.71</v>
      </c>
      <c r="E92" s="134">
        <v>5.62</v>
      </c>
      <c r="F92" s="134">
        <v>9.85</v>
      </c>
      <c r="G92" s="134">
        <v>26.82</v>
      </c>
      <c r="H92" s="134">
        <v>10.32</v>
      </c>
      <c r="I92" s="134">
        <v>4.3600000000000003</v>
      </c>
      <c r="J92" s="134">
        <v>0.1</v>
      </c>
      <c r="K92" s="134">
        <v>182.88</v>
      </c>
      <c r="L92" s="134">
        <v>27</v>
      </c>
      <c r="M92" s="134">
        <v>88.36</v>
      </c>
      <c r="N92" s="134">
        <v>0</v>
      </c>
      <c r="O92" s="134">
        <v>0</v>
      </c>
      <c r="P92" s="134">
        <v>0.44</v>
      </c>
      <c r="Q92" s="134">
        <v>4.2300000000000004</v>
      </c>
    </row>
    <row r="93" spans="1:17" customFormat="1">
      <c r="A93" s="112" t="s">
        <v>2338</v>
      </c>
      <c r="B93" s="134">
        <v>6.19</v>
      </c>
      <c r="C93" s="134">
        <v>11.5</v>
      </c>
      <c r="D93" s="134">
        <v>12.32</v>
      </c>
      <c r="E93" s="134">
        <v>6.45</v>
      </c>
      <c r="F93" s="134">
        <v>10.54</v>
      </c>
      <c r="G93" s="134">
        <v>22.39</v>
      </c>
      <c r="H93" s="134">
        <v>9.1300000000000008</v>
      </c>
      <c r="I93" s="134">
        <v>4.09</v>
      </c>
      <c r="J93" s="134">
        <v>0.18</v>
      </c>
      <c r="K93" s="134">
        <v>262.10000000000002</v>
      </c>
      <c r="L93" s="134">
        <v>27.09</v>
      </c>
      <c r="M93" s="134">
        <v>87.29</v>
      </c>
      <c r="N93" s="134">
        <v>0</v>
      </c>
      <c r="O93" s="134">
        <v>0</v>
      </c>
      <c r="P93" s="134">
        <v>0.42</v>
      </c>
      <c r="Q93" s="134">
        <v>4.22</v>
      </c>
    </row>
    <row r="94" spans="1:17" customFormat="1">
      <c r="A94" s="112" t="s">
        <v>2339</v>
      </c>
      <c r="B94" s="134">
        <v>6.63</v>
      </c>
      <c r="C94" s="134">
        <v>12.83</v>
      </c>
      <c r="D94" s="134">
        <v>13.37</v>
      </c>
      <c r="E94" s="134">
        <v>6.03</v>
      </c>
      <c r="F94" s="134">
        <v>6.67</v>
      </c>
      <c r="G94" s="134">
        <v>22.39</v>
      </c>
      <c r="H94" s="134">
        <v>9.1300000000000008</v>
      </c>
      <c r="I94" s="134">
        <v>3.87</v>
      </c>
      <c r="J94" s="134">
        <v>0.24</v>
      </c>
      <c r="K94" s="134">
        <v>256.57</v>
      </c>
      <c r="L94" s="134">
        <v>27.17</v>
      </c>
      <c r="M94" s="134">
        <v>86.28</v>
      </c>
      <c r="N94" s="134">
        <v>0</v>
      </c>
      <c r="O94" s="134">
        <v>0</v>
      </c>
      <c r="P94" s="134">
        <v>0.43</v>
      </c>
      <c r="Q94" s="134">
        <v>4.21</v>
      </c>
    </row>
    <row r="95" spans="1:17" customFormat="1">
      <c r="A95" s="112" t="s">
        <v>2340</v>
      </c>
      <c r="B95" s="134">
        <v>6.97</v>
      </c>
      <c r="C95" s="134">
        <v>15.52</v>
      </c>
      <c r="D95" s="134">
        <v>15.05</v>
      </c>
      <c r="E95" s="134">
        <v>6.23</v>
      </c>
      <c r="F95" s="134">
        <v>4.4000000000000004</v>
      </c>
      <c r="G95" s="134">
        <v>22.39</v>
      </c>
      <c r="H95" s="134">
        <v>9.1300000000000008</v>
      </c>
      <c r="I95" s="134">
        <v>3.83</v>
      </c>
      <c r="J95" s="134">
        <v>0.11</v>
      </c>
      <c r="K95" s="134">
        <v>210.12</v>
      </c>
      <c r="L95" s="134">
        <v>27.12</v>
      </c>
      <c r="M95" s="134">
        <v>87.4</v>
      </c>
      <c r="N95" s="134">
        <v>0</v>
      </c>
      <c r="O95" s="134">
        <v>0</v>
      </c>
      <c r="P95" s="134">
        <v>0.47</v>
      </c>
      <c r="Q95" s="134">
        <v>4.3</v>
      </c>
    </row>
    <row r="96" spans="1:17" customFormat="1">
      <c r="A96" s="112" t="s">
        <v>2341</v>
      </c>
      <c r="B96" s="134">
        <v>7.34</v>
      </c>
      <c r="C96" s="134">
        <v>14.23</v>
      </c>
      <c r="D96" s="134">
        <v>14.67</v>
      </c>
      <c r="E96" s="134">
        <v>5.82</v>
      </c>
      <c r="F96" s="134">
        <v>5.35</v>
      </c>
      <c r="G96" s="134">
        <v>22.37</v>
      </c>
      <c r="H96" s="134">
        <v>9.01</v>
      </c>
      <c r="I96" s="134">
        <v>4.13</v>
      </c>
      <c r="J96" s="134">
        <v>0.28000000000000003</v>
      </c>
      <c r="K96" s="134">
        <v>269.31</v>
      </c>
      <c r="L96" s="134">
        <v>27.12</v>
      </c>
      <c r="M96" s="134">
        <v>86.85</v>
      </c>
      <c r="N96" s="134">
        <v>0</v>
      </c>
      <c r="O96" s="134">
        <v>0</v>
      </c>
      <c r="P96" s="134">
        <v>0.47</v>
      </c>
      <c r="Q96" s="134">
        <v>4.28</v>
      </c>
    </row>
    <row r="97" spans="1:22" customFormat="1">
      <c r="A97" s="112" t="s">
        <v>2342</v>
      </c>
      <c r="B97" s="134">
        <v>7.35</v>
      </c>
      <c r="C97" s="134">
        <v>15.48</v>
      </c>
      <c r="D97" s="134">
        <v>15.34</v>
      </c>
      <c r="E97" s="134">
        <v>5.57</v>
      </c>
      <c r="F97" s="134">
        <v>3.76</v>
      </c>
      <c r="G97" s="134">
        <v>22.15</v>
      </c>
      <c r="H97" s="134">
        <v>8.25</v>
      </c>
      <c r="I97" s="134">
        <v>4.28</v>
      </c>
      <c r="J97" s="134">
        <v>0.35</v>
      </c>
      <c r="K97" s="134">
        <v>257.56</v>
      </c>
      <c r="L97" s="134">
        <v>27.26</v>
      </c>
      <c r="M97" s="134">
        <v>85.66</v>
      </c>
      <c r="N97" s="134">
        <v>0</v>
      </c>
      <c r="O97" s="134">
        <v>0</v>
      </c>
      <c r="P97" s="134">
        <v>0.49</v>
      </c>
      <c r="Q97" s="134">
        <v>4.25</v>
      </c>
    </row>
    <row r="98" spans="1:22" customFormat="1">
      <c r="A98" s="112" t="s">
        <v>2343</v>
      </c>
      <c r="B98" s="134">
        <v>6.91</v>
      </c>
      <c r="C98" s="134">
        <v>16.72</v>
      </c>
      <c r="D98" s="134">
        <v>15.63</v>
      </c>
      <c r="E98" s="134">
        <v>5.31</v>
      </c>
      <c r="F98" s="134">
        <v>3.13</v>
      </c>
      <c r="G98" s="134">
        <v>22.15</v>
      </c>
      <c r="H98" s="134">
        <v>8.25</v>
      </c>
      <c r="I98" s="134">
        <v>4.24</v>
      </c>
      <c r="J98" s="134">
        <v>0.28000000000000003</v>
      </c>
      <c r="K98" s="134">
        <v>261.43</v>
      </c>
      <c r="L98" s="134">
        <v>27.22</v>
      </c>
      <c r="M98" s="134">
        <v>86.2</v>
      </c>
      <c r="N98" s="134">
        <v>0</v>
      </c>
      <c r="O98" s="134">
        <v>0</v>
      </c>
      <c r="P98" s="134">
        <v>0.51</v>
      </c>
      <c r="Q98" s="134">
        <v>4.3</v>
      </c>
    </row>
    <row r="99" spans="1:22" customFormat="1">
      <c r="A99" s="112" t="s">
        <v>2344</v>
      </c>
      <c r="B99" s="134">
        <v>6.76</v>
      </c>
      <c r="C99" s="134">
        <v>14.57</v>
      </c>
      <c r="D99" s="134">
        <v>14.38</v>
      </c>
      <c r="E99" s="134">
        <v>5.39</v>
      </c>
      <c r="F99" s="134">
        <v>5.3</v>
      </c>
      <c r="G99" s="134">
        <v>22.15</v>
      </c>
      <c r="H99" s="134">
        <v>8.25</v>
      </c>
      <c r="I99" s="134">
        <v>4.45</v>
      </c>
      <c r="J99" s="134">
        <v>0.28999999999999998</v>
      </c>
      <c r="K99" s="134">
        <v>257.89999999999998</v>
      </c>
      <c r="L99" s="134">
        <v>27.26</v>
      </c>
      <c r="M99" s="134">
        <v>86.1</v>
      </c>
      <c r="N99" s="134">
        <v>0</v>
      </c>
      <c r="O99" s="134">
        <v>0</v>
      </c>
      <c r="P99" s="134">
        <v>0.47</v>
      </c>
      <c r="Q99" s="134">
        <v>4.2699999999999996</v>
      </c>
    </row>
    <row r="100" spans="1:22" customFormat="1">
      <c r="A100" s="112" t="s">
        <v>2345</v>
      </c>
      <c r="B100" s="134">
        <v>6.37</v>
      </c>
      <c r="C100" s="134">
        <v>11.91</v>
      </c>
      <c r="D100" s="134">
        <v>12.68</v>
      </c>
      <c r="E100" s="134">
        <v>4.88</v>
      </c>
      <c r="F100" s="134">
        <v>8.4</v>
      </c>
      <c r="G100" s="134">
        <v>22.08</v>
      </c>
      <c r="H100" s="134">
        <v>8.49</v>
      </c>
      <c r="I100" s="134">
        <v>4.2699999999999996</v>
      </c>
      <c r="J100" s="134">
        <v>0.22</v>
      </c>
      <c r="K100" s="134">
        <v>251.74</v>
      </c>
      <c r="L100" s="134">
        <v>27.16</v>
      </c>
      <c r="M100" s="134">
        <v>87.15</v>
      </c>
      <c r="N100" s="134">
        <v>0</v>
      </c>
      <c r="O100" s="134">
        <v>0</v>
      </c>
      <c r="P100" s="134">
        <v>0.41</v>
      </c>
      <c r="Q100" s="134">
        <v>4.21</v>
      </c>
    </row>
    <row r="101" spans="1:22" customFormat="1">
      <c r="A101" s="112" t="s">
        <v>2346</v>
      </c>
      <c r="B101" s="134">
        <v>6.58</v>
      </c>
      <c r="C101" s="134">
        <v>11.67</v>
      </c>
      <c r="D101" s="134">
        <v>12.72</v>
      </c>
      <c r="E101" s="134">
        <v>5</v>
      </c>
      <c r="F101" s="134">
        <v>8.07</v>
      </c>
      <c r="G101" s="134">
        <v>21.54</v>
      </c>
      <c r="H101" s="134">
        <v>9.8800000000000008</v>
      </c>
      <c r="I101" s="134">
        <v>3.92</v>
      </c>
      <c r="J101" s="134">
        <v>0.12</v>
      </c>
      <c r="K101" s="134">
        <v>252.43</v>
      </c>
      <c r="L101" s="134">
        <v>27.04</v>
      </c>
      <c r="M101" s="134">
        <v>88.41</v>
      </c>
      <c r="N101" s="134">
        <v>0</v>
      </c>
      <c r="O101" s="134">
        <v>0</v>
      </c>
      <c r="P101" s="134">
        <v>0.4</v>
      </c>
      <c r="Q101" s="134">
        <v>4.24</v>
      </c>
    </row>
    <row r="102" spans="1:22" customFormat="1">
      <c r="A102" s="112" t="s">
        <v>2347</v>
      </c>
      <c r="B102" s="134">
        <v>6.92</v>
      </c>
      <c r="C102" s="134">
        <v>11.56</v>
      </c>
      <c r="D102" s="134">
        <v>12.94</v>
      </c>
      <c r="E102" s="134">
        <v>5.19</v>
      </c>
      <c r="F102" s="134">
        <v>8.23</v>
      </c>
      <c r="G102" s="134">
        <v>21.54</v>
      </c>
      <c r="H102" s="134">
        <v>9.8800000000000008</v>
      </c>
      <c r="I102" s="134">
        <v>3.62</v>
      </c>
      <c r="J102" s="134">
        <v>0.22</v>
      </c>
      <c r="K102" s="134">
        <v>258.52999999999997</v>
      </c>
      <c r="L102" s="134">
        <v>26.95</v>
      </c>
      <c r="M102" s="134">
        <v>89.26</v>
      </c>
      <c r="N102" s="134">
        <v>0</v>
      </c>
      <c r="O102" s="134">
        <v>0</v>
      </c>
      <c r="P102" s="134">
        <v>0.39</v>
      </c>
      <c r="Q102" s="134">
        <v>4.25</v>
      </c>
    </row>
    <row r="103" spans="1:22" customFormat="1">
      <c r="A103" s="112" t="s">
        <v>2348</v>
      </c>
      <c r="B103" s="134">
        <v>7.02</v>
      </c>
      <c r="C103" s="134">
        <v>11.03</v>
      </c>
      <c r="D103" s="134">
        <v>12.75</v>
      </c>
      <c r="E103" s="134">
        <v>5.33</v>
      </c>
      <c r="F103" s="134">
        <v>8.8699999999999992</v>
      </c>
      <c r="G103" s="134">
        <v>21.54</v>
      </c>
      <c r="H103" s="134">
        <v>9.8800000000000008</v>
      </c>
      <c r="I103" s="134">
        <v>3.57</v>
      </c>
      <c r="J103" s="134">
        <v>0.11</v>
      </c>
      <c r="K103" s="134">
        <v>211.46</v>
      </c>
      <c r="L103" s="134">
        <v>26.95</v>
      </c>
      <c r="M103" s="134">
        <v>89.55</v>
      </c>
      <c r="N103" s="134">
        <v>0</v>
      </c>
      <c r="O103" s="134">
        <v>0</v>
      </c>
      <c r="P103" s="134">
        <v>0.38</v>
      </c>
      <c r="Q103" s="134">
        <v>4.26</v>
      </c>
    </row>
    <row r="104" spans="1:22" customFormat="1">
      <c r="A104" s="112" t="s">
        <v>2349</v>
      </c>
      <c r="B104" s="134">
        <v>7.51</v>
      </c>
      <c r="C104" s="134">
        <v>12.04</v>
      </c>
      <c r="D104" s="134">
        <v>13.67</v>
      </c>
      <c r="E104" s="134">
        <v>5.83</v>
      </c>
      <c r="F104" s="134">
        <v>6.04</v>
      </c>
      <c r="G104" s="134">
        <v>21.68</v>
      </c>
      <c r="H104" s="134">
        <v>9.6300000000000008</v>
      </c>
      <c r="I104" s="134">
        <v>3.43</v>
      </c>
      <c r="J104" s="134">
        <v>0.09</v>
      </c>
      <c r="K104" s="134">
        <v>223.35</v>
      </c>
      <c r="L104" s="134">
        <v>26.85</v>
      </c>
      <c r="M104" s="134">
        <v>90.7</v>
      </c>
      <c r="N104" s="134">
        <v>0</v>
      </c>
      <c r="O104" s="134">
        <v>0</v>
      </c>
      <c r="P104" s="134">
        <v>0.41</v>
      </c>
      <c r="Q104" s="134">
        <v>4.26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10.52</v>
      </c>
      <c r="D106" s="183">
        <f t="shared" ref="D106:Q106" si="0">MIN(D9:D104)</f>
        <v>8.4499999999999993</v>
      </c>
      <c r="E106" s="183">
        <f t="shared" si="0"/>
        <v>2.04</v>
      </c>
      <c r="F106" s="183">
        <f t="shared" si="0"/>
        <v>1.67</v>
      </c>
      <c r="G106" s="183">
        <f t="shared" si="0"/>
        <v>12.5</v>
      </c>
      <c r="H106" s="183">
        <f t="shared" si="0"/>
        <v>4.6500000000000004</v>
      </c>
      <c r="I106" s="183">
        <f t="shared" si="0"/>
        <v>2.68</v>
      </c>
      <c r="J106" s="183">
        <f t="shared" si="0"/>
        <v>0.09</v>
      </c>
      <c r="K106" s="183">
        <f t="shared" si="0"/>
        <v>158.07</v>
      </c>
      <c r="L106" s="183">
        <f t="shared" si="0"/>
        <v>25.47</v>
      </c>
      <c r="M106" s="183">
        <f t="shared" si="0"/>
        <v>65.430000000000007</v>
      </c>
      <c r="N106" s="183">
        <f t="shared" si="0"/>
        <v>0</v>
      </c>
      <c r="O106" s="183">
        <f t="shared" si="0"/>
        <v>0</v>
      </c>
      <c r="P106" s="183">
        <f t="shared" si="0"/>
        <v>0.35</v>
      </c>
      <c r="Q106" s="183">
        <f t="shared" si="0"/>
        <v>3.93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10.23</v>
      </c>
      <c r="C107" s="184">
        <f t="shared" ref="C107:Q107" si="1">MAX(C9:C104)</f>
        <v>19.63</v>
      </c>
      <c r="D107" s="184">
        <f t="shared" si="1"/>
        <v>19.239999999999998</v>
      </c>
      <c r="E107" s="184">
        <f t="shared" si="1"/>
        <v>15.93</v>
      </c>
      <c r="F107" s="184">
        <f t="shared" si="1"/>
        <v>18.399999999999999</v>
      </c>
      <c r="G107" s="184">
        <f t="shared" si="1"/>
        <v>32.76</v>
      </c>
      <c r="H107" s="184">
        <f t="shared" si="1"/>
        <v>14.02</v>
      </c>
      <c r="I107" s="184">
        <f t="shared" si="1"/>
        <v>5.36</v>
      </c>
      <c r="J107" s="184">
        <f t="shared" si="1"/>
        <v>1.1399999999999999</v>
      </c>
      <c r="K107" s="184">
        <f t="shared" si="1"/>
        <v>287.32</v>
      </c>
      <c r="L107" s="184">
        <f t="shared" si="1"/>
        <v>31.77</v>
      </c>
      <c r="M107" s="184">
        <f t="shared" si="1"/>
        <v>93.99</v>
      </c>
      <c r="N107" s="184">
        <f t="shared" si="1"/>
        <v>688</v>
      </c>
      <c r="O107" s="184">
        <f t="shared" si="1"/>
        <v>0</v>
      </c>
      <c r="P107" s="184">
        <f t="shared" si="1"/>
        <v>0.56000000000000005</v>
      </c>
      <c r="Q107" s="184">
        <f t="shared" si="1"/>
        <v>4.58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6.4555208333333338</v>
      </c>
      <c r="C108" s="183">
        <f t="shared" ref="C108:Q108" si="2">AVERAGE(C9:C104)</f>
        <v>14.685729166666663</v>
      </c>
      <c r="D108" s="183">
        <f t="shared" si="2"/>
        <v>14.200104166666669</v>
      </c>
      <c r="E108" s="183">
        <f t="shared" si="2"/>
        <v>4.9433333333333325</v>
      </c>
      <c r="F108" s="183">
        <f t="shared" si="2"/>
        <v>5.6098958333333337</v>
      </c>
      <c r="G108" s="183">
        <f t="shared" si="2"/>
        <v>22.426770833333332</v>
      </c>
      <c r="H108" s="183">
        <f t="shared" si="2"/>
        <v>9.1311458333333295</v>
      </c>
      <c r="I108" s="183">
        <f t="shared" si="2"/>
        <v>3.4885416666666664</v>
      </c>
      <c r="J108" s="183">
        <f t="shared" si="2"/>
        <v>0.54197916666666679</v>
      </c>
      <c r="K108" s="183">
        <f t="shared" si="2"/>
        <v>254.20239583333344</v>
      </c>
      <c r="L108" s="183">
        <f t="shared" si="2"/>
        <v>28.228020833333332</v>
      </c>
      <c r="M108" s="183">
        <f t="shared" si="2"/>
        <v>81.871249999999989</v>
      </c>
      <c r="N108" s="183">
        <f t="shared" si="2"/>
        <v>162.80625000000001</v>
      </c>
      <c r="O108" s="183">
        <f t="shared" si="2"/>
        <v>0</v>
      </c>
      <c r="P108" s="183">
        <f t="shared" si="2"/>
        <v>0.42572916666666644</v>
      </c>
      <c r="Q108" s="183">
        <f t="shared" si="2"/>
        <v>4.2653124999999985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3.2158341374457469</v>
      </c>
      <c r="C109" s="183">
        <f t="shared" ref="C109:Q109" si="3">STDEV(C9:C104)</f>
        <v>1.9495860531171332</v>
      </c>
      <c r="D109" s="183">
        <f t="shared" si="3"/>
        <v>3.2166718644853791</v>
      </c>
      <c r="E109" s="183">
        <f t="shared" si="3"/>
        <v>2.4044422338954963</v>
      </c>
      <c r="F109" s="183">
        <f t="shared" si="3"/>
        <v>3.2970626464018289</v>
      </c>
      <c r="G109" s="183">
        <f t="shared" si="3"/>
        <v>5.716174004716188</v>
      </c>
      <c r="H109" s="183">
        <f t="shared" si="3"/>
        <v>2.1705661981644586</v>
      </c>
      <c r="I109" s="183">
        <f t="shared" si="3"/>
        <v>0.67527612935538628</v>
      </c>
      <c r="J109" s="183">
        <f t="shared" si="3"/>
        <v>0.26100058395444464</v>
      </c>
      <c r="K109" s="183">
        <f t="shared" si="3"/>
        <v>24.312188095458879</v>
      </c>
      <c r="L109" s="183">
        <f t="shared" si="3"/>
        <v>2.128936289764761</v>
      </c>
      <c r="M109" s="183">
        <f t="shared" si="3"/>
        <v>9.5577119316510899</v>
      </c>
      <c r="N109" s="183">
        <f t="shared" si="3"/>
        <v>222.39027042921401</v>
      </c>
      <c r="O109" s="183">
        <f t="shared" si="3"/>
        <v>0</v>
      </c>
      <c r="P109" s="183">
        <f t="shared" si="3"/>
        <v>5.0361739689586869E-2</v>
      </c>
      <c r="Q109" s="183">
        <f t="shared" si="3"/>
        <v>0.19457350457917194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23/08/2023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2350</v>
      </c>
      <c r="B9" s="134">
        <v>8.32</v>
      </c>
      <c r="C9" s="134">
        <v>16.329999999999998</v>
      </c>
      <c r="D9" s="134">
        <v>16.55</v>
      </c>
      <c r="E9" s="134">
        <v>6.2</v>
      </c>
      <c r="F9" s="134">
        <v>3.2</v>
      </c>
      <c r="G9" s="134">
        <v>22.76</v>
      </c>
      <c r="H9" s="134">
        <v>8.1999999999999993</v>
      </c>
      <c r="I9" s="134">
        <v>3.38</v>
      </c>
      <c r="J9" s="134">
        <v>0.15</v>
      </c>
      <c r="K9" s="134">
        <v>238.44</v>
      </c>
      <c r="L9" s="134">
        <v>26.84</v>
      </c>
      <c r="M9" s="134">
        <v>91.38</v>
      </c>
      <c r="N9" s="134">
        <v>0</v>
      </c>
      <c r="O9" s="134">
        <v>0</v>
      </c>
      <c r="P9" s="134">
        <v>0.45</v>
      </c>
      <c r="Q9" s="134">
        <v>4.38</v>
      </c>
    </row>
    <row r="10" spans="1:21" customFormat="1">
      <c r="A10" s="112" t="s">
        <v>2351</v>
      </c>
      <c r="B10" s="134">
        <v>7.94</v>
      </c>
      <c r="C10" s="134">
        <v>14.15</v>
      </c>
      <c r="D10" s="134">
        <v>15.11</v>
      </c>
      <c r="E10" s="134">
        <v>6.22</v>
      </c>
      <c r="F10" s="134">
        <v>4.96</v>
      </c>
      <c r="G10" s="134">
        <v>22.76</v>
      </c>
      <c r="H10" s="134">
        <v>8.1999999999999993</v>
      </c>
      <c r="I10" s="134">
        <v>3.67</v>
      </c>
      <c r="J10" s="134">
        <v>0.19</v>
      </c>
      <c r="K10" s="134">
        <v>256.79000000000002</v>
      </c>
      <c r="L10" s="134">
        <v>26.9</v>
      </c>
      <c r="M10" s="134">
        <v>91.16</v>
      </c>
      <c r="N10" s="134">
        <v>0</v>
      </c>
      <c r="O10" s="134">
        <v>0</v>
      </c>
      <c r="P10" s="134">
        <v>0.43</v>
      </c>
      <c r="Q10" s="134">
        <v>4.37</v>
      </c>
    </row>
    <row r="11" spans="1:21" customFormat="1">
      <c r="A11" s="112" t="s">
        <v>2352</v>
      </c>
      <c r="B11" s="134">
        <v>7.87</v>
      </c>
      <c r="C11" s="134">
        <v>12.47</v>
      </c>
      <c r="D11" s="134">
        <v>14.18</v>
      </c>
      <c r="E11" s="134">
        <v>5.9</v>
      </c>
      <c r="F11" s="134">
        <v>6.54</v>
      </c>
      <c r="G11" s="134">
        <v>22.76</v>
      </c>
      <c r="H11" s="134">
        <v>8.1999999999999993</v>
      </c>
      <c r="I11" s="134">
        <v>3.91</v>
      </c>
      <c r="J11" s="134">
        <v>0.15</v>
      </c>
      <c r="K11" s="134">
        <v>246.53</v>
      </c>
      <c r="L11" s="134">
        <v>26.88</v>
      </c>
      <c r="M11" s="134">
        <v>90.97</v>
      </c>
      <c r="N11" s="134">
        <v>0</v>
      </c>
      <c r="O11" s="134">
        <v>0</v>
      </c>
      <c r="P11" s="134">
        <v>0.41</v>
      </c>
      <c r="Q11" s="134">
        <v>4.34</v>
      </c>
    </row>
    <row r="12" spans="1:21" customFormat="1">
      <c r="A12" s="112" t="s">
        <v>2353</v>
      </c>
      <c r="B12" s="134">
        <v>7.76</v>
      </c>
      <c r="C12" s="134">
        <v>11.27</v>
      </c>
      <c r="D12" s="134">
        <v>13.46</v>
      </c>
      <c r="E12" s="134">
        <v>6.01</v>
      </c>
      <c r="F12" s="134">
        <v>7.73</v>
      </c>
      <c r="G12" s="134">
        <v>22.05</v>
      </c>
      <c r="H12" s="134">
        <v>7.88</v>
      </c>
      <c r="I12" s="134">
        <v>3.64</v>
      </c>
      <c r="J12" s="134">
        <v>0.24</v>
      </c>
      <c r="K12" s="134">
        <v>243.49</v>
      </c>
      <c r="L12" s="134">
        <v>26.89</v>
      </c>
      <c r="M12" s="134">
        <v>90.6</v>
      </c>
      <c r="N12" s="134">
        <v>0</v>
      </c>
      <c r="O12" s="134">
        <v>0</v>
      </c>
      <c r="P12" s="134">
        <v>0.39</v>
      </c>
      <c r="Q12" s="134">
        <v>4.32</v>
      </c>
    </row>
    <row r="13" spans="1:21" customFormat="1">
      <c r="A13" s="112" t="s">
        <v>2354</v>
      </c>
      <c r="B13" s="134">
        <v>8.0500000000000007</v>
      </c>
      <c r="C13" s="134">
        <v>11.92</v>
      </c>
      <c r="D13" s="134">
        <v>14.03</v>
      </c>
      <c r="E13" s="134">
        <v>6.15</v>
      </c>
      <c r="F13" s="134">
        <v>6.5</v>
      </c>
      <c r="G13" s="134">
        <v>16.350000000000001</v>
      </c>
      <c r="H13" s="134">
        <v>6.09</v>
      </c>
      <c r="I13" s="134">
        <v>3.47</v>
      </c>
      <c r="J13" s="134">
        <v>0.49</v>
      </c>
      <c r="K13" s="134">
        <v>259.19</v>
      </c>
      <c r="L13" s="134">
        <v>26.87</v>
      </c>
      <c r="M13" s="134">
        <v>89.45</v>
      </c>
      <c r="N13" s="134">
        <v>0</v>
      </c>
      <c r="O13" s="134">
        <v>0</v>
      </c>
      <c r="P13" s="134">
        <v>0.39</v>
      </c>
      <c r="Q13" s="134">
        <v>4.32</v>
      </c>
    </row>
    <row r="14" spans="1:21" customFormat="1">
      <c r="A14" s="112" t="s">
        <v>2355</v>
      </c>
      <c r="B14" s="134">
        <v>8.7899999999999991</v>
      </c>
      <c r="C14" s="134">
        <v>15.5</v>
      </c>
      <c r="D14" s="134">
        <v>16.489999999999998</v>
      </c>
      <c r="E14" s="134">
        <v>6.47</v>
      </c>
      <c r="F14" s="134">
        <v>3.04</v>
      </c>
      <c r="G14" s="134">
        <v>16.350000000000001</v>
      </c>
      <c r="H14" s="134">
        <v>6.09</v>
      </c>
      <c r="I14" s="134">
        <v>3.39</v>
      </c>
      <c r="J14" s="134">
        <v>0.3</v>
      </c>
      <c r="K14" s="134">
        <v>258.39999999999998</v>
      </c>
      <c r="L14" s="134">
        <v>26.84</v>
      </c>
      <c r="M14" s="134">
        <v>89.15</v>
      </c>
      <c r="N14" s="134">
        <v>0</v>
      </c>
      <c r="O14" s="134">
        <v>0</v>
      </c>
      <c r="P14" s="134">
        <v>0.43</v>
      </c>
      <c r="Q14" s="134">
        <v>4.38</v>
      </c>
    </row>
    <row r="15" spans="1:21" customFormat="1">
      <c r="A15" s="112" t="s">
        <v>2356</v>
      </c>
      <c r="B15" s="134">
        <v>8.85</v>
      </c>
      <c r="C15" s="134">
        <v>14.5</v>
      </c>
      <c r="D15" s="134">
        <v>16.02</v>
      </c>
      <c r="E15" s="134">
        <v>6.28</v>
      </c>
      <c r="F15" s="134">
        <v>4.09</v>
      </c>
      <c r="G15" s="134">
        <v>16.350000000000001</v>
      </c>
      <c r="H15" s="134">
        <v>6.09</v>
      </c>
      <c r="I15" s="134">
        <v>3.58</v>
      </c>
      <c r="J15" s="134">
        <v>0.43</v>
      </c>
      <c r="K15" s="134">
        <v>259.77</v>
      </c>
      <c r="L15" s="134">
        <v>26.82</v>
      </c>
      <c r="M15" s="134">
        <v>89.12</v>
      </c>
      <c r="N15" s="134">
        <v>0</v>
      </c>
      <c r="O15" s="134">
        <v>0</v>
      </c>
      <c r="P15" s="134">
        <v>0.43</v>
      </c>
      <c r="Q15" s="134">
        <v>4.3899999999999997</v>
      </c>
    </row>
    <row r="16" spans="1:21" customFormat="1">
      <c r="A16" s="112" t="s">
        <v>2357</v>
      </c>
      <c r="B16" s="134">
        <v>8.59</v>
      </c>
      <c r="C16" s="134">
        <v>12.65</v>
      </c>
      <c r="D16" s="134">
        <v>14.85</v>
      </c>
      <c r="E16" s="134">
        <v>6.31</v>
      </c>
      <c r="F16" s="134">
        <v>6.42</v>
      </c>
      <c r="G16" s="134">
        <v>16.25</v>
      </c>
      <c r="H16" s="134">
        <v>6.09</v>
      </c>
      <c r="I16" s="134">
        <v>3.81</v>
      </c>
      <c r="J16" s="134">
        <v>0.41</v>
      </c>
      <c r="K16" s="134">
        <v>260.83</v>
      </c>
      <c r="L16" s="134">
        <v>26.75</v>
      </c>
      <c r="M16" s="134">
        <v>89.49</v>
      </c>
      <c r="N16" s="134">
        <v>0</v>
      </c>
      <c r="O16" s="134">
        <v>0</v>
      </c>
      <c r="P16" s="134">
        <v>0.4</v>
      </c>
      <c r="Q16" s="134">
        <v>4.38</v>
      </c>
    </row>
    <row r="17" spans="1:17" customFormat="1">
      <c r="A17" s="112" t="s">
        <v>2358</v>
      </c>
      <c r="B17" s="134">
        <v>8.3800000000000008</v>
      </c>
      <c r="C17" s="134">
        <v>11.66</v>
      </c>
      <c r="D17" s="134">
        <v>14.16</v>
      </c>
      <c r="E17" s="134">
        <v>3.76</v>
      </c>
      <c r="F17" s="134">
        <v>7.49</v>
      </c>
      <c r="G17" s="134">
        <v>15.45</v>
      </c>
      <c r="H17" s="134">
        <v>6.1</v>
      </c>
      <c r="I17" s="134">
        <v>3.63</v>
      </c>
      <c r="J17" s="134">
        <v>0.45</v>
      </c>
      <c r="K17" s="134">
        <v>259.26</v>
      </c>
      <c r="L17" s="134">
        <v>26.74</v>
      </c>
      <c r="M17" s="134">
        <v>89.32</v>
      </c>
      <c r="N17" s="134">
        <v>0</v>
      </c>
      <c r="O17" s="134">
        <v>0</v>
      </c>
      <c r="P17" s="134">
        <v>0.38</v>
      </c>
      <c r="Q17" s="134">
        <v>4.34</v>
      </c>
    </row>
    <row r="18" spans="1:17" customFormat="1">
      <c r="A18" s="112" t="s">
        <v>2359</v>
      </c>
      <c r="B18" s="134">
        <v>8.48</v>
      </c>
      <c r="C18" s="134">
        <v>11.6</v>
      </c>
      <c r="D18" s="134">
        <v>14.21</v>
      </c>
      <c r="E18" s="134">
        <v>4.3499999999999996</v>
      </c>
      <c r="F18" s="134">
        <v>6.38</v>
      </c>
      <c r="G18" s="134">
        <v>15.45</v>
      </c>
      <c r="H18" s="134">
        <v>6.1</v>
      </c>
      <c r="I18" s="134">
        <v>3.39</v>
      </c>
      <c r="J18" s="134">
        <v>0.32</v>
      </c>
      <c r="K18" s="134">
        <v>257.63</v>
      </c>
      <c r="L18" s="134">
        <v>26.63</v>
      </c>
      <c r="M18" s="134">
        <v>90</v>
      </c>
      <c r="N18" s="134">
        <v>0</v>
      </c>
      <c r="O18" s="134">
        <v>0</v>
      </c>
      <c r="P18" s="134">
        <v>0.37</v>
      </c>
      <c r="Q18" s="134">
        <v>4.32</v>
      </c>
    </row>
    <row r="19" spans="1:17" customFormat="1">
      <c r="A19" s="112" t="s">
        <v>2360</v>
      </c>
      <c r="B19" s="134">
        <v>9.1199999999999992</v>
      </c>
      <c r="C19" s="134">
        <v>15.05</v>
      </c>
      <c r="D19" s="134">
        <v>16.53</v>
      </c>
      <c r="E19" s="134">
        <v>4.76</v>
      </c>
      <c r="F19" s="134">
        <v>2.84</v>
      </c>
      <c r="G19" s="134">
        <v>15.45</v>
      </c>
      <c r="H19" s="134">
        <v>6.1</v>
      </c>
      <c r="I19" s="134">
        <v>3.24</v>
      </c>
      <c r="J19" s="134">
        <v>0.24</v>
      </c>
      <c r="K19" s="134">
        <v>254.43</v>
      </c>
      <c r="L19" s="134">
        <v>26.59</v>
      </c>
      <c r="M19" s="134">
        <v>90.27</v>
      </c>
      <c r="N19" s="134">
        <v>0</v>
      </c>
      <c r="O19" s="134">
        <v>0</v>
      </c>
      <c r="P19" s="134">
        <v>0.42</v>
      </c>
      <c r="Q19" s="134">
        <v>4.3600000000000003</v>
      </c>
    </row>
    <row r="20" spans="1:17" customFormat="1">
      <c r="A20" s="112" t="s">
        <v>2361</v>
      </c>
      <c r="B20" s="134">
        <v>9.15</v>
      </c>
      <c r="C20" s="134">
        <v>14.79</v>
      </c>
      <c r="D20" s="134">
        <v>16.420000000000002</v>
      </c>
      <c r="E20" s="134">
        <v>5.07</v>
      </c>
      <c r="F20" s="134">
        <v>4.16</v>
      </c>
      <c r="G20" s="134">
        <v>15.31</v>
      </c>
      <c r="H20" s="134">
        <v>6.29</v>
      </c>
      <c r="I20" s="134">
        <v>3.31</v>
      </c>
      <c r="J20" s="134">
        <v>0.47</v>
      </c>
      <c r="K20" s="134">
        <v>262.41000000000003</v>
      </c>
      <c r="L20" s="134">
        <v>26.59</v>
      </c>
      <c r="M20" s="134">
        <v>89.86</v>
      </c>
      <c r="N20" s="134">
        <v>0</v>
      </c>
      <c r="O20" s="134">
        <v>0</v>
      </c>
      <c r="P20" s="134">
        <v>0.42</v>
      </c>
      <c r="Q20" s="134">
        <v>4.4000000000000004</v>
      </c>
    </row>
    <row r="21" spans="1:17" customFormat="1">
      <c r="A21" s="112" t="s">
        <v>2362</v>
      </c>
      <c r="B21" s="134">
        <v>9.19</v>
      </c>
      <c r="C21" s="134">
        <v>13.42</v>
      </c>
      <c r="D21" s="134">
        <v>15.73</v>
      </c>
      <c r="E21" s="134">
        <v>4.8600000000000003</v>
      </c>
      <c r="F21" s="134">
        <v>5.12</v>
      </c>
      <c r="G21" s="134">
        <v>14.12</v>
      </c>
      <c r="H21" s="134">
        <v>7.47</v>
      </c>
      <c r="I21" s="134">
        <v>3.63</v>
      </c>
      <c r="J21" s="134">
        <v>0.33</v>
      </c>
      <c r="K21" s="134">
        <v>262.5</v>
      </c>
      <c r="L21" s="134">
        <v>26.58</v>
      </c>
      <c r="M21" s="134">
        <v>89.84</v>
      </c>
      <c r="N21" s="134">
        <v>0</v>
      </c>
      <c r="O21" s="134">
        <v>0</v>
      </c>
      <c r="P21" s="134">
        <v>0.41</v>
      </c>
      <c r="Q21" s="134">
        <v>4.38</v>
      </c>
    </row>
    <row r="22" spans="1:17" customFormat="1">
      <c r="A22" s="112" t="s">
        <v>2363</v>
      </c>
      <c r="B22" s="134">
        <v>9.06</v>
      </c>
      <c r="C22" s="134">
        <v>14.45</v>
      </c>
      <c r="D22" s="134">
        <v>16.16</v>
      </c>
      <c r="E22" s="134">
        <v>4.5199999999999996</v>
      </c>
      <c r="F22" s="134">
        <v>3.58</v>
      </c>
      <c r="G22" s="134">
        <v>14.12</v>
      </c>
      <c r="H22" s="134">
        <v>7.47</v>
      </c>
      <c r="I22" s="134">
        <v>3.49</v>
      </c>
      <c r="J22" s="134">
        <v>0.27</v>
      </c>
      <c r="K22" s="134">
        <v>255.65</v>
      </c>
      <c r="L22" s="134">
        <v>26.63</v>
      </c>
      <c r="M22" s="134">
        <v>90.2</v>
      </c>
      <c r="N22" s="134">
        <v>0</v>
      </c>
      <c r="O22" s="134">
        <v>0</v>
      </c>
      <c r="P22" s="134">
        <v>0.44</v>
      </c>
      <c r="Q22" s="134">
        <v>4.37</v>
      </c>
    </row>
    <row r="23" spans="1:17" customFormat="1">
      <c r="A23" s="112" t="s">
        <v>2364</v>
      </c>
      <c r="B23" s="134">
        <v>8.41</v>
      </c>
      <c r="C23" s="134">
        <v>15.67</v>
      </c>
      <c r="D23" s="134">
        <v>16.28</v>
      </c>
      <c r="E23" s="134">
        <v>4.38</v>
      </c>
      <c r="F23" s="134">
        <v>3.04</v>
      </c>
      <c r="G23" s="134">
        <v>14.12</v>
      </c>
      <c r="H23" s="134">
        <v>7.47</v>
      </c>
      <c r="I23" s="134">
        <v>3.43</v>
      </c>
      <c r="J23" s="134">
        <v>0.43</v>
      </c>
      <c r="K23" s="134">
        <v>258.20999999999998</v>
      </c>
      <c r="L23" s="134">
        <v>26.51</v>
      </c>
      <c r="M23" s="134">
        <v>90.63</v>
      </c>
      <c r="N23" s="134">
        <v>0</v>
      </c>
      <c r="O23" s="134">
        <v>0</v>
      </c>
      <c r="P23" s="134">
        <v>0.45</v>
      </c>
      <c r="Q23" s="134">
        <v>4.3600000000000003</v>
      </c>
    </row>
    <row r="24" spans="1:17" customFormat="1">
      <c r="A24" s="112" t="s">
        <v>2365</v>
      </c>
      <c r="B24" s="134">
        <v>8.24</v>
      </c>
      <c r="C24" s="134">
        <v>13.41</v>
      </c>
      <c r="D24" s="134">
        <v>14.97</v>
      </c>
      <c r="E24" s="134">
        <v>4.0599999999999996</v>
      </c>
      <c r="F24" s="134">
        <v>5.19</v>
      </c>
      <c r="G24" s="134">
        <v>14.25</v>
      </c>
      <c r="H24" s="134">
        <v>7.4</v>
      </c>
      <c r="I24" s="134">
        <v>3.55</v>
      </c>
      <c r="J24" s="134">
        <v>0.53</v>
      </c>
      <c r="K24" s="134">
        <v>265.83</v>
      </c>
      <c r="L24" s="134">
        <v>26.46</v>
      </c>
      <c r="M24" s="134">
        <v>90.12</v>
      </c>
      <c r="N24" s="134">
        <v>0</v>
      </c>
      <c r="O24" s="134">
        <v>0</v>
      </c>
      <c r="P24" s="134">
        <v>0.39</v>
      </c>
      <c r="Q24" s="134">
        <v>4.34</v>
      </c>
    </row>
    <row r="25" spans="1:17" customFormat="1">
      <c r="A25" s="112" t="s">
        <v>2366</v>
      </c>
      <c r="B25" s="134">
        <v>8.27</v>
      </c>
      <c r="C25" s="134">
        <v>12.48</v>
      </c>
      <c r="D25" s="134">
        <v>14.5</v>
      </c>
      <c r="E25" s="134">
        <v>4.2699999999999996</v>
      </c>
      <c r="F25" s="134">
        <v>5.45</v>
      </c>
      <c r="G25" s="134">
        <v>15.23</v>
      </c>
      <c r="H25" s="134">
        <v>6.95</v>
      </c>
      <c r="I25" s="134">
        <v>3.38</v>
      </c>
      <c r="J25" s="134">
        <v>0.31</v>
      </c>
      <c r="K25" s="134">
        <v>259.64</v>
      </c>
      <c r="L25" s="134">
        <v>26.43</v>
      </c>
      <c r="M25" s="134">
        <v>89.89</v>
      </c>
      <c r="N25" s="134">
        <v>0</v>
      </c>
      <c r="O25" s="134">
        <v>0</v>
      </c>
      <c r="P25" s="134">
        <v>0.37</v>
      </c>
      <c r="Q25" s="134">
        <v>4.3</v>
      </c>
    </row>
    <row r="26" spans="1:17" customFormat="1">
      <c r="A26" s="112" t="s">
        <v>2367</v>
      </c>
      <c r="B26" s="134">
        <v>8.48</v>
      </c>
      <c r="C26" s="134">
        <v>12.47</v>
      </c>
      <c r="D26" s="134">
        <v>14.67</v>
      </c>
      <c r="E26" s="134">
        <v>4.4400000000000004</v>
      </c>
      <c r="F26" s="134">
        <v>5.17</v>
      </c>
      <c r="G26" s="134">
        <v>15.23</v>
      </c>
      <c r="H26" s="134">
        <v>6.95</v>
      </c>
      <c r="I26" s="134">
        <v>3.14</v>
      </c>
      <c r="J26" s="134">
        <v>0.3</v>
      </c>
      <c r="K26" s="134">
        <v>263.45</v>
      </c>
      <c r="L26" s="134">
        <v>26.32</v>
      </c>
      <c r="M26" s="134">
        <v>90.74</v>
      </c>
      <c r="N26" s="134">
        <v>0</v>
      </c>
      <c r="O26" s="134">
        <v>0</v>
      </c>
      <c r="P26" s="134">
        <v>0.36</v>
      </c>
      <c r="Q26" s="134">
        <v>4.28</v>
      </c>
    </row>
    <row r="27" spans="1:17" customFormat="1">
      <c r="A27" s="112" t="s">
        <v>2368</v>
      </c>
      <c r="B27" s="134">
        <v>8.69</v>
      </c>
      <c r="C27" s="134">
        <v>12.19</v>
      </c>
      <c r="D27" s="134">
        <v>14.69</v>
      </c>
      <c r="E27" s="134">
        <v>4.1399999999999997</v>
      </c>
      <c r="F27" s="134">
        <v>5.24</v>
      </c>
      <c r="G27" s="134">
        <v>15.23</v>
      </c>
      <c r="H27" s="134">
        <v>6.95</v>
      </c>
      <c r="I27" s="134">
        <v>3.09</v>
      </c>
      <c r="J27" s="134">
        <v>0.52</v>
      </c>
      <c r="K27" s="134">
        <v>262.32</v>
      </c>
      <c r="L27" s="134">
        <v>26.31</v>
      </c>
      <c r="M27" s="134">
        <v>90.65</v>
      </c>
      <c r="N27" s="134">
        <v>0</v>
      </c>
      <c r="O27" s="134">
        <v>0</v>
      </c>
      <c r="P27" s="134">
        <v>0.35</v>
      </c>
      <c r="Q27" s="134">
        <v>4.28</v>
      </c>
    </row>
    <row r="28" spans="1:17" customFormat="1">
      <c r="A28" s="112" t="s">
        <v>2369</v>
      </c>
      <c r="B28" s="134">
        <v>9.11</v>
      </c>
      <c r="C28" s="134">
        <v>13.25</v>
      </c>
      <c r="D28" s="134">
        <v>15.58</v>
      </c>
      <c r="E28" s="134">
        <v>3.94</v>
      </c>
      <c r="F28" s="134">
        <v>3.98</v>
      </c>
      <c r="G28" s="134">
        <v>15.03</v>
      </c>
      <c r="H28" s="134">
        <v>6.68</v>
      </c>
      <c r="I28" s="134">
        <v>3.03</v>
      </c>
      <c r="J28" s="134">
        <v>0.41</v>
      </c>
      <c r="K28" s="134">
        <v>257.44</v>
      </c>
      <c r="L28" s="134">
        <v>26.3</v>
      </c>
      <c r="M28" s="134">
        <v>90.82</v>
      </c>
      <c r="N28" s="134">
        <v>0</v>
      </c>
      <c r="O28" s="134">
        <v>0</v>
      </c>
      <c r="P28" s="134">
        <v>0.37</v>
      </c>
      <c r="Q28" s="134">
        <v>4.32</v>
      </c>
    </row>
    <row r="29" spans="1:17" customFormat="1">
      <c r="A29" s="112" t="s">
        <v>2370</v>
      </c>
      <c r="B29" s="134">
        <v>9.42</v>
      </c>
      <c r="C29" s="134">
        <v>15.61</v>
      </c>
      <c r="D29" s="134">
        <v>17.059999999999999</v>
      </c>
      <c r="E29" s="134">
        <v>5.05</v>
      </c>
      <c r="F29" s="134">
        <v>2.5099999999999998</v>
      </c>
      <c r="G29" s="134">
        <v>13.45</v>
      </c>
      <c r="H29" s="134">
        <v>4.9400000000000004</v>
      </c>
      <c r="I29" s="134">
        <v>3.03</v>
      </c>
      <c r="J29" s="134">
        <v>0.49</v>
      </c>
      <c r="K29" s="134">
        <v>259.82</v>
      </c>
      <c r="L29" s="134">
        <v>26.23</v>
      </c>
      <c r="M29" s="134">
        <v>91.49</v>
      </c>
      <c r="N29" s="134">
        <v>0</v>
      </c>
      <c r="O29" s="134">
        <v>0</v>
      </c>
      <c r="P29" s="134">
        <v>0.39</v>
      </c>
      <c r="Q29" s="134">
        <v>4.41</v>
      </c>
    </row>
    <row r="30" spans="1:17" customFormat="1">
      <c r="A30" s="112" t="s">
        <v>2371</v>
      </c>
      <c r="B30" s="134">
        <v>9.51</v>
      </c>
      <c r="C30" s="134">
        <v>14.33</v>
      </c>
      <c r="D30" s="134">
        <v>16.47</v>
      </c>
      <c r="E30" s="134">
        <v>5.3</v>
      </c>
      <c r="F30" s="134">
        <v>3.46</v>
      </c>
      <c r="G30" s="134">
        <v>13.45</v>
      </c>
      <c r="H30" s="134">
        <v>4.9400000000000004</v>
      </c>
      <c r="I30" s="134">
        <v>3.15</v>
      </c>
      <c r="J30" s="134">
        <v>0.55000000000000004</v>
      </c>
      <c r="K30" s="134">
        <v>260.3</v>
      </c>
      <c r="L30" s="134">
        <v>26.3</v>
      </c>
      <c r="M30" s="134">
        <v>91.25</v>
      </c>
      <c r="N30" s="134">
        <v>0</v>
      </c>
      <c r="O30" s="134">
        <v>0</v>
      </c>
      <c r="P30" s="134">
        <v>0.38</v>
      </c>
      <c r="Q30" s="134">
        <v>4.3899999999999997</v>
      </c>
    </row>
    <row r="31" spans="1:17" customFormat="1">
      <c r="A31" s="112" t="s">
        <v>2372</v>
      </c>
      <c r="B31" s="134">
        <v>9.4499999999999993</v>
      </c>
      <c r="C31" s="134">
        <v>13.07</v>
      </c>
      <c r="D31" s="134">
        <v>15.76</v>
      </c>
      <c r="E31" s="134">
        <v>4.9800000000000004</v>
      </c>
      <c r="F31" s="134">
        <v>4.2300000000000004</v>
      </c>
      <c r="G31" s="134">
        <v>13.45</v>
      </c>
      <c r="H31" s="134">
        <v>4.9400000000000004</v>
      </c>
      <c r="I31" s="134">
        <v>3.23</v>
      </c>
      <c r="J31" s="134">
        <v>0.51</v>
      </c>
      <c r="K31" s="134">
        <v>262.14999999999998</v>
      </c>
      <c r="L31" s="134">
        <v>26.27</v>
      </c>
      <c r="M31" s="134">
        <v>91.61</v>
      </c>
      <c r="N31" s="134">
        <v>0</v>
      </c>
      <c r="O31" s="134">
        <v>0</v>
      </c>
      <c r="P31" s="134">
        <v>0.36</v>
      </c>
      <c r="Q31" s="134">
        <v>4.33</v>
      </c>
    </row>
    <row r="32" spans="1:17" customFormat="1">
      <c r="A32" s="112" t="s">
        <v>2373</v>
      </c>
      <c r="B32" s="134">
        <v>9.49</v>
      </c>
      <c r="C32" s="134">
        <v>12.61</v>
      </c>
      <c r="D32" s="134">
        <v>15.55</v>
      </c>
      <c r="E32" s="134">
        <v>4.4000000000000004</v>
      </c>
      <c r="F32" s="134">
        <v>4.22</v>
      </c>
      <c r="G32" s="134">
        <v>13.41</v>
      </c>
      <c r="H32" s="134">
        <v>5.16</v>
      </c>
      <c r="I32" s="134">
        <v>3.12</v>
      </c>
      <c r="J32" s="134">
        <v>0.54</v>
      </c>
      <c r="K32" s="134">
        <v>260.27</v>
      </c>
      <c r="L32" s="134">
        <v>26.3</v>
      </c>
      <c r="M32" s="134">
        <v>91.49</v>
      </c>
      <c r="N32" s="134">
        <v>1</v>
      </c>
      <c r="O32" s="134">
        <v>0</v>
      </c>
      <c r="P32" s="134">
        <v>0.35</v>
      </c>
      <c r="Q32" s="134">
        <v>4.3099999999999996</v>
      </c>
    </row>
    <row r="33" spans="1:17" customFormat="1">
      <c r="A33" s="112" t="s">
        <v>2374</v>
      </c>
      <c r="B33" s="134">
        <v>9.7200000000000006</v>
      </c>
      <c r="C33" s="134">
        <v>15.65</v>
      </c>
      <c r="D33" s="134">
        <v>17.32</v>
      </c>
      <c r="E33" s="134">
        <v>5.07</v>
      </c>
      <c r="F33" s="134">
        <v>2.2400000000000002</v>
      </c>
      <c r="G33" s="134">
        <v>13.1</v>
      </c>
      <c r="H33" s="134">
        <v>6.54</v>
      </c>
      <c r="I33" s="134">
        <v>3.02</v>
      </c>
      <c r="J33" s="134">
        <v>0.46</v>
      </c>
      <c r="K33" s="134">
        <v>257.89</v>
      </c>
      <c r="L33" s="134">
        <v>26.31</v>
      </c>
      <c r="M33" s="134">
        <v>91.65</v>
      </c>
      <c r="N33" s="134">
        <v>10.199999999999999</v>
      </c>
      <c r="O33" s="134">
        <v>0</v>
      </c>
      <c r="P33" s="134">
        <v>0.39</v>
      </c>
      <c r="Q33" s="134">
        <v>4.4000000000000004</v>
      </c>
    </row>
    <row r="34" spans="1:17" customFormat="1">
      <c r="A34" s="112" t="s">
        <v>2375</v>
      </c>
      <c r="B34" s="134">
        <v>9.9600000000000009</v>
      </c>
      <c r="C34" s="134">
        <v>15.11</v>
      </c>
      <c r="D34" s="134">
        <v>17.239999999999998</v>
      </c>
      <c r="E34" s="134">
        <v>5.5</v>
      </c>
      <c r="F34" s="134">
        <v>2.74</v>
      </c>
      <c r="G34" s="134">
        <v>13.1</v>
      </c>
      <c r="H34" s="134">
        <v>6.54</v>
      </c>
      <c r="I34" s="134">
        <v>3.04</v>
      </c>
      <c r="J34" s="134">
        <v>0.49</v>
      </c>
      <c r="K34" s="134">
        <v>256.3</v>
      </c>
      <c r="L34" s="134">
        <v>26.38</v>
      </c>
      <c r="M34" s="134">
        <v>91.57</v>
      </c>
      <c r="N34" s="134">
        <v>26.2</v>
      </c>
      <c r="O34" s="134">
        <v>0</v>
      </c>
      <c r="P34" s="134">
        <v>0.39</v>
      </c>
      <c r="Q34" s="134">
        <v>4.4400000000000004</v>
      </c>
    </row>
    <row r="35" spans="1:17" customFormat="1">
      <c r="A35" s="112" t="s">
        <v>2376</v>
      </c>
      <c r="B35" s="134">
        <v>9.8699999999999992</v>
      </c>
      <c r="C35" s="134">
        <v>13.65</v>
      </c>
      <c r="D35" s="134">
        <v>16.399999999999999</v>
      </c>
      <c r="E35" s="134">
        <v>4.97</v>
      </c>
      <c r="F35" s="134">
        <v>3.78</v>
      </c>
      <c r="G35" s="134">
        <v>13.1</v>
      </c>
      <c r="H35" s="134">
        <v>6.54</v>
      </c>
      <c r="I35" s="134">
        <v>3.18</v>
      </c>
      <c r="J35" s="134">
        <v>0.5</v>
      </c>
      <c r="K35" s="134">
        <v>263.38</v>
      </c>
      <c r="L35" s="134">
        <v>26.48</v>
      </c>
      <c r="M35" s="134">
        <v>91.31</v>
      </c>
      <c r="N35" s="134">
        <v>25.6</v>
      </c>
      <c r="O35" s="134">
        <v>0</v>
      </c>
      <c r="P35" s="134">
        <v>0.37</v>
      </c>
      <c r="Q35" s="134">
        <v>4.37</v>
      </c>
    </row>
    <row r="36" spans="1:17" customFormat="1">
      <c r="A36" s="112" t="s">
        <v>2377</v>
      </c>
      <c r="B36" s="134">
        <v>9.75</v>
      </c>
      <c r="C36" s="134">
        <v>12.31</v>
      </c>
      <c r="D36" s="134">
        <v>15.6</v>
      </c>
      <c r="E36" s="134">
        <v>4.62</v>
      </c>
      <c r="F36" s="134">
        <v>4.62</v>
      </c>
      <c r="G36" s="134">
        <v>12.93</v>
      </c>
      <c r="H36" s="134">
        <v>6.4</v>
      </c>
      <c r="I36" s="134">
        <v>3.11</v>
      </c>
      <c r="J36" s="134">
        <v>0.56000000000000005</v>
      </c>
      <c r="K36" s="134">
        <v>269.61</v>
      </c>
      <c r="L36" s="134">
        <v>26.51</v>
      </c>
      <c r="M36" s="134">
        <v>91.35</v>
      </c>
      <c r="N36" s="134">
        <v>36.299999999999997</v>
      </c>
      <c r="O36" s="134">
        <v>0</v>
      </c>
      <c r="P36" s="134">
        <v>0.36</v>
      </c>
      <c r="Q36" s="134">
        <v>4.3499999999999996</v>
      </c>
    </row>
    <row r="37" spans="1:17" customFormat="1">
      <c r="A37" s="112" t="s">
        <v>2378</v>
      </c>
      <c r="B37" s="134">
        <v>9.9</v>
      </c>
      <c r="C37" s="134">
        <v>14.09</v>
      </c>
      <c r="D37" s="134">
        <v>16.649999999999999</v>
      </c>
      <c r="E37" s="134">
        <v>4.42</v>
      </c>
      <c r="F37" s="134">
        <v>3.22</v>
      </c>
      <c r="G37" s="134">
        <v>11.54</v>
      </c>
      <c r="H37" s="134">
        <v>5.47</v>
      </c>
      <c r="I37" s="134">
        <v>3</v>
      </c>
      <c r="J37" s="134">
        <v>0.51</v>
      </c>
      <c r="K37" s="134">
        <v>262.25</v>
      </c>
      <c r="L37" s="134">
        <v>26.63</v>
      </c>
      <c r="M37" s="134">
        <v>91.19</v>
      </c>
      <c r="N37" s="134">
        <v>70.3</v>
      </c>
      <c r="O37" s="134">
        <v>0</v>
      </c>
      <c r="P37" s="134">
        <v>0.37</v>
      </c>
      <c r="Q37" s="134">
        <v>4.37</v>
      </c>
    </row>
    <row r="38" spans="1:17" customFormat="1">
      <c r="A38" s="112" t="s">
        <v>2379</v>
      </c>
      <c r="B38" s="134">
        <v>10.220000000000001</v>
      </c>
      <c r="C38" s="134">
        <v>15.79</v>
      </c>
      <c r="D38" s="134">
        <v>17.8</v>
      </c>
      <c r="E38" s="134">
        <v>4.9000000000000004</v>
      </c>
      <c r="F38" s="134">
        <v>2.16</v>
      </c>
      <c r="G38" s="134">
        <v>11.54</v>
      </c>
      <c r="H38" s="134">
        <v>5.47</v>
      </c>
      <c r="I38" s="134">
        <v>2.97</v>
      </c>
      <c r="J38" s="134">
        <v>0.46</v>
      </c>
      <c r="K38" s="134">
        <v>263.89999999999998</v>
      </c>
      <c r="L38" s="134">
        <v>26.94</v>
      </c>
      <c r="M38" s="134">
        <v>90.19</v>
      </c>
      <c r="N38" s="134">
        <v>108.4</v>
      </c>
      <c r="O38" s="134">
        <v>0</v>
      </c>
      <c r="P38" s="134">
        <v>0.4</v>
      </c>
      <c r="Q38" s="134">
        <v>4.46</v>
      </c>
    </row>
    <row r="39" spans="1:17" customFormat="1">
      <c r="A39" s="112" t="s">
        <v>2380</v>
      </c>
      <c r="B39" s="134">
        <v>10.220000000000001</v>
      </c>
      <c r="C39" s="134">
        <v>14.38</v>
      </c>
      <c r="D39" s="134">
        <v>17.059999999999999</v>
      </c>
      <c r="E39" s="134">
        <v>5.16</v>
      </c>
      <c r="F39" s="134">
        <v>3.21</v>
      </c>
      <c r="G39" s="134">
        <v>11.54</v>
      </c>
      <c r="H39" s="134">
        <v>5.47</v>
      </c>
      <c r="I39" s="134">
        <v>3.11</v>
      </c>
      <c r="J39" s="134">
        <v>0.54</v>
      </c>
      <c r="K39" s="134">
        <v>264.22000000000003</v>
      </c>
      <c r="L39" s="134">
        <v>27.32</v>
      </c>
      <c r="M39" s="134">
        <v>88.81</v>
      </c>
      <c r="N39" s="134">
        <v>137.19999999999999</v>
      </c>
      <c r="O39" s="134">
        <v>0</v>
      </c>
      <c r="P39" s="134">
        <v>0.38</v>
      </c>
      <c r="Q39" s="134">
        <v>4.42</v>
      </c>
    </row>
    <row r="40" spans="1:17" customFormat="1">
      <c r="A40" s="112" t="s">
        <v>2381</v>
      </c>
      <c r="B40" s="134">
        <v>10.28</v>
      </c>
      <c r="C40" s="134">
        <v>13.37</v>
      </c>
      <c r="D40" s="134">
        <v>16.579999999999998</v>
      </c>
      <c r="E40" s="134">
        <v>5.33</v>
      </c>
      <c r="F40" s="134">
        <v>3.7</v>
      </c>
      <c r="G40" s="134">
        <v>11.47</v>
      </c>
      <c r="H40" s="134">
        <v>5.49</v>
      </c>
      <c r="I40" s="134">
        <v>3.17</v>
      </c>
      <c r="J40" s="134">
        <v>0.65</v>
      </c>
      <c r="K40" s="134">
        <v>259.55</v>
      </c>
      <c r="L40" s="134">
        <v>27.79</v>
      </c>
      <c r="M40" s="134">
        <v>86.32</v>
      </c>
      <c r="N40" s="134">
        <v>170.8</v>
      </c>
      <c r="O40" s="134">
        <v>0</v>
      </c>
      <c r="P40" s="134">
        <v>0.38</v>
      </c>
      <c r="Q40" s="134">
        <v>4.3600000000000003</v>
      </c>
    </row>
    <row r="41" spans="1:17" customFormat="1">
      <c r="A41" s="112" t="s">
        <v>2382</v>
      </c>
      <c r="B41" s="134">
        <v>10.36</v>
      </c>
      <c r="C41" s="134">
        <v>13.05</v>
      </c>
      <c r="D41" s="134">
        <v>16.48</v>
      </c>
      <c r="E41" s="134">
        <v>5.0599999999999996</v>
      </c>
      <c r="F41" s="134">
        <v>3.54</v>
      </c>
      <c r="G41" s="134">
        <v>10.95</v>
      </c>
      <c r="H41" s="134">
        <v>5.59</v>
      </c>
      <c r="I41" s="134">
        <v>3.13</v>
      </c>
      <c r="J41" s="134">
        <v>0.52</v>
      </c>
      <c r="K41" s="134">
        <v>257.5</v>
      </c>
      <c r="L41" s="134">
        <v>28.07</v>
      </c>
      <c r="M41" s="134">
        <v>85.67</v>
      </c>
      <c r="N41" s="134">
        <v>138</v>
      </c>
      <c r="O41" s="134">
        <v>0</v>
      </c>
      <c r="P41" s="134">
        <v>0.37</v>
      </c>
      <c r="Q41" s="134">
        <v>4.37</v>
      </c>
    </row>
    <row r="42" spans="1:17" customFormat="1">
      <c r="A42" s="112" t="s">
        <v>2383</v>
      </c>
      <c r="B42" s="134">
        <v>10.41</v>
      </c>
      <c r="C42" s="134">
        <v>13.44</v>
      </c>
      <c r="D42" s="134">
        <v>16.73</v>
      </c>
      <c r="E42" s="134">
        <v>4.92</v>
      </c>
      <c r="F42" s="134">
        <v>3.21</v>
      </c>
      <c r="G42" s="134">
        <v>10.95</v>
      </c>
      <c r="H42" s="134">
        <v>5.59</v>
      </c>
      <c r="I42" s="134">
        <v>3.16</v>
      </c>
      <c r="J42" s="134">
        <v>0.59</v>
      </c>
      <c r="K42" s="134">
        <v>259.33999999999997</v>
      </c>
      <c r="L42" s="134">
        <v>27.73</v>
      </c>
      <c r="M42" s="134">
        <v>86.22</v>
      </c>
      <c r="N42" s="134">
        <v>115.9</v>
      </c>
      <c r="O42" s="134">
        <v>0</v>
      </c>
      <c r="P42" s="134">
        <v>0.38</v>
      </c>
      <c r="Q42" s="134">
        <v>4.37</v>
      </c>
    </row>
    <row r="43" spans="1:17" customFormat="1">
      <c r="A43" s="112" t="s">
        <v>2384</v>
      </c>
      <c r="B43" s="134">
        <v>10.14</v>
      </c>
      <c r="C43" s="134">
        <v>14.48</v>
      </c>
      <c r="D43" s="134">
        <v>17.04</v>
      </c>
      <c r="E43" s="134">
        <v>4.9800000000000004</v>
      </c>
      <c r="F43" s="134">
        <v>2.76</v>
      </c>
      <c r="G43" s="134">
        <v>10.95</v>
      </c>
      <c r="H43" s="134">
        <v>5.59</v>
      </c>
      <c r="I43" s="134">
        <v>3.24</v>
      </c>
      <c r="J43" s="134">
        <v>0.54</v>
      </c>
      <c r="K43" s="134">
        <v>258.04000000000002</v>
      </c>
      <c r="L43" s="134">
        <v>28</v>
      </c>
      <c r="M43" s="134">
        <v>85.38</v>
      </c>
      <c r="N43" s="134">
        <v>180.6</v>
      </c>
      <c r="O43" s="134">
        <v>0</v>
      </c>
      <c r="P43" s="134">
        <v>0.43</v>
      </c>
      <c r="Q43" s="134">
        <v>4.38</v>
      </c>
    </row>
    <row r="44" spans="1:17" customFormat="1">
      <c r="A44" s="112" t="s">
        <v>2385</v>
      </c>
      <c r="B44" s="134">
        <v>9.67</v>
      </c>
      <c r="C44" s="134">
        <v>15</v>
      </c>
      <c r="D44" s="134">
        <v>16.940000000000001</v>
      </c>
      <c r="E44" s="134">
        <v>4.74</v>
      </c>
      <c r="F44" s="134">
        <v>2.95</v>
      </c>
      <c r="G44" s="134">
        <v>11.21</v>
      </c>
      <c r="H44" s="134">
        <v>5.64</v>
      </c>
      <c r="I44" s="134">
        <v>3.34</v>
      </c>
      <c r="J44" s="134">
        <v>0.73</v>
      </c>
      <c r="K44" s="134">
        <v>258.54000000000002</v>
      </c>
      <c r="L44" s="134">
        <v>28.12</v>
      </c>
      <c r="M44" s="134">
        <v>85.06</v>
      </c>
      <c r="N44" s="134">
        <v>181.8</v>
      </c>
      <c r="O44" s="134">
        <v>0</v>
      </c>
      <c r="P44" s="134">
        <v>0.44</v>
      </c>
      <c r="Q44" s="134">
        <v>4.43</v>
      </c>
    </row>
    <row r="45" spans="1:17" customFormat="1">
      <c r="A45" s="112" t="s">
        <v>2386</v>
      </c>
      <c r="B45" s="134">
        <v>9.5299999999999994</v>
      </c>
      <c r="C45" s="134">
        <v>13.45</v>
      </c>
      <c r="D45" s="134">
        <v>16.02</v>
      </c>
      <c r="E45" s="134">
        <v>4.8</v>
      </c>
      <c r="F45" s="134">
        <v>3.99</v>
      </c>
      <c r="G45" s="134">
        <v>13.28</v>
      </c>
      <c r="H45" s="134">
        <v>5.94</v>
      </c>
      <c r="I45" s="134">
        <v>3.45</v>
      </c>
      <c r="J45" s="134">
        <v>0.85</v>
      </c>
      <c r="K45" s="134">
        <v>262.08</v>
      </c>
      <c r="L45" s="134">
        <v>28.37</v>
      </c>
      <c r="M45" s="134">
        <v>83.26</v>
      </c>
      <c r="N45" s="134">
        <v>234.4</v>
      </c>
      <c r="O45" s="134">
        <v>0</v>
      </c>
      <c r="P45" s="134">
        <v>0.4</v>
      </c>
      <c r="Q45" s="134">
        <v>4.3600000000000003</v>
      </c>
    </row>
    <row r="46" spans="1:17" customFormat="1">
      <c r="A46" s="112" t="s">
        <v>2387</v>
      </c>
      <c r="B46" s="134">
        <v>9.59</v>
      </c>
      <c r="C46" s="134">
        <v>13.19</v>
      </c>
      <c r="D46" s="134">
        <v>15.94</v>
      </c>
      <c r="E46" s="134">
        <v>4.82</v>
      </c>
      <c r="F46" s="134">
        <v>3.6</v>
      </c>
      <c r="G46" s="134">
        <v>13.28</v>
      </c>
      <c r="H46" s="134">
        <v>5.94</v>
      </c>
      <c r="I46" s="134">
        <v>3.38</v>
      </c>
      <c r="J46" s="134">
        <v>0.57999999999999996</v>
      </c>
      <c r="K46" s="134">
        <v>255.59</v>
      </c>
      <c r="L46" s="134">
        <v>28.51</v>
      </c>
      <c r="M46" s="134">
        <v>83.23</v>
      </c>
      <c r="N46" s="134">
        <v>205.6</v>
      </c>
      <c r="O46" s="134">
        <v>0</v>
      </c>
      <c r="P46" s="134">
        <v>0.39</v>
      </c>
      <c r="Q46" s="134">
        <v>4.34</v>
      </c>
    </row>
    <row r="47" spans="1:17" customFormat="1">
      <c r="A47" s="112" t="s">
        <v>2388</v>
      </c>
      <c r="B47" s="134">
        <v>9.8000000000000007</v>
      </c>
      <c r="C47" s="134">
        <v>13.35</v>
      </c>
      <c r="D47" s="134">
        <v>16.190000000000001</v>
      </c>
      <c r="E47" s="134">
        <v>4.3499999999999996</v>
      </c>
      <c r="F47" s="134">
        <v>3.29</v>
      </c>
      <c r="G47" s="134">
        <v>13.28</v>
      </c>
      <c r="H47" s="134">
        <v>5.94</v>
      </c>
      <c r="I47" s="134">
        <v>3.24</v>
      </c>
      <c r="J47" s="134">
        <v>0.54</v>
      </c>
      <c r="K47" s="134">
        <v>255.96</v>
      </c>
      <c r="L47" s="134">
        <v>28.39</v>
      </c>
      <c r="M47" s="134">
        <v>84.25</v>
      </c>
      <c r="N47" s="134">
        <v>188.6</v>
      </c>
      <c r="O47" s="134">
        <v>0</v>
      </c>
      <c r="P47" s="134">
        <v>0.38</v>
      </c>
      <c r="Q47" s="134">
        <v>4.34</v>
      </c>
    </row>
    <row r="48" spans="1:17" customFormat="1">
      <c r="A48" s="112" t="s">
        <v>2389</v>
      </c>
      <c r="B48" s="134">
        <v>9.81</v>
      </c>
      <c r="C48" s="134">
        <v>13.18</v>
      </c>
      <c r="D48" s="134">
        <v>16.11</v>
      </c>
      <c r="E48" s="134">
        <v>4.55</v>
      </c>
      <c r="F48" s="134">
        <v>3.34</v>
      </c>
      <c r="G48" s="134">
        <v>13.34</v>
      </c>
      <c r="H48" s="134">
        <v>6.13</v>
      </c>
      <c r="I48" s="134">
        <v>3.21</v>
      </c>
      <c r="J48" s="134">
        <v>0.69</v>
      </c>
      <c r="K48" s="134">
        <v>260.04000000000002</v>
      </c>
      <c r="L48" s="134">
        <v>28.73</v>
      </c>
      <c r="M48" s="134">
        <v>82.83</v>
      </c>
      <c r="N48" s="134">
        <v>298.5</v>
      </c>
      <c r="O48" s="134">
        <v>0</v>
      </c>
      <c r="P48" s="134">
        <v>0.38</v>
      </c>
      <c r="Q48" s="134">
        <v>4.3499999999999996</v>
      </c>
    </row>
    <row r="49" spans="1:17" customFormat="1">
      <c r="A49" s="112" t="s">
        <v>2390</v>
      </c>
      <c r="B49" s="134">
        <v>9.94</v>
      </c>
      <c r="C49" s="134">
        <v>13.08</v>
      </c>
      <c r="D49" s="134">
        <v>16.149999999999999</v>
      </c>
      <c r="E49" s="134">
        <v>4.1399999999999997</v>
      </c>
      <c r="F49" s="134">
        <v>3.76</v>
      </c>
      <c r="G49" s="134">
        <v>13.85</v>
      </c>
      <c r="H49" s="134">
        <v>7.38</v>
      </c>
      <c r="I49" s="134">
        <v>3.22</v>
      </c>
      <c r="J49" s="134">
        <v>0.82</v>
      </c>
      <c r="K49" s="134">
        <v>263.13</v>
      </c>
      <c r="L49" s="134">
        <v>29.18</v>
      </c>
      <c r="M49" s="134">
        <v>80.430000000000007</v>
      </c>
      <c r="N49" s="134">
        <v>393.5</v>
      </c>
      <c r="O49" s="134">
        <v>0</v>
      </c>
      <c r="P49" s="134">
        <v>0.38</v>
      </c>
      <c r="Q49" s="134">
        <v>4.3499999999999996</v>
      </c>
    </row>
    <row r="50" spans="1:17" customFormat="1">
      <c r="A50" s="112" t="s">
        <v>2391</v>
      </c>
      <c r="B50" s="134">
        <v>9.92</v>
      </c>
      <c r="C50" s="134">
        <v>14.35</v>
      </c>
      <c r="D50" s="134">
        <v>16.809999999999999</v>
      </c>
      <c r="E50" s="134">
        <v>4.43</v>
      </c>
      <c r="F50" s="134">
        <v>2.93</v>
      </c>
      <c r="G50" s="134">
        <v>13.85</v>
      </c>
      <c r="H50" s="134">
        <v>7.38</v>
      </c>
      <c r="I50" s="134">
        <v>3.16</v>
      </c>
      <c r="J50" s="134">
        <v>0.92</v>
      </c>
      <c r="K50" s="134">
        <v>267.5</v>
      </c>
      <c r="L50" s="134">
        <v>29.9</v>
      </c>
      <c r="M50" s="134">
        <v>77.760000000000005</v>
      </c>
      <c r="N50" s="134">
        <v>477.4</v>
      </c>
      <c r="O50" s="134">
        <v>0</v>
      </c>
      <c r="P50" s="134">
        <v>0.4</v>
      </c>
      <c r="Q50" s="134">
        <v>4.34</v>
      </c>
    </row>
    <row r="51" spans="1:17" customFormat="1">
      <c r="A51" s="112" t="s">
        <v>2392</v>
      </c>
      <c r="B51" s="134">
        <v>9.83</v>
      </c>
      <c r="C51" s="134">
        <v>15.13</v>
      </c>
      <c r="D51" s="134">
        <v>17.14</v>
      </c>
      <c r="E51" s="134">
        <v>4.8099999999999996</v>
      </c>
      <c r="F51" s="134">
        <v>2.69</v>
      </c>
      <c r="G51" s="134">
        <v>13.85</v>
      </c>
      <c r="H51" s="134">
        <v>7.38</v>
      </c>
      <c r="I51" s="134">
        <v>3.16</v>
      </c>
      <c r="J51" s="134">
        <v>0.83</v>
      </c>
      <c r="K51" s="134">
        <v>262.97000000000003</v>
      </c>
      <c r="L51" s="134">
        <v>29.95</v>
      </c>
      <c r="M51" s="134">
        <v>77.2</v>
      </c>
      <c r="N51" s="134">
        <v>318.89999999999998</v>
      </c>
      <c r="O51" s="134">
        <v>0</v>
      </c>
      <c r="P51" s="134">
        <v>0.41</v>
      </c>
      <c r="Q51" s="134">
        <v>4.37</v>
      </c>
    </row>
    <row r="52" spans="1:17" customFormat="1">
      <c r="A52" s="112" t="s">
        <v>2393</v>
      </c>
      <c r="B52" s="134">
        <v>9.59</v>
      </c>
      <c r="C52" s="134">
        <v>14.6</v>
      </c>
      <c r="D52" s="134">
        <v>16.670000000000002</v>
      </c>
      <c r="E52" s="134">
        <v>4.51</v>
      </c>
      <c r="F52" s="134">
        <v>3.47</v>
      </c>
      <c r="G52" s="134">
        <v>14.23</v>
      </c>
      <c r="H52" s="134">
        <v>7.48</v>
      </c>
      <c r="I52" s="134">
        <v>3.2</v>
      </c>
      <c r="J52" s="134">
        <v>0.7</v>
      </c>
      <c r="K52" s="134">
        <v>251.75</v>
      </c>
      <c r="L52" s="134">
        <v>29.57</v>
      </c>
      <c r="M52" s="134">
        <v>78.22</v>
      </c>
      <c r="N52" s="134">
        <v>334.5</v>
      </c>
      <c r="O52" s="134">
        <v>0</v>
      </c>
      <c r="P52" s="134">
        <v>0.4</v>
      </c>
      <c r="Q52" s="134">
        <v>4.3499999999999996</v>
      </c>
    </row>
    <row r="53" spans="1:17" customFormat="1">
      <c r="A53" s="112" t="s">
        <v>2394</v>
      </c>
      <c r="B53" s="134">
        <v>9.51</v>
      </c>
      <c r="C53" s="134">
        <v>13.82</v>
      </c>
      <c r="D53" s="134">
        <v>16.2</v>
      </c>
      <c r="E53" s="134">
        <v>4.9000000000000004</v>
      </c>
      <c r="F53" s="134">
        <v>4.33</v>
      </c>
      <c r="G53" s="134">
        <v>17.309999999999999</v>
      </c>
      <c r="H53" s="134">
        <v>8.1199999999999992</v>
      </c>
      <c r="I53" s="134">
        <v>3.22</v>
      </c>
      <c r="J53" s="134">
        <v>0.75</v>
      </c>
      <c r="K53" s="134">
        <v>257.55</v>
      </c>
      <c r="L53" s="134">
        <v>29.96</v>
      </c>
      <c r="M53" s="134">
        <v>76.94</v>
      </c>
      <c r="N53" s="134">
        <v>434.1</v>
      </c>
      <c r="O53" s="134">
        <v>0</v>
      </c>
      <c r="P53" s="134">
        <v>0.39</v>
      </c>
      <c r="Q53" s="134">
        <v>4.34</v>
      </c>
    </row>
    <row r="54" spans="1:17" customFormat="1">
      <c r="A54" s="112" t="s">
        <v>2395</v>
      </c>
      <c r="B54" s="134">
        <v>9.6</v>
      </c>
      <c r="C54" s="134">
        <v>13.43</v>
      </c>
      <c r="D54" s="134">
        <v>16.07</v>
      </c>
      <c r="E54" s="134">
        <v>4.95</v>
      </c>
      <c r="F54" s="134">
        <v>3.9</v>
      </c>
      <c r="G54" s="134">
        <v>17.309999999999999</v>
      </c>
      <c r="H54" s="134">
        <v>8.1199999999999992</v>
      </c>
      <c r="I54" s="134">
        <v>3.16</v>
      </c>
      <c r="J54" s="134">
        <v>0.59</v>
      </c>
      <c r="K54" s="134">
        <v>251.76</v>
      </c>
      <c r="L54" s="134">
        <v>30.53</v>
      </c>
      <c r="M54" s="134">
        <v>76.150000000000006</v>
      </c>
      <c r="N54" s="134">
        <v>464.6</v>
      </c>
      <c r="O54" s="134">
        <v>0</v>
      </c>
      <c r="P54" s="134">
        <v>0.38</v>
      </c>
      <c r="Q54" s="134">
        <v>4.32</v>
      </c>
    </row>
    <row r="55" spans="1:17" customFormat="1">
      <c r="A55" s="112" t="s">
        <v>2396</v>
      </c>
      <c r="B55" s="134">
        <v>9.42</v>
      </c>
      <c r="C55" s="134">
        <v>13.49</v>
      </c>
      <c r="D55" s="134">
        <v>15.95</v>
      </c>
      <c r="E55" s="134">
        <v>5.01</v>
      </c>
      <c r="F55" s="134">
        <v>3.99</v>
      </c>
      <c r="G55" s="134">
        <v>17.309999999999999</v>
      </c>
      <c r="H55" s="134">
        <v>8.1199999999999992</v>
      </c>
      <c r="I55" s="134">
        <v>3.1</v>
      </c>
      <c r="J55" s="134">
        <v>0.86</v>
      </c>
      <c r="K55" s="134">
        <v>264.81</v>
      </c>
      <c r="L55" s="134">
        <v>30.56</v>
      </c>
      <c r="M55" s="134">
        <v>73.81</v>
      </c>
      <c r="N55" s="134">
        <v>393.6</v>
      </c>
      <c r="O55" s="134">
        <v>0</v>
      </c>
      <c r="P55" s="134">
        <v>0.38</v>
      </c>
      <c r="Q55" s="134">
        <v>4.3</v>
      </c>
    </row>
    <row r="56" spans="1:17" customFormat="1">
      <c r="A56" s="112" t="s">
        <v>2397</v>
      </c>
      <c r="B56" s="134">
        <v>9.35</v>
      </c>
      <c r="C56" s="134">
        <v>13.31</v>
      </c>
      <c r="D56" s="134">
        <v>15.8</v>
      </c>
      <c r="E56" s="134">
        <v>5.1100000000000003</v>
      </c>
      <c r="F56" s="134">
        <v>4.67</v>
      </c>
      <c r="G56" s="134">
        <v>16.98</v>
      </c>
      <c r="H56" s="134">
        <v>8.44</v>
      </c>
      <c r="I56" s="134">
        <v>3.1</v>
      </c>
      <c r="J56" s="134">
        <v>0.63</v>
      </c>
      <c r="K56" s="134">
        <v>253.5</v>
      </c>
      <c r="L56" s="134">
        <v>30.87</v>
      </c>
      <c r="M56" s="134">
        <v>73.36</v>
      </c>
      <c r="N56" s="134">
        <v>552.6</v>
      </c>
      <c r="O56" s="134">
        <v>0</v>
      </c>
      <c r="P56" s="134">
        <v>0.37</v>
      </c>
      <c r="Q56" s="134">
        <v>4.3</v>
      </c>
    </row>
    <row r="57" spans="1:17" customFormat="1">
      <c r="A57" s="112" t="s">
        <v>2398</v>
      </c>
      <c r="B57" s="134">
        <v>8.9700000000000006</v>
      </c>
      <c r="C57" s="134">
        <v>13.59</v>
      </c>
      <c r="D57" s="134">
        <v>15.64</v>
      </c>
      <c r="E57" s="134">
        <v>5.75</v>
      </c>
      <c r="F57" s="134">
        <v>5.22</v>
      </c>
      <c r="G57" s="134">
        <v>14.33</v>
      </c>
      <c r="H57" s="134">
        <v>10.46</v>
      </c>
      <c r="I57" s="134">
        <v>3.08</v>
      </c>
      <c r="J57" s="134">
        <v>1.1000000000000001</v>
      </c>
      <c r="K57" s="134">
        <v>265.31</v>
      </c>
      <c r="L57" s="134">
        <v>30.92</v>
      </c>
      <c r="M57" s="134">
        <v>72.25</v>
      </c>
      <c r="N57" s="134">
        <v>493.3</v>
      </c>
      <c r="O57" s="134">
        <v>0</v>
      </c>
      <c r="P57" s="134">
        <v>0.37</v>
      </c>
      <c r="Q57" s="134">
        <v>4.29</v>
      </c>
    </row>
    <row r="58" spans="1:17" customFormat="1">
      <c r="A58" s="112" t="s">
        <v>2399</v>
      </c>
      <c r="B58" s="134">
        <v>8.86</v>
      </c>
      <c r="C58" s="134">
        <v>13.45</v>
      </c>
      <c r="D58" s="134">
        <v>15.49</v>
      </c>
      <c r="E58" s="134">
        <v>5.5</v>
      </c>
      <c r="F58" s="134">
        <v>4.7699999999999996</v>
      </c>
      <c r="G58" s="134">
        <v>14.33</v>
      </c>
      <c r="H58" s="134">
        <v>10.46</v>
      </c>
      <c r="I58" s="134">
        <v>3.06</v>
      </c>
      <c r="J58" s="134">
        <v>0.92</v>
      </c>
      <c r="K58" s="134">
        <v>270.27</v>
      </c>
      <c r="L58" s="134">
        <v>30.72</v>
      </c>
      <c r="M58" s="134">
        <v>73.11</v>
      </c>
      <c r="N58" s="134">
        <v>456.6</v>
      </c>
      <c r="O58" s="134">
        <v>0</v>
      </c>
      <c r="P58" s="134">
        <v>0.37</v>
      </c>
      <c r="Q58" s="134">
        <v>4.2699999999999996</v>
      </c>
    </row>
    <row r="59" spans="1:17" customFormat="1">
      <c r="A59" s="112" t="s">
        <v>2400</v>
      </c>
      <c r="B59" s="134">
        <v>8.8000000000000007</v>
      </c>
      <c r="C59" s="134">
        <v>13.19</v>
      </c>
      <c r="D59" s="134">
        <v>15.3</v>
      </c>
      <c r="E59" s="134">
        <v>5.57</v>
      </c>
      <c r="F59" s="134">
        <v>4.99</v>
      </c>
      <c r="G59" s="134">
        <v>14.33</v>
      </c>
      <c r="H59" s="134">
        <v>10.46</v>
      </c>
      <c r="I59" s="134">
        <v>3.02</v>
      </c>
      <c r="J59" s="134">
        <v>1.1100000000000001</v>
      </c>
      <c r="K59" s="134">
        <v>266.08</v>
      </c>
      <c r="L59" s="134">
        <v>30.62</v>
      </c>
      <c r="M59" s="134">
        <v>72.63</v>
      </c>
      <c r="N59" s="134">
        <v>380.7</v>
      </c>
      <c r="O59" s="134">
        <v>0</v>
      </c>
      <c r="P59" s="134">
        <v>0.37</v>
      </c>
      <c r="Q59" s="134">
        <v>4.24</v>
      </c>
    </row>
    <row r="60" spans="1:17" customFormat="1">
      <c r="A60" s="112" t="s">
        <v>2401</v>
      </c>
      <c r="B60" s="134">
        <v>8.5</v>
      </c>
      <c r="C60" s="134">
        <v>13.23</v>
      </c>
      <c r="D60" s="134">
        <v>15.08</v>
      </c>
      <c r="E60" s="134">
        <v>5.09</v>
      </c>
      <c r="F60" s="134">
        <v>5.92</v>
      </c>
      <c r="G60" s="134">
        <v>14.29</v>
      </c>
      <c r="H60" s="134">
        <v>10.07</v>
      </c>
      <c r="I60" s="134">
        <v>3.01</v>
      </c>
      <c r="J60" s="134">
        <v>1.21</v>
      </c>
      <c r="K60" s="134">
        <v>265.47000000000003</v>
      </c>
      <c r="L60" s="134">
        <v>30.31</v>
      </c>
      <c r="M60" s="134">
        <v>73.599999999999994</v>
      </c>
      <c r="N60" s="134">
        <v>351.6</v>
      </c>
      <c r="O60" s="134">
        <v>0</v>
      </c>
      <c r="P60" s="134">
        <v>0.37</v>
      </c>
      <c r="Q60" s="134">
        <v>4.22</v>
      </c>
    </row>
    <row r="61" spans="1:17" customFormat="1">
      <c r="A61" s="112" t="s">
        <v>2402</v>
      </c>
      <c r="B61" s="134">
        <v>8.25</v>
      </c>
      <c r="C61" s="134">
        <v>13.29</v>
      </c>
      <c r="D61" s="134">
        <v>14.91</v>
      </c>
      <c r="E61" s="134">
        <v>4.68</v>
      </c>
      <c r="F61" s="134">
        <v>5.26</v>
      </c>
      <c r="G61" s="134">
        <v>13.97</v>
      </c>
      <c r="H61" s="134">
        <v>7.87</v>
      </c>
      <c r="I61" s="134">
        <v>2.98</v>
      </c>
      <c r="J61" s="134">
        <v>1.02</v>
      </c>
      <c r="K61" s="134">
        <v>267.04000000000002</v>
      </c>
      <c r="L61" s="134">
        <v>30.28</v>
      </c>
      <c r="M61" s="134">
        <v>74.02</v>
      </c>
      <c r="N61" s="134">
        <v>283.39999999999998</v>
      </c>
      <c r="O61" s="134">
        <v>0</v>
      </c>
      <c r="P61" s="134">
        <v>0.37</v>
      </c>
      <c r="Q61" s="134">
        <v>4.21</v>
      </c>
    </row>
    <row r="62" spans="1:17" customFormat="1">
      <c r="A62" s="112" t="s">
        <v>2403</v>
      </c>
      <c r="B62" s="134">
        <v>8.08</v>
      </c>
      <c r="C62" s="134">
        <v>13.33</v>
      </c>
      <c r="D62" s="134">
        <v>14.8</v>
      </c>
      <c r="E62" s="134">
        <v>4.41</v>
      </c>
      <c r="F62" s="134">
        <v>5.32</v>
      </c>
      <c r="G62" s="134">
        <v>13.97</v>
      </c>
      <c r="H62" s="134">
        <v>7.87</v>
      </c>
      <c r="I62" s="134">
        <v>2.96</v>
      </c>
      <c r="J62" s="134">
        <v>1.1299999999999999</v>
      </c>
      <c r="K62" s="134">
        <v>264.77</v>
      </c>
      <c r="L62" s="134">
        <v>30.61</v>
      </c>
      <c r="M62" s="134">
        <v>72.400000000000006</v>
      </c>
      <c r="N62" s="134">
        <v>583.9</v>
      </c>
      <c r="O62" s="134">
        <v>0</v>
      </c>
      <c r="P62" s="134">
        <v>0.37</v>
      </c>
      <c r="Q62" s="134">
        <v>4.17</v>
      </c>
    </row>
    <row r="63" spans="1:17" customFormat="1">
      <c r="A63" s="112" t="s">
        <v>2404</v>
      </c>
      <c r="B63" s="134">
        <v>7.79</v>
      </c>
      <c r="C63" s="134">
        <v>13.69</v>
      </c>
      <c r="D63" s="134">
        <v>14.75</v>
      </c>
      <c r="E63" s="134">
        <v>4.29</v>
      </c>
      <c r="F63" s="134">
        <v>3.88</v>
      </c>
      <c r="G63" s="134">
        <v>13.97</v>
      </c>
      <c r="H63" s="134">
        <v>7.87</v>
      </c>
      <c r="I63" s="134">
        <v>2.92</v>
      </c>
      <c r="J63" s="134">
        <v>1.1100000000000001</v>
      </c>
      <c r="K63" s="134">
        <v>265.62</v>
      </c>
      <c r="L63" s="134">
        <v>31.25</v>
      </c>
      <c r="M63" s="134">
        <v>70.7</v>
      </c>
      <c r="N63" s="134">
        <v>687.2</v>
      </c>
      <c r="O63" s="134">
        <v>0</v>
      </c>
      <c r="P63" s="134">
        <v>0.39</v>
      </c>
      <c r="Q63" s="134">
        <v>4.1900000000000004</v>
      </c>
    </row>
    <row r="64" spans="1:17" customFormat="1">
      <c r="A64" s="112" t="s">
        <v>2405</v>
      </c>
      <c r="B64" s="134">
        <v>6.91</v>
      </c>
      <c r="C64" s="134">
        <v>15.05</v>
      </c>
      <c r="D64" s="134">
        <v>14.76</v>
      </c>
      <c r="E64" s="134">
        <v>4.55</v>
      </c>
      <c r="F64" s="134">
        <v>3.4</v>
      </c>
      <c r="G64" s="134">
        <v>14.02</v>
      </c>
      <c r="H64" s="134">
        <v>7.88</v>
      </c>
      <c r="I64" s="134">
        <v>2.94</v>
      </c>
      <c r="J64" s="134">
        <v>1.02</v>
      </c>
      <c r="K64" s="134">
        <v>262.2</v>
      </c>
      <c r="L64" s="134">
        <v>31.77</v>
      </c>
      <c r="M64" s="134">
        <v>69.14</v>
      </c>
      <c r="N64" s="134">
        <v>785.7</v>
      </c>
      <c r="O64" s="134">
        <v>0</v>
      </c>
      <c r="P64" s="134">
        <v>0.43</v>
      </c>
      <c r="Q64" s="134">
        <v>4.22</v>
      </c>
    </row>
    <row r="65" spans="1:17" customFormat="1">
      <c r="A65" s="112" t="s">
        <v>2406</v>
      </c>
      <c r="B65" s="134">
        <v>6.4</v>
      </c>
      <c r="C65" s="134">
        <v>15.42</v>
      </c>
      <c r="D65" s="134">
        <v>14.54</v>
      </c>
      <c r="E65" s="134">
        <v>3.7</v>
      </c>
      <c r="F65" s="134">
        <v>3.72</v>
      </c>
      <c r="G65" s="134">
        <v>14.45</v>
      </c>
      <c r="H65" s="134">
        <v>7.93</v>
      </c>
      <c r="I65" s="134">
        <v>3.04</v>
      </c>
      <c r="J65" s="134">
        <v>1.18</v>
      </c>
      <c r="K65" s="134">
        <v>263.93</v>
      </c>
      <c r="L65" s="134">
        <v>31.82</v>
      </c>
      <c r="M65" s="134">
        <v>68.67</v>
      </c>
      <c r="N65" s="134">
        <v>719.8</v>
      </c>
      <c r="O65" s="134">
        <v>0</v>
      </c>
      <c r="P65" s="134">
        <v>0.31</v>
      </c>
      <c r="Q65" s="134">
        <v>4.22</v>
      </c>
    </row>
    <row r="66" spans="1:17" customFormat="1">
      <c r="A66" s="112" t="s">
        <v>2407</v>
      </c>
      <c r="B66" s="134">
        <v>6.4</v>
      </c>
      <c r="C66" s="134">
        <v>14.44</v>
      </c>
      <c r="D66" s="134">
        <v>14.02</v>
      </c>
      <c r="E66" s="134">
        <v>3.38</v>
      </c>
      <c r="F66" s="134">
        <v>4.34</v>
      </c>
      <c r="G66" s="134">
        <v>14.45</v>
      </c>
      <c r="H66" s="134">
        <v>7.93</v>
      </c>
      <c r="I66" s="134">
        <v>3.04</v>
      </c>
      <c r="J66" s="134">
        <v>0.97</v>
      </c>
      <c r="K66" s="134">
        <v>270.22000000000003</v>
      </c>
      <c r="L66" s="134">
        <v>31.42</v>
      </c>
      <c r="M66" s="134">
        <v>69.47</v>
      </c>
      <c r="N66" s="134">
        <v>598.79999999999995</v>
      </c>
      <c r="O66" s="134">
        <v>0</v>
      </c>
      <c r="P66" s="134">
        <v>0.28999999999999998</v>
      </c>
      <c r="Q66" s="134">
        <v>4.16</v>
      </c>
    </row>
    <row r="67" spans="1:17" customFormat="1">
      <c r="A67" s="112" t="s">
        <v>2408</v>
      </c>
      <c r="B67" s="134">
        <v>6.4</v>
      </c>
      <c r="C67" s="134">
        <v>14.05</v>
      </c>
      <c r="D67" s="134">
        <v>13.82</v>
      </c>
      <c r="E67" s="134">
        <v>3.72</v>
      </c>
      <c r="F67" s="134">
        <v>4.74</v>
      </c>
      <c r="G67" s="134">
        <v>14.45</v>
      </c>
      <c r="H67" s="134">
        <v>7.93</v>
      </c>
      <c r="I67" s="134">
        <v>2.92</v>
      </c>
      <c r="J67" s="134">
        <v>1.05</v>
      </c>
      <c r="K67" s="134">
        <v>262.52</v>
      </c>
      <c r="L67" s="134">
        <v>31.41</v>
      </c>
      <c r="M67" s="134">
        <v>69.64</v>
      </c>
      <c r="N67" s="134">
        <v>440.2</v>
      </c>
      <c r="O67" s="134">
        <v>0</v>
      </c>
      <c r="P67" s="134">
        <v>0.27</v>
      </c>
      <c r="Q67" s="134">
        <v>4.12</v>
      </c>
    </row>
    <row r="68" spans="1:17" customFormat="1">
      <c r="A68" s="112" t="s">
        <v>2409</v>
      </c>
      <c r="B68" s="134">
        <v>6.42</v>
      </c>
      <c r="C68" s="134">
        <v>13.24</v>
      </c>
      <c r="D68" s="134">
        <v>13.41</v>
      </c>
      <c r="E68" s="134">
        <v>3.74</v>
      </c>
      <c r="F68" s="134">
        <v>6.77</v>
      </c>
      <c r="G68" s="134">
        <v>14.6</v>
      </c>
      <c r="H68" s="134">
        <v>8.06</v>
      </c>
      <c r="I68" s="134">
        <v>2.86</v>
      </c>
      <c r="J68" s="134">
        <v>1.06</v>
      </c>
      <c r="K68" s="134">
        <v>260.67</v>
      </c>
      <c r="L68" s="134">
        <v>31.22</v>
      </c>
      <c r="M68" s="134">
        <v>70.34</v>
      </c>
      <c r="N68" s="134">
        <v>454.7</v>
      </c>
      <c r="O68" s="134">
        <v>0</v>
      </c>
      <c r="P68" s="134">
        <v>0.26</v>
      </c>
      <c r="Q68" s="134">
        <v>4.09</v>
      </c>
    </row>
    <row r="69" spans="1:17" customFormat="1">
      <c r="A69" s="112" t="s">
        <v>2410</v>
      </c>
      <c r="B69" s="134">
        <v>6.46</v>
      </c>
      <c r="C69" s="134">
        <v>12.48</v>
      </c>
      <c r="D69" s="134">
        <v>13.05</v>
      </c>
      <c r="E69" s="134">
        <v>3.6</v>
      </c>
      <c r="F69" s="134">
        <v>6.85</v>
      </c>
      <c r="G69" s="134">
        <v>15.78</v>
      </c>
      <c r="H69" s="134">
        <v>8.7899999999999991</v>
      </c>
      <c r="I69" s="134">
        <v>2.8</v>
      </c>
      <c r="J69" s="134">
        <v>0.73</v>
      </c>
      <c r="K69" s="134">
        <v>260.49</v>
      </c>
      <c r="L69" s="134">
        <v>31.54</v>
      </c>
      <c r="M69" s="134">
        <v>70.239999999999995</v>
      </c>
      <c r="N69" s="134">
        <v>478.7</v>
      </c>
      <c r="O69" s="134">
        <v>0</v>
      </c>
      <c r="P69" s="134">
        <v>0.25</v>
      </c>
      <c r="Q69" s="134">
        <v>4.08</v>
      </c>
    </row>
    <row r="70" spans="1:17" customFormat="1">
      <c r="A70" s="112" t="s">
        <v>2411</v>
      </c>
      <c r="B70" s="134">
        <v>6.73</v>
      </c>
      <c r="C70" s="134">
        <v>12.2</v>
      </c>
      <c r="D70" s="134">
        <v>13.12</v>
      </c>
      <c r="E70" s="134">
        <v>3.79</v>
      </c>
      <c r="F70" s="134">
        <v>6.48</v>
      </c>
      <c r="G70" s="134">
        <v>15.78</v>
      </c>
      <c r="H70" s="134">
        <v>8.7899999999999991</v>
      </c>
      <c r="I70" s="134">
        <v>2.7</v>
      </c>
      <c r="J70" s="134">
        <v>0.94</v>
      </c>
      <c r="K70" s="134">
        <v>264.36</v>
      </c>
      <c r="L70" s="134">
        <v>31.44</v>
      </c>
      <c r="M70" s="134">
        <v>69.849999999999994</v>
      </c>
      <c r="N70" s="134">
        <v>382.3</v>
      </c>
      <c r="O70" s="134">
        <v>0</v>
      </c>
      <c r="P70" s="134">
        <v>0.24</v>
      </c>
      <c r="Q70" s="134">
        <v>4.0599999999999996</v>
      </c>
    </row>
    <row r="71" spans="1:17" customFormat="1">
      <c r="A71" s="112" t="s">
        <v>2412</v>
      </c>
      <c r="B71" s="134">
        <v>6.91</v>
      </c>
      <c r="C71" s="134">
        <v>12.27</v>
      </c>
      <c r="D71" s="134">
        <v>13.3</v>
      </c>
      <c r="E71" s="134">
        <v>4.05</v>
      </c>
      <c r="F71" s="134">
        <v>6.15</v>
      </c>
      <c r="G71" s="134">
        <v>15.78</v>
      </c>
      <c r="H71" s="134">
        <v>8.7899999999999991</v>
      </c>
      <c r="I71" s="134">
        <v>2.65</v>
      </c>
      <c r="J71" s="134">
        <v>0.79</v>
      </c>
      <c r="K71" s="134">
        <v>263.82</v>
      </c>
      <c r="L71" s="134">
        <v>31.43</v>
      </c>
      <c r="M71" s="134">
        <v>69.400000000000006</v>
      </c>
      <c r="N71" s="134">
        <v>366.3</v>
      </c>
      <c r="O71" s="134">
        <v>0</v>
      </c>
      <c r="P71" s="134">
        <v>0.24</v>
      </c>
      <c r="Q71" s="134">
        <v>4.05</v>
      </c>
    </row>
    <row r="72" spans="1:17" customFormat="1">
      <c r="A72" s="112" t="s">
        <v>2413</v>
      </c>
      <c r="B72" s="134">
        <v>7</v>
      </c>
      <c r="C72" s="134">
        <v>12.44</v>
      </c>
      <c r="D72" s="134">
        <v>13.46</v>
      </c>
      <c r="E72" s="134">
        <v>4.17</v>
      </c>
      <c r="F72" s="134">
        <v>6.45</v>
      </c>
      <c r="G72" s="134">
        <v>15.98</v>
      </c>
      <c r="H72" s="134">
        <v>8.9700000000000006</v>
      </c>
      <c r="I72" s="134">
        <v>2.69</v>
      </c>
      <c r="J72" s="134">
        <v>0.98</v>
      </c>
      <c r="K72" s="134">
        <v>271.85000000000002</v>
      </c>
      <c r="L72" s="134">
        <v>31.2</v>
      </c>
      <c r="M72" s="134">
        <v>69.77</v>
      </c>
      <c r="N72" s="134">
        <v>286</v>
      </c>
      <c r="O72" s="134">
        <v>0</v>
      </c>
      <c r="P72" s="134">
        <v>0.25</v>
      </c>
      <c r="Q72" s="134">
        <v>4.05</v>
      </c>
    </row>
    <row r="73" spans="1:17" customFormat="1">
      <c r="A73" s="112" t="s">
        <v>2414</v>
      </c>
      <c r="B73" s="134">
        <v>7.01</v>
      </c>
      <c r="C73" s="134">
        <v>12.15</v>
      </c>
      <c r="D73" s="134">
        <v>13.32</v>
      </c>
      <c r="E73" s="134">
        <v>3.81</v>
      </c>
      <c r="F73" s="134">
        <v>6.63</v>
      </c>
      <c r="G73" s="134">
        <v>17.62</v>
      </c>
      <c r="H73" s="134">
        <v>10.1</v>
      </c>
      <c r="I73" s="134">
        <v>2.72</v>
      </c>
      <c r="J73" s="134">
        <v>0.85</v>
      </c>
      <c r="K73" s="134">
        <v>259.41000000000003</v>
      </c>
      <c r="L73" s="134">
        <v>30.95</v>
      </c>
      <c r="M73" s="134">
        <v>71.180000000000007</v>
      </c>
      <c r="N73" s="134">
        <v>206.8</v>
      </c>
      <c r="O73" s="134">
        <v>0</v>
      </c>
      <c r="P73" s="134">
        <v>0.24</v>
      </c>
      <c r="Q73" s="134">
        <v>4.03</v>
      </c>
    </row>
    <row r="74" spans="1:17" customFormat="1">
      <c r="A74" s="112" t="s">
        <v>2415</v>
      </c>
      <c r="B74" s="134">
        <v>7.13</v>
      </c>
      <c r="C74" s="134">
        <v>11.97</v>
      </c>
      <c r="D74" s="134">
        <v>13.32</v>
      </c>
      <c r="E74" s="134">
        <v>4.34</v>
      </c>
      <c r="F74" s="134">
        <v>6.3</v>
      </c>
      <c r="G74" s="134">
        <v>17.62</v>
      </c>
      <c r="H74" s="134">
        <v>10.1</v>
      </c>
      <c r="I74" s="134">
        <v>2.71</v>
      </c>
      <c r="J74" s="134">
        <v>0.96</v>
      </c>
      <c r="K74" s="134">
        <v>268.36</v>
      </c>
      <c r="L74" s="134">
        <v>30.44</v>
      </c>
      <c r="M74" s="134">
        <v>71.73</v>
      </c>
      <c r="N74" s="134">
        <v>147.1</v>
      </c>
      <c r="O74" s="134">
        <v>0</v>
      </c>
      <c r="P74" s="134">
        <v>0.25</v>
      </c>
      <c r="Q74" s="134">
        <v>4.04</v>
      </c>
    </row>
    <row r="75" spans="1:17" customFormat="1">
      <c r="A75" s="112" t="s">
        <v>2416</v>
      </c>
      <c r="B75" s="134">
        <v>7.01</v>
      </c>
      <c r="C75" s="134">
        <v>11.6</v>
      </c>
      <c r="D75" s="134">
        <v>13.04</v>
      </c>
      <c r="E75" s="134">
        <v>3.92</v>
      </c>
      <c r="F75" s="134">
        <v>7.67</v>
      </c>
      <c r="G75" s="134">
        <v>17.62</v>
      </c>
      <c r="H75" s="134">
        <v>10.1</v>
      </c>
      <c r="I75" s="134">
        <v>2.65</v>
      </c>
      <c r="J75" s="134">
        <v>0.71</v>
      </c>
      <c r="K75" s="134">
        <v>256.58999999999997</v>
      </c>
      <c r="L75" s="134">
        <v>30.36</v>
      </c>
      <c r="M75" s="134">
        <v>72.930000000000007</v>
      </c>
      <c r="N75" s="134">
        <v>132.69999999999999</v>
      </c>
      <c r="O75" s="134">
        <v>0</v>
      </c>
      <c r="P75" s="134">
        <v>0.24</v>
      </c>
      <c r="Q75" s="134">
        <v>4.0199999999999996</v>
      </c>
    </row>
    <row r="76" spans="1:17" customFormat="1">
      <c r="A76" s="112" t="s">
        <v>2417</v>
      </c>
      <c r="B76" s="134">
        <v>7.03</v>
      </c>
      <c r="C76" s="134">
        <v>11.33</v>
      </c>
      <c r="D76" s="134">
        <v>12.91</v>
      </c>
      <c r="E76" s="134">
        <v>3.62</v>
      </c>
      <c r="F76" s="134">
        <v>8.2100000000000009</v>
      </c>
      <c r="G76" s="134">
        <v>17.61</v>
      </c>
      <c r="H76" s="134">
        <v>9.98</v>
      </c>
      <c r="I76" s="134">
        <v>2.67</v>
      </c>
      <c r="J76" s="134">
        <v>0.95</v>
      </c>
      <c r="K76" s="134">
        <v>262.58999999999997</v>
      </c>
      <c r="L76" s="134">
        <v>30.23</v>
      </c>
      <c r="M76" s="134">
        <v>73.12</v>
      </c>
      <c r="N76" s="134">
        <v>104.5</v>
      </c>
      <c r="O76" s="134">
        <v>0</v>
      </c>
      <c r="P76" s="134">
        <v>0.24</v>
      </c>
      <c r="Q76" s="134">
        <v>4</v>
      </c>
    </row>
    <row r="77" spans="1:17" customFormat="1">
      <c r="A77" s="112" t="s">
        <v>2418</v>
      </c>
      <c r="B77" s="134">
        <v>7.04</v>
      </c>
      <c r="C77" s="134">
        <v>11.52</v>
      </c>
      <c r="D77" s="134">
        <v>13.02</v>
      </c>
      <c r="E77" s="134">
        <v>3.91</v>
      </c>
      <c r="F77" s="134">
        <v>7.09</v>
      </c>
      <c r="G77" s="134">
        <v>17.54</v>
      </c>
      <c r="H77" s="134">
        <v>9.24</v>
      </c>
      <c r="I77" s="134">
        <v>2.61</v>
      </c>
      <c r="J77" s="134">
        <v>0.74</v>
      </c>
      <c r="K77" s="134">
        <v>263.14999999999998</v>
      </c>
      <c r="L77" s="134">
        <v>30.07</v>
      </c>
      <c r="M77" s="134">
        <v>74.58</v>
      </c>
      <c r="N77" s="134">
        <v>82.1</v>
      </c>
      <c r="O77" s="134">
        <v>0</v>
      </c>
      <c r="P77" s="134">
        <v>0.24</v>
      </c>
      <c r="Q77" s="134">
        <v>4.01</v>
      </c>
    </row>
    <row r="78" spans="1:17" customFormat="1">
      <c r="A78" s="112" t="s">
        <v>2419</v>
      </c>
      <c r="B78" s="134">
        <v>7.13</v>
      </c>
      <c r="C78" s="134">
        <v>11.36</v>
      </c>
      <c r="D78" s="134">
        <v>13</v>
      </c>
      <c r="E78" s="134">
        <v>3.85</v>
      </c>
      <c r="F78" s="134">
        <v>7.02</v>
      </c>
      <c r="G78" s="134">
        <v>17.54</v>
      </c>
      <c r="H78" s="134">
        <v>9.24</v>
      </c>
      <c r="I78" s="134">
        <v>2.59</v>
      </c>
      <c r="J78" s="134">
        <v>0.72</v>
      </c>
      <c r="K78" s="134">
        <v>259.92</v>
      </c>
      <c r="L78" s="134">
        <v>29.85</v>
      </c>
      <c r="M78" s="134">
        <v>74.989999999999995</v>
      </c>
      <c r="N78" s="134">
        <v>49.3</v>
      </c>
      <c r="O78" s="134">
        <v>0</v>
      </c>
      <c r="P78" s="134">
        <v>0.24</v>
      </c>
      <c r="Q78" s="134">
        <v>4.01</v>
      </c>
    </row>
    <row r="79" spans="1:17" customFormat="1">
      <c r="A79" s="112" t="s">
        <v>2420</v>
      </c>
      <c r="B79" s="134">
        <v>7.22</v>
      </c>
      <c r="C79" s="134">
        <v>11.2</v>
      </c>
      <c r="D79" s="134">
        <v>12.99</v>
      </c>
      <c r="E79" s="134">
        <v>4.05</v>
      </c>
      <c r="F79" s="134">
        <v>7.82</v>
      </c>
      <c r="G79" s="134">
        <v>17.54</v>
      </c>
      <c r="H79" s="134">
        <v>9.24</v>
      </c>
      <c r="I79" s="134">
        <v>2.59</v>
      </c>
      <c r="J79" s="134">
        <v>0.61</v>
      </c>
      <c r="K79" s="134">
        <v>260.64</v>
      </c>
      <c r="L79" s="134">
        <v>29.58</v>
      </c>
      <c r="M79" s="134">
        <v>75.959999999999994</v>
      </c>
      <c r="N79" s="134">
        <v>25.6</v>
      </c>
      <c r="O79" s="134">
        <v>0</v>
      </c>
      <c r="P79" s="134">
        <v>0.24</v>
      </c>
      <c r="Q79" s="134">
        <v>4.03</v>
      </c>
    </row>
    <row r="80" spans="1:17" customFormat="1">
      <c r="A80" s="112" t="s">
        <v>2421</v>
      </c>
      <c r="B80" s="134">
        <v>7.36</v>
      </c>
      <c r="C80" s="134">
        <v>12.54</v>
      </c>
      <c r="D80" s="134">
        <v>13.81</v>
      </c>
      <c r="E80" s="134">
        <v>3.46</v>
      </c>
      <c r="F80" s="134">
        <v>5.35</v>
      </c>
      <c r="G80" s="134">
        <v>18.02</v>
      </c>
      <c r="H80" s="134">
        <v>9.2100000000000009</v>
      </c>
      <c r="I80" s="134">
        <v>2.57</v>
      </c>
      <c r="J80" s="134">
        <v>0.5</v>
      </c>
      <c r="K80" s="134">
        <v>253.4</v>
      </c>
      <c r="L80" s="134">
        <v>29.31</v>
      </c>
      <c r="M80" s="134">
        <v>77.67</v>
      </c>
      <c r="N80" s="134">
        <v>8.6</v>
      </c>
      <c r="O80" s="134">
        <v>0</v>
      </c>
      <c r="P80" s="134">
        <v>0.26</v>
      </c>
      <c r="Q80" s="134">
        <v>4.04</v>
      </c>
    </row>
    <row r="81" spans="1:17" customFormat="1">
      <c r="A81" s="112" t="s">
        <v>2422</v>
      </c>
      <c r="B81" s="134">
        <v>7.39</v>
      </c>
      <c r="C81" s="134">
        <v>12.56</v>
      </c>
      <c r="D81" s="134">
        <v>13.84</v>
      </c>
      <c r="E81" s="134">
        <v>3.08</v>
      </c>
      <c r="F81" s="134">
        <v>7.35</v>
      </c>
      <c r="G81" s="134">
        <v>21.82</v>
      </c>
      <c r="H81" s="134">
        <v>9.0399999999999991</v>
      </c>
      <c r="I81" s="134">
        <v>2.58</v>
      </c>
      <c r="J81" s="134">
        <v>0.71</v>
      </c>
      <c r="K81" s="134">
        <v>260.91000000000003</v>
      </c>
      <c r="L81" s="134">
        <v>29.1</v>
      </c>
      <c r="M81" s="134">
        <v>77.62</v>
      </c>
      <c r="N81" s="134">
        <v>0.3</v>
      </c>
      <c r="O81" s="134">
        <v>0</v>
      </c>
      <c r="P81" s="134">
        <v>0.27</v>
      </c>
      <c r="Q81" s="134">
        <v>4.09</v>
      </c>
    </row>
    <row r="82" spans="1:17" customFormat="1">
      <c r="A82" s="112" t="s">
        <v>2423</v>
      </c>
      <c r="B82" s="134">
        <v>7.51</v>
      </c>
      <c r="C82" s="134">
        <v>11.59</v>
      </c>
      <c r="D82" s="134">
        <v>13.43</v>
      </c>
      <c r="E82" s="134">
        <v>4.33</v>
      </c>
      <c r="F82" s="134">
        <v>8.68</v>
      </c>
      <c r="G82" s="134">
        <v>21.82</v>
      </c>
      <c r="H82" s="134">
        <v>9.0399999999999991</v>
      </c>
      <c r="I82" s="134">
        <v>2.63</v>
      </c>
      <c r="J82" s="134">
        <v>0.57999999999999996</v>
      </c>
      <c r="K82" s="134">
        <v>264.11</v>
      </c>
      <c r="L82" s="134">
        <v>28.91</v>
      </c>
      <c r="M82" s="134">
        <v>77.77</v>
      </c>
      <c r="N82" s="134">
        <v>0</v>
      </c>
      <c r="O82" s="134">
        <v>0</v>
      </c>
      <c r="P82" s="134">
        <v>0.26</v>
      </c>
      <c r="Q82" s="134">
        <v>4.07</v>
      </c>
    </row>
    <row r="83" spans="1:17" customFormat="1">
      <c r="A83" s="112" t="s">
        <v>2424</v>
      </c>
      <c r="B83" s="134">
        <v>7.66</v>
      </c>
      <c r="C83" s="134">
        <v>11.34</v>
      </c>
      <c r="D83" s="134">
        <v>13.42</v>
      </c>
      <c r="E83" s="134">
        <v>3.63</v>
      </c>
      <c r="F83" s="134">
        <v>7.4</v>
      </c>
      <c r="G83" s="134">
        <v>21.82</v>
      </c>
      <c r="H83" s="134">
        <v>9.0399999999999991</v>
      </c>
      <c r="I83" s="134">
        <v>2.56</v>
      </c>
      <c r="J83" s="134">
        <v>0.82</v>
      </c>
      <c r="K83" s="134">
        <v>265.49</v>
      </c>
      <c r="L83" s="134">
        <v>28.78</v>
      </c>
      <c r="M83" s="134">
        <v>78.010000000000005</v>
      </c>
      <c r="N83" s="134">
        <v>0</v>
      </c>
      <c r="O83" s="134">
        <v>0</v>
      </c>
      <c r="P83" s="134">
        <v>0.25</v>
      </c>
      <c r="Q83" s="134">
        <v>4.05</v>
      </c>
    </row>
    <row r="84" spans="1:17" customFormat="1">
      <c r="A84" s="112" t="s">
        <v>2425</v>
      </c>
      <c r="B84" s="134">
        <v>7.44</v>
      </c>
      <c r="C84" s="134">
        <v>13.11</v>
      </c>
      <c r="D84" s="134">
        <v>14.17</v>
      </c>
      <c r="E84" s="134">
        <v>4.03</v>
      </c>
      <c r="F84" s="134">
        <v>4.09</v>
      </c>
      <c r="G84" s="134">
        <v>21.57</v>
      </c>
      <c r="H84" s="134">
        <v>8.75</v>
      </c>
      <c r="I84" s="134">
        <v>2.59</v>
      </c>
      <c r="J84" s="134">
        <v>0.69</v>
      </c>
      <c r="K84" s="134">
        <v>263.89</v>
      </c>
      <c r="L84" s="134">
        <v>28.68</v>
      </c>
      <c r="M84" s="134">
        <v>79.209999999999994</v>
      </c>
      <c r="N84" s="134">
        <v>0</v>
      </c>
      <c r="O84" s="134">
        <v>0</v>
      </c>
      <c r="P84" s="134">
        <v>0.28999999999999998</v>
      </c>
      <c r="Q84" s="134">
        <v>4.08</v>
      </c>
    </row>
    <row r="85" spans="1:17" customFormat="1">
      <c r="A85" s="112" t="s">
        <v>2426</v>
      </c>
      <c r="B85" s="134">
        <v>6.65</v>
      </c>
      <c r="C85" s="134">
        <v>14.51</v>
      </c>
      <c r="D85" s="134">
        <v>14.26</v>
      </c>
      <c r="E85" s="134">
        <v>3.67</v>
      </c>
      <c r="F85" s="134">
        <v>3.54</v>
      </c>
      <c r="G85" s="134">
        <v>19.559999999999999</v>
      </c>
      <c r="H85" s="134">
        <v>6.94</v>
      </c>
      <c r="I85" s="134">
        <v>2.7</v>
      </c>
      <c r="J85" s="134">
        <v>0.64</v>
      </c>
      <c r="K85" s="134">
        <v>259.95</v>
      </c>
      <c r="L85" s="134">
        <v>28.48</v>
      </c>
      <c r="M85" s="134">
        <v>80.67</v>
      </c>
      <c r="N85" s="134">
        <v>0</v>
      </c>
      <c r="O85" s="134">
        <v>0</v>
      </c>
      <c r="P85" s="134">
        <v>0.31</v>
      </c>
      <c r="Q85" s="134">
        <v>4.1399999999999997</v>
      </c>
    </row>
    <row r="86" spans="1:17" customFormat="1">
      <c r="A86" s="112" t="s">
        <v>2427</v>
      </c>
      <c r="B86" s="134">
        <v>6.49</v>
      </c>
      <c r="C86" s="134">
        <v>13.07</v>
      </c>
      <c r="D86" s="134">
        <v>13.39</v>
      </c>
      <c r="E86" s="134">
        <v>3.63</v>
      </c>
      <c r="F86" s="134">
        <v>6.27</v>
      </c>
      <c r="G86" s="134">
        <v>19.559999999999999</v>
      </c>
      <c r="H86" s="134">
        <v>6.94</v>
      </c>
      <c r="I86" s="134">
        <v>2.85</v>
      </c>
      <c r="J86" s="134">
        <v>0.74</v>
      </c>
      <c r="K86" s="134">
        <v>265.88</v>
      </c>
      <c r="L86" s="134">
        <v>28.43</v>
      </c>
      <c r="M86" s="134">
        <v>80.319999999999993</v>
      </c>
      <c r="N86" s="134">
        <v>0</v>
      </c>
      <c r="O86" s="134">
        <v>0</v>
      </c>
      <c r="P86" s="134">
        <v>0.28000000000000003</v>
      </c>
      <c r="Q86" s="134">
        <v>4.12</v>
      </c>
    </row>
    <row r="87" spans="1:17" customFormat="1">
      <c r="A87" s="112" t="s">
        <v>2428</v>
      </c>
      <c r="B87" s="134">
        <v>6.58</v>
      </c>
      <c r="C87" s="134">
        <v>11.45</v>
      </c>
      <c r="D87" s="134">
        <v>12.61</v>
      </c>
      <c r="E87" s="134">
        <v>3.25</v>
      </c>
      <c r="F87" s="134">
        <v>7.73</v>
      </c>
      <c r="G87" s="134">
        <v>19.559999999999999</v>
      </c>
      <c r="H87" s="134">
        <v>6.94</v>
      </c>
      <c r="I87" s="134">
        <v>2.79</v>
      </c>
      <c r="J87" s="134">
        <v>0.45</v>
      </c>
      <c r="K87" s="134">
        <v>261.93</v>
      </c>
      <c r="L87" s="134">
        <v>28.32</v>
      </c>
      <c r="M87" s="134">
        <v>81.87</v>
      </c>
      <c r="N87" s="134">
        <v>0</v>
      </c>
      <c r="O87" s="134">
        <v>0</v>
      </c>
      <c r="P87" s="134">
        <v>0.26</v>
      </c>
      <c r="Q87" s="134">
        <v>4.09</v>
      </c>
    </row>
    <row r="88" spans="1:17" customFormat="1">
      <c r="A88" s="112" t="s">
        <v>2429</v>
      </c>
      <c r="B88" s="134">
        <v>6.95</v>
      </c>
      <c r="C88" s="134">
        <v>10.92</v>
      </c>
      <c r="D88" s="134">
        <v>12.63</v>
      </c>
      <c r="E88" s="134">
        <v>3.1</v>
      </c>
      <c r="F88" s="134">
        <v>8</v>
      </c>
      <c r="G88" s="134">
        <v>19.64</v>
      </c>
      <c r="H88" s="134">
        <v>7.28</v>
      </c>
      <c r="I88" s="134">
        <v>2.63</v>
      </c>
      <c r="J88" s="134">
        <v>0.66</v>
      </c>
      <c r="K88" s="134">
        <v>263.57</v>
      </c>
      <c r="L88" s="134">
        <v>28.2</v>
      </c>
      <c r="M88" s="134">
        <v>82.33</v>
      </c>
      <c r="N88" s="134">
        <v>0</v>
      </c>
      <c r="O88" s="134">
        <v>0</v>
      </c>
      <c r="P88" s="134">
        <v>0.24</v>
      </c>
      <c r="Q88" s="134">
        <v>4.04</v>
      </c>
    </row>
    <row r="89" spans="1:17" customFormat="1">
      <c r="A89" s="112" t="s">
        <v>2430</v>
      </c>
      <c r="B89" s="134">
        <v>7.45</v>
      </c>
      <c r="C89" s="134">
        <v>11.34</v>
      </c>
      <c r="D89" s="134">
        <v>13.25</v>
      </c>
      <c r="E89" s="134">
        <v>3.5</v>
      </c>
      <c r="F89" s="134">
        <v>7.21</v>
      </c>
      <c r="G89" s="134">
        <v>20.329999999999998</v>
      </c>
      <c r="H89" s="134">
        <v>9.42</v>
      </c>
      <c r="I89" s="134">
        <v>2.56</v>
      </c>
      <c r="J89" s="134">
        <v>0.64</v>
      </c>
      <c r="K89" s="134">
        <v>262.72000000000003</v>
      </c>
      <c r="L89" s="134">
        <v>28.17</v>
      </c>
      <c r="M89" s="134">
        <v>82.07</v>
      </c>
      <c r="N89" s="134">
        <v>0</v>
      </c>
      <c r="O89" s="134">
        <v>0</v>
      </c>
      <c r="P89" s="134">
        <v>0.24</v>
      </c>
      <c r="Q89" s="134">
        <v>4.08</v>
      </c>
    </row>
    <row r="90" spans="1:17" customFormat="1">
      <c r="A90" s="112" t="s">
        <v>2431</v>
      </c>
      <c r="B90" s="134">
        <v>7.44</v>
      </c>
      <c r="C90" s="134">
        <v>11.17</v>
      </c>
      <c r="D90" s="134">
        <v>13.16</v>
      </c>
      <c r="E90" s="134">
        <v>4.29</v>
      </c>
      <c r="F90" s="134">
        <v>7.66</v>
      </c>
      <c r="G90" s="134">
        <v>20.329999999999998</v>
      </c>
      <c r="H90" s="134">
        <v>9.42</v>
      </c>
      <c r="I90" s="134">
        <v>2.57</v>
      </c>
      <c r="J90" s="134">
        <v>0.53</v>
      </c>
      <c r="K90" s="134">
        <v>256.69</v>
      </c>
      <c r="L90" s="134">
        <v>28.06</v>
      </c>
      <c r="M90" s="134">
        <v>83.03</v>
      </c>
      <c r="N90" s="134">
        <v>0</v>
      </c>
      <c r="O90" s="134">
        <v>0</v>
      </c>
      <c r="P90" s="134">
        <v>0.23</v>
      </c>
      <c r="Q90" s="134">
        <v>4.07</v>
      </c>
    </row>
    <row r="91" spans="1:17" customFormat="1">
      <c r="A91" s="112" t="s">
        <v>2432</v>
      </c>
      <c r="B91" s="134">
        <v>7.61</v>
      </c>
      <c r="C91" s="134">
        <v>11.99</v>
      </c>
      <c r="D91" s="134">
        <v>13.72</v>
      </c>
      <c r="E91" s="134">
        <v>3.94</v>
      </c>
      <c r="F91" s="134">
        <v>6.13</v>
      </c>
      <c r="G91" s="134">
        <v>20.329999999999998</v>
      </c>
      <c r="H91" s="134">
        <v>9.42</v>
      </c>
      <c r="I91" s="134">
        <v>2.61</v>
      </c>
      <c r="J91" s="134">
        <v>0.69</v>
      </c>
      <c r="K91" s="134">
        <v>258.95</v>
      </c>
      <c r="L91" s="134">
        <v>28</v>
      </c>
      <c r="M91" s="134">
        <v>82.89</v>
      </c>
      <c r="N91" s="134">
        <v>0</v>
      </c>
      <c r="O91" s="134">
        <v>0</v>
      </c>
      <c r="P91" s="134">
        <v>0.24</v>
      </c>
      <c r="Q91" s="134">
        <v>4.1100000000000003</v>
      </c>
    </row>
    <row r="92" spans="1:17" customFormat="1">
      <c r="A92" s="112" t="s">
        <v>2433</v>
      </c>
      <c r="B92" s="134">
        <v>7.83</v>
      </c>
      <c r="C92" s="134">
        <v>14.02</v>
      </c>
      <c r="D92" s="134">
        <v>14.95</v>
      </c>
      <c r="E92" s="134">
        <v>3.99</v>
      </c>
      <c r="F92" s="134">
        <v>3.95</v>
      </c>
      <c r="G92" s="134">
        <v>20.25</v>
      </c>
      <c r="H92" s="134">
        <v>9.2899999999999991</v>
      </c>
      <c r="I92" s="134">
        <v>2.6</v>
      </c>
      <c r="J92" s="134">
        <v>0.66</v>
      </c>
      <c r="K92" s="134">
        <v>258.57</v>
      </c>
      <c r="L92" s="134">
        <v>27.95</v>
      </c>
      <c r="M92" s="134">
        <v>83.87</v>
      </c>
      <c r="N92" s="134">
        <v>0</v>
      </c>
      <c r="O92" s="134">
        <v>0</v>
      </c>
      <c r="P92" s="134">
        <v>0.28000000000000003</v>
      </c>
      <c r="Q92" s="134">
        <v>4.1399999999999997</v>
      </c>
    </row>
    <row r="93" spans="1:17" customFormat="1">
      <c r="A93" s="112" t="s">
        <v>2434</v>
      </c>
      <c r="B93" s="134">
        <v>7.82</v>
      </c>
      <c r="C93" s="134">
        <v>13.34</v>
      </c>
      <c r="D93" s="134">
        <v>14.59</v>
      </c>
      <c r="E93" s="134">
        <v>4.45</v>
      </c>
      <c r="F93" s="134">
        <v>6.22</v>
      </c>
      <c r="G93" s="134">
        <v>19.62</v>
      </c>
      <c r="H93" s="134">
        <v>8.51</v>
      </c>
      <c r="I93" s="134">
        <v>2.7</v>
      </c>
      <c r="J93" s="134">
        <v>0.8</v>
      </c>
      <c r="K93" s="134">
        <v>262.81</v>
      </c>
      <c r="L93" s="134">
        <v>27.77</v>
      </c>
      <c r="M93" s="134">
        <v>83.93</v>
      </c>
      <c r="N93" s="134">
        <v>0</v>
      </c>
      <c r="O93" s="134">
        <v>0</v>
      </c>
      <c r="P93" s="134">
        <v>0.28000000000000003</v>
      </c>
      <c r="Q93" s="134">
        <v>4.16</v>
      </c>
    </row>
    <row r="94" spans="1:17" customFormat="1">
      <c r="A94" s="112" t="s">
        <v>2435</v>
      </c>
      <c r="B94" s="134">
        <v>7.88</v>
      </c>
      <c r="C94" s="134">
        <v>12.5</v>
      </c>
      <c r="D94" s="134">
        <v>14.2</v>
      </c>
      <c r="E94" s="134">
        <v>4.26</v>
      </c>
      <c r="F94" s="134">
        <v>6.59</v>
      </c>
      <c r="G94" s="134">
        <v>19.62</v>
      </c>
      <c r="H94" s="134">
        <v>8.51</v>
      </c>
      <c r="I94" s="134">
        <v>2.82</v>
      </c>
      <c r="J94" s="134">
        <v>0.79</v>
      </c>
      <c r="K94" s="134">
        <v>263.18</v>
      </c>
      <c r="L94" s="134">
        <v>27.71</v>
      </c>
      <c r="M94" s="134">
        <v>83.22</v>
      </c>
      <c r="N94" s="134">
        <v>0</v>
      </c>
      <c r="O94" s="134">
        <v>0</v>
      </c>
      <c r="P94" s="134">
        <v>0.26</v>
      </c>
      <c r="Q94" s="134">
        <v>4.1399999999999997</v>
      </c>
    </row>
    <row r="95" spans="1:17" customFormat="1">
      <c r="A95" s="112" t="s">
        <v>2436</v>
      </c>
      <c r="B95" s="134">
        <v>8.0399999999999991</v>
      </c>
      <c r="C95" s="134">
        <v>12.12</v>
      </c>
      <c r="D95" s="134">
        <v>14.13</v>
      </c>
      <c r="E95" s="134">
        <v>4.29</v>
      </c>
      <c r="F95" s="134">
        <v>5.82</v>
      </c>
      <c r="G95" s="134">
        <v>19.62</v>
      </c>
      <c r="H95" s="134">
        <v>8.51</v>
      </c>
      <c r="I95" s="134">
        <v>2.7</v>
      </c>
      <c r="J95" s="134">
        <v>0.83</v>
      </c>
      <c r="K95" s="134">
        <v>261.48</v>
      </c>
      <c r="L95" s="134">
        <v>27.61</v>
      </c>
      <c r="M95" s="134">
        <v>83.17</v>
      </c>
      <c r="N95" s="134">
        <v>0</v>
      </c>
      <c r="O95" s="134">
        <v>0</v>
      </c>
      <c r="P95" s="134">
        <v>0.25</v>
      </c>
      <c r="Q95" s="134">
        <v>4.13</v>
      </c>
    </row>
    <row r="96" spans="1:17" customFormat="1">
      <c r="A96" s="112" t="s">
        <v>2437</v>
      </c>
      <c r="B96" s="134">
        <v>7.86</v>
      </c>
      <c r="C96" s="134">
        <v>11.71</v>
      </c>
      <c r="D96" s="134">
        <v>13.77</v>
      </c>
      <c r="E96" s="134">
        <v>4.25</v>
      </c>
      <c r="F96" s="134">
        <v>7.09</v>
      </c>
      <c r="G96" s="134">
        <v>19.8</v>
      </c>
      <c r="H96" s="134">
        <v>8.49</v>
      </c>
      <c r="I96" s="134">
        <v>2.66</v>
      </c>
      <c r="J96" s="134">
        <v>0.86</v>
      </c>
      <c r="K96" s="134">
        <v>262.48</v>
      </c>
      <c r="L96" s="134">
        <v>27.49</v>
      </c>
      <c r="M96" s="134">
        <v>83.78</v>
      </c>
      <c r="N96" s="134">
        <v>0</v>
      </c>
      <c r="O96" s="134">
        <v>0</v>
      </c>
      <c r="P96" s="134">
        <v>0.25</v>
      </c>
      <c r="Q96" s="134">
        <v>4.0999999999999996</v>
      </c>
    </row>
    <row r="97" spans="1:22" customFormat="1">
      <c r="A97" s="112" t="s">
        <v>2438</v>
      </c>
      <c r="B97" s="134">
        <v>7.85</v>
      </c>
      <c r="C97" s="134">
        <v>11.67</v>
      </c>
      <c r="D97" s="134">
        <v>13.75</v>
      </c>
      <c r="E97" s="134">
        <v>4.3600000000000003</v>
      </c>
      <c r="F97" s="134">
        <v>5.89</v>
      </c>
      <c r="G97" s="134">
        <v>21.21</v>
      </c>
      <c r="H97" s="134">
        <v>8.35</v>
      </c>
      <c r="I97" s="134">
        <v>2.65</v>
      </c>
      <c r="J97" s="134">
        <v>0.87</v>
      </c>
      <c r="K97" s="134">
        <v>266.07</v>
      </c>
      <c r="L97" s="134">
        <v>27.4</v>
      </c>
      <c r="M97" s="134">
        <v>83.98</v>
      </c>
      <c r="N97" s="134">
        <v>0</v>
      </c>
      <c r="O97" s="134">
        <v>0</v>
      </c>
      <c r="P97" s="134">
        <v>0.24</v>
      </c>
      <c r="Q97" s="134">
        <v>4.12</v>
      </c>
    </row>
    <row r="98" spans="1:22" customFormat="1">
      <c r="A98" s="112" t="s">
        <v>2439</v>
      </c>
      <c r="B98" s="134">
        <v>8.08</v>
      </c>
      <c r="C98" s="134">
        <v>13.87</v>
      </c>
      <c r="D98" s="134">
        <v>15.08</v>
      </c>
      <c r="E98" s="134">
        <v>4.34</v>
      </c>
      <c r="F98" s="134">
        <v>2.95</v>
      </c>
      <c r="G98" s="134">
        <v>21.21</v>
      </c>
      <c r="H98" s="134">
        <v>8.35</v>
      </c>
      <c r="I98" s="134">
        <v>2.58</v>
      </c>
      <c r="J98" s="134">
        <v>0.74</v>
      </c>
      <c r="K98" s="134">
        <v>264.08999999999997</v>
      </c>
      <c r="L98" s="134">
        <v>27.35</v>
      </c>
      <c r="M98" s="134">
        <v>84.26</v>
      </c>
      <c r="N98" s="134">
        <v>0</v>
      </c>
      <c r="O98" s="134">
        <v>0</v>
      </c>
      <c r="P98" s="134">
        <v>0.27</v>
      </c>
      <c r="Q98" s="134">
        <v>4.13</v>
      </c>
    </row>
    <row r="99" spans="1:22" customFormat="1">
      <c r="A99" s="112" t="s">
        <v>2440</v>
      </c>
      <c r="B99" s="134">
        <v>8.2200000000000006</v>
      </c>
      <c r="C99" s="134">
        <v>14.34</v>
      </c>
      <c r="D99" s="134">
        <v>15.44</v>
      </c>
      <c r="E99" s="134">
        <v>4.83</v>
      </c>
      <c r="F99" s="134">
        <v>3.03</v>
      </c>
      <c r="G99" s="134">
        <v>21.21</v>
      </c>
      <c r="H99" s="134">
        <v>8.35</v>
      </c>
      <c r="I99" s="134">
        <v>2.64</v>
      </c>
      <c r="J99" s="134">
        <v>0.83</v>
      </c>
      <c r="K99" s="134">
        <v>264.02999999999997</v>
      </c>
      <c r="L99" s="134">
        <v>27.25</v>
      </c>
      <c r="M99" s="134">
        <v>85.08</v>
      </c>
      <c r="N99" s="134">
        <v>0</v>
      </c>
      <c r="O99" s="134">
        <v>0</v>
      </c>
      <c r="P99" s="134">
        <v>0.28999999999999998</v>
      </c>
      <c r="Q99" s="134">
        <v>4.1900000000000004</v>
      </c>
    </row>
    <row r="100" spans="1:22" customFormat="1">
      <c r="A100" s="112" t="s">
        <v>2441</v>
      </c>
      <c r="B100" s="134">
        <v>8.2200000000000006</v>
      </c>
      <c r="C100" s="134">
        <v>13.05</v>
      </c>
      <c r="D100" s="134">
        <v>14.76</v>
      </c>
      <c r="E100" s="134">
        <v>4.93</v>
      </c>
      <c r="F100" s="134">
        <v>4.91</v>
      </c>
      <c r="G100" s="134">
        <v>21.13</v>
      </c>
      <c r="H100" s="134">
        <v>8.43</v>
      </c>
      <c r="I100" s="134">
        <v>2.78</v>
      </c>
      <c r="J100" s="134">
        <v>0.7</v>
      </c>
      <c r="K100" s="134">
        <v>261.49</v>
      </c>
      <c r="L100" s="134">
        <v>27.19</v>
      </c>
      <c r="M100" s="134">
        <v>86.12</v>
      </c>
      <c r="N100" s="134">
        <v>0</v>
      </c>
      <c r="O100" s="134">
        <v>0</v>
      </c>
      <c r="P100" s="134">
        <v>0.28000000000000003</v>
      </c>
      <c r="Q100" s="134">
        <v>4.16</v>
      </c>
    </row>
    <row r="101" spans="1:22" customFormat="1">
      <c r="A101" s="112" t="s">
        <v>2442</v>
      </c>
      <c r="B101" s="134">
        <v>8.1999999999999993</v>
      </c>
      <c r="C101" s="134">
        <v>12.01</v>
      </c>
      <c r="D101" s="134">
        <v>14.2</v>
      </c>
      <c r="E101" s="134">
        <v>4.37</v>
      </c>
      <c r="F101" s="134">
        <v>6.05</v>
      </c>
      <c r="G101" s="134">
        <v>20.45</v>
      </c>
      <c r="H101" s="134">
        <v>8.9499999999999993</v>
      </c>
      <c r="I101" s="134">
        <v>2.77</v>
      </c>
      <c r="J101" s="134">
        <v>0.73</v>
      </c>
      <c r="K101" s="134">
        <v>261.31</v>
      </c>
      <c r="L101" s="134">
        <v>27</v>
      </c>
      <c r="M101" s="134">
        <v>87.13</v>
      </c>
      <c r="N101" s="134">
        <v>0</v>
      </c>
      <c r="O101" s="134">
        <v>0</v>
      </c>
      <c r="P101" s="134">
        <v>0.26</v>
      </c>
      <c r="Q101" s="134">
        <v>4.1399999999999997</v>
      </c>
    </row>
    <row r="102" spans="1:22" customFormat="1">
      <c r="A102" s="112" t="s">
        <v>2443</v>
      </c>
      <c r="B102" s="134">
        <v>8.26</v>
      </c>
      <c r="C102" s="134">
        <v>11.9</v>
      </c>
      <c r="D102" s="134">
        <v>14.2</v>
      </c>
      <c r="E102" s="134">
        <v>4.1399999999999997</v>
      </c>
      <c r="F102" s="134">
        <v>5.27</v>
      </c>
      <c r="G102" s="134">
        <v>20.45</v>
      </c>
      <c r="H102" s="134">
        <v>8.9499999999999993</v>
      </c>
      <c r="I102" s="134">
        <v>2.73</v>
      </c>
      <c r="J102" s="134">
        <v>0.77</v>
      </c>
      <c r="K102" s="134">
        <v>267.88</v>
      </c>
      <c r="L102" s="134">
        <v>26.64</v>
      </c>
      <c r="M102" s="134">
        <v>90.14</v>
      </c>
      <c r="N102" s="134">
        <v>0</v>
      </c>
      <c r="O102" s="134">
        <v>0.4</v>
      </c>
      <c r="P102" s="134">
        <v>0.24</v>
      </c>
      <c r="Q102" s="134">
        <v>4.12</v>
      </c>
    </row>
    <row r="103" spans="1:22" customFormat="1">
      <c r="A103" s="112" t="s">
        <v>2444</v>
      </c>
      <c r="B103" s="134">
        <v>8.49</v>
      </c>
      <c r="C103" s="134">
        <v>12.3</v>
      </c>
      <c r="D103" s="134">
        <v>14.59</v>
      </c>
      <c r="E103" s="134">
        <v>4.3</v>
      </c>
      <c r="F103" s="134">
        <v>4.12</v>
      </c>
      <c r="G103" s="134">
        <v>20.45</v>
      </c>
      <c r="H103" s="134">
        <v>8.9499999999999993</v>
      </c>
      <c r="I103" s="134">
        <v>2.67</v>
      </c>
      <c r="J103" s="134">
        <v>0.57999999999999996</v>
      </c>
      <c r="K103" s="134">
        <v>264.08</v>
      </c>
      <c r="L103" s="134">
        <v>26.18</v>
      </c>
      <c r="M103" s="134">
        <v>92.78</v>
      </c>
      <c r="N103" s="134">
        <v>0</v>
      </c>
      <c r="O103" s="134">
        <v>0</v>
      </c>
      <c r="P103" s="134">
        <v>0.25</v>
      </c>
      <c r="Q103" s="134">
        <v>4.12</v>
      </c>
    </row>
    <row r="104" spans="1:22" customFormat="1">
      <c r="A104" s="112" t="s">
        <v>2445</v>
      </c>
      <c r="B104" s="134">
        <v>8.6300000000000008</v>
      </c>
      <c r="C104" s="134">
        <v>15.18</v>
      </c>
      <c r="D104" s="134">
        <v>16.2</v>
      </c>
      <c r="E104" s="134">
        <v>4.8499999999999996</v>
      </c>
      <c r="F104" s="134">
        <v>1.94</v>
      </c>
      <c r="G104" s="134">
        <v>20.66</v>
      </c>
      <c r="H104" s="134">
        <v>9.27</v>
      </c>
      <c r="I104" s="134">
        <v>2.67</v>
      </c>
      <c r="J104" s="134">
        <v>0.4</v>
      </c>
      <c r="K104" s="134">
        <v>259.32</v>
      </c>
      <c r="L104" s="134">
        <v>26.11</v>
      </c>
      <c r="M104" s="134">
        <v>93.17</v>
      </c>
      <c r="N104" s="134">
        <v>0</v>
      </c>
      <c r="O104" s="134">
        <v>0</v>
      </c>
      <c r="P104" s="134">
        <v>0.3</v>
      </c>
      <c r="Q104" s="134">
        <v>4.21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6.4</v>
      </c>
      <c r="C106" s="183">
        <f>MIN(C9:C104)</f>
        <v>10.92</v>
      </c>
      <c r="D106" s="183">
        <f t="shared" ref="D106:Q106" si="0">MIN(D9:D104)</f>
        <v>12.61</v>
      </c>
      <c r="E106" s="183">
        <f t="shared" si="0"/>
        <v>3.08</v>
      </c>
      <c r="F106" s="183">
        <f t="shared" si="0"/>
        <v>1.94</v>
      </c>
      <c r="G106" s="183">
        <f t="shared" si="0"/>
        <v>10.95</v>
      </c>
      <c r="H106" s="183">
        <f t="shared" si="0"/>
        <v>4.9400000000000004</v>
      </c>
      <c r="I106" s="183">
        <f t="shared" si="0"/>
        <v>2.56</v>
      </c>
      <c r="J106" s="183">
        <f t="shared" si="0"/>
        <v>0.15</v>
      </c>
      <c r="K106" s="183">
        <f t="shared" si="0"/>
        <v>238.44</v>
      </c>
      <c r="L106" s="183">
        <f t="shared" si="0"/>
        <v>26.11</v>
      </c>
      <c r="M106" s="183">
        <f t="shared" si="0"/>
        <v>68.67</v>
      </c>
      <c r="N106" s="183">
        <f t="shared" si="0"/>
        <v>0</v>
      </c>
      <c r="O106" s="183">
        <f t="shared" si="0"/>
        <v>0</v>
      </c>
      <c r="P106" s="183">
        <f t="shared" si="0"/>
        <v>0.23</v>
      </c>
      <c r="Q106" s="183">
        <f t="shared" si="0"/>
        <v>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10.41</v>
      </c>
      <c r="C107" s="184">
        <f t="shared" ref="C107:Q107" si="1">MAX(C9:C104)</f>
        <v>16.329999999999998</v>
      </c>
      <c r="D107" s="184">
        <f t="shared" si="1"/>
        <v>17.8</v>
      </c>
      <c r="E107" s="184">
        <f t="shared" si="1"/>
        <v>6.47</v>
      </c>
      <c r="F107" s="184">
        <f t="shared" si="1"/>
        <v>8.68</v>
      </c>
      <c r="G107" s="184">
        <f t="shared" si="1"/>
        <v>22.76</v>
      </c>
      <c r="H107" s="184">
        <f t="shared" si="1"/>
        <v>10.46</v>
      </c>
      <c r="I107" s="184">
        <f t="shared" si="1"/>
        <v>3.91</v>
      </c>
      <c r="J107" s="184">
        <f t="shared" si="1"/>
        <v>1.21</v>
      </c>
      <c r="K107" s="184">
        <f t="shared" si="1"/>
        <v>271.85000000000002</v>
      </c>
      <c r="L107" s="184">
        <f t="shared" si="1"/>
        <v>31.82</v>
      </c>
      <c r="M107" s="184">
        <f t="shared" si="1"/>
        <v>93.17</v>
      </c>
      <c r="N107" s="184">
        <f t="shared" si="1"/>
        <v>785.7</v>
      </c>
      <c r="O107" s="184">
        <f t="shared" si="1"/>
        <v>0.4</v>
      </c>
      <c r="P107" s="184">
        <f t="shared" si="1"/>
        <v>0.45</v>
      </c>
      <c r="Q107" s="184">
        <f t="shared" si="1"/>
        <v>4.46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8.3892708333333381</v>
      </c>
      <c r="C108" s="183">
        <f t="shared" ref="C108:Q108" si="2">AVERAGE(C9:C104)</f>
        <v>13.225416666666668</v>
      </c>
      <c r="D108" s="183">
        <f t="shared" si="2"/>
        <v>14.988750000000005</v>
      </c>
      <c r="E108" s="183">
        <f t="shared" si="2"/>
        <v>4.5482291666666681</v>
      </c>
      <c r="F108" s="183">
        <f t="shared" si="2"/>
        <v>4.9465624999999989</v>
      </c>
      <c r="G108" s="183">
        <f t="shared" si="2"/>
        <v>16.419166666666666</v>
      </c>
      <c r="H108" s="183">
        <f t="shared" si="2"/>
        <v>7.6867708333333349</v>
      </c>
      <c r="I108" s="183">
        <f t="shared" si="2"/>
        <v>3.0164583333333326</v>
      </c>
      <c r="J108" s="183">
        <f t="shared" si="2"/>
        <v>0.66052083333333322</v>
      </c>
      <c r="K108" s="183">
        <f t="shared" si="2"/>
        <v>260.95281250000011</v>
      </c>
      <c r="L108" s="183">
        <f t="shared" si="2"/>
        <v>28.378229166666657</v>
      </c>
      <c r="M108" s="183">
        <f t="shared" si="2"/>
        <v>82.452812500000007</v>
      </c>
      <c r="N108" s="183">
        <f t="shared" si="2"/>
        <v>145.88333333333335</v>
      </c>
      <c r="O108" s="183">
        <f t="shared" si="2"/>
        <v>4.1666666666666666E-3</v>
      </c>
      <c r="P108" s="183">
        <f t="shared" si="2"/>
        <v>0.33624999999999994</v>
      </c>
      <c r="Q108" s="183">
        <f t="shared" si="2"/>
        <v>4.2371875000000001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1.1443851438462771</v>
      </c>
      <c r="C109" s="183">
        <f t="shared" ref="C109:Q109" si="3">STDEV(C9:C104)</f>
        <v>1.295900350836541</v>
      </c>
      <c r="D109" s="183">
        <f t="shared" si="3"/>
        <v>1.353066108782792</v>
      </c>
      <c r="E109" s="183">
        <f t="shared" si="3"/>
        <v>0.75329311383475339</v>
      </c>
      <c r="F109" s="183">
        <f t="shared" si="3"/>
        <v>1.6833399307235701</v>
      </c>
      <c r="G109" s="183">
        <f t="shared" si="3"/>
        <v>3.2884476154103957</v>
      </c>
      <c r="H109" s="183">
        <f t="shared" si="3"/>
        <v>1.4749747507502791</v>
      </c>
      <c r="I109" s="183">
        <f t="shared" si="3"/>
        <v>0.33281250978091054</v>
      </c>
      <c r="J109" s="183">
        <f t="shared" si="3"/>
        <v>0.24559002976362557</v>
      </c>
      <c r="K109" s="183">
        <f t="shared" si="3"/>
        <v>5.1736733774999459</v>
      </c>
      <c r="L109" s="183">
        <f t="shared" si="3"/>
        <v>1.7753190935074359</v>
      </c>
      <c r="M109" s="183">
        <f t="shared" si="3"/>
        <v>7.6595946990652557</v>
      </c>
      <c r="N109" s="183">
        <f t="shared" si="3"/>
        <v>205.39726932365497</v>
      </c>
      <c r="O109" s="183">
        <f t="shared" si="3"/>
        <v>4.0824829046386304E-2</v>
      </c>
      <c r="P109" s="183">
        <f t="shared" si="3"/>
        <v>6.9407264901109669E-2</v>
      </c>
      <c r="Q109" s="183">
        <f t="shared" si="3"/>
        <v>0.13391044238201494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24/08/2023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2446</v>
      </c>
      <c r="B9" s="134">
        <v>5.84</v>
      </c>
      <c r="C9" s="134">
        <v>16.29</v>
      </c>
      <c r="D9" s="134">
        <v>14.54</v>
      </c>
      <c r="E9" s="134">
        <v>5</v>
      </c>
      <c r="F9" s="134">
        <v>2.19</v>
      </c>
      <c r="G9" s="134">
        <v>22.35</v>
      </c>
      <c r="H9" s="134">
        <v>11.29</v>
      </c>
      <c r="I9" s="134">
        <v>2.71</v>
      </c>
      <c r="J9" s="134">
        <v>0.5</v>
      </c>
      <c r="K9" s="134">
        <v>263.45999999999998</v>
      </c>
      <c r="L9" s="134">
        <v>26.17</v>
      </c>
      <c r="M9" s="134">
        <v>92.06</v>
      </c>
      <c r="N9" s="134">
        <v>0</v>
      </c>
      <c r="O9" s="134">
        <v>0</v>
      </c>
      <c r="P9" s="134">
        <v>0.33</v>
      </c>
      <c r="Q9" s="134">
        <v>4.28</v>
      </c>
    </row>
    <row r="10" spans="1:21" customFormat="1">
      <c r="A10" s="112" t="s">
        <v>2447</v>
      </c>
      <c r="B10" s="134">
        <v>5.74</v>
      </c>
      <c r="C10" s="134">
        <v>16.34</v>
      </c>
      <c r="D10" s="134">
        <v>14.49</v>
      </c>
      <c r="E10" s="134">
        <v>4.83</v>
      </c>
      <c r="F10" s="134">
        <v>2.42</v>
      </c>
      <c r="G10" s="134">
        <v>22.35</v>
      </c>
      <c r="H10" s="134">
        <v>11.29</v>
      </c>
      <c r="I10" s="134">
        <v>2.86</v>
      </c>
      <c r="J10" s="134">
        <v>0.82</v>
      </c>
      <c r="K10" s="134">
        <v>281.70999999999998</v>
      </c>
      <c r="L10" s="134">
        <v>26.2</v>
      </c>
      <c r="M10" s="134">
        <v>90.27</v>
      </c>
      <c r="N10" s="134">
        <v>0</v>
      </c>
      <c r="O10" s="134">
        <v>0.2</v>
      </c>
      <c r="P10" s="134">
        <v>0.35</v>
      </c>
      <c r="Q10" s="134">
        <v>4.33</v>
      </c>
    </row>
    <row r="11" spans="1:21" customFormat="1">
      <c r="A11" s="112" t="s">
        <v>2448</v>
      </c>
      <c r="B11" s="134">
        <v>5.97</v>
      </c>
      <c r="C11" s="134">
        <v>13.82</v>
      </c>
      <c r="D11" s="134">
        <v>13.36</v>
      </c>
      <c r="E11" s="134">
        <v>4.0599999999999996</v>
      </c>
      <c r="F11" s="134">
        <v>4.22</v>
      </c>
      <c r="G11" s="134">
        <v>22.35</v>
      </c>
      <c r="H11" s="134">
        <v>11.29</v>
      </c>
      <c r="I11" s="134">
        <v>2.91</v>
      </c>
      <c r="J11" s="134">
        <v>1.08</v>
      </c>
      <c r="K11" s="134">
        <v>307.44</v>
      </c>
      <c r="L11" s="134">
        <v>24.85</v>
      </c>
      <c r="M11" s="134">
        <v>95.31</v>
      </c>
      <c r="N11" s="134">
        <v>0</v>
      </c>
      <c r="O11" s="134">
        <v>0.8</v>
      </c>
      <c r="P11" s="134">
        <v>0.28999999999999998</v>
      </c>
      <c r="Q11" s="134">
        <v>4.26</v>
      </c>
    </row>
    <row r="12" spans="1:21" customFormat="1">
      <c r="A12" s="112" t="s">
        <v>2449</v>
      </c>
      <c r="B12" s="134">
        <v>6.57</v>
      </c>
      <c r="C12" s="134">
        <v>12.46</v>
      </c>
      <c r="D12" s="134">
        <v>13.13</v>
      </c>
      <c r="E12" s="134">
        <v>3.33</v>
      </c>
      <c r="F12" s="134">
        <v>4.32</v>
      </c>
      <c r="G12" s="134">
        <v>22.29</v>
      </c>
      <c r="H12" s="134">
        <v>10.82</v>
      </c>
      <c r="I12" s="134">
        <v>2.83</v>
      </c>
      <c r="J12" s="134">
        <v>0.71</v>
      </c>
      <c r="K12" s="134">
        <v>287.47000000000003</v>
      </c>
      <c r="L12" s="134">
        <v>24.56</v>
      </c>
      <c r="M12" s="134">
        <v>97.08</v>
      </c>
      <c r="N12" s="134">
        <v>0</v>
      </c>
      <c r="O12" s="134">
        <v>0.6</v>
      </c>
      <c r="P12" s="134">
        <v>0.25</v>
      </c>
      <c r="Q12" s="134">
        <v>4.1900000000000004</v>
      </c>
    </row>
    <row r="13" spans="1:21" customFormat="1">
      <c r="A13" s="112" t="s">
        <v>2450</v>
      </c>
      <c r="B13" s="134">
        <v>7.18</v>
      </c>
      <c r="C13" s="134">
        <v>12.57</v>
      </c>
      <c r="D13" s="134">
        <v>13.68</v>
      </c>
      <c r="E13" s="134">
        <v>3.45</v>
      </c>
      <c r="F13" s="134">
        <v>3.73</v>
      </c>
      <c r="G13" s="134">
        <v>21.85</v>
      </c>
      <c r="H13" s="134">
        <v>8.17</v>
      </c>
      <c r="I13" s="134">
        <v>2.62</v>
      </c>
      <c r="J13" s="134">
        <v>0.54</v>
      </c>
      <c r="K13" s="134">
        <v>275.95</v>
      </c>
      <c r="L13" s="134">
        <v>24.51</v>
      </c>
      <c r="M13" s="134">
        <v>97.69</v>
      </c>
      <c r="N13" s="134">
        <v>0</v>
      </c>
      <c r="O13" s="134">
        <v>0.4</v>
      </c>
      <c r="P13" s="134">
        <v>0.24</v>
      </c>
      <c r="Q13" s="134">
        <v>4.21</v>
      </c>
    </row>
    <row r="14" spans="1:21" customFormat="1">
      <c r="A14" s="112" t="s">
        <v>2451</v>
      </c>
      <c r="B14" s="134">
        <v>7.47</v>
      </c>
      <c r="C14" s="134">
        <v>13.89</v>
      </c>
      <c r="D14" s="134">
        <v>14.6</v>
      </c>
      <c r="E14" s="134">
        <v>3.3</v>
      </c>
      <c r="F14" s="134">
        <v>2.6</v>
      </c>
      <c r="G14" s="134">
        <v>21.85</v>
      </c>
      <c r="H14" s="134">
        <v>8.17</v>
      </c>
      <c r="I14" s="134">
        <v>2.59</v>
      </c>
      <c r="J14" s="134">
        <v>0.64</v>
      </c>
      <c r="K14" s="134">
        <v>267.97000000000003</v>
      </c>
      <c r="L14" s="134">
        <v>24.54</v>
      </c>
      <c r="M14" s="134">
        <v>98.03</v>
      </c>
      <c r="N14" s="134">
        <v>0</v>
      </c>
      <c r="O14" s="134">
        <v>0.2</v>
      </c>
      <c r="P14" s="134">
        <v>0.25</v>
      </c>
      <c r="Q14" s="134">
        <v>4.28</v>
      </c>
    </row>
    <row r="15" spans="1:21" customFormat="1">
      <c r="A15" s="112" t="s">
        <v>2452</v>
      </c>
      <c r="B15" s="134">
        <v>7.57</v>
      </c>
      <c r="C15" s="134">
        <v>15.93</v>
      </c>
      <c r="D15" s="134">
        <v>15.74</v>
      </c>
      <c r="E15" s="134">
        <v>4.72</v>
      </c>
      <c r="F15" s="134">
        <v>1.56</v>
      </c>
      <c r="G15" s="134">
        <v>21.85</v>
      </c>
      <c r="H15" s="134">
        <v>8.17</v>
      </c>
      <c r="I15" s="134">
        <v>2.62</v>
      </c>
      <c r="J15" s="134">
        <v>0.64</v>
      </c>
      <c r="K15" s="134">
        <v>266.83</v>
      </c>
      <c r="L15" s="134">
        <v>24.59</v>
      </c>
      <c r="M15" s="134">
        <v>97.99</v>
      </c>
      <c r="N15" s="134">
        <v>0</v>
      </c>
      <c r="O15" s="134">
        <v>0.2</v>
      </c>
      <c r="P15" s="134">
        <v>0.28999999999999998</v>
      </c>
      <c r="Q15" s="134">
        <v>4.3600000000000003</v>
      </c>
    </row>
    <row r="16" spans="1:21" customFormat="1">
      <c r="A16" s="112" t="s">
        <v>2453</v>
      </c>
      <c r="B16" s="134">
        <v>7.75</v>
      </c>
      <c r="C16" s="134">
        <v>14.53</v>
      </c>
      <c r="D16" s="134">
        <v>15.16</v>
      </c>
      <c r="E16" s="134">
        <v>4.66</v>
      </c>
      <c r="F16" s="134">
        <v>2.62</v>
      </c>
      <c r="G16" s="134">
        <v>21.2</v>
      </c>
      <c r="H16" s="134">
        <v>7.88</v>
      </c>
      <c r="I16" s="134">
        <v>2.67</v>
      </c>
      <c r="J16" s="134">
        <v>0.56999999999999995</v>
      </c>
      <c r="K16" s="134">
        <v>265.98</v>
      </c>
      <c r="L16" s="134">
        <v>24.64</v>
      </c>
      <c r="M16" s="134">
        <v>97.84</v>
      </c>
      <c r="N16" s="134">
        <v>0</v>
      </c>
      <c r="O16" s="134">
        <v>0</v>
      </c>
      <c r="P16" s="134">
        <v>0.28000000000000003</v>
      </c>
      <c r="Q16" s="134">
        <v>4.28</v>
      </c>
    </row>
    <row r="17" spans="1:17" customFormat="1">
      <c r="A17" s="112" t="s">
        <v>2454</v>
      </c>
      <c r="B17" s="134">
        <v>7.94</v>
      </c>
      <c r="C17" s="134">
        <v>13.34</v>
      </c>
      <c r="D17" s="134">
        <v>14.69</v>
      </c>
      <c r="E17" s="134">
        <v>2.2599999999999998</v>
      </c>
      <c r="F17" s="134">
        <v>3.07</v>
      </c>
      <c r="G17" s="134">
        <v>15.94</v>
      </c>
      <c r="H17" s="134">
        <v>6.08</v>
      </c>
      <c r="I17" s="134">
        <v>2.74</v>
      </c>
      <c r="J17" s="134">
        <v>0.36</v>
      </c>
      <c r="K17" s="134">
        <v>278.49</v>
      </c>
      <c r="L17" s="134">
        <v>24.65</v>
      </c>
      <c r="M17" s="134">
        <v>97.63</v>
      </c>
      <c r="N17" s="134">
        <v>0</v>
      </c>
      <c r="O17" s="134">
        <v>0</v>
      </c>
      <c r="P17" s="134">
        <v>0.25</v>
      </c>
      <c r="Q17" s="134">
        <v>4.3099999999999996</v>
      </c>
    </row>
    <row r="18" spans="1:17" customFormat="1">
      <c r="A18" s="112" t="s">
        <v>2455</v>
      </c>
      <c r="B18" s="134">
        <v>8.08</v>
      </c>
      <c r="C18" s="134">
        <v>13.63</v>
      </c>
      <c r="D18" s="134">
        <v>14.96</v>
      </c>
      <c r="E18" s="134">
        <v>2.83</v>
      </c>
      <c r="F18" s="134">
        <v>2.76</v>
      </c>
      <c r="G18" s="134">
        <v>15.94</v>
      </c>
      <c r="H18" s="134">
        <v>6.08</v>
      </c>
      <c r="I18" s="134">
        <v>2.68</v>
      </c>
      <c r="J18" s="134">
        <v>0.32</v>
      </c>
      <c r="K18" s="134">
        <v>266.07</v>
      </c>
      <c r="L18" s="134">
        <v>24.61</v>
      </c>
      <c r="M18" s="134">
        <v>97.39</v>
      </c>
      <c r="N18" s="134">
        <v>0</v>
      </c>
      <c r="O18" s="134">
        <v>0</v>
      </c>
      <c r="P18" s="134">
        <v>0.25</v>
      </c>
      <c r="Q18" s="134">
        <v>4.3</v>
      </c>
    </row>
    <row r="19" spans="1:17" customFormat="1">
      <c r="A19" s="112" t="s">
        <v>2456</v>
      </c>
      <c r="B19" s="134">
        <v>8.35</v>
      </c>
      <c r="C19" s="134">
        <v>15.89</v>
      </c>
      <c r="D19" s="134">
        <v>16.350000000000001</v>
      </c>
      <c r="E19" s="134">
        <v>3.16</v>
      </c>
      <c r="F19" s="134">
        <v>1.51</v>
      </c>
      <c r="G19" s="134">
        <v>15.94</v>
      </c>
      <c r="H19" s="134">
        <v>6.08</v>
      </c>
      <c r="I19" s="134">
        <v>2.65</v>
      </c>
      <c r="J19" s="134">
        <v>0.59</v>
      </c>
      <c r="K19" s="134">
        <v>262.87</v>
      </c>
      <c r="L19" s="134">
        <v>24.59</v>
      </c>
      <c r="M19" s="134">
        <v>96.83</v>
      </c>
      <c r="N19" s="134">
        <v>0</v>
      </c>
      <c r="O19" s="134">
        <v>0</v>
      </c>
      <c r="P19" s="134">
        <v>0.28999999999999998</v>
      </c>
      <c r="Q19" s="134">
        <v>4.3899999999999997</v>
      </c>
    </row>
    <row r="20" spans="1:17" customFormat="1">
      <c r="A20" s="112" t="s">
        <v>2457</v>
      </c>
      <c r="B20" s="134">
        <v>8.6</v>
      </c>
      <c r="C20" s="134">
        <v>14.65</v>
      </c>
      <c r="D20" s="134">
        <v>15.9</v>
      </c>
      <c r="E20" s="134">
        <v>3.42</v>
      </c>
      <c r="F20" s="134">
        <v>2.4300000000000002</v>
      </c>
      <c r="G20" s="134">
        <v>15.54</v>
      </c>
      <c r="H20" s="134">
        <v>5.88</v>
      </c>
      <c r="I20" s="134">
        <v>2.7</v>
      </c>
      <c r="J20" s="134">
        <v>0.47</v>
      </c>
      <c r="K20" s="134">
        <v>261.05</v>
      </c>
      <c r="L20" s="134">
        <v>24.59</v>
      </c>
      <c r="M20" s="134">
        <v>95.94</v>
      </c>
      <c r="N20" s="134">
        <v>0</v>
      </c>
      <c r="O20" s="134">
        <v>0</v>
      </c>
      <c r="P20" s="134">
        <v>0.28000000000000003</v>
      </c>
      <c r="Q20" s="134">
        <v>4.3600000000000003</v>
      </c>
    </row>
    <row r="21" spans="1:17" customFormat="1">
      <c r="A21" s="112" t="s">
        <v>2458</v>
      </c>
      <c r="B21" s="134">
        <v>8.6999999999999993</v>
      </c>
      <c r="C21" s="134">
        <v>13.69</v>
      </c>
      <c r="D21" s="134">
        <v>15.48</v>
      </c>
      <c r="E21" s="134">
        <v>2.3199999999999998</v>
      </c>
      <c r="F21" s="134">
        <v>2.98</v>
      </c>
      <c r="G21" s="134">
        <v>12.33</v>
      </c>
      <c r="H21" s="134">
        <v>4.63</v>
      </c>
      <c r="I21" s="134">
        <v>2.81</v>
      </c>
      <c r="J21" s="134">
        <v>0.21</v>
      </c>
      <c r="K21" s="134">
        <v>257.02</v>
      </c>
      <c r="L21" s="134">
        <v>24.58</v>
      </c>
      <c r="M21" s="134">
        <v>96.44</v>
      </c>
      <c r="N21" s="134">
        <v>0</v>
      </c>
      <c r="O21" s="134">
        <v>0</v>
      </c>
      <c r="P21" s="134">
        <v>0.27</v>
      </c>
      <c r="Q21" s="134">
        <v>4.3499999999999996</v>
      </c>
    </row>
    <row r="22" spans="1:17" customFormat="1">
      <c r="A22" s="112" t="s">
        <v>2459</v>
      </c>
      <c r="B22" s="134">
        <v>8.89</v>
      </c>
      <c r="C22" s="134">
        <v>15.46</v>
      </c>
      <c r="D22" s="134">
        <v>16.559999999999999</v>
      </c>
      <c r="E22" s="134">
        <v>3.04</v>
      </c>
      <c r="F22" s="134">
        <v>1.6</v>
      </c>
      <c r="G22" s="134">
        <v>12.33</v>
      </c>
      <c r="H22" s="134">
        <v>4.63</v>
      </c>
      <c r="I22" s="134">
        <v>2.78</v>
      </c>
      <c r="J22" s="134">
        <v>0.37</v>
      </c>
      <c r="K22" s="134">
        <v>264.95</v>
      </c>
      <c r="L22" s="134">
        <v>24.55</v>
      </c>
      <c r="M22" s="134">
        <v>96.78</v>
      </c>
      <c r="N22" s="134">
        <v>0</v>
      </c>
      <c r="O22" s="134">
        <v>0</v>
      </c>
      <c r="P22" s="134">
        <v>0.28999999999999998</v>
      </c>
      <c r="Q22" s="134">
        <v>4.41</v>
      </c>
    </row>
    <row r="23" spans="1:17" customFormat="1">
      <c r="A23" s="112" t="s">
        <v>2460</v>
      </c>
      <c r="B23" s="134">
        <v>9.08</v>
      </c>
      <c r="C23" s="134">
        <v>15.28</v>
      </c>
      <c r="D23" s="134">
        <v>16.62</v>
      </c>
      <c r="E23" s="134">
        <v>3.34</v>
      </c>
      <c r="F23" s="134">
        <v>2.2000000000000002</v>
      </c>
      <c r="G23" s="134">
        <v>12.33</v>
      </c>
      <c r="H23" s="134">
        <v>4.63</v>
      </c>
      <c r="I23" s="134">
        <v>2.8</v>
      </c>
      <c r="J23" s="134">
        <v>0.15</v>
      </c>
      <c r="K23" s="134">
        <v>229.73</v>
      </c>
      <c r="L23" s="134">
        <v>24.64</v>
      </c>
      <c r="M23" s="134">
        <v>97.02</v>
      </c>
      <c r="N23" s="134">
        <v>0</v>
      </c>
      <c r="O23" s="134">
        <v>0</v>
      </c>
      <c r="P23" s="134">
        <v>0.28999999999999998</v>
      </c>
      <c r="Q23" s="134">
        <v>4.41</v>
      </c>
    </row>
    <row r="24" spans="1:17" customFormat="1">
      <c r="A24" s="112" t="s">
        <v>2461</v>
      </c>
      <c r="B24" s="134">
        <v>9.36</v>
      </c>
      <c r="C24" s="134">
        <v>13.91</v>
      </c>
      <c r="D24" s="134">
        <v>16.13</v>
      </c>
      <c r="E24" s="134">
        <v>2.78</v>
      </c>
      <c r="F24" s="134">
        <v>2.89</v>
      </c>
      <c r="G24" s="134">
        <v>12.04</v>
      </c>
      <c r="H24" s="134">
        <v>4.68</v>
      </c>
      <c r="I24" s="134">
        <v>2.92</v>
      </c>
      <c r="J24" s="134">
        <v>0.12</v>
      </c>
      <c r="K24" s="134">
        <v>227.55</v>
      </c>
      <c r="L24" s="134">
        <v>24.58</v>
      </c>
      <c r="M24" s="134">
        <v>97.53</v>
      </c>
      <c r="N24" s="134">
        <v>0</v>
      </c>
      <c r="O24" s="134">
        <v>0</v>
      </c>
      <c r="P24" s="134">
        <v>0.31</v>
      </c>
      <c r="Q24" s="134">
        <v>4.41</v>
      </c>
    </row>
    <row r="25" spans="1:17" customFormat="1">
      <c r="A25" s="112" t="s">
        <v>2462</v>
      </c>
      <c r="B25" s="134">
        <v>9.6300000000000008</v>
      </c>
      <c r="C25" s="134">
        <v>13.9</v>
      </c>
      <c r="D25" s="134">
        <v>16.34</v>
      </c>
      <c r="E25" s="134">
        <v>2.75</v>
      </c>
      <c r="F25" s="134">
        <v>2.68</v>
      </c>
      <c r="G25" s="134">
        <v>9.77</v>
      </c>
      <c r="H25" s="134">
        <v>4.9800000000000004</v>
      </c>
      <c r="I25" s="134">
        <v>3.02</v>
      </c>
      <c r="J25" s="134">
        <v>0.27</v>
      </c>
      <c r="K25" s="134">
        <v>258.94</v>
      </c>
      <c r="L25" s="134">
        <v>24.65</v>
      </c>
      <c r="M25" s="134">
        <v>97.89</v>
      </c>
      <c r="N25" s="134">
        <v>0</v>
      </c>
      <c r="O25" s="134">
        <v>0</v>
      </c>
      <c r="P25" s="134">
        <v>0.31</v>
      </c>
      <c r="Q25" s="134">
        <v>4.4000000000000004</v>
      </c>
    </row>
    <row r="26" spans="1:17" customFormat="1">
      <c r="A26" s="112" t="s">
        <v>2463</v>
      </c>
      <c r="B26" s="134">
        <v>9.86</v>
      </c>
      <c r="C26" s="134">
        <v>15.98</v>
      </c>
      <c r="D26" s="134">
        <v>17.61</v>
      </c>
      <c r="E26" s="134">
        <v>3.2</v>
      </c>
      <c r="F26" s="134">
        <v>1.68</v>
      </c>
      <c r="G26" s="134">
        <v>9.77</v>
      </c>
      <c r="H26" s="134">
        <v>4.9800000000000004</v>
      </c>
      <c r="I26" s="134">
        <v>3.28</v>
      </c>
      <c r="J26" s="134">
        <v>0.41</v>
      </c>
      <c r="K26" s="134">
        <v>258.52</v>
      </c>
      <c r="L26" s="134">
        <v>24.74</v>
      </c>
      <c r="M26" s="134">
        <v>97.81</v>
      </c>
      <c r="N26" s="134">
        <v>0</v>
      </c>
      <c r="O26" s="134">
        <v>0</v>
      </c>
      <c r="P26" s="134">
        <v>0.34</v>
      </c>
      <c r="Q26" s="134">
        <v>4.51</v>
      </c>
    </row>
    <row r="27" spans="1:17" customFormat="1">
      <c r="A27" s="112" t="s">
        <v>2464</v>
      </c>
      <c r="B27" s="134">
        <v>10.130000000000001</v>
      </c>
      <c r="C27" s="134">
        <v>14.61</v>
      </c>
      <c r="D27" s="134">
        <v>17.11</v>
      </c>
      <c r="E27" s="134">
        <v>3.01</v>
      </c>
      <c r="F27" s="134">
        <v>2.5099999999999998</v>
      </c>
      <c r="G27" s="134">
        <v>9.77</v>
      </c>
      <c r="H27" s="134">
        <v>4.9800000000000004</v>
      </c>
      <c r="I27" s="134">
        <v>3.42</v>
      </c>
      <c r="J27" s="134">
        <v>0.52</v>
      </c>
      <c r="K27" s="134">
        <v>262.92</v>
      </c>
      <c r="L27" s="134">
        <v>24.78</v>
      </c>
      <c r="M27" s="134">
        <v>97.48</v>
      </c>
      <c r="N27" s="134">
        <v>0</v>
      </c>
      <c r="O27" s="134">
        <v>0</v>
      </c>
      <c r="P27" s="134">
        <v>0.35</v>
      </c>
      <c r="Q27" s="134">
        <v>4.4800000000000004</v>
      </c>
    </row>
    <row r="28" spans="1:17" customFormat="1">
      <c r="A28" s="112" t="s">
        <v>2465</v>
      </c>
      <c r="B28" s="134">
        <v>10.11</v>
      </c>
      <c r="C28" s="134">
        <v>13.39</v>
      </c>
      <c r="D28" s="134">
        <v>16.45</v>
      </c>
      <c r="E28" s="134">
        <v>3.1</v>
      </c>
      <c r="F28" s="134">
        <v>3.19</v>
      </c>
      <c r="G28" s="134">
        <v>9.7899999999999991</v>
      </c>
      <c r="H28" s="134">
        <v>4.8099999999999996</v>
      </c>
      <c r="I28" s="134">
        <v>3.54</v>
      </c>
      <c r="J28" s="134">
        <v>0.67</v>
      </c>
      <c r="K28" s="134">
        <v>264.07</v>
      </c>
      <c r="L28" s="134">
        <v>24.85</v>
      </c>
      <c r="M28" s="134">
        <v>97.18</v>
      </c>
      <c r="N28" s="134">
        <v>0</v>
      </c>
      <c r="O28" s="134">
        <v>0</v>
      </c>
      <c r="P28" s="134">
        <v>0.33</v>
      </c>
      <c r="Q28" s="134">
        <v>4.46</v>
      </c>
    </row>
    <row r="29" spans="1:17" customFormat="1">
      <c r="A29" s="112" t="s">
        <v>2466</v>
      </c>
      <c r="B29" s="134">
        <v>10.08</v>
      </c>
      <c r="C29" s="134">
        <v>13.64</v>
      </c>
      <c r="D29" s="134">
        <v>16.559999999999999</v>
      </c>
      <c r="E29" s="134">
        <v>3.19</v>
      </c>
      <c r="F29" s="134">
        <v>2.8</v>
      </c>
      <c r="G29" s="134">
        <v>10</v>
      </c>
      <c r="H29" s="134">
        <v>3.74</v>
      </c>
      <c r="I29" s="134">
        <v>3.56</v>
      </c>
      <c r="J29" s="134">
        <v>0.62</v>
      </c>
      <c r="K29" s="134">
        <v>264.94</v>
      </c>
      <c r="L29" s="134">
        <v>24.88</v>
      </c>
      <c r="M29" s="134">
        <v>97.1</v>
      </c>
      <c r="N29" s="134">
        <v>0</v>
      </c>
      <c r="O29" s="134">
        <v>0</v>
      </c>
      <c r="P29" s="134">
        <v>0.33</v>
      </c>
      <c r="Q29" s="134">
        <v>4.46</v>
      </c>
    </row>
    <row r="30" spans="1:17" customFormat="1">
      <c r="A30" s="112" t="s">
        <v>2467</v>
      </c>
      <c r="B30" s="134">
        <v>9.5500000000000007</v>
      </c>
      <c r="C30" s="134">
        <v>14.61</v>
      </c>
      <c r="D30" s="134">
        <v>16.64</v>
      </c>
      <c r="E30" s="134">
        <v>3.02</v>
      </c>
      <c r="F30" s="134">
        <v>2.37</v>
      </c>
      <c r="G30" s="134">
        <v>10</v>
      </c>
      <c r="H30" s="134">
        <v>3.74</v>
      </c>
      <c r="I30" s="134">
        <v>3.49</v>
      </c>
      <c r="J30" s="134">
        <v>0.61</v>
      </c>
      <c r="K30" s="134">
        <v>264.83999999999997</v>
      </c>
      <c r="L30" s="134">
        <v>24.91</v>
      </c>
      <c r="M30" s="134">
        <v>97.14</v>
      </c>
      <c r="N30" s="134">
        <v>0</v>
      </c>
      <c r="O30" s="134">
        <v>0</v>
      </c>
      <c r="P30" s="134">
        <v>0.36</v>
      </c>
      <c r="Q30" s="134">
        <v>4.4800000000000004</v>
      </c>
    </row>
    <row r="31" spans="1:17" customFormat="1">
      <c r="A31" s="112" t="s">
        <v>2468</v>
      </c>
      <c r="B31" s="134">
        <v>8.9</v>
      </c>
      <c r="C31" s="134">
        <v>15.32</v>
      </c>
      <c r="D31" s="134">
        <v>16.489999999999998</v>
      </c>
      <c r="E31" s="134">
        <v>3.25</v>
      </c>
      <c r="F31" s="134">
        <v>2.4900000000000002</v>
      </c>
      <c r="G31" s="134">
        <v>10</v>
      </c>
      <c r="H31" s="134">
        <v>3.74</v>
      </c>
      <c r="I31" s="134">
        <v>3.5</v>
      </c>
      <c r="J31" s="134">
        <v>0.6</v>
      </c>
      <c r="K31" s="134">
        <v>266.25</v>
      </c>
      <c r="L31" s="134">
        <v>24.93</v>
      </c>
      <c r="M31" s="134">
        <v>96.9</v>
      </c>
      <c r="N31" s="134">
        <v>0</v>
      </c>
      <c r="O31" s="134">
        <v>0</v>
      </c>
      <c r="P31" s="134">
        <v>0.37</v>
      </c>
      <c r="Q31" s="134">
        <v>4.4800000000000004</v>
      </c>
    </row>
    <row r="32" spans="1:17" customFormat="1">
      <c r="A32" s="112" t="s">
        <v>2469</v>
      </c>
      <c r="B32" s="134">
        <v>8.8800000000000008</v>
      </c>
      <c r="C32" s="134">
        <v>13.98</v>
      </c>
      <c r="D32" s="134">
        <v>15.78</v>
      </c>
      <c r="E32" s="134">
        <v>2.7</v>
      </c>
      <c r="F32" s="134">
        <v>3.07</v>
      </c>
      <c r="G32" s="134">
        <v>10.17</v>
      </c>
      <c r="H32" s="134">
        <v>3.73</v>
      </c>
      <c r="I32" s="134">
        <v>3.48</v>
      </c>
      <c r="J32" s="134">
        <v>0.51</v>
      </c>
      <c r="K32" s="134">
        <v>266.63</v>
      </c>
      <c r="L32" s="134">
        <v>24.96</v>
      </c>
      <c r="M32" s="134">
        <v>96.52</v>
      </c>
      <c r="N32" s="134">
        <v>0</v>
      </c>
      <c r="O32" s="134">
        <v>0</v>
      </c>
      <c r="P32" s="134">
        <v>0.33</v>
      </c>
      <c r="Q32" s="134">
        <v>4.42</v>
      </c>
    </row>
    <row r="33" spans="1:17" customFormat="1">
      <c r="A33" s="112" t="s">
        <v>2470</v>
      </c>
      <c r="B33" s="134">
        <v>9.11</v>
      </c>
      <c r="C33" s="134">
        <v>13.26</v>
      </c>
      <c r="D33" s="134">
        <v>15.58</v>
      </c>
      <c r="E33" s="134">
        <v>2.69</v>
      </c>
      <c r="F33" s="134">
        <v>3.04</v>
      </c>
      <c r="G33" s="134">
        <v>11.59</v>
      </c>
      <c r="H33" s="134">
        <v>3.71</v>
      </c>
      <c r="I33" s="134">
        <v>3.4</v>
      </c>
      <c r="J33" s="134">
        <v>0.74</v>
      </c>
      <c r="K33" s="134">
        <v>266.01</v>
      </c>
      <c r="L33" s="134">
        <v>24.99</v>
      </c>
      <c r="M33" s="134">
        <v>96.29</v>
      </c>
      <c r="N33" s="134">
        <v>8.1</v>
      </c>
      <c r="O33" s="134">
        <v>0</v>
      </c>
      <c r="P33" s="134">
        <v>0.32</v>
      </c>
      <c r="Q33" s="134">
        <v>4.42</v>
      </c>
    </row>
    <row r="34" spans="1:17" customFormat="1">
      <c r="A34" s="112" t="s">
        <v>2471</v>
      </c>
      <c r="B34" s="134">
        <v>9.4600000000000009</v>
      </c>
      <c r="C34" s="134">
        <v>13.16</v>
      </c>
      <c r="D34" s="134">
        <v>15.81</v>
      </c>
      <c r="E34" s="134">
        <v>2.21</v>
      </c>
      <c r="F34" s="134">
        <v>3.08</v>
      </c>
      <c r="G34" s="134">
        <v>11.59</v>
      </c>
      <c r="H34" s="134">
        <v>3.71</v>
      </c>
      <c r="I34" s="134">
        <v>3.31</v>
      </c>
      <c r="J34" s="134">
        <v>0.56999999999999995</v>
      </c>
      <c r="K34" s="134">
        <v>265.05</v>
      </c>
      <c r="L34" s="134">
        <v>25.04</v>
      </c>
      <c r="M34" s="134">
        <v>95.85</v>
      </c>
      <c r="N34" s="134">
        <v>19.2</v>
      </c>
      <c r="O34" s="134">
        <v>0</v>
      </c>
      <c r="P34" s="134">
        <v>0.28999999999999998</v>
      </c>
      <c r="Q34" s="134">
        <v>4.43</v>
      </c>
    </row>
    <row r="35" spans="1:17" customFormat="1">
      <c r="A35" s="112" t="s">
        <v>2472</v>
      </c>
      <c r="B35" s="134">
        <v>9.7100000000000009</v>
      </c>
      <c r="C35" s="134">
        <v>13.39</v>
      </c>
      <c r="D35" s="134">
        <v>16.13</v>
      </c>
      <c r="E35" s="134">
        <v>2.25</v>
      </c>
      <c r="F35" s="134">
        <v>2.69</v>
      </c>
      <c r="G35" s="134">
        <v>11.59</v>
      </c>
      <c r="H35" s="134">
        <v>3.71</v>
      </c>
      <c r="I35" s="134">
        <v>3.24</v>
      </c>
      <c r="J35" s="134">
        <v>0.53</v>
      </c>
      <c r="K35" s="134">
        <v>262.95</v>
      </c>
      <c r="L35" s="134">
        <v>25.13</v>
      </c>
      <c r="M35" s="134">
        <v>95.57</v>
      </c>
      <c r="N35" s="134">
        <v>31</v>
      </c>
      <c r="O35" s="134">
        <v>0</v>
      </c>
      <c r="P35" s="134">
        <v>0.3</v>
      </c>
      <c r="Q35" s="134">
        <v>4.4000000000000004</v>
      </c>
    </row>
    <row r="36" spans="1:17" customFormat="1">
      <c r="A36" s="112" t="s">
        <v>2473</v>
      </c>
      <c r="B36" s="134">
        <v>9.77</v>
      </c>
      <c r="C36" s="134">
        <v>15.58</v>
      </c>
      <c r="D36" s="134">
        <v>17.329999999999998</v>
      </c>
      <c r="E36" s="134">
        <v>3.04</v>
      </c>
      <c r="F36" s="134">
        <v>1.6</v>
      </c>
      <c r="G36" s="134">
        <v>11.23</v>
      </c>
      <c r="H36" s="134">
        <v>3.61</v>
      </c>
      <c r="I36" s="134">
        <v>3.22</v>
      </c>
      <c r="J36" s="134">
        <v>0.59</v>
      </c>
      <c r="K36" s="134">
        <v>262.33</v>
      </c>
      <c r="L36" s="134">
        <v>25.24</v>
      </c>
      <c r="M36" s="134">
        <v>95.26</v>
      </c>
      <c r="N36" s="134">
        <v>47.9</v>
      </c>
      <c r="O36" s="134">
        <v>0</v>
      </c>
      <c r="P36" s="134">
        <v>0.34</v>
      </c>
      <c r="Q36" s="134">
        <v>4.4800000000000004</v>
      </c>
    </row>
    <row r="37" spans="1:17" customFormat="1">
      <c r="A37" s="112" t="s">
        <v>2474</v>
      </c>
      <c r="B37" s="134">
        <v>9.82</v>
      </c>
      <c r="C37" s="134">
        <v>14.75</v>
      </c>
      <c r="D37" s="134">
        <v>16.93</v>
      </c>
      <c r="E37" s="134">
        <v>3.62</v>
      </c>
      <c r="F37" s="134">
        <v>2.5299999999999998</v>
      </c>
      <c r="G37" s="134">
        <v>8.34</v>
      </c>
      <c r="H37" s="134">
        <v>2.97</v>
      </c>
      <c r="I37" s="134">
        <v>3.28</v>
      </c>
      <c r="J37" s="134">
        <v>0.81</v>
      </c>
      <c r="K37" s="134">
        <v>265.17</v>
      </c>
      <c r="L37" s="134">
        <v>25.34</v>
      </c>
      <c r="M37" s="134">
        <v>94.43</v>
      </c>
      <c r="N37" s="134">
        <v>68.3</v>
      </c>
      <c r="O37" s="134">
        <v>0</v>
      </c>
      <c r="P37" s="134">
        <v>0.33</v>
      </c>
      <c r="Q37" s="134">
        <v>4.47</v>
      </c>
    </row>
    <row r="38" spans="1:17" customFormat="1">
      <c r="A38" s="112" t="s">
        <v>2475</v>
      </c>
      <c r="B38" s="134">
        <v>9.89</v>
      </c>
      <c r="C38" s="134">
        <v>13.52</v>
      </c>
      <c r="D38" s="134">
        <v>16.350000000000001</v>
      </c>
      <c r="E38" s="134">
        <v>3.18</v>
      </c>
      <c r="F38" s="134">
        <v>3.01</v>
      </c>
      <c r="G38" s="134">
        <v>8.34</v>
      </c>
      <c r="H38" s="134">
        <v>2.97</v>
      </c>
      <c r="I38" s="134">
        <v>3.36</v>
      </c>
      <c r="J38" s="134">
        <v>0.61</v>
      </c>
      <c r="K38" s="134">
        <v>265.79000000000002</v>
      </c>
      <c r="L38" s="134">
        <v>25.55</v>
      </c>
      <c r="M38" s="134">
        <v>93.76</v>
      </c>
      <c r="N38" s="134">
        <v>92.8</v>
      </c>
      <c r="O38" s="134">
        <v>0</v>
      </c>
      <c r="P38" s="134">
        <v>0.31</v>
      </c>
      <c r="Q38" s="134">
        <v>4.43</v>
      </c>
    </row>
    <row r="39" spans="1:17" customFormat="1">
      <c r="A39" s="112" t="s">
        <v>2476</v>
      </c>
      <c r="B39" s="134">
        <v>10</v>
      </c>
      <c r="C39" s="134">
        <v>12.98</v>
      </c>
      <c r="D39" s="134">
        <v>16.16</v>
      </c>
      <c r="E39" s="134">
        <v>2.62</v>
      </c>
      <c r="F39" s="134">
        <v>2.94</v>
      </c>
      <c r="G39" s="134">
        <v>8.34</v>
      </c>
      <c r="H39" s="134">
        <v>2.97</v>
      </c>
      <c r="I39" s="134">
        <v>3.31</v>
      </c>
      <c r="J39" s="134">
        <v>0.91</v>
      </c>
      <c r="K39" s="134">
        <v>267.24</v>
      </c>
      <c r="L39" s="134">
        <v>25.7</v>
      </c>
      <c r="M39" s="134">
        <v>92.3</v>
      </c>
      <c r="N39" s="134">
        <v>111.1</v>
      </c>
      <c r="O39" s="134">
        <v>0</v>
      </c>
      <c r="P39" s="134">
        <v>0.31</v>
      </c>
      <c r="Q39" s="134">
        <v>4.43</v>
      </c>
    </row>
    <row r="40" spans="1:17" customFormat="1">
      <c r="A40" s="112" t="s">
        <v>2477</v>
      </c>
      <c r="B40" s="134">
        <v>9.99</v>
      </c>
      <c r="C40" s="134">
        <v>15.2</v>
      </c>
      <c r="D40" s="134">
        <v>17.3</v>
      </c>
      <c r="E40" s="134">
        <v>3.29</v>
      </c>
      <c r="F40" s="134">
        <v>1.66</v>
      </c>
      <c r="G40" s="134">
        <v>8.64</v>
      </c>
      <c r="H40" s="134">
        <v>2.87</v>
      </c>
      <c r="I40" s="134">
        <v>3.26</v>
      </c>
      <c r="J40" s="134">
        <v>0.75</v>
      </c>
      <c r="K40" s="134">
        <v>263.95999999999998</v>
      </c>
      <c r="L40" s="134">
        <v>25.97</v>
      </c>
      <c r="M40" s="134">
        <v>92.04</v>
      </c>
      <c r="N40" s="134">
        <v>125.2</v>
      </c>
      <c r="O40" s="134">
        <v>0</v>
      </c>
      <c r="P40" s="134">
        <v>0.34</v>
      </c>
      <c r="Q40" s="134">
        <v>4.5</v>
      </c>
    </row>
    <row r="41" spans="1:17" customFormat="1">
      <c r="A41" s="112" t="s">
        <v>2478</v>
      </c>
      <c r="B41" s="134">
        <v>10.07</v>
      </c>
      <c r="C41" s="134">
        <v>14.49</v>
      </c>
      <c r="D41" s="134">
        <v>17</v>
      </c>
      <c r="E41" s="134">
        <v>3.75</v>
      </c>
      <c r="F41" s="134">
        <v>2.52</v>
      </c>
      <c r="G41" s="134">
        <v>11.01</v>
      </c>
      <c r="H41" s="134">
        <v>2.2599999999999998</v>
      </c>
      <c r="I41" s="134">
        <v>3.28</v>
      </c>
      <c r="J41" s="134">
        <v>0.9</v>
      </c>
      <c r="K41" s="134">
        <v>268.58999999999997</v>
      </c>
      <c r="L41" s="134">
        <v>26.28</v>
      </c>
      <c r="M41" s="134">
        <v>90.6</v>
      </c>
      <c r="N41" s="134">
        <v>152.6</v>
      </c>
      <c r="O41" s="134">
        <v>0</v>
      </c>
      <c r="P41" s="134">
        <v>0.35</v>
      </c>
      <c r="Q41" s="134">
        <v>4.51</v>
      </c>
    </row>
    <row r="42" spans="1:17" customFormat="1">
      <c r="A42" s="112" t="s">
        <v>2479</v>
      </c>
      <c r="B42" s="134">
        <v>10.11</v>
      </c>
      <c r="C42" s="134">
        <v>13.66</v>
      </c>
      <c r="D42" s="134">
        <v>16.600000000000001</v>
      </c>
      <c r="E42" s="134">
        <v>3.41</v>
      </c>
      <c r="F42" s="134">
        <v>3.19</v>
      </c>
      <c r="G42" s="134">
        <v>11.01</v>
      </c>
      <c r="H42" s="134">
        <v>2.2599999999999998</v>
      </c>
      <c r="I42" s="134">
        <v>3.43</v>
      </c>
      <c r="J42" s="134">
        <v>0.72</v>
      </c>
      <c r="K42" s="134">
        <v>265.87</v>
      </c>
      <c r="L42" s="134">
        <v>26.48</v>
      </c>
      <c r="M42" s="134">
        <v>90.47</v>
      </c>
      <c r="N42" s="134">
        <v>157.9</v>
      </c>
      <c r="O42" s="134">
        <v>0</v>
      </c>
      <c r="P42" s="134">
        <v>0.35</v>
      </c>
      <c r="Q42" s="134">
        <v>4.4800000000000004</v>
      </c>
    </row>
    <row r="43" spans="1:17" customFormat="1">
      <c r="A43" s="112" t="s">
        <v>2480</v>
      </c>
      <c r="B43" s="134">
        <v>10.18</v>
      </c>
      <c r="C43" s="134">
        <v>13.23</v>
      </c>
      <c r="D43" s="134">
        <v>16.43</v>
      </c>
      <c r="E43" s="134">
        <v>3.41</v>
      </c>
      <c r="F43" s="134">
        <v>3.22</v>
      </c>
      <c r="G43" s="134">
        <v>11.01</v>
      </c>
      <c r="H43" s="134">
        <v>2.2599999999999998</v>
      </c>
      <c r="I43" s="134">
        <v>3.52</v>
      </c>
      <c r="J43" s="134">
        <v>0.83</v>
      </c>
      <c r="K43" s="134">
        <v>268.56</v>
      </c>
      <c r="L43" s="134">
        <v>26.78</v>
      </c>
      <c r="M43" s="134">
        <v>89.17</v>
      </c>
      <c r="N43" s="134">
        <v>199</v>
      </c>
      <c r="O43" s="134">
        <v>0</v>
      </c>
      <c r="P43" s="134">
        <v>0.35</v>
      </c>
      <c r="Q43" s="134">
        <v>4.45</v>
      </c>
    </row>
    <row r="44" spans="1:17" customFormat="1">
      <c r="A44" s="112" t="s">
        <v>2481</v>
      </c>
      <c r="B44" s="134">
        <v>10.17</v>
      </c>
      <c r="C44" s="134">
        <v>13.38</v>
      </c>
      <c r="D44" s="134">
        <v>16.5</v>
      </c>
      <c r="E44" s="134">
        <v>3.16</v>
      </c>
      <c r="F44" s="134">
        <v>2.87</v>
      </c>
      <c r="G44" s="134">
        <v>11.37</v>
      </c>
      <c r="H44" s="134">
        <v>2.57</v>
      </c>
      <c r="I44" s="134">
        <v>3.64</v>
      </c>
      <c r="J44" s="134">
        <v>0.66</v>
      </c>
      <c r="K44" s="134">
        <v>267.35000000000002</v>
      </c>
      <c r="L44" s="134">
        <v>27.15</v>
      </c>
      <c r="M44" s="134">
        <v>88.14</v>
      </c>
      <c r="N44" s="134">
        <v>229.1</v>
      </c>
      <c r="O44" s="134">
        <v>0</v>
      </c>
      <c r="P44" s="134">
        <v>0.37</v>
      </c>
      <c r="Q44" s="134">
        <v>4.4400000000000004</v>
      </c>
    </row>
    <row r="45" spans="1:17" customFormat="1">
      <c r="A45" s="112" t="s">
        <v>2482</v>
      </c>
      <c r="B45" s="134">
        <v>10.3</v>
      </c>
      <c r="C45" s="134">
        <v>15.64</v>
      </c>
      <c r="D45" s="134">
        <v>17.78</v>
      </c>
      <c r="E45" s="134">
        <v>3.05</v>
      </c>
      <c r="F45" s="134">
        <v>1.65</v>
      </c>
      <c r="G45" s="134">
        <v>14.26</v>
      </c>
      <c r="H45" s="134">
        <v>4.49</v>
      </c>
      <c r="I45" s="134">
        <v>3.74</v>
      </c>
      <c r="J45" s="134">
        <v>0.63</v>
      </c>
      <c r="K45" s="134">
        <v>269.76</v>
      </c>
      <c r="L45" s="134">
        <v>27.55</v>
      </c>
      <c r="M45" s="134">
        <v>86.81</v>
      </c>
      <c r="N45" s="134">
        <v>213.2</v>
      </c>
      <c r="O45" s="134">
        <v>0</v>
      </c>
      <c r="P45" s="134">
        <v>0.41</v>
      </c>
      <c r="Q45" s="134">
        <v>4.55</v>
      </c>
    </row>
    <row r="46" spans="1:17" customFormat="1">
      <c r="A46" s="112" t="s">
        <v>2483</v>
      </c>
      <c r="B46" s="134">
        <v>10.31</v>
      </c>
      <c r="C46" s="134">
        <v>15.16</v>
      </c>
      <c r="D46" s="134">
        <v>17.54</v>
      </c>
      <c r="E46" s="134">
        <v>3.08</v>
      </c>
      <c r="F46" s="134">
        <v>2.4</v>
      </c>
      <c r="G46" s="134">
        <v>14.26</v>
      </c>
      <c r="H46" s="134">
        <v>4.49</v>
      </c>
      <c r="I46" s="134">
        <v>3.86</v>
      </c>
      <c r="J46" s="134">
        <v>0.83</v>
      </c>
      <c r="K46" s="134">
        <v>275.73</v>
      </c>
      <c r="L46" s="134">
        <v>27.51</v>
      </c>
      <c r="M46" s="134">
        <v>86.39</v>
      </c>
      <c r="N46" s="134">
        <v>239</v>
      </c>
      <c r="O46" s="134">
        <v>0</v>
      </c>
      <c r="P46" s="134">
        <v>0.43</v>
      </c>
      <c r="Q46" s="134">
        <v>4.5599999999999996</v>
      </c>
    </row>
    <row r="47" spans="1:17" customFormat="1">
      <c r="A47" s="112" t="s">
        <v>2484</v>
      </c>
      <c r="B47" s="134">
        <v>10.49</v>
      </c>
      <c r="C47" s="134">
        <v>13.86</v>
      </c>
      <c r="D47" s="134">
        <v>17.010000000000002</v>
      </c>
      <c r="E47" s="134">
        <v>3.8</v>
      </c>
      <c r="F47" s="134">
        <v>3.06</v>
      </c>
      <c r="G47" s="134">
        <v>14.26</v>
      </c>
      <c r="H47" s="134">
        <v>4.49</v>
      </c>
      <c r="I47" s="134">
        <v>4</v>
      </c>
      <c r="J47" s="134">
        <v>0.77</v>
      </c>
      <c r="K47" s="134">
        <v>267.24</v>
      </c>
      <c r="L47" s="134">
        <v>27.73</v>
      </c>
      <c r="M47" s="134">
        <v>85.17</v>
      </c>
      <c r="N47" s="134">
        <v>271.89999999999998</v>
      </c>
      <c r="O47" s="134">
        <v>0</v>
      </c>
      <c r="P47" s="134">
        <v>0.43</v>
      </c>
      <c r="Q47" s="134">
        <v>4.53</v>
      </c>
    </row>
    <row r="48" spans="1:17" customFormat="1">
      <c r="A48" s="112" t="s">
        <v>2485</v>
      </c>
      <c r="B48" s="134">
        <v>10.59</v>
      </c>
      <c r="C48" s="134">
        <v>13.45</v>
      </c>
      <c r="D48" s="134">
        <v>16.87</v>
      </c>
      <c r="E48" s="134">
        <v>3.77</v>
      </c>
      <c r="F48" s="134">
        <v>3.16</v>
      </c>
      <c r="G48" s="134">
        <v>14.77</v>
      </c>
      <c r="H48" s="134">
        <v>4.59</v>
      </c>
      <c r="I48" s="134">
        <v>4.12</v>
      </c>
      <c r="J48" s="134">
        <v>0.87</v>
      </c>
      <c r="K48" s="134">
        <v>260.64999999999998</v>
      </c>
      <c r="L48" s="134">
        <v>27.79</v>
      </c>
      <c r="M48" s="134">
        <v>84.59</v>
      </c>
      <c r="N48" s="134">
        <v>276.8</v>
      </c>
      <c r="O48" s="134">
        <v>0</v>
      </c>
      <c r="P48" s="134">
        <v>0.44</v>
      </c>
      <c r="Q48" s="134">
        <v>4.47</v>
      </c>
    </row>
    <row r="49" spans="1:17" customFormat="1">
      <c r="A49" s="112" t="s">
        <v>2486</v>
      </c>
      <c r="B49" s="134">
        <v>10.15</v>
      </c>
      <c r="C49" s="134">
        <v>13.18</v>
      </c>
      <c r="D49" s="134">
        <v>16.38</v>
      </c>
      <c r="E49" s="134">
        <v>5.86</v>
      </c>
      <c r="F49" s="134">
        <v>4.17</v>
      </c>
      <c r="G49" s="134">
        <v>18.809999999999999</v>
      </c>
      <c r="H49" s="134">
        <v>5.2</v>
      </c>
      <c r="I49" s="134">
        <v>4.25</v>
      </c>
      <c r="J49" s="134">
        <v>0.71</v>
      </c>
      <c r="K49" s="134">
        <v>269.26</v>
      </c>
      <c r="L49" s="134">
        <v>28</v>
      </c>
      <c r="M49" s="134">
        <v>83.89</v>
      </c>
      <c r="N49" s="134">
        <v>287.89999999999998</v>
      </c>
      <c r="O49" s="134">
        <v>0</v>
      </c>
      <c r="P49" s="134">
        <v>0.46</v>
      </c>
      <c r="Q49" s="134">
        <v>4.45</v>
      </c>
    </row>
    <row r="50" spans="1:17" customFormat="1">
      <c r="A50" s="112" t="s">
        <v>2487</v>
      </c>
      <c r="B50" s="134">
        <v>8.67</v>
      </c>
      <c r="C50" s="134">
        <v>13.54</v>
      </c>
      <c r="D50" s="134">
        <v>15.38</v>
      </c>
      <c r="E50" s="134">
        <v>7.19</v>
      </c>
      <c r="F50" s="134">
        <v>4.54</v>
      </c>
      <c r="G50" s="134">
        <v>18.809999999999999</v>
      </c>
      <c r="H50" s="134">
        <v>5.2</v>
      </c>
      <c r="I50" s="134">
        <v>4.3099999999999996</v>
      </c>
      <c r="J50" s="134">
        <v>0.99</v>
      </c>
      <c r="K50" s="134">
        <v>262.85000000000002</v>
      </c>
      <c r="L50" s="134">
        <v>28</v>
      </c>
      <c r="M50" s="134">
        <v>82.37</v>
      </c>
      <c r="N50" s="134">
        <v>249.5</v>
      </c>
      <c r="O50" s="134">
        <v>0</v>
      </c>
      <c r="P50" s="134">
        <v>0.5</v>
      </c>
      <c r="Q50" s="134">
        <v>4.42</v>
      </c>
    </row>
    <row r="51" spans="1:17" customFormat="1">
      <c r="A51" s="112" t="s">
        <v>2488</v>
      </c>
      <c r="B51" s="134">
        <v>6.66</v>
      </c>
      <c r="C51" s="134">
        <v>14.53</v>
      </c>
      <c r="D51" s="134">
        <v>14.29</v>
      </c>
      <c r="E51" s="134">
        <v>6.29</v>
      </c>
      <c r="F51" s="134">
        <v>4.49</v>
      </c>
      <c r="G51" s="134">
        <v>18.809999999999999</v>
      </c>
      <c r="H51" s="134">
        <v>5.2</v>
      </c>
      <c r="I51" s="134">
        <v>4.3600000000000003</v>
      </c>
      <c r="J51" s="134">
        <v>0.95</v>
      </c>
      <c r="K51" s="134">
        <v>264.01</v>
      </c>
      <c r="L51" s="134">
        <v>28.05</v>
      </c>
      <c r="M51" s="134">
        <v>82.31</v>
      </c>
      <c r="N51" s="134">
        <v>280.89999999999998</v>
      </c>
      <c r="O51" s="134">
        <v>0</v>
      </c>
      <c r="P51" s="134">
        <v>0.57999999999999996</v>
      </c>
      <c r="Q51" s="134">
        <v>4.34</v>
      </c>
    </row>
    <row r="52" spans="1:17" customFormat="1">
      <c r="A52" s="112" t="s">
        <v>2489</v>
      </c>
      <c r="B52" s="134">
        <v>4.62</v>
      </c>
      <c r="C52" s="134">
        <v>14.05</v>
      </c>
      <c r="D52" s="134">
        <v>12.4</v>
      </c>
      <c r="E52" s="134">
        <v>5.99</v>
      </c>
      <c r="F52" s="134">
        <v>5.94</v>
      </c>
      <c r="G52" s="134">
        <v>19.399999999999999</v>
      </c>
      <c r="H52" s="134">
        <v>5.72</v>
      </c>
      <c r="I52" s="134">
        <v>4.5</v>
      </c>
      <c r="J52" s="134">
        <v>0.85</v>
      </c>
      <c r="K52" s="134">
        <v>278.14</v>
      </c>
      <c r="L52" s="134">
        <v>28.43</v>
      </c>
      <c r="M52" s="134">
        <v>81.180000000000007</v>
      </c>
      <c r="N52" s="134">
        <v>377.6</v>
      </c>
      <c r="O52" s="134">
        <v>0</v>
      </c>
      <c r="P52" s="134">
        <v>0.56999999999999995</v>
      </c>
      <c r="Q52" s="134">
        <v>4.2300000000000004</v>
      </c>
    </row>
    <row r="53" spans="1:17" customFormat="1">
      <c r="A53" s="112" t="s">
        <v>2490</v>
      </c>
      <c r="B53" s="134">
        <v>3.62</v>
      </c>
      <c r="C53" s="134">
        <v>12.44</v>
      </c>
      <c r="D53" s="134">
        <v>10.75</v>
      </c>
      <c r="E53" s="134">
        <v>7.11</v>
      </c>
      <c r="F53" s="134">
        <v>9.73</v>
      </c>
      <c r="G53" s="134">
        <v>24.09</v>
      </c>
      <c r="H53" s="134">
        <v>9.01</v>
      </c>
      <c r="I53" s="134">
        <v>4.6100000000000003</v>
      </c>
      <c r="J53" s="134">
        <v>0.89</v>
      </c>
      <c r="K53" s="134">
        <v>272.81</v>
      </c>
      <c r="L53" s="134">
        <v>28.77</v>
      </c>
      <c r="M53" s="134">
        <v>79.52</v>
      </c>
      <c r="N53" s="134">
        <v>390.3</v>
      </c>
      <c r="O53" s="134">
        <v>0</v>
      </c>
      <c r="P53" s="134">
        <v>0.55000000000000004</v>
      </c>
      <c r="Q53" s="134">
        <v>4.0599999999999996</v>
      </c>
    </row>
    <row r="54" spans="1:17" customFormat="1">
      <c r="A54" s="112" t="s">
        <v>2491</v>
      </c>
      <c r="B54" s="134">
        <v>3.68</v>
      </c>
      <c r="C54" s="134">
        <v>12.36</v>
      </c>
      <c r="D54" s="134">
        <v>10.76</v>
      </c>
      <c r="E54" s="134">
        <v>6.96</v>
      </c>
      <c r="F54" s="134">
        <v>10.23</v>
      </c>
      <c r="G54" s="134">
        <v>24.09</v>
      </c>
      <c r="H54" s="134">
        <v>9.01</v>
      </c>
      <c r="I54" s="134">
        <v>4.24</v>
      </c>
      <c r="J54" s="134">
        <v>0.98</v>
      </c>
      <c r="K54" s="134">
        <v>279.8</v>
      </c>
      <c r="L54" s="134">
        <v>29.24</v>
      </c>
      <c r="M54" s="134">
        <v>76.849999999999994</v>
      </c>
      <c r="N54" s="134">
        <v>451.6</v>
      </c>
      <c r="O54" s="134">
        <v>0</v>
      </c>
      <c r="P54" s="134">
        <v>0.56999999999999995</v>
      </c>
      <c r="Q54" s="134">
        <v>4</v>
      </c>
    </row>
    <row r="55" spans="1:17" customFormat="1">
      <c r="A55" s="112" t="s">
        <v>2492</v>
      </c>
      <c r="B55" s="134">
        <v>3.64</v>
      </c>
      <c r="C55" s="134">
        <v>13.82</v>
      </c>
      <c r="D55" s="134">
        <v>11.49</v>
      </c>
      <c r="E55" s="134">
        <v>6.76</v>
      </c>
      <c r="F55" s="134">
        <v>9.77</v>
      </c>
      <c r="G55" s="134">
        <v>24.09</v>
      </c>
      <c r="H55" s="134">
        <v>9.01</v>
      </c>
      <c r="I55" s="134">
        <v>3.87</v>
      </c>
      <c r="J55" s="134">
        <v>1.03</v>
      </c>
      <c r="K55" s="134">
        <v>268.70999999999998</v>
      </c>
      <c r="L55" s="134">
        <v>28.91</v>
      </c>
      <c r="M55" s="134">
        <v>77.36</v>
      </c>
      <c r="N55" s="134">
        <v>243.8</v>
      </c>
      <c r="O55" s="134">
        <v>0</v>
      </c>
      <c r="P55" s="134">
        <v>0.57999999999999996</v>
      </c>
      <c r="Q55" s="134">
        <v>4</v>
      </c>
    </row>
    <row r="56" spans="1:17" customFormat="1">
      <c r="A56" s="112" t="s">
        <v>2493</v>
      </c>
      <c r="B56" s="134">
        <v>2.9</v>
      </c>
      <c r="C56" s="134">
        <v>13.41</v>
      </c>
      <c r="D56" s="134">
        <v>10.68</v>
      </c>
      <c r="E56" s="134">
        <v>3.3</v>
      </c>
      <c r="F56" s="134">
        <v>6.68</v>
      </c>
      <c r="G56" s="134">
        <v>24.31</v>
      </c>
      <c r="H56" s="134">
        <v>8.81</v>
      </c>
      <c r="I56" s="134">
        <v>3.93</v>
      </c>
      <c r="J56" s="134">
        <v>0.74</v>
      </c>
      <c r="K56" s="134">
        <v>268.14999999999998</v>
      </c>
      <c r="L56" s="134">
        <v>28.68</v>
      </c>
      <c r="M56" s="134">
        <v>77.38</v>
      </c>
      <c r="N56" s="134">
        <v>194.1</v>
      </c>
      <c r="O56" s="134">
        <v>0</v>
      </c>
      <c r="P56" s="134">
        <v>0.57999999999999996</v>
      </c>
      <c r="Q56" s="134">
        <v>4.01</v>
      </c>
    </row>
    <row r="57" spans="1:17" customFormat="1">
      <c r="A57" s="112" t="s">
        <v>2494</v>
      </c>
      <c r="B57" s="134">
        <v>2.5099999999999998</v>
      </c>
      <c r="C57" s="134">
        <v>12.21</v>
      </c>
      <c r="D57" s="134">
        <v>9.74</v>
      </c>
      <c r="E57" s="134">
        <v>3.86</v>
      </c>
      <c r="F57" s="134">
        <v>6.28</v>
      </c>
      <c r="G57" s="134">
        <v>26.09</v>
      </c>
      <c r="H57" s="134">
        <v>7.57</v>
      </c>
      <c r="I57" s="134">
        <v>4.07</v>
      </c>
      <c r="J57" s="134">
        <v>0.75</v>
      </c>
      <c r="K57" s="134">
        <v>273.64</v>
      </c>
      <c r="L57" s="134">
        <v>28.89</v>
      </c>
      <c r="M57" s="134">
        <v>77.22</v>
      </c>
      <c r="N57" s="134">
        <v>303</v>
      </c>
      <c r="O57" s="134">
        <v>0</v>
      </c>
      <c r="P57" s="134">
        <v>0.57999999999999996</v>
      </c>
      <c r="Q57" s="134">
        <v>4.03</v>
      </c>
    </row>
    <row r="58" spans="1:17" customFormat="1">
      <c r="A58" s="112" t="s">
        <v>2495</v>
      </c>
      <c r="B58" s="134">
        <v>2.63</v>
      </c>
      <c r="C58" s="134">
        <v>12.06</v>
      </c>
      <c r="D58" s="134">
        <v>9.76</v>
      </c>
      <c r="E58" s="134">
        <v>3.51</v>
      </c>
      <c r="F58" s="134">
        <v>5.65</v>
      </c>
      <c r="G58" s="134">
        <v>26.09</v>
      </c>
      <c r="H58" s="134">
        <v>7.57</v>
      </c>
      <c r="I58" s="134">
        <v>4.2</v>
      </c>
      <c r="J58" s="134">
        <v>0.74</v>
      </c>
      <c r="K58" s="134">
        <v>270.86</v>
      </c>
      <c r="L58" s="134">
        <v>29.19</v>
      </c>
      <c r="M58" s="134">
        <v>76.94</v>
      </c>
      <c r="N58" s="134">
        <v>272.89999999999998</v>
      </c>
      <c r="O58" s="134">
        <v>0</v>
      </c>
      <c r="P58" s="134">
        <v>0.56999999999999995</v>
      </c>
      <c r="Q58" s="134">
        <v>4.0199999999999996</v>
      </c>
    </row>
    <row r="59" spans="1:17" customFormat="1">
      <c r="A59" s="112" t="s">
        <v>2496</v>
      </c>
      <c r="B59" s="134">
        <v>2.73</v>
      </c>
      <c r="C59" s="134">
        <v>12.05</v>
      </c>
      <c r="D59" s="134">
        <v>9.84</v>
      </c>
      <c r="E59" s="134">
        <v>2.66</v>
      </c>
      <c r="F59" s="134">
        <v>4.45</v>
      </c>
      <c r="G59" s="134">
        <v>26.09</v>
      </c>
      <c r="H59" s="134">
        <v>7.57</v>
      </c>
      <c r="I59" s="134">
        <v>4.4800000000000004</v>
      </c>
      <c r="J59" s="134">
        <v>0.74</v>
      </c>
      <c r="K59" s="134">
        <v>276.26</v>
      </c>
      <c r="L59" s="134">
        <v>29.3</v>
      </c>
      <c r="M59" s="134">
        <v>75.91</v>
      </c>
      <c r="N59" s="134">
        <v>305</v>
      </c>
      <c r="O59" s="134">
        <v>0</v>
      </c>
      <c r="P59" s="134">
        <v>0.57999999999999996</v>
      </c>
      <c r="Q59" s="134">
        <v>4.05</v>
      </c>
    </row>
    <row r="60" spans="1:17" customFormat="1">
      <c r="A60" s="112" t="s">
        <v>2497</v>
      </c>
      <c r="B60" s="134">
        <v>2.61</v>
      </c>
      <c r="C60" s="134">
        <v>11.33</v>
      </c>
      <c r="D60" s="134">
        <v>9.36</v>
      </c>
      <c r="E60" s="134">
        <v>2.76</v>
      </c>
      <c r="F60" s="134">
        <v>5.36</v>
      </c>
      <c r="G60" s="134">
        <v>26.4</v>
      </c>
      <c r="H60" s="134">
        <v>7.81</v>
      </c>
      <c r="I60" s="134">
        <v>4.88</v>
      </c>
      <c r="J60" s="134">
        <v>0.8</v>
      </c>
      <c r="K60" s="134">
        <v>271.67</v>
      </c>
      <c r="L60" s="134">
        <v>29.48</v>
      </c>
      <c r="M60" s="134">
        <v>73.459999999999994</v>
      </c>
      <c r="N60" s="134">
        <v>314.8</v>
      </c>
      <c r="O60" s="134">
        <v>0</v>
      </c>
      <c r="P60" s="134">
        <v>0.59</v>
      </c>
      <c r="Q60" s="134">
        <v>4.01</v>
      </c>
    </row>
    <row r="61" spans="1:17" customFormat="1">
      <c r="A61" s="112" t="s">
        <v>2498</v>
      </c>
      <c r="B61" s="134">
        <v>2.66</v>
      </c>
      <c r="C61" s="134">
        <v>11.65</v>
      </c>
      <c r="D61" s="134">
        <v>9.57</v>
      </c>
      <c r="E61" s="134">
        <v>2.81</v>
      </c>
      <c r="F61" s="134">
        <v>7.35</v>
      </c>
      <c r="G61" s="134">
        <v>28.93</v>
      </c>
      <c r="H61" s="134">
        <v>9.35</v>
      </c>
      <c r="I61" s="134">
        <v>4.63</v>
      </c>
      <c r="J61" s="134">
        <v>0.82</v>
      </c>
      <c r="K61" s="134">
        <v>284.33</v>
      </c>
      <c r="L61" s="134">
        <v>29.54</v>
      </c>
      <c r="M61" s="134">
        <v>72.22</v>
      </c>
      <c r="N61" s="134">
        <v>304.2</v>
      </c>
      <c r="O61" s="134">
        <v>0</v>
      </c>
      <c r="P61" s="134">
        <v>0.6</v>
      </c>
      <c r="Q61" s="134">
        <v>4.01</v>
      </c>
    </row>
    <row r="62" spans="1:17" customFormat="1">
      <c r="A62" s="112" t="s">
        <v>2499</v>
      </c>
      <c r="B62" s="134">
        <v>3.08</v>
      </c>
      <c r="C62" s="134">
        <v>11.7</v>
      </c>
      <c r="D62" s="134">
        <v>9.93</v>
      </c>
      <c r="E62" s="134">
        <v>5.5</v>
      </c>
      <c r="F62" s="134">
        <v>12.22</v>
      </c>
      <c r="G62" s="134">
        <v>28.93</v>
      </c>
      <c r="H62" s="134">
        <v>9.35</v>
      </c>
      <c r="I62" s="134">
        <v>4.9400000000000004</v>
      </c>
      <c r="J62" s="134">
        <v>0.77</v>
      </c>
      <c r="K62" s="134">
        <v>289.17</v>
      </c>
      <c r="L62" s="134">
        <v>30.05</v>
      </c>
      <c r="M62" s="134">
        <v>72.31</v>
      </c>
      <c r="N62" s="134">
        <v>457.9</v>
      </c>
      <c r="O62" s="134">
        <v>0</v>
      </c>
      <c r="P62" s="134">
        <v>0.62</v>
      </c>
      <c r="Q62" s="134">
        <v>4</v>
      </c>
    </row>
    <row r="63" spans="1:17" customFormat="1">
      <c r="A63" s="112" t="s">
        <v>2500</v>
      </c>
      <c r="B63" s="134">
        <v>2.7</v>
      </c>
      <c r="C63" s="134">
        <v>12.63</v>
      </c>
      <c r="D63" s="134">
        <v>10.119999999999999</v>
      </c>
      <c r="E63" s="134">
        <v>3.71</v>
      </c>
      <c r="F63" s="134">
        <v>5.92</v>
      </c>
      <c r="G63" s="134">
        <v>28.93</v>
      </c>
      <c r="H63" s="134">
        <v>9.35</v>
      </c>
      <c r="I63" s="134">
        <v>5.17</v>
      </c>
      <c r="J63" s="134">
        <v>0.84</v>
      </c>
      <c r="K63" s="134">
        <v>275.81</v>
      </c>
      <c r="L63" s="134">
        <v>30.42</v>
      </c>
      <c r="M63" s="134">
        <v>71.150000000000006</v>
      </c>
      <c r="N63" s="134">
        <v>453.2</v>
      </c>
      <c r="O63" s="134">
        <v>0</v>
      </c>
      <c r="P63" s="134">
        <v>0.62</v>
      </c>
      <c r="Q63" s="134">
        <v>4.01</v>
      </c>
    </row>
    <row r="64" spans="1:17" customFormat="1">
      <c r="A64" s="112" t="s">
        <v>2501</v>
      </c>
      <c r="B64" s="134">
        <v>2.1800000000000002</v>
      </c>
      <c r="C64" s="134">
        <v>12.42</v>
      </c>
      <c r="D64" s="134">
        <v>9.58</v>
      </c>
      <c r="E64" s="134">
        <v>3.15</v>
      </c>
      <c r="F64" s="134">
        <v>4.82</v>
      </c>
      <c r="G64" s="134">
        <v>29.33</v>
      </c>
      <c r="H64" s="134">
        <v>9.5</v>
      </c>
      <c r="I64" s="134">
        <v>4.75</v>
      </c>
      <c r="J64" s="134">
        <v>0.71</v>
      </c>
      <c r="K64" s="134">
        <v>258.98</v>
      </c>
      <c r="L64" s="134">
        <v>30.28</v>
      </c>
      <c r="M64" s="134">
        <v>72.3</v>
      </c>
      <c r="N64" s="134">
        <v>352.9</v>
      </c>
      <c r="O64" s="134">
        <v>0</v>
      </c>
      <c r="P64" s="134">
        <v>0.61</v>
      </c>
      <c r="Q64" s="134">
        <v>4.03</v>
      </c>
    </row>
    <row r="65" spans="1:17" customFormat="1">
      <c r="A65" s="112" t="s">
        <v>2502</v>
      </c>
      <c r="B65" s="134">
        <v>2.1</v>
      </c>
      <c r="C65" s="134">
        <v>11.29</v>
      </c>
      <c r="D65" s="134">
        <v>8.93</v>
      </c>
      <c r="E65" s="134">
        <v>4.62</v>
      </c>
      <c r="F65" s="134">
        <v>9.2799999999999994</v>
      </c>
      <c r="G65" s="134">
        <v>32.56</v>
      </c>
      <c r="H65" s="134">
        <v>10.49</v>
      </c>
      <c r="I65" s="134">
        <v>4.97</v>
      </c>
      <c r="J65" s="134">
        <v>0.65</v>
      </c>
      <c r="K65" s="134">
        <v>260.72000000000003</v>
      </c>
      <c r="L65" s="134">
        <v>30.44</v>
      </c>
      <c r="M65" s="134">
        <v>72.25</v>
      </c>
      <c r="N65" s="134">
        <v>407.6</v>
      </c>
      <c r="O65" s="134">
        <v>0</v>
      </c>
      <c r="P65" s="134">
        <v>0.6</v>
      </c>
      <c r="Q65" s="134">
        <v>4.05</v>
      </c>
    </row>
    <row r="66" spans="1:17" customFormat="1">
      <c r="A66" s="112" t="s">
        <v>2503</v>
      </c>
      <c r="B66" s="134">
        <v>2</v>
      </c>
      <c r="C66" s="134">
        <v>11.3</v>
      </c>
      <c r="D66" s="134">
        <v>8.86</v>
      </c>
      <c r="E66" s="134">
        <v>3.4</v>
      </c>
      <c r="F66" s="134">
        <v>6.81</v>
      </c>
      <c r="G66" s="134">
        <v>32.56</v>
      </c>
      <c r="H66" s="134">
        <v>10.49</v>
      </c>
      <c r="I66" s="134">
        <v>5.15</v>
      </c>
      <c r="J66" s="134">
        <v>0.92</v>
      </c>
      <c r="K66" s="134">
        <v>279.23</v>
      </c>
      <c r="L66" s="134">
        <v>30.51</v>
      </c>
      <c r="M66" s="134">
        <v>69.650000000000006</v>
      </c>
      <c r="N66" s="134">
        <v>467.2</v>
      </c>
      <c r="O66" s="134">
        <v>0</v>
      </c>
      <c r="P66" s="134">
        <v>0.63</v>
      </c>
      <c r="Q66" s="134">
        <v>3.98</v>
      </c>
    </row>
    <row r="67" spans="1:17" customFormat="1">
      <c r="A67" s="112" t="s">
        <v>2504</v>
      </c>
      <c r="B67" s="134">
        <v>2.0299999999999998</v>
      </c>
      <c r="C67" s="134">
        <v>11.38</v>
      </c>
      <c r="D67" s="134">
        <v>8.92</v>
      </c>
      <c r="E67" s="134">
        <v>3.49</v>
      </c>
      <c r="F67" s="134">
        <v>5.3</v>
      </c>
      <c r="G67" s="134">
        <v>32.56</v>
      </c>
      <c r="H67" s="134">
        <v>10.49</v>
      </c>
      <c r="I67" s="134">
        <v>4.78</v>
      </c>
      <c r="J67" s="134">
        <v>0.86</v>
      </c>
      <c r="K67" s="134">
        <v>270.23</v>
      </c>
      <c r="L67" s="134">
        <v>30.83</v>
      </c>
      <c r="M67" s="134">
        <v>69.55</v>
      </c>
      <c r="N67" s="134">
        <v>615.4</v>
      </c>
      <c r="O67" s="134">
        <v>0</v>
      </c>
      <c r="P67" s="134">
        <v>0.63</v>
      </c>
      <c r="Q67" s="134">
        <v>3.95</v>
      </c>
    </row>
    <row r="68" spans="1:17" customFormat="1">
      <c r="A68" s="112" t="s">
        <v>2505</v>
      </c>
      <c r="B68" s="134">
        <v>2.2599999999999998</v>
      </c>
      <c r="C68" s="134">
        <v>11.46</v>
      </c>
      <c r="D68" s="134">
        <v>9.15</v>
      </c>
      <c r="E68" s="134">
        <v>3.32</v>
      </c>
      <c r="F68" s="134">
        <v>5.88</v>
      </c>
      <c r="G68" s="134">
        <v>32.67</v>
      </c>
      <c r="H68" s="134">
        <v>10.38</v>
      </c>
      <c r="I68" s="134">
        <v>4.84</v>
      </c>
      <c r="J68" s="134">
        <v>0.74</v>
      </c>
      <c r="K68" s="134">
        <v>266.89999999999998</v>
      </c>
      <c r="L68" s="134">
        <v>31.64</v>
      </c>
      <c r="M68" s="134">
        <v>69.55</v>
      </c>
      <c r="N68" s="134">
        <v>426</v>
      </c>
      <c r="O68" s="134">
        <v>0</v>
      </c>
      <c r="P68" s="134">
        <v>0.6</v>
      </c>
      <c r="Q68" s="134">
        <v>3.97</v>
      </c>
    </row>
    <row r="69" spans="1:17" customFormat="1">
      <c r="A69" s="112" t="s">
        <v>2506</v>
      </c>
      <c r="B69" s="134">
        <v>2.66</v>
      </c>
      <c r="C69" s="134">
        <v>10.86</v>
      </c>
      <c r="D69" s="134">
        <v>9.16</v>
      </c>
      <c r="E69" s="134">
        <v>2.58</v>
      </c>
      <c r="F69" s="134">
        <v>5.94</v>
      </c>
      <c r="G69" s="134">
        <v>33.47</v>
      </c>
      <c r="H69" s="134">
        <v>9.64</v>
      </c>
      <c r="I69" s="134">
        <v>5.03</v>
      </c>
      <c r="J69" s="134">
        <v>0.67</v>
      </c>
      <c r="K69" s="134">
        <v>258.14</v>
      </c>
      <c r="L69" s="134">
        <v>30.44</v>
      </c>
      <c r="M69" s="134">
        <v>74.010000000000005</v>
      </c>
      <c r="N69" s="134">
        <v>199.1</v>
      </c>
      <c r="O69" s="134">
        <v>0</v>
      </c>
      <c r="P69" s="134">
        <v>0.59</v>
      </c>
      <c r="Q69" s="134">
        <v>3.99</v>
      </c>
    </row>
    <row r="70" spans="1:17" customFormat="1">
      <c r="A70" s="112" t="s">
        <v>2507</v>
      </c>
      <c r="B70" s="134">
        <v>2.76</v>
      </c>
      <c r="C70" s="134">
        <v>10.87</v>
      </c>
      <c r="D70" s="134">
        <v>9.25</v>
      </c>
      <c r="E70" s="134">
        <v>2.92</v>
      </c>
      <c r="F70" s="134">
        <v>5.36</v>
      </c>
      <c r="G70" s="134">
        <v>33.47</v>
      </c>
      <c r="H70" s="134">
        <v>9.64</v>
      </c>
      <c r="I70" s="134">
        <v>5.09</v>
      </c>
      <c r="J70" s="134">
        <v>0.74</v>
      </c>
      <c r="K70" s="134">
        <v>261.01</v>
      </c>
      <c r="L70" s="134">
        <v>29.97</v>
      </c>
      <c r="M70" s="134">
        <v>74.53</v>
      </c>
      <c r="N70" s="134">
        <v>163.5</v>
      </c>
      <c r="O70" s="134">
        <v>0</v>
      </c>
      <c r="P70" s="134">
        <v>0.57999999999999996</v>
      </c>
      <c r="Q70" s="134">
        <v>3.94</v>
      </c>
    </row>
    <row r="71" spans="1:17" customFormat="1">
      <c r="A71" s="112" t="s">
        <v>2508</v>
      </c>
      <c r="B71" s="134">
        <v>2.83</v>
      </c>
      <c r="C71" s="134">
        <v>11.7</v>
      </c>
      <c r="D71" s="134">
        <v>9.73</v>
      </c>
      <c r="E71" s="134">
        <v>3.88</v>
      </c>
      <c r="F71" s="134">
        <v>4.74</v>
      </c>
      <c r="G71" s="134">
        <v>33.47</v>
      </c>
      <c r="H71" s="134">
        <v>9.64</v>
      </c>
      <c r="I71" s="134">
        <v>5.3</v>
      </c>
      <c r="J71" s="134">
        <v>0.84</v>
      </c>
      <c r="K71" s="134">
        <v>264.5</v>
      </c>
      <c r="L71" s="134">
        <v>29.67</v>
      </c>
      <c r="M71" s="134">
        <v>73.09</v>
      </c>
      <c r="N71" s="134">
        <v>111.6</v>
      </c>
      <c r="O71" s="134">
        <v>0</v>
      </c>
      <c r="P71" s="134">
        <v>0.61</v>
      </c>
      <c r="Q71" s="134">
        <v>3.99</v>
      </c>
    </row>
    <row r="72" spans="1:17" customFormat="1">
      <c r="A72" s="112" t="s">
        <v>2509</v>
      </c>
      <c r="B72" s="134">
        <v>2.91</v>
      </c>
      <c r="C72" s="134">
        <v>11.67</v>
      </c>
      <c r="D72" s="134">
        <v>9.7799999999999994</v>
      </c>
      <c r="E72" s="134">
        <v>2.88</v>
      </c>
      <c r="F72" s="134">
        <v>4.8</v>
      </c>
      <c r="G72" s="134">
        <v>33.19</v>
      </c>
      <c r="H72" s="134">
        <v>9.6999999999999993</v>
      </c>
      <c r="I72" s="134">
        <v>5.3</v>
      </c>
      <c r="J72" s="134">
        <v>0.85</v>
      </c>
      <c r="K72" s="134">
        <v>272.31</v>
      </c>
      <c r="L72" s="134">
        <v>29.41</v>
      </c>
      <c r="M72" s="134">
        <v>73.19</v>
      </c>
      <c r="N72" s="134">
        <v>63.9</v>
      </c>
      <c r="O72" s="134">
        <v>0</v>
      </c>
      <c r="P72" s="134">
        <v>0.6</v>
      </c>
      <c r="Q72" s="134">
        <v>4.01</v>
      </c>
    </row>
    <row r="73" spans="1:17" customFormat="1">
      <c r="A73" s="112" t="s">
        <v>2510</v>
      </c>
      <c r="B73" s="134">
        <v>3.31</v>
      </c>
      <c r="C73" s="134">
        <v>11.41</v>
      </c>
      <c r="D73" s="134">
        <v>9.9700000000000006</v>
      </c>
      <c r="E73" s="134">
        <v>2.66</v>
      </c>
      <c r="F73" s="134">
        <v>4.6500000000000004</v>
      </c>
      <c r="G73" s="134">
        <v>30.96</v>
      </c>
      <c r="H73" s="134">
        <v>10.130000000000001</v>
      </c>
      <c r="I73" s="134">
        <v>5.34</v>
      </c>
      <c r="J73" s="134">
        <v>0.98</v>
      </c>
      <c r="K73" s="134">
        <v>268.07</v>
      </c>
      <c r="L73" s="134">
        <v>28.72</v>
      </c>
      <c r="M73" s="134">
        <v>77.290000000000006</v>
      </c>
      <c r="N73" s="134">
        <v>119.6</v>
      </c>
      <c r="O73" s="134">
        <v>0</v>
      </c>
      <c r="P73" s="134">
        <v>0.59</v>
      </c>
      <c r="Q73" s="134">
        <v>4.0199999999999996</v>
      </c>
    </row>
    <row r="74" spans="1:17" customFormat="1">
      <c r="A74" s="112" t="s">
        <v>2511</v>
      </c>
      <c r="B74" s="134">
        <v>3.49</v>
      </c>
      <c r="C74" s="134">
        <v>11.2</v>
      </c>
      <c r="D74" s="134">
        <v>10</v>
      </c>
      <c r="E74" s="134">
        <v>1.87</v>
      </c>
      <c r="F74" s="134">
        <v>4.3600000000000003</v>
      </c>
      <c r="G74" s="134">
        <v>30.96</v>
      </c>
      <c r="H74" s="134">
        <v>10.130000000000001</v>
      </c>
      <c r="I74" s="134">
        <v>5.28</v>
      </c>
      <c r="J74" s="134">
        <v>0.78</v>
      </c>
      <c r="K74" s="134">
        <v>266.38</v>
      </c>
      <c r="L74" s="134">
        <v>28.39</v>
      </c>
      <c r="M74" s="134">
        <v>76.33</v>
      </c>
      <c r="N74" s="134">
        <v>148.30000000000001</v>
      </c>
      <c r="O74" s="134">
        <v>0</v>
      </c>
      <c r="P74" s="134">
        <v>0.56999999999999995</v>
      </c>
      <c r="Q74" s="134">
        <v>4.03</v>
      </c>
    </row>
    <row r="75" spans="1:17" customFormat="1">
      <c r="A75" s="112" t="s">
        <v>2512</v>
      </c>
      <c r="B75" s="134">
        <v>3.53</v>
      </c>
      <c r="C75" s="134">
        <v>11.41</v>
      </c>
      <c r="D75" s="134">
        <v>10.14</v>
      </c>
      <c r="E75" s="134">
        <v>2.0499999999999998</v>
      </c>
      <c r="F75" s="134">
        <v>4.13</v>
      </c>
      <c r="G75" s="134">
        <v>30.96</v>
      </c>
      <c r="H75" s="134">
        <v>10.130000000000001</v>
      </c>
      <c r="I75" s="134">
        <v>5.22</v>
      </c>
      <c r="J75" s="134">
        <v>0.97</v>
      </c>
      <c r="K75" s="134">
        <v>264.02</v>
      </c>
      <c r="L75" s="134">
        <v>28.46</v>
      </c>
      <c r="M75" s="134">
        <v>75.83</v>
      </c>
      <c r="N75" s="134">
        <v>92.8</v>
      </c>
      <c r="O75" s="134">
        <v>0</v>
      </c>
      <c r="P75" s="134">
        <v>0.55000000000000004</v>
      </c>
      <c r="Q75" s="134">
        <v>4.0199999999999996</v>
      </c>
    </row>
    <row r="76" spans="1:17" customFormat="1">
      <c r="A76" s="112" t="s">
        <v>2513</v>
      </c>
      <c r="B76" s="134">
        <v>3.99</v>
      </c>
      <c r="C76" s="134">
        <v>11.44</v>
      </c>
      <c r="D76" s="134">
        <v>10.53</v>
      </c>
      <c r="E76" s="134">
        <v>2.4900000000000002</v>
      </c>
      <c r="F76" s="134">
        <v>4.01</v>
      </c>
      <c r="G76" s="134">
        <v>30.51</v>
      </c>
      <c r="H76" s="134">
        <v>9.8000000000000007</v>
      </c>
      <c r="I76" s="134">
        <v>5.14</v>
      </c>
      <c r="J76" s="134">
        <v>0.91</v>
      </c>
      <c r="K76" s="134">
        <v>264.17</v>
      </c>
      <c r="L76" s="134">
        <v>28.1</v>
      </c>
      <c r="M76" s="134">
        <v>78.52</v>
      </c>
      <c r="N76" s="134">
        <v>59.5</v>
      </c>
      <c r="O76" s="134">
        <v>0</v>
      </c>
      <c r="P76" s="134">
        <v>0.53</v>
      </c>
      <c r="Q76" s="134">
        <v>4.03</v>
      </c>
    </row>
    <row r="77" spans="1:17" customFormat="1">
      <c r="A77" s="112" t="s">
        <v>2514</v>
      </c>
      <c r="B77" s="134">
        <v>4.2300000000000004</v>
      </c>
      <c r="C77" s="134">
        <v>11.79</v>
      </c>
      <c r="D77" s="134">
        <v>10.91</v>
      </c>
      <c r="E77" s="134">
        <v>2.42</v>
      </c>
      <c r="F77" s="134">
        <v>3.54</v>
      </c>
      <c r="G77" s="134">
        <v>26.86</v>
      </c>
      <c r="H77" s="134">
        <v>7.93</v>
      </c>
      <c r="I77" s="134">
        <v>5.03</v>
      </c>
      <c r="J77" s="134">
        <v>0.9</v>
      </c>
      <c r="K77" s="134">
        <v>261.12</v>
      </c>
      <c r="L77" s="134">
        <v>27.78</v>
      </c>
      <c r="M77" s="134">
        <v>80.680000000000007</v>
      </c>
      <c r="N77" s="134">
        <v>41.9</v>
      </c>
      <c r="O77" s="134">
        <v>0</v>
      </c>
      <c r="P77" s="134">
        <v>0.52</v>
      </c>
      <c r="Q77" s="134">
        <v>4.03</v>
      </c>
    </row>
    <row r="78" spans="1:17" customFormat="1">
      <c r="A78" s="112" t="s">
        <v>2515</v>
      </c>
      <c r="B78" s="134">
        <v>4.4800000000000004</v>
      </c>
      <c r="C78" s="134">
        <v>11.67</v>
      </c>
      <c r="D78" s="134">
        <v>11.04</v>
      </c>
      <c r="E78" s="134">
        <v>2.46</v>
      </c>
      <c r="F78" s="134">
        <v>3.53</v>
      </c>
      <c r="G78" s="134">
        <v>26.86</v>
      </c>
      <c r="H78" s="134">
        <v>7.93</v>
      </c>
      <c r="I78" s="134">
        <v>4.91</v>
      </c>
      <c r="J78" s="134">
        <v>0.79</v>
      </c>
      <c r="K78" s="134">
        <v>267.89</v>
      </c>
      <c r="L78" s="134">
        <v>27.67</v>
      </c>
      <c r="M78" s="134">
        <v>82.29</v>
      </c>
      <c r="N78" s="134">
        <v>18.600000000000001</v>
      </c>
      <c r="O78" s="134">
        <v>0</v>
      </c>
      <c r="P78" s="134">
        <v>0.51</v>
      </c>
      <c r="Q78" s="134">
        <v>4.05</v>
      </c>
    </row>
    <row r="79" spans="1:17" customFormat="1">
      <c r="A79" s="112" t="s">
        <v>2516</v>
      </c>
      <c r="B79" s="134">
        <v>4.6100000000000003</v>
      </c>
      <c r="C79" s="134">
        <v>11.59</v>
      </c>
      <c r="D79" s="134">
        <v>11.11</v>
      </c>
      <c r="E79" s="134">
        <v>3.57</v>
      </c>
      <c r="F79" s="134">
        <v>4.5</v>
      </c>
      <c r="G79" s="134">
        <v>26.86</v>
      </c>
      <c r="H79" s="134">
        <v>7.93</v>
      </c>
      <c r="I79" s="134">
        <v>4.8499999999999996</v>
      </c>
      <c r="J79" s="134">
        <v>0.66</v>
      </c>
      <c r="K79" s="134">
        <v>266.14</v>
      </c>
      <c r="L79" s="134">
        <v>27.63</v>
      </c>
      <c r="M79" s="134">
        <v>82.44</v>
      </c>
      <c r="N79" s="134">
        <v>11.2</v>
      </c>
      <c r="O79" s="134">
        <v>0</v>
      </c>
      <c r="P79" s="134">
        <v>0.54</v>
      </c>
      <c r="Q79" s="134">
        <v>4.0599999999999996</v>
      </c>
    </row>
    <row r="80" spans="1:17" customFormat="1">
      <c r="A80" s="112" t="s">
        <v>2517</v>
      </c>
      <c r="B80" s="134">
        <v>4.58</v>
      </c>
      <c r="C80" s="134">
        <v>12.02</v>
      </c>
      <c r="D80" s="134">
        <v>11.3</v>
      </c>
      <c r="E80" s="134">
        <v>4.04</v>
      </c>
      <c r="F80" s="134">
        <v>4.16</v>
      </c>
      <c r="G80" s="134">
        <v>27.11</v>
      </c>
      <c r="H80" s="134">
        <v>8.09</v>
      </c>
      <c r="I80" s="134">
        <v>4.79</v>
      </c>
      <c r="J80" s="134">
        <v>0.51</v>
      </c>
      <c r="K80" s="134">
        <v>261.77</v>
      </c>
      <c r="L80" s="134">
        <v>27.42</v>
      </c>
      <c r="M80" s="134">
        <v>85.65</v>
      </c>
      <c r="N80" s="134">
        <v>7.5</v>
      </c>
      <c r="O80" s="134">
        <v>0</v>
      </c>
      <c r="P80" s="134">
        <v>0.63</v>
      </c>
      <c r="Q80" s="134">
        <v>4.09</v>
      </c>
    </row>
    <row r="81" spans="1:17" customFormat="1">
      <c r="A81" s="112" t="s">
        <v>2518</v>
      </c>
      <c r="B81" s="134">
        <v>4.67</v>
      </c>
      <c r="C81" s="134">
        <v>13.04</v>
      </c>
      <c r="D81" s="134">
        <v>11.91</v>
      </c>
      <c r="E81" s="134">
        <v>2.08</v>
      </c>
      <c r="F81" s="134">
        <v>3.05</v>
      </c>
      <c r="G81" s="134">
        <v>29.11</v>
      </c>
      <c r="H81" s="134">
        <v>9.09</v>
      </c>
      <c r="I81" s="134">
        <v>4.8899999999999997</v>
      </c>
      <c r="J81" s="134">
        <v>0.62</v>
      </c>
      <c r="K81" s="134">
        <v>270.57</v>
      </c>
      <c r="L81" s="134">
        <v>27.31</v>
      </c>
      <c r="M81" s="134">
        <v>85.94</v>
      </c>
      <c r="N81" s="134">
        <v>0.2</v>
      </c>
      <c r="O81" s="134">
        <v>0</v>
      </c>
      <c r="P81" s="134">
        <v>0.62</v>
      </c>
      <c r="Q81" s="134">
        <v>4.1399999999999997</v>
      </c>
    </row>
    <row r="82" spans="1:17" customFormat="1">
      <c r="A82" s="112" t="s">
        <v>2519</v>
      </c>
      <c r="B82" s="134">
        <v>4.8600000000000003</v>
      </c>
      <c r="C82" s="134">
        <v>14.78</v>
      </c>
      <c r="D82" s="134">
        <v>12.97</v>
      </c>
      <c r="E82" s="134">
        <v>3.05</v>
      </c>
      <c r="F82" s="134">
        <v>2.23</v>
      </c>
      <c r="G82" s="134">
        <v>29.11</v>
      </c>
      <c r="H82" s="134">
        <v>9.09</v>
      </c>
      <c r="I82" s="134">
        <v>5.51</v>
      </c>
      <c r="J82" s="134">
        <v>0.75</v>
      </c>
      <c r="K82" s="134">
        <v>268.10000000000002</v>
      </c>
      <c r="L82" s="134">
        <v>27.45</v>
      </c>
      <c r="M82" s="134">
        <v>83.3</v>
      </c>
      <c r="N82" s="134">
        <v>0</v>
      </c>
      <c r="O82" s="134">
        <v>0</v>
      </c>
      <c r="P82" s="134">
        <v>0.63</v>
      </c>
      <c r="Q82" s="134">
        <v>4.26</v>
      </c>
    </row>
    <row r="83" spans="1:17" customFormat="1">
      <c r="A83" s="112" t="s">
        <v>2520</v>
      </c>
      <c r="B83" s="134">
        <v>5.2</v>
      </c>
      <c r="C83" s="134">
        <v>13.76</v>
      </c>
      <c r="D83" s="134">
        <v>12.71</v>
      </c>
      <c r="E83" s="134">
        <v>3.1</v>
      </c>
      <c r="F83" s="134">
        <v>3.11</v>
      </c>
      <c r="G83" s="134">
        <v>29.11</v>
      </c>
      <c r="H83" s="134">
        <v>9.09</v>
      </c>
      <c r="I83" s="134">
        <v>5.8</v>
      </c>
      <c r="J83" s="134">
        <v>0.61</v>
      </c>
      <c r="K83" s="134">
        <v>272.68</v>
      </c>
      <c r="L83" s="134">
        <v>27.59</v>
      </c>
      <c r="M83" s="134">
        <v>82.29</v>
      </c>
      <c r="N83" s="134">
        <v>0</v>
      </c>
      <c r="O83" s="134">
        <v>0</v>
      </c>
      <c r="P83" s="134">
        <v>0.61</v>
      </c>
      <c r="Q83" s="134">
        <v>4.26</v>
      </c>
    </row>
    <row r="84" spans="1:17" customFormat="1">
      <c r="A84" s="112" t="s">
        <v>2521</v>
      </c>
      <c r="B84" s="134">
        <v>5.74</v>
      </c>
      <c r="C84" s="134">
        <v>13.99</v>
      </c>
      <c r="D84" s="134">
        <v>13.27</v>
      </c>
      <c r="E84" s="134">
        <v>3.16</v>
      </c>
      <c r="F84" s="134">
        <v>3.03</v>
      </c>
      <c r="G84" s="134">
        <v>28.96</v>
      </c>
      <c r="H84" s="134">
        <v>8.94</v>
      </c>
      <c r="I84" s="134">
        <v>5.54</v>
      </c>
      <c r="J84" s="134">
        <v>0.45</v>
      </c>
      <c r="K84" s="134">
        <v>289.81</v>
      </c>
      <c r="L84" s="134">
        <v>27.64</v>
      </c>
      <c r="M84" s="134">
        <v>82</v>
      </c>
      <c r="N84" s="134">
        <v>0</v>
      </c>
      <c r="O84" s="134">
        <v>0</v>
      </c>
      <c r="P84" s="134">
        <v>0.6</v>
      </c>
      <c r="Q84" s="134">
        <v>4.24</v>
      </c>
    </row>
    <row r="85" spans="1:17" customFormat="1">
      <c r="A85" s="112" t="s">
        <v>2522</v>
      </c>
      <c r="B85" s="134">
        <v>9.36</v>
      </c>
      <c r="C85" s="134">
        <v>16.14</v>
      </c>
      <c r="D85" s="134">
        <v>17.29</v>
      </c>
      <c r="E85" s="134">
        <v>4.99</v>
      </c>
      <c r="F85" s="134">
        <v>2.59</v>
      </c>
      <c r="G85" s="134">
        <v>27.82</v>
      </c>
      <c r="H85" s="134">
        <v>7.98</v>
      </c>
      <c r="I85" s="134">
        <v>5.42</v>
      </c>
      <c r="J85" s="134">
        <v>0.44</v>
      </c>
      <c r="K85" s="134">
        <v>28.75</v>
      </c>
      <c r="L85" s="134">
        <v>27.21</v>
      </c>
      <c r="M85" s="134">
        <v>83.27</v>
      </c>
      <c r="N85" s="134">
        <v>0</v>
      </c>
      <c r="O85" s="134">
        <v>0</v>
      </c>
      <c r="P85" s="134">
        <v>0.62</v>
      </c>
      <c r="Q85" s="134">
        <v>4.26</v>
      </c>
    </row>
    <row r="86" spans="1:17" customFormat="1">
      <c r="A86" s="112" t="s">
        <v>2523</v>
      </c>
      <c r="B86" s="134">
        <v>9.68</v>
      </c>
      <c r="C86" s="134">
        <v>15.59</v>
      </c>
      <c r="D86" s="134">
        <v>17.260000000000002</v>
      </c>
      <c r="E86" s="134">
        <v>7.72</v>
      </c>
      <c r="F86" s="134">
        <v>2.56</v>
      </c>
      <c r="G86" s="134">
        <v>27.82</v>
      </c>
      <c r="H86" s="134">
        <v>7.98</v>
      </c>
      <c r="I86" s="134">
        <v>5.39</v>
      </c>
      <c r="J86" s="134">
        <v>0.17</v>
      </c>
      <c r="K86" s="134">
        <v>71.55</v>
      </c>
      <c r="L86" s="134">
        <v>26.65</v>
      </c>
      <c r="M86" s="134">
        <v>86.4</v>
      </c>
      <c r="N86" s="134">
        <v>0</v>
      </c>
      <c r="O86" s="134">
        <v>0</v>
      </c>
      <c r="P86" s="134">
        <v>0.59</v>
      </c>
      <c r="Q86" s="134">
        <v>4.33</v>
      </c>
    </row>
    <row r="87" spans="1:17" customFormat="1">
      <c r="A87" s="112" t="s">
        <v>2524</v>
      </c>
      <c r="B87" s="134">
        <v>9.1199999999999992</v>
      </c>
      <c r="C87" s="134">
        <v>15.15</v>
      </c>
      <c r="D87" s="134">
        <v>16.57</v>
      </c>
      <c r="E87" s="134">
        <v>5.28</v>
      </c>
      <c r="F87" s="134">
        <v>2.2999999999999998</v>
      </c>
      <c r="G87" s="134">
        <v>27.82</v>
      </c>
      <c r="H87" s="134">
        <v>7.98</v>
      </c>
      <c r="I87" s="134">
        <v>5.36</v>
      </c>
      <c r="J87" s="134">
        <v>0.19</v>
      </c>
      <c r="K87" s="134">
        <v>41.59</v>
      </c>
      <c r="L87" s="134">
        <v>26.67</v>
      </c>
      <c r="M87" s="134">
        <v>86.5</v>
      </c>
      <c r="N87" s="134">
        <v>0</v>
      </c>
      <c r="O87" s="134">
        <v>0</v>
      </c>
      <c r="P87" s="134">
        <v>0.6</v>
      </c>
      <c r="Q87" s="134">
        <v>4.41</v>
      </c>
    </row>
    <row r="88" spans="1:17" customFormat="1">
      <c r="A88" s="112" t="s">
        <v>2525</v>
      </c>
      <c r="B88" s="134">
        <v>9.2200000000000006</v>
      </c>
      <c r="C88" s="134">
        <v>16.43</v>
      </c>
      <c r="D88" s="134">
        <v>17.329999999999998</v>
      </c>
      <c r="E88" s="134">
        <v>4.4800000000000004</v>
      </c>
      <c r="F88" s="134">
        <v>1.69</v>
      </c>
      <c r="G88" s="134">
        <v>28.48</v>
      </c>
      <c r="H88" s="134">
        <v>8.11</v>
      </c>
      <c r="I88" s="134">
        <v>5.24</v>
      </c>
      <c r="J88" s="134">
        <v>0.01</v>
      </c>
      <c r="K88" s="134">
        <v>309.02</v>
      </c>
      <c r="L88" s="134">
        <v>26.85</v>
      </c>
      <c r="M88" s="134">
        <v>85.88</v>
      </c>
      <c r="N88" s="134">
        <v>0</v>
      </c>
      <c r="O88" s="134">
        <v>0</v>
      </c>
      <c r="P88" s="134">
        <v>0.63</v>
      </c>
      <c r="Q88" s="134">
        <v>4.55</v>
      </c>
    </row>
    <row r="89" spans="1:17" customFormat="1">
      <c r="A89" s="112" t="s">
        <v>2526</v>
      </c>
      <c r="B89" s="134">
        <v>9.16</v>
      </c>
      <c r="C89" s="134">
        <v>15.78</v>
      </c>
      <c r="D89" s="134">
        <v>16.95</v>
      </c>
      <c r="E89" s="134">
        <v>3.82</v>
      </c>
      <c r="F89" s="134">
        <v>2.4</v>
      </c>
      <c r="G89" s="134">
        <v>33.75</v>
      </c>
      <c r="H89" s="134">
        <v>8.84</v>
      </c>
      <c r="I89" s="134">
        <v>5.37</v>
      </c>
      <c r="J89" s="134">
        <v>0.45</v>
      </c>
      <c r="K89" s="134">
        <v>269.94</v>
      </c>
      <c r="L89" s="134">
        <v>27.23</v>
      </c>
      <c r="M89" s="134">
        <v>82.47</v>
      </c>
      <c r="N89" s="134">
        <v>0</v>
      </c>
      <c r="O89" s="134">
        <v>0</v>
      </c>
      <c r="P89" s="134">
        <v>0.61</v>
      </c>
      <c r="Q89" s="134">
        <v>4.5999999999999996</v>
      </c>
    </row>
    <row r="90" spans="1:17" customFormat="1">
      <c r="A90" s="112" t="s">
        <v>2527</v>
      </c>
      <c r="B90" s="134">
        <v>9.44</v>
      </c>
      <c r="C90" s="134">
        <v>15.8</v>
      </c>
      <c r="D90" s="134">
        <v>17.18</v>
      </c>
      <c r="E90" s="134">
        <v>3.03</v>
      </c>
      <c r="F90" s="134">
        <v>2.41</v>
      </c>
      <c r="G90" s="134">
        <v>33.75</v>
      </c>
      <c r="H90" s="134">
        <v>8.84</v>
      </c>
      <c r="I90" s="134">
        <v>5.49</v>
      </c>
      <c r="J90" s="134">
        <v>0.32</v>
      </c>
      <c r="K90" s="134">
        <v>294.10000000000002</v>
      </c>
      <c r="L90" s="134">
        <v>27.4</v>
      </c>
      <c r="M90" s="134">
        <v>79.59</v>
      </c>
      <c r="N90" s="134">
        <v>0</v>
      </c>
      <c r="O90" s="134">
        <v>0</v>
      </c>
      <c r="P90" s="134">
        <v>0.63</v>
      </c>
      <c r="Q90" s="134">
        <v>4.5999999999999996</v>
      </c>
    </row>
    <row r="91" spans="1:17" customFormat="1">
      <c r="A91" s="112" t="s">
        <v>2528</v>
      </c>
      <c r="B91" s="134">
        <v>10.029999999999999</v>
      </c>
      <c r="C91" s="134">
        <v>15.99</v>
      </c>
      <c r="D91" s="134">
        <v>17.75</v>
      </c>
      <c r="E91" s="134">
        <v>3.06</v>
      </c>
      <c r="F91" s="134">
        <v>2.5299999999999998</v>
      </c>
      <c r="G91" s="134">
        <v>33.75</v>
      </c>
      <c r="H91" s="134">
        <v>8.84</v>
      </c>
      <c r="I91" s="134">
        <v>5.4</v>
      </c>
      <c r="J91" s="134">
        <v>0.24</v>
      </c>
      <c r="K91" s="134">
        <v>306.02999999999997</v>
      </c>
      <c r="L91" s="134">
        <v>27.38</v>
      </c>
      <c r="M91" s="134">
        <v>79.599999999999994</v>
      </c>
      <c r="N91" s="134">
        <v>0</v>
      </c>
      <c r="O91" s="134">
        <v>0</v>
      </c>
      <c r="P91" s="134">
        <v>0.63</v>
      </c>
      <c r="Q91" s="134">
        <v>4.63</v>
      </c>
    </row>
    <row r="92" spans="1:17" customFormat="1">
      <c r="A92" s="112" t="s">
        <v>2529</v>
      </c>
      <c r="B92" s="134">
        <v>9.83</v>
      </c>
      <c r="C92" s="134">
        <v>15.12</v>
      </c>
      <c r="D92" s="134">
        <v>17.13</v>
      </c>
      <c r="E92" s="134">
        <v>2.31</v>
      </c>
      <c r="F92" s="134">
        <v>2.84</v>
      </c>
      <c r="G92" s="134">
        <v>33.68</v>
      </c>
      <c r="H92" s="134">
        <v>8.9600000000000009</v>
      </c>
      <c r="I92" s="134">
        <v>5.46</v>
      </c>
      <c r="J92" s="134">
        <v>0.03</v>
      </c>
      <c r="K92" s="134">
        <v>197.19</v>
      </c>
      <c r="L92" s="134">
        <v>27.1</v>
      </c>
      <c r="M92" s="134">
        <v>83.49</v>
      </c>
      <c r="N92" s="134">
        <v>0</v>
      </c>
      <c r="O92" s="134">
        <v>0</v>
      </c>
      <c r="P92" s="134">
        <v>0.61</v>
      </c>
      <c r="Q92" s="134">
        <v>4.66</v>
      </c>
    </row>
    <row r="93" spans="1:17" customFormat="1">
      <c r="A93" s="112" t="s">
        <v>2530</v>
      </c>
      <c r="B93" s="134">
        <v>10.53</v>
      </c>
      <c r="C93" s="134">
        <v>14.95</v>
      </c>
      <c r="D93" s="134">
        <v>17.61</v>
      </c>
      <c r="E93" s="134">
        <v>3.31</v>
      </c>
      <c r="F93" s="134">
        <v>2.65</v>
      </c>
      <c r="G93" s="134">
        <v>33.15</v>
      </c>
      <c r="H93" s="134">
        <v>9.74</v>
      </c>
      <c r="I93" s="134">
        <v>5.33</v>
      </c>
      <c r="J93" s="134">
        <v>0.16</v>
      </c>
      <c r="K93" s="134">
        <v>163.18</v>
      </c>
      <c r="L93" s="134">
        <v>26.3</v>
      </c>
      <c r="M93" s="134">
        <v>91.77</v>
      </c>
      <c r="N93" s="134">
        <v>0</v>
      </c>
      <c r="O93" s="134">
        <v>0.4</v>
      </c>
      <c r="P93" s="134">
        <v>0.6</v>
      </c>
      <c r="Q93" s="134">
        <v>4.68</v>
      </c>
    </row>
    <row r="94" spans="1:17" customFormat="1">
      <c r="A94" s="112" t="s">
        <v>2531</v>
      </c>
      <c r="B94" s="134">
        <v>10.41</v>
      </c>
      <c r="C94" s="134">
        <v>14.87</v>
      </c>
      <c r="D94" s="134">
        <v>17.47</v>
      </c>
      <c r="E94" s="134">
        <v>3.6</v>
      </c>
      <c r="F94" s="134">
        <v>2.29</v>
      </c>
      <c r="G94" s="134">
        <v>33.15</v>
      </c>
      <c r="H94" s="134">
        <v>9.74</v>
      </c>
      <c r="I94" s="134">
        <v>5.33</v>
      </c>
      <c r="J94" s="134">
        <v>0.17</v>
      </c>
      <c r="K94" s="134">
        <v>206.81</v>
      </c>
      <c r="L94" s="134">
        <v>25.77</v>
      </c>
      <c r="M94" s="134">
        <v>95.4</v>
      </c>
      <c r="N94" s="134">
        <v>0</v>
      </c>
      <c r="O94" s="134">
        <v>0.4</v>
      </c>
      <c r="P94" s="134">
        <v>0.6</v>
      </c>
      <c r="Q94" s="134">
        <v>4.66</v>
      </c>
    </row>
    <row r="95" spans="1:17" customFormat="1">
      <c r="A95" s="112" t="s">
        <v>2532</v>
      </c>
      <c r="B95" s="134">
        <v>10.95</v>
      </c>
      <c r="C95" s="134">
        <v>16.62</v>
      </c>
      <c r="D95" s="134">
        <v>18.82</v>
      </c>
      <c r="E95" s="134">
        <v>3.11</v>
      </c>
      <c r="F95" s="134">
        <v>1.83</v>
      </c>
      <c r="G95" s="134">
        <v>33.15</v>
      </c>
      <c r="H95" s="134">
        <v>9.74</v>
      </c>
      <c r="I95" s="134">
        <v>5.44</v>
      </c>
      <c r="J95" s="134">
        <v>0.12</v>
      </c>
      <c r="K95" s="134">
        <v>195.26</v>
      </c>
      <c r="L95" s="134">
        <v>25.67</v>
      </c>
      <c r="M95" s="134">
        <v>97.25</v>
      </c>
      <c r="N95" s="134">
        <v>0</v>
      </c>
      <c r="O95" s="134">
        <v>0.2</v>
      </c>
      <c r="P95" s="134">
        <v>0.63</v>
      </c>
      <c r="Q95" s="134">
        <v>4.75</v>
      </c>
    </row>
    <row r="96" spans="1:17" customFormat="1">
      <c r="A96" s="112" t="s">
        <v>2533</v>
      </c>
      <c r="B96" s="134">
        <v>10.94</v>
      </c>
      <c r="C96" s="134">
        <v>16.28</v>
      </c>
      <c r="D96" s="134">
        <v>18.63</v>
      </c>
      <c r="E96" s="134">
        <v>3.01</v>
      </c>
      <c r="F96" s="134">
        <v>2.15</v>
      </c>
      <c r="G96" s="134">
        <v>32.72</v>
      </c>
      <c r="H96" s="134">
        <v>9.51</v>
      </c>
      <c r="I96" s="134">
        <v>5.48</v>
      </c>
      <c r="J96" s="134">
        <v>0.12</v>
      </c>
      <c r="K96" s="134">
        <v>204.48</v>
      </c>
      <c r="L96" s="134">
        <v>25.52</v>
      </c>
      <c r="M96" s="134">
        <v>97.44</v>
      </c>
      <c r="N96" s="134">
        <v>0</v>
      </c>
      <c r="O96" s="134">
        <v>0.2</v>
      </c>
      <c r="P96" s="134">
        <v>0.63</v>
      </c>
      <c r="Q96" s="134">
        <v>4.79</v>
      </c>
    </row>
    <row r="97" spans="1:22" customFormat="1">
      <c r="A97" s="112" t="s">
        <v>2534</v>
      </c>
      <c r="B97" s="134">
        <v>10.65</v>
      </c>
      <c r="C97" s="134">
        <v>14.63</v>
      </c>
      <c r="D97" s="134">
        <v>17.53</v>
      </c>
      <c r="E97" s="134">
        <v>2.83</v>
      </c>
      <c r="F97" s="134">
        <v>2.92</v>
      </c>
      <c r="G97" s="134">
        <v>29.32</v>
      </c>
      <c r="H97" s="134">
        <v>8.24</v>
      </c>
      <c r="I97" s="134">
        <v>5.57</v>
      </c>
      <c r="J97" s="134">
        <v>0.17</v>
      </c>
      <c r="K97" s="134">
        <v>236.59</v>
      </c>
      <c r="L97" s="134">
        <v>25.57</v>
      </c>
      <c r="M97" s="134">
        <v>97.89</v>
      </c>
      <c r="N97" s="134">
        <v>0</v>
      </c>
      <c r="O97" s="134">
        <v>0</v>
      </c>
      <c r="P97" s="134">
        <v>0.61</v>
      </c>
      <c r="Q97" s="134">
        <v>4.74</v>
      </c>
    </row>
    <row r="98" spans="1:22" customFormat="1">
      <c r="A98" s="112" t="s">
        <v>2535</v>
      </c>
      <c r="B98" s="134">
        <v>11.05</v>
      </c>
      <c r="C98" s="134">
        <v>13.81</v>
      </c>
      <c r="D98" s="134">
        <v>17.420000000000002</v>
      </c>
      <c r="E98" s="134">
        <v>2.5499999999999998</v>
      </c>
      <c r="F98" s="134">
        <v>3.35</v>
      </c>
      <c r="G98" s="134">
        <v>29.32</v>
      </c>
      <c r="H98" s="134">
        <v>8.24</v>
      </c>
      <c r="I98" s="134">
        <v>5.51</v>
      </c>
      <c r="J98" s="134">
        <v>0.35</v>
      </c>
      <c r="K98" s="134">
        <v>250.02</v>
      </c>
      <c r="L98" s="134">
        <v>25.63</v>
      </c>
      <c r="M98" s="134">
        <v>97.66</v>
      </c>
      <c r="N98" s="134">
        <v>0</v>
      </c>
      <c r="O98" s="134">
        <v>0.2</v>
      </c>
      <c r="P98" s="134">
        <v>0.57999999999999996</v>
      </c>
      <c r="Q98" s="134">
        <v>4.7300000000000004</v>
      </c>
    </row>
    <row r="99" spans="1:22" customFormat="1">
      <c r="A99" s="112" t="s">
        <v>2536</v>
      </c>
      <c r="B99" s="134">
        <v>11.11</v>
      </c>
      <c r="C99" s="134">
        <v>16.309999999999999</v>
      </c>
      <c r="D99" s="134">
        <v>18.78</v>
      </c>
      <c r="E99" s="134">
        <v>3.02</v>
      </c>
      <c r="F99" s="134">
        <v>2.12</v>
      </c>
      <c r="G99" s="134">
        <v>29.32</v>
      </c>
      <c r="H99" s="134">
        <v>8.24</v>
      </c>
      <c r="I99" s="134">
        <v>5.43</v>
      </c>
      <c r="J99" s="134">
        <v>0.33</v>
      </c>
      <c r="K99" s="134">
        <v>256.89999999999998</v>
      </c>
      <c r="L99" s="134">
        <v>25.52</v>
      </c>
      <c r="M99" s="134">
        <v>97.42</v>
      </c>
      <c r="N99" s="134">
        <v>0</v>
      </c>
      <c r="O99" s="134">
        <v>0</v>
      </c>
      <c r="P99" s="134">
        <v>0.6</v>
      </c>
      <c r="Q99" s="134">
        <v>4.79</v>
      </c>
    </row>
    <row r="100" spans="1:22" customFormat="1">
      <c r="A100" s="112" t="s">
        <v>2537</v>
      </c>
      <c r="B100" s="134">
        <v>11.16</v>
      </c>
      <c r="C100" s="134">
        <v>14.92</v>
      </c>
      <c r="D100" s="134">
        <v>18.09</v>
      </c>
      <c r="E100" s="134">
        <v>3.32</v>
      </c>
      <c r="F100" s="134">
        <v>2.84</v>
      </c>
      <c r="G100" s="134">
        <v>28.92</v>
      </c>
      <c r="H100" s="134">
        <v>8.32</v>
      </c>
      <c r="I100" s="134">
        <v>5.39</v>
      </c>
      <c r="J100" s="134">
        <v>0.3</v>
      </c>
      <c r="K100" s="134">
        <v>252.44</v>
      </c>
      <c r="L100" s="134">
        <v>25.44</v>
      </c>
      <c r="M100" s="134">
        <v>97.52</v>
      </c>
      <c r="N100" s="134">
        <v>0</v>
      </c>
      <c r="O100" s="134">
        <v>0.2</v>
      </c>
      <c r="P100" s="134">
        <v>0.57999999999999996</v>
      </c>
      <c r="Q100" s="134">
        <v>4.7699999999999996</v>
      </c>
    </row>
    <row r="101" spans="1:22" customFormat="1">
      <c r="A101" s="112" t="s">
        <v>2538</v>
      </c>
      <c r="B101" s="134">
        <v>11.05</v>
      </c>
      <c r="C101" s="134">
        <v>13.69</v>
      </c>
      <c r="D101" s="134">
        <v>17.36</v>
      </c>
      <c r="E101" s="134">
        <v>2.59</v>
      </c>
      <c r="F101" s="134">
        <v>3.61</v>
      </c>
      <c r="G101" s="134">
        <v>25.8</v>
      </c>
      <c r="H101" s="134">
        <v>8.7899999999999991</v>
      </c>
      <c r="I101" s="134">
        <v>5.42</v>
      </c>
      <c r="J101" s="134">
        <v>0.28000000000000003</v>
      </c>
      <c r="K101" s="134">
        <v>243.71</v>
      </c>
      <c r="L101" s="134">
        <v>25.37</v>
      </c>
      <c r="M101" s="134">
        <v>97.67</v>
      </c>
      <c r="N101" s="134">
        <v>0</v>
      </c>
      <c r="O101" s="134">
        <v>0</v>
      </c>
      <c r="P101" s="134">
        <v>0.56000000000000005</v>
      </c>
      <c r="Q101" s="134">
        <v>4.7300000000000004</v>
      </c>
    </row>
    <row r="102" spans="1:22" customFormat="1">
      <c r="A102" s="112" t="s">
        <v>2539</v>
      </c>
      <c r="B102" s="134">
        <v>11.38</v>
      </c>
      <c r="C102" s="134">
        <v>15.38</v>
      </c>
      <c r="D102" s="134">
        <v>18.510000000000002</v>
      </c>
      <c r="E102" s="134">
        <v>3.02</v>
      </c>
      <c r="F102" s="134">
        <v>2.25</v>
      </c>
      <c r="G102" s="134">
        <v>25.8</v>
      </c>
      <c r="H102" s="134">
        <v>8.7899999999999991</v>
      </c>
      <c r="I102" s="134">
        <v>5.23</v>
      </c>
      <c r="J102" s="134">
        <v>0.21</v>
      </c>
      <c r="K102" s="134">
        <v>241.87</v>
      </c>
      <c r="L102" s="134">
        <v>25.26</v>
      </c>
      <c r="M102" s="134">
        <v>97.61</v>
      </c>
      <c r="N102" s="134">
        <v>0</v>
      </c>
      <c r="O102" s="134">
        <v>0</v>
      </c>
      <c r="P102" s="134">
        <v>0.57999999999999996</v>
      </c>
      <c r="Q102" s="134">
        <v>4.75</v>
      </c>
    </row>
    <row r="103" spans="1:22" customFormat="1">
      <c r="A103" s="112" t="s">
        <v>2540</v>
      </c>
      <c r="B103" s="134">
        <v>11.47</v>
      </c>
      <c r="C103" s="134">
        <v>14.42</v>
      </c>
      <c r="D103" s="134">
        <v>18.079999999999998</v>
      </c>
      <c r="E103" s="134">
        <v>2.85</v>
      </c>
      <c r="F103" s="134">
        <v>2.62</v>
      </c>
      <c r="G103" s="134">
        <v>25.8</v>
      </c>
      <c r="H103" s="134">
        <v>8.7899999999999991</v>
      </c>
      <c r="I103" s="134">
        <v>5.09</v>
      </c>
      <c r="J103" s="134">
        <v>0.24</v>
      </c>
      <c r="K103" s="134">
        <v>245.19</v>
      </c>
      <c r="L103" s="134">
        <v>25.29</v>
      </c>
      <c r="M103" s="134">
        <v>97.36</v>
      </c>
      <c r="N103" s="134">
        <v>0</v>
      </c>
      <c r="O103" s="134">
        <v>0</v>
      </c>
      <c r="P103" s="134">
        <v>0.56999999999999995</v>
      </c>
      <c r="Q103" s="134">
        <v>4.74</v>
      </c>
    </row>
    <row r="104" spans="1:22" customFormat="1">
      <c r="A104" s="112" t="s">
        <v>2541</v>
      </c>
      <c r="B104" s="134">
        <v>10.95</v>
      </c>
      <c r="C104" s="134">
        <v>13.55</v>
      </c>
      <c r="D104" s="134">
        <v>17.21</v>
      </c>
      <c r="E104" s="134">
        <v>2.84</v>
      </c>
      <c r="F104" s="134">
        <v>3.27</v>
      </c>
      <c r="G104" s="134">
        <v>25.24</v>
      </c>
      <c r="H104" s="134">
        <v>8.41</v>
      </c>
      <c r="I104" s="134">
        <v>5.23</v>
      </c>
      <c r="J104" s="134">
        <v>0.25</v>
      </c>
      <c r="K104" s="134">
        <v>250.14</v>
      </c>
      <c r="L104" s="134">
        <v>25.31</v>
      </c>
      <c r="M104" s="134">
        <v>96.83</v>
      </c>
      <c r="N104" s="134">
        <v>0</v>
      </c>
      <c r="O104" s="134">
        <v>0</v>
      </c>
      <c r="P104" s="134">
        <v>0.53</v>
      </c>
      <c r="Q104" s="134">
        <v>4.68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10.86</v>
      </c>
      <c r="D106" s="183">
        <f t="shared" ref="D106:Q106" si="0">MIN(D9:D104)</f>
        <v>8.86</v>
      </c>
      <c r="E106" s="183">
        <f t="shared" si="0"/>
        <v>1.87</v>
      </c>
      <c r="F106" s="183">
        <f t="shared" si="0"/>
        <v>1.51</v>
      </c>
      <c r="G106" s="183">
        <f t="shared" si="0"/>
        <v>8.34</v>
      </c>
      <c r="H106" s="183">
        <f t="shared" si="0"/>
        <v>2.2599999999999998</v>
      </c>
      <c r="I106" s="183">
        <f t="shared" si="0"/>
        <v>2.59</v>
      </c>
      <c r="J106" s="183">
        <f t="shared" si="0"/>
        <v>0.01</v>
      </c>
      <c r="K106" s="183">
        <f t="shared" si="0"/>
        <v>28.75</v>
      </c>
      <c r="L106" s="183">
        <f t="shared" si="0"/>
        <v>24.51</v>
      </c>
      <c r="M106" s="183">
        <f t="shared" si="0"/>
        <v>69.55</v>
      </c>
      <c r="N106" s="183">
        <f t="shared" si="0"/>
        <v>0</v>
      </c>
      <c r="O106" s="183">
        <f t="shared" si="0"/>
        <v>0</v>
      </c>
      <c r="P106" s="183">
        <f t="shared" si="0"/>
        <v>0.24</v>
      </c>
      <c r="Q106" s="183">
        <f t="shared" si="0"/>
        <v>3.94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11.47</v>
      </c>
      <c r="C107" s="184">
        <f t="shared" ref="C107:Q107" si="1">MAX(C9:C104)</f>
        <v>16.62</v>
      </c>
      <c r="D107" s="184">
        <f t="shared" si="1"/>
        <v>18.82</v>
      </c>
      <c r="E107" s="184">
        <f t="shared" si="1"/>
        <v>7.72</v>
      </c>
      <c r="F107" s="184">
        <f t="shared" si="1"/>
        <v>12.22</v>
      </c>
      <c r="G107" s="184">
        <f t="shared" si="1"/>
        <v>33.75</v>
      </c>
      <c r="H107" s="184">
        <f t="shared" si="1"/>
        <v>11.29</v>
      </c>
      <c r="I107" s="184">
        <f t="shared" si="1"/>
        <v>5.8</v>
      </c>
      <c r="J107" s="184">
        <f t="shared" si="1"/>
        <v>1.08</v>
      </c>
      <c r="K107" s="184">
        <f t="shared" si="1"/>
        <v>309.02</v>
      </c>
      <c r="L107" s="184">
        <f t="shared" si="1"/>
        <v>31.64</v>
      </c>
      <c r="M107" s="184">
        <f t="shared" si="1"/>
        <v>98.03</v>
      </c>
      <c r="N107" s="184">
        <f t="shared" si="1"/>
        <v>615.4</v>
      </c>
      <c r="O107" s="184">
        <f t="shared" si="1"/>
        <v>0.8</v>
      </c>
      <c r="P107" s="184">
        <f t="shared" si="1"/>
        <v>0.63</v>
      </c>
      <c r="Q107" s="184">
        <f t="shared" si="1"/>
        <v>4.79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7.3434375000000029</v>
      </c>
      <c r="C108" s="183">
        <f t="shared" ref="C108:Q108" si="2">AVERAGE(C9:C104)</f>
        <v>13.742291666666665</v>
      </c>
      <c r="D108" s="183">
        <f t="shared" si="2"/>
        <v>14.420104166666661</v>
      </c>
      <c r="E108" s="183">
        <f t="shared" si="2"/>
        <v>3.5338541666666674</v>
      </c>
      <c r="F108" s="183">
        <f t="shared" si="2"/>
        <v>3.726458333333333</v>
      </c>
      <c r="G108" s="183">
        <f t="shared" si="2"/>
        <v>22.421249999999997</v>
      </c>
      <c r="H108" s="183">
        <f t="shared" si="2"/>
        <v>7.2547916666666685</v>
      </c>
      <c r="I108" s="183">
        <f t="shared" si="2"/>
        <v>4.2570833333333349</v>
      </c>
      <c r="J108" s="183">
        <f t="shared" si="2"/>
        <v>0.59458333333333324</v>
      </c>
      <c r="K108" s="183">
        <f t="shared" si="2"/>
        <v>256.42572916666649</v>
      </c>
      <c r="L108" s="183">
        <f t="shared" si="2"/>
        <v>26.887708333333347</v>
      </c>
      <c r="M108" s="183">
        <f t="shared" si="2"/>
        <v>87.358958333333348</v>
      </c>
      <c r="N108" s="183">
        <f t="shared" si="2"/>
        <v>108.71458333333334</v>
      </c>
      <c r="O108" s="183">
        <f t="shared" si="2"/>
        <v>4.1666666666666678E-2</v>
      </c>
      <c r="P108" s="183">
        <f t="shared" si="2"/>
        <v>0.47697916666666679</v>
      </c>
      <c r="Q108" s="183">
        <f t="shared" si="2"/>
        <v>4.333333333333333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3.1405895618581843</v>
      </c>
      <c r="C109" s="183">
        <f t="shared" ref="C109:Q109" si="3">STDEV(C9:C104)</f>
        <v>1.5809793628046016</v>
      </c>
      <c r="D109" s="183">
        <f t="shared" si="3"/>
        <v>3.1670811715094911</v>
      </c>
      <c r="E109" s="183">
        <f t="shared" si="3"/>
        <v>1.2082631029197202</v>
      </c>
      <c r="F109" s="183">
        <f t="shared" si="3"/>
        <v>2.0310645272947605</v>
      </c>
      <c r="G109" s="183">
        <f t="shared" si="3"/>
        <v>8.5338126544383943</v>
      </c>
      <c r="H109" s="183">
        <f t="shared" si="3"/>
        <v>2.5664056286715833</v>
      </c>
      <c r="I109" s="183">
        <f t="shared" si="3"/>
        <v>1.0169727178110162</v>
      </c>
      <c r="J109" s="183">
        <f t="shared" si="3"/>
        <v>0.26686056547101344</v>
      </c>
      <c r="K109" s="183">
        <f t="shared" si="3"/>
        <v>43.44094609187853</v>
      </c>
      <c r="L109" s="183">
        <f t="shared" si="3"/>
        <v>1.9246344720171116</v>
      </c>
      <c r="M109" s="183">
        <f t="shared" si="3"/>
        <v>9.3905080271927286</v>
      </c>
      <c r="N109" s="183">
        <f t="shared" si="3"/>
        <v>151.92149633361834</v>
      </c>
      <c r="O109" s="183">
        <f t="shared" si="3"/>
        <v>0.12950648564670963</v>
      </c>
      <c r="P109" s="183">
        <f t="shared" si="3"/>
        <v>0.13793301037415584</v>
      </c>
      <c r="Q109" s="183">
        <f t="shared" si="3"/>
        <v>0.2479544383728001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25/08/2023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2542</v>
      </c>
      <c r="B9" s="134">
        <v>13.05</v>
      </c>
      <c r="C9" s="134">
        <v>14.34</v>
      </c>
      <c r="D9" s="134">
        <v>19.309999999999999</v>
      </c>
      <c r="E9" s="134">
        <v>2.4500000000000002</v>
      </c>
      <c r="F9" s="134">
        <v>2.77</v>
      </c>
      <c r="G9" s="134">
        <v>21.21</v>
      </c>
      <c r="H9" s="134">
        <v>6.25</v>
      </c>
      <c r="I9" s="134">
        <v>5.04</v>
      </c>
      <c r="J9" s="134">
        <v>0.36</v>
      </c>
      <c r="K9" s="134">
        <v>255.21</v>
      </c>
      <c r="L9" s="134">
        <v>25.31</v>
      </c>
      <c r="M9" s="134">
        <v>96.13</v>
      </c>
      <c r="N9" s="134">
        <v>0</v>
      </c>
      <c r="O9" s="134">
        <v>0</v>
      </c>
      <c r="P9" s="134">
        <v>0.54</v>
      </c>
      <c r="Q9" s="134">
        <v>4.71</v>
      </c>
    </row>
    <row r="10" spans="1:21" customFormat="1">
      <c r="A10" s="112" t="s">
        <v>2543</v>
      </c>
      <c r="B10" s="134">
        <v>13.39</v>
      </c>
      <c r="C10" s="134">
        <v>15.67</v>
      </c>
      <c r="D10" s="134">
        <v>20.28</v>
      </c>
      <c r="E10" s="134">
        <v>3.03</v>
      </c>
      <c r="F10" s="134">
        <v>2.06</v>
      </c>
      <c r="G10" s="134">
        <v>21.21</v>
      </c>
      <c r="H10" s="134">
        <v>6.25</v>
      </c>
      <c r="I10" s="134">
        <v>4.8899999999999997</v>
      </c>
      <c r="J10" s="134">
        <v>0.26</v>
      </c>
      <c r="K10" s="134">
        <v>241.63</v>
      </c>
      <c r="L10" s="134">
        <v>25.29</v>
      </c>
      <c r="M10" s="134">
        <v>95.74</v>
      </c>
      <c r="N10" s="134">
        <v>0</v>
      </c>
      <c r="O10" s="134">
        <v>0</v>
      </c>
      <c r="P10" s="134">
        <v>0.55000000000000004</v>
      </c>
      <c r="Q10" s="134">
        <v>4.75</v>
      </c>
    </row>
    <row r="11" spans="1:21" customFormat="1">
      <c r="A11" s="112" t="s">
        <v>2544</v>
      </c>
      <c r="B11" s="134">
        <v>13.33</v>
      </c>
      <c r="C11" s="134">
        <v>14.31</v>
      </c>
      <c r="D11" s="134">
        <v>19.52</v>
      </c>
      <c r="E11" s="134">
        <v>2.87</v>
      </c>
      <c r="F11" s="134">
        <v>2.79</v>
      </c>
      <c r="G11" s="134">
        <v>21.21</v>
      </c>
      <c r="H11" s="134">
        <v>6.25</v>
      </c>
      <c r="I11" s="134">
        <v>4.8899999999999997</v>
      </c>
      <c r="J11" s="134">
        <v>0.27</v>
      </c>
      <c r="K11" s="134">
        <v>245.64</v>
      </c>
      <c r="L11" s="134">
        <v>25.3</v>
      </c>
      <c r="M11" s="134">
        <v>96.21</v>
      </c>
      <c r="N11" s="134">
        <v>0</v>
      </c>
      <c r="O11" s="134">
        <v>0</v>
      </c>
      <c r="P11" s="134">
        <v>0.52</v>
      </c>
      <c r="Q11" s="134">
        <v>4.71</v>
      </c>
    </row>
    <row r="12" spans="1:21" customFormat="1">
      <c r="A12" s="112" t="s">
        <v>2545</v>
      </c>
      <c r="B12" s="134">
        <v>13.13</v>
      </c>
      <c r="C12" s="134">
        <v>13.28</v>
      </c>
      <c r="D12" s="134">
        <v>18.82</v>
      </c>
      <c r="E12" s="134">
        <v>2.67</v>
      </c>
      <c r="F12" s="134">
        <v>3.47</v>
      </c>
      <c r="G12" s="134">
        <v>20.56</v>
      </c>
      <c r="H12" s="134">
        <v>6.18</v>
      </c>
      <c r="I12" s="134">
        <v>4.92</v>
      </c>
      <c r="J12" s="134">
        <v>0.33</v>
      </c>
      <c r="K12" s="134">
        <v>257.10000000000002</v>
      </c>
      <c r="L12" s="134">
        <v>25.31</v>
      </c>
      <c r="M12" s="134">
        <v>95.93</v>
      </c>
      <c r="N12" s="134">
        <v>0</v>
      </c>
      <c r="O12" s="134">
        <v>0</v>
      </c>
      <c r="P12" s="134">
        <v>0.49</v>
      </c>
      <c r="Q12" s="134">
        <v>4.6500000000000004</v>
      </c>
    </row>
    <row r="13" spans="1:21" customFormat="1">
      <c r="A13" s="112" t="s">
        <v>2546</v>
      </c>
      <c r="B13" s="134">
        <v>13.2</v>
      </c>
      <c r="C13" s="134">
        <v>15.22</v>
      </c>
      <c r="D13" s="134">
        <v>19.89</v>
      </c>
      <c r="E13" s="134">
        <v>3.14</v>
      </c>
      <c r="F13" s="134">
        <v>2.33</v>
      </c>
      <c r="G13" s="134">
        <v>15.38</v>
      </c>
      <c r="H13" s="134">
        <v>5.72</v>
      </c>
      <c r="I13" s="134">
        <v>4.7300000000000004</v>
      </c>
      <c r="J13" s="134">
        <v>0.37</v>
      </c>
      <c r="K13" s="134">
        <v>254.02</v>
      </c>
      <c r="L13" s="134">
        <v>25.31</v>
      </c>
      <c r="M13" s="134">
        <v>96.07</v>
      </c>
      <c r="N13" s="134">
        <v>0</v>
      </c>
      <c r="O13" s="134">
        <v>0</v>
      </c>
      <c r="P13" s="134">
        <v>0.52</v>
      </c>
      <c r="Q13" s="134">
        <v>4.66</v>
      </c>
    </row>
    <row r="14" spans="1:21" customFormat="1">
      <c r="A14" s="112" t="s">
        <v>2547</v>
      </c>
      <c r="B14" s="134">
        <v>13.09</v>
      </c>
      <c r="C14" s="134">
        <v>15.36</v>
      </c>
      <c r="D14" s="134">
        <v>19.87</v>
      </c>
      <c r="E14" s="134">
        <v>3.41</v>
      </c>
      <c r="F14" s="134">
        <v>2.12</v>
      </c>
      <c r="G14" s="134">
        <v>15.38</v>
      </c>
      <c r="H14" s="134">
        <v>5.72</v>
      </c>
      <c r="I14" s="134">
        <v>4.6399999999999997</v>
      </c>
      <c r="J14" s="134">
        <v>0.38</v>
      </c>
      <c r="K14" s="134">
        <v>255.12</v>
      </c>
      <c r="L14" s="134">
        <v>25.28</v>
      </c>
      <c r="M14" s="134">
        <v>96.24</v>
      </c>
      <c r="N14" s="134">
        <v>0</v>
      </c>
      <c r="O14" s="134">
        <v>0</v>
      </c>
      <c r="P14" s="134">
        <v>0.52</v>
      </c>
      <c r="Q14" s="134">
        <v>4.71</v>
      </c>
    </row>
    <row r="15" spans="1:21" customFormat="1">
      <c r="A15" s="112" t="s">
        <v>2548</v>
      </c>
      <c r="B15" s="134">
        <v>13.02</v>
      </c>
      <c r="C15" s="134">
        <v>14.01</v>
      </c>
      <c r="D15" s="134">
        <v>19.11</v>
      </c>
      <c r="E15" s="134">
        <v>3.11</v>
      </c>
      <c r="F15" s="134">
        <v>2.85</v>
      </c>
      <c r="G15" s="134">
        <v>15.38</v>
      </c>
      <c r="H15" s="134">
        <v>5.72</v>
      </c>
      <c r="I15" s="134">
        <v>4.7300000000000004</v>
      </c>
      <c r="J15" s="134">
        <v>0.4</v>
      </c>
      <c r="K15" s="134">
        <v>249.84</v>
      </c>
      <c r="L15" s="134">
        <v>25.3</v>
      </c>
      <c r="M15" s="134">
        <v>95.89</v>
      </c>
      <c r="N15" s="134">
        <v>0</v>
      </c>
      <c r="O15" s="134">
        <v>0</v>
      </c>
      <c r="P15" s="134">
        <v>0.5</v>
      </c>
      <c r="Q15" s="134">
        <v>4.6399999999999997</v>
      </c>
    </row>
    <row r="16" spans="1:21" customFormat="1">
      <c r="A16" s="112" t="s">
        <v>2549</v>
      </c>
      <c r="B16" s="134">
        <v>12.82</v>
      </c>
      <c r="C16" s="134">
        <v>13.19</v>
      </c>
      <c r="D16" s="134">
        <v>18.52</v>
      </c>
      <c r="E16" s="134">
        <v>3</v>
      </c>
      <c r="F16" s="134">
        <v>3.35</v>
      </c>
      <c r="G16" s="134">
        <v>14.89</v>
      </c>
      <c r="H16" s="134">
        <v>5.64</v>
      </c>
      <c r="I16" s="134">
        <v>4.62</v>
      </c>
      <c r="J16" s="134">
        <v>0.51</v>
      </c>
      <c r="K16" s="134">
        <v>259.24</v>
      </c>
      <c r="L16" s="134">
        <v>25.26</v>
      </c>
      <c r="M16" s="134">
        <v>95.78</v>
      </c>
      <c r="N16" s="134">
        <v>0</v>
      </c>
      <c r="O16" s="134">
        <v>0.2</v>
      </c>
      <c r="P16" s="134">
        <v>0.47</v>
      </c>
      <c r="Q16" s="134">
        <v>4.6100000000000003</v>
      </c>
    </row>
    <row r="17" spans="1:17" customFormat="1">
      <c r="A17" s="112" t="s">
        <v>2550</v>
      </c>
      <c r="B17" s="134">
        <v>13.08</v>
      </c>
      <c r="C17" s="134">
        <v>14.6</v>
      </c>
      <c r="D17" s="134">
        <v>19.46</v>
      </c>
      <c r="E17" s="134">
        <v>3.72</v>
      </c>
      <c r="F17" s="134">
        <v>2.37</v>
      </c>
      <c r="G17" s="134">
        <v>10.94</v>
      </c>
      <c r="H17" s="134">
        <v>5.16</v>
      </c>
      <c r="I17" s="134">
        <v>4.5</v>
      </c>
      <c r="J17" s="134">
        <v>0.42</v>
      </c>
      <c r="K17" s="134">
        <v>252.25</v>
      </c>
      <c r="L17" s="134">
        <v>25.2</v>
      </c>
      <c r="M17" s="134">
        <v>95.78</v>
      </c>
      <c r="N17" s="134">
        <v>0</v>
      </c>
      <c r="O17" s="134">
        <v>0</v>
      </c>
      <c r="P17" s="134">
        <v>0.49</v>
      </c>
      <c r="Q17" s="134">
        <v>4.66</v>
      </c>
    </row>
    <row r="18" spans="1:17" customFormat="1">
      <c r="A18" s="112" t="s">
        <v>2551</v>
      </c>
      <c r="B18" s="134">
        <v>13.15</v>
      </c>
      <c r="C18" s="134">
        <v>15.31</v>
      </c>
      <c r="D18" s="134">
        <v>19.89</v>
      </c>
      <c r="E18" s="134">
        <v>4.8899999999999997</v>
      </c>
      <c r="F18" s="134">
        <v>2.2799999999999998</v>
      </c>
      <c r="G18" s="134">
        <v>10.94</v>
      </c>
      <c r="H18" s="134">
        <v>5.16</v>
      </c>
      <c r="I18" s="134">
        <v>4.4000000000000004</v>
      </c>
      <c r="J18" s="134">
        <v>0.57999999999999996</v>
      </c>
      <c r="K18" s="134">
        <v>261.58999999999997</v>
      </c>
      <c r="L18" s="134">
        <v>25.21</v>
      </c>
      <c r="M18" s="134">
        <v>94.89</v>
      </c>
      <c r="N18" s="134">
        <v>0</v>
      </c>
      <c r="O18" s="134">
        <v>0</v>
      </c>
      <c r="P18" s="134">
        <v>0.49</v>
      </c>
      <c r="Q18" s="134">
        <v>4.7</v>
      </c>
    </row>
    <row r="19" spans="1:17" customFormat="1">
      <c r="A19" s="112" t="s">
        <v>2552</v>
      </c>
      <c r="B19" s="134">
        <v>13.22</v>
      </c>
      <c r="C19" s="134">
        <v>13.72</v>
      </c>
      <c r="D19" s="134">
        <v>19.12</v>
      </c>
      <c r="E19" s="134">
        <v>4.72</v>
      </c>
      <c r="F19" s="134">
        <v>2.86</v>
      </c>
      <c r="G19" s="134">
        <v>10.94</v>
      </c>
      <c r="H19" s="134">
        <v>5.16</v>
      </c>
      <c r="I19" s="134">
        <v>4.46</v>
      </c>
      <c r="J19" s="134">
        <v>0.59</v>
      </c>
      <c r="K19" s="134">
        <v>258.83</v>
      </c>
      <c r="L19" s="134">
        <v>25.18</v>
      </c>
      <c r="M19" s="134">
        <v>94.95</v>
      </c>
      <c r="N19" s="134">
        <v>0</v>
      </c>
      <c r="O19" s="134">
        <v>0</v>
      </c>
      <c r="P19" s="134">
        <v>0.46</v>
      </c>
      <c r="Q19" s="134">
        <v>4.6500000000000004</v>
      </c>
    </row>
    <row r="20" spans="1:17" customFormat="1">
      <c r="A20" s="112" t="s">
        <v>2553</v>
      </c>
      <c r="B20" s="134">
        <v>13.19</v>
      </c>
      <c r="C20" s="134">
        <v>13.15</v>
      </c>
      <c r="D20" s="134">
        <v>18.8</v>
      </c>
      <c r="E20" s="134">
        <v>4.3899999999999997</v>
      </c>
      <c r="F20" s="134">
        <v>3.13</v>
      </c>
      <c r="G20" s="134">
        <v>10.71</v>
      </c>
      <c r="H20" s="134">
        <v>4.97</v>
      </c>
      <c r="I20" s="134">
        <v>4.3899999999999997</v>
      </c>
      <c r="J20" s="134">
        <v>0.48</v>
      </c>
      <c r="K20" s="134">
        <v>258.77</v>
      </c>
      <c r="L20" s="134">
        <v>25.17</v>
      </c>
      <c r="M20" s="134">
        <v>95.31</v>
      </c>
      <c r="N20" s="134">
        <v>0</v>
      </c>
      <c r="O20" s="134">
        <v>0</v>
      </c>
      <c r="P20" s="134">
        <v>0.44</v>
      </c>
      <c r="Q20" s="134">
        <v>4.5999999999999996</v>
      </c>
    </row>
    <row r="21" spans="1:17" customFormat="1">
      <c r="A21" s="112" t="s">
        <v>2554</v>
      </c>
      <c r="B21" s="134">
        <v>13.2</v>
      </c>
      <c r="C21" s="134">
        <v>15.14</v>
      </c>
      <c r="D21" s="134">
        <v>19.850000000000001</v>
      </c>
      <c r="E21" s="134">
        <v>4.54</v>
      </c>
      <c r="F21" s="134">
        <v>1.98</v>
      </c>
      <c r="G21" s="134">
        <v>8.8800000000000008</v>
      </c>
      <c r="H21" s="134">
        <v>3.82</v>
      </c>
      <c r="I21" s="134">
        <v>4.26</v>
      </c>
      <c r="J21" s="134">
        <v>0.46</v>
      </c>
      <c r="K21" s="134">
        <v>261.12</v>
      </c>
      <c r="L21" s="134">
        <v>25.15</v>
      </c>
      <c r="M21" s="134">
        <v>96.05</v>
      </c>
      <c r="N21" s="134">
        <v>0</v>
      </c>
      <c r="O21" s="134">
        <v>0</v>
      </c>
      <c r="P21" s="134">
        <v>0.46</v>
      </c>
      <c r="Q21" s="134">
        <v>4.6399999999999997</v>
      </c>
    </row>
    <row r="22" spans="1:17" customFormat="1">
      <c r="A22" s="112" t="s">
        <v>2555</v>
      </c>
      <c r="B22" s="134">
        <v>13.18</v>
      </c>
      <c r="C22" s="134">
        <v>15.18</v>
      </c>
      <c r="D22" s="134">
        <v>19.850000000000001</v>
      </c>
      <c r="E22" s="134">
        <v>4.82</v>
      </c>
      <c r="F22" s="134">
        <v>1.97</v>
      </c>
      <c r="G22" s="134">
        <v>8.8800000000000008</v>
      </c>
      <c r="H22" s="134">
        <v>3.82</v>
      </c>
      <c r="I22" s="134">
        <v>4.1900000000000004</v>
      </c>
      <c r="J22" s="134">
        <v>0.48</v>
      </c>
      <c r="K22" s="134">
        <v>257.61</v>
      </c>
      <c r="L22" s="134">
        <v>25.15</v>
      </c>
      <c r="M22" s="134">
        <v>96.28</v>
      </c>
      <c r="N22" s="134">
        <v>0</v>
      </c>
      <c r="O22" s="134">
        <v>0</v>
      </c>
      <c r="P22" s="134">
        <v>0.47</v>
      </c>
      <c r="Q22" s="134">
        <v>4.7</v>
      </c>
    </row>
    <row r="23" spans="1:17" customFormat="1">
      <c r="A23" s="112" t="s">
        <v>2556</v>
      </c>
      <c r="B23" s="134">
        <v>13.25</v>
      </c>
      <c r="C23" s="134">
        <v>13.83</v>
      </c>
      <c r="D23" s="134">
        <v>19.2</v>
      </c>
      <c r="E23" s="134">
        <v>5</v>
      </c>
      <c r="F23" s="134">
        <v>2.81</v>
      </c>
      <c r="G23" s="134">
        <v>8.8800000000000008</v>
      </c>
      <c r="H23" s="134">
        <v>3.82</v>
      </c>
      <c r="I23" s="134">
        <v>4.25</v>
      </c>
      <c r="J23" s="134">
        <v>0.41</v>
      </c>
      <c r="K23" s="134">
        <v>260.73</v>
      </c>
      <c r="L23" s="134">
        <v>25.2</v>
      </c>
      <c r="M23" s="134">
        <v>96.06</v>
      </c>
      <c r="N23" s="134">
        <v>0</v>
      </c>
      <c r="O23" s="134">
        <v>0</v>
      </c>
      <c r="P23" s="134">
        <v>0.43</v>
      </c>
      <c r="Q23" s="134">
        <v>4.63</v>
      </c>
    </row>
    <row r="24" spans="1:17" customFormat="1">
      <c r="A24" s="112" t="s">
        <v>2557</v>
      </c>
      <c r="B24" s="134">
        <v>13.23</v>
      </c>
      <c r="C24" s="134">
        <v>12.8</v>
      </c>
      <c r="D24" s="134">
        <v>18.649999999999999</v>
      </c>
      <c r="E24" s="134">
        <v>4.01</v>
      </c>
      <c r="F24" s="134">
        <v>3.1</v>
      </c>
      <c r="G24" s="134">
        <v>8.9600000000000009</v>
      </c>
      <c r="H24" s="134">
        <v>3.83</v>
      </c>
      <c r="I24" s="134">
        <v>4.17</v>
      </c>
      <c r="J24" s="134">
        <v>0.33</v>
      </c>
      <c r="K24" s="134">
        <v>252.19</v>
      </c>
      <c r="L24" s="134">
        <v>25.17</v>
      </c>
      <c r="M24" s="134">
        <v>95.93</v>
      </c>
      <c r="N24" s="134">
        <v>0</v>
      </c>
      <c r="O24" s="134">
        <v>0</v>
      </c>
      <c r="P24" s="134">
        <v>0.42</v>
      </c>
      <c r="Q24" s="134">
        <v>4.57</v>
      </c>
    </row>
    <row r="25" spans="1:17" customFormat="1">
      <c r="A25" s="112" t="s">
        <v>2558</v>
      </c>
      <c r="B25" s="134">
        <v>13.48</v>
      </c>
      <c r="C25" s="134">
        <v>14.7</v>
      </c>
      <c r="D25" s="134">
        <v>19.84</v>
      </c>
      <c r="E25" s="134">
        <v>4.58</v>
      </c>
      <c r="F25" s="134">
        <v>1.84</v>
      </c>
      <c r="G25" s="134">
        <v>9.57</v>
      </c>
      <c r="H25" s="134">
        <v>3.92</v>
      </c>
      <c r="I25" s="134">
        <v>4.0599999999999996</v>
      </c>
      <c r="J25" s="134">
        <v>0.41</v>
      </c>
      <c r="K25" s="134">
        <v>259.62</v>
      </c>
      <c r="L25" s="134">
        <v>25.11</v>
      </c>
      <c r="M25" s="134">
        <v>95.56</v>
      </c>
      <c r="N25" s="134">
        <v>0</v>
      </c>
      <c r="O25" s="134">
        <v>0</v>
      </c>
      <c r="P25" s="134">
        <v>0.45</v>
      </c>
      <c r="Q25" s="134">
        <v>4.6399999999999997</v>
      </c>
    </row>
    <row r="26" spans="1:17" customFormat="1">
      <c r="A26" s="112" t="s">
        <v>2559</v>
      </c>
      <c r="B26" s="134">
        <v>13.49</v>
      </c>
      <c r="C26" s="134">
        <v>14.56</v>
      </c>
      <c r="D26" s="134">
        <v>19.78</v>
      </c>
      <c r="E26" s="134">
        <v>4.8</v>
      </c>
      <c r="F26" s="134">
        <v>2.08</v>
      </c>
      <c r="G26" s="134">
        <v>9.57</v>
      </c>
      <c r="H26" s="134">
        <v>3.92</v>
      </c>
      <c r="I26" s="134">
        <v>3.98</v>
      </c>
      <c r="J26" s="134">
        <v>0.44</v>
      </c>
      <c r="K26" s="134">
        <v>258.70999999999998</v>
      </c>
      <c r="L26" s="134">
        <v>25.08</v>
      </c>
      <c r="M26" s="134">
        <v>95.56</v>
      </c>
      <c r="N26" s="134">
        <v>0</v>
      </c>
      <c r="O26" s="134">
        <v>0</v>
      </c>
      <c r="P26" s="134">
        <v>0.43</v>
      </c>
      <c r="Q26" s="134">
        <v>4.6500000000000004</v>
      </c>
    </row>
    <row r="27" spans="1:17" customFormat="1">
      <c r="A27" s="112" t="s">
        <v>2560</v>
      </c>
      <c r="B27" s="134">
        <v>13.36</v>
      </c>
      <c r="C27" s="134">
        <v>13.36</v>
      </c>
      <c r="D27" s="134">
        <v>19.05</v>
      </c>
      <c r="E27" s="134">
        <v>4.82</v>
      </c>
      <c r="F27" s="134">
        <v>2.92</v>
      </c>
      <c r="G27" s="134">
        <v>9.57</v>
      </c>
      <c r="H27" s="134">
        <v>3.92</v>
      </c>
      <c r="I27" s="134">
        <v>4.05</v>
      </c>
      <c r="J27" s="134">
        <v>0.47</v>
      </c>
      <c r="K27" s="134">
        <v>261.72000000000003</v>
      </c>
      <c r="L27" s="134">
        <v>25.01</v>
      </c>
      <c r="M27" s="134">
        <v>95.8</v>
      </c>
      <c r="N27" s="134">
        <v>0</v>
      </c>
      <c r="O27" s="134">
        <v>0</v>
      </c>
      <c r="P27" s="134">
        <v>0.41</v>
      </c>
      <c r="Q27" s="134">
        <v>4.62</v>
      </c>
    </row>
    <row r="28" spans="1:17" customFormat="1">
      <c r="A28" s="112" t="s">
        <v>2561</v>
      </c>
      <c r="B28" s="134">
        <v>13.48</v>
      </c>
      <c r="C28" s="134">
        <v>14.02</v>
      </c>
      <c r="D28" s="134">
        <v>19.489999999999998</v>
      </c>
      <c r="E28" s="134">
        <v>4.68</v>
      </c>
      <c r="F28" s="134">
        <v>2.41</v>
      </c>
      <c r="G28" s="134">
        <v>9.49</v>
      </c>
      <c r="H28" s="134">
        <v>3.8</v>
      </c>
      <c r="I28" s="134">
        <v>3.95</v>
      </c>
      <c r="J28" s="134">
        <v>0.33</v>
      </c>
      <c r="K28" s="134">
        <v>257.64999999999998</v>
      </c>
      <c r="L28" s="134">
        <v>25</v>
      </c>
      <c r="M28" s="134">
        <v>95.9</v>
      </c>
      <c r="N28" s="134">
        <v>0</v>
      </c>
      <c r="O28" s="134">
        <v>0</v>
      </c>
      <c r="P28" s="134">
        <v>0.42</v>
      </c>
      <c r="Q28" s="134">
        <v>4.6100000000000003</v>
      </c>
    </row>
    <row r="29" spans="1:17" customFormat="1">
      <c r="A29" s="112" t="s">
        <v>2562</v>
      </c>
      <c r="B29" s="134">
        <v>13.36</v>
      </c>
      <c r="C29" s="134">
        <v>15.13</v>
      </c>
      <c r="D29" s="134">
        <v>19.97</v>
      </c>
      <c r="E29" s="134">
        <v>5.0599999999999996</v>
      </c>
      <c r="F29" s="134">
        <v>1.93</v>
      </c>
      <c r="G29" s="134">
        <v>8.8800000000000008</v>
      </c>
      <c r="H29" s="134">
        <v>3</v>
      </c>
      <c r="I29" s="134">
        <v>3.83</v>
      </c>
      <c r="J29" s="134">
        <v>0.34</v>
      </c>
      <c r="K29" s="134">
        <v>254.29</v>
      </c>
      <c r="L29" s="134">
        <v>24.95</v>
      </c>
      <c r="M29" s="134">
        <v>96.22</v>
      </c>
      <c r="N29" s="134">
        <v>0</v>
      </c>
      <c r="O29" s="134">
        <v>0</v>
      </c>
      <c r="P29" s="134">
        <v>0.42</v>
      </c>
      <c r="Q29" s="134">
        <v>4.6900000000000004</v>
      </c>
    </row>
    <row r="30" spans="1:17" customFormat="1">
      <c r="A30" s="112" t="s">
        <v>2563</v>
      </c>
      <c r="B30" s="134">
        <v>13.45</v>
      </c>
      <c r="C30" s="134">
        <v>13.82</v>
      </c>
      <c r="D30" s="134">
        <v>19.36</v>
      </c>
      <c r="E30" s="134">
        <v>4.87</v>
      </c>
      <c r="F30" s="134">
        <v>2.84</v>
      </c>
      <c r="G30" s="134">
        <v>8.8800000000000008</v>
      </c>
      <c r="H30" s="134">
        <v>3</v>
      </c>
      <c r="I30" s="134">
        <v>3.87</v>
      </c>
      <c r="J30" s="134">
        <v>0.24</v>
      </c>
      <c r="K30" s="134">
        <v>253.7</v>
      </c>
      <c r="L30" s="134">
        <v>24.98</v>
      </c>
      <c r="M30" s="134">
        <v>96.28</v>
      </c>
      <c r="N30" s="134">
        <v>0</v>
      </c>
      <c r="O30" s="134">
        <v>0</v>
      </c>
      <c r="P30" s="134">
        <v>0.4</v>
      </c>
      <c r="Q30" s="134">
        <v>4.6500000000000004</v>
      </c>
    </row>
    <row r="31" spans="1:17" customFormat="1">
      <c r="A31" s="112" t="s">
        <v>2564</v>
      </c>
      <c r="B31" s="134">
        <v>13.33</v>
      </c>
      <c r="C31" s="134">
        <v>13.46</v>
      </c>
      <c r="D31" s="134">
        <v>19.07</v>
      </c>
      <c r="E31" s="134">
        <v>4.74</v>
      </c>
      <c r="F31" s="134">
        <v>2.96</v>
      </c>
      <c r="G31" s="134">
        <v>8.8800000000000008</v>
      </c>
      <c r="H31" s="134">
        <v>3</v>
      </c>
      <c r="I31" s="134">
        <v>3.85</v>
      </c>
      <c r="J31" s="134">
        <v>0.13</v>
      </c>
      <c r="K31" s="134">
        <v>220.23</v>
      </c>
      <c r="L31" s="134">
        <v>25.05</v>
      </c>
      <c r="M31" s="134">
        <v>96.41</v>
      </c>
      <c r="N31" s="134">
        <v>0</v>
      </c>
      <c r="O31" s="134">
        <v>0</v>
      </c>
      <c r="P31" s="134">
        <v>0.39</v>
      </c>
      <c r="Q31" s="134">
        <v>4.59</v>
      </c>
    </row>
    <row r="32" spans="1:17" customFormat="1">
      <c r="A32" s="112" t="s">
        <v>2565</v>
      </c>
      <c r="B32" s="134">
        <v>13.46</v>
      </c>
      <c r="C32" s="134">
        <v>15.91</v>
      </c>
      <c r="D32" s="134">
        <v>20.46</v>
      </c>
      <c r="E32" s="134">
        <v>5.36</v>
      </c>
      <c r="F32" s="134">
        <v>1.69</v>
      </c>
      <c r="G32" s="134">
        <v>8.84</v>
      </c>
      <c r="H32" s="134">
        <v>2.91</v>
      </c>
      <c r="I32" s="134">
        <v>3.74</v>
      </c>
      <c r="J32" s="134">
        <v>0.22</v>
      </c>
      <c r="K32" s="134">
        <v>250.14</v>
      </c>
      <c r="L32" s="134">
        <v>25.05</v>
      </c>
      <c r="M32" s="134">
        <v>96.81</v>
      </c>
      <c r="N32" s="134">
        <v>0</v>
      </c>
      <c r="O32" s="134">
        <v>0</v>
      </c>
      <c r="P32" s="134">
        <v>0.42</v>
      </c>
      <c r="Q32" s="134">
        <v>4.6500000000000004</v>
      </c>
    </row>
    <row r="33" spans="1:17" customFormat="1">
      <c r="A33" s="112" t="s">
        <v>2566</v>
      </c>
      <c r="B33" s="134">
        <v>13.38</v>
      </c>
      <c r="C33" s="134">
        <v>15.54</v>
      </c>
      <c r="D33" s="134">
        <v>20.2</v>
      </c>
      <c r="E33" s="134">
        <v>5.39</v>
      </c>
      <c r="F33" s="134">
        <v>2.06</v>
      </c>
      <c r="G33" s="134">
        <v>8.49</v>
      </c>
      <c r="H33" s="134">
        <v>2.33</v>
      </c>
      <c r="I33" s="134">
        <v>3.68</v>
      </c>
      <c r="J33" s="134">
        <v>0.39</v>
      </c>
      <c r="K33" s="134">
        <v>258.18</v>
      </c>
      <c r="L33" s="134">
        <v>25.11</v>
      </c>
      <c r="M33" s="134">
        <v>96.2</v>
      </c>
      <c r="N33" s="134">
        <v>3.4</v>
      </c>
      <c r="O33" s="134">
        <v>0</v>
      </c>
      <c r="P33" s="134">
        <v>0.43</v>
      </c>
      <c r="Q33" s="134">
        <v>4.7</v>
      </c>
    </row>
    <row r="34" spans="1:17" customFormat="1">
      <c r="A34" s="112" t="s">
        <v>2567</v>
      </c>
      <c r="B34" s="134">
        <v>13.53</v>
      </c>
      <c r="C34" s="134">
        <v>14.04</v>
      </c>
      <c r="D34" s="134">
        <v>19.53</v>
      </c>
      <c r="E34" s="134">
        <v>4.9400000000000004</v>
      </c>
      <c r="F34" s="134">
        <v>2.85</v>
      </c>
      <c r="G34" s="134">
        <v>8.49</v>
      </c>
      <c r="H34" s="134">
        <v>2.33</v>
      </c>
      <c r="I34" s="134">
        <v>3.82</v>
      </c>
      <c r="J34" s="134">
        <v>0.38</v>
      </c>
      <c r="K34" s="134">
        <v>257.56</v>
      </c>
      <c r="L34" s="134">
        <v>25.18</v>
      </c>
      <c r="M34" s="134">
        <v>95.69</v>
      </c>
      <c r="N34" s="134">
        <v>15.2</v>
      </c>
      <c r="O34" s="134">
        <v>0</v>
      </c>
      <c r="P34" s="134">
        <v>0.4</v>
      </c>
      <c r="Q34" s="134">
        <v>4.6500000000000004</v>
      </c>
    </row>
    <row r="35" spans="1:17" customFormat="1">
      <c r="A35" s="112" t="s">
        <v>2568</v>
      </c>
      <c r="B35" s="134">
        <v>13.62</v>
      </c>
      <c r="C35" s="134">
        <v>13.24</v>
      </c>
      <c r="D35" s="134">
        <v>19.190000000000001</v>
      </c>
      <c r="E35" s="134">
        <v>4.75</v>
      </c>
      <c r="F35" s="134">
        <v>3.08</v>
      </c>
      <c r="G35" s="134">
        <v>8.49</v>
      </c>
      <c r="H35" s="134">
        <v>2.33</v>
      </c>
      <c r="I35" s="134">
        <v>3.82</v>
      </c>
      <c r="J35" s="134">
        <v>0.36</v>
      </c>
      <c r="K35" s="134">
        <v>252.75</v>
      </c>
      <c r="L35" s="134">
        <v>25.31</v>
      </c>
      <c r="M35" s="134">
        <v>95.26</v>
      </c>
      <c r="N35" s="134">
        <v>24.5</v>
      </c>
      <c r="O35" s="134">
        <v>0</v>
      </c>
      <c r="P35" s="134">
        <v>0.38</v>
      </c>
      <c r="Q35" s="134">
        <v>4.6100000000000003</v>
      </c>
    </row>
    <row r="36" spans="1:17" customFormat="1">
      <c r="A36" s="112" t="s">
        <v>2569</v>
      </c>
      <c r="B36" s="134">
        <v>13.75</v>
      </c>
      <c r="C36" s="134">
        <v>13.4</v>
      </c>
      <c r="D36" s="134">
        <v>19.38</v>
      </c>
      <c r="E36" s="134">
        <v>4.6100000000000003</v>
      </c>
      <c r="F36" s="134">
        <v>2.7</v>
      </c>
      <c r="G36" s="134">
        <v>8.2899999999999991</v>
      </c>
      <c r="H36" s="134">
        <v>2.2400000000000002</v>
      </c>
      <c r="I36" s="134">
        <v>3.75</v>
      </c>
      <c r="J36" s="134">
        <v>0.41</v>
      </c>
      <c r="K36" s="134">
        <v>253.8</v>
      </c>
      <c r="L36" s="134">
        <v>25.46</v>
      </c>
      <c r="M36" s="134">
        <v>94.36</v>
      </c>
      <c r="N36" s="134">
        <v>50.2</v>
      </c>
      <c r="O36" s="134">
        <v>0</v>
      </c>
      <c r="P36" s="134">
        <v>0.38</v>
      </c>
      <c r="Q36" s="134">
        <v>4.5999999999999996</v>
      </c>
    </row>
    <row r="37" spans="1:17" customFormat="1">
      <c r="A37" s="112" t="s">
        <v>2570</v>
      </c>
      <c r="B37" s="134">
        <v>13.78</v>
      </c>
      <c r="C37" s="134">
        <v>15.68</v>
      </c>
      <c r="D37" s="134">
        <v>20.59</v>
      </c>
      <c r="E37" s="134">
        <v>5.01</v>
      </c>
      <c r="F37" s="134">
        <v>1.83</v>
      </c>
      <c r="G37" s="134">
        <v>6.71</v>
      </c>
      <c r="H37" s="134">
        <v>1.73</v>
      </c>
      <c r="I37" s="134">
        <v>3.67</v>
      </c>
      <c r="J37" s="134">
        <v>0.37</v>
      </c>
      <c r="K37" s="134">
        <v>258.06</v>
      </c>
      <c r="L37" s="134">
        <v>25.76</v>
      </c>
      <c r="M37" s="134">
        <v>93.66</v>
      </c>
      <c r="N37" s="134">
        <v>89.8</v>
      </c>
      <c r="O37" s="134">
        <v>0</v>
      </c>
      <c r="P37" s="134">
        <v>0.41</v>
      </c>
      <c r="Q37" s="134">
        <v>4.68</v>
      </c>
    </row>
    <row r="38" spans="1:17" customFormat="1">
      <c r="A38" s="112" t="s">
        <v>2571</v>
      </c>
      <c r="B38" s="134">
        <v>13.77</v>
      </c>
      <c r="C38" s="134">
        <v>14.65</v>
      </c>
      <c r="D38" s="134">
        <v>20.04</v>
      </c>
      <c r="E38" s="134">
        <v>5.41</v>
      </c>
      <c r="F38" s="134">
        <v>2.56</v>
      </c>
      <c r="G38" s="134">
        <v>6.71</v>
      </c>
      <c r="H38" s="134">
        <v>1.73</v>
      </c>
      <c r="I38" s="134">
        <v>3.7</v>
      </c>
      <c r="J38" s="134">
        <v>0.53</v>
      </c>
      <c r="K38" s="134">
        <v>257.74</v>
      </c>
      <c r="L38" s="134">
        <v>26.14</v>
      </c>
      <c r="M38" s="134">
        <v>91.63</v>
      </c>
      <c r="N38" s="134">
        <v>116.2</v>
      </c>
      <c r="O38" s="134">
        <v>0</v>
      </c>
      <c r="P38" s="134">
        <v>0.39</v>
      </c>
      <c r="Q38" s="134">
        <v>4.6500000000000004</v>
      </c>
    </row>
    <row r="39" spans="1:17" customFormat="1">
      <c r="A39" s="112" t="s">
        <v>2572</v>
      </c>
      <c r="B39" s="134">
        <v>13.87</v>
      </c>
      <c r="C39" s="134">
        <v>13.26</v>
      </c>
      <c r="D39" s="134">
        <v>19.399999999999999</v>
      </c>
      <c r="E39" s="134">
        <v>5.12</v>
      </c>
      <c r="F39" s="134">
        <v>3.06</v>
      </c>
      <c r="G39" s="134">
        <v>6.71</v>
      </c>
      <c r="H39" s="134">
        <v>1.73</v>
      </c>
      <c r="I39" s="134">
        <v>3.78</v>
      </c>
      <c r="J39" s="134">
        <v>0.46</v>
      </c>
      <c r="K39" s="134">
        <v>254.25</v>
      </c>
      <c r="L39" s="134">
        <v>26.39</v>
      </c>
      <c r="M39" s="134">
        <v>89.69</v>
      </c>
      <c r="N39" s="134">
        <v>139.4</v>
      </c>
      <c r="O39" s="134">
        <v>0</v>
      </c>
      <c r="P39" s="134">
        <v>0.38</v>
      </c>
      <c r="Q39" s="134">
        <v>4.62</v>
      </c>
    </row>
    <row r="40" spans="1:17" customFormat="1">
      <c r="A40" s="112" t="s">
        <v>2573</v>
      </c>
      <c r="B40" s="134">
        <v>13.73</v>
      </c>
      <c r="C40" s="134">
        <v>12.35</v>
      </c>
      <c r="D40" s="134">
        <v>18.809999999999999</v>
      </c>
      <c r="E40" s="134">
        <v>4.8</v>
      </c>
      <c r="F40" s="134">
        <v>3.28</v>
      </c>
      <c r="G40" s="134">
        <v>6.53</v>
      </c>
      <c r="H40" s="134">
        <v>1.7</v>
      </c>
      <c r="I40" s="134">
        <v>3.69</v>
      </c>
      <c r="J40" s="134">
        <v>0.5</v>
      </c>
      <c r="K40" s="134">
        <v>249.53</v>
      </c>
      <c r="L40" s="134">
        <v>26.57</v>
      </c>
      <c r="M40" s="134">
        <v>89.01</v>
      </c>
      <c r="N40" s="134">
        <v>148.9</v>
      </c>
      <c r="O40" s="134">
        <v>0</v>
      </c>
      <c r="P40" s="134">
        <v>0.36</v>
      </c>
      <c r="Q40" s="134">
        <v>4.6100000000000003</v>
      </c>
    </row>
    <row r="41" spans="1:17" customFormat="1">
      <c r="A41" s="112" t="s">
        <v>2574</v>
      </c>
      <c r="B41" s="134">
        <v>13.75</v>
      </c>
      <c r="C41" s="134">
        <v>14.04</v>
      </c>
      <c r="D41" s="134">
        <v>19.71</v>
      </c>
      <c r="E41" s="134">
        <v>5.12</v>
      </c>
      <c r="F41" s="134">
        <v>2.16</v>
      </c>
      <c r="G41" s="134">
        <v>5.09</v>
      </c>
      <c r="H41" s="134">
        <v>1.51</v>
      </c>
      <c r="I41" s="134">
        <v>3.6</v>
      </c>
      <c r="J41" s="134">
        <v>0.8</v>
      </c>
      <c r="K41" s="134">
        <v>264.31</v>
      </c>
      <c r="L41" s="134">
        <v>26.67</v>
      </c>
      <c r="M41" s="134">
        <v>87.98</v>
      </c>
      <c r="N41" s="134">
        <v>172.2</v>
      </c>
      <c r="O41" s="134">
        <v>0</v>
      </c>
      <c r="P41" s="134">
        <v>0.39</v>
      </c>
      <c r="Q41" s="134">
        <v>4.6500000000000004</v>
      </c>
    </row>
    <row r="42" spans="1:17" customFormat="1">
      <c r="A42" s="112" t="s">
        <v>2575</v>
      </c>
      <c r="B42" s="134">
        <v>13.75</v>
      </c>
      <c r="C42" s="134">
        <v>14.74</v>
      </c>
      <c r="D42" s="134">
        <v>20.079999999999998</v>
      </c>
      <c r="E42" s="134">
        <v>5.57</v>
      </c>
      <c r="F42" s="134">
        <v>2.0699999999999998</v>
      </c>
      <c r="G42" s="134">
        <v>5.09</v>
      </c>
      <c r="H42" s="134">
        <v>1.51</v>
      </c>
      <c r="I42" s="134">
        <v>3.56</v>
      </c>
      <c r="J42" s="134">
        <v>0.76</v>
      </c>
      <c r="K42" s="134">
        <v>264.55</v>
      </c>
      <c r="L42" s="134">
        <v>26.75</v>
      </c>
      <c r="M42" s="134">
        <v>87.79</v>
      </c>
      <c r="N42" s="134">
        <v>174.9</v>
      </c>
      <c r="O42" s="134">
        <v>0</v>
      </c>
      <c r="P42" s="134">
        <v>0.39</v>
      </c>
      <c r="Q42" s="134">
        <v>4.66</v>
      </c>
    </row>
    <row r="43" spans="1:17" customFormat="1">
      <c r="A43" s="112" t="s">
        <v>2576</v>
      </c>
      <c r="B43" s="134">
        <v>13.58</v>
      </c>
      <c r="C43" s="134">
        <v>13.74</v>
      </c>
      <c r="D43" s="134">
        <v>19.420000000000002</v>
      </c>
      <c r="E43" s="134">
        <v>5.37</v>
      </c>
      <c r="F43" s="134">
        <v>2.79</v>
      </c>
      <c r="G43" s="134">
        <v>5.09</v>
      </c>
      <c r="H43" s="134">
        <v>1.51</v>
      </c>
      <c r="I43" s="134">
        <v>3.6</v>
      </c>
      <c r="J43" s="134">
        <v>0.78</v>
      </c>
      <c r="K43" s="134">
        <v>266.29000000000002</v>
      </c>
      <c r="L43" s="134">
        <v>26.81</v>
      </c>
      <c r="M43" s="134">
        <v>87.36</v>
      </c>
      <c r="N43" s="134">
        <v>198.5</v>
      </c>
      <c r="O43" s="134">
        <v>0</v>
      </c>
      <c r="P43" s="134">
        <v>0.38</v>
      </c>
      <c r="Q43" s="134">
        <v>4.58</v>
      </c>
    </row>
    <row r="44" spans="1:17" customFormat="1">
      <c r="A44" s="112" t="s">
        <v>2577</v>
      </c>
      <c r="B44" s="134">
        <v>13.39</v>
      </c>
      <c r="C44" s="134">
        <v>13.18</v>
      </c>
      <c r="D44" s="134">
        <v>18.97</v>
      </c>
      <c r="E44" s="134">
        <v>5.12</v>
      </c>
      <c r="F44" s="134">
        <v>3.28</v>
      </c>
      <c r="G44" s="134">
        <v>5.75</v>
      </c>
      <c r="H44" s="134">
        <v>1.56</v>
      </c>
      <c r="I44" s="134">
        <v>3.59</v>
      </c>
      <c r="J44" s="134">
        <v>0.83</v>
      </c>
      <c r="K44" s="134">
        <v>267.64</v>
      </c>
      <c r="L44" s="134">
        <v>27.11</v>
      </c>
      <c r="M44" s="134">
        <v>86.26</v>
      </c>
      <c r="N44" s="134">
        <v>226.6</v>
      </c>
      <c r="O44" s="134">
        <v>0</v>
      </c>
      <c r="P44" s="134">
        <v>0.36</v>
      </c>
      <c r="Q44" s="134">
        <v>4.57</v>
      </c>
    </row>
    <row r="45" spans="1:17" customFormat="1">
      <c r="A45" s="112" t="s">
        <v>2578</v>
      </c>
      <c r="B45" s="134">
        <v>13.21</v>
      </c>
      <c r="C45" s="134">
        <v>12.58</v>
      </c>
      <c r="D45" s="134">
        <v>18.52</v>
      </c>
      <c r="E45" s="134">
        <v>5</v>
      </c>
      <c r="F45" s="134">
        <v>3.46</v>
      </c>
      <c r="G45" s="134">
        <v>10.96</v>
      </c>
      <c r="H45" s="134">
        <v>1.83</v>
      </c>
      <c r="I45" s="134">
        <v>3.5</v>
      </c>
      <c r="J45" s="134">
        <v>0.96</v>
      </c>
      <c r="K45" s="134">
        <v>268.76</v>
      </c>
      <c r="L45" s="134">
        <v>27.22</v>
      </c>
      <c r="M45" s="134">
        <v>85.22</v>
      </c>
      <c r="N45" s="134">
        <v>223</v>
      </c>
      <c r="O45" s="134">
        <v>0</v>
      </c>
      <c r="P45" s="134">
        <v>0.35</v>
      </c>
      <c r="Q45" s="134">
        <v>4.5599999999999996</v>
      </c>
    </row>
    <row r="46" spans="1:17" customFormat="1">
      <c r="A46" s="112" t="s">
        <v>2579</v>
      </c>
      <c r="B46" s="134">
        <v>12.98</v>
      </c>
      <c r="C46" s="134">
        <v>12.5</v>
      </c>
      <c r="D46" s="134">
        <v>18.29</v>
      </c>
      <c r="E46" s="134">
        <v>4.8899999999999997</v>
      </c>
      <c r="F46" s="134">
        <v>3.11</v>
      </c>
      <c r="G46" s="134">
        <v>10.96</v>
      </c>
      <c r="H46" s="134">
        <v>1.83</v>
      </c>
      <c r="I46" s="134">
        <v>3.42</v>
      </c>
      <c r="J46" s="134">
        <v>0.76</v>
      </c>
      <c r="K46" s="134">
        <v>266.89</v>
      </c>
      <c r="L46" s="134">
        <v>27.42</v>
      </c>
      <c r="M46" s="134">
        <v>84.87</v>
      </c>
      <c r="N46" s="134">
        <v>230.3</v>
      </c>
      <c r="O46" s="134">
        <v>0</v>
      </c>
      <c r="P46" s="134">
        <v>0.34</v>
      </c>
      <c r="Q46" s="134">
        <v>4.51</v>
      </c>
    </row>
    <row r="47" spans="1:17" customFormat="1">
      <c r="A47" s="112" t="s">
        <v>2580</v>
      </c>
      <c r="B47" s="134">
        <v>12.69</v>
      </c>
      <c r="C47" s="134">
        <v>12.44</v>
      </c>
      <c r="D47" s="134">
        <v>18.03</v>
      </c>
      <c r="E47" s="134">
        <v>4.8600000000000003</v>
      </c>
      <c r="F47" s="134">
        <v>3.11</v>
      </c>
      <c r="G47" s="134">
        <v>10.96</v>
      </c>
      <c r="H47" s="134">
        <v>1.83</v>
      </c>
      <c r="I47" s="134">
        <v>3.36</v>
      </c>
      <c r="J47" s="134">
        <v>0.85</v>
      </c>
      <c r="K47" s="134">
        <v>260.27999999999997</v>
      </c>
      <c r="L47" s="134">
        <v>27.51</v>
      </c>
      <c r="M47" s="134">
        <v>84.49</v>
      </c>
      <c r="N47" s="134">
        <v>227.4</v>
      </c>
      <c r="O47" s="134">
        <v>0</v>
      </c>
      <c r="P47" s="134">
        <v>0.33</v>
      </c>
      <c r="Q47" s="134">
        <v>4.47</v>
      </c>
    </row>
    <row r="48" spans="1:17" customFormat="1">
      <c r="A48" s="112" t="s">
        <v>2581</v>
      </c>
      <c r="B48" s="134">
        <v>12.54</v>
      </c>
      <c r="C48" s="134">
        <v>14.18</v>
      </c>
      <c r="D48" s="134">
        <v>18.82</v>
      </c>
      <c r="E48" s="134">
        <v>5.12</v>
      </c>
      <c r="F48" s="134">
        <v>2.1800000000000002</v>
      </c>
      <c r="G48" s="134">
        <v>10.74</v>
      </c>
      <c r="H48" s="134">
        <v>1.77</v>
      </c>
      <c r="I48" s="134">
        <v>3.34</v>
      </c>
      <c r="J48" s="134">
        <v>0.9</v>
      </c>
      <c r="K48" s="134">
        <v>268.32</v>
      </c>
      <c r="L48" s="134">
        <v>27.73</v>
      </c>
      <c r="M48" s="134">
        <v>82.97</v>
      </c>
      <c r="N48" s="134">
        <v>260.89999999999998</v>
      </c>
      <c r="O48" s="134">
        <v>0</v>
      </c>
      <c r="P48" s="134">
        <v>0.37</v>
      </c>
      <c r="Q48" s="134">
        <v>4.51</v>
      </c>
    </row>
    <row r="49" spans="1:17" customFormat="1">
      <c r="A49" s="112" t="s">
        <v>2582</v>
      </c>
      <c r="B49" s="134">
        <v>12.59</v>
      </c>
      <c r="C49" s="134">
        <v>14.34</v>
      </c>
      <c r="D49" s="134">
        <v>18.940000000000001</v>
      </c>
      <c r="E49" s="134">
        <v>4.8899999999999997</v>
      </c>
      <c r="F49" s="134">
        <v>2.38</v>
      </c>
      <c r="G49" s="134">
        <v>8.9700000000000006</v>
      </c>
      <c r="H49" s="134">
        <v>1.4</v>
      </c>
      <c r="I49" s="134">
        <v>3.36</v>
      </c>
      <c r="J49" s="134">
        <v>1.1100000000000001</v>
      </c>
      <c r="K49" s="134">
        <v>265.39</v>
      </c>
      <c r="L49" s="134">
        <v>27.81</v>
      </c>
      <c r="M49" s="134">
        <v>82.26</v>
      </c>
      <c r="N49" s="134">
        <v>208.2</v>
      </c>
      <c r="O49" s="134">
        <v>0</v>
      </c>
      <c r="P49" s="134">
        <v>0.39</v>
      </c>
      <c r="Q49" s="134">
        <v>4.54</v>
      </c>
    </row>
    <row r="50" spans="1:17" customFormat="1">
      <c r="A50" s="112" t="s">
        <v>2583</v>
      </c>
      <c r="B50" s="134">
        <v>12.54</v>
      </c>
      <c r="C50" s="134">
        <v>13.56</v>
      </c>
      <c r="D50" s="134">
        <v>18.5</v>
      </c>
      <c r="E50" s="134">
        <v>5.92</v>
      </c>
      <c r="F50" s="134">
        <v>3.04</v>
      </c>
      <c r="G50" s="134">
        <v>8.9700000000000006</v>
      </c>
      <c r="H50" s="134">
        <v>1.4</v>
      </c>
      <c r="I50" s="134">
        <v>3.46</v>
      </c>
      <c r="J50" s="134">
        <v>0.83</v>
      </c>
      <c r="K50" s="134">
        <v>265.10000000000002</v>
      </c>
      <c r="L50" s="134">
        <v>28.03</v>
      </c>
      <c r="M50" s="134">
        <v>81.430000000000007</v>
      </c>
      <c r="N50" s="134">
        <v>313.3</v>
      </c>
      <c r="O50" s="134">
        <v>0</v>
      </c>
      <c r="P50" s="134">
        <v>0.37</v>
      </c>
      <c r="Q50" s="134">
        <v>4.49</v>
      </c>
    </row>
    <row r="51" spans="1:17" customFormat="1">
      <c r="A51" s="112" t="s">
        <v>2584</v>
      </c>
      <c r="B51" s="134">
        <v>12.41</v>
      </c>
      <c r="C51" s="134">
        <v>13.34</v>
      </c>
      <c r="D51" s="134">
        <v>18.28</v>
      </c>
      <c r="E51" s="134">
        <v>6.25</v>
      </c>
      <c r="F51" s="134">
        <v>3.31</v>
      </c>
      <c r="G51" s="134">
        <v>8.9700000000000006</v>
      </c>
      <c r="H51" s="134">
        <v>1.4</v>
      </c>
      <c r="I51" s="134">
        <v>3.46</v>
      </c>
      <c r="J51" s="134">
        <v>0.99</v>
      </c>
      <c r="K51" s="134">
        <v>267.97000000000003</v>
      </c>
      <c r="L51" s="134">
        <v>28.51</v>
      </c>
      <c r="M51" s="134">
        <v>79.58</v>
      </c>
      <c r="N51" s="134">
        <v>357.9</v>
      </c>
      <c r="O51" s="134">
        <v>0</v>
      </c>
      <c r="P51" s="134">
        <v>0.37</v>
      </c>
      <c r="Q51" s="134">
        <v>4.46</v>
      </c>
    </row>
    <row r="52" spans="1:17" customFormat="1">
      <c r="A52" s="112" t="s">
        <v>2585</v>
      </c>
      <c r="B52" s="134">
        <v>12.18</v>
      </c>
      <c r="C52" s="134">
        <v>14.1</v>
      </c>
      <c r="D52" s="134">
        <v>18.48</v>
      </c>
      <c r="E52" s="134">
        <v>5.78</v>
      </c>
      <c r="F52" s="134">
        <v>2.76</v>
      </c>
      <c r="G52" s="134">
        <v>9.4700000000000006</v>
      </c>
      <c r="H52" s="134">
        <v>1.62</v>
      </c>
      <c r="I52" s="134">
        <v>3.47</v>
      </c>
      <c r="J52" s="134">
        <v>0.98</v>
      </c>
      <c r="K52" s="134">
        <v>266.42</v>
      </c>
      <c r="L52" s="134">
        <v>28.61</v>
      </c>
      <c r="M52" s="134">
        <v>79.5</v>
      </c>
      <c r="N52" s="134">
        <v>347.6</v>
      </c>
      <c r="O52" s="134">
        <v>0</v>
      </c>
      <c r="P52" s="134">
        <v>0.4</v>
      </c>
      <c r="Q52" s="134">
        <v>4.4800000000000004</v>
      </c>
    </row>
    <row r="53" spans="1:17" customFormat="1">
      <c r="A53" s="112" t="s">
        <v>2586</v>
      </c>
      <c r="B53" s="134">
        <v>11.9</v>
      </c>
      <c r="C53" s="134">
        <v>14</v>
      </c>
      <c r="D53" s="134">
        <v>18.21</v>
      </c>
      <c r="E53" s="134">
        <v>5.6</v>
      </c>
      <c r="F53" s="134">
        <v>2.92</v>
      </c>
      <c r="G53" s="134">
        <v>13.46</v>
      </c>
      <c r="H53" s="134">
        <v>3.03</v>
      </c>
      <c r="I53" s="134">
        <v>3.51</v>
      </c>
      <c r="J53" s="134">
        <v>0.84</v>
      </c>
      <c r="K53" s="134">
        <v>269.83999999999997</v>
      </c>
      <c r="L53" s="134">
        <v>29</v>
      </c>
      <c r="M53" s="134">
        <v>78.59</v>
      </c>
      <c r="N53" s="134">
        <v>416.9</v>
      </c>
      <c r="O53" s="134">
        <v>0</v>
      </c>
      <c r="P53" s="134">
        <v>0.4</v>
      </c>
      <c r="Q53" s="134">
        <v>4.49</v>
      </c>
    </row>
    <row r="54" spans="1:17" customFormat="1">
      <c r="A54" s="112" t="s">
        <v>2587</v>
      </c>
      <c r="B54" s="134">
        <v>11.76</v>
      </c>
      <c r="C54" s="134">
        <v>13.49</v>
      </c>
      <c r="D54" s="134">
        <v>17.829999999999998</v>
      </c>
      <c r="E54" s="134">
        <v>5.46</v>
      </c>
      <c r="F54" s="134">
        <v>3.27</v>
      </c>
      <c r="G54" s="134">
        <v>13.46</v>
      </c>
      <c r="H54" s="134">
        <v>3.03</v>
      </c>
      <c r="I54" s="134">
        <v>3.56</v>
      </c>
      <c r="J54" s="134">
        <v>0.75</v>
      </c>
      <c r="K54" s="134">
        <v>267.45999999999998</v>
      </c>
      <c r="L54" s="134">
        <v>29.36</v>
      </c>
      <c r="M54" s="134">
        <v>77.92</v>
      </c>
      <c r="N54" s="134">
        <v>422.8</v>
      </c>
      <c r="O54" s="134">
        <v>0</v>
      </c>
      <c r="P54" s="134">
        <v>0.39</v>
      </c>
      <c r="Q54" s="134">
        <v>4.47</v>
      </c>
    </row>
    <row r="55" spans="1:17" customFormat="1">
      <c r="A55" s="112" t="s">
        <v>2588</v>
      </c>
      <c r="B55" s="134">
        <v>11.73</v>
      </c>
      <c r="C55" s="134">
        <v>13.06</v>
      </c>
      <c r="D55" s="134">
        <v>17.579999999999998</v>
      </c>
      <c r="E55" s="134">
        <v>5.28</v>
      </c>
      <c r="F55" s="134">
        <v>3.5</v>
      </c>
      <c r="G55" s="134">
        <v>13.46</v>
      </c>
      <c r="H55" s="134">
        <v>3.03</v>
      </c>
      <c r="I55" s="134">
        <v>3.53</v>
      </c>
      <c r="J55" s="134">
        <v>0.75</v>
      </c>
      <c r="K55" s="134">
        <v>266.2</v>
      </c>
      <c r="L55" s="134">
        <v>29.65</v>
      </c>
      <c r="M55" s="134">
        <v>75.989999999999995</v>
      </c>
      <c r="N55" s="134">
        <v>515.29999999999995</v>
      </c>
      <c r="O55" s="134">
        <v>0</v>
      </c>
      <c r="P55" s="134">
        <v>0.4</v>
      </c>
      <c r="Q55" s="134">
        <v>4.46</v>
      </c>
    </row>
    <row r="56" spans="1:17" customFormat="1">
      <c r="A56" s="112" t="s">
        <v>2589</v>
      </c>
      <c r="B56" s="134">
        <v>11.29</v>
      </c>
      <c r="C56" s="134">
        <v>13.27</v>
      </c>
      <c r="D56" s="134">
        <v>17.34</v>
      </c>
      <c r="E56" s="134">
        <v>6.29</v>
      </c>
      <c r="F56" s="134">
        <v>4.75</v>
      </c>
      <c r="G56" s="134">
        <v>14.02</v>
      </c>
      <c r="H56" s="134">
        <v>3.53</v>
      </c>
      <c r="I56" s="134">
        <v>3.54</v>
      </c>
      <c r="J56" s="134">
        <v>0.65</v>
      </c>
      <c r="K56" s="134">
        <v>270.66000000000003</v>
      </c>
      <c r="L56" s="134">
        <v>30.7</v>
      </c>
      <c r="M56" s="134">
        <v>73.72</v>
      </c>
      <c r="N56" s="134">
        <v>564.29999999999995</v>
      </c>
      <c r="O56" s="134">
        <v>0</v>
      </c>
      <c r="P56" s="134">
        <v>0.41</v>
      </c>
      <c r="Q56" s="134">
        <v>4.42</v>
      </c>
    </row>
    <row r="57" spans="1:17" customFormat="1">
      <c r="A57" s="112" t="s">
        <v>2590</v>
      </c>
      <c r="B57" s="134">
        <v>11.1</v>
      </c>
      <c r="C57" s="134">
        <v>13.66</v>
      </c>
      <c r="D57" s="134">
        <v>17.39</v>
      </c>
      <c r="E57" s="134">
        <v>6.19</v>
      </c>
      <c r="F57" s="134">
        <v>4.13</v>
      </c>
      <c r="G57" s="134">
        <v>18.55</v>
      </c>
      <c r="H57" s="134">
        <v>6.69</v>
      </c>
      <c r="I57" s="134">
        <v>3.6</v>
      </c>
      <c r="J57" s="134">
        <v>0.79</v>
      </c>
      <c r="K57" s="134">
        <v>269.26</v>
      </c>
      <c r="L57" s="134">
        <v>29.85</v>
      </c>
      <c r="M57" s="134">
        <v>75.11</v>
      </c>
      <c r="N57" s="134">
        <v>207.2</v>
      </c>
      <c r="O57" s="134">
        <v>0</v>
      </c>
      <c r="P57" s="134">
        <v>0.41</v>
      </c>
      <c r="Q57" s="134">
        <v>4.4400000000000004</v>
      </c>
    </row>
    <row r="58" spans="1:17" customFormat="1">
      <c r="A58" s="112" t="s">
        <v>2591</v>
      </c>
      <c r="B58" s="134">
        <v>10.98</v>
      </c>
      <c r="C58" s="134">
        <v>13.63</v>
      </c>
      <c r="D58" s="134">
        <v>17.28</v>
      </c>
      <c r="E58" s="134">
        <v>6.01</v>
      </c>
      <c r="F58" s="134">
        <v>3.76</v>
      </c>
      <c r="G58" s="134">
        <v>18.55</v>
      </c>
      <c r="H58" s="134">
        <v>6.69</v>
      </c>
      <c r="I58" s="134">
        <v>3.72</v>
      </c>
      <c r="J58" s="134">
        <v>0.65</v>
      </c>
      <c r="K58" s="134">
        <v>259.33</v>
      </c>
      <c r="L58" s="134">
        <v>29.68</v>
      </c>
      <c r="M58" s="134">
        <v>76.19</v>
      </c>
      <c r="N58" s="134">
        <v>411.4</v>
      </c>
      <c r="O58" s="134">
        <v>0</v>
      </c>
      <c r="P58" s="134">
        <v>0.4</v>
      </c>
      <c r="Q58" s="134">
        <v>4.41</v>
      </c>
    </row>
    <row r="59" spans="1:17" customFormat="1">
      <c r="A59" s="112" t="s">
        <v>2592</v>
      </c>
      <c r="B59" s="134">
        <v>10.87</v>
      </c>
      <c r="C59" s="134">
        <v>13.45</v>
      </c>
      <c r="D59" s="134">
        <v>17.100000000000001</v>
      </c>
      <c r="E59" s="134">
        <v>5.57</v>
      </c>
      <c r="F59" s="134">
        <v>3.63</v>
      </c>
      <c r="G59" s="134">
        <v>18.55</v>
      </c>
      <c r="H59" s="134">
        <v>6.69</v>
      </c>
      <c r="I59" s="134">
        <v>3.76</v>
      </c>
      <c r="J59" s="134">
        <v>0.82</v>
      </c>
      <c r="K59" s="134">
        <v>256.44</v>
      </c>
      <c r="L59" s="134">
        <v>30.53</v>
      </c>
      <c r="M59" s="134">
        <v>73.78</v>
      </c>
      <c r="N59" s="134">
        <v>788.7</v>
      </c>
      <c r="O59" s="134">
        <v>0</v>
      </c>
      <c r="P59" s="134">
        <v>0.4</v>
      </c>
      <c r="Q59" s="134">
        <v>4.38</v>
      </c>
    </row>
    <row r="60" spans="1:17" customFormat="1">
      <c r="A60" s="112" t="s">
        <v>2593</v>
      </c>
      <c r="B60" s="134">
        <v>10.66</v>
      </c>
      <c r="C60" s="134">
        <v>13.16</v>
      </c>
      <c r="D60" s="134">
        <v>16.78</v>
      </c>
      <c r="E60" s="134">
        <v>4.99</v>
      </c>
      <c r="F60" s="134">
        <v>3.84</v>
      </c>
      <c r="G60" s="134">
        <v>18.09</v>
      </c>
      <c r="H60" s="134">
        <v>6.63</v>
      </c>
      <c r="I60" s="134">
        <v>3.75</v>
      </c>
      <c r="J60" s="134">
        <v>0.69</v>
      </c>
      <c r="K60" s="134">
        <v>251.12</v>
      </c>
      <c r="L60" s="134">
        <v>31.18</v>
      </c>
      <c r="M60" s="134">
        <v>71.75</v>
      </c>
      <c r="N60" s="134">
        <v>762.5</v>
      </c>
      <c r="O60" s="134">
        <v>0</v>
      </c>
      <c r="P60" s="134">
        <v>0.39</v>
      </c>
      <c r="Q60" s="134">
        <v>4.37</v>
      </c>
    </row>
    <row r="61" spans="1:17" customFormat="1">
      <c r="A61" s="112" t="s">
        <v>2594</v>
      </c>
      <c r="B61" s="134">
        <v>10.42</v>
      </c>
      <c r="C61" s="134">
        <v>13.01</v>
      </c>
      <c r="D61" s="134">
        <v>16.5</v>
      </c>
      <c r="E61" s="134">
        <v>5.17</v>
      </c>
      <c r="F61" s="134">
        <v>3.91</v>
      </c>
      <c r="G61" s="134">
        <v>14.41</v>
      </c>
      <c r="H61" s="134">
        <v>6.28</v>
      </c>
      <c r="I61" s="134">
        <v>3.7</v>
      </c>
      <c r="J61" s="134">
        <v>0.99</v>
      </c>
      <c r="K61" s="134">
        <v>259.85000000000002</v>
      </c>
      <c r="L61" s="134">
        <v>30.76</v>
      </c>
      <c r="M61" s="134">
        <v>72.92</v>
      </c>
      <c r="N61" s="134">
        <v>488.4</v>
      </c>
      <c r="O61" s="134">
        <v>0</v>
      </c>
      <c r="P61" s="134">
        <v>0.39</v>
      </c>
      <c r="Q61" s="134">
        <v>4.3600000000000003</v>
      </c>
    </row>
    <row r="62" spans="1:17" customFormat="1">
      <c r="A62" s="112" t="s">
        <v>2595</v>
      </c>
      <c r="B62" s="134">
        <v>10.33</v>
      </c>
      <c r="C62" s="134">
        <v>12.76</v>
      </c>
      <c r="D62" s="134">
        <v>16.3</v>
      </c>
      <c r="E62" s="134">
        <v>4.84</v>
      </c>
      <c r="F62" s="134">
        <v>3.86</v>
      </c>
      <c r="G62" s="134">
        <v>14.41</v>
      </c>
      <c r="H62" s="134">
        <v>6.28</v>
      </c>
      <c r="I62" s="134">
        <v>3.65</v>
      </c>
      <c r="J62" s="134">
        <v>0.76</v>
      </c>
      <c r="K62" s="134">
        <v>254.33</v>
      </c>
      <c r="L62" s="134">
        <v>29.77</v>
      </c>
      <c r="M62" s="134">
        <v>76.45</v>
      </c>
      <c r="N62" s="134">
        <v>483.7</v>
      </c>
      <c r="O62" s="134">
        <v>0</v>
      </c>
      <c r="P62" s="134">
        <v>0.39</v>
      </c>
      <c r="Q62" s="134">
        <v>4.3099999999999996</v>
      </c>
    </row>
    <row r="63" spans="1:17" customFormat="1">
      <c r="A63" s="112" t="s">
        <v>2596</v>
      </c>
      <c r="B63" s="134">
        <v>10.210000000000001</v>
      </c>
      <c r="C63" s="134">
        <v>12.91</v>
      </c>
      <c r="D63" s="134">
        <v>16.28</v>
      </c>
      <c r="E63" s="134">
        <v>5.35</v>
      </c>
      <c r="F63" s="134">
        <v>3.62</v>
      </c>
      <c r="G63" s="134">
        <v>14.41</v>
      </c>
      <c r="H63" s="134">
        <v>6.28</v>
      </c>
      <c r="I63" s="134">
        <v>3.63</v>
      </c>
      <c r="J63" s="134">
        <v>0.82</v>
      </c>
      <c r="K63" s="134">
        <v>254.09</v>
      </c>
      <c r="L63" s="134">
        <v>30.62</v>
      </c>
      <c r="M63" s="134">
        <v>72.28</v>
      </c>
      <c r="N63" s="134">
        <v>668.7</v>
      </c>
      <c r="O63" s="134">
        <v>0</v>
      </c>
      <c r="P63" s="134">
        <v>0.38</v>
      </c>
      <c r="Q63" s="134">
        <v>4.29</v>
      </c>
    </row>
    <row r="64" spans="1:17" customFormat="1">
      <c r="A64" s="112" t="s">
        <v>2597</v>
      </c>
      <c r="B64" s="134">
        <v>9.84</v>
      </c>
      <c r="C64" s="134">
        <v>13.01</v>
      </c>
      <c r="D64" s="134">
        <v>16.04</v>
      </c>
      <c r="E64" s="134">
        <v>5.09</v>
      </c>
      <c r="F64" s="134">
        <v>3.66</v>
      </c>
      <c r="G64" s="134">
        <v>14.46</v>
      </c>
      <c r="H64" s="134">
        <v>6.08</v>
      </c>
      <c r="I64" s="134">
        <v>3.58</v>
      </c>
      <c r="J64" s="134">
        <v>0.56999999999999995</v>
      </c>
      <c r="K64" s="134">
        <v>244.13</v>
      </c>
      <c r="L64" s="134">
        <v>30.99</v>
      </c>
      <c r="M64" s="134">
        <v>72.069999999999993</v>
      </c>
      <c r="N64" s="134">
        <v>484.1</v>
      </c>
      <c r="O64" s="134">
        <v>0</v>
      </c>
      <c r="P64" s="134">
        <v>0.38</v>
      </c>
      <c r="Q64" s="134">
        <v>4.2699999999999996</v>
      </c>
    </row>
    <row r="65" spans="1:17" customFormat="1">
      <c r="A65" s="112" t="s">
        <v>2598</v>
      </c>
      <c r="B65" s="134">
        <v>9.6999999999999993</v>
      </c>
      <c r="C65" s="134">
        <v>12.85</v>
      </c>
      <c r="D65" s="134">
        <v>15.84</v>
      </c>
      <c r="E65" s="134">
        <v>5.13</v>
      </c>
      <c r="F65" s="134">
        <v>4.01</v>
      </c>
      <c r="G65" s="134">
        <v>14.86</v>
      </c>
      <c r="H65" s="134">
        <v>4.7699999999999996</v>
      </c>
      <c r="I65" s="134">
        <v>3.54</v>
      </c>
      <c r="J65" s="134">
        <v>0.8</v>
      </c>
      <c r="K65" s="134">
        <v>255.53</v>
      </c>
      <c r="L65" s="134">
        <v>30.42</v>
      </c>
      <c r="M65" s="134">
        <v>72.900000000000006</v>
      </c>
      <c r="N65" s="134">
        <v>302.39999999999998</v>
      </c>
      <c r="O65" s="134">
        <v>0</v>
      </c>
      <c r="P65" s="134">
        <v>0.35</v>
      </c>
      <c r="Q65" s="134">
        <v>4.26</v>
      </c>
    </row>
    <row r="66" spans="1:17" customFormat="1">
      <c r="A66" s="112" t="s">
        <v>2599</v>
      </c>
      <c r="B66" s="134">
        <v>9.51</v>
      </c>
      <c r="C66" s="134">
        <v>12.77</v>
      </c>
      <c r="D66" s="134">
        <v>15.65</v>
      </c>
      <c r="E66" s="134">
        <v>5.42</v>
      </c>
      <c r="F66" s="134">
        <v>3.85</v>
      </c>
      <c r="G66" s="134">
        <v>14.86</v>
      </c>
      <c r="H66" s="134">
        <v>4.7699999999999996</v>
      </c>
      <c r="I66" s="134">
        <v>3.51</v>
      </c>
      <c r="J66" s="134">
        <v>0.75</v>
      </c>
      <c r="K66" s="134">
        <v>253.25</v>
      </c>
      <c r="L66" s="134">
        <v>30.29</v>
      </c>
      <c r="M66" s="134">
        <v>74.17</v>
      </c>
      <c r="N66" s="134">
        <v>381.1</v>
      </c>
      <c r="O66" s="134">
        <v>0</v>
      </c>
      <c r="P66" s="134">
        <v>0.37</v>
      </c>
      <c r="Q66" s="134">
        <v>4.24</v>
      </c>
    </row>
    <row r="67" spans="1:17" customFormat="1">
      <c r="A67" s="112" t="s">
        <v>2600</v>
      </c>
      <c r="B67" s="134">
        <v>9.3699999999999992</v>
      </c>
      <c r="C67" s="134">
        <v>12.71</v>
      </c>
      <c r="D67" s="134">
        <v>15.51</v>
      </c>
      <c r="E67" s="134">
        <v>5.33</v>
      </c>
      <c r="F67" s="134">
        <v>3.93</v>
      </c>
      <c r="G67" s="134">
        <v>14.86</v>
      </c>
      <c r="H67" s="134">
        <v>4.7699999999999996</v>
      </c>
      <c r="I67" s="134">
        <v>3.46</v>
      </c>
      <c r="J67" s="134">
        <v>0.47</v>
      </c>
      <c r="K67" s="134">
        <v>250.16</v>
      </c>
      <c r="L67" s="134">
        <v>30.89</v>
      </c>
      <c r="M67" s="134">
        <v>73.42</v>
      </c>
      <c r="N67" s="134">
        <v>443.8</v>
      </c>
      <c r="O67" s="134">
        <v>0</v>
      </c>
      <c r="P67" s="134">
        <v>0.36</v>
      </c>
      <c r="Q67" s="134">
        <v>4.22</v>
      </c>
    </row>
    <row r="68" spans="1:17" customFormat="1">
      <c r="A68" s="112" t="s">
        <v>2601</v>
      </c>
      <c r="B68" s="134">
        <v>9.3800000000000008</v>
      </c>
      <c r="C68" s="134">
        <v>12.64</v>
      </c>
      <c r="D68" s="134">
        <v>15.48</v>
      </c>
      <c r="E68" s="134">
        <v>5.12</v>
      </c>
      <c r="F68" s="134">
        <v>4.18</v>
      </c>
      <c r="G68" s="134">
        <v>14.87</v>
      </c>
      <c r="H68" s="134">
        <v>5.16</v>
      </c>
      <c r="I68" s="134">
        <v>3.39</v>
      </c>
      <c r="J68" s="134">
        <v>0.74</v>
      </c>
      <c r="K68" s="134">
        <v>257.02999999999997</v>
      </c>
      <c r="L68" s="134">
        <v>31.03</v>
      </c>
      <c r="M68" s="134">
        <v>71.22</v>
      </c>
      <c r="N68" s="134">
        <v>430.7</v>
      </c>
      <c r="O68" s="134">
        <v>0</v>
      </c>
      <c r="P68" s="134">
        <v>0.36</v>
      </c>
      <c r="Q68" s="134">
        <v>4.2300000000000004</v>
      </c>
    </row>
    <row r="69" spans="1:17" customFormat="1">
      <c r="A69" s="112" t="s">
        <v>2602</v>
      </c>
      <c r="B69" s="134">
        <v>9.36</v>
      </c>
      <c r="C69" s="134">
        <v>12.68</v>
      </c>
      <c r="D69" s="134">
        <v>15.48</v>
      </c>
      <c r="E69" s="134">
        <v>4.9000000000000004</v>
      </c>
      <c r="F69" s="134">
        <v>3.68</v>
      </c>
      <c r="G69" s="134">
        <v>14.96</v>
      </c>
      <c r="H69" s="134">
        <v>7.62</v>
      </c>
      <c r="I69" s="134">
        <v>3.33</v>
      </c>
      <c r="J69" s="134">
        <v>0.64</v>
      </c>
      <c r="K69" s="134">
        <v>255.01</v>
      </c>
      <c r="L69" s="134">
        <v>30.84</v>
      </c>
      <c r="M69" s="134">
        <v>70.83</v>
      </c>
      <c r="N69" s="134">
        <v>443.9</v>
      </c>
      <c r="O69" s="134">
        <v>0</v>
      </c>
      <c r="P69" s="134">
        <v>0.35</v>
      </c>
      <c r="Q69" s="134">
        <v>4.22</v>
      </c>
    </row>
    <row r="70" spans="1:17" customFormat="1">
      <c r="A70" s="112" t="s">
        <v>2603</v>
      </c>
      <c r="B70" s="134">
        <v>9.2899999999999991</v>
      </c>
      <c r="C70" s="134">
        <v>12.4</v>
      </c>
      <c r="D70" s="134">
        <v>15.28</v>
      </c>
      <c r="E70" s="134">
        <v>5.04</v>
      </c>
      <c r="F70" s="134">
        <v>3.97</v>
      </c>
      <c r="G70" s="134">
        <v>14.96</v>
      </c>
      <c r="H70" s="134">
        <v>7.62</v>
      </c>
      <c r="I70" s="134">
        <v>3.29</v>
      </c>
      <c r="J70" s="134">
        <v>0.87</v>
      </c>
      <c r="K70" s="134">
        <v>262.41000000000003</v>
      </c>
      <c r="L70" s="134">
        <v>31.43</v>
      </c>
      <c r="M70" s="134">
        <v>67.27</v>
      </c>
      <c r="N70" s="134">
        <v>543.9</v>
      </c>
      <c r="O70" s="134">
        <v>0</v>
      </c>
      <c r="P70" s="134">
        <v>0.34</v>
      </c>
      <c r="Q70" s="134">
        <v>4.1900000000000004</v>
      </c>
    </row>
    <row r="71" spans="1:17" customFormat="1">
      <c r="A71" s="112" t="s">
        <v>2604</v>
      </c>
      <c r="B71" s="134">
        <v>8.8800000000000008</v>
      </c>
      <c r="C71" s="134">
        <v>13.15</v>
      </c>
      <c r="D71" s="134">
        <v>15.34</v>
      </c>
      <c r="E71" s="134">
        <v>5.19</v>
      </c>
      <c r="F71" s="134">
        <v>3.5</v>
      </c>
      <c r="G71" s="134">
        <v>14.96</v>
      </c>
      <c r="H71" s="134">
        <v>7.62</v>
      </c>
      <c r="I71" s="134">
        <v>3.3</v>
      </c>
      <c r="J71" s="134">
        <v>0.56999999999999995</v>
      </c>
      <c r="K71" s="134">
        <v>251.63</v>
      </c>
      <c r="L71" s="134">
        <v>31.5</v>
      </c>
      <c r="M71" s="134">
        <v>68.099999999999994</v>
      </c>
      <c r="N71" s="134">
        <v>351.7</v>
      </c>
      <c r="O71" s="134">
        <v>0</v>
      </c>
      <c r="P71" s="134">
        <v>0.36</v>
      </c>
      <c r="Q71" s="134">
        <v>4.1900000000000004</v>
      </c>
    </row>
    <row r="72" spans="1:17" customFormat="1">
      <c r="A72" s="112" t="s">
        <v>2605</v>
      </c>
      <c r="B72" s="134">
        <v>8.5299999999999994</v>
      </c>
      <c r="C72" s="134">
        <v>12.57</v>
      </c>
      <c r="D72" s="134">
        <v>14.76</v>
      </c>
      <c r="E72" s="134">
        <v>5.43</v>
      </c>
      <c r="F72" s="134">
        <v>4.74</v>
      </c>
      <c r="G72" s="134">
        <v>15.02</v>
      </c>
      <c r="H72" s="134">
        <v>7.58</v>
      </c>
      <c r="I72" s="134">
        <v>3.26</v>
      </c>
      <c r="J72" s="134">
        <v>0.85</v>
      </c>
      <c r="K72" s="134">
        <v>271.58</v>
      </c>
      <c r="L72" s="134">
        <v>31.16</v>
      </c>
      <c r="M72" s="134">
        <v>67.59</v>
      </c>
      <c r="N72" s="134">
        <v>387.1</v>
      </c>
      <c r="O72" s="134">
        <v>0</v>
      </c>
      <c r="P72" s="134">
        <v>0.35</v>
      </c>
      <c r="Q72" s="134">
        <v>4.1900000000000004</v>
      </c>
    </row>
    <row r="73" spans="1:17" customFormat="1">
      <c r="A73" s="112" t="s">
        <v>2606</v>
      </c>
      <c r="B73" s="134">
        <v>8.5</v>
      </c>
      <c r="C73" s="134">
        <v>12.08</v>
      </c>
      <c r="D73" s="134">
        <v>14.48</v>
      </c>
      <c r="E73" s="134">
        <v>5.88</v>
      </c>
      <c r="F73" s="134">
        <v>5.68</v>
      </c>
      <c r="G73" s="134">
        <v>15.51</v>
      </c>
      <c r="H73" s="134">
        <v>7.38</v>
      </c>
      <c r="I73" s="134">
        <v>3.28</v>
      </c>
      <c r="J73" s="134">
        <v>0.73</v>
      </c>
      <c r="K73" s="134">
        <v>263.39999999999998</v>
      </c>
      <c r="L73" s="134">
        <v>31.21</v>
      </c>
      <c r="M73" s="134">
        <v>66.91</v>
      </c>
      <c r="N73" s="134">
        <v>318.8</v>
      </c>
      <c r="O73" s="134">
        <v>0</v>
      </c>
      <c r="P73" s="134">
        <v>0.34</v>
      </c>
      <c r="Q73" s="134">
        <v>4.17</v>
      </c>
    </row>
    <row r="74" spans="1:17" customFormat="1">
      <c r="A74" s="112" t="s">
        <v>2607</v>
      </c>
      <c r="B74" s="134">
        <v>8.51</v>
      </c>
      <c r="C74" s="134">
        <v>12.25</v>
      </c>
      <c r="D74" s="134">
        <v>14.58</v>
      </c>
      <c r="E74" s="134">
        <v>4.76</v>
      </c>
      <c r="F74" s="134">
        <v>5.4</v>
      </c>
      <c r="G74" s="134">
        <v>15.51</v>
      </c>
      <c r="H74" s="134">
        <v>7.38</v>
      </c>
      <c r="I74" s="134">
        <v>3.17</v>
      </c>
      <c r="J74" s="134">
        <v>0.68</v>
      </c>
      <c r="K74" s="134">
        <v>260.68</v>
      </c>
      <c r="L74" s="134">
        <v>30.84</v>
      </c>
      <c r="M74" s="134">
        <v>69.069999999999993</v>
      </c>
      <c r="N74" s="134">
        <v>250.8</v>
      </c>
      <c r="O74" s="134">
        <v>0</v>
      </c>
      <c r="P74" s="134">
        <v>0.32</v>
      </c>
      <c r="Q74" s="134">
        <v>4.1399999999999997</v>
      </c>
    </row>
    <row r="75" spans="1:17" customFormat="1">
      <c r="A75" s="112" t="s">
        <v>2608</v>
      </c>
      <c r="B75" s="134">
        <v>8.52</v>
      </c>
      <c r="C75" s="134">
        <v>12.13</v>
      </c>
      <c r="D75" s="134">
        <v>14.53</v>
      </c>
      <c r="E75" s="134">
        <v>4.5599999999999996</v>
      </c>
      <c r="F75" s="134">
        <v>5.32</v>
      </c>
      <c r="G75" s="134">
        <v>15.51</v>
      </c>
      <c r="H75" s="134">
        <v>7.38</v>
      </c>
      <c r="I75" s="134">
        <v>3.09</v>
      </c>
      <c r="J75" s="134">
        <v>1</v>
      </c>
      <c r="K75" s="134">
        <v>264.58999999999997</v>
      </c>
      <c r="L75" s="134">
        <v>30.47</v>
      </c>
      <c r="M75" s="134">
        <v>67.89</v>
      </c>
      <c r="N75" s="134">
        <v>129.5</v>
      </c>
      <c r="O75" s="134">
        <v>0</v>
      </c>
      <c r="P75" s="134">
        <v>0.33</v>
      </c>
      <c r="Q75" s="134">
        <v>4.16</v>
      </c>
    </row>
    <row r="76" spans="1:17" customFormat="1">
      <c r="A76" s="112" t="s">
        <v>2609</v>
      </c>
      <c r="B76" s="134">
        <v>8.41</v>
      </c>
      <c r="C76" s="134">
        <v>11.85</v>
      </c>
      <c r="D76" s="134">
        <v>14.29</v>
      </c>
      <c r="E76" s="134">
        <v>5.25</v>
      </c>
      <c r="F76" s="134">
        <v>5.66</v>
      </c>
      <c r="G76" s="134">
        <v>15.67</v>
      </c>
      <c r="H76" s="134">
        <v>7.11</v>
      </c>
      <c r="I76" s="134">
        <v>3.06</v>
      </c>
      <c r="J76" s="134">
        <v>0.94</v>
      </c>
      <c r="K76" s="134">
        <v>267.64999999999998</v>
      </c>
      <c r="L76" s="134">
        <v>30.06</v>
      </c>
      <c r="M76" s="134">
        <v>68.63</v>
      </c>
      <c r="N76" s="134">
        <v>67.400000000000006</v>
      </c>
      <c r="O76" s="134">
        <v>0</v>
      </c>
      <c r="P76" s="134">
        <v>0.32</v>
      </c>
      <c r="Q76" s="134">
        <v>4.1500000000000004</v>
      </c>
    </row>
    <row r="77" spans="1:17" customFormat="1">
      <c r="A77" s="112" t="s">
        <v>2610</v>
      </c>
      <c r="B77" s="134">
        <v>8.34</v>
      </c>
      <c r="C77" s="134">
        <v>11.56</v>
      </c>
      <c r="D77" s="134">
        <v>14.08</v>
      </c>
      <c r="E77" s="134">
        <v>5.57</v>
      </c>
      <c r="F77" s="134">
        <v>5.99</v>
      </c>
      <c r="G77" s="134">
        <v>17.02</v>
      </c>
      <c r="H77" s="134">
        <v>5.42</v>
      </c>
      <c r="I77" s="134">
        <v>3.03</v>
      </c>
      <c r="J77" s="134">
        <v>0.8</v>
      </c>
      <c r="K77" s="134">
        <v>265.48</v>
      </c>
      <c r="L77" s="134">
        <v>29.78</v>
      </c>
      <c r="M77" s="134">
        <v>69.709999999999994</v>
      </c>
      <c r="N77" s="134">
        <v>72.5</v>
      </c>
      <c r="O77" s="134">
        <v>0</v>
      </c>
      <c r="P77" s="134">
        <v>0.32</v>
      </c>
      <c r="Q77" s="134">
        <v>4.1500000000000004</v>
      </c>
    </row>
    <row r="78" spans="1:17" customFormat="1">
      <c r="A78" s="112" t="s">
        <v>2611</v>
      </c>
      <c r="B78" s="134">
        <v>8.24</v>
      </c>
      <c r="C78" s="134">
        <v>11.53</v>
      </c>
      <c r="D78" s="134">
        <v>13.99</v>
      </c>
      <c r="E78" s="134">
        <v>5.09</v>
      </c>
      <c r="F78" s="134">
        <v>6.53</v>
      </c>
      <c r="G78" s="134">
        <v>17.02</v>
      </c>
      <c r="H78" s="134">
        <v>5.42</v>
      </c>
      <c r="I78" s="134">
        <v>2.97</v>
      </c>
      <c r="J78" s="134">
        <v>0.71</v>
      </c>
      <c r="K78" s="134">
        <v>263.23</v>
      </c>
      <c r="L78" s="134">
        <v>29.61</v>
      </c>
      <c r="M78" s="134">
        <v>72.16</v>
      </c>
      <c r="N78" s="134">
        <v>41.1</v>
      </c>
      <c r="O78" s="134">
        <v>0</v>
      </c>
      <c r="P78" s="134">
        <v>0.31</v>
      </c>
      <c r="Q78" s="134">
        <v>4.13</v>
      </c>
    </row>
    <row r="79" spans="1:17" customFormat="1">
      <c r="A79" s="112" t="s">
        <v>2612</v>
      </c>
      <c r="B79" s="134">
        <v>8.1199999999999992</v>
      </c>
      <c r="C79" s="134">
        <v>11.74</v>
      </c>
      <c r="D79" s="134">
        <v>14</v>
      </c>
      <c r="E79" s="134">
        <v>4.91</v>
      </c>
      <c r="F79" s="134">
        <v>5.94</v>
      </c>
      <c r="G79" s="134">
        <v>17.02</v>
      </c>
      <c r="H79" s="134">
        <v>5.42</v>
      </c>
      <c r="I79" s="134">
        <v>2.91</v>
      </c>
      <c r="J79" s="134">
        <v>0.5</v>
      </c>
      <c r="K79" s="134">
        <v>253.58</v>
      </c>
      <c r="L79" s="134">
        <v>29.2</v>
      </c>
      <c r="M79" s="134">
        <v>73.91</v>
      </c>
      <c r="N79" s="134">
        <v>24.1</v>
      </c>
      <c r="O79" s="134">
        <v>0</v>
      </c>
      <c r="P79" s="134">
        <v>0.3</v>
      </c>
      <c r="Q79" s="134">
        <v>4.1100000000000003</v>
      </c>
    </row>
    <row r="80" spans="1:17" customFormat="1">
      <c r="A80" s="112" t="s">
        <v>2613</v>
      </c>
      <c r="B80" s="134">
        <v>8.27</v>
      </c>
      <c r="C80" s="134">
        <v>11.03</v>
      </c>
      <c r="D80" s="134">
        <v>13.75</v>
      </c>
      <c r="E80" s="134">
        <v>4.8899999999999997</v>
      </c>
      <c r="F80" s="134">
        <v>7.04</v>
      </c>
      <c r="G80" s="134">
        <v>17.47</v>
      </c>
      <c r="H80" s="134">
        <v>5.64</v>
      </c>
      <c r="I80" s="134">
        <v>2.83</v>
      </c>
      <c r="J80" s="134">
        <v>0.52</v>
      </c>
      <c r="K80" s="134">
        <v>267.11</v>
      </c>
      <c r="L80" s="134">
        <v>28.95</v>
      </c>
      <c r="M80" s="134">
        <v>73.540000000000006</v>
      </c>
      <c r="N80" s="134">
        <v>11.9</v>
      </c>
      <c r="O80" s="134">
        <v>0</v>
      </c>
      <c r="P80" s="134">
        <v>0.3</v>
      </c>
      <c r="Q80" s="134">
        <v>4.08</v>
      </c>
    </row>
    <row r="81" spans="1:17" customFormat="1">
      <c r="A81" s="112" t="s">
        <v>2614</v>
      </c>
      <c r="B81" s="134">
        <v>7.99</v>
      </c>
      <c r="C81" s="134">
        <v>11.06</v>
      </c>
      <c r="D81" s="134">
        <v>13.54</v>
      </c>
      <c r="E81" s="134">
        <v>2.74</v>
      </c>
      <c r="F81" s="134">
        <v>7.75</v>
      </c>
      <c r="G81" s="134">
        <v>21.14</v>
      </c>
      <c r="H81" s="134">
        <v>6.93</v>
      </c>
      <c r="I81" s="134">
        <v>2.84</v>
      </c>
      <c r="J81" s="134">
        <v>0.62</v>
      </c>
      <c r="K81" s="134">
        <v>261.33999999999997</v>
      </c>
      <c r="L81" s="134">
        <v>28.73</v>
      </c>
      <c r="M81" s="134">
        <v>73.88</v>
      </c>
      <c r="N81" s="134">
        <v>0.5</v>
      </c>
      <c r="O81" s="134">
        <v>0</v>
      </c>
      <c r="P81" s="134">
        <v>0.28999999999999998</v>
      </c>
      <c r="Q81" s="134">
        <v>4.12</v>
      </c>
    </row>
    <row r="82" spans="1:17" customFormat="1">
      <c r="A82" s="112" t="s">
        <v>2615</v>
      </c>
      <c r="B82" s="134">
        <v>8</v>
      </c>
      <c r="C82" s="134">
        <v>10.62</v>
      </c>
      <c r="D82" s="134">
        <v>13.32</v>
      </c>
      <c r="E82" s="134">
        <v>3.67</v>
      </c>
      <c r="F82" s="134">
        <v>7.46</v>
      </c>
      <c r="G82" s="134">
        <v>21.14</v>
      </c>
      <c r="H82" s="134">
        <v>6.93</v>
      </c>
      <c r="I82" s="134">
        <v>2.77</v>
      </c>
      <c r="J82" s="134">
        <v>0.38</v>
      </c>
      <c r="K82" s="134">
        <v>258.56</v>
      </c>
      <c r="L82" s="134">
        <v>28.41</v>
      </c>
      <c r="M82" s="134">
        <v>76.84</v>
      </c>
      <c r="N82" s="134">
        <v>0</v>
      </c>
      <c r="O82" s="134">
        <v>0</v>
      </c>
      <c r="P82" s="134">
        <v>0.28000000000000003</v>
      </c>
      <c r="Q82" s="134">
        <v>4.0999999999999996</v>
      </c>
    </row>
    <row r="83" spans="1:17" customFormat="1">
      <c r="A83" s="112" t="s">
        <v>2616</v>
      </c>
      <c r="B83" s="134">
        <v>7.87</v>
      </c>
      <c r="C83" s="134">
        <v>10.1</v>
      </c>
      <c r="D83" s="134">
        <v>12.94</v>
      </c>
      <c r="E83" s="134">
        <v>3.46</v>
      </c>
      <c r="F83" s="134">
        <v>7.82</v>
      </c>
      <c r="G83" s="134">
        <v>21.14</v>
      </c>
      <c r="H83" s="134">
        <v>6.93</v>
      </c>
      <c r="I83" s="134">
        <v>2.69</v>
      </c>
      <c r="J83" s="134">
        <v>0.34</v>
      </c>
      <c r="K83" s="134">
        <v>255.74</v>
      </c>
      <c r="L83" s="134">
        <v>28.21</v>
      </c>
      <c r="M83" s="134">
        <v>78.77</v>
      </c>
      <c r="N83" s="134">
        <v>0</v>
      </c>
      <c r="O83" s="134">
        <v>0</v>
      </c>
      <c r="P83" s="134">
        <v>0.28000000000000003</v>
      </c>
      <c r="Q83" s="134">
        <v>4.0999999999999996</v>
      </c>
    </row>
    <row r="84" spans="1:17" customFormat="1">
      <c r="A84" s="112" t="s">
        <v>2617</v>
      </c>
      <c r="B84" s="134">
        <v>8.15</v>
      </c>
      <c r="C84" s="134">
        <v>10.76</v>
      </c>
      <c r="D84" s="134">
        <v>13.51</v>
      </c>
      <c r="E84" s="134">
        <v>3.2</v>
      </c>
      <c r="F84" s="134">
        <v>6.24</v>
      </c>
      <c r="G84" s="134">
        <v>20.98</v>
      </c>
      <c r="H84" s="134">
        <v>6.99</v>
      </c>
      <c r="I84" s="134">
        <v>2.72</v>
      </c>
      <c r="J84" s="134">
        <v>0.36</v>
      </c>
      <c r="K84" s="134">
        <v>255.81</v>
      </c>
      <c r="L84" s="134">
        <v>28.28</v>
      </c>
      <c r="M84" s="134">
        <v>78.89</v>
      </c>
      <c r="N84" s="134">
        <v>0</v>
      </c>
      <c r="O84" s="134">
        <v>0</v>
      </c>
      <c r="P84" s="134">
        <v>0.28999999999999998</v>
      </c>
      <c r="Q84" s="134">
        <v>4.12</v>
      </c>
    </row>
    <row r="85" spans="1:17" customFormat="1">
      <c r="A85" s="112" t="s">
        <v>2618</v>
      </c>
      <c r="B85" s="134">
        <v>8.2899999999999991</v>
      </c>
      <c r="C85" s="134">
        <v>12.96</v>
      </c>
      <c r="D85" s="134">
        <v>14.77</v>
      </c>
      <c r="E85" s="134">
        <v>4.13</v>
      </c>
      <c r="F85" s="134">
        <v>4.1399999999999997</v>
      </c>
      <c r="G85" s="134">
        <v>19.760000000000002</v>
      </c>
      <c r="H85" s="134">
        <v>7.52</v>
      </c>
      <c r="I85" s="134">
        <v>2.73</v>
      </c>
      <c r="J85" s="134">
        <v>0.28000000000000003</v>
      </c>
      <c r="K85" s="134">
        <v>250.46</v>
      </c>
      <c r="L85" s="134">
        <v>27.97</v>
      </c>
      <c r="M85" s="134">
        <v>81.209999999999994</v>
      </c>
      <c r="N85" s="134">
        <v>0</v>
      </c>
      <c r="O85" s="134">
        <v>0</v>
      </c>
      <c r="P85" s="134">
        <v>0.33</v>
      </c>
      <c r="Q85" s="134">
        <v>4.2</v>
      </c>
    </row>
    <row r="86" spans="1:17" customFormat="1">
      <c r="A86" s="112" t="s">
        <v>2619</v>
      </c>
      <c r="B86" s="134">
        <v>8.27</v>
      </c>
      <c r="C86" s="134">
        <v>12.42</v>
      </c>
      <c r="D86" s="134">
        <v>14.47</v>
      </c>
      <c r="E86" s="134">
        <v>4.3499999999999996</v>
      </c>
      <c r="F86" s="134">
        <v>4.84</v>
      </c>
      <c r="G86" s="134">
        <v>19.760000000000002</v>
      </c>
      <c r="H86" s="134">
        <v>7.52</v>
      </c>
      <c r="I86" s="134">
        <v>3</v>
      </c>
      <c r="J86" s="134">
        <v>0.37</v>
      </c>
      <c r="K86" s="134">
        <v>260.76</v>
      </c>
      <c r="L86" s="134">
        <v>27.9</v>
      </c>
      <c r="M86" s="134">
        <v>80.78</v>
      </c>
      <c r="N86" s="134">
        <v>0</v>
      </c>
      <c r="O86" s="134">
        <v>0</v>
      </c>
      <c r="P86" s="134">
        <v>0.32</v>
      </c>
      <c r="Q86" s="134">
        <v>4.2</v>
      </c>
    </row>
    <row r="87" spans="1:17" customFormat="1">
      <c r="A87" s="112" t="s">
        <v>2620</v>
      </c>
      <c r="B87" s="134">
        <v>8.31</v>
      </c>
      <c r="C87" s="134">
        <v>11.35</v>
      </c>
      <c r="D87" s="134">
        <v>13.94</v>
      </c>
      <c r="E87" s="134">
        <v>3.76</v>
      </c>
      <c r="F87" s="134">
        <v>5.6</v>
      </c>
      <c r="G87" s="134">
        <v>19.760000000000002</v>
      </c>
      <c r="H87" s="134">
        <v>7.52</v>
      </c>
      <c r="I87" s="134">
        <v>3.18</v>
      </c>
      <c r="J87" s="134">
        <v>0.37</v>
      </c>
      <c r="K87" s="134">
        <v>262.89</v>
      </c>
      <c r="L87" s="134">
        <v>27.77</v>
      </c>
      <c r="M87" s="134">
        <v>80.98</v>
      </c>
      <c r="N87" s="134">
        <v>0</v>
      </c>
      <c r="O87" s="134">
        <v>0</v>
      </c>
      <c r="P87" s="134">
        <v>0.31</v>
      </c>
      <c r="Q87" s="134">
        <v>4.2</v>
      </c>
    </row>
    <row r="88" spans="1:17" customFormat="1">
      <c r="A88" s="112" t="s">
        <v>2621</v>
      </c>
      <c r="B88" s="134">
        <v>8.15</v>
      </c>
      <c r="C88" s="134">
        <v>10.76</v>
      </c>
      <c r="D88" s="134">
        <v>13.51</v>
      </c>
      <c r="E88" s="134">
        <v>3.77</v>
      </c>
      <c r="F88" s="134">
        <v>6.36</v>
      </c>
      <c r="G88" s="134">
        <v>19.54</v>
      </c>
      <c r="H88" s="134">
        <v>7.23</v>
      </c>
      <c r="I88" s="134">
        <v>3.13</v>
      </c>
      <c r="J88" s="134">
        <v>0.49</v>
      </c>
      <c r="K88" s="134">
        <v>259.08999999999997</v>
      </c>
      <c r="L88" s="134">
        <v>27.7</v>
      </c>
      <c r="M88" s="134">
        <v>80.34</v>
      </c>
      <c r="N88" s="134">
        <v>0</v>
      </c>
      <c r="O88" s="134">
        <v>0</v>
      </c>
      <c r="P88" s="134">
        <v>0.3</v>
      </c>
      <c r="Q88" s="134">
        <v>4.18</v>
      </c>
    </row>
    <row r="89" spans="1:17" customFormat="1">
      <c r="A89" s="112" t="s">
        <v>2622</v>
      </c>
      <c r="B89" s="134">
        <v>8.56</v>
      </c>
      <c r="C89" s="134">
        <v>11.15</v>
      </c>
      <c r="D89" s="134">
        <v>14.04</v>
      </c>
      <c r="E89" s="134">
        <v>3.79</v>
      </c>
      <c r="F89" s="134">
        <v>5.82</v>
      </c>
      <c r="G89" s="134">
        <v>17.809999999999999</v>
      </c>
      <c r="H89" s="134">
        <v>5.58</v>
      </c>
      <c r="I89" s="134">
        <v>2.97</v>
      </c>
      <c r="J89" s="134">
        <v>0.47</v>
      </c>
      <c r="K89" s="134">
        <v>261.82</v>
      </c>
      <c r="L89" s="134">
        <v>27.72</v>
      </c>
      <c r="M89" s="134">
        <v>79.75</v>
      </c>
      <c r="N89" s="134">
        <v>0</v>
      </c>
      <c r="O89" s="134">
        <v>0</v>
      </c>
      <c r="P89" s="134">
        <v>0.3</v>
      </c>
      <c r="Q89" s="134">
        <v>4.1900000000000004</v>
      </c>
    </row>
    <row r="90" spans="1:17" customFormat="1">
      <c r="A90" s="112" t="s">
        <v>2623</v>
      </c>
      <c r="B90" s="134">
        <v>8.93</v>
      </c>
      <c r="C90" s="134">
        <v>13.41</v>
      </c>
      <c r="D90" s="134">
        <v>15.52</v>
      </c>
      <c r="E90" s="134">
        <v>4.1100000000000003</v>
      </c>
      <c r="F90" s="134">
        <v>3.11</v>
      </c>
      <c r="G90" s="134">
        <v>17.809999999999999</v>
      </c>
      <c r="H90" s="134">
        <v>5.58</v>
      </c>
      <c r="I90" s="134">
        <v>2.92</v>
      </c>
      <c r="J90" s="134">
        <v>0.6</v>
      </c>
      <c r="K90" s="134">
        <v>262.19</v>
      </c>
      <c r="L90" s="134">
        <v>27.72</v>
      </c>
      <c r="M90" s="134">
        <v>78.94</v>
      </c>
      <c r="N90" s="134">
        <v>0</v>
      </c>
      <c r="O90" s="134">
        <v>0</v>
      </c>
      <c r="P90" s="134">
        <v>0.32</v>
      </c>
      <c r="Q90" s="134">
        <v>4.24</v>
      </c>
    </row>
    <row r="91" spans="1:17" customFormat="1">
      <c r="A91" s="112" t="s">
        <v>2624</v>
      </c>
      <c r="B91" s="134">
        <v>8.8699999999999992</v>
      </c>
      <c r="C91" s="134">
        <v>13.25</v>
      </c>
      <c r="D91" s="134">
        <v>15.39</v>
      </c>
      <c r="E91" s="134">
        <v>4.09</v>
      </c>
      <c r="F91" s="134">
        <v>3.44</v>
      </c>
      <c r="G91" s="134">
        <v>17.809999999999999</v>
      </c>
      <c r="H91" s="134">
        <v>5.58</v>
      </c>
      <c r="I91" s="134">
        <v>3.03</v>
      </c>
      <c r="J91" s="134">
        <v>0.59</v>
      </c>
      <c r="K91" s="134">
        <v>258.86</v>
      </c>
      <c r="L91" s="134">
        <v>27.63</v>
      </c>
      <c r="M91" s="134">
        <v>79.34</v>
      </c>
      <c r="N91" s="134">
        <v>0</v>
      </c>
      <c r="O91" s="134">
        <v>0</v>
      </c>
      <c r="P91" s="134">
        <v>0.34</v>
      </c>
      <c r="Q91" s="134">
        <v>4.24</v>
      </c>
    </row>
    <row r="92" spans="1:17" customFormat="1">
      <c r="A92" s="112" t="s">
        <v>2625</v>
      </c>
      <c r="B92" s="134">
        <v>8.94</v>
      </c>
      <c r="C92" s="134">
        <v>11.91</v>
      </c>
      <c r="D92" s="134">
        <v>14.74</v>
      </c>
      <c r="E92" s="134">
        <v>3.7</v>
      </c>
      <c r="F92" s="134">
        <v>4.59</v>
      </c>
      <c r="G92" s="134">
        <v>18.5</v>
      </c>
      <c r="H92" s="134">
        <v>5.55</v>
      </c>
      <c r="I92" s="134">
        <v>3.21</v>
      </c>
      <c r="J92" s="134">
        <v>0.49</v>
      </c>
      <c r="K92" s="134">
        <v>259.8</v>
      </c>
      <c r="L92" s="134">
        <v>27.54</v>
      </c>
      <c r="M92" s="134">
        <v>79.94</v>
      </c>
      <c r="N92" s="134">
        <v>0</v>
      </c>
      <c r="O92" s="134">
        <v>0</v>
      </c>
      <c r="P92" s="134">
        <v>0.33</v>
      </c>
      <c r="Q92" s="134">
        <v>4.22</v>
      </c>
    </row>
    <row r="93" spans="1:17" customFormat="1">
      <c r="A93" s="112" t="s">
        <v>2626</v>
      </c>
      <c r="B93" s="134">
        <v>8.94</v>
      </c>
      <c r="C93" s="134">
        <v>11.31</v>
      </c>
      <c r="D93" s="134">
        <v>14.43</v>
      </c>
      <c r="E93" s="134">
        <v>3.39</v>
      </c>
      <c r="F93" s="134">
        <v>5.27</v>
      </c>
      <c r="G93" s="134">
        <v>23.99</v>
      </c>
      <c r="H93" s="134">
        <v>5.3</v>
      </c>
      <c r="I93" s="134">
        <v>3.14</v>
      </c>
      <c r="J93" s="134">
        <v>0.56999999999999995</v>
      </c>
      <c r="K93" s="134">
        <v>262.05</v>
      </c>
      <c r="L93" s="134">
        <v>27.43</v>
      </c>
      <c r="M93" s="134">
        <v>80.489999999999995</v>
      </c>
      <c r="N93" s="134">
        <v>0</v>
      </c>
      <c r="O93" s="134">
        <v>0</v>
      </c>
      <c r="P93" s="134">
        <v>0.31</v>
      </c>
      <c r="Q93" s="134">
        <v>4.2</v>
      </c>
    </row>
    <row r="94" spans="1:17" customFormat="1">
      <c r="A94" s="112" t="s">
        <v>2627</v>
      </c>
      <c r="B94" s="134">
        <v>9.26</v>
      </c>
      <c r="C94" s="134">
        <v>11.22</v>
      </c>
      <c r="D94" s="134">
        <v>14.64</v>
      </c>
      <c r="E94" s="134">
        <v>3.36</v>
      </c>
      <c r="F94" s="134">
        <v>4.76</v>
      </c>
      <c r="G94" s="134">
        <v>23.99</v>
      </c>
      <c r="H94" s="134">
        <v>5.3</v>
      </c>
      <c r="I94" s="134">
        <v>3.05</v>
      </c>
      <c r="J94" s="134">
        <v>0.38</v>
      </c>
      <c r="K94" s="134">
        <v>256.08</v>
      </c>
      <c r="L94" s="134">
        <v>27.26</v>
      </c>
      <c r="M94" s="134">
        <v>81.819999999999993</v>
      </c>
      <c r="N94" s="134">
        <v>0</v>
      </c>
      <c r="O94" s="134">
        <v>0</v>
      </c>
      <c r="P94" s="134">
        <v>0.28999999999999998</v>
      </c>
      <c r="Q94" s="134">
        <v>4.22</v>
      </c>
    </row>
    <row r="95" spans="1:17" customFormat="1">
      <c r="A95" s="112" t="s">
        <v>2628</v>
      </c>
      <c r="B95" s="134">
        <v>9.5399999999999991</v>
      </c>
      <c r="C95" s="134">
        <v>13.44</v>
      </c>
      <c r="D95" s="134">
        <v>16.02</v>
      </c>
      <c r="E95" s="134">
        <v>4.22</v>
      </c>
      <c r="F95" s="134">
        <v>2.71</v>
      </c>
      <c r="G95" s="134">
        <v>23.99</v>
      </c>
      <c r="H95" s="134">
        <v>5.3</v>
      </c>
      <c r="I95" s="134">
        <v>2.96</v>
      </c>
      <c r="J95" s="134">
        <v>0.47</v>
      </c>
      <c r="K95" s="134">
        <v>258.13</v>
      </c>
      <c r="L95" s="134">
        <v>27.22</v>
      </c>
      <c r="M95" s="134">
        <v>82.01</v>
      </c>
      <c r="N95" s="134">
        <v>0</v>
      </c>
      <c r="O95" s="134">
        <v>0</v>
      </c>
      <c r="P95" s="134">
        <v>0.33</v>
      </c>
      <c r="Q95" s="134">
        <v>4.28</v>
      </c>
    </row>
    <row r="96" spans="1:17" customFormat="1">
      <c r="A96" s="112" t="s">
        <v>2629</v>
      </c>
      <c r="B96" s="134">
        <v>9.5500000000000007</v>
      </c>
      <c r="C96" s="134">
        <v>13.09</v>
      </c>
      <c r="D96" s="134">
        <v>15.85</v>
      </c>
      <c r="E96" s="134">
        <v>4.33</v>
      </c>
      <c r="F96" s="134">
        <v>3.29</v>
      </c>
      <c r="G96" s="134">
        <v>23.97</v>
      </c>
      <c r="H96" s="134">
        <v>5.13</v>
      </c>
      <c r="I96" s="134">
        <v>3.04</v>
      </c>
      <c r="J96" s="134">
        <v>0.56999999999999995</v>
      </c>
      <c r="K96" s="134">
        <v>260.97000000000003</v>
      </c>
      <c r="L96" s="134">
        <v>27.18</v>
      </c>
      <c r="M96" s="134">
        <v>82.22</v>
      </c>
      <c r="N96" s="134">
        <v>0</v>
      </c>
      <c r="O96" s="134">
        <v>0</v>
      </c>
      <c r="P96" s="134">
        <v>0.33</v>
      </c>
      <c r="Q96" s="134">
        <v>4.3099999999999996</v>
      </c>
    </row>
    <row r="97" spans="1:22" customFormat="1">
      <c r="A97" s="112" t="s">
        <v>2630</v>
      </c>
      <c r="B97" s="134">
        <v>9.4</v>
      </c>
      <c r="C97" s="134">
        <v>12.14</v>
      </c>
      <c r="D97" s="134">
        <v>15.23</v>
      </c>
      <c r="E97" s="134">
        <v>3.58</v>
      </c>
      <c r="F97" s="134">
        <v>4.26</v>
      </c>
      <c r="G97" s="134">
        <v>23.81</v>
      </c>
      <c r="H97" s="134">
        <v>4.03</v>
      </c>
      <c r="I97" s="134">
        <v>3.19</v>
      </c>
      <c r="J97" s="134">
        <v>0.43</v>
      </c>
      <c r="K97" s="134">
        <v>262.64</v>
      </c>
      <c r="L97" s="134">
        <v>27.11</v>
      </c>
      <c r="M97" s="134">
        <v>83.16</v>
      </c>
      <c r="N97" s="134">
        <v>0</v>
      </c>
      <c r="O97" s="134">
        <v>0</v>
      </c>
      <c r="P97" s="134">
        <v>0.32</v>
      </c>
      <c r="Q97" s="134">
        <v>4.29</v>
      </c>
    </row>
    <row r="98" spans="1:22" customFormat="1">
      <c r="A98" s="112" t="s">
        <v>2631</v>
      </c>
      <c r="B98" s="134">
        <v>9.51</v>
      </c>
      <c r="C98" s="134">
        <v>11.72</v>
      </c>
      <c r="D98" s="134">
        <v>15.1</v>
      </c>
      <c r="E98" s="134">
        <v>4.04</v>
      </c>
      <c r="F98" s="134">
        <v>4.38</v>
      </c>
      <c r="G98" s="134">
        <v>23.81</v>
      </c>
      <c r="H98" s="134">
        <v>4.03</v>
      </c>
      <c r="I98" s="134">
        <v>3.06</v>
      </c>
      <c r="J98" s="134">
        <v>0.53</v>
      </c>
      <c r="K98" s="134">
        <v>255.7</v>
      </c>
      <c r="L98" s="134">
        <v>26.94</v>
      </c>
      <c r="M98" s="134">
        <v>83.43</v>
      </c>
      <c r="N98" s="134">
        <v>0</v>
      </c>
      <c r="O98" s="134">
        <v>0</v>
      </c>
      <c r="P98" s="134">
        <v>0.3</v>
      </c>
      <c r="Q98" s="134">
        <v>4.26</v>
      </c>
    </row>
    <row r="99" spans="1:22" customFormat="1">
      <c r="A99" s="112" t="s">
        <v>2632</v>
      </c>
      <c r="B99" s="134">
        <v>9.69</v>
      </c>
      <c r="C99" s="134">
        <v>11.87</v>
      </c>
      <c r="D99" s="134">
        <v>15.32</v>
      </c>
      <c r="E99" s="134">
        <v>3.9</v>
      </c>
      <c r="F99" s="134">
        <v>4.05</v>
      </c>
      <c r="G99" s="134">
        <v>23.81</v>
      </c>
      <c r="H99" s="134">
        <v>4.03</v>
      </c>
      <c r="I99" s="134">
        <v>2.98</v>
      </c>
      <c r="J99" s="134">
        <v>0.72</v>
      </c>
      <c r="K99" s="134">
        <v>262.08</v>
      </c>
      <c r="L99" s="134">
        <v>26.81</v>
      </c>
      <c r="M99" s="134">
        <v>81.489999999999995</v>
      </c>
      <c r="N99" s="134">
        <v>0</v>
      </c>
      <c r="O99" s="134">
        <v>0</v>
      </c>
      <c r="P99" s="134">
        <v>0.28999999999999998</v>
      </c>
      <c r="Q99" s="134">
        <v>4.2300000000000004</v>
      </c>
    </row>
    <row r="100" spans="1:22" customFormat="1">
      <c r="A100" s="112" t="s">
        <v>2633</v>
      </c>
      <c r="B100" s="134">
        <v>9.86</v>
      </c>
      <c r="C100" s="134">
        <v>13.71</v>
      </c>
      <c r="D100" s="134">
        <v>16.420000000000002</v>
      </c>
      <c r="E100" s="134">
        <v>3.94</v>
      </c>
      <c r="F100" s="134">
        <v>2.4500000000000002</v>
      </c>
      <c r="G100" s="134">
        <v>23.11</v>
      </c>
      <c r="H100" s="134">
        <v>4.2</v>
      </c>
      <c r="I100" s="134">
        <v>2.98</v>
      </c>
      <c r="J100" s="134">
        <v>0.59</v>
      </c>
      <c r="K100" s="134">
        <v>261.72000000000003</v>
      </c>
      <c r="L100" s="134">
        <v>26.8</v>
      </c>
      <c r="M100" s="134">
        <v>80.12</v>
      </c>
      <c r="N100" s="134">
        <v>0</v>
      </c>
      <c r="O100" s="134">
        <v>0</v>
      </c>
      <c r="P100" s="134">
        <v>0.32</v>
      </c>
      <c r="Q100" s="134">
        <v>4.2699999999999996</v>
      </c>
    </row>
    <row r="101" spans="1:22" customFormat="1">
      <c r="A101" s="112" t="s">
        <v>2634</v>
      </c>
      <c r="B101" s="134">
        <v>9.9700000000000006</v>
      </c>
      <c r="C101" s="134">
        <v>13.3</v>
      </c>
      <c r="D101" s="134">
        <v>16.3</v>
      </c>
      <c r="E101" s="134">
        <v>4.24</v>
      </c>
      <c r="F101" s="134">
        <v>2.89</v>
      </c>
      <c r="G101" s="134">
        <v>17.53</v>
      </c>
      <c r="H101" s="134">
        <v>5.27</v>
      </c>
      <c r="I101" s="134">
        <v>3.02</v>
      </c>
      <c r="J101" s="134">
        <v>0.49</v>
      </c>
      <c r="K101" s="134">
        <v>259.73</v>
      </c>
      <c r="L101" s="134">
        <v>26.64</v>
      </c>
      <c r="M101" s="134">
        <v>81.819999999999993</v>
      </c>
      <c r="N101" s="134">
        <v>0</v>
      </c>
      <c r="O101" s="134">
        <v>0</v>
      </c>
      <c r="P101" s="134">
        <v>0.32</v>
      </c>
      <c r="Q101" s="134">
        <v>4.3</v>
      </c>
    </row>
    <row r="102" spans="1:22" customFormat="1">
      <c r="A102" s="112" t="s">
        <v>2635</v>
      </c>
      <c r="B102" s="134">
        <v>9.9</v>
      </c>
      <c r="C102" s="134">
        <v>12.76</v>
      </c>
      <c r="D102" s="134">
        <v>15.96</v>
      </c>
      <c r="E102" s="134">
        <v>3.95</v>
      </c>
      <c r="F102" s="134">
        <v>3.7</v>
      </c>
      <c r="G102" s="134">
        <v>17.53</v>
      </c>
      <c r="H102" s="134">
        <v>5.27</v>
      </c>
      <c r="I102" s="134">
        <v>3.13</v>
      </c>
      <c r="J102" s="134">
        <v>0.71</v>
      </c>
      <c r="K102" s="134">
        <v>263.94</v>
      </c>
      <c r="L102" s="134">
        <v>26.58</v>
      </c>
      <c r="M102" s="134">
        <v>82.74</v>
      </c>
      <c r="N102" s="134">
        <v>0</v>
      </c>
      <c r="O102" s="134">
        <v>0</v>
      </c>
      <c r="P102" s="134">
        <v>0.3</v>
      </c>
      <c r="Q102" s="134">
        <v>4.28</v>
      </c>
    </row>
    <row r="103" spans="1:22" customFormat="1">
      <c r="A103" s="112" t="s">
        <v>2636</v>
      </c>
      <c r="B103" s="134">
        <v>9.86</v>
      </c>
      <c r="C103" s="134">
        <v>12.1</v>
      </c>
      <c r="D103" s="134">
        <v>15.58</v>
      </c>
      <c r="E103" s="134">
        <v>4.26</v>
      </c>
      <c r="F103" s="134">
        <v>3.95</v>
      </c>
      <c r="G103" s="134">
        <v>17.53</v>
      </c>
      <c r="H103" s="134">
        <v>5.27</v>
      </c>
      <c r="I103" s="134">
        <v>3.03</v>
      </c>
      <c r="J103" s="134">
        <v>0.62</v>
      </c>
      <c r="K103" s="134">
        <v>262.3</v>
      </c>
      <c r="L103" s="134">
        <v>26.5</v>
      </c>
      <c r="M103" s="134">
        <v>83.66</v>
      </c>
      <c r="N103" s="134">
        <v>0</v>
      </c>
      <c r="O103" s="134">
        <v>0</v>
      </c>
      <c r="P103" s="134">
        <v>0.28999999999999998</v>
      </c>
      <c r="Q103" s="134">
        <v>4.2699999999999996</v>
      </c>
    </row>
    <row r="104" spans="1:22" customFormat="1">
      <c r="A104" s="112" t="s">
        <v>2637</v>
      </c>
      <c r="B104" s="134">
        <v>9.93</v>
      </c>
      <c r="C104" s="134">
        <v>12.35</v>
      </c>
      <c r="D104" s="134">
        <v>15.77</v>
      </c>
      <c r="E104" s="134">
        <v>3.7</v>
      </c>
      <c r="F104" s="134">
        <v>3.37</v>
      </c>
      <c r="G104" s="134">
        <v>17.37</v>
      </c>
      <c r="H104" s="134">
        <v>5.34</v>
      </c>
      <c r="I104" s="134">
        <v>2.96</v>
      </c>
      <c r="J104" s="134">
        <v>0.62</v>
      </c>
      <c r="K104" s="134">
        <v>265.29000000000002</v>
      </c>
      <c r="L104" s="134">
        <v>26.34</v>
      </c>
      <c r="M104" s="134">
        <v>84.92</v>
      </c>
      <c r="N104" s="134">
        <v>0</v>
      </c>
      <c r="O104" s="134">
        <v>0</v>
      </c>
      <c r="P104" s="134">
        <v>0.28000000000000003</v>
      </c>
      <c r="Q104" s="134">
        <v>4.25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7.87</v>
      </c>
      <c r="C106" s="183">
        <f>MIN(C9:C104)</f>
        <v>10.1</v>
      </c>
      <c r="D106" s="183">
        <f t="shared" ref="D106:Q106" si="0">MIN(D9:D104)</f>
        <v>12.94</v>
      </c>
      <c r="E106" s="183">
        <f t="shared" si="0"/>
        <v>2.4500000000000002</v>
      </c>
      <c r="F106" s="183">
        <f t="shared" si="0"/>
        <v>1.69</v>
      </c>
      <c r="G106" s="183">
        <f t="shared" si="0"/>
        <v>5.09</v>
      </c>
      <c r="H106" s="183">
        <f t="shared" si="0"/>
        <v>1.4</v>
      </c>
      <c r="I106" s="183">
        <f t="shared" si="0"/>
        <v>2.69</v>
      </c>
      <c r="J106" s="183">
        <f t="shared" si="0"/>
        <v>0.13</v>
      </c>
      <c r="K106" s="183">
        <f t="shared" si="0"/>
        <v>220.23</v>
      </c>
      <c r="L106" s="183">
        <f t="shared" si="0"/>
        <v>24.95</v>
      </c>
      <c r="M106" s="183">
        <f t="shared" si="0"/>
        <v>66.91</v>
      </c>
      <c r="N106" s="183">
        <f t="shared" si="0"/>
        <v>0</v>
      </c>
      <c r="O106" s="183">
        <f t="shared" si="0"/>
        <v>0</v>
      </c>
      <c r="P106" s="183">
        <f t="shared" si="0"/>
        <v>0.28000000000000003</v>
      </c>
      <c r="Q106" s="183">
        <f t="shared" si="0"/>
        <v>4.08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13.87</v>
      </c>
      <c r="C107" s="184">
        <f t="shared" ref="C107:Q107" si="1">MAX(C9:C104)</f>
        <v>15.91</v>
      </c>
      <c r="D107" s="184">
        <f t="shared" si="1"/>
        <v>20.59</v>
      </c>
      <c r="E107" s="184">
        <f t="shared" si="1"/>
        <v>6.29</v>
      </c>
      <c r="F107" s="184">
        <f t="shared" si="1"/>
        <v>7.82</v>
      </c>
      <c r="G107" s="184">
        <f t="shared" si="1"/>
        <v>23.99</v>
      </c>
      <c r="H107" s="184">
        <f t="shared" si="1"/>
        <v>7.62</v>
      </c>
      <c r="I107" s="184">
        <f t="shared" si="1"/>
        <v>5.04</v>
      </c>
      <c r="J107" s="184">
        <f t="shared" si="1"/>
        <v>1.1100000000000001</v>
      </c>
      <c r="K107" s="184">
        <f t="shared" si="1"/>
        <v>271.58</v>
      </c>
      <c r="L107" s="184">
        <f t="shared" si="1"/>
        <v>31.5</v>
      </c>
      <c r="M107" s="184">
        <f t="shared" si="1"/>
        <v>96.81</v>
      </c>
      <c r="N107" s="184">
        <f t="shared" si="1"/>
        <v>788.7</v>
      </c>
      <c r="O107" s="184">
        <f t="shared" si="1"/>
        <v>0.2</v>
      </c>
      <c r="P107" s="184">
        <f t="shared" si="1"/>
        <v>0.55000000000000004</v>
      </c>
      <c r="Q107" s="184">
        <f t="shared" si="1"/>
        <v>4.75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11.153541666666662</v>
      </c>
      <c r="C108" s="183">
        <f t="shared" ref="C108:Q108" si="2">AVERAGE(C9:C104)</f>
        <v>13.157083333333333</v>
      </c>
      <c r="D108" s="183">
        <f t="shared" si="2"/>
        <v>17.169999999999998</v>
      </c>
      <c r="E108" s="183">
        <f t="shared" si="2"/>
        <v>4.6103124999999991</v>
      </c>
      <c r="F108" s="183">
        <f t="shared" si="2"/>
        <v>3.6718749999999996</v>
      </c>
      <c r="G108" s="183">
        <f t="shared" si="2"/>
        <v>14.489270833333324</v>
      </c>
      <c r="H108" s="183">
        <f t="shared" si="2"/>
        <v>4.6860416666666653</v>
      </c>
      <c r="I108" s="183">
        <f t="shared" si="2"/>
        <v>3.569999999999999</v>
      </c>
      <c r="J108" s="183">
        <f t="shared" si="2"/>
        <v>0.5819791666666666</v>
      </c>
      <c r="K108" s="183">
        <f t="shared" si="2"/>
        <v>258.89291666666679</v>
      </c>
      <c r="L108" s="183">
        <f t="shared" si="2"/>
        <v>27.586249999999989</v>
      </c>
      <c r="M108" s="183">
        <f t="shared" si="2"/>
        <v>83.527291666666642</v>
      </c>
      <c r="N108" s="183">
        <f t="shared" si="2"/>
        <v>145.24583333333331</v>
      </c>
      <c r="O108" s="183">
        <f t="shared" si="2"/>
        <v>2.0833333333333333E-3</v>
      </c>
      <c r="P108" s="183">
        <f t="shared" si="2"/>
        <v>0.37677083333333328</v>
      </c>
      <c r="Q108" s="183">
        <f t="shared" si="2"/>
        <v>4.4172916666666682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2.1082649285068524</v>
      </c>
      <c r="C109" s="183">
        <f t="shared" ref="C109:Q109" si="3">STDEV(C9:C104)</f>
        <v>1.2620809188059237</v>
      </c>
      <c r="D109" s="183">
        <f t="shared" si="3"/>
        <v>2.2383523075315264</v>
      </c>
      <c r="E109" s="183">
        <f t="shared" si="3"/>
        <v>0.86848501259680455</v>
      </c>
      <c r="F109" s="183">
        <f t="shared" si="3"/>
        <v>1.4037613476131314</v>
      </c>
      <c r="G109" s="183">
        <f t="shared" si="3"/>
        <v>5.2726063154246949</v>
      </c>
      <c r="H109" s="183">
        <f t="shared" si="3"/>
        <v>1.9526686080803515</v>
      </c>
      <c r="I109" s="183">
        <f t="shared" si="3"/>
        <v>0.56272644564796304</v>
      </c>
      <c r="J109" s="183">
        <f t="shared" si="3"/>
        <v>0.21311039783799082</v>
      </c>
      <c r="K109" s="183">
        <f t="shared" si="3"/>
        <v>7.214786704601015</v>
      </c>
      <c r="L109" s="183">
        <f t="shared" si="3"/>
        <v>2.0874927040530089</v>
      </c>
      <c r="M109" s="183">
        <f t="shared" si="3"/>
        <v>9.583196201154772</v>
      </c>
      <c r="N109" s="183">
        <f t="shared" si="3"/>
        <v>202.36756860861232</v>
      </c>
      <c r="O109" s="183">
        <f t="shared" si="3"/>
        <v>2.0412414523193152E-2</v>
      </c>
      <c r="P109" s="183">
        <f t="shared" si="3"/>
        <v>6.5010036337179639E-2</v>
      </c>
      <c r="Q109" s="183">
        <f t="shared" si="3"/>
        <v>0.20714845511403551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26/08/2023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2638</v>
      </c>
      <c r="B9" s="134">
        <v>7.81</v>
      </c>
      <c r="C9" s="134">
        <v>14.4</v>
      </c>
      <c r="D9" s="134">
        <v>15.14</v>
      </c>
      <c r="E9" s="134">
        <v>4.0999999999999996</v>
      </c>
      <c r="F9" s="134">
        <v>2.1</v>
      </c>
      <c r="G9" s="134">
        <v>16.13</v>
      </c>
      <c r="H9" s="134">
        <v>5.75</v>
      </c>
      <c r="I9" s="134">
        <v>2.89</v>
      </c>
      <c r="J9" s="134">
        <v>0.6</v>
      </c>
      <c r="K9" s="134">
        <v>262.75</v>
      </c>
      <c r="L9" s="134">
        <v>26.19</v>
      </c>
      <c r="M9" s="134">
        <v>86.08</v>
      </c>
      <c r="N9" s="134">
        <v>0</v>
      </c>
      <c r="O9" s="134">
        <v>0</v>
      </c>
      <c r="P9" s="134">
        <v>0.32</v>
      </c>
      <c r="Q9" s="134">
        <v>4.3600000000000003</v>
      </c>
    </row>
    <row r="10" spans="1:21" customFormat="1">
      <c r="A10" s="112" t="s">
        <v>2639</v>
      </c>
      <c r="B10" s="134">
        <v>7.51</v>
      </c>
      <c r="C10" s="134">
        <v>13.49</v>
      </c>
      <c r="D10" s="134">
        <v>14.42</v>
      </c>
      <c r="E10" s="134">
        <v>4.24</v>
      </c>
      <c r="F10" s="134">
        <v>3.02</v>
      </c>
      <c r="G10" s="134">
        <v>16.13</v>
      </c>
      <c r="H10" s="134">
        <v>5.75</v>
      </c>
      <c r="I10" s="134">
        <v>2.94</v>
      </c>
      <c r="J10" s="134">
        <v>0.43</v>
      </c>
      <c r="K10" s="134">
        <v>258.05</v>
      </c>
      <c r="L10" s="134">
        <v>26.05</v>
      </c>
      <c r="M10" s="134">
        <v>87.2</v>
      </c>
      <c r="N10" s="134">
        <v>0</v>
      </c>
      <c r="O10" s="134">
        <v>0</v>
      </c>
      <c r="P10" s="134">
        <v>0.31</v>
      </c>
      <c r="Q10" s="134">
        <v>4.33</v>
      </c>
    </row>
    <row r="11" spans="1:21" customFormat="1">
      <c r="A11" s="112" t="s">
        <v>2640</v>
      </c>
      <c r="B11" s="134">
        <v>7.65</v>
      </c>
      <c r="C11" s="134">
        <v>12.29</v>
      </c>
      <c r="D11" s="134">
        <v>13.91</v>
      </c>
      <c r="E11" s="134">
        <v>4.2300000000000004</v>
      </c>
      <c r="F11" s="134">
        <v>3.57</v>
      </c>
      <c r="G11" s="134">
        <v>16.13</v>
      </c>
      <c r="H11" s="134">
        <v>5.75</v>
      </c>
      <c r="I11" s="134">
        <v>3.02</v>
      </c>
      <c r="J11" s="134">
        <v>0.44</v>
      </c>
      <c r="K11" s="134">
        <v>258.52</v>
      </c>
      <c r="L11" s="134">
        <v>25.94</v>
      </c>
      <c r="M11" s="134">
        <v>88.27</v>
      </c>
      <c r="N11" s="134">
        <v>0</v>
      </c>
      <c r="O11" s="134">
        <v>0</v>
      </c>
      <c r="P11" s="134">
        <v>0.28999999999999998</v>
      </c>
      <c r="Q11" s="134">
        <v>4.3</v>
      </c>
    </row>
    <row r="12" spans="1:21" customFormat="1">
      <c r="A12" s="112" t="s">
        <v>2641</v>
      </c>
      <c r="B12" s="134">
        <v>7.71</v>
      </c>
      <c r="C12" s="134">
        <v>11.73</v>
      </c>
      <c r="D12" s="134">
        <v>13.66</v>
      </c>
      <c r="E12" s="134">
        <v>3.83</v>
      </c>
      <c r="F12" s="134">
        <v>3.63</v>
      </c>
      <c r="G12" s="134">
        <v>16.16</v>
      </c>
      <c r="H12" s="134">
        <v>5.53</v>
      </c>
      <c r="I12" s="134">
        <v>2.93</v>
      </c>
      <c r="J12" s="134">
        <v>0.39</v>
      </c>
      <c r="K12" s="134">
        <v>260.74</v>
      </c>
      <c r="L12" s="134">
        <v>25.86</v>
      </c>
      <c r="M12" s="134">
        <v>89.19</v>
      </c>
      <c r="N12" s="134">
        <v>0</v>
      </c>
      <c r="O12" s="134">
        <v>0</v>
      </c>
      <c r="P12" s="134">
        <v>0.28000000000000003</v>
      </c>
      <c r="Q12" s="134">
        <v>4.2699999999999996</v>
      </c>
    </row>
    <row r="13" spans="1:21" customFormat="1">
      <c r="A13" s="112" t="s">
        <v>2642</v>
      </c>
      <c r="B13" s="134">
        <v>7.91</v>
      </c>
      <c r="C13" s="134">
        <v>13.82</v>
      </c>
      <c r="D13" s="134">
        <v>14.92</v>
      </c>
      <c r="E13" s="134">
        <v>4.09</v>
      </c>
      <c r="F13" s="134">
        <v>1.99</v>
      </c>
      <c r="G13" s="134">
        <v>16.399999999999999</v>
      </c>
      <c r="H13" s="134">
        <v>4.1500000000000004</v>
      </c>
      <c r="I13" s="134">
        <v>2.86</v>
      </c>
      <c r="J13" s="134">
        <v>0.5</v>
      </c>
      <c r="K13" s="134">
        <v>259.62</v>
      </c>
      <c r="L13" s="134">
        <v>25.76</v>
      </c>
      <c r="M13" s="134">
        <v>90.15</v>
      </c>
      <c r="N13" s="134">
        <v>0</v>
      </c>
      <c r="O13" s="134">
        <v>0</v>
      </c>
      <c r="P13" s="134">
        <v>0.31</v>
      </c>
      <c r="Q13" s="134">
        <v>4.3600000000000003</v>
      </c>
    </row>
    <row r="14" spans="1:21" customFormat="1">
      <c r="A14" s="112" t="s">
        <v>2643</v>
      </c>
      <c r="B14" s="134">
        <v>7.8</v>
      </c>
      <c r="C14" s="134">
        <v>13.91</v>
      </c>
      <c r="D14" s="134">
        <v>14.87</v>
      </c>
      <c r="E14" s="134">
        <v>4.66</v>
      </c>
      <c r="F14" s="134">
        <v>2.17</v>
      </c>
      <c r="G14" s="134">
        <v>16.399999999999999</v>
      </c>
      <c r="H14" s="134">
        <v>4.1500000000000004</v>
      </c>
      <c r="I14" s="134">
        <v>2.85</v>
      </c>
      <c r="J14" s="134">
        <v>0.53</v>
      </c>
      <c r="K14" s="134">
        <v>263.89999999999998</v>
      </c>
      <c r="L14" s="134">
        <v>25.76</v>
      </c>
      <c r="M14" s="134">
        <v>90.52</v>
      </c>
      <c r="N14" s="134">
        <v>0</v>
      </c>
      <c r="O14" s="134">
        <v>0</v>
      </c>
      <c r="P14" s="134">
        <v>0.32</v>
      </c>
      <c r="Q14" s="134">
        <v>4.3899999999999997</v>
      </c>
    </row>
    <row r="15" spans="1:21" customFormat="1">
      <c r="A15" s="112" t="s">
        <v>2644</v>
      </c>
      <c r="B15" s="134">
        <v>7.97</v>
      </c>
      <c r="C15" s="134">
        <v>12.22</v>
      </c>
      <c r="D15" s="134">
        <v>14.13</v>
      </c>
      <c r="E15" s="134">
        <v>4.37</v>
      </c>
      <c r="F15" s="134">
        <v>3.25</v>
      </c>
      <c r="G15" s="134">
        <v>16.399999999999999</v>
      </c>
      <c r="H15" s="134">
        <v>4.1500000000000004</v>
      </c>
      <c r="I15" s="134">
        <v>3</v>
      </c>
      <c r="J15" s="134">
        <v>0.53</v>
      </c>
      <c r="K15" s="134">
        <v>261.14999999999998</v>
      </c>
      <c r="L15" s="134">
        <v>25.72</v>
      </c>
      <c r="M15" s="134">
        <v>91.14</v>
      </c>
      <c r="N15" s="134">
        <v>0</v>
      </c>
      <c r="O15" s="134">
        <v>0</v>
      </c>
      <c r="P15" s="134">
        <v>0.3</v>
      </c>
      <c r="Q15" s="134">
        <v>4.34</v>
      </c>
    </row>
    <row r="16" spans="1:21" customFormat="1">
      <c r="A16" s="112" t="s">
        <v>2645</v>
      </c>
      <c r="B16" s="134">
        <v>7.92</v>
      </c>
      <c r="C16" s="134">
        <v>11.64</v>
      </c>
      <c r="D16" s="134">
        <v>13.79</v>
      </c>
      <c r="E16" s="134">
        <v>4.03</v>
      </c>
      <c r="F16" s="134">
        <v>3.83</v>
      </c>
      <c r="G16" s="134">
        <v>16.41</v>
      </c>
      <c r="H16" s="134">
        <v>4.05</v>
      </c>
      <c r="I16" s="134">
        <v>2.92</v>
      </c>
      <c r="J16" s="134">
        <v>0.61</v>
      </c>
      <c r="K16" s="134">
        <v>266.77999999999997</v>
      </c>
      <c r="L16" s="134">
        <v>25.78</v>
      </c>
      <c r="M16" s="134">
        <v>90.63</v>
      </c>
      <c r="N16" s="134">
        <v>0</v>
      </c>
      <c r="O16" s="134">
        <v>0</v>
      </c>
      <c r="P16" s="134">
        <v>0.28000000000000003</v>
      </c>
      <c r="Q16" s="134">
        <v>4.3</v>
      </c>
    </row>
    <row r="17" spans="1:17" customFormat="1">
      <c r="A17" s="112" t="s">
        <v>2646</v>
      </c>
      <c r="B17" s="134">
        <v>7.96</v>
      </c>
      <c r="C17" s="134">
        <v>13.15</v>
      </c>
      <c r="D17" s="134">
        <v>14.6</v>
      </c>
      <c r="E17" s="134">
        <v>1.82</v>
      </c>
      <c r="F17" s="134">
        <v>2.79</v>
      </c>
      <c r="G17" s="134">
        <v>16.47</v>
      </c>
      <c r="H17" s="134">
        <v>3.45</v>
      </c>
      <c r="I17" s="134">
        <v>2.83</v>
      </c>
      <c r="J17" s="134">
        <v>0.69</v>
      </c>
      <c r="K17" s="134">
        <v>266.66000000000003</v>
      </c>
      <c r="L17" s="134">
        <v>25.81</v>
      </c>
      <c r="M17" s="134">
        <v>90.05</v>
      </c>
      <c r="N17" s="134">
        <v>0</v>
      </c>
      <c r="O17" s="134">
        <v>0</v>
      </c>
      <c r="P17" s="134">
        <v>0.3</v>
      </c>
      <c r="Q17" s="134">
        <v>4.34</v>
      </c>
    </row>
    <row r="18" spans="1:17" customFormat="1">
      <c r="A18" s="112" t="s">
        <v>2647</v>
      </c>
      <c r="B18" s="134">
        <v>8.11</v>
      </c>
      <c r="C18" s="134">
        <v>14.06</v>
      </c>
      <c r="D18" s="134">
        <v>15.2</v>
      </c>
      <c r="E18" s="134">
        <v>2.83</v>
      </c>
      <c r="F18" s="134">
        <v>2.35</v>
      </c>
      <c r="G18" s="134">
        <v>16.47</v>
      </c>
      <c r="H18" s="134">
        <v>3.45</v>
      </c>
      <c r="I18" s="134">
        <v>2.78</v>
      </c>
      <c r="J18" s="134">
        <v>0.51</v>
      </c>
      <c r="K18" s="134">
        <v>263.91000000000003</v>
      </c>
      <c r="L18" s="134">
        <v>25.74</v>
      </c>
      <c r="M18" s="134">
        <v>90.58</v>
      </c>
      <c r="N18" s="134">
        <v>0</v>
      </c>
      <c r="O18" s="134">
        <v>0</v>
      </c>
      <c r="P18" s="134">
        <v>0.31</v>
      </c>
      <c r="Q18" s="134">
        <v>4.3899999999999997</v>
      </c>
    </row>
    <row r="19" spans="1:17" customFormat="1">
      <c r="A19" s="112" t="s">
        <v>2648</v>
      </c>
      <c r="B19" s="134">
        <v>8.14</v>
      </c>
      <c r="C19" s="134">
        <v>12.58</v>
      </c>
      <c r="D19" s="134">
        <v>14.45</v>
      </c>
      <c r="E19" s="134">
        <v>2.2999999999999998</v>
      </c>
      <c r="F19" s="134">
        <v>3.07</v>
      </c>
      <c r="G19" s="134">
        <v>16.47</v>
      </c>
      <c r="H19" s="134">
        <v>3.45</v>
      </c>
      <c r="I19" s="134">
        <v>2.84</v>
      </c>
      <c r="J19" s="134">
        <v>0.66</v>
      </c>
      <c r="K19" s="134">
        <v>267.68</v>
      </c>
      <c r="L19" s="134">
        <v>25.67</v>
      </c>
      <c r="M19" s="134">
        <v>90.76</v>
      </c>
      <c r="N19" s="134">
        <v>0</v>
      </c>
      <c r="O19" s="134">
        <v>0</v>
      </c>
      <c r="P19" s="134">
        <v>0.3</v>
      </c>
      <c r="Q19" s="134">
        <v>4.3499999999999996</v>
      </c>
    </row>
    <row r="20" spans="1:17" customFormat="1">
      <c r="A20" s="112" t="s">
        <v>2649</v>
      </c>
      <c r="B20" s="134">
        <v>8.11</v>
      </c>
      <c r="C20" s="134">
        <v>11.82</v>
      </c>
      <c r="D20" s="134">
        <v>14.03</v>
      </c>
      <c r="E20" s="134">
        <v>2.5299999999999998</v>
      </c>
      <c r="F20" s="134">
        <v>3.72</v>
      </c>
      <c r="G20" s="134">
        <v>16.309999999999999</v>
      </c>
      <c r="H20" s="134">
        <v>3.49</v>
      </c>
      <c r="I20" s="134">
        <v>2.87</v>
      </c>
      <c r="J20" s="134">
        <v>0.59</v>
      </c>
      <c r="K20" s="134">
        <v>263.39999999999998</v>
      </c>
      <c r="L20" s="134">
        <v>25.54</v>
      </c>
      <c r="M20" s="134">
        <v>91.38</v>
      </c>
      <c r="N20" s="134">
        <v>0</v>
      </c>
      <c r="O20" s="134">
        <v>0</v>
      </c>
      <c r="P20" s="134">
        <v>0.28000000000000003</v>
      </c>
      <c r="Q20" s="134">
        <v>4.3099999999999996</v>
      </c>
    </row>
    <row r="21" spans="1:17" customFormat="1">
      <c r="A21" s="112" t="s">
        <v>2650</v>
      </c>
      <c r="B21" s="134">
        <v>8.2899999999999991</v>
      </c>
      <c r="C21" s="134">
        <v>13.51</v>
      </c>
      <c r="D21" s="134">
        <v>15.06</v>
      </c>
      <c r="E21" s="134">
        <v>2.56</v>
      </c>
      <c r="F21" s="134">
        <v>2.48</v>
      </c>
      <c r="G21" s="134">
        <v>14.97</v>
      </c>
      <c r="H21" s="134">
        <v>3.71</v>
      </c>
      <c r="I21" s="134">
        <v>2.79</v>
      </c>
      <c r="J21" s="134">
        <v>0.5</v>
      </c>
      <c r="K21" s="134">
        <v>259.77</v>
      </c>
      <c r="L21" s="134">
        <v>25.47</v>
      </c>
      <c r="M21" s="134">
        <v>91.75</v>
      </c>
      <c r="N21" s="134">
        <v>0</v>
      </c>
      <c r="O21" s="134">
        <v>0</v>
      </c>
      <c r="P21" s="134">
        <v>0.3</v>
      </c>
      <c r="Q21" s="134">
        <v>4.3600000000000003</v>
      </c>
    </row>
    <row r="22" spans="1:17" customFormat="1">
      <c r="A22" s="112" t="s">
        <v>2651</v>
      </c>
      <c r="B22" s="134">
        <v>8.49</v>
      </c>
      <c r="C22" s="134">
        <v>14.08</v>
      </c>
      <c r="D22" s="134">
        <v>15.51</v>
      </c>
      <c r="E22" s="134">
        <v>3</v>
      </c>
      <c r="F22" s="134">
        <v>2.27</v>
      </c>
      <c r="G22" s="134">
        <v>14.97</v>
      </c>
      <c r="H22" s="134">
        <v>3.71</v>
      </c>
      <c r="I22" s="134">
        <v>2.71</v>
      </c>
      <c r="J22" s="134">
        <v>0.54</v>
      </c>
      <c r="K22" s="134">
        <v>261.19</v>
      </c>
      <c r="L22" s="134">
        <v>25.37</v>
      </c>
      <c r="M22" s="134">
        <v>92.37</v>
      </c>
      <c r="N22" s="134">
        <v>0</v>
      </c>
      <c r="O22" s="134">
        <v>0</v>
      </c>
      <c r="P22" s="134">
        <v>0.31</v>
      </c>
      <c r="Q22" s="134">
        <v>4.41</v>
      </c>
    </row>
    <row r="23" spans="1:17" customFormat="1">
      <c r="A23" s="112" t="s">
        <v>2652</v>
      </c>
      <c r="B23" s="134">
        <v>8.5</v>
      </c>
      <c r="C23" s="134">
        <v>12.98</v>
      </c>
      <c r="D23" s="134">
        <v>14.95</v>
      </c>
      <c r="E23" s="134">
        <v>2.84</v>
      </c>
      <c r="F23" s="134">
        <v>3.11</v>
      </c>
      <c r="G23" s="134">
        <v>14.97</v>
      </c>
      <c r="H23" s="134">
        <v>3.71</v>
      </c>
      <c r="I23" s="134">
        <v>2.81</v>
      </c>
      <c r="J23" s="134">
        <v>0.36</v>
      </c>
      <c r="K23" s="134">
        <v>252.76</v>
      </c>
      <c r="L23" s="134">
        <v>25.23</v>
      </c>
      <c r="M23" s="134">
        <v>93.11</v>
      </c>
      <c r="N23" s="134">
        <v>0</v>
      </c>
      <c r="O23" s="134">
        <v>0</v>
      </c>
      <c r="P23" s="134">
        <v>0.28999999999999998</v>
      </c>
      <c r="Q23" s="134">
        <v>4.3600000000000003</v>
      </c>
    </row>
    <row r="24" spans="1:17" customFormat="1">
      <c r="A24" s="112" t="s">
        <v>2653</v>
      </c>
      <c r="B24" s="134">
        <v>8.5500000000000007</v>
      </c>
      <c r="C24" s="134">
        <v>12.32</v>
      </c>
      <c r="D24" s="134">
        <v>14.64</v>
      </c>
      <c r="E24" s="134">
        <v>2.44</v>
      </c>
      <c r="F24" s="134">
        <v>3.19</v>
      </c>
      <c r="G24" s="134">
        <v>14.84</v>
      </c>
      <c r="H24" s="134">
        <v>3.7</v>
      </c>
      <c r="I24" s="134">
        <v>2.82</v>
      </c>
      <c r="J24" s="134">
        <v>0.56000000000000005</v>
      </c>
      <c r="K24" s="134">
        <v>262.42</v>
      </c>
      <c r="L24" s="134">
        <v>25.17</v>
      </c>
      <c r="M24" s="134">
        <v>93.42</v>
      </c>
      <c r="N24" s="134">
        <v>0</v>
      </c>
      <c r="O24" s="134">
        <v>0</v>
      </c>
      <c r="P24" s="134">
        <v>0.28000000000000003</v>
      </c>
      <c r="Q24" s="134">
        <v>4.3600000000000003</v>
      </c>
    </row>
    <row r="25" spans="1:17" customFormat="1">
      <c r="A25" s="112" t="s">
        <v>2654</v>
      </c>
      <c r="B25" s="134">
        <v>8.73</v>
      </c>
      <c r="C25" s="134">
        <v>13.99</v>
      </c>
      <c r="D25" s="134">
        <v>15.66</v>
      </c>
      <c r="E25" s="134">
        <v>2.76</v>
      </c>
      <c r="F25" s="134">
        <v>1.93</v>
      </c>
      <c r="G25" s="134">
        <v>13.8</v>
      </c>
      <c r="H25" s="134">
        <v>3.66</v>
      </c>
      <c r="I25" s="134">
        <v>2.74</v>
      </c>
      <c r="J25" s="134">
        <v>0.44</v>
      </c>
      <c r="K25" s="134">
        <v>261.63</v>
      </c>
      <c r="L25" s="134">
        <v>25.09</v>
      </c>
      <c r="M25" s="134">
        <v>94.12</v>
      </c>
      <c r="N25" s="134">
        <v>0</v>
      </c>
      <c r="O25" s="134">
        <v>0</v>
      </c>
      <c r="P25" s="134">
        <v>0.31</v>
      </c>
      <c r="Q25" s="134">
        <v>4.43</v>
      </c>
    </row>
    <row r="26" spans="1:17" customFormat="1">
      <c r="A26" s="112" t="s">
        <v>2655</v>
      </c>
      <c r="B26" s="134">
        <v>8.7799999999999994</v>
      </c>
      <c r="C26" s="134">
        <v>13.71</v>
      </c>
      <c r="D26" s="134">
        <v>15.56</v>
      </c>
      <c r="E26" s="134">
        <v>3.12</v>
      </c>
      <c r="F26" s="134">
        <v>2.27</v>
      </c>
      <c r="G26" s="134">
        <v>13.8</v>
      </c>
      <c r="H26" s="134">
        <v>3.66</v>
      </c>
      <c r="I26" s="134">
        <v>2.73</v>
      </c>
      <c r="J26" s="134">
        <v>0.53</v>
      </c>
      <c r="K26" s="134">
        <v>261.25</v>
      </c>
      <c r="L26" s="134">
        <v>25.03</v>
      </c>
      <c r="M26" s="134">
        <v>94.29</v>
      </c>
      <c r="N26" s="134">
        <v>0</v>
      </c>
      <c r="O26" s="134">
        <v>0</v>
      </c>
      <c r="P26" s="134">
        <v>0.3</v>
      </c>
      <c r="Q26" s="134">
        <v>4.42</v>
      </c>
    </row>
    <row r="27" spans="1:17" customFormat="1">
      <c r="A27" s="112" t="s">
        <v>2656</v>
      </c>
      <c r="B27" s="134">
        <v>8.74</v>
      </c>
      <c r="C27" s="134">
        <v>12.87</v>
      </c>
      <c r="D27" s="134">
        <v>15.08</v>
      </c>
      <c r="E27" s="134">
        <v>2.73</v>
      </c>
      <c r="F27" s="134">
        <v>2.96</v>
      </c>
      <c r="G27" s="134">
        <v>13.8</v>
      </c>
      <c r="H27" s="134">
        <v>3.66</v>
      </c>
      <c r="I27" s="134">
        <v>2.82</v>
      </c>
      <c r="J27" s="134">
        <v>0.64</v>
      </c>
      <c r="K27" s="134">
        <v>261.29000000000002</v>
      </c>
      <c r="L27" s="134">
        <v>25.07</v>
      </c>
      <c r="M27" s="134">
        <v>93.86</v>
      </c>
      <c r="N27" s="134">
        <v>0</v>
      </c>
      <c r="O27" s="134">
        <v>0</v>
      </c>
      <c r="P27" s="134">
        <v>0.28999999999999998</v>
      </c>
      <c r="Q27" s="134">
        <v>4.38</v>
      </c>
    </row>
    <row r="28" spans="1:17" customFormat="1">
      <c r="A28" s="112" t="s">
        <v>2657</v>
      </c>
      <c r="B28" s="134">
        <v>8.9</v>
      </c>
      <c r="C28" s="134">
        <v>13.04</v>
      </c>
      <c r="D28" s="134">
        <v>15.3</v>
      </c>
      <c r="E28" s="134">
        <v>2.77</v>
      </c>
      <c r="F28" s="134">
        <v>2.68</v>
      </c>
      <c r="G28" s="134">
        <v>13.52</v>
      </c>
      <c r="H28" s="134">
        <v>3.86</v>
      </c>
      <c r="I28" s="134">
        <v>2.76</v>
      </c>
      <c r="J28" s="134">
        <v>0.45</v>
      </c>
      <c r="K28" s="134">
        <v>263.83</v>
      </c>
      <c r="L28" s="134">
        <v>25.03</v>
      </c>
      <c r="M28" s="134">
        <v>94.04</v>
      </c>
      <c r="N28" s="134">
        <v>0</v>
      </c>
      <c r="O28" s="134">
        <v>0</v>
      </c>
      <c r="P28" s="134">
        <v>0.28999999999999998</v>
      </c>
      <c r="Q28" s="134">
        <v>4.38</v>
      </c>
    </row>
    <row r="29" spans="1:17" customFormat="1">
      <c r="A29" s="112" t="s">
        <v>2658</v>
      </c>
      <c r="B29" s="134">
        <v>8.94</v>
      </c>
      <c r="C29" s="134">
        <v>14.7</v>
      </c>
      <c r="D29" s="134">
        <v>16.2</v>
      </c>
      <c r="E29" s="134">
        <v>3.23</v>
      </c>
      <c r="F29" s="134">
        <v>1.65</v>
      </c>
      <c r="G29" s="134">
        <v>11.25</v>
      </c>
      <c r="H29" s="134">
        <v>5.12</v>
      </c>
      <c r="I29" s="134">
        <v>2.72</v>
      </c>
      <c r="J29" s="134">
        <v>0.42</v>
      </c>
      <c r="K29" s="134">
        <v>261.05</v>
      </c>
      <c r="L29" s="134">
        <v>25.01</v>
      </c>
      <c r="M29" s="134">
        <v>94.16</v>
      </c>
      <c r="N29" s="134">
        <v>0</v>
      </c>
      <c r="O29" s="134">
        <v>0</v>
      </c>
      <c r="P29" s="134">
        <v>0.31</v>
      </c>
      <c r="Q29" s="134">
        <v>4.47</v>
      </c>
    </row>
    <row r="30" spans="1:17" customFormat="1">
      <c r="A30" s="112" t="s">
        <v>2659</v>
      </c>
      <c r="B30" s="134">
        <v>9.02</v>
      </c>
      <c r="C30" s="134">
        <v>13.6</v>
      </c>
      <c r="D30" s="134">
        <v>15.69</v>
      </c>
      <c r="E30" s="134">
        <v>2.78</v>
      </c>
      <c r="F30" s="134">
        <v>2.54</v>
      </c>
      <c r="G30" s="134">
        <v>11.25</v>
      </c>
      <c r="H30" s="134">
        <v>5.12</v>
      </c>
      <c r="I30" s="134">
        <v>2.76</v>
      </c>
      <c r="J30" s="134">
        <v>0.4</v>
      </c>
      <c r="K30" s="134">
        <v>263.62</v>
      </c>
      <c r="L30" s="134">
        <v>24.95</v>
      </c>
      <c r="M30" s="134">
        <v>94.48</v>
      </c>
      <c r="N30" s="134">
        <v>0</v>
      </c>
      <c r="O30" s="134">
        <v>0</v>
      </c>
      <c r="P30" s="134">
        <v>0.3</v>
      </c>
      <c r="Q30" s="134">
        <v>4.43</v>
      </c>
    </row>
    <row r="31" spans="1:17" customFormat="1">
      <c r="A31" s="112" t="s">
        <v>2660</v>
      </c>
      <c r="B31" s="134">
        <v>9.23</v>
      </c>
      <c r="C31" s="134">
        <v>12.59</v>
      </c>
      <c r="D31" s="134">
        <v>15.33</v>
      </c>
      <c r="E31" s="134">
        <v>2.81</v>
      </c>
      <c r="F31" s="134">
        <v>2.64</v>
      </c>
      <c r="G31" s="134">
        <v>11.25</v>
      </c>
      <c r="H31" s="134">
        <v>5.12</v>
      </c>
      <c r="I31" s="134">
        <v>2.82</v>
      </c>
      <c r="J31" s="134">
        <v>0.23</v>
      </c>
      <c r="K31" s="134">
        <v>250.09</v>
      </c>
      <c r="L31" s="134">
        <v>24.87</v>
      </c>
      <c r="M31" s="134">
        <v>95.11</v>
      </c>
      <c r="N31" s="134">
        <v>0</v>
      </c>
      <c r="O31" s="134">
        <v>0</v>
      </c>
      <c r="P31" s="134">
        <v>0.28999999999999998</v>
      </c>
      <c r="Q31" s="134">
        <v>4.4000000000000004</v>
      </c>
    </row>
    <row r="32" spans="1:17" customFormat="1">
      <c r="A32" s="112" t="s">
        <v>2661</v>
      </c>
      <c r="B32" s="134">
        <v>9.18</v>
      </c>
      <c r="C32" s="134">
        <v>14.63</v>
      </c>
      <c r="D32" s="134">
        <v>16.36</v>
      </c>
      <c r="E32" s="134">
        <v>3.11</v>
      </c>
      <c r="F32" s="134">
        <v>1.8</v>
      </c>
      <c r="G32" s="134">
        <v>11.18</v>
      </c>
      <c r="H32" s="134">
        <v>5</v>
      </c>
      <c r="I32" s="134">
        <v>2.79</v>
      </c>
      <c r="J32" s="134">
        <v>0.27</v>
      </c>
      <c r="K32" s="134">
        <v>260.44</v>
      </c>
      <c r="L32" s="134">
        <v>24.9</v>
      </c>
      <c r="M32" s="134">
        <v>95.21</v>
      </c>
      <c r="N32" s="134">
        <v>5.3</v>
      </c>
      <c r="O32" s="134">
        <v>0</v>
      </c>
      <c r="P32" s="134">
        <v>0.33</v>
      </c>
      <c r="Q32" s="134">
        <v>4.47</v>
      </c>
    </row>
    <row r="33" spans="1:17" customFormat="1">
      <c r="A33" s="112" t="s">
        <v>2662</v>
      </c>
      <c r="B33" s="134">
        <v>9.16</v>
      </c>
      <c r="C33" s="134">
        <v>14.85</v>
      </c>
      <c r="D33" s="134">
        <v>16.46</v>
      </c>
      <c r="E33" s="134">
        <v>3.47</v>
      </c>
      <c r="F33" s="134">
        <v>2.11</v>
      </c>
      <c r="G33" s="134">
        <v>10.64</v>
      </c>
      <c r="H33" s="134">
        <v>4.2699999999999996</v>
      </c>
      <c r="I33" s="134">
        <v>2.84</v>
      </c>
      <c r="J33" s="134">
        <v>0.27</v>
      </c>
      <c r="K33" s="134">
        <v>257.26</v>
      </c>
      <c r="L33" s="134">
        <v>25.02</v>
      </c>
      <c r="M33" s="134">
        <v>94.78</v>
      </c>
      <c r="N33" s="134">
        <v>19.399999999999999</v>
      </c>
      <c r="O33" s="134">
        <v>0</v>
      </c>
      <c r="P33" s="134">
        <v>0.34</v>
      </c>
      <c r="Q33" s="134">
        <v>4.51</v>
      </c>
    </row>
    <row r="34" spans="1:17" customFormat="1">
      <c r="A34" s="112" t="s">
        <v>2663</v>
      </c>
      <c r="B34" s="134">
        <v>9.36</v>
      </c>
      <c r="C34" s="134">
        <v>13.89</v>
      </c>
      <c r="D34" s="134">
        <v>16.11</v>
      </c>
      <c r="E34" s="134">
        <v>3.3</v>
      </c>
      <c r="F34" s="134">
        <v>2.75</v>
      </c>
      <c r="G34" s="134">
        <v>10.64</v>
      </c>
      <c r="H34" s="134">
        <v>4.2699999999999996</v>
      </c>
      <c r="I34" s="134">
        <v>2.97</v>
      </c>
      <c r="J34" s="134">
        <v>0.33</v>
      </c>
      <c r="K34" s="134">
        <v>254.36</v>
      </c>
      <c r="L34" s="134">
        <v>25.27</v>
      </c>
      <c r="M34" s="134">
        <v>93.6</v>
      </c>
      <c r="N34" s="134">
        <v>33.299999999999997</v>
      </c>
      <c r="O34" s="134">
        <v>0</v>
      </c>
      <c r="P34" s="134">
        <v>0.31</v>
      </c>
      <c r="Q34" s="134">
        <v>4.5199999999999996</v>
      </c>
    </row>
    <row r="35" spans="1:17" customFormat="1">
      <c r="A35" s="112" t="s">
        <v>2664</v>
      </c>
      <c r="B35" s="134">
        <v>9.5399999999999991</v>
      </c>
      <c r="C35" s="134">
        <v>12.72</v>
      </c>
      <c r="D35" s="134">
        <v>15.64</v>
      </c>
      <c r="E35" s="134">
        <v>2.81</v>
      </c>
      <c r="F35" s="134">
        <v>3.04</v>
      </c>
      <c r="G35" s="134">
        <v>10.64</v>
      </c>
      <c r="H35" s="134">
        <v>4.2699999999999996</v>
      </c>
      <c r="I35" s="134">
        <v>2.99</v>
      </c>
      <c r="J35" s="134">
        <v>0.48</v>
      </c>
      <c r="K35" s="134">
        <v>262.41000000000003</v>
      </c>
      <c r="L35" s="134">
        <v>25.44</v>
      </c>
      <c r="M35" s="134">
        <v>92.88</v>
      </c>
      <c r="N35" s="134">
        <v>47.3</v>
      </c>
      <c r="O35" s="134">
        <v>0</v>
      </c>
      <c r="P35" s="134">
        <v>0.3</v>
      </c>
      <c r="Q35" s="134">
        <v>4.4800000000000004</v>
      </c>
    </row>
    <row r="36" spans="1:17" customFormat="1">
      <c r="A36" s="112" t="s">
        <v>2665</v>
      </c>
      <c r="B36" s="134">
        <v>9.7799999999999994</v>
      </c>
      <c r="C36" s="134">
        <v>12.9</v>
      </c>
      <c r="D36" s="134">
        <v>15.93</v>
      </c>
      <c r="E36" s="134">
        <v>2.69</v>
      </c>
      <c r="F36" s="134">
        <v>2.68</v>
      </c>
      <c r="G36" s="134">
        <v>10.29</v>
      </c>
      <c r="H36" s="134">
        <v>4.0999999999999996</v>
      </c>
      <c r="I36" s="134">
        <v>2.97</v>
      </c>
      <c r="J36" s="134">
        <v>0.64</v>
      </c>
      <c r="K36" s="134">
        <v>261.14</v>
      </c>
      <c r="L36" s="134">
        <v>25.68</v>
      </c>
      <c r="M36" s="134">
        <v>91.28</v>
      </c>
      <c r="N36" s="134">
        <v>63.4</v>
      </c>
      <c r="O36" s="134">
        <v>0</v>
      </c>
      <c r="P36" s="134">
        <v>0.28999999999999998</v>
      </c>
      <c r="Q36" s="134">
        <v>4.45</v>
      </c>
    </row>
    <row r="37" spans="1:17" customFormat="1">
      <c r="A37" s="112" t="s">
        <v>2666</v>
      </c>
      <c r="B37" s="134">
        <v>10.02</v>
      </c>
      <c r="C37" s="134">
        <v>15.08</v>
      </c>
      <c r="D37" s="134">
        <v>17.260000000000002</v>
      </c>
      <c r="E37" s="134">
        <v>2.84</v>
      </c>
      <c r="F37" s="134">
        <v>1.64</v>
      </c>
      <c r="G37" s="134">
        <v>7.51</v>
      </c>
      <c r="H37" s="134">
        <v>3.03</v>
      </c>
      <c r="I37" s="134">
        <v>2.95</v>
      </c>
      <c r="J37" s="134">
        <v>0.6</v>
      </c>
      <c r="K37" s="134">
        <v>260.70999999999998</v>
      </c>
      <c r="L37" s="134">
        <v>26</v>
      </c>
      <c r="M37" s="134">
        <v>90.05</v>
      </c>
      <c r="N37" s="134">
        <v>79.3</v>
      </c>
      <c r="O37" s="134">
        <v>0</v>
      </c>
      <c r="P37" s="134">
        <v>0.34</v>
      </c>
      <c r="Q37" s="134">
        <v>4.55</v>
      </c>
    </row>
    <row r="38" spans="1:17" customFormat="1">
      <c r="A38" s="112" t="s">
        <v>2667</v>
      </c>
      <c r="B38" s="134">
        <v>9.99</v>
      </c>
      <c r="C38" s="134">
        <v>14.39</v>
      </c>
      <c r="D38" s="134">
        <v>16.88</v>
      </c>
      <c r="E38" s="134">
        <v>3.38</v>
      </c>
      <c r="F38" s="134">
        <v>2.42</v>
      </c>
      <c r="G38" s="134">
        <v>7.51</v>
      </c>
      <c r="H38" s="134">
        <v>3.03</v>
      </c>
      <c r="I38" s="134">
        <v>2.99</v>
      </c>
      <c r="J38" s="134">
        <v>0.51</v>
      </c>
      <c r="K38" s="134">
        <v>260.17</v>
      </c>
      <c r="L38" s="134">
        <v>26.33</v>
      </c>
      <c r="M38" s="134">
        <v>88.49</v>
      </c>
      <c r="N38" s="134">
        <v>94.2</v>
      </c>
      <c r="O38" s="134">
        <v>0</v>
      </c>
      <c r="P38" s="134">
        <v>0.33</v>
      </c>
      <c r="Q38" s="134">
        <v>4.53</v>
      </c>
    </row>
    <row r="39" spans="1:17" customFormat="1">
      <c r="A39" s="112" t="s">
        <v>2668</v>
      </c>
      <c r="B39" s="134">
        <v>10.01</v>
      </c>
      <c r="C39" s="134">
        <v>13.43</v>
      </c>
      <c r="D39" s="134">
        <v>16.39</v>
      </c>
      <c r="E39" s="134">
        <v>3.29</v>
      </c>
      <c r="F39" s="134">
        <v>3</v>
      </c>
      <c r="G39" s="134">
        <v>7.51</v>
      </c>
      <c r="H39" s="134">
        <v>3.03</v>
      </c>
      <c r="I39" s="134">
        <v>3.1</v>
      </c>
      <c r="J39" s="134">
        <v>0.5</v>
      </c>
      <c r="K39" s="134">
        <v>262.70999999999998</v>
      </c>
      <c r="L39" s="134">
        <v>26.81</v>
      </c>
      <c r="M39" s="134">
        <v>86.67</v>
      </c>
      <c r="N39" s="134">
        <v>126.6</v>
      </c>
      <c r="O39" s="134">
        <v>0</v>
      </c>
      <c r="P39" s="134">
        <v>0.33</v>
      </c>
      <c r="Q39" s="134">
        <v>4.49</v>
      </c>
    </row>
    <row r="40" spans="1:17" customFormat="1">
      <c r="A40" s="112" t="s">
        <v>2669</v>
      </c>
      <c r="B40" s="134">
        <v>10.01</v>
      </c>
      <c r="C40" s="134">
        <v>13.01</v>
      </c>
      <c r="D40" s="134">
        <v>16.170000000000002</v>
      </c>
      <c r="E40" s="134">
        <v>3.42</v>
      </c>
      <c r="F40" s="134">
        <v>3.03</v>
      </c>
      <c r="G40" s="134">
        <v>7.72</v>
      </c>
      <c r="H40" s="134">
        <v>3.18</v>
      </c>
      <c r="I40" s="134">
        <v>3.09</v>
      </c>
      <c r="J40" s="134">
        <v>0.73</v>
      </c>
      <c r="K40" s="134">
        <v>262.05</v>
      </c>
      <c r="L40" s="134">
        <v>27.23</v>
      </c>
      <c r="M40" s="134">
        <v>84.6</v>
      </c>
      <c r="N40" s="134">
        <v>189.1</v>
      </c>
      <c r="O40" s="134">
        <v>0</v>
      </c>
      <c r="P40" s="134">
        <v>0.32</v>
      </c>
      <c r="Q40" s="134">
        <v>4.47</v>
      </c>
    </row>
    <row r="41" spans="1:17" customFormat="1">
      <c r="A41" s="112" t="s">
        <v>2670</v>
      </c>
      <c r="B41" s="134">
        <v>10.029999999999999</v>
      </c>
      <c r="C41" s="134">
        <v>12.83</v>
      </c>
      <c r="D41" s="134">
        <v>16.100000000000001</v>
      </c>
      <c r="E41" s="134">
        <v>3.46</v>
      </c>
      <c r="F41" s="134">
        <v>2.98</v>
      </c>
      <c r="G41" s="134">
        <v>9.35</v>
      </c>
      <c r="H41" s="134">
        <v>4.09</v>
      </c>
      <c r="I41" s="134">
        <v>3.14</v>
      </c>
      <c r="J41" s="134">
        <v>0.96</v>
      </c>
      <c r="K41" s="134">
        <v>264.82</v>
      </c>
      <c r="L41" s="134">
        <v>27.51</v>
      </c>
      <c r="M41" s="134">
        <v>83</v>
      </c>
      <c r="N41" s="134">
        <v>252.6</v>
      </c>
      <c r="O41" s="134">
        <v>0</v>
      </c>
      <c r="P41" s="134">
        <v>0.33</v>
      </c>
      <c r="Q41" s="134">
        <v>4.47</v>
      </c>
    </row>
    <row r="42" spans="1:17" customFormat="1">
      <c r="A42" s="112" t="s">
        <v>2671</v>
      </c>
      <c r="B42" s="134">
        <v>9.8800000000000008</v>
      </c>
      <c r="C42" s="134">
        <v>14.93</v>
      </c>
      <c r="D42" s="134">
        <v>17.07</v>
      </c>
      <c r="E42" s="134">
        <v>3.27</v>
      </c>
      <c r="F42" s="134">
        <v>1.83</v>
      </c>
      <c r="G42" s="134">
        <v>9.35</v>
      </c>
      <c r="H42" s="134">
        <v>4.09</v>
      </c>
      <c r="I42" s="134">
        <v>3.21</v>
      </c>
      <c r="J42" s="134">
        <v>1.02</v>
      </c>
      <c r="K42" s="134">
        <v>263.67</v>
      </c>
      <c r="L42" s="134">
        <v>27.77</v>
      </c>
      <c r="M42" s="134">
        <v>81.67</v>
      </c>
      <c r="N42" s="134">
        <v>304.3</v>
      </c>
      <c r="O42" s="134">
        <v>0</v>
      </c>
      <c r="P42" s="134">
        <v>0.38</v>
      </c>
      <c r="Q42" s="134">
        <v>4.53</v>
      </c>
    </row>
    <row r="43" spans="1:17" customFormat="1">
      <c r="A43" s="112" t="s">
        <v>2672</v>
      </c>
      <c r="B43" s="134">
        <v>9.8699999999999992</v>
      </c>
      <c r="C43" s="134">
        <v>14.85</v>
      </c>
      <c r="D43" s="134">
        <v>17.03</v>
      </c>
      <c r="E43" s="134">
        <v>3.39</v>
      </c>
      <c r="F43" s="134">
        <v>2.34</v>
      </c>
      <c r="G43" s="134">
        <v>9.35</v>
      </c>
      <c r="H43" s="134">
        <v>4.09</v>
      </c>
      <c r="I43" s="134">
        <v>3.35</v>
      </c>
      <c r="J43" s="134">
        <v>0.67</v>
      </c>
      <c r="K43" s="134">
        <v>262.69</v>
      </c>
      <c r="L43" s="134">
        <v>28.28</v>
      </c>
      <c r="M43" s="134">
        <v>80.709999999999994</v>
      </c>
      <c r="N43" s="134">
        <v>256.7</v>
      </c>
      <c r="O43" s="134">
        <v>0</v>
      </c>
      <c r="P43" s="134">
        <v>0.39</v>
      </c>
      <c r="Q43" s="134">
        <v>4.5599999999999996</v>
      </c>
    </row>
    <row r="44" spans="1:17" customFormat="1">
      <c r="A44" s="112" t="s">
        <v>2673</v>
      </c>
      <c r="B44" s="134">
        <v>9.89</v>
      </c>
      <c r="C44" s="134">
        <v>14.08</v>
      </c>
      <c r="D44" s="134">
        <v>16.64</v>
      </c>
      <c r="E44" s="134">
        <v>3.55</v>
      </c>
      <c r="F44" s="134">
        <v>2.9</v>
      </c>
      <c r="G44" s="134">
        <v>10.58</v>
      </c>
      <c r="H44" s="134">
        <v>4.1100000000000003</v>
      </c>
      <c r="I44" s="134">
        <v>3.54</v>
      </c>
      <c r="J44" s="134">
        <v>0.81</v>
      </c>
      <c r="K44" s="134">
        <v>265.57</v>
      </c>
      <c r="L44" s="134">
        <v>28.73</v>
      </c>
      <c r="M44" s="134">
        <v>78.67</v>
      </c>
      <c r="N44" s="134">
        <v>286</v>
      </c>
      <c r="O44" s="134">
        <v>0</v>
      </c>
      <c r="P44" s="134">
        <v>0.39</v>
      </c>
      <c r="Q44" s="134">
        <v>4.5199999999999996</v>
      </c>
    </row>
    <row r="45" spans="1:17" customFormat="1">
      <c r="A45" s="112" t="s">
        <v>2674</v>
      </c>
      <c r="B45" s="134">
        <v>10.029999999999999</v>
      </c>
      <c r="C45" s="134">
        <v>13.42</v>
      </c>
      <c r="D45" s="134">
        <v>16.399999999999999</v>
      </c>
      <c r="E45" s="134">
        <v>3.72</v>
      </c>
      <c r="F45" s="134">
        <v>2.98</v>
      </c>
      <c r="G45" s="134">
        <v>20.39</v>
      </c>
      <c r="H45" s="134">
        <v>4.2300000000000004</v>
      </c>
      <c r="I45" s="134">
        <v>3.67</v>
      </c>
      <c r="J45" s="134">
        <v>0.56999999999999995</v>
      </c>
      <c r="K45" s="134">
        <v>275.45</v>
      </c>
      <c r="L45" s="134">
        <v>29.11</v>
      </c>
      <c r="M45" s="134">
        <v>77.540000000000006</v>
      </c>
      <c r="N45" s="134">
        <v>239.4</v>
      </c>
      <c r="O45" s="134">
        <v>0</v>
      </c>
      <c r="P45" s="134">
        <v>0.39</v>
      </c>
      <c r="Q45" s="134">
        <v>4.4800000000000004</v>
      </c>
    </row>
    <row r="46" spans="1:17" customFormat="1">
      <c r="A46" s="112" t="s">
        <v>2675</v>
      </c>
      <c r="B46" s="134">
        <v>9.91</v>
      </c>
      <c r="C46" s="134">
        <v>14.06</v>
      </c>
      <c r="D46" s="134">
        <v>16.64</v>
      </c>
      <c r="E46" s="134">
        <v>3.69</v>
      </c>
      <c r="F46" s="134">
        <v>3.01</v>
      </c>
      <c r="G46" s="134">
        <v>20.39</v>
      </c>
      <c r="H46" s="134">
        <v>4.2300000000000004</v>
      </c>
      <c r="I46" s="134">
        <v>3.74</v>
      </c>
      <c r="J46" s="134">
        <v>0.55000000000000004</v>
      </c>
      <c r="K46" s="134">
        <v>290.24</v>
      </c>
      <c r="L46" s="134">
        <v>29.66</v>
      </c>
      <c r="M46" s="134">
        <v>75.25</v>
      </c>
      <c r="N46" s="134">
        <v>343.4</v>
      </c>
      <c r="O46" s="134">
        <v>0</v>
      </c>
      <c r="P46" s="134">
        <v>0.41</v>
      </c>
      <c r="Q46" s="134">
        <v>4.51</v>
      </c>
    </row>
    <row r="47" spans="1:17" customFormat="1">
      <c r="A47" s="112" t="s">
        <v>2676</v>
      </c>
      <c r="B47" s="134">
        <v>9.8800000000000008</v>
      </c>
      <c r="C47" s="134">
        <v>14.11</v>
      </c>
      <c r="D47" s="134">
        <v>16.649999999999999</v>
      </c>
      <c r="E47" s="134">
        <v>3.4</v>
      </c>
      <c r="F47" s="134">
        <v>2.94</v>
      </c>
      <c r="G47" s="134">
        <v>20.39</v>
      </c>
      <c r="H47" s="134">
        <v>4.2300000000000004</v>
      </c>
      <c r="I47" s="134">
        <v>3.82</v>
      </c>
      <c r="J47" s="134">
        <v>0.89</v>
      </c>
      <c r="K47" s="134">
        <v>265.10000000000002</v>
      </c>
      <c r="L47" s="134">
        <v>29.81</v>
      </c>
      <c r="M47" s="134">
        <v>73.62</v>
      </c>
      <c r="N47" s="134">
        <v>503.8</v>
      </c>
      <c r="O47" s="134">
        <v>0</v>
      </c>
      <c r="P47" s="134">
        <v>0.42</v>
      </c>
      <c r="Q47" s="134">
        <v>4.5199999999999996</v>
      </c>
    </row>
    <row r="48" spans="1:17" customFormat="1">
      <c r="A48" s="112" t="s">
        <v>2677</v>
      </c>
      <c r="B48" s="134">
        <v>9.8000000000000007</v>
      </c>
      <c r="C48" s="134">
        <v>13.77</v>
      </c>
      <c r="D48" s="134">
        <v>16.41</v>
      </c>
      <c r="E48" s="134">
        <v>3.92</v>
      </c>
      <c r="F48" s="134">
        <v>3.11</v>
      </c>
      <c r="G48" s="134">
        <v>20.34</v>
      </c>
      <c r="H48" s="134">
        <v>4.5599999999999996</v>
      </c>
      <c r="I48" s="134">
        <v>3.91</v>
      </c>
      <c r="J48" s="134">
        <v>0.68</v>
      </c>
      <c r="K48" s="134">
        <v>270.12</v>
      </c>
      <c r="L48" s="134">
        <v>30.15</v>
      </c>
      <c r="M48" s="134">
        <v>72.67</v>
      </c>
      <c r="N48" s="134">
        <v>348.8</v>
      </c>
      <c r="O48" s="134">
        <v>0</v>
      </c>
      <c r="P48" s="134">
        <v>0.43</v>
      </c>
      <c r="Q48" s="134">
        <v>4.51</v>
      </c>
    </row>
    <row r="49" spans="1:17" customFormat="1">
      <c r="A49" s="112" t="s">
        <v>2678</v>
      </c>
      <c r="B49" s="134">
        <v>9.75</v>
      </c>
      <c r="C49" s="134">
        <v>14.15</v>
      </c>
      <c r="D49" s="134">
        <v>16.559999999999999</v>
      </c>
      <c r="E49" s="134">
        <v>3.61</v>
      </c>
      <c r="F49" s="134">
        <v>3.54</v>
      </c>
      <c r="G49" s="134">
        <v>19.91</v>
      </c>
      <c r="H49" s="134">
        <v>6.64</v>
      </c>
      <c r="I49" s="134">
        <v>4</v>
      </c>
      <c r="J49" s="134">
        <v>0.81</v>
      </c>
      <c r="K49" s="134">
        <v>277.97000000000003</v>
      </c>
      <c r="L49" s="134">
        <v>30.07</v>
      </c>
      <c r="M49" s="134">
        <v>71.55</v>
      </c>
      <c r="N49" s="134">
        <v>417.7</v>
      </c>
      <c r="O49" s="134">
        <v>0</v>
      </c>
      <c r="P49" s="134">
        <v>0.43</v>
      </c>
      <c r="Q49" s="134">
        <v>4.51</v>
      </c>
    </row>
    <row r="50" spans="1:17" customFormat="1">
      <c r="A50" s="112" t="s">
        <v>2679</v>
      </c>
      <c r="B50" s="134">
        <v>9.65</v>
      </c>
      <c r="C50" s="134">
        <v>14.28</v>
      </c>
      <c r="D50" s="134">
        <v>16.55</v>
      </c>
      <c r="E50" s="134">
        <v>4.59</v>
      </c>
      <c r="F50" s="134">
        <v>3.67</v>
      </c>
      <c r="G50" s="134">
        <v>19.91</v>
      </c>
      <c r="H50" s="134">
        <v>6.64</v>
      </c>
      <c r="I50" s="134">
        <v>4.08</v>
      </c>
      <c r="J50" s="134">
        <v>0.62</v>
      </c>
      <c r="K50" s="134">
        <v>292.89999999999998</v>
      </c>
      <c r="L50" s="134">
        <v>30.77</v>
      </c>
      <c r="M50" s="134">
        <v>69.78</v>
      </c>
      <c r="N50" s="134">
        <v>459</v>
      </c>
      <c r="O50" s="134">
        <v>0</v>
      </c>
      <c r="P50" s="134">
        <v>0.44</v>
      </c>
      <c r="Q50" s="134">
        <v>4.5</v>
      </c>
    </row>
    <row r="51" spans="1:17" customFormat="1">
      <c r="A51" s="112" t="s">
        <v>2680</v>
      </c>
      <c r="B51" s="134">
        <v>9.4</v>
      </c>
      <c r="C51" s="134">
        <v>14.31</v>
      </c>
      <c r="D51" s="134">
        <v>16.36</v>
      </c>
      <c r="E51" s="134">
        <v>4.8</v>
      </c>
      <c r="F51" s="134">
        <v>3.41</v>
      </c>
      <c r="G51" s="134">
        <v>19.91</v>
      </c>
      <c r="H51" s="134">
        <v>6.64</v>
      </c>
      <c r="I51" s="134">
        <v>4.1399999999999997</v>
      </c>
      <c r="J51" s="134">
        <v>0.87</v>
      </c>
      <c r="K51" s="134">
        <v>271.32</v>
      </c>
      <c r="L51" s="134">
        <v>30.43</v>
      </c>
      <c r="M51" s="134">
        <v>69.760000000000005</v>
      </c>
      <c r="N51" s="134">
        <v>278.7</v>
      </c>
      <c r="O51" s="134">
        <v>0</v>
      </c>
      <c r="P51" s="134">
        <v>0.44</v>
      </c>
      <c r="Q51" s="134">
        <v>4.4800000000000004</v>
      </c>
    </row>
    <row r="52" spans="1:17" customFormat="1">
      <c r="A52" s="112" t="s">
        <v>2681</v>
      </c>
      <c r="B52" s="134">
        <v>8.81</v>
      </c>
      <c r="C52" s="134">
        <v>15.27</v>
      </c>
      <c r="D52" s="134">
        <v>16.39</v>
      </c>
      <c r="E52" s="134">
        <v>5.0999999999999996</v>
      </c>
      <c r="F52" s="134">
        <v>3.72</v>
      </c>
      <c r="G52" s="134">
        <v>20.84</v>
      </c>
      <c r="H52" s="134">
        <v>6.71</v>
      </c>
      <c r="I52" s="134">
        <v>4.1900000000000004</v>
      </c>
      <c r="J52" s="134">
        <v>0.73</v>
      </c>
      <c r="K52" s="134">
        <v>282.82</v>
      </c>
      <c r="L52" s="134">
        <v>30.73</v>
      </c>
      <c r="M52" s="134">
        <v>68.650000000000006</v>
      </c>
      <c r="N52" s="134">
        <v>418.7</v>
      </c>
      <c r="O52" s="134">
        <v>0</v>
      </c>
      <c r="P52" s="134">
        <v>0.47</v>
      </c>
      <c r="Q52" s="134">
        <v>4.51</v>
      </c>
    </row>
    <row r="53" spans="1:17" customFormat="1">
      <c r="A53" s="112" t="s">
        <v>2682</v>
      </c>
      <c r="B53" s="134">
        <v>8.33</v>
      </c>
      <c r="C53" s="134">
        <v>15.01</v>
      </c>
      <c r="D53" s="134">
        <v>15.87</v>
      </c>
      <c r="E53" s="134">
        <v>4.8099999999999996</v>
      </c>
      <c r="F53" s="134">
        <v>4.49</v>
      </c>
      <c r="G53" s="134">
        <v>28.26</v>
      </c>
      <c r="H53" s="134">
        <v>7.19</v>
      </c>
      <c r="I53" s="134">
        <v>4.2300000000000004</v>
      </c>
      <c r="J53" s="134">
        <v>0.84</v>
      </c>
      <c r="K53" s="134">
        <v>279.06</v>
      </c>
      <c r="L53" s="134">
        <v>30.29</v>
      </c>
      <c r="M53" s="134">
        <v>70.349999999999994</v>
      </c>
      <c r="N53" s="134">
        <v>488</v>
      </c>
      <c r="O53" s="134">
        <v>0</v>
      </c>
      <c r="P53" s="134">
        <v>0.46</v>
      </c>
      <c r="Q53" s="134">
        <v>4.51</v>
      </c>
    </row>
    <row r="54" spans="1:17" customFormat="1">
      <c r="A54" s="112" t="s">
        <v>2683</v>
      </c>
      <c r="B54" s="134">
        <v>8.24</v>
      </c>
      <c r="C54" s="134">
        <v>14.63</v>
      </c>
      <c r="D54" s="134">
        <v>15.6</v>
      </c>
      <c r="E54" s="134">
        <v>4.16</v>
      </c>
      <c r="F54" s="134">
        <v>4.4000000000000004</v>
      </c>
      <c r="G54" s="134">
        <v>28.26</v>
      </c>
      <c r="H54" s="134">
        <v>7.19</v>
      </c>
      <c r="I54" s="134">
        <v>4.25</v>
      </c>
      <c r="J54" s="134">
        <v>0.81</v>
      </c>
      <c r="K54" s="134">
        <v>296.10000000000002</v>
      </c>
      <c r="L54" s="134">
        <v>31.11</v>
      </c>
      <c r="M54" s="134">
        <v>64.8</v>
      </c>
      <c r="N54" s="134">
        <v>660.4</v>
      </c>
      <c r="O54" s="134">
        <v>0</v>
      </c>
      <c r="P54" s="134">
        <v>0.45</v>
      </c>
      <c r="Q54" s="134">
        <v>4.4800000000000004</v>
      </c>
    </row>
    <row r="55" spans="1:17" customFormat="1">
      <c r="A55" s="112" t="s">
        <v>2684</v>
      </c>
      <c r="B55" s="134">
        <v>8.06</v>
      </c>
      <c r="C55" s="134">
        <v>14.71</v>
      </c>
      <c r="D55" s="134">
        <v>15.5</v>
      </c>
      <c r="E55" s="134">
        <v>4.3</v>
      </c>
      <c r="F55" s="134">
        <v>4.74</v>
      </c>
      <c r="G55" s="134">
        <v>28.26</v>
      </c>
      <c r="H55" s="134">
        <v>7.19</v>
      </c>
      <c r="I55" s="134">
        <v>4.2300000000000004</v>
      </c>
      <c r="J55" s="134">
        <v>0.89</v>
      </c>
      <c r="K55" s="134">
        <v>284.41000000000003</v>
      </c>
      <c r="L55" s="134">
        <v>31.71</v>
      </c>
      <c r="M55" s="134">
        <v>62.51</v>
      </c>
      <c r="N55" s="134">
        <v>810.1</v>
      </c>
      <c r="O55" s="134">
        <v>0</v>
      </c>
      <c r="P55" s="134">
        <v>0.45</v>
      </c>
      <c r="Q55" s="134">
        <v>4.43</v>
      </c>
    </row>
    <row r="56" spans="1:17" customFormat="1">
      <c r="A56" s="112" t="s">
        <v>2685</v>
      </c>
      <c r="B56" s="134">
        <v>7.78</v>
      </c>
      <c r="C56" s="134">
        <v>14.85</v>
      </c>
      <c r="D56" s="134">
        <v>15.35</v>
      </c>
      <c r="E56" s="134">
        <v>4.09</v>
      </c>
      <c r="F56" s="134">
        <v>4.7</v>
      </c>
      <c r="G56" s="134">
        <v>28.89</v>
      </c>
      <c r="H56" s="134">
        <v>7.18</v>
      </c>
      <c r="I56" s="134">
        <v>4.18</v>
      </c>
      <c r="J56" s="134">
        <v>0.83</v>
      </c>
      <c r="K56" s="134">
        <v>284.58999999999997</v>
      </c>
      <c r="L56" s="134">
        <v>32.29</v>
      </c>
      <c r="M56" s="134">
        <v>59.54</v>
      </c>
      <c r="N56" s="134">
        <v>830.2</v>
      </c>
      <c r="O56" s="134">
        <v>0</v>
      </c>
      <c r="P56" s="134">
        <v>0.45</v>
      </c>
      <c r="Q56" s="134">
        <v>4.42</v>
      </c>
    </row>
    <row r="57" spans="1:17" customFormat="1">
      <c r="A57" s="112" t="s">
        <v>2686</v>
      </c>
      <c r="B57" s="134">
        <v>7.44</v>
      </c>
      <c r="C57" s="134">
        <v>14.76</v>
      </c>
      <c r="D57" s="134">
        <v>15.02</v>
      </c>
      <c r="E57" s="134">
        <v>3.85</v>
      </c>
      <c r="F57" s="134">
        <v>6.49</v>
      </c>
      <c r="G57" s="134">
        <v>33.9</v>
      </c>
      <c r="H57" s="134">
        <v>7.11</v>
      </c>
      <c r="I57" s="134">
        <v>4.12</v>
      </c>
      <c r="J57" s="134">
        <v>0.73</v>
      </c>
      <c r="K57" s="134">
        <v>287.04000000000002</v>
      </c>
      <c r="L57" s="134">
        <v>32.35</v>
      </c>
      <c r="M57" s="134">
        <v>60.15</v>
      </c>
      <c r="N57" s="134">
        <v>699.2</v>
      </c>
      <c r="O57" s="134">
        <v>0</v>
      </c>
      <c r="P57" s="134">
        <v>0.43</v>
      </c>
      <c r="Q57" s="134">
        <v>4.42</v>
      </c>
    </row>
    <row r="58" spans="1:17" customFormat="1">
      <c r="A58" s="112" t="s">
        <v>2687</v>
      </c>
      <c r="B58" s="134">
        <v>7.75</v>
      </c>
      <c r="C58" s="134">
        <v>14.61</v>
      </c>
      <c r="D58" s="134">
        <v>15.2</v>
      </c>
      <c r="E58" s="134">
        <v>4</v>
      </c>
      <c r="F58" s="134">
        <v>5.27</v>
      </c>
      <c r="G58" s="134">
        <v>33.9</v>
      </c>
      <c r="H58" s="134">
        <v>7.11</v>
      </c>
      <c r="I58" s="134">
        <v>4.04</v>
      </c>
      <c r="J58" s="134">
        <v>0.78</v>
      </c>
      <c r="K58" s="134">
        <v>295.42</v>
      </c>
      <c r="L58" s="134">
        <v>32.380000000000003</v>
      </c>
      <c r="M58" s="134">
        <v>60.4</v>
      </c>
      <c r="N58" s="134">
        <v>697.7</v>
      </c>
      <c r="O58" s="134">
        <v>0</v>
      </c>
      <c r="P58" s="134">
        <v>0.43</v>
      </c>
      <c r="Q58" s="134">
        <v>4.41</v>
      </c>
    </row>
    <row r="59" spans="1:17" customFormat="1">
      <c r="A59" s="112" t="s">
        <v>2688</v>
      </c>
      <c r="B59" s="134">
        <v>7.61</v>
      </c>
      <c r="C59" s="134">
        <v>14.51</v>
      </c>
      <c r="D59" s="134">
        <v>15.04</v>
      </c>
      <c r="E59" s="134">
        <v>3.43</v>
      </c>
      <c r="F59" s="134">
        <v>4.3600000000000003</v>
      </c>
      <c r="G59" s="134">
        <v>33.9</v>
      </c>
      <c r="H59" s="134">
        <v>7.11</v>
      </c>
      <c r="I59" s="134">
        <v>3.94</v>
      </c>
      <c r="J59" s="134">
        <v>0.92</v>
      </c>
      <c r="K59" s="134">
        <v>278.29000000000002</v>
      </c>
      <c r="L59" s="134">
        <v>31.79</v>
      </c>
      <c r="M59" s="134">
        <v>61.59</v>
      </c>
      <c r="N59" s="134">
        <v>497.6</v>
      </c>
      <c r="O59" s="134">
        <v>0</v>
      </c>
      <c r="P59" s="134">
        <v>0.42</v>
      </c>
      <c r="Q59" s="134">
        <v>4.3899999999999997</v>
      </c>
    </row>
    <row r="60" spans="1:17" customFormat="1">
      <c r="A60" s="112" t="s">
        <v>2689</v>
      </c>
      <c r="B60" s="134">
        <v>7.51</v>
      </c>
      <c r="C60" s="134">
        <v>14.25</v>
      </c>
      <c r="D60" s="134">
        <v>14.82</v>
      </c>
      <c r="E60" s="134">
        <v>4.16</v>
      </c>
      <c r="F60" s="134">
        <v>4.3499999999999996</v>
      </c>
      <c r="G60" s="134">
        <v>34.299999999999997</v>
      </c>
      <c r="H60" s="134">
        <v>7.03</v>
      </c>
      <c r="I60" s="134">
        <v>3.99</v>
      </c>
      <c r="J60" s="134">
        <v>1</v>
      </c>
      <c r="K60" s="134">
        <v>273.67</v>
      </c>
      <c r="L60" s="134">
        <v>32.130000000000003</v>
      </c>
      <c r="M60" s="134">
        <v>60.37</v>
      </c>
      <c r="N60" s="134">
        <v>820.5</v>
      </c>
      <c r="O60" s="134">
        <v>0</v>
      </c>
      <c r="P60" s="134">
        <v>0.42</v>
      </c>
      <c r="Q60" s="134">
        <v>4.3600000000000003</v>
      </c>
    </row>
    <row r="61" spans="1:17" customFormat="1">
      <c r="A61" s="112" t="s">
        <v>2690</v>
      </c>
      <c r="B61" s="134">
        <v>7.39</v>
      </c>
      <c r="C61" s="134">
        <v>14.03</v>
      </c>
      <c r="D61" s="134">
        <v>14.61</v>
      </c>
      <c r="E61" s="134">
        <v>4.18</v>
      </c>
      <c r="F61" s="134">
        <v>4.93</v>
      </c>
      <c r="G61" s="134">
        <v>37.44</v>
      </c>
      <c r="H61" s="134">
        <v>6.51</v>
      </c>
      <c r="I61" s="134">
        <v>3.97</v>
      </c>
      <c r="J61" s="134">
        <v>0.99</v>
      </c>
      <c r="K61" s="134">
        <v>300.56</v>
      </c>
      <c r="L61" s="134">
        <v>32.200000000000003</v>
      </c>
      <c r="M61" s="134">
        <v>59.2</v>
      </c>
      <c r="N61" s="134">
        <v>704.9</v>
      </c>
      <c r="O61" s="134">
        <v>0</v>
      </c>
      <c r="P61" s="134">
        <v>0.42</v>
      </c>
      <c r="Q61" s="134">
        <v>4.3600000000000003</v>
      </c>
    </row>
    <row r="62" spans="1:17" customFormat="1">
      <c r="A62" s="112" t="s">
        <v>2691</v>
      </c>
      <c r="B62" s="134">
        <v>7.27</v>
      </c>
      <c r="C62" s="134">
        <v>13.86</v>
      </c>
      <c r="D62" s="134">
        <v>14.43</v>
      </c>
      <c r="E62" s="134">
        <v>4.1100000000000003</v>
      </c>
      <c r="F62" s="134">
        <v>4.96</v>
      </c>
      <c r="G62" s="134">
        <v>37.44</v>
      </c>
      <c r="H62" s="134">
        <v>6.51</v>
      </c>
      <c r="I62" s="134">
        <v>3.9</v>
      </c>
      <c r="J62" s="134">
        <v>0.94</v>
      </c>
      <c r="K62" s="134">
        <v>260.58</v>
      </c>
      <c r="L62" s="134">
        <v>32.44</v>
      </c>
      <c r="M62" s="134">
        <v>61.35</v>
      </c>
      <c r="N62" s="134">
        <v>606.6</v>
      </c>
      <c r="O62" s="134">
        <v>0</v>
      </c>
      <c r="P62" s="134">
        <v>0.41</v>
      </c>
      <c r="Q62" s="134">
        <v>4.34</v>
      </c>
    </row>
    <row r="63" spans="1:17" customFormat="1">
      <c r="A63" s="112" t="s">
        <v>2692</v>
      </c>
      <c r="B63" s="134">
        <v>7.11</v>
      </c>
      <c r="C63" s="134">
        <v>13.82</v>
      </c>
      <c r="D63" s="134">
        <v>14.27</v>
      </c>
      <c r="E63" s="134">
        <v>4.1399999999999997</v>
      </c>
      <c r="F63" s="134">
        <v>4.46</v>
      </c>
      <c r="G63" s="134">
        <v>37.44</v>
      </c>
      <c r="H63" s="134">
        <v>6.51</v>
      </c>
      <c r="I63" s="134">
        <v>3.85</v>
      </c>
      <c r="J63" s="134">
        <v>1.1000000000000001</v>
      </c>
      <c r="K63" s="134">
        <v>266.56</v>
      </c>
      <c r="L63" s="134">
        <v>32.43</v>
      </c>
      <c r="M63" s="134">
        <v>59.4</v>
      </c>
      <c r="N63" s="134">
        <v>780.4</v>
      </c>
      <c r="O63" s="134">
        <v>0</v>
      </c>
      <c r="P63" s="134">
        <v>0.41</v>
      </c>
      <c r="Q63" s="134">
        <v>4.29</v>
      </c>
    </row>
    <row r="64" spans="1:17" customFormat="1">
      <c r="A64" s="112" t="s">
        <v>2693</v>
      </c>
      <c r="B64" s="134">
        <v>6.9</v>
      </c>
      <c r="C64" s="134">
        <v>13.82</v>
      </c>
      <c r="D64" s="134">
        <v>14.11</v>
      </c>
      <c r="E64" s="134">
        <v>4.0599999999999996</v>
      </c>
      <c r="F64" s="134">
        <v>4.97</v>
      </c>
      <c r="G64" s="134">
        <v>37.19</v>
      </c>
      <c r="H64" s="134">
        <v>6.33</v>
      </c>
      <c r="I64" s="134">
        <v>3.82</v>
      </c>
      <c r="J64" s="134">
        <v>1.03</v>
      </c>
      <c r="K64" s="134">
        <v>271.48</v>
      </c>
      <c r="L64" s="134">
        <v>32.58</v>
      </c>
      <c r="M64" s="134">
        <v>59.53</v>
      </c>
      <c r="N64" s="134">
        <v>752.2</v>
      </c>
      <c r="O64" s="134">
        <v>0</v>
      </c>
      <c r="P64" s="134">
        <v>0.42</v>
      </c>
      <c r="Q64" s="134">
        <v>4.2699999999999996</v>
      </c>
    </row>
    <row r="65" spans="1:17" customFormat="1">
      <c r="A65" s="112" t="s">
        <v>2694</v>
      </c>
      <c r="B65" s="134">
        <v>6.52</v>
      </c>
      <c r="C65" s="134">
        <v>13.77</v>
      </c>
      <c r="D65" s="134">
        <v>13.77</v>
      </c>
      <c r="E65" s="134">
        <v>4.2699999999999996</v>
      </c>
      <c r="F65" s="134">
        <v>5.34</v>
      </c>
      <c r="G65" s="134">
        <v>35.22</v>
      </c>
      <c r="H65" s="134">
        <v>5.19</v>
      </c>
      <c r="I65" s="134">
        <v>3.82</v>
      </c>
      <c r="J65" s="134">
        <v>0.96</v>
      </c>
      <c r="K65" s="134">
        <v>287.02999999999997</v>
      </c>
      <c r="L65" s="134">
        <v>32.5</v>
      </c>
      <c r="M65" s="134">
        <v>57.75</v>
      </c>
      <c r="N65" s="134">
        <v>653.20000000000005</v>
      </c>
      <c r="O65" s="134">
        <v>0</v>
      </c>
      <c r="P65" s="134">
        <v>0.35</v>
      </c>
      <c r="Q65" s="134">
        <v>4.25</v>
      </c>
    </row>
    <row r="66" spans="1:17" customFormat="1">
      <c r="A66" s="112" t="s">
        <v>2695</v>
      </c>
      <c r="B66" s="134">
        <v>6.55</v>
      </c>
      <c r="C66" s="134">
        <v>13.66</v>
      </c>
      <c r="D66" s="134">
        <v>13.75</v>
      </c>
      <c r="E66" s="134">
        <v>4.12</v>
      </c>
      <c r="F66" s="134">
        <v>4.51</v>
      </c>
      <c r="G66" s="134">
        <v>35.22</v>
      </c>
      <c r="H66" s="134">
        <v>5.19</v>
      </c>
      <c r="I66" s="134">
        <v>3.78</v>
      </c>
      <c r="J66" s="134">
        <v>0.97</v>
      </c>
      <c r="K66" s="134">
        <v>290.39999999999998</v>
      </c>
      <c r="L66" s="134">
        <v>32.46</v>
      </c>
      <c r="M66" s="134">
        <v>57.52</v>
      </c>
      <c r="N66" s="134">
        <v>394.9</v>
      </c>
      <c r="O66" s="134">
        <v>0</v>
      </c>
      <c r="P66" s="134">
        <v>0.37</v>
      </c>
      <c r="Q66" s="134">
        <v>4.2300000000000004</v>
      </c>
    </row>
    <row r="67" spans="1:17" customFormat="1">
      <c r="A67" s="112" t="s">
        <v>2696</v>
      </c>
      <c r="B67" s="134">
        <v>6.48</v>
      </c>
      <c r="C67" s="134">
        <v>14.12</v>
      </c>
      <c r="D67" s="134">
        <v>13.93</v>
      </c>
      <c r="E67" s="134">
        <v>3.93</v>
      </c>
      <c r="F67" s="134">
        <v>4.3600000000000003</v>
      </c>
      <c r="G67" s="134">
        <v>35.22</v>
      </c>
      <c r="H67" s="134">
        <v>5.19</v>
      </c>
      <c r="I67" s="134">
        <v>3.73</v>
      </c>
      <c r="J67" s="134">
        <v>0.89</v>
      </c>
      <c r="K67" s="134">
        <v>13.99</v>
      </c>
      <c r="L67" s="134">
        <v>31.15</v>
      </c>
      <c r="M67" s="134">
        <v>62.36</v>
      </c>
      <c r="N67" s="134">
        <v>150.30000000000001</v>
      </c>
      <c r="O67" s="134">
        <v>0</v>
      </c>
      <c r="P67" s="134">
        <v>0.37</v>
      </c>
      <c r="Q67" s="134">
        <v>4.25</v>
      </c>
    </row>
    <row r="68" spans="1:17" customFormat="1">
      <c r="A68" s="112" t="s">
        <v>2697</v>
      </c>
      <c r="B68" s="134">
        <v>6.66</v>
      </c>
      <c r="C68" s="134">
        <v>13.84</v>
      </c>
      <c r="D68" s="134">
        <v>13.92</v>
      </c>
      <c r="E68" s="134">
        <v>3.58</v>
      </c>
      <c r="F68" s="134">
        <v>5.29</v>
      </c>
      <c r="G68" s="134">
        <v>35.200000000000003</v>
      </c>
      <c r="H68" s="134">
        <v>5.5</v>
      </c>
      <c r="I68" s="134">
        <v>3.67</v>
      </c>
      <c r="J68" s="134">
        <v>0.65</v>
      </c>
      <c r="K68" s="134">
        <v>13.59</v>
      </c>
      <c r="L68" s="134">
        <v>30.24</v>
      </c>
      <c r="M68" s="134">
        <v>66.989999999999995</v>
      </c>
      <c r="N68" s="134">
        <v>439.6</v>
      </c>
      <c r="O68" s="134">
        <v>0</v>
      </c>
      <c r="P68" s="134">
        <v>0.36</v>
      </c>
      <c r="Q68" s="134">
        <v>4.24</v>
      </c>
    </row>
    <row r="69" spans="1:17" customFormat="1">
      <c r="A69" s="112" t="s">
        <v>2698</v>
      </c>
      <c r="B69" s="134">
        <v>6.87</v>
      </c>
      <c r="C69" s="134">
        <v>13.71</v>
      </c>
      <c r="D69" s="134">
        <v>14.03</v>
      </c>
      <c r="E69" s="134">
        <v>3.87</v>
      </c>
      <c r="F69" s="134">
        <v>5.46</v>
      </c>
      <c r="G69" s="134">
        <v>35.049999999999997</v>
      </c>
      <c r="H69" s="134">
        <v>7.48</v>
      </c>
      <c r="I69" s="134">
        <v>3.56</v>
      </c>
      <c r="J69" s="134">
        <v>0.63</v>
      </c>
      <c r="K69" s="134">
        <v>29.25</v>
      </c>
      <c r="L69" s="134">
        <v>30.88</v>
      </c>
      <c r="M69" s="134">
        <v>66.959999999999994</v>
      </c>
      <c r="N69" s="134">
        <v>523.5</v>
      </c>
      <c r="O69" s="134">
        <v>0</v>
      </c>
      <c r="P69" s="134">
        <v>0.35</v>
      </c>
      <c r="Q69" s="134">
        <v>4.2699999999999996</v>
      </c>
    </row>
    <row r="70" spans="1:17" customFormat="1">
      <c r="A70" s="112" t="s">
        <v>2699</v>
      </c>
      <c r="B70" s="134">
        <v>7.04</v>
      </c>
      <c r="C70" s="134">
        <v>13.64</v>
      </c>
      <c r="D70" s="134">
        <v>14.13</v>
      </c>
      <c r="E70" s="134">
        <v>3.81</v>
      </c>
      <c r="F70" s="134">
        <v>5.34</v>
      </c>
      <c r="G70" s="134">
        <v>35.049999999999997</v>
      </c>
      <c r="H70" s="134">
        <v>7.48</v>
      </c>
      <c r="I70" s="134">
        <v>3.48</v>
      </c>
      <c r="J70" s="134">
        <v>0.63</v>
      </c>
      <c r="K70" s="134">
        <v>17.89</v>
      </c>
      <c r="L70" s="134">
        <v>31.43</v>
      </c>
      <c r="M70" s="134">
        <v>64.86</v>
      </c>
      <c r="N70" s="134">
        <v>494.2</v>
      </c>
      <c r="O70" s="134">
        <v>0</v>
      </c>
      <c r="P70" s="134">
        <v>0.36</v>
      </c>
      <c r="Q70" s="134">
        <v>4.2699999999999996</v>
      </c>
    </row>
    <row r="71" spans="1:17" customFormat="1">
      <c r="A71" s="112" t="s">
        <v>2700</v>
      </c>
      <c r="B71" s="134">
        <v>7.19</v>
      </c>
      <c r="C71" s="134">
        <v>14.24</v>
      </c>
      <c r="D71" s="134">
        <v>14.56</v>
      </c>
      <c r="E71" s="134">
        <v>4.18</v>
      </c>
      <c r="F71" s="134">
        <v>4.79</v>
      </c>
      <c r="G71" s="134">
        <v>35.049999999999997</v>
      </c>
      <c r="H71" s="134">
        <v>7.48</v>
      </c>
      <c r="I71" s="134">
        <v>3.46</v>
      </c>
      <c r="J71" s="134">
        <v>0.44</v>
      </c>
      <c r="K71" s="134">
        <v>7.73</v>
      </c>
      <c r="L71" s="134">
        <v>32.39</v>
      </c>
      <c r="M71" s="134">
        <v>61.61</v>
      </c>
      <c r="N71" s="134">
        <v>478.8</v>
      </c>
      <c r="O71" s="134">
        <v>0</v>
      </c>
      <c r="P71" s="134">
        <v>0.37</v>
      </c>
      <c r="Q71" s="134">
        <v>4.28</v>
      </c>
    </row>
    <row r="72" spans="1:17" customFormat="1">
      <c r="A72" s="112" t="s">
        <v>2701</v>
      </c>
      <c r="B72" s="134">
        <v>6.9</v>
      </c>
      <c r="C72" s="134">
        <v>14.26</v>
      </c>
      <c r="D72" s="134">
        <v>14.34</v>
      </c>
      <c r="E72" s="134">
        <v>4.75</v>
      </c>
      <c r="F72" s="134">
        <v>6.07</v>
      </c>
      <c r="G72" s="134">
        <v>35.06</v>
      </c>
      <c r="H72" s="134">
        <v>7.25</v>
      </c>
      <c r="I72" s="134">
        <v>3.47</v>
      </c>
      <c r="J72" s="134">
        <v>0.52</v>
      </c>
      <c r="K72" s="134">
        <v>315.63</v>
      </c>
      <c r="L72" s="134">
        <v>32.47</v>
      </c>
      <c r="M72" s="134">
        <v>60.08</v>
      </c>
      <c r="N72" s="134">
        <v>376.1</v>
      </c>
      <c r="O72" s="134">
        <v>0</v>
      </c>
      <c r="P72" s="134">
        <v>0.38</v>
      </c>
      <c r="Q72" s="134">
        <v>4.3099999999999996</v>
      </c>
    </row>
    <row r="73" spans="1:17" customFormat="1">
      <c r="A73" s="112" t="s">
        <v>2702</v>
      </c>
      <c r="B73" s="134">
        <v>7.16</v>
      </c>
      <c r="C73" s="134">
        <v>14.07</v>
      </c>
      <c r="D73" s="134">
        <v>14.44</v>
      </c>
      <c r="E73" s="134">
        <v>5.19</v>
      </c>
      <c r="F73" s="134">
        <v>7.1</v>
      </c>
      <c r="G73" s="134">
        <v>35.119999999999997</v>
      </c>
      <c r="H73" s="134">
        <v>5.93</v>
      </c>
      <c r="I73" s="134">
        <v>3.49</v>
      </c>
      <c r="J73" s="134">
        <v>0.5</v>
      </c>
      <c r="K73" s="134">
        <v>286.95999999999998</v>
      </c>
      <c r="L73" s="134">
        <v>32.25</v>
      </c>
      <c r="M73" s="134">
        <v>61.52</v>
      </c>
      <c r="N73" s="134">
        <v>144.5</v>
      </c>
      <c r="O73" s="134">
        <v>0</v>
      </c>
      <c r="P73" s="134">
        <v>0.37</v>
      </c>
      <c r="Q73" s="134">
        <v>4.3600000000000003</v>
      </c>
    </row>
    <row r="74" spans="1:17" customFormat="1">
      <c r="A74" s="112" t="s">
        <v>2703</v>
      </c>
      <c r="B74" s="134">
        <v>7.2</v>
      </c>
      <c r="C74" s="134">
        <v>14.49</v>
      </c>
      <c r="D74" s="134">
        <v>14.7</v>
      </c>
      <c r="E74" s="134">
        <v>3.99</v>
      </c>
      <c r="F74" s="134">
        <v>5.5</v>
      </c>
      <c r="G74" s="134">
        <v>35.119999999999997</v>
      </c>
      <c r="H74" s="134">
        <v>5.93</v>
      </c>
      <c r="I74" s="134">
        <v>3.41</v>
      </c>
      <c r="J74" s="134">
        <v>0.66</v>
      </c>
      <c r="K74" s="134">
        <v>281.05</v>
      </c>
      <c r="L74" s="134">
        <v>31.17</v>
      </c>
      <c r="M74" s="134">
        <v>63.96</v>
      </c>
      <c r="N74" s="134">
        <v>67</v>
      </c>
      <c r="O74" s="134">
        <v>0</v>
      </c>
      <c r="P74" s="134">
        <v>0.37</v>
      </c>
      <c r="Q74" s="134">
        <v>4.3600000000000003</v>
      </c>
    </row>
    <row r="75" spans="1:17" customFormat="1">
      <c r="A75" s="112" t="s">
        <v>2704</v>
      </c>
      <c r="B75" s="134">
        <v>7.43</v>
      </c>
      <c r="C75" s="134">
        <v>13.96</v>
      </c>
      <c r="D75" s="134">
        <v>14.6</v>
      </c>
      <c r="E75" s="134">
        <v>3.63</v>
      </c>
      <c r="F75" s="134">
        <v>5.82</v>
      </c>
      <c r="G75" s="134">
        <v>35.119999999999997</v>
      </c>
      <c r="H75" s="134">
        <v>5.93</v>
      </c>
      <c r="I75" s="134">
        <v>3.33</v>
      </c>
      <c r="J75" s="134">
        <v>0.74</v>
      </c>
      <c r="K75" s="134">
        <v>281.45999999999998</v>
      </c>
      <c r="L75" s="134">
        <v>31.13</v>
      </c>
      <c r="M75" s="134">
        <v>64.86</v>
      </c>
      <c r="N75" s="134">
        <v>114.9</v>
      </c>
      <c r="O75" s="134">
        <v>0</v>
      </c>
      <c r="P75" s="134">
        <v>0.37</v>
      </c>
      <c r="Q75" s="134">
        <v>4.34</v>
      </c>
    </row>
    <row r="76" spans="1:17" customFormat="1">
      <c r="A76" s="112" t="s">
        <v>2705</v>
      </c>
      <c r="B76" s="134">
        <v>7.32</v>
      </c>
      <c r="C76" s="134">
        <v>14.14</v>
      </c>
      <c r="D76" s="134">
        <v>14.61</v>
      </c>
      <c r="E76" s="134">
        <v>3.86</v>
      </c>
      <c r="F76" s="134">
        <v>6.15</v>
      </c>
      <c r="G76" s="134">
        <v>35.24</v>
      </c>
      <c r="H76" s="134">
        <v>6.04</v>
      </c>
      <c r="I76" s="134">
        <v>3.41</v>
      </c>
      <c r="J76" s="134">
        <v>0.53</v>
      </c>
      <c r="K76" s="134">
        <v>280.52</v>
      </c>
      <c r="L76" s="134">
        <v>30.97</v>
      </c>
      <c r="M76" s="134">
        <v>66.180000000000007</v>
      </c>
      <c r="N76" s="134">
        <v>73.7</v>
      </c>
      <c r="O76" s="134">
        <v>0</v>
      </c>
      <c r="P76" s="134">
        <v>0.37</v>
      </c>
      <c r="Q76" s="134">
        <v>4.3499999999999996</v>
      </c>
    </row>
    <row r="77" spans="1:17" customFormat="1">
      <c r="A77" s="112" t="s">
        <v>2706</v>
      </c>
      <c r="B77" s="134">
        <v>7.22</v>
      </c>
      <c r="C77" s="134">
        <v>14.35</v>
      </c>
      <c r="D77" s="134">
        <v>14.64</v>
      </c>
      <c r="E77" s="134">
        <v>3.88</v>
      </c>
      <c r="F77" s="134">
        <v>6.15</v>
      </c>
      <c r="G77" s="134">
        <v>36.18</v>
      </c>
      <c r="H77" s="134">
        <v>6.79</v>
      </c>
      <c r="I77" s="134">
        <v>3.36</v>
      </c>
      <c r="J77" s="134">
        <v>0.47</v>
      </c>
      <c r="K77" s="134">
        <v>282.55</v>
      </c>
      <c r="L77" s="134">
        <v>30.98</v>
      </c>
      <c r="M77" s="134">
        <v>65.73</v>
      </c>
      <c r="N77" s="134">
        <v>61.2</v>
      </c>
      <c r="O77" s="134">
        <v>0</v>
      </c>
      <c r="P77" s="134">
        <v>0.36</v>
      </c>
      <c r="Q77" s="134">
        <v>4.38</v>
      </c>
    </row>
    <row r="78" spans="1:17" customFormat="1">
      <c r="A78" s="112" t="s">
        <v>2707</v>
      </c>
      <c r="B78" s="134">
        <v>7.44</v>
      </c>
      <c r="C78" s="134">
        <v>14.53</v>
      </c>
      <c r="D78" s="134">
        <v>14.91</v>
      </c>
      <c r="E78" s="134">
        <v>4.41</v>
      </c>
      <c r="F78" s="134">
        <v>6.32</v>
      </c>
      <c r="G78" s="134">
        <v>36.18</v>
      </c>
      <c r="H78" s="134">
        <v>6.79</v>
      </c>
      <c r="I78" s="134">
        <v>3.27</v>
      </c>
      <c r="J78" s="134">
        <v>0.46</v>
      </c>
      <c r="K78" s="134">
        <v>287.98</v>
      </c>
      <c r="L78" s="134">
        <v>30.95</v>
      </c>
      <c r="M78" s="134">
        <v>64.430000000000007</v>
      </c>
      <c r="N78" s="134">
        <v>59.4</v>
      </c>
      <c r="O78" s="134">
        <v>0</v>
      </c>
      <c r="P78" s="134">
        <v>0.38</v>
      </c>
      <c r="Q78" s="134">
        <v>4.38</v>
      </c>
    </row>
    <row r="79" spans="1:17" customFormat="1">
      <c r="A79" s="112" t="s">
        <v>2708</v>
      </c>
      <c r="B79" s="134">
        <v>7.84</v>
      </c>
      <c r="C79" s="134">
        <v>14.48</v>
      </c>
      <c r="D79" s="134">
        <v>15.21</v>
      </c>
      <c r="E79" s="134">
        <v>4.63</v>
      </c>
      <c r="F79" s="134">
        <v>6.48</v>
      </c>
      <c r="G79" s="134">
        <v>36.18</v>
      </c>
      <c r="H79" s="134">
        <v>6.79</v>
      </c>
      <c r="I79" s="134">
        <v>3.15</v>
      </c>
      <c r="J79" s="134">
        <v>0.63</v>
      </c>
      <c r="K79" s="134">
        <v>303.79000000000002</v>
      </c>
      <c r="L79" s="134">
        <v>30.86</v>
      </c>
      <c r="M79" s="134">
        <v>62.44</v>
      </c>
      <c r="N79" s="134">
        <v>25.1</v>
      </c>
      <c r="O79" s="134">
        <v>0</v>
      </c>
      <c r="P79" s="134">
        <v>0.38</v>
      </c>
      <c r="Q79" s="134">
        <v>4.4000000000000004</v>
      </c>
    </row>
    <row r="80" spans="1:17" customFormat="1">
      <c r="A80" s="112" t="s">
        <v>2709</v>
      </c>
      <c r="B80" s="134">
        <v>8.06</v>
      </c>
      <c r="C80" s="134">
        <v>14.96</v>
      </c>
      <c r="D80" s="134">
        <v>15.63</v>
      </c>
      <c r="E80" s="134">
        <v>4.54</v>
      </c>
      <c r="F80" s="134">
        <v>6.16</v>
      </c>
      <c r="G80" s="134">
        <v>36.57</v>
      </c>
      <c r="H80" s="134">
        <v>7.37</v>
      </c>
      <c r="I80" s="134">
        <v>3.22</v>
      </c>
      <c r="J80" s="134">
        <v>0.56999999999999995</v>
      </c>
      <c r="K80" s="134">
        <v>296.87</v>
      </c>
      <c r="L80" s="134">
        <v>30.57</v>
      </c>
      <c r="M80" s="134">
        <v>63.24</v>
      </c>
      <c r="N80" s="134">
        <v>8.6</v>
      </c>
      <c r="O80" s="134">
        <v>0</v>
      </c>
      <c r="P80" s="134">
        <v>0.39</v>
      </c>
      <c r="Q80" s="134">
        <v>4.41</v>
      </c>
    </row>
    <row r="81" spans="1:17" customFormat="1">
      <c r="A81" s="112" t="s">
        <v>2710</v>
      </c>
      <c r="B81" s="134">
        <v>7.89</v>
      </c>
      <c r="C81" s="134">
        <v>14.78</v>
      </c>
      <c r="D81" s="134">
        <v>15.4</v>
      </c>
      <c r="E81" s="134">
        <v>2.56</v>
      </c>
      <c r="F81" s="134">
        <v>8.1300000000000008</v>
      </c>
      <c r="G81" s="134">
        <v>39.67</v>
      </c>
      <c r="H81" s="134">
        <v>11.01</v>
      </c>
      <c r="I81" s="134">
        <v>3.27</v>
      </c>
      <c r="J81" s="134">
        <v>0.28000000000000003</v>
      </c>
      <c r="K81" s="134">
        <v>280.89999999999998</v>
      </c>
      <c r="L81" s="134">
        <v>30.21</v>
      </c>
      <c r="M81" s="134">
        <v>65.8</v>
      </c>
      <c r="N81" s="134">
        <v>0.2</v>
      </c>
      <c r="O81" s="134">
        <v>0</v>
      </c>
      <c r="P81" s="134">
        <v>0.4</v>
      </c>
      <c r="Q81" s="134">
        <v>4.45</v>
      </c>
    </row>
    <row r="82" spans="1:17" customFormat="1">
      <c r="A82" s="112" t="s">
        <v>2711</v>
      </c>
      <c r="B82" s="134">
        <v>8.36</v>
      </c>
      <c r="C82" s="134">
        <v>15.7</v>
      </c>
      <c r="D82" s="134">
        <v>16.260000000000002</v>
      </c>
      <c r="E82" s="134">
        <v>3.55</v>
      </c>
      <c r="F82" s="134">
        <v>6.38</v>
      </c>
      <c r="G82" s="134">
        <v>39.67</v>
      </c>
      <c r="H82" s="134">
        <v>11.01</v>
      </c>
      <c r="I82" s="134">
        <v>3.21</v>
      </c>
      <c r="J82" s="134">
        <v>0.4</v>
      </c>
      <c r="K82" s="134">
        <v>276.48</v>
      </c>
      <c r="L82" s="134">
        <v>29.94</v>
      </c>
      <c r="M82" s="134">
        <v>67.16</v>
      </c>
      <c r="N82" s="134">
        <v>0</v>
      </c>
      <c r="O82" s="134">
        <v>0</v>
      </c>
      <c r="P82" s="134">
        <v>0.42</v>
      </c>
      <c r="Q82" s="134">
        <v>4.45</v>
      </c>
    </row>
    <row r="83" spans="1:17" customFormat="1">
      <c r="A83" s="112" t="s">
        <v>2712</v>
      </c>
      <c r="B83" s="134">
        <v>8.19</v>
      </c>
      <c r="C83" s="134">
        <v>16.05</v>
      </c>
      <c r="D83" s="134">
        <v>16.3</v>
      </c>
      <c r="E83" s="134">
        <v>3.26</v>
      </c>
      <c r="F83" s="134">
        <v>5.21</v>
      </c>
      <c r="G83" s="134">
        <v>39.67</v>
      </c>
      <c r="H83" s="134">
        <v>11.01</v>
      </c>
      <c r="I83" s="134">
        <v>3.12</v>
      </c>
      <c r="J83" s="134">
        <v>0.46</v>
      </c>
      <c r="K83" s="134">
        <v>257.75</v>
      </c>
      <c r="L83" s="134">
        <v>29.73</v>
      </c>
      <c r="M83" s="134">
        <v>68.760000000000005</v>
      </c>
      <c r="N83" s="134">
        <v>0</v>
      </c>
      <c r="O83" s="134">
        <v>0</v>
      </c>
      <c r="P83" s="134">
        <v>0.4</v>
      </c>
      <c r="Q83" s="134">
        <v>4.4800000000000004</v>
      </c>
    </row>
    <row r="84" spans="1:17" customFormat="1">
      <c r="A84" s="112" t="s">
        <v>2713</v>
      </c>
      <c r="B84" s="134">
        <v>7.25</v>
      </c>
      <c r="C84" s="134">
        <v>13.93</v>
      </c>
      <c r="D84" s="134">
        <v>14.45</v>
      </c>
      <c r="E84" s="134">
        <v>2.72</v>
      </c>
      <c r="F84" s="134">
        <v>9.36</v>
      </c>
      <c r="G84" s="134">
        <v>39.85</v>
      </c>
      <c r="H84" s="134">
        <v>11.11</v>
      </c>
      <c r="I84" s="134">
        <v>3.3</v>
      </c>
      <c r="J84" s="134">
        <v>0.25</v>
      </c>
      <c r="K84" s="134">
        <v>249.2</v>
      </c>
      <c r="L84" s="134">
        <v>29.37</v>
      </c>
      <c r="M84" s="134">
        <v>71.88</v>
      </c>
      <c r="N84" s="134">
        <v>0</v>
      </c>
      <c r="O84" s="134">
        <v>0</v>
      </c>
      <c r="P84" s="134">
        <v>0.39</v>
      </c>
      <c r="Q84" s="134">
        <v>4.47</v>
      </c>
    </row>
    <row r="85" spans="1:17" customFormat="1">
      <c r="A85" s="112" t="s">
        <v>2714</v>
      </c>
      <c r="B85" s="134">
        <v>6.78</v>
      </c>
      <c r="C85" s="134">
        <v>13.12</v>
      </c>
      <c r="D85" s="134">
        <v>13.64</v>
      </c>
      <c r="E85" s="134">
        <v>2.77</v>
      </c>
      <c r="F85" s="134">
        <v>10.29</v>
      </c>
      <c r="G85" s="134">
        <v>41.28</v>
      </c>
      <c r="H85" s="134">
        <v>11.72</v>
      </c>
      <c r="I85" s="134">
        <v>3.3</v>
      </c>
      <c r="J85" s="134">
        <v>0.14000000000000001</v>
      </c>
      <c r="K85" s="134">
        <v>165.13</v>
      </c>
      <c r="L85" s="134">
        <v>28.89</v>
      </c>
      <c r="M85" s="134">
        <v>76.45</v>
      </c>
      <c r="N85" s="134">
        <v>0</v>
      </c>
      <c r="O85" s="134">
        <v>0</v>
      </c>
      <c r="P85" s="134">
        <v>0.39</v>
      </c>
      <c r="Q85" s="134">
        <v>4.49</v>
      </c>
    </row>
    <row r="86" spans="1:17" customFormat="1">
      <c r="A86" s="112" t="s">
        <v>2715</v>
      </c>
      <c r="B86" s="134">
        <v>7</v>
      </c>
      <c r="C86" s="134">
        <v>12.85</v>
      </c>
      <c r="D86" s="134">
        <v>13.67</v>
      </c>
      <c r="E86" s="134">
        <v>2.29</v>
      </c>
      <c r="F86" s="134">
        <v>8.15</v>
      </c>
      <c r="G86" s="134">
        <v>41.28</v>
      </c>
      <c r="H86" s="134">
        <v>11.72</v>
      </c>
      <c r="I86" s="134">
        <v>3.42</v>
      </c>
      <c r="J86" s="134">
        <v>0.13</v>
      </c>
      <c r="K86" s="134">
        <v>216.22</v>
      </c>
      <c r="L86" s="134">
        <v>28.53</v>
      </c>
      <c r="M86" s="134">
        <v>78.959999999999994</v>
      </c>
      <c r="N86" s="134">
        <v>0</v>
      </c>
      <c r="O86" s="134">
        <v>0</v>
      </c>
      <c r="P86" s="134">
        <v>0.39</v>
      </c>
      <c r="Q86" s="134">
        <v>4.45</v>
      </c>
    </row>
    <row r="87" spans="1:17" customFormat="1">
      <c r="A87" s="112" t="s">
        <v>2716</v>
      </c>
      <c r="B87" s="134">
        <v>7.51</v>
      </c>
      <c r="C87" s="134">
        <v>14.93</v>
      </c>
      <c r="D87" s="134">
        <v>15.17</v>
      </c>
      <c r="E87" s="134">
        <v>3.1</v>
      </c>
      <c r="F87" s="134">
        <v>4.84</v>
      </c>
      <c r="G87" s="134">
        <v>41.28</v>
      </c>
      <c r="H87" s="134">
        <v>11.72</v>
      </c>
      <c r="I87" s="134">
        <v>4.33</v>
      </c>
      <c r="J87" s="134">
        <v>0.37</v>
      </c>
      <c r="K87" s="134">
        <v>260.47000000000003</v>
      </c>
      <c r="L87" s="134">
        <v>28.65</v>
      </c>
      <c r="M87" s="134">
        <v>77.930000000000007</v>
      </c>
      <c r="N87" s="134">
        <v>0</v>
      </c>
      <c r="O87" s="134">
        <v>0</v>
      </c>
      <c r="P87" s="134">
        <v>0.42</v>
      </c>
      <c r="Q87" s="134">
        <v>4.4800000000000004</v>
      </c>
    </row>
    <row r="88" spans="1:17" customFormat="1">
      <c r="A88" s="112" t="s">
        <v>2717</v>
      </c>
      <c r="B88" s="134">
        <v>7.07</v>
      </c>
      <c r="C88" s="134">
        <v>14.16</v>
      </c>
      <c r="D88" s="134">
        <v>14.42</v>
      </c>
      <c r="E88" s="134">
        <v>3.54</v>
      </c>
      <c r="F88" s="134">
        <v>6.93</v>
      </c>
      <c r="G88" s="134">
        <v>41.08</v>
      </c>
      <c r="H88" s="134">
        <v>11.46</v>
      </c>
      <c r="I88" s="134">
        <v>4.68</v>
      </c>
      <c r="J88" s="134">
        <v>0.27</v>
      </c>
      <c r="K88" s="134">
        <v>257.01</v>
      </c>
      <c r="L88" s="134">
        <v>28.63</v>
      </c>
      <c r="M88" s="134">
        <v>77.150000000000006</v>
      </c>
      <c r="N88" s="134">
        <v>0</v>
      </c>
      <c r="O88" s="134">
        <v>0</v>
      </c>
      <c r="P88" s="134">
        <v>0.43</v>
      </c>
      <c r="Q88" s="134">
        <v>4.49</v>
      </c>
    </row>
    <row r="89" spans="1:17" customFormat="1">
      <c r="A89" s="112" t="s">
        <v>2718</v>
      </c>
      <c r="B89" s="134">
        <v>6.84</v>
      </c>
      <c r="C89" s="134">
        <v>12.87</v>
      </c>
      <c r="D89" s="134">
        <v>13.56</v>
      </c>
      <c r="E89" s="134">
        <v>3.52</v>
      </c>
      <c r="F89" s="134">
        <v>8.59</v>
      </c>
      <c r="G89" s="134">
        <v>39.479999999999997</v>
      </c>
      <c r="H89" s="134">
        <v>9.9499999999999993</v>
      </c>
      <c r="I89" s="134">
        <v>4.09</v>
      </c>
      <c r="J89" s="134">
        <v>0.37</v>
      </c>
      <c r="K89" s="134">
        <v>261.08999999999997</v>
      </c>
      <c r="L89" s="134">
        <v>28.44</v>
      </c>
      <c r="M89" s="134">
        <v>77.56</v>
      </c>
      <c r="N89" s="134">
        <v>0</v>
      </c>
      <c r="O89" s="134">
        <v>0</v>
      </c>
      <c r="P89" s="134">
        <v>0.41</v>
      </c>
      <c r="Q89" s="134">
        <v>4.46</v>
      </c>
    </row>
    <row r="90" spans="1:17" customFormat="1">
      <c r="A90" s="112" t="s">
        <v>2719</v>
      </c>
      <c r="B90" s="134">
        <v>7.32</v>
      </c>
      <c r="C90" s="134">
        <v>13.79</v>
      </c>
      <c r="D90" s="134">
        <v>14.43</v>
      </c>
      <c r="E90" s="134">
        <v>3.23</v>
      </c>
      <c r="F90" s="134">
        <v>5.78</v>
      </c>
      <c r="G90" s="134">
        <v>39.479999999999997</v>
      </c>
      <c r="H90" s="134">
        <v>9.9499999999999993</v>
      </c>
      <c r="I90" s="134">
        <v>3.99</v>
      </c>
      <c r="J90" s="134">
        <v>0.22</v>
      </c>
      <c r="K90" s="134">
        <v>244.55</v>
      </c>
      <c r="L90" s="134">
        <v>28.31</v>
      </c>
      <c r="M90" s="134">
        <v>78.540000000000006</v>
      </c>
      <c r="N90" s="134">
        <v>0</v>
      </c>
      <c r="O90" s="134">
        <v>0</v>
      </c>
      <c r="P90" s="134">
        <v>0.41</v>
      </c>
      <c r="Q90" s="134">
        <v>4.43</v>
      </c>
    </row>
    <row r="91" spans="1:17" customFormat="1">
      <c r="A91" s="112" t="s">
        <v>2720</v>
      </c>
      <c r="B91" s="134">
        <v>6.67</v>
      </c>
      <c r="C91" s="134">
        <v>14.12</v>
      </c>
      <c r="D91" s="134">
        <v>14.07</v>
      </c>
      <c r="E91" s="134">
        <v>3.27</v>
      </c>
      <c r="F91" s="134">
        <v>6.54</v>
      </c>
      <c r="G91" s="134">
        <v>39.479999999999997</v>
      </c>
      <c r="H91" s="134">
        <v>9.9499999999999993</v>
      </c>
      <c r="I91" s="134">
        <v>3.93</v>
      </c>
      <c r="J91" s="134">
        <v>0.13</v>
      </c>
      <c r="K91" s="134">
        <v>183.55</v>
      </c>
      <c r="L91" s="134">
        <v>28.07</v>
      </c>
      <c r="M91" s="134">
        <v>79.81</v>
      </c>
      <c r="N91" s="134">
        <v>0</v>
      </c>
      <c r="O91" s="134">
        <v>0</v>
      </c>
      <c r="P91" s="134">
        <v>0.42</v>
      </c>
      <c r="Q91" s="134">
        <v>4.45</v>
      </c>
    </row>
    <row r="92" spans="1:17" customFormat="1">
      <c r="A92" s="112" t="s">
        <v>2721</v>
      </c>
      <c r="B92" s="134">
        <v>6.36</v>
      </c>
      <c r="C92" s="134">
        <v>12.67</v>
      </c>
      <c r="D92" s="134">
        <v>13.07</v>
      </c>
      <c r="E92" s="134">
        <v>2.93</v>
      </c>
      <c r="F92" s="134">
        <v>8.31</v>
      </c>
      <c r="G92" s="134">
        <v>39.15</v>
      </c>
      <c r="H92" s="134">
        <v>9.8699999999999992</v>
      </c>
      <c r="I92" s="134">
        <v>3.88</v>
      </c>
      <c r="J92" s="134">
        <v>0.1</v>
      </c>
      <c r="K92" s="134">
        <v>177.86</v>
      </c>
      <c r="L92" s="134">
        <v>27.79</v>
      </c>
      <c r="M92" s="134">
        <v>82.04</v>
      </c>
      <c r="N92" s="134">
        <v>0</v>
      </c>
      <c r="O92" s="134">
        <v>0</v>
      </c>
      <c r="P92" s="134">
        <v>0.41</v>
      </c>
      <c r="Q92" s="134">
        <v>4.41</v>
      </c>
    </row>
    <row r="93" spans="1:17" customFormat="1">
      <c r="A93" s="112" t="s">
        <v>2722</v>
      </c>
      <c r="B93" s="134">
        <v>6.55</v>
      </c>
      <c r="C93" s="134">
        <v>11.81</v>
      </c>
      <c r="D93" s="134">
        <v>12.77</v>
      </c>
      <c r="E93" s="134">
        <v>3.11</v>
      </c>
      <c r="F93" s="134">
        <v>8.6300000000000008</v>
      </c>
      <c r="G93" s="134">
        <v>36.520000000000003</v>
      </c>
      <c r="H93" s="134">
        <v>9.4</v>
      </c>
      <c r="I93" s="134">
        <v>3.79</v>
      </c>
      <c r="J93" s="134">
        <v>0.22</v>
      </c>
      <c r="K93" s="134">
        <v>247.53</v>
      </c>
      <c r="L93" s="134">
        <v>27.8</v>
      </c>
      <c r="M93" s="134">
        <v>83.25</v>
      </c>
      <c r="N93" s="134">
        <v>0</v>
      </c>
      <c r="O93" s="134">
        <v>0</v>
      </c>
      <c r="P93" s="134">
        <v>0.4</v>
      </c>
      <c r="Q93" s="134">
        <v>4.41</v>
      </c>
    </row>
    <row r="94" spans="1:17" customFormat="1">
      <c r="A94" s="112" t="s">
        <v>2723</v>
      </c>
      <c r="B94" s="134">
        <v>2.69</v>
      </c>
      <c r="C94" s="134">
        <v>3.7</v>
      </c>
      <c r="D94" s="134">
        <v>5.44</v>
      </c>
      <c r="E94" s="134">
        <v>3.23</v>
      </c>
      <c r="F94" s="134">
        <v>9.11</v>
      </c>
      <c r="G94" s="134">
        <v>36.520000000000003</v>
      </c>
      <c r="H94" s="134">
        <v>9.4</v>
      </c>
      <c r="I94" s="134">
        <v>3.71</v>
      </c>
      <c r="J94" s="134">
        <v>0.11</v>
      </c>
      <c r="K94" s="134">
        <v>187.2</v>
      </c>
      <c r="L94" s="134">
        <v>27.61</v>
      </c>
      <c r="M94" s="134">
        <v>84.47</v>
      </c>
      <c r="N94" s="134">
        <v>0</v>
      </c>
      <c r="O94" s="134">
        <v>0</v>
      </c>
      <c r="P94" s="134">
        <v>0.38</v>
      </c>
      <c r="Q94" s="134">
        <v>4.42</v>
      </c>
    </row>
    <row r="95" spans="1:17" customFormat="1">
      <c r="A95" s="112" t="s">
        <v>2724</v>
      </c>
      <c r="B95" s="134">
        <v>5.59</v>
      </c>
      <c r="C95" s="134">
        <v>11.05</v>
      </c>
      <c r="D95" s="134">
        <v>11.61</v>
      </c>
      <c r="E95" s="134">
        <v>3.03</v>
      </c>
      <c r="F95" s="134">
        <v>9.32</v>
      </c>
      <c r="G95" s="134">
        <v>36.520000000000003</v>
      </c>
      <c r="H95" s="134">
        <v>9.4</v>
      </c>
      <c r="I95" s="134">
        <v>3.68</v>
      </c>
      <c r="J95" s="134">
        <v>0.19</v>
      </c>
      <c r="K95" s="134">
        <v>249.97</v>
      </c>
      <c r="L95" s="134">
        <v>27.53</v>
      </c>
      <c r="M95" s="134">
        <v>85.22</v>
      </c>
      <c r="N95" s="134">
        <v>0</v>
      </c>
      <c r="O95" s="134">
        <v>0</v>
      </c>
      <c r="P95" s="134">
        <v>0.38</v>
      </c>
      <c r="Q95" s="134">
        <v>4.41</v>
      </c>
    </row>
    <row r="96" spans="1:17" customFormat="1">
      <c r="A96" s="112" t="s">
        <v>2725</v>
      </c>
      <c r="B96" s="134">
        <v>6.65</v>
      </c>
      <c r="C96" s="134">
        <v>10.79</v>
      </c>
      <c r="D96" s="134">
        <v>12.32</v>
      </c>
      <c r="E96" s="134">
        <v>3.76</v>
      </c>
      <c r="F96" s="134">
        <v>9.32</v>
      </c>
      <c r="G96" s="134">
        <v>36.520000000000003</v>
      </c>
      <c r="H96" s="134">
        <v>9.32</v>
      </c>
      <c r="I96" s="134">
        <v>3.7</v>
      </c>
      <c r="J96" s="134">
        <v>0.28999999999999998</v>
      </c>
      <c r="K96" s="134">
        <v>251.29</v>
      </c>
      <c r="L96" s="134">
        <v>27.57</v>
      </c>
      <c r="M96" s="134">
        <v>84.27</v>
      </c>
      <c r="N96" s="134">
        <v>0</v>
      </c>
      <c r="O96" s="134">
        <v>0</v>
      </c>
      <c r="P96" s="134">
        <v>0.36</v>
      </c>
      <c r="Q96" s="134">
        <v>4.3899999999999997</v>
      </c>
    </row>
    <row r="97" spans="1:22" customFormat="1">
      <c r="A97" s="112" t="s">
        <v>2726</v>
      </c>
      <c r="B97" s="134">
        <v>7.32</v>
      </c>
      <c r="C97" s="134">
        <v>13.84</v>
      </c>
      <c r="D97" s="134">
        <v>14.45</v>
      </c>
      <c r="E97" s="134">
        <v>3.52</v>
      </c>
      <c r="F97" s="134">
        <v>5.13</v>
      </c>
      <c r="G97" s="134">
        <v>36.479999999999997</v>
      </c>
      <c r="H97" s="134">
        <v>8.81</v>
      </c>
      <c r="I97" s="134">
        <v>3.74</v>
      </c>
      <c r="J97" s="134">
        <v>0.44</v>
      </c>
      <c r="K97" s="134">
        <v>259.43</v>
      </c>
      <c r="L97" s="134">
        <v>27.53</v>
      </c>
      <c r="M97" s="134">
        <v>83.46</v>
      </c>
      <c r="N97" s="134">
        <v>0</v>
      </c>
      <c r="O97" s="134">
        <v>0</v>
      </c>
      <c r="P97" s="134">
        <v>0.4</v>
      </c>
      <c r="Q97" s="134">
        <v>4.4000000000000004</v>
      </c>
    </row>
    <row r="98" spans="1:22" customFormat="1">
      <c r="A98" s="112" t="s">
        <v>2727</v>
      </c>
      <c r="B98" s="134">
        <v>3.92</v>
      </c>
      <c r="C98" s="134">
        <v>7.05</v>
      </c>
      <c r="D98" s="134">
        <v>8.17</v>
      </c>
      <c r="E98" s="134">
        <v>3.8</v>
      </c>
      <c r="F98" s="134">
        <v>5.44</v>
      </c>
      <c r="G98" s="134">
        <v>36.479999999999997</v>
      </c>
      <c r="H98" s="134">
        <v>8.81</v>
      </c>
      <c r="I98" s="134">
        <v>3.75</v>
      </c>
      <c r="J98" s="134">
        <v>0.49</v>
      </c>
      <c r="K98" s="134">
        <v>258.8</v>
      </c>
      <c r="L98" s="134">
        <v>27.58</v>
      </c>
      <c r="M98" s="134">
        <v>82.28</v>
      </c>
      <c r="N98" s="134">
        <v>0</v>
      </c>
      <c r="O98" s="134">
        <v>0</v>
      </c>
      <c r="P98" s="134">
        <v>0.4</v>
      </c>
      <c r="Q98" s="134">
        <v>4.4400000000000004</v>
      </c>
    </row>
    <row r="99" spans="1:22" customFormat="1">
      <c r="A99" s="112" t="s">
        <v>2728</v>
      </c>
      <c r="B99" s="134">
        <v>2</v>
      </c>
      <c r="C99" s="134">
        <v>2</v>
      </c>
      <c r="D99" s="134">
        <v>4</v>
      </c>
      <c r="E99" s="134">
        <v>3.76</v>
      </c>
      <c r="F99" s="134">
        <v>7.24</v>
      </c>
      <c r="G99" s="134">
        <v>36.479999999999997</v>
      </c>
      <c r="H99" s="134">
        <v>8.81</v>
      </c>
      <c r="I99" s="134">
        <v>3.95</v>
      </c>
      <c r="J99" s="134">
        <v>0.55000000000000004</v>
      </c>
      <c r="K99" s="134">
        <v>259.57</v>
      </c>
      <c r="L99" s="134">
        <v>27.46</v>
      </c>
      <c r="M99" s="134">
        <v>82.91</v>
      </c>
      <c r="N99" s="134">
        <v>0</v>
      </c>
      <c r="O99" s="134">
        <v>0</v>
      </c>
      <c r="P99" s="134">
        <v>0.39</v>
      </c>
      <c r="Q99" s="134">
        <v>4.38</v>
      </c>
    </row>
    <row r="100" spans="1:22" customFormat="1">
      <c r="A100" s="112" t="s">
        <v>2729</v>
      </c>
      <c r="B100" s="134">
        <v>2</v>
      </c>
      <c r="C100" s="134">
        <v>2</v>
      </c>
      <c r="D100" s="134">
        <v>4</v>
      </c>
      <c r="E100" s="134">
        <v>3.62</v>
      </c>
      <c r="F100" s="134">
        <v>7.91</v>
      </c>
      <c r="G100" s="134">
        <v>36.14</v>
      </c>
      <c r="H100" s="134">
        <v>9.17</v>
      </c>
      <c r="I100" s="134">
        <v>3.84</v>
      </c>
      <c r="J100" s="134">
        <v>0.55000000000000004</v>
      </c>
      <c r="K100" s="134">
        <v>261.69</v>
      </c>
      <c r="L100" s="134">
        <v>27.45</v>
      </c>
      <c r="M100" s="134">
        <v>82.88</v>
      </c>
      <c r="N100" s="134">
        <v>0</v>
      </c>
      <c r="O100" s="134">
        <v>0</v>
      </c>
      <c r="P100" s="134">
        <v>0.37</v>
      </c>
      <c r="Q100" s="134">
        <v>4.3600000000000003</v>
      </c>
    </row>
    <row r="101" spans="1:22" customFormat="1">
      <c r="A101" s="112" t="s">
        <v>2730</v>
      </c>
      <c r="B101" s="134">
        <v>2</v>
      </c>
      <c r="C101" s="134">
        <v>2</v>
      </c>
      <c r="D101" s="134">
        <v>4</v>
      </c>
      <c r="E101" s="134">
        <v>3.74</v>
      </c>
      <c r="F101" s="134">
        <v>7.39</v>
      </c>
      <c r="G101" s="134">
        <v>33.36</v>
      </c>
      <c r="H101" s="134">
        <v>11.25</v>
      </c>
      <c r="I101" s="134">
        <v>3.68</v>
      </c>
      <c r="J101" s="134">
        <v>0.45</v>
      </c>
      <c r="K101" s="134">
        <v>256.64</v>
      </c>
      <c r="L101" s="134">
        <v>27.42</v>
      </c>
      <c r="M101" s="134">
        <v>83.05</v>
      </c>
      <c r="N101" s="134">
        <v>0</v>
      </c>
      <c r="O101" s="134">
        <v>0</v>
      </c>
      <c r="P101" s="134">
        <v>0.37</v>
      </c>
      <c r="Q101" s="134">
        <v>4.34</v>
      </c>
    </row>
    <row r="102" spans="1:22" customFormat="1">
      <c r="A102" s="112" t="s">
        <v>2731</v>
      </c>
      <c r="B102" s="134">
        <v>2</v>
      </c>
      <c r="C102" s="134">
        <v>2.42</v>
      </c>
      <c r="D102" s="134">
        <v>4.22</v>
      </c>
      <c r="E102" s="134">
        <v>3.82</v>
      </c>
      <c r="F102" s="134">
        <v>3.79</v>
      </c>
      <c r="G102" s="134">
        <v>33.36</v>
      </c>
      <c r="H102" s="134">
        <v>11.25</v>
      </c>
      <c r="I102" s="134">
        <v>3.58</v>
      </c>
      <c r="J102" s="134">
        <v>0.53</v>
      </c>
      <c r="K102" s="134">
        <v>262.24</v>
      </c>
      <c r="L102" s="134">
        <v>27.28</v>
      </c>
      <c r="M102" s="134">
        <v>83.51</v>
      </c>
      <c r="N102" s="134">
        <v>0</v>
      </c>
      <c r="O102" s="134">
        <v>0</v>
      </c>
      <c r="P102" s="134">
        <v>0.4</v>
      </c>
      <c r="Q102" s="134">
        <v>4.41</v>
      </c>
    </row>
    <row r="103" spans="1:22" customFormat="1">
      <c r="A103" s="112" t="s">
        <v>2732</v>
      </c>
      <c r="B103" s="134">
        <v>2</v>
      </c>
      <c r="C103" s="134">
        <v>2</v>
      </c>
      <c r="D103" s="134">
        <v>4</v>
      </c>
      <c r="E103" s="134">
        <v>3.82</v>
      </c>
      <c r="F103" s="134">
        <v>4.5</v>
      </c>
      <c r="G103" s="134">
        <v>33.36</v>
      </c>
      <c r="H103" s="134">
        <v>11.25</v>
      </c>
      <c r="I103" s="134">
        <v>3.66</v>
      </c>
      <c r="J103" s="134">
        <v>0.6</v>
      </c>
      <c r="K103" s="134">
        <v>264.69</v>
      </c>
      <c r="L103" s="134">
        <v>27.23</v>
      </c>
      <c r="M103" s="134">
        <v>83.37</v>
      </c>
      <c r="N103" s="134">
        <v>0</v>
      </c>
      <c r="O103" s="134">
        <v>0</v>
      </c>
      <c r="P103" s="134">
        <v>0.39</v>
      </c>
      <c r="Q103" s="134">
        <v>4.3899999999999997</v>
      </c>
    </row>
    <row r="104" spans="1:22" customFormat="1">
      <c r="A104" s="112" t="s">
        <v>2733</v>
      </c>
      <c r="B104" s="134">
        <v>2</v>
      </c>
      <c r="C104" s="134">
        <v>2</v>
      </c>
      <c r="D104" s="134">
        <v>4</v>
      </c>
      <c r="E104" s="134">
        <v>3.6</v>
      </c>
      <c r="F104" s="134">
        <v>6.06</v>
      </c>
      <c r="G104" s="134">
        <v>33.21</v>
      </c>
      <c r="H104" s="134">
        <v>11.02</v>
      </c>
      <c r="I104" s="134">
        <v>3.84</v>
      </c>
      <c r="J104" s="134">
        <v>0.61</v>
      </c>
      <c r="K104" s="134">
        <v>264.86</v>
      </c>
      <c r="L104" s="134">
        <v>27.17</v>
      </c>
      <c r="M104" s="134">
        <v>83.22</v>
      </c>
      <c r="N104" s="134">
        <v>0</v>
      </c>
      <c r="O104" s="134">
        <v>0</v>
      </c>
      <c r="P104" s="134">
        <v>0.37</v>
      </c>
      <c r="Q104" s="134">
        <v>4.38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2</v>
      </c>
      <c r="D106" s="183">
        <f t="shared" ref="D106:Q106" si="0">MIN(D9:D104)</f>
        <v>4</v>
      </c>
      <c r="E106" s="183">
        <f t="shared" si="0"/>
        <v>1.82</v>
      </c>
      <c r="F106" s="183">
        <f t="shared" si="0"/>
        <v>1.64</v>
      </c>
      <c r="G106" s="183">
        <f t="shared" si="0"/>
        <v>7.51</v>
      </c>
      <c r="H106" s="183">
        <f t="shared" si="0"/>
        <v>3.03</v>
      </c>
      <c r="I106" s="183">
        <f t="shared" si="0"/>
        <v>2.71</v>
      </c>
      <c r="J106" s="183">
        <f t="shared" si="0"/>
        <v>0.1</v>
      </c>
      <c r="K106" s="183">
        <f t="shared" si="0"/>
        <v>7.73</v>
      </c>
      <c r="L106" s="183">
        <f t="shared" si="0"/>
        <v>24.87</v>
      </c>
      <c r="M106" s="183">
        <f t="shared" si="0"/>
        <v>57.52</v>
      </c>
      <c r="N106" s="183">
        <f t="shared" si="0"/>
        <v>0</v>
      </c>
      <c r="O106" s="183">
        <f t="shared" si="0"/>
        <v>0</v>
      </c>
      <c r="P106" s="183">
        <f t="shared" si="0"/>
        <v>0.28000000000000003</v>
      </c>
      <c r="Q106" s="183">
        <f t="shared" si="0"/>
        <v>4.2300000000000004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10.029999999999999</v>
      </c>
      <c r="C107" s="184">
        <f t="shared" ref="C107:Q107" si="1">MAX(C9:C104)</f>
        <v>16.05</v>
      </c>
      <c r="D107" s="184">
        <f t="shared" si="1"/>
        <v>17.260000000000002</v>
      </c>
      <c r="E107" s="184">
        <f t="shared" si="1"/>
        <v>5.19</v>
      </c>
      <c r="F107" s="184">
        <f t="shared" si="1"/>
        <v>10.29</v>
      </c>
      <c r="G107" s="184">
        <f t="shared" si="1"/>
        <v>41.28</v>
      </c>
      <c r="H107" s="184">
        <f t="shared" si="1"/>
        <v>11.72</v>
      </c>
      <c r="I107" s="184">
        <f t="shared" si="1"/>
        <v>4.68</v>
      </c>
      <c r="J107" s="184">
        <f t="shared" si="1"/>
        <v>1.1000000000000001</v>
      </c>
      <c r="K107" s="184">
        <f t="shared" si="1"/>
        <v>315.63</v>
      </c>
      <c r="L107" s="184">
        <f t="shared" si="1"/>
        <v>32.58</v>
      </c>
      <c r="M107" s="184">
        <f t="shared" si="1"/>
        <v>95.21</v>
      </c>
      <c r="N107" s="184">
        <f t="shared" si="1"/>
        <v>830.2</v>
      </c>
      <c r="O107" s="184">
        <f t="shared" si="1"/>
        <v>0</v>
      </c>
      <c r="P107" s="184">
        <f t="shared" si="1"/>
        <v>0.47</v>
      </c>
      <c r="Q107" s="184">
        <f t="shared" si="1"/>
        <v>4.5599999999999996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7.6244791666666671</v>
      </c>
      <c r="C108" s="183">
        <f t="shared" ref="C108:Q108" si="2">AVERAGE(C9:C104)</f>
        <v>12.87677083333333</v>
      </c>
      <c r="D108" s="183">
        <f t="shared" si="2"/>
        <v>14.192812500000002</v>
      </c>
      <c r="E108" s="183">
        <f t="shared" si="2"/>
        <v>3.5870833333333354</v>
      </c>
      <c r="F108" s="183">
        <f t="shared" si="2"/>
        <v>4.6189583333333344</v>
      </c>
      <c r="G108" s="183">
        <f t="shared" si="2"/>
        <v>26.051354166666666</v>
      </c>
      <c r="H108" s="183">
        <f t="shared" si="2"/>
        <v>6.5235416666666657</v>
      </c>
      <c r="I108" s="183">
        <f t="shared" si="2"/>
        <v>3.4402083333333326</v>
      </c>
      <c r="J108" s="183">
        <f t="shared" si="2"/>
        <v>0.56583333333333341</v>
      </c>
      <c r="K108" s="183">
        <f t="shared" si="2"/>
        <v>251.50572916666667</v>
      </c>
      <c r="L108" s="183">
        <f t="shared" si="2"/>
        <v>28.480208333333355</v>
      </c>
      <c r="M108" s="183">
        <f t="shared" si="2"/>
        <v>77.923958333333346</v>
      </c>
      <c r="N108" s="183">
        <f t="shared" si="2"/>
        <v>178.95833333333337</v>
      </c>
      <c r="O108" s="183">
        <f t="shared" si="2"/>
        <v>0</v>
      </c>
      <c r="P108" s="183">
        <f t="shared" si="2"/>
        <v>0.3671875</v>
      </c>
      <c r="Q108" s="183">
        <f t="shared" si="2"/>
        <v>4.4063541666666666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1.9435598753408847</v>
      </c>
      <c r="C109" s="183">
        <f t="shared" ref="C109:Q109" si="3">STDEV(C9:C104)</f>
        <v>3.2068162584331157</v>
      </c>
      <c r="D109" s="183">
        <f t="shared" si="3"/>
        <v>3.0894488362557624</v>
      </c>
      <c r="E109" s="183">
        <f t="shared" si="3"/>
        <v>0.67301195213702147</v>
      </c>
      <c r="F109" s="183">
        <f t="shared" si="3"/>
        <v>2.1224213973005659</v>
      </c>
      <c r="G109" s="183">
        <f t="shared" si="3"/>
        <v>11.44614240876229</v>
      </c>
      <c r="H109" s="183">
        <f t="shared" si="3"/>
        <v>2.5913739412730084</v>
      </c>
      <c r="I109" s="183">
        <f t="shared" si="3"/>
        <v>0.4950299920029691</v>
      </c>
      <c r="J109" s="183">
        <f t="shared" si="3"/>
        <v>0.23553150048199065</v>
      </c>
      <c r="K109" s="183">
        <f t="shared" si="3"/>
        <v>60.046849880033975</v>
      </c>
      <c r="L109" s="183">
        <f t="shared" si="3"/>
        <v>2.5533466085721925</v>
      </c>
      <c r="M109" s="183">
        <f t="shared" si="3"/>
        <v>12.191170616834524</v>
      </c>
      <c r="N109" s="183">
        <f t="shared" si="3"/>
        <v>255.22985828739451</v>
      </c>
      <c r="O109" s="183">
        <f t="shared" si="3"/>
        <v>0</v>
      </c>
      <c r="P109" s="183">
        <f t="shared" si="3"/>
        <v>5.137484793164903E-2</v>
      </c>
      <c r="Q109" s="183">
        <f t="shared" si="3"/>
        <v>7.8888592887195422E-2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27/08/2023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2734</v>
      </c>
      <c r="B9" s="134">
        <v>3.67</v>
      </c>
      <c r="C9" s="134">
        <v>1.31</v>
      </c>
      <c r="D9" s="134">
        <v>4.97</v>
      </c>
      <c r="E9" s="134">
        <v>3.34</v>
      </c>
      <c r="F9" s="134">
        <v>5.68</v>
      </c>
      <c r="G9" s="134">
        <v>31.95</v>
      </c>
      <c r="H9" s="134">
        <v>9.57</v>
      </c>
      <c r="I9" s="134">
        <v>3.71</v>
      </c>
      <c r="J9" s="134">
        <v>0.69</v>
      </c>
      <c r="K9" s="134">
        <v>262.39</v>
      </c>
      <c r="L9" s="134">
        <v>27.22</v>
      </c>
      <c r="M9" s="134">
        <v>81.77</v>
      </c>
      <c r="N9" s="134">
        <v>0</v>
      </c>
      <c r="O9" s="134">
        <v>0</v>
      </c>
      <c r="P9" s="134">
        <v>0.37</v>
      </c>
      <c r="Q9" s="134">
        <v>4.34</v>
      </c>
    </row>
    <row r="10" spans="1:21" customFormat="1">
      <c r="A10" s="112" t="s">
        <v>2735</v>
      </c>
      <c r="B10" s="134">
        <v>3.73</v>
      </c>
      <c r="C10" s="134">
        <v>1.61</v>
      </c>
      <c r="D10" s="134">
        <v>5.18</v>
      </c>
      <c r="E10" s="134">
        <v>4.07</v>
      </c>
      <c r="F10" s="134">
        <v>3.13</v>
      </c>
      <c r="G10" s="134">
        <v>31.95</v>
      </c>
      <c r="H10" s="134">
        <v>9.57</v>
      </c>
      <c r="I10" s="134">
        <v>3.57</v>
      </c>
      <c r="J10" s="134">
        <v>0.61</v>
      </c>
      <c r="K10" s="134">
        <v>264.93</v>
      </c>
      <c r="L10" s="134">
        <v>27.19</v>
      </c>
      <c r="M10" s="134">
        <v>81.56</v>
      </c>
      <c r="N10" s="134">
        <v>0</v>
      </c>
      <c r="O10" s="134">
        <v>0</v>
      </c>
      <c r="P10" s="134">
        <v>0.39</v>
      </c>
      <c r="Q10" s="134">
        <v>4.4000000000000004</v>
      </c>
    </row>
    <row r="11" spans="1:21" customFormat="1">
      <c r="A11" s="112" t="s">
        <v>2736</v>
      </c>
      <c r="B11" s="134">
        <v>5.31</v>
      </c>
      <c r="C11" s="134">
        <v>2.81</v>
      </c>
      <c r="D11" s="134">
        <v>7.08</v>
      </c>
      <c r="E11" s="134">
        <v>3.68</v>
      </c>
      <c r="F11" s="134">
        <v>3.88</v>
      </c>
      <c r="G11" s="134">
        <v>31.95</v>
      </c>
      <c r="H11" s="134">
        <v>9.57</v>
      </c>
      <c r="I11" s="134">
        <v>3.6</v>
      </c>
      <c r="J11" s="134">
        <v>0.68</v>
      </c>
      <c r="K11" s="134">
        <v>262.93</v>
      </c>
      <c r="L11" s="134">
        <v>27.05</v>
      </c>
      <c r="M11" s="134">
        <v>82.13</v>
      </c>
      <c r="N11" s="134">
        <v>0</v>
      </c>
      <c r="O11" s="134">
        <v>0</v>
      </c>
      <c r="P11" s="134">
        <v>0.37</v>
      </c>
      <c r="Q11" s="134">
        <v>4.3600000000000003</v>
      </c>
    </row>
    <row r="12" spans="1:21" customFormat="1">
      <c r="A12" s="112" t="s">
        <v>2737</v>
      </c>
      <c r="B12" s="134">
        <v>18.21</v>
      </c>
      <c r="C12" s="134">
        <v>12.93</v>
      </c>
      <c r="D12" s="134">
        <v>22.71</v>
      </c>
      <c r="E12" s="134">
        <v>3.14</v>
      </c>
      <c r="F12" s="134">
        <v>5.66</v>
      </c>
      <c r="G12" s="134">
        <v>31.52</v>
      </c>
      <c r="H12" s="134">
        <v>9.14</v>
      </c>
      <c r="I12" s="134">
        <v>3.73</v>
      </c>
      <c r="J12" s="134">
        <v>0.73</v>
      </c>
      <c r="K12" s="134">
        <v>263.27999999999997</v>
      </c>
      <c r="L12" s="134">
        <v>27.04</v>
      </c>
      <c r="M12" s="134">
        <v>81.739999999999995</v>
      </c>
      <c r="N12" s="134">
        <v>0</v>
      </c>
      <c r="O12" s="134">
        <v>0</v>
      </c>
      <c r="P12" s="134">
        <v>0.36</v>
      </c>
      <c r="Q12" s="134">
        <v>4.3</v>
      </c>
    </row>
    <row r="13" spans="1:21" customFormat="1">
      <c r="A13" s="112" t="s">
        <v>2738</v>
      </c>
      <c r="B13" s="134">
        <v>19.559999999999999</v>
      </c>
      <c r="C13" s="134">
        <v>13.07</v>
      </c>
      <c r="D13" s="134">
        <v>23.87</v>
      </c>
      <c r="E13" s="134">
        <v>3.07</v>
      </c>
      <c r="F13" s="134">
        <v>5.13</v>
      </c>
      <c r="G13" s="134">
        <v>28.14</v>
      </c>
      <c r="H13" s="134">
        <v>6.75</v>
      </c>
      <c r="I13" s="134">
        <v>3.58</v>
      </c>
      <c r="J13" s="134">
        <v>0.51</v>
      </c>
      <c r="K13" s="134">
        <v>261.87</v>
      </c>
      <c r="L13" s="134">
        <v>26.85</v>
      </c>
      <c r="M13" s="134">
        <v>82.87</v>
      </c>
      <c r="N13" s="134">
        <v>0</v>
      </c>
      <c r="O13" s="134">
        <v>0</v>
      </c>
      <c r="P13" s="134">
        <v>0.34</v>
      </c>
      <c r="Q13" s="134">
        <v>4.29</v>
      </c>
    </row>
    <row r="14" spans="1:21" customFormat="1">
      <c r="A14" s="112" t="s">
        <v>2739</v>
      </c>
      <c r="B14" s="134">
        <v>10.220000000000001</v>
      </c>
      <c r="C14" s="134">
        <v>8.31</v>
      </c>
      <c r="D14" s="134">
        <v>13.89</v>
      </c>
      <c r="E14" s="134">
        <v>3.64</v>
      </c>
      <c r="F14" s="134">
        <v>3</v>
      </c>
      <c r="G14" s="134">
        <v>28.14</v>
      </c>
      <c r="H14" s="134">
        <v>6.75</v>
      </c>
      <c r="I14" s="134">
        <v>3.46</v>
      </c>
      <c r="J14" s="134">
        <v>0.69</v>
      </c>
      <c r="K14" s="134">
        <v>261.57</v>
      </c>
      <c r="L14" s="134">
        <v>26.73</v>
      </c>
      <c r="M14" s="134">
        <v>83.59</v>
      </c>
      <c r="N14" s="134">
        <v>0</v>
      </c>
      <c r="O14" s="134">
        <v>0</v>
      </c>
      <c r="P14" s="134">
        <v>0.38</v>
      </c>
      <c r="Q14" s="134">
        <v>4.34</v>
      </c>
    </row>
    <row r="15" spans="1:21" customFormat="1">
      <c r="A15" s="112" t="s">
        <v>2740</v>
      </c>
      <c r="B15" s="134">
        <v>4.4400000000000004</v>
      </c>
      <c r="C15" s="134">
        <v>2.76</v>
      </c>
      <c r="D15" s="134">
        <v>6.35</v>
      </c>
      <c r="E15" s="134">
        <v>3.28</v>
      </c>
      <c r="F15" s="134">
        <v>3.75</v>
      </c>
      <c r="G15" s="134">
        <v>28.14</v>
      </c>
      <c r="H15" s="134">
        <v>6.75</v>
      </c>
      <c r="I15" s="134">
        <v>3.48</v>
      </c>
      <c r="J15" s="134">
        <v>0.71</v>
      </c>
      <c r="K15" s="134">
        <v>264.32</v>
      </c>
      <c r="L15" s="134">
        <v>26.59</v>
      </c>
      <c r="M15" s="134">
        <v>84.47</v>
      </c>
      <c r="N15" s="134">
        <v>0</v>
      </c>
      <c r="O15" s="134">
        <v>0</v>
      </c>
      <c r="P15" s="134">
        <v>0.36</v>
      </c>
      <c r="Q15" s="134">
        <v>4.3</v>
      </c>
    </row>
    <row r="16" spans="1:21" customFormat="1">
      <c r="A16" s="112" t="s">
        <v>2741</v>
      </c>
      <c r="B16" s="134">
        <v>4.26</v>
      </c>
      <c r="C16" s="134">
        <v>2.41</v>
      </c>
      <c r="D16" s="134">
        <v>6.03</v>
      </c>
      <c r="E16" s="134">
        <v>3.01</v>
      </c>
      <c r="F16" s="134">
        <v>4.68</v>
      </c>
      <c r="G16" s="134">
        <v>27.63</v>
      </c>
      <c r="H16" s="134">
        <v>6.58</v>
      </c>
      <c r="I16" s="134">
        <v>3.58</v>
      </c>
      <c r="J16" s="134">
        <v>0.57999999999999996</v>
      </c>
      <c r="K16" s="134">
        <v>266.47000000000003</v>
      </c>
      <c r="L16" s="134">
        <v>26.44</v>
      </c>
      <c r="M16" s="134">
        <v>85.22</v>
      </c>
      <c r="N16" s="134">
        <v>0</v>
      </c>
      <c r="O16" s="134">
        <v>0</v>
      </c>
      <c r="P16" s="134">
        <v>0.34</v>
      </c>
      <c r="Q16" s="134">
        <v>4.26</v>
      </c>
    </row>
    <row r="17" spans="1:17" customFormat="1">
      <c r="A17" s="112" t="s">
        <v>2742</v>
      </c>
      <c r="B17" s="134">
        <v>4.34</v>
      </c>
      <c r="C17" s="134">
        <v>2.72</v>
      </c>
      <c r="D17" s="134">
        <v>6.25</v>
      </c>
      <c r="E17" s="134">
        <v>2.2200000000000002</v>
      </c>
      <c r="F17" s="134">
        <v>4.59</v>
      </c>
      <c r="G17" s="134">
        <v>23.51</v>
      </c>
      <c r="H17" s="134">
        <v>5.53</v>
      </c>
      <c r="I17" s="134">
        <v>3.44</v>
      </c>
      <c r="J17" s="134">
        <v>0.67</v>
      </c>
      <c r="K17" s="134">
        <v>266.72000000000003</v>
      </c>
      <c r="L17" s="134">
        <v>26.43</v>
      </c>
      <c r="M17" s="134">
        <v>84.89</v>
      </c>
      <c r="N17" s="134">
        <v>0</v>
      </c>
      <c r="O17" s="134">
        <v>0</v>
      </c>
      <c r="P17" s="134">
        <v>0.33</v>
      </c>
      <c r="Q17" s="134">
        <v>4.28</v>
      </c>
    </row>
    <row r="18" spans="1:17" customFormat="1">
      <c r="A18" s="112" t="s">
        <v>2743</v>
      </c>
      <c r="B18" s="134">
        <v>11.16</v>
      </c>
      <c r="C18" s="134">
        <v>9.4700000000000006</v>
      </c>
      <c r="D18" s="134">
        <v>15.25</v>
      </c>
      <c r="E18" s="134">
        <v>3.74</v>
      </c>
      <c r="F18" s="134">
        <v>2.5299999999999998</v>
      </c>
      <c r="G18" s="134">
        <v>23.51</v>
      </c>
      <c r="H18" s="134">
        <v>5.53</v>
      </c>
      <c r="I18" s="134">
        <v>3.34</v>
      </c>
      <c r="J18" s="134">
        <v>0.68</v>
      </c>
      <c r="K18" s="134">
        <v>264.60000000000002</v>
      </c>
      <c r="L18" s="134">
        <v>26.35</v>
      </c>
      <c r="M18" s="134">
        <v>85.4</v>
      </c>
      <c r="N18" s="134">
        <v>0</v>
      </c>
      <c r="O18" s="134">
        <v>0</v>
      </c>
      <c r="P18" s="134">
        <v>0.36</v>
      </c>
      <c r="Q18" s="134">
        <v>4.3499999999999996</v>
      </c>
    </row>
    <row r="19" spans="1:17" customFormat="1">
      <c r="A19" s="112" t="s">
        <v>2744</v>
      </c>
      <c r="B19" s="134">
        <v>18.690000000000001</v>
      </c>
      <c r="C19" s="134">
        <v>15.26</v>
      </c>
      <c r="D19" s="134">
        <v>24.31</v>
      </c>
      <c r="E19" s="134">
        <v>3.85</v>
      </c>
      <c r="F19" s="134">
        <v>3.03</v>
      </c>
      <c r="G19" s="134">
        <v>23.51</v>
      </c>
      <c r="H19" s="134">
        <v>5.53</v>
      </c>
      <c r="I19" s="134">
        <v>3.31</v>
      </c>
      <c r="J19" s="134">
        <v>0.52</v>
      </c>
      <c r="K19" s="134">
        <v>268.83999999999997</v>
      </c>
      <c r="L19" s="134">
        <v>26.24</v>
      </c>
      <c r="M19" s="134">
        <v>86.17</v>
      </c>
      <c r="N19" s="134">
        <v>0</v>
      </c>
      <c r="O19" s="134">
        <v>0</v>
      </c>
      <c r="P19" s="134">
        <v>0.35</v>
      </c>
      <c r="Q19" s="134">
        <v>4.33</v>
      </c>
    </row>
    <row r="20" spans="1:17" customFormat="1">
      <c r="A20" s="112" t="s">
        <v>2745</v>
      </c>
      <c r="B20" s="134">
        <v>14.34</v>
      </c>
      <c r="C20" s="134">
        <v>10.7</v>
      </c>
      <c r="D20" s="134">
        <v>18.440000000000001</v>
      </c>
      <c r="E20" s="134">
        <v>3.48</v>
      </c>
      <c r="F20" s="134">
        <v>4.4000000000000004</v>
      </c>
      <c r="G20" s="134">
        <v>23.63</v>
      </c>
      <c r="H20" s="134">
        <v>5.61</v>
      </c>
      <c r="I20" s="134">
        <v>3.44</v>
      </c>
      <c r="J20" s="134">
        <v>0.41</v>
      </c>
      <c r="K20" s="134">
        <v>260.39</v>
      </c>
      <c r="L20" s="134">
        <v>26.1</v>
      </c>
      <c r="M20" s="134">
        <v>87.09</v>
      </c>
      <c r="N20" s="134">
        <v>0</v>
      </c>
      <c r="O20" s="134">
        <v>0</v>
      </c>
      <c r="P20" s="134">
        <v>0.32</v>
      </c>
      <c r="Q20" s="134">
        <v>4.28</v>
      </c>
    </row>
    <row r="21" spans="1:17" customFormat="1">
      <c r="A21" s="112" t="s">
        <v>2746</v>
      </c>
      <c r="B21" s="134">
        <v>5.07</v>
      </c>
      <c r="C21" s="134">
        <v>3.32</v>
      </c>
      <c r="D21" s="134">
        <v>7.16</v>
      </c>
      <c r="E21" s="134">
        <v>3.27</v>
      </c>
      <c r="F21" s="134">
        <v>4.0199999999999996</v>
      </c>
      <c r="G21" s="134">
        <v>24.54</v>
      </c>
      <c r="H21" s="134">
        <v>6.08</v>
      </c>
      <c r="I21" s="134">
        <v>3.34</v>
      </c>
      <c r="J21" s="134">
        <v>0.64</v>
      </c>
      <c r="K21" s="134">
        <v>265.89999999999998</v>
      </c>
      <c r="L21" s="134">
        <v>25.99</v>
      </c>
      <c r="M21" s="134">
        <v>87.6</v>
      </c>
      <c r="N21" s="134">
        <v>0</v>
      </c>
      <c r="O21" s="134">
        <v>0</v>
      </c>
      <c r="P21" s="134">
        <v>0.32</v>
      </c>
      <c r="Q21" s="134">
        <v>4.28</v>
      </c>
    </row>
    <row r="22" spans="1:17" customFormat="1">
      <c r="A22" s="112" t="s">
        <v>2747</v>
      </c>
      <c r="B22" s="134">
        <v>4.17</v>
      </c>
      <c r="C22" s="134">
        <v>2.2999999999999998</v>
      </c>
      <c r="D22" s="134">
        <v>5.9</v>
      </c>
      <c r="E22" s="134">
        <v>3.31</v>
      </c>
      <c r="F22" s="134">
        <v>2.41</v>
      </c>
      <c r="G22" s="134">
        <v>24.54</v>
      </c>
      <c r="H22" s="134">
        <v>6.08</v>
      </c>
      <c r="I22" s="134">
        <v>3.2</v>
      </c>
      <c r="J22" s="134">
        <v>0.48</v>
      </c>
      <c r="K22" s="134">
        <v>258.74</v>
      </c>
      <c r="L22" s="134">
        <v>25.91</v>
      </c>
      <c r="M22" s="134">
        <v>88.56</v>
      </c>
      <c r="N22" s="134">
        <v>0</v>
      </c>
      <c r="O22" s="134">
        <v>0</v>
      </c>
      <c r="P22" s="134">
        <v>0.34</v>
      </c>
      <c r="Q22" s="134">
        <v>4.34</v>
      </c>
    </row>
    <row r="23" spans="1:17" customFormat="1">
      <c r="A23" s="112" t="s">
        <v>2748</v>
      </c>
      <c r="B23" s="134">
        <v>4.1399999999999997</v>
      </c>
      <c r="C23" s="134">
        <v>2.2200000000000002</v>
      </c>
      <c r="D23" s="134">
        <v>5.83</v>
      </c>
      <c r="E23" s="134">
        <v>3.33</v>
      </c>
      <c r="F23" s="134">
        <v>2.91</v>
      </c>
      <c r="G23" s="134">
        <v>24.54</v>
      </c>
      <c r="H23" s="134">
        <v>6.08</v>
      </c>
      <c r="I23" s="134">
        <v>3.23</v>
      </c>
      <c r="J23" s="134">
        <v>0.67</v>
      </c>
      <c r="K23" s="134">
        <v>267.10000000000002</v>
      </c>
      <c r="L23" s="134">
        <v>25.8</v>
      </c>
      <c r="M23" s="134">
        <v>89.04</v>
      </c>
      <c r="N23" s="134">
        <v>0</v>
      </c>
      <c r="O23" s="134">
        <v>0</v>
      </c>
      <c r="P23" s="134">
        <v>0.33</v>
      </c>
      <c r="Q23" s="134">
        <v>4.3499999999999996</v>
      </c>
    </row>
    <row r="24" spans="1:17" customFormat="1">
      <c r="A24" s="112" t="s">
        <v>2749</v>
      </c>
      <c r="B24" s="134">
        <v>8.91</v>
      </c>
      <c r="C24" s="134">
        <v>4.92</v>
      </c>
      <c r="D24" s="134">
        <v>11.07</v>
      </c>
      <c r="E24" s="134">
        <v>3.3</v>
      </c>
      <c r="F24" s="134">
        <v>3.85</v>
      </c>
      <c r="G24" s="134">
        <v>24.42</v>
      </c>
      <c r="H24" s="134">
        <v>5.87</v>
      </c>
      <c r="I24" s="134">
        <v>3.32</v>
      </c>
      <c r="J24" s="134">
        <v>0.51</v>
      </c>
      <c r="K24" s="134">
        <v>267.39</v>
      </c>
      <c r="L24" s="134">
        <v>25.78</v>
      </c>
      <c r="M24" s="134">
        <v>89.44</v>
      </c>
      <c r="N24" s="134">
        <v>0</v>
      </c>
      <c r="O24" s="134">
        <v>0</v>
      </c>
      <c r="P24" s="134">
        <v>0.31</v>
      </c>
      <c r="Q24" s="134">
        <v>4.3099999999999996</v>
      </c>
    </row>
    <row r="25" spans="1:17" customFormat="1">
      <c r="A25" s="112" t="s">
        <v>2750</v>
      </c>
      <c r="B25" s="134">
        <v>18.57</v>
      </c>
      <c r="C25" s="134">
        <v>13.54</v>
      </c>
      <c r="D25" s="134">
        <v>23.31</v>
      </c>
      <c r="E25" s="134">
        <v>3.74</v>
      </c>
      <c r="F25" s="134">
        <v>2.98</v>
      </c>
      <c r="G25" s="134">
        <v>23.51</v>
      </c>
      <c r="H25" s="134">
        <v>4.53</v>
      </c>
      <c r="I25" s="134">
        <v>3.21</v>
      </c>
      <c r="J25" s="134">
        <v>0.56999999999999995</v>
      </c>
      <c r="K25" s="134">
        <v>269.69</v>
      </c>
      <c r="L25" s="134">
        <v>25.7</v>
      </c>
      <c r="M25" s="134">
        <v>90.01</v>
      </c>
      <c r="N25" s="134">
        <v>0</v>
      </c>
      <c r="O25" s="134">
        <v>0</v>
      </c>
      <c r="P25" s="134">
        <v>0.32</v>
      </c>
      <c r="Q25" s="134">
        <v>4.32</v>
      </c>
    </row>
    <row r="26" spans="1:17" customFormat="1">
      <c r="A26" s="112" t="s">
        <v>2751</v>
      </c>
      <c r="B26" s="134">
        <v>15.3</v>
      </c>
      <c r="C26" s="134">
        <v>12.76</v>
      </c>
      <c r="D26" s="134">
        <v>20.28</v>
      </c>
      <c r="E26" s="134">
        <v>3.52</v>
      </c>
      <c r="F26" s="134">
        <v>2.2400000000000002</v>
      </c>
      <c r="G26" s="134">
        <v>23.51</v>
      </c>
      <c r="H26" s="134">
        <v>4.53</v>
      </c>
      <c r="I26" s="134">
        <v>3.14</v>
      </c>
      <c r="J26" s="134">
        <v>0.48</v>
      </c>
      <c r="K26" s="134">
        <v>265.23</v>
      </c>
      <c r="L26" s="134">
        <v>25.63</v>
      </c>
      <c r="M26" s="134">
        <v>90.61</v>
      </c>
      <c r="N26" s="134">
        <v>0</v>
      </c>
      <c r="O26" s="134">
        <v>0</v>
      </c>
      <c r="P26" s="134">
        <v>0.34</v>
      </c>
      <c r="Q26" s="134">
        <v>4.37</v>
      </c>
    </row>
    <row r="27" spans="1:17" customFormat="1">
      <c r="A27" s="112" t="s">
        <v>2752</v>
      </c>
      <c r="B27" s="134">
        <v>4.8899999999999997</v>
      </c>
      <c r="C27" s="134">
        <v>3.2</v>
      </c>
      <c r="D27" s="134">
        <v>6.94</v>
      </c>
      <c r="E27" s="134">
        <v>3.77</v>
      </c>
      <c r="F27" s="134">
        <v>3.02</v>
      </c>
      <c r="G27" s="134">
        <v>23.51</v>
      </c>
      <c r="H27" s="134">
        <v>4.53</v>
      </c>
      <c r="I27" s="134">
        <v>3.21</v>
      </c>
      <c r="J27" s="134">
        <v>0.33</v>
      </c>
      <c r="K27" s="134">
        <v>256.73</v>
      </c>
      <c r="L27" s="134">
        <v>25.53</v>
      </c>
      <c r="M27" s="134">
        <v>91.59</v>
      </c>
      <c r="N27" s="134">
        <v>0</v>
      </c>
      <c r="O27" s="134">
        <v>0</v>
      </c>
      <c r="P27" s="134">
        <v>0.32</v>
      </c>
      <c r="Q27" s="134">
        <v>4.32</v>
      </c>
    </row>
    <row r="28" spans="1:17" customFormat="1">
      <c r="A28" s="112" t="s">
        <v>2753</v>
      </c>
      <c r="B28" s="134">
        <v>4.5</v>
      </c>
      <c r="C28" s="134">
        <v>2.7</v>
      </c>
      <c r="D28" s="134">
        <v>6.37</v>
      </c>
      <c r="E28" s="134">
        <v>3.39</v>
      </c>
      <c r="F28" s="134">
        <v>3.52</v>
      </c>
      <c r="G28" s="134">
        <v>22.91</v>
      </c>
      <c r="H28" s="134">
        <v>4.92</v>
      </c>
      <c r="I28" s="134">
        <v>3.26</v>
      </c>
      <c r="J28" s="134">
        <v>0.44</v>
      </c>
      <c r="K28" s="134">
        <v>262.33999999999997</v>
      </c>
      <c r="L28" s="134">
        <v>25.45</v>
      </c>
      <c r="M28" s="134">
        <v>92.21</v>
      </c>
      <c r="N28" s="134">
        <v>0</v>
      </c>
      <c r="O28" s="134">
        <v>0</v>
      </c>
      <c r="P28" s="134">
        <v>0.31</v>
      </c>
      <c r="Q28" s="134">
        <v>4.3099999999999996</v>
      </c>
    </row>
    <row r="29" spans="1:17" customFormat="1">
      <c r="A29" s="112" t="s">
        <v>2754</v>
      </c>
      <c r="B29" s="134">
        <v>4.54</v>
      </c>
      <c r="C29" s="134">
        <v>3.15</v>
      </c>
      <c r="D29" s="134">
        <v>6.64</v>
      </c>
      <c r="E29" s="134">
        <v>3.46</v>
      </c>
      <c r="F29" s="134">
        <v>2.4500000000000002</v>
      </c>
      <c r="G29" s="134">
        <v>18.05</v>
      </c>
      <c r="H29" s="134">
        <v>7.39</v>
      </c>
      <c r="I29" s="134">
        <v>3.19</v>
      </c>
      <c r="J29" s="134">
        <v>0.17</v>
      </c>
      <c r="K29" s="134">
        <v>247.45</v>
      </c>
      <c r="L29" s="134">
        <v>25.37</v>
      </c>
      <c r="M29" s="134">
        <v>93.1</v>
      </c>
      <c r="N29" s="134">
        <v>0</v>
      </c>
      <c r="O29" s="134">
        <v>0</v>
      </c>
      <c r="P29" s="134">
        <v>0.33</v>
      </c>
      <c r="Q29" s="134">
        <v>4.32</v>
      </c>
    </row>
    <row r="30" spans="1:17" customFormat="1">
      <c r="A30" s="112" t="s">
        <v>2755</v>
      </c>
      <c r="B30" s="134">
        <v>3.93</v>
      </c>
      <c r="C30" s="134">
        <v>1.76</v>
      </c>
      <c r="D30" s="134">
        <v>5.42</v>
      </c>
      <c r="E30" s="134">
        <v>3.86</v>
      </c>
      <c r="F30" s="134">
        <v>2.04</v>
      </c>
      <c r="G30" s="134">
        <v>18.05</v>
      </c>
      <c r="H30" s="134">
        <v>7.39</v>
      </c>
      <c r="I30" s="134">
        <v>3.16</v>
      </c>
      <c r="J30" s="134">
        <v>0.32</v>
      </c>
      <c r="K30" s="134">
        <v>259.04000000000002</v>
      </c>
      <c r="L30" s="134">
        <v>25.2</v>
      </c>
      <c r="M30" s="134">
        <v>94.2</v>
      </c>
      <c r="N30" s="134">
        <v>0</v>
      </c>
      <c r="O30" s="134">
        <v>0</v>
      </c>
      <c r="P30" s="134">
        <v>0.34</v>
      </c>
      <c r="Q30" s="134">
        <v>4.38</v>
      </c>
    </row>
    <row r="31" spans="1:17" customFormat="1">
      <c r="A31" s="112" t="s">
        <v>2756</v>
      </c>
      <c r="B31" s="134">
        <v>4.03</v>
      </c>
      <c r="C31" s="134">
        <v>1.73</v>
      </c>
      <c r="D31" s="134">
        <v>5.48</v>
      </c>
      <c r="E31" s="134">
        <v>3.49</v>
      </c>
      <c r="F31" s="134">
        <v>2.81</v>
      </c>
      <c r="G31" s="134">
        <v>18.05</v>
      </c>
      <c r="H31" s="134">
        <v>7.39</v>
      </c>
      <c r="I31" s="134">
        <v>3.25</v>
      </c>
      <c r="J31" s="134">
        <v>0.32</v>
      </c>
      <c r="K31" s="134">
        <v>256.98</v>
      </c>
      <c r="L31" s="134">
        <v>25.24</v>
      </c>
      <c r="M31" s="134">
        <v>93.93</v>
      </c>
      <c r="N31" s="134">
        <v>0</v>
      </c>
      <c r="O31" s="134">
        <v>0</v>
      </c>
      <c r="P31" s="134">
        <v>0.33</v>
      </c>
      <c r="Q31" s="134">
        <v>4.37</v>
      </c>
    </row>
    <row r="32" spans="1:17" customFormat="1">
      <c r="A32" s="112" t="s">
        <v>2757</v>
      </c>
      <c r="B32" s="134">
        <v>6.66</v>
      </c>
      <c r="C32" s="134">
        <v>3.97</v>
      </c>
      <c r="D32" s="134">
        <v>8.76</v>
      </c>
      <c r="E32" s="134">
        <v>3.09</v>
      </c>
      <c r="F32" s="134">
        <v>3.05</v>
      </c>
      <c r="G32" s="134">
        <v>18.48</v>
      </c>
      <c r="H32" s="134">
        <v>7.25</v>
      </c>
      <c r="I32" s="134">
        <v>3.3</v>
      </c>
      <c r="J32" s="134">
        <v>0.17</v>
      </c>
      <c r="K32" s="134">
        <v>257.05</v>
      </c>
      <c r="L32" s="134">
        <v>25.15</v>
      </c>
      <c r="M32" s="134">
        <v>94.93</v>
      </c>
      <c r="N32" s="134">
        <v>2.5</v>
      </c>
      <c r="O32" s="134">
        <v>0</v>
      </c>
      <c r="P32" s="134">
        <v>0.31</v>
      </c>
      <c r="Q32" s="134">
        <v>4.32</v>
      </c>
    </row>
    <row r="33" spans="1:17" customFormat="1">
      <c r="A33" s="112" t="s">
        <v>2758</v>
      </c>
      <c r="B33" s="134">
        <v>18.3</v>
      </c>
      <c r="C33" s="134">
        <v>15.05</v>
      </c>
      <c r="D33" s="134">
        <v>23.89</v>
      </c>
      <c r="E33" s="134">
        <v>3.01</v>
      </c>
      <c r="F33" s="134">
        <v>1.92</v>
      </c>
      <c r="G33" s="134">
        <v>21.87</v>
      </c>
      <c r="H33" s="134">
        <v>6.37</v>
      </c>
      <c r="I33" s="134">
        <v>3.25</v>
      </c>
      <c r="J33" s="134">
        <v>0.4</v>
      </c>
      <c r="K33" s="134">
        <v>263.89</v>
      </c>
      <c r="L33" s="134">
        <v>25.24</v>
      </c>
      <c r="M33" s="134">
        <v>94.65</v>
      </c>
      <c r="N33" s="134">
        <v>14.8</v>
      </c>
      <c r="O33" s="134">
        <v>0</v>
      </c>
      <c r="P33" s="134">
        <v>0.36</v>
      </c>
      <c r="Q33" s="134">
        <v>4.3899999999999997</v>
      </c>
    </row>
    <row r="34" spans="1:17" customFormat="1">
      <c r="A34" s="112" t="s">
        <v>2759</v>
      </c>
      <c r="B34" s="134">
        <v>6.16</v>
      </c>
      <c r="C34" s="134">
        <v>4.58</v>
      </c>
      <c r="D34" s="134">
        <v>8.68</v>
      </c>
      <c r="E34" s="134">
        <v>3.37</v>
      </c>
      <c r="F34" s="134">
        <v>2.27</v>
      </c>
      <c r="G34" s="134">
        <v>21.87</v>
      </c>
      <c r="H34" s="134">
        <v>6.37</v>
      </c>
      <c r="I34" s="134">
        <v>3.24</v>
      </c>
      <c r="J34" s="134">
        <v>0.41</v>
      </c>
      <c r="K34" s="134">
        <v>272.81</v>
      </c>
      <c r="L34" s="134">
        <v>25.48</v>
      </c>
      <c r="M34" s="134">
        <v>93.89</v>
      </c>
      <c r="N34" s="134">
        <v>30.7</v>
      </c>
      <c r="O34" s="134">
        <v>0</v>
      </c>
      <c r="P34" s="134">
        <v>0.35</v>
      </c>
      <c r="Q34" s="134">
        <v>4.43</v>
      </c>
    </row>
    <row r="35" spans="1:17" customFormat="1">
      <c r="A35" s="112" t="s">
        <v>2760</v>
      </c>
      <c r="B35" s="134">
        <v>18.420000000000002</v>
      </c>
      <c r="C35" s="134">
        <v>12.01</v>
      </c>
      <c r="D35" s="134">
        <v>22.4</v>
      </c>
      <c r="E35" s="134">
        <v>3.29</v>
      </c>
      <c r="F35" s="134">
        <v>2.91</v>
      </c>
      <c r="G35" s="134">
        <v>21.87</v>
      </c>
      <c r="H35" s="134">
        <v>6.37</v>
      </c>
      <c r="I35" s="134">
        <v>3.35</v>
      </c>
      <c r="J35" s="134">
        <v>0.62</v>
      </c>
      <c r="K35" s="134">
        <v>266.02999999999997</v>
      </c>
      <c r="L35" s="134">
        <v>25.75</v>
      </c>
      <c r="M35" s="134">
        <v>92.72</v>
      </c>
      <c r="N35" s="134">
        <v>45.4</v>
      </c>
      <c r="O35" s="134">
        <v>0</v>
      </c>
      <c r="P35" s="134">
        <v>0.34</v>
      </c>
      <c r="Q35" s="134">
        <v>4.41</v>
      </c>
    </row>
    <row r="36" spans="1:17" customFormat="1">
      <c r="A36" s="112" t="s">
        <v>2761</v>
      </c>
      <c r="B36" s="134">
        <v>8.36</v>
      </c>
      <c r="C36" s="134">
        <v>5.49</v>
      </c>
      <c r="D36" s="134">
        <v>10.92</v>
      </c>
      <c r="E36" s="134">
        <v>3.17</v>
      </c>
      <c r="F36" s="134">
        <v>3.15</v>
      </c>
      <c r="G36" s="134">
        <v>21.47</v>
      </c>
      <c r="H36" s="134">
        <v>6.43</v>
      </c>
      <c r="I36" s="134">
        <v>3.33</v>
      </c>
      <c r="J36" s="134">
        <v>0.68</v>
      </c>
      <c r="K36" s="134">
        <v>264.22000000000003</v>
      </c>
      <c r="L36" s="134">
        <v>26.05</v>
      </c>
      <c r="M36" s="134">
        <v>91.47</v>
      </c>
      <c r="N36" s="134">
        <v>62</v>
      </c>
      <c r="O36" s="134">
        <v>0</v>
      </c>
      <c r="P36" s="134">
        <v>0.32</v>
      </c>
      <c r="Q36" s="134">
        <v>4.4000000000000004</v>
      </c>
    </row>
    <row r="37" spans="1:17" customFormat="1">
      <c r="A37" s="112" t="s">
        <v>2762</v>
      </c>
      <c r="B37" s="134">
        <v>19.64</v>
      </c>
      <c r="C37" s="134">
        <v>14.51</v>
      </c>
      <c r="D37" s="134">
        <v>24.68</v>
      </c>
      <c r="E37" s="134">
        <v>3.51</v>
      </c>
      <c r="F37" s="134">
        <v>2.09</v>
      </c>
      <c r="G37" s="134">
        <v>18.239999999999998</v>
      </c>
      <c r="H37" s="134">
        <v>6.76</v>
      </c>
      <c r="I37" s="134">
        <v>3.29</v>
      </c>
      <c r="J37" s="134">
        <v>0.66</v>
      </c>
      <c r="K37" s="134">
        <v>263.31</v>
      </c>
      <c r="L37" s="134">
        <v>26.39</v>
      </c>
      <c r="M37" s="134">
        <v>89.98</v>
      </c>
      <c r="N37" s="134">
        <v>78.400000000000006</v>
      </c>
      <c r="O37" s="134">
        <v>0</v>
      </c>
      <c r="P37" s="134">
        <v>0.35</v>
      </c>
      <c r="Q37" s="134">
        <v>4.4400000000000004</v>
      </c>
    </row>
    <row r="38" spans="1:17" customFormat="1">
      <c r="A38" s="112" t="s">
        <v>2763</v>
      </c>
      <c r="B38" s="134">
        <v>20.420000000000002</v>
      </c>
      <c r="C38" s="134">
        <v>15.33</v>
      </c>
      <c r="D38" s="134">
        <v>25.74</v>
      </c>
      <c r="E38" s="134">
        <v>3.93</v>
      </c>
      <c r="F38" s="134">
        <v>1.99</v>
      </c>
      <c r="G38" s="134">
        <v>18.239999999999998</v>
      </c>
      <c r="H38" s="134">
        <v>6.76</v>
      </c>
      <c r="I38" s="134">
        <v>3.32</v>
      </c>
      <c r="J38" s="134">
        <v>0.74</v>
      </c>
      <c r="K38" s="134">
        <v>270.27999999999997</v>
      </c>
      <c r="L38" s="134">
        <v>26.64</v>
      </c>
      <c r="M38" s="134">
        <v>88.61</v>
      </c>
      <c r="N38" s="134">
        <v>90.6</v>
      </c>
      <c r="O38" s="134">
        <v>0</v>
      </c>
      <c r="P38" s="134">
        <v>0.36</v>
      </c>
      <c r="Q38" s="134">
        <v>4.47</v>
      </c>
    </row>
    <row r="39" spans="1:17" customFormat="1">
      <c r="A39" s="112" t="s">
        <v>2764</v>
      </c>
      <c r="B39" s="134">
        <v>20.5</v>
      </c>
      <c r="C39" s="134">
        <v>14.25</v>
      </c>
      <c r="D39" s="134">
        <v>25.24</v>
      </c>
      <c r="E39" s="134">
        <v>3.66</v>
      </c>
      <c r="F39" s="134">
        <v>2.75</v>
      </c>
      <c r="G39" s="134">
        <v>18.239999999999998</v>
      </c>
      <c r="H39" s="134">
        <v>6.76</v>
      </c>
      <c r="I39" s="134">
        <v>3.38</v>
      </c>
      <c r="J39" s="134">
        <v>0.8</v>
      </c>
      <c r="K39" s="134">
        <v>270.05</v>
      </c>
      <c r="L39" s="134">
        <v>27.07</v>
      </c>
      <c r="M39" s="134">
        <v>86.37</v>
      </c>
      <c r="N39" s="134">
        <v>128</v>
      </c>
      <c r="O39" s="134">
        <v>0</v>
      </c>
      <c r="P39" s="134">
        <v>0.36</v>
      </c>
      <c r="Q39" s="134">
        <v>4.41</v>
      </c>
    </row>
    <row r="40" spans="1:17" customFormat="1">
      <c r="A40" s="112" t="s">
        <v>2765</v>
      </c>
      <c r="B40" s="134">
        <v>20.49</v>
      </c>
      <c r="C40" s="134">
        <v>14.18</v>
      </c>
      <c r="D40" s="134">
        <v>25.19</v>
      </c>
      <c r="E40" s="134">
        <v>3.69</v>
      </c>
      <c r="F40" s="134">
        <v>2.95</v>
      </c>
      <c r="G40" s="134">
        <v>18.48</v>
      </c>
      <c r="H40" s="134">
        <v>6.79</v>
      </c>
      <c r="I40" s="134">
        <v>3.43</v>
      </c>
      <c r="J40" s="134">
        <v>0.81</v>
      </c>
      <c r="K40" s="134">
        <v>267.35000000000002</v>
      </c>
      <c r="L40" s="134">
        <v>27.4</v>
      </c>
      <c r="M40" s="134">
        <v>84.63</v>
      </c>
      <c r="N40" s="134">
        <v>199.3</v>
      </c>
      <c r="O40" s="134">
        <v>0</v>
      </c>
      <c r="P40" s="134">
        <v>0.37</v>
      </c>
      <c r="Q40" s="134">
        <v>4.3899999999999997</v>
      </c>
    </row>
    <row r="41" spans="1:17" customFormat="1">
      <c r="A41" s="112" t="s">
        <v>2766</v>
      </c>
      <c r="B41" s="134">
        <v>20.46</v>
      </c>
      <c r="C41" s="134">
        <v>13.65</v>
      </c>
      <c r="D41" s="134">
        <v>24.89</v>
      </c>
      <c r="E41" s="134">
        <v>3.88</v>
      </c>
      <c r="F41" s="134">
        <v>3.05</v>
      </c>
      <c r="G41" s="134">
        <v>20.46</v>
      </c>
      <c r="H41" s="134">
        <v>7.02</v>
      </c>
      <c r="I41" s="134">
        <v>3.48</v>
      </c>
      <c r="J41" s="134">
        <v>0.83</v>
      </c>
      <c r="K41" s="134">
        <v>271.5</v>
      </c>
      <c r="L41" s="134">
        <v>27.99</v>
      </c>
      <c r="M41" s="134">
        <v>81.290000000000006</v>
      </c>
      <c r="N41" s="134">
        <v>271.2</v>
      </c>
      <c r="O41" s="134">
        <v>0</v>
      </c>
      <c r="P41" s="134">
        <v>0.36</v>
      </c>
      <c r="Q41" s="134">
        <v>4.4400000000000004</v>
      </c>
    </row>
    <row r="42" spans="1:17" customFormat="1">
      <c r="A42" s="112" t="s">
        <v>2767</v>
      </c>
      <c r="B42" s="134">
        <v>18.45</v>
      </c>
      <c r="C42" s="134">
        <v>12.44</v>
      </c>
      <c r="D42" s="134">
        <v>22.64</v>
      </c>
      <c r="E42" s="134">
        <v>4.04</v>
      </c>
      <c r="F42" s="134">
        <v>3.17</v>
      </c>
      <c r="G42" s="134">
        <v>20.46</v>
      </c>
      <c r="H42" s="134">
        <v>7.02</v>
      </c>
      <c r="I42" s="134">
        <v>3.57</v>
      </c>
      <c r="J42" s="134">
        <v>0.75</v>
      </c>
      <c r="K42" s="134">
        <v>280.75</v>
      </c>
      <c r="L42" s="134">
        <v>28.51</v>
      </c>
      <c r="M42" s="134">
        <v>78.959999999999994</v>
      </c>
      <c r="N42" s="134">
        <v>317.8</v>
      </c>
      <c r="O42" s="134">
        <v>0</v>
      </c>
      <c r="P42" s="134">
        <v>0.37</v>
      </c>
      <c r="Q42" s="134">
        <v>4.46</v>
      </c>
    </row>
    <row r="43" spans="1:17" customFormat="1">
      <c r="A43" s="112" t="s">
        <v>2768</v>
      </c>
      <c r="B43" s="134">
        <v>21.22</v>
      </c>
      <c r="C43" s="134">
        <v>14.58</v>
      </c>
      <c r="D43" s="134">
        <v>25.99</v>
      </c>
      <c r="E43" s="134">
        <v>3.4</v>
      </c>
      <c r="F43" s="134">
        <v>2.65</v>
      </c>
      <c r="G43" s="134">
        <v>20.46</v>
      </c>
      <c r="H43" s="134">
        <v>7.02</v>
      </c>
      <c r="I43" s="134">
        <v>3.69</v>
      </c>
      <c r="J43" s="134">
        <v>0.68</v>
      </c>
      <c r="K43" s="134">
        <v>283.02</v>
      </c>
      <c r="L43" s="134">
        <v>28.96</v>
      </c>
      <c r="M43" s="134">
        <v>76.83</v>
      </c>
      <c r="N43" s="134">
        <v>246.9</v>
      </c>
      <c r="O43" s="134">
        <v>0</v>
      </c>
      <c r="P43" s="134">
        <v>0.4</v>
      </c>
      <c r="Q43" s="134">
        <v>4.46</v>
      </c>
    </row>
    <row r="44" spans="1:17" customFormat="1">
      <c r="A44" s="112" t="s">
        <v>2769</v>
      </c>
      <c r="B44" s="134">
        <v>21.33</v>
      </c>
      <c r="C44" s="134">
        <v>15.6</v>
      </c>
      <c r="D44" s="134">
        <v>26.61</v>
      </c>
      <c r="E44" s="134">
        <v>3.24</v>
      </c>
      <c r="F44" s="134">
        <v>2.15</v>
      </c>
      <c r="G44" s="134">
        <v>21.03</v>
      </c>
      <c r="H44" s="134">
        <v>7.23</v>
      </c>
      <c r="I44" s="134">
        <v>3.77</v>
      </c>
      <c r="J44" s="134">
        <v>0.85</v>
      </c>
      <c r="K44" s="134">
        <v>274.92</v>
      </c>
      <c r="L44" s="134">
        <v>29.4</v>
      </c>
      <c r="M44" s="134">
        <v>73.61</v>
      </c>
      <c r="N44" s="134">
        <v>275.5</v>
      </c>
      <c r="O44" s="134">
        <v>0</v>
      </c>
      <c r="P44" s="134">
        <v>0.44</v>
      </c>
      <c r="Q44" s="134">
        <v>4.53</v>
      </c>
    </row>
    <row r="45" spans="1:17" customFormat="1">
      <c r="A45" s="112" t="s">
        <v>2770</v>
      </c>
      <c r="B45" s="134">
        <v>21.32</v>
      </c>
      <c r="C45" s="134">
        <v>15.79</v>
      </c>
      <c r="D45" s="134">
        <v>26.7</v>
      </c>
      <c r="E45" s="134">
        <v>3.97</v>
      </c>
      <c r="F45" s="134">
        <v>3.16</v>
      </c>
      <c r="G45" s="134">
        <v>25.56</v>
      </c>
      <c r="H45" s="134">
        <v>8.59</v>
      </c>
      <c r="I45" s="134">
        <v>3.85</v>
      </c>
      <c r="J45" s="134">
        <v>0.75</v>
      </c>
      <c r="K45" s="134">
        <v>287.14</v>
      </c>
      <c r="L45" s="134">
        <v>29.89</v>
      </c>
      <c r="M45" s="134">
        <v>70.75</v>
      </c>
      <c r="N45" s="134">
        <v>219.1</v>
      </c>
      <c r="O45" s="134">
        <v>0</v>
      </c>
      <c r="P45" s="134">
        <v>0.45</v>
      </c>
      <c r="Q45" s="134">
        <v>4.55</v>
      </c>
    </row>
    <row r="46" spans="1:17" customFormat="1">
      <c r="A46" s="112" t="s">
        <v>2771</v>
      </c>
      <c r="B46" s="134">
        <v>21.46</v>
      </c>
      <c r="C46" s="134">
        <v>15.89</v>
      </c>
      <c r="D46" s="134">
        <v>26.87</v>
      </c>
      <c r="E46" s="134">
        <v>3.5</v>
      </c>
      <c r="F46" s="134">
        <v>3.36</v>
      </c>
      <c r="G46" s="134">
        <v>25.56</v>
      </c>
      <c r="H46" s="134">
        <v>8.59</v>
      </c>
      <c r="I46" s="134">
        <v>3.99</v>
      </c>
      <c r="J46" s="134">
        <v>0.9</v>
      </c>
      <c r="K46" s="134">
        <v>280.11</v>
      </c>
      <c r="L46" s="134">
        <v>29.79</v>
      </c>
      <c r="M46" s="134">
        <v>69.37</v>
      </c>
      <c r="N46" s="134">
        <v>380.7</v>
      </c>
      <c r="O46" s="134">
        <v>0</v>
      </c>
      <c r="P46" s="134">
        <v>0.43</v>
      </c>
      <c r="Q46" s="134">
        <v>4.53</v>
      </c>
    </row>
    <row r="47" spans="1:17" customFormat="1">
      <c r="A47" s="112" t="s">
        <v>2772</v>
      </c>
      <c r="B47" s="134">
        <v>21.47</v>
      </c>
      <c r="C47" s="134">
        <v>15.73</v>
      </c>
      <c r="D47" s="134">
        <v>26.79</v>
      </c>
      <c r="E47" s="134">
        <v>3.53</v>
      </c>
      <c r="F47" s="134">
        <v>3.54</v>
      </c>
      <c r="G47" s="134">
        <v>25.56</v>
      </c>
      <c r="H47" s="134">
        <v>8.59</v>
      </c>
      <c r="I47" s="134">
        <v>4</v>
      </c>
      <c r="J47" s="134">
        <v>0.74</v>
      </c>
      <c r="K47" s="134">
        <v>308.87</v>
      </c>
      <c r="L47" s="134">
        <v>30.4</v>
      </c>
      <c r="M47" s="134">
        <v>67.400000000000006</v>
      </c>
      <c r="N47" s="134">
        <v>542.4</v>
      </c>
      <c r="O47" s="134">
        <v>0</v>
      </c>
      <c r="P47" s="134">
        <v>0.44</v>
      </c>
      <c r="Q47" s="134">
        <v>4.53</v>
      </c>
    </row>
    <row r="48" spans="1:17" customFormat="1">
      <c r="A48" s="112" t="s">
        <v>2773</v>
      </c>
      <c r="B48" s="134">
        <v>21.46</v>
      </c>
      <c r="C48" s="134">
        <v>15.69</v>
      </c>
      <c r="D48" s="134">
        <v>26.76</v>
      </c>
      <c r="E48" s="134">
        <v>3.28</v>
      </c>
      <c r="F48" s="134">
        <v>3.94</v>
      </c>
      <c r="G48" s="134">
        <v>26.52</v>
      </c>
      <c r="H48" s="134">
        <v>8.5</v>
      </c>
      <c r="I48" s="134">
        <v>4</v>
      </c>
      <c r="J48" s="134">
        <v>0.87</v>
      </c>
      <c r="K48" s="134">
        <v>308.25</v>
      </c>
      <c r="L48" s="134">
        <v>30.59</v>
      </c>
      <c r="M48" s="134">
        <v>66.290000000000006</v>
      </c>
      <c r="N48" s="134">
        <v>499.9</v>
      </c>
      <c r="O48" s="134">
        <v>0</v>
      </c>
      <c r="P48" s="134">
        <v>0.44</v>
      </c>
      <c r="Q48" s="134">
        <v>4.5199999999999996</v>
      </c>
    </row>
    <row r="49" spans="1:17" customFormat="1">
      <c r="A49" s="112" t="s">
        <v>2774</v>
      </c>
      <c r="B49" s="134">
        <v>11.6</v>
      </c>
      <c r="C49" s="134">
        <v>8.6</v>
      </c>
      <c r="D49" s="134">
        <v>15.15</v>
      </c>
      <c r="E49" s="134">
        <v>3.71</v>
      </c>
      <c r="F49" s="134">
        <v>4.18</v>
      </c>
      <c r="G49" s="134">
        <v>34.229999999999997</v>
      </c>
      <c r="H49" s="134">
        <v>7.94</v>
      </c>
      <c r="I49" s="134">
        <v>3.96</v>
      </c>
      <c r="J49" s="134">
        <v>0.84</v>
      </c>
      <c r="K49" s="134">
        <v>301.64</v>
      </c>
      <c r="L49" s="134">
        <v>30.92</v>
      </c>
      <c r="M49" s="134">
        <v>65.319999999999993</v>
      </c>
      <c r="N49" s="134">
        <v>563.5</v>
      </c>
      <c r="O49" s="134">
        <v>0</v>
      </c>
      <c r="P49" s="134">
        <v>0.43</v>
      </c>
      <c r="Q49" s="134">
        <v>4.5199999999999996</v>
      </c>
    </row>
    <row r="50" spans="1:17" customFormat="1">
      <c r="A50" s="112" t="s">
        <v>2775</v>
      </c>
      <c r="B50" s="134">
        <v>4.87</v>
      </c>
      <c r="C50" s="134">
        <v>3.19</v>
      </c>
      <c r="D50" s="134">
        <v>6.92</v>
      </c>
      <c r="E50" s="134">
        <v>4.57</v>
      </c>
      <c r="F50" s="134">
        <v>4</v>
      </c>
      <c r="G50" s="134">
        <v>34.229999999999997</v>
      </c>
      <c r="H50" s="134">
        <v>7.94</v>
      </c>
      <c r="I50" s="134">
        <v>3.94</v>
      </c>
      <c r="J50" s="134">
        <v>0.93</v>
      </c>
      <c r="K50" s="134">
        <v>281.14</v>
      </c>
      <c r="L50" s="134">
        <v>30.71</v>
      </c>
      <c r="M50" s="134">
        <v>65.8</v>
      </c>
      <c r="N50" s="134">
        <v>416</v>
      </c>
      <c r="O50" s="134">
        <v>0</v>
      </c>
      <c r="P50" s="134">
        <v>0.42</v>
      </c>
      <c r="Q50" s="134">
        <v>4.5</v>
      </c>
    </row>
    <row r="51" spans="1:17" customFormat="1">
      <c r="A51" s="112" t="s">
        <v>2776</v>
      </c>
      <c r="B51" s="134">
        <v>11</v>
      </c>
      <c r="C51" s="134">
        <v>9.41</v>
      </c>
      <c r="D51" s="134">
        <v>15.09</v>
      </c>
      <c r="E51" s="134">
        <v>4</v>
      </c>
      <c r="F51" s="134">
        <v>4.13</v>
      </c>
      <c r="G51" s="134">
        <v>34.229999999999997</v>
      </c>
      <c r="H51" s="134">
        <v>7.94</v>
      </c>
      <c r="I51" s="134">
        <v>3.91</v>
      </c>
      <c r="J51" s="134">
        <v>0.78</v>
      </c>
      <c r="K51" s="134">
        <v>308.26</v>
      </c>
      <c r="L51" s="134">
        <v>31.1</v>
      </c>
      <c r="M51" s="134">
        <v>64.180000000000007</v>
      </c>
      <c r="N51" s="134">
        <v>682.9</v>
      </c>
      <c r="O51" s="134">
        <v>0</v>
      </c>
      <c r="P51" s="134">
        <v>0.42</v>
      </c>
      <c r="Q51" s="134">
        <v>4.46</v>
      </c>
    </row>
    <row r="52" spans="1:17" customFormat="1">
      <c r="A52" s="112" t="s">
        <v>2777</v>
      </c>
      <c r="B52" s="134">
        <v>19.52</v>
      </c>
      <c r="C52" s="134">
        <v>16.55</v>
      </c>
      <c r="D52" s="134">
        <v>25.65</v>
      </c>
      <c r="E52" s="134">
        <v>5.31</v>
      </c>
      <c r="F52" s="134">
        <v>3.9</v>
      </c>
      <c r="G52" s="134">
        <v>34.94</v>
      </c>
      <c r="H52" s="134">
        <v>8.1999999999999993</v>
      </c>
      <c r="I52" s="134">
        <v>3.87</v>
      </c>
      <c r="J52" s="134">
        <v>0.84</v>
      </c>
      <c r="K52" s="134">
        <v>300.41000000000003</v>
      </c>
      <c r="L52" s="134">
        <v>31.33</v>
      </c>
      <c r="M52" s="134">
        <v>62.8</v>
      </c>
      <c r="N52" s="134">
        <v>647.5</v>
      </c>
      <c r="O52" s="134">
        <v>0</v>
      </c>
      <c r="P52" s="134">
        <v>0.43</v>
      </c>
      <c r="Q52" s="134">
        <v>4.45</v>
      </c>
    </row>
    <row r="53" spans="1:17" customFormat="1">
      <c r="A53" s="112" t="s">
        <v>2778</v>
      </c>
      <c r="B53" s="134">
        <v>19.68</v>
      </c>
      <c r="C53" s="134">
        <v>16.41</v>
      </c>
      <c r="D53" s="134">
        <v>25.71</v>
      </c>
      <c r="E53" s="134">
        <v>4.9400000000000004</v>
      </c>
      <c r="F53" s="134">
        <v>4.4800000000000004</v>
      </c>
      <c r="G53" s="134">
        <v>40.549999999999997</v>
      </c>
      <c r="H53" s="134">
        <v>9.91</v>
      </c>
      <c r="I53" s="134">
        <v>3.85</v>
      </c>
      <c r="J53" s="134">
        <v>0.67</v>
      </c>
      <c r="K53" s="134">
        <v>282.27999999999997</v>
      </c>
      <c r="L53" s="134">
        <v>31.73</v>
      </c>
      <c r="M53" s="134">
        <v>63.77</v>
      </c>
      <c r="N53" s="134">
        <v>635.79999999999995</v>
      </c>
      <c r="O53" s="134">
        <v>0</v>
      </c>
      <c r="P53" s="134">
        <v>0.43</v>
      </c>
      <c r="Q53" s="134">
        <v>4.47</v>
      </c>
    </row>
    <row r="54" spans="1:17" customFormat="1">
      <c r="A54" s="112" t="s">
        <v>2779</v>
      </c>
      <c r="B54" s="134">
        <v>19.36</v>
      </c>
      <c r="C54" s="134">
        <v>16.72</v>
      </c>
      <c r="D54" s="134">
        <v>25.61</v>
      </c>
      <c r="E54" s="134">
        <v>4.17</v>
      </c>
      <c r="F54" s="134">
        <v>3.96</v>
      </c>
      <c r="G54" s="134">
        <v>40.549999999999997</v>
      </c>
      <c r="H54" s="134">
        <v>9.91</v>
      </c>
      <c r="I54" s="134">
        <v>3.86</v>
      </c>
      <c r="J54" s="134">
        <v>0.79</v>
      </c>
      <c r="K54" s="134">
        <v>284.19</v>
      </c>
      <c r="L54" s="134">
        <v>31.71</v>
      </c>
      <c r="M54" s="134">
        <v>62.65</v>
      </c>
      <c r="N54" s="134">
        <v>485.9</v>
      </c>
      <c r="O54" s="134">
        <v>0</v>
      </c>
      <c r="P54" s="134">
        <v>0.43</v>
      </c>
      <c r="Q54" s="134">
        <v>4.41</v>
      </c>
    </row>
    <row r="55" spans="1:17" customFormat="1">
      <c r="A55" s="112" t="s">
        <v>2780</v>
      </c>
      <c r="B55" s="134">
        <v>19.29</v>
      </c>
      <c r="C55" s="134">
        <v>16.440000000000001</v>
      </c>
      <c r="D55" s="134">
        <v>25.41</v>
      </c>
      <c r="E55" s="134">
        <v>4.3</v>
      </c>
      <c r="F55" s="134">
        <v>4.13</v>
      </c>
      <c r="G55" s="134">
        <v>40.549999999999997</v>
      </c>
      <c r="H55" s="134">
        <v>9.91</v>
      </c>
      <c r="I55" s="134">
        <v>3.79</v>
      </c>
      <c r="J55" s="134">
        <v>0.59</v>
      </c>
      <c r="K55" s="134">
        <v>307.64999999999998</v>
      </c>
      <c r="L55" s="134">
        <v>30.87</v>
      </c>
      <c r="M55" s="134">
        <v>64.28</v>
      </c>
      <c r="N55" s="134">
        <v>281.89999999999998</v>
      </c>
      <c r="O55" s="134">
        <v>0</v>
      </c>
      <c r="P55" s="134">
        <v>0.41</v>
      </c>
      <c r="Q55" s="134">
        <v>4.38</v>
      </c>
    </row>
    <row r="56" spans="1:17" customFormat="1">
      <c r="A56" s="112" t="s">
        <v>2781</v>
      </c>
      <c r="B56" s="134">
        <v>19.62</v>
      </c>
      <c r="C56" s="134">
        <v>15.71</v>
      </c>
      <c r="D56" s="134">
        <v>25.29</v>
      </c>
      <c r="E56" s="134">
        <v>4.51</v>
      </c>
      <c r="F56" s="134">
        <v>5.23</v>
      </c>
      <c r="G56" s="134">
        <v>41.07</v>
      </c>
      <c r="H56" s="134">
        <v>9.84</v>
      </c>
      <c r="I56" s="134">
        <v>3.8</v>
      </c>
      <c r="J56" s="134">
        <v>0.77</v>
      </c>
      <c r="K56" s="134">
        <v>314.05</v>
      </c>
      <c r="L56" s="134">
        <v>31.61</v>
      </c>
      <c r="M56" s="134">
        <v>61.99</v>
      </c>
      <c r="N56" s="134">
        <v>736.4</v>
      </c>
      <c r="O56" s="134">
        <v>0</v>
      </c>
      <c r="P56" s="134">
        <v>0.41</v>
      </c>
      <c r="Q56" s="134">
        <v>4.37</v>
      </c>
    </row>
    <row r="57" spans="1:17" customFormat="1">
      <c r="A57" s="112" t="s">
        <v>2782</v>
      </c>
      <c r="B57" s="134">
        <v>19</v>
      </c>
      <c r="C57" s="134">
        <v>15.29</v>
      </c>
      <c r="D57" s="134">
        <v>24.57</v>
      </c>
      <c r="E57" s="134">
        <v>4.38</v>
      </c>
      <c r="F57" s="134">
        <v>5.23</v>
      </c>
      <c r="G57" s="134">
        <v>45.17</v>
      </c>
      <c r="H57" s="134">
        <v>9.43</v>
      </c>
      <c r="I57" s="134">
        <v>3.75</v>
      </c>
      <c r="J57" s="134">
        <v>0.91</v>
      </c>
      <c r="K57" s="134">
        <v>279.88</v>
      </c>
      <c r="L57" s="134">
        <v>31.81</v>
      </c>
      <c r="M57" s="134">
        <v>61.01</v>
      </c>
      <c r="N57" s="134">
        <v>722.7</v>
      </c>
      <c r="O57" s="134">
        <v>0</v>
      </c>
      <c r="P57" s="134">
        <v>0.41</v>
      </c>
      <c r="Q57" s="134">
        <v>4.3899999999999997</v>
      </c>
    </row>
    <row r="58" spans="1:17" customFormat="1">
      <c r="A58" s="112" t="s">
        <v>2783</v>
      </c>
      <c r="B58" s="134">
        <v>20.02</v>
      </c>
      <c r="C58" s="134">
        <v>16.37</v>
      </c>
      <c r="D58" s="134">
        <v>25.96</v>
      </c>
      <c r="E58" s="134">
        <v>4.54</v>
      </c>
      <c r="F58" s="134">
        <v>4.42</v>
      </c>
      <c r="G58" s="134">
        <v>45.17</v>
      </c>
      <c r="H58" s="134">
        <v>9.43</v>
      </c>
      <c r="I58" s="134">
        <v>3.66</v>
      </c>
      <c r="J58" s="134">
        <v>0.68</v>
      </c>
      <c r="K58" s="134">
        <v>303.33999999999997</v>
      </c>
      <c r="L58" s="134">
        <v>32.06</v>
      </c>
      <c r="M58" s="134">
        <v>60.28</v>
      </c>
      <c r="N58" s="134">
        <v>688.6</v>
      </c>
      <c r="O58" s="134">
        <v>0</v>
      </c>
      <c r="P58" s="134">
        <v>0.41</v>
      </c>
      <c r="Q58" s="134">
        <v>4.4000000000000004</v>
      </c>
    </row>
    <row r="59" spans="1:17" customFormat="1">
      <c r="A59" s="112" t="s">
        <v>2784</v>
      </c>
      <c r="B59" s="134">
        <v>20.63</v>
      </c>
      <c r="C59" s="134">
        <v>17.07</v>
      </c>
      <c r="D59" s="134">
        <v>26.82</v>
      </c>
      <c r="E59" s="134">
        <v>4.29</v>
      </c>
      <c r="F59" s="134">
        <v>4.55</v>
      </c>
      <c r="G59" s="134">
        <v>45.17</v>
      </c>
      <c r="H59" s="134">
        <v>9.43</v>
      </c>
      <c r="I59" s="134">
        <v>3.64</v>
      </c>
      <c r="J59" s="134">
        <v>0.77</v>
      </c>
      <c r="K59" s="134">
        <v>312.75</v>
      </c>
      <c r="L59" s="134">
        <v>32.119999999999997</v>
      </c>
      <c r="M59" s="134">
        <v>57.47</v>
      </c>
      <c r="N59" s="134">
        <v>695</v>
      </c>
      <c r="O59" s="134">
        <v>0</v>
      </c>
      <c r="P59" s="134">
        <v>0.41</v>
      </c>
      <c r="Q59" s="134">
        <v>4.3899999999999997</v>
      </c>
    </row>
    <row r="60" spans="1:17" customFormat="1">
      <c r="A60" s="112" t="s">
        <v>2785</v>
      </c>
      <c r="B60" s="134">
        <v>19.829999999999998</v>
      </c>
      <c r="C60" s="134">
        <v>16.11</v>
      </c>
      <c r="D60" s="134">
        <v>25.66</v>
      </c>
      <c r="E60" s="134">
        <v>4.2699999999999996</v>
      </c>
      <c r="F60" s="134">
        <v>5.18</v>
      </c>
      <c r="G60" s="134">
        <v>45.25</v>
      </c>
      <c r="H60" s="134">
        <v>9.6199999999999992</v>
      </c>
      <c r="I60" s="134">
        <v>3.67</v>
      </c>
      <c r="J60" s="134">
        <v>0.82</v>
      </c>
      <c r="K60" s="134">
        <v>296.73</v>
      </c>
      <c r="L60" s="134">
        <v>32.51</v>
      </c>
      <c r="M60" s="134">
        <v>56.11</v>
      </c>
      <c r="N60" s="134">
        <v>671.4</v>
      </c>
      <c r="O60" s="134">
        <v>0</v>
      </c>
      <c r="P60" s="134">
        <v>0.41</v>
      </c>
      <c r="Q60" s="134">
        <v>4.37</v>
      </c>
    </row>
    <row r="61" spans="1:17" customFormat="1">
      <c r="A61" s="112" t="s">
        <v>2786</v>
      </c>
      <c r="B61" s="134">
        <v>19.670000000000002</v>
      </c>
      <c r="C61" s="134">
        <v>15.32</v>
      </c>
      <c r="D61" s="134">
        <v>25.13</v>
      </c>
      <c r="E61" s="134">
        <v>4.21</v>
      </c>
      <c r="F61" s="134">
        <v>5</v>
      </c>
      <c r="G61" s="134">
        <v>45.83</v>
      </c>
      <c r="H61" s="134">
        <v>10.85</v>
      </c>
      <c r="I61" s="134">
        <v>3.62</v>
      </c>
      <c r="J61" s="134">
        <v>0.66</v>
      </c>
      <c r="K61" s="134">
        <v>283.08</v>
      </c>
      <c r="L61" s="134">
        <v>32.520000000000003</v>
      </c>
      <c r="M61" s="134">
        <v>56.95</v>
      </c>
      <c r="N61" s="134">
        <v>602.20000000000005</v>
      </c>
      <c r="O61" s="134">
        <v>0</v>
      </c>
      <c r="P61" s="134">
        <v>0.4</v>
      </c>
      <c r="Q61" s="134">
        <v>4.37</v>
      </c>
    </row>
    <row r="62" spans="1:17" customFormat="1">
      <c r="A62" s="112" t="s">
        <v>2787</v>
      </c>
      <c r="B62" s="134">
        <v>19.46</v>
      </c>
      <c r="C62" s="134">
        <v>16.04</v>
      </c>
      <c r="D62" s="134">
        <v>25.33</v>
      </c>
      <c r="E62" s="134">
        <v>3.87</v>
      </c>
      <c r="F62" s="134">
        <v>3.88</v>
      </c>
      <c r="G62" s="134">
        <v>45.83</v>
      </c>
      <c r="H62" s="134">
        <v>10.85</v>
      </c>
      <c r="I62" s="134">
        <v>3.58</v>
      </c>
      <c r="J62" s="134">
        <v>0.78</v>
      </c>
      <c r="K62" s="134">
        <v>262.3</v>
      </c>
      <c r="L62" s="134">
        <v>31.9</v>
      </c>
      <c r="M62" s="134">
        <v>60.37</v>
      </c>
      <c r="N62" s="134">
        <v>209</v>
      </c>
      <c r="O62" s="134">
        <v>0</v>
      </c>
      <c r="P62" s="134">
        <v>0.4</v>
      </c>
      <c r="Q62" s="134">
        <v>4.3600000000000003</v>
      </c>
    </row>
    <row r="63" spans="1:17" customFormat="1">
      <c r="A63" s="112" t="s">
        <v>2788</v>
      </c>
      <c r="B63" s="134">
        <v>19.22</v>
      </c>
      <c r="C63" s="134">
        <v>16.11</v>
      </c>
      <c r="D63" s="134">
        <v>25.19</v>
      </c>
      <c r="E63" s="134">
        <v>4.0999999999999996</v>
      </c>
      <c r="F63" s="134">
        <v>3.96</v>
      </c>
      <c r="G63" s="134">
        <v>45.83</v>
      </c>
      <c r="H63" s="134">
        <v>10.85</v>
      </c>
      <c r="I63" s="134">
        <v>3.58</v>
      </c>
      <c r="J63" s="134">
        <v>0.56000000000000005</v>
      </c>
      <c r="K63" s="134">
        <v>263.08999999999997</v>
      </c>
      <c r="L63" s="134">
        <v>31.5</v>
      </c>
      <c r="M63" s="134">
        <v>66.37</v>
      </c>
      <c r="N63" s="134">
        <v>424.1</v>
      </c>
      <c r="O63" s="134">
        <v>0</v>
      </c>
      <c r="P63" s="134">
        <v>0.39</v>
      </c>
      <c r="Q63" s="134">
        <v>4.33</v>
      </c>
    </row>
    <row r="64" spans="1:17" customFormat="1">
      <c r="A64" s="112" t="s">
        <v>2789</v>
      </c>
      <c r="B64" s="134">
        <v>18.920000000000002</v>
      </c>
      <c r="C64" s="134">
        <v>16.059999999999999</v>
      </c>
      <c r="D64" s="134">
        <v>24.91</v>
      </c>
      <c r="E64" s="134">
        <v>4.5</v>
      </c>
      <c r="F64" s="134">
        <v>5.22</v>
      </c>
      <c r="G64" s="134">
        <v>45.68</v>
      </c>
      <c r="H64" s="134">
        <v>10.93</v>
      </c>
      <c r="I64" s="134">
        <v>3.58</v>
      </c>
      <c r="J64" s="134">
        <v>0.69</v>
      </c>
      <c r="K64" s="134">
        <v>263.07</v>
      </c>
      <c r="L64" s="134">
        <v>32.61</v>
      </c>
      <c r="M64" s="134">
        <v>63.68</v>
      </c>
      <c r="N64" s="134">
        <v>648.29999999999995</v>
      </c>
      <c r="O64" s="134">
        <v>0</v>
      </c>
      <c r="P64" s="134">
        <v>0.4</v>
      </c>
      <c r="Q64" s="134">
        <v>4.32</v>
      </c>
    </row>
    <row r="65" spans="1:17" customFormat="1">
      <c r="A65" s="112" t="s">
        <v>2790</v>
      </c>
      <c r="B65" s="134">
        <v>18.829999999999998</v>
      </c>
      <c r="C65" s="134">
        <v>15.15</v>
      </c>
      <c r="D65" s="134">
        <v>24.36</v>
      </c>
      <c r="E65" s="134">
        <v>4.76</v>
      </c>
      <c r="F65" s="134">
        <v>5.23</v>
      </c>
      <c r="G65" s="134">
        <v>44.49</v>
      </c>
      <c r="H65" s="134">
        <v>11.44</v>
      </c>
      <c r="I65" s="134">
        <v>3.59</v>
      </c>
      <c r="J65" s="134">
        <v>0.64</v>
      </c>
      <c r="K65" s="134">
        <v>262.83999999999997</v>
      </c>
      <c r="L65" s="134">
        <v>32.42</v>
      </c>
      <c r="M65" s="134">
        <v>62.79</v>
      </c>
      <c r="N65" s="134">
        <v>323.60000000000002</v>
      </c>
      <c r="O65" s="134">
        <v>0</v>
      </c>
      <c r="P65" s="134">
        <v>0.38</v>
      </c>
      <c r="Q65" s="134">
        <v>4.29</v>
      </c>
    </row>
    <row r="66" spans="1:17" customFormat="1">
      <c r="A66" s="112" t="s">
        <v>2791</v>
      </c>
      <c r="B66" s="134">
        <v>18.920000000000002</v>
      </c>
      <c r="C66" s="134">
        <v>15.19</v>
      </c>
      <c r="D66" s="134">
        <v>24.46</v>
      </c>
      <c r="E66" s="134">
        <v>4.5</v>
      </c>
      <c r="F66" s="134">
        <v>4.88</v>
      </c>
      <c r="G66" s="134">
        <v>44.49</v>
      </c>
      <c r="H66" s="134">
        <v>11.44</v>
      </c>
      <c r="I66" s="134">
        <v>3.63</v>
      </c>
      <c r="J66" s="134">
        <v>0.76</v>
      </c>
      <c r="K66" s="134">
        <v>266.91000000000003</v>
      </c>
      <c r="L66" s="134">
        <v>32.01</v>
      </c>
      <c r="M66" s="134">
        <v>62.3</v>
      </c>
      <c r="N66" s="134">
        <v>551.20000000000005</v>
      </c>
      <c r="O66" s="134">
        <v>0</v>
      </c>
      <c r="P66" s="134">
        <v>0.39</v>
      </c>
      <c r="Q66" s="134">
        <v>4.25</v>
      </c>
    </row>
    <row r="67" spans="1:17" customFormat="1">
      <c r="A67" s="112" t="s">
        <v>2792</v>
      </c>
      <c r="B67" s="134">
        <v>18.899999999999999</v>
      </c>
      <c r="C67" s="134">
        <v>15.1</v>
      </c>
      <c r="D67" s="134">
        <v>24.4</v>
      </c>
      <c r="E67" s="134">
        <v>4.26</v>
      </c>
      <c r="F67" s="134">
        <v>4.78</v>
      </c>
      <c r="G67" s="134">
        <v>44.49</v>
      </c>
      <c r="H67" s="134">
        <v>11.44</v>
      </c>
      <c r="I67" s="134">
        <v>3.69</v>
      </c>
      <c r="J67" s="134">
        <v>0.8</v>
      </c>
      <c r="K67" s="134">
        <v>268.02999999999997</v>
      </c>
      <c r="L67" s="134">
        <v>32.82</v>
      </c>
      <c r="M67" s="134">
        <v>58.49</v>
      </c>
      <c r="N67" s="134">
        <v>580.20000000000005</v>
      </c>
      <c r="O67" s="134">
        <v>0</v>
      </c>
      <c r="P67" s="134">
        <v>0.39</v>
      </c>
      <c r="Q67" s="134">
        <v>4.24</v>
      </c>
    </row>
    <row r="68" spans="1:17" customFormat="1">
      <c r="A68" s="112" t="s">
        <v>2793</v>
      </c>
      <c r="B68" s="134">
        <v>18.760000000000002</v>
      </c>
      <c r="C68" s="134">
        <v>15.16</v>
      </c>
      <c r="D68" s="134">
        <v>24.32</v>
      </c>
      <c r="E68" s="134">
        <v>4.17</v>
      </c>
      <c r="F68" s="134">
        <v>5.71</v>
      </c>
      <c r="G68" s="134">
        <v>44.97</v>
      </c>
      <c r="H68" s="134">
        <v>11.48</v>
      </c>
      <c r="I68" s="134">
        <v>3.73</v>
      </c>
      <c r="J68" s="134">
        <v>0.82</v>
      </c>
      <c r="K68" s="134">
        <v>258.24</v>
      </c>
      <c r="L68" s="134">
        <v>32.630000000000003</v>
      </c>
      <c r="M68" s="134">
        <v>57.43</v>
      </c>
      <c r="N68" s="134">
        <v>506.3</v>
      </c>
      <c r="O68" s="134">
        <v>0</v>
      </c>
      <c r="P68" s="134">
        <v>0.38</v>
      </c>
      <c r="Q68" s="134">
        <v>4.22</v>
      </c>
    </row>
    <row r="69" spans="1:17" customFormat="1">
      <c r="A69" s="112" t="s">
        <v>2794</v>
      </c>
      <c r="B69" s="134">
        <v>18.54</v>
      </c>
      <c r="C69" s="134">
        <v>15.3</v>
      </c>
      <c r="D69" s="134">
        <v>24.21</v>
      </c>
      <c r="E69" s="134">
        <v>4.25</v>
      </c>
      <c r="F69" s="134">
        <v>5.64</v>
      </c>
      <c r="G69" s="134">
        <v>48.79</v>
      </c>
      <c r="H69" s="134">
        <v>11.73</v>
      </c>
      <c r="I69" s="134">
        <v>3.73</v>
      </c>
      <c r="J69" s="134">
        <v>0.85</v>
      </c>
      <c r="K69" s="134">
        <v>289.8</v>
      </c>
      <c r="L69" s="134">
        <v>32.25</v>
      </c>
      <c r="M69" s="134">
        <v>57.32</v>
      </c>
      <c r="N69" s="134">
        <v>354.6</v>
      </c>
      <c r="O69" s="134">
        <v>0</v>
      </c>
      <c r="P69" s="134">
        <v>0.38</v>
      </c>
      <c r="Q69" s="134">
        <v>4.22</v>
      </c>
    </row>
    <row r="70" spans="1:17" customFormat="1">
      <c r="A70" s="112" t="s">
        <v>2795</v>
      </c>
      <c r="B70" s="134">
        <v>18.489999999999998</v>
      </c>
      <c r="C70" s="134">
        <v>15.58</v>
      </c>
      <c r="D70" s="134">
        <v>24.31</v>
      </c>
      <c r="E70" s="134">
        <v>4.18</v>
      </c>
      <c r="F70" s="134">
        <v>4.57</v>
      </c>
      <c r="G70" s="134">
        <v>48.79</v>
      </c>
      <c r="H70" s="134">
        <v>11.73</v>
      </c>
      <c r="I70" s="134">
        <v>3.67</v>
      </c>
      <c r="J70" s="134">
        <v>0.8</v>
      </c>
      <c r="K70" s="134">
        <v>271.88</v>
      </c>
      <c r="L70" s="134">
        <v>32.36</v>
      </c>
      <c r="M70" s="134">
        <v>57.54</v>
      </c>
      <c r="N70" s="134">
        <v>444.5</v>
      </c>
      <c r="O70" s="134">
        <v>0</v>
      </c>
      <c r="P70" s="134">
        <v>0.39</v>
      </c>
      <c r="Q70" s="134">
        <v>4.22</v>
      </c>
    </row>
    <row r="71" spans="1:17" customFormat="1">
      <c r="A71" s="112" t="s">
        <v>2796</v>
      </c>
      <c r="B71" s="134">
        <v>10.25</v>
      </c>
      <c r="C71" s="134">
        <v>9.42</v>
      </c>
      <c r="D71" s="134">
        <v>14.5</v>
      </c>
      <c r="E71" s="134">
        <v>3.62</v>
      </c>
      <c r="F71" s="134">
        <v>4.2699999999999996</v>
      </c>
      <c r="G71" s="134">
        <v>48.79</v>
      </c>
      <c r="H71" s="134">
        <v>11.73</v>
      </c>
      <c r="I71" s="134">
        <v>3.64</v>
      </c>
      <c r="J71" s="134">
        <v>0.77</v>
      </c>
      <c r="K71" s="134">
        <v>275.76</v>
      </c>
      <c r="L71" s="134">
        <v>32.29</v>
      </c>
      <c r="M71" s="134">
        <v>55.89</v>
      </c>
      <c r="N71" s="134">
        <v>280.39999999999998</v>
      </c>
      <c r="O71" s="134">
        <v>0</v>
      </c>
      <c r="P71" s="134">
        <v>0.39</v>
      </c>
      <c r="Q71" s="134">
        <v>4.24</v>
      </c>
    </row>
    <row r="72" spans="1:17" customFormat="1">
      <c r="A72" s="112" t="s">
        <v>2797</v>
      </c>
      <c r="B72" s="134">
        <v>4.25</v>
      </c>
      <c r="C72" s="134">
        <v>3.15</v>
      </c>
      <c r="D72" s="134">
        <v>6.41</v>
      </c>
      <c r="E72" s="134">
        <v>4.38</v>
      </c>
      <c r="F72" s="134">
        <v>7.2</v>
      </c>
      <c r="G72" s="134">
        <v>48.55</v>
      </c>
      <c r="H72" s="134">
        <v>11.6</v>
      </c>
      <c r="I72" s="134">
        <v>3.68</v>
      </c>
      <c r="J72" s="134">
        <v>0.61</v>
      </c>
      <c r="K72" s="134">
        <v>266.02</v>
      </c>
      <c r="L72" s="134">
        <v>31.86</v>
      </c>
      <c r="M72" s="134">
        <v>61.08</v>
      </c>
      <c r="N72" s="134">
        <v>278.10000000000002</v>
      </c>
      <c r="O72" s="134">
        <v>0</v>
      </c>
      <c r="P72" s="134">
        <v>0.39</v>
      </c>
      <c r="Q72" s="134">
        <v>4.25</v>
      </c>
    </row>
    <row r="73" spans="1:17" customFormat="1">
      <c r="A73" s="112" t="s">
        <v>2798</v>
      </c>
      <c r="B73" s="134">
        <v>15.31</v>
      </c>
      <c r="C73" s="134">
        <v>12.88</v>
      </c>
      <c r="D73" s="134">
        <v>20.36</v>
      </c>
      <c r="E73" s="134">
        <v>4.34</v>
      </c>
      <c r="F73" s="134">
        <v>8.0299999999999994</v>
      </c>
      <c r="G73" s="134">
        <v>46.69</v>
      </c>
      <c r="H73" s="134">
        <v>10.87</v>
      </c>
      <c r="I73" s="134">
        <v>3.61</v>
      </c>
      <c r="J73" s="134">
        <v>1.07</v>
      </c>
      <c r="K73" s="134">
        <v>269.58</v>
      </c>
      <c r="L73" s="134">
        <v>32.11</v>
      </c>
      <c r="M73" s="134">
        <v>57.85</v>
      </c>
      <c r="N73" s="134">
        <v>259.60000000000002</v>
      </c>
      <c r="O73" s="134">
        <v>0</v>
      </c>
      <c r="P73" s="134">
        <v>0.37</v>
      </c>
      <c r="Q73" s="134">
        <v>4.18</v>
      </c>
    </row>
    <row r="74" spans="1:17" customFormat="1">
      <c r="A74" s="112" t="s">
        <v>2799</v>
      </c>
      <c r="B74" s="134">
        <v>17.98</v>
      </c>
      <c r="C74" s="134">
        <v>13.97</v>
      </c>
      <c r="D74" s="134">
        <v>23.07</v>
      </c>
      <c r="E74" s="134">
        <v>3.72</v>
      </c>
      <c r="F74" s="134">
        <v>6.86</v>
      </c>
      <c r="G74" s="134">
        <v>46.69</v>
      </c>
      <c r="H74" s="134">
        <v>10.87</v>
      </c>
      <c r="I74" s="134">
        <v>3.53</v>
      </c>
      <c r="J74" s="134">
        <v>0.54</v>
      </c>
      <c r="K74" s="134">
        <v>335.55</v>
      </c>
      <c r="L74" s="134">
        <v>31.4</v>
      </c>
      <c r="M74" s="134">
        <v>59.43</v>
      </c>
      <c r="N74" s="134">
        <v>121.3</v>
      </c>
      <c r="O74" s="134">
        <v>0</v>
      </c>
      <c r="P74" s="134">
        <v>0.36</v>
      </c>
      <c r="Q74" s="134">
        <v>4.18</v>
      </c>
    </row>
    <row r="75" spans="1:17" customFormat="1">
      <c r="A75" s="112" t="s">
        <v>2800</v>
      </c>
      <c r="B75" s="134">
        <v>18.52</v>
      </c>
      <c r="C75" s="134">
        <v>14.2</v>
      </c>
      <c r="D75" s="134">
        <v>23.62</v>
      </c>
      <c r="E75" s="134">
        <v>3.85</v>
      </c>
      <c r="F75" s="134">
        <v>6.67</v>
      </c>
      <c r="G75" s="134">
        <v>46.69</v>
      </c>
      <c r="H75" s="134">
        <v>10.87</v>
      </c>
      <c r="I75" s="134">
        <v>3.48</v>
      </c>
      <c r="J75" s="134">
        <v>0.63</v>
      </c>
      <c r="K75" s="134">
        <v>31.15</v>
      </c>
      <c r="L75" s="134">
        <v>29.77</v>
      </c>
      <c r="M75" s="134">
        <v>69.95</v>
      </c>
      <c r="N75" s="134">
        <v>73.8</v>
      </c>
      <c r="O75" s="134">
        <v>0</v>
      </c>
      <c r="P75" s="134">
        <v>0.36</v>
      </c>
      <c r="Q75" s="134">
        <v>4.17</v>
      </c>
    </row>
    <row r="76" spans="1:17" customFormat="1">
      <c r="A76" s="112" t="s">
        <v>2801</v>
      </c>
      <c r="B76" s="134">
        <v>13.57</v>
      </c>
      <c r="C76" s="134">
        <v>11.15</v>
      </c>
      <c r="D76" s="134">
        <v>18.059999999999999</v>
      </c>
      <c r="E76" s="134">
        <v>3.73</v>
      </c>
      <c r="F76" s="134">
        <v>7.16</v>
      </c>
      <c r="G76" s="134">
        <v>46.68</v>
      </c>
      <c r="H76" s="134">
        <v>10.96</v>
      </c>
      <c r="I76" s="134">
        <v>3.37</v>
      </c>
      <c r="J76" s="134">
        <v>0.42</v>
      </c>
      <c r="K76" s="134">
        <v>35.840000000000003</v>
      </c>
      <c r="L76" s="134">
        <v>29.5</v>
      </c>
      <c r="M76" s="134">
        <v>71.98</v>
      </c>
      <c r="N76" s="134">
        <v>83.7</v>
      </c>
      <c r="O76" s="134">
        <v>0</v>
      </c>
      <c r="P76" s="134">
        <v>0.37</v>
      </c>
      <c r="Q76" s="134">
        <v>4.21</v>
      </c>
    </row>
    <row r="77" spans="1:17" customFormat="1">
      <c r="A77" s="112" t="s">
        <v>2802</v>
      </c>
      <c r="B77" s="134">
        <v>4.6900000000000004</v>
      </c>
      <c r="C77" s="134">
        <v>3.34</v>
      </c>
      <c r="D77" s="134">
        <v>6.85</v>
      </c>
      <c r="E77" s="134">
        <v>4.96</v>
      </c>
      <c r="F77" s="134">
        <v>7.75</v>
      </c>
      <c r="G77" s="134">
        <v>46.59</v>
      </c>
      <c r="H77" s="134">
        <v>11.57</v>
      </c>
      <c r="I77" s="134">
        <v>3.25</v>
      </c>
      <c r="J77" s="134">
        <v>0.28999999999999998</v>
      </c>
      <c r="K77" s="134">
        <v>352.39</v>
      </c>
      <c r="L77" s="134">
        <v>29.9</v>
      </c>
      <c r="M77" s="134">
        <v>70.59</v>
      </c>
      <c r="N77" s="134">
        <v>65.3</v>
      </c>
      <c r="O77" s="134">
        <v>0</v>
      </c>
      <c r="P77" s="134">
        <v>0.39</v>
      </c>
      <c r="Q77" s="134">
        <v>4.2300000000000004</v>
      </c>
    </row>
    <row r="78" spans="1:17" customFormat="1">
      <c r="A78" s="112" t="s">
        <v>2803</v>
      </c>
      <c r="B78" s="134">
        <v>3.95</v>
      </c>
      <c r="C78" s="134">
        <v>2.2599999999999998</v>
      </c>
      <c r="D78" s="134">
        <v>5.7</v>
      </c>
      <c r="E78" s="134">
        <v>9.36</v>
      </c>
      <c r="F78" s="134">
        <v>6.64</v>
      </c>
      <c r="G78" s="134">
        <v>46.59</v>
      </c>
      <c r="H78" s="134">
        <v>11.57</v>
      </c>
      <c r="I78" s="134">
        <v>3.17</v>
      </c>
      <c r="J78" s="134">
        <v>0.25</v>
      </c>
      <c r="K78" s="134">
        <v>294.42</v>
      </c>
      <c r="L78" s="134">
        <v>30.2</v>
      </c>
      <c r="M78" s="134">
        <v>67.8</v>
      </c>
      <c r="N78" s="134">
        <v>54.9</v>
      </c>
      <c r="O78" s="134">
        <v>0</v>
      </c>
      <c r="P78" s="134">
        <v>0.39</v>
      </c>
      <c r="Q78" s="134">
        <v>4.26</v>
      </c>
    </row>
    <row r="79" spans="1:17" customFormat="1">
      <c r="A79" s="112" t="s">
        <v>2804</v>
      </c>
      <c r="B79" s="134">
        <v>3.77</v>
      </c>
      <c r="C79" s="134">
        <v>2.02</v>
      </c>
      <c r="D79" s="134">
        <v>5.44</v>
      </c>
      <c r="E79" s="134">
        <v>6.69</v>
      </c>
      <c r="F79" s="134">
        <v>6.59</v>
      </c>
      <c r="G79" s="134">
        <v>46.59</v>
      </c>
      <c r="H79" s="134">
        <v>11.57</v>
      </c>
      <c r="I79" s="134">
        <v>3.26</v>
      </c>
      <c r="J79" s="134">
        <v>0.34</v>
      </c>
      <c r="K79" s="134">
        <v>259.22000000000003</v>
      </c>
      <c r="L79" s="134">
        <v>30.22</v>
      </c>
      <c r="M79" s="134">
        <v>66.48</v>
      </c>
      <c r="N79" s="134">
        <v>24.6</v>
      </c>
      <c r="O79" s="134">
        <v>0</v>
      </c>
      <c r="P79" s="134">
        <v>0.38</v>
      </c>
      <c r="Q79" s="134">
        <v>4.24</v>
      </c>
    </row>
    <row r="80" spans="1:17" customFormat="1">
      <c r="A80" s="112" t="s">
        <v>2805</v>
      </c>
      <c r="B80" s="134">
        <v>3.63</v>
      </c>
      <c r="C80" s="134">
        <v>1.46</v>
      </c>
      <c r="D80" s="134">
        <v>5.03</v>
      </c>
      <c r="E80" s="134">
        <v>4.93</v>
      </c>
      <c r="F80" s="134">
        <v>9.5299999999999994</v>
      </c>
      <c r="G80" s="134">
        <v>46.47</v>
      </c>
      <c r="H80" s="134">
        <v>11.52</v>
      </c>
      <c r="I80" s="134">
        <v>3.44</v>
      </c>
      <c r="J80" s="134">
        <v>0.48</v>
      </c>
      <c r="K80" s="134">
        <v>266.95999999999998</v>
      </c>
      <c r="L80" s="134">
        <v>29.96</v>
      </c>
      <c r="M80" s="134">
        <v>66.83</v>
      </c>
      <c r="N80" s="134">
        <v>9.3000000000000007</v>
      </c>
      <c r="O80" s="134">
        <v>0</v>
      </c>
      <c r="P80" s="134">
        <v>0.37</v>
      </c>
      <c r="Q80" s="134">
        <v>4.3</v>
      </c>
    </row>
    <row r="81" spans="1:17" customFormat="1">
      <c r="A81" s="112" t="s">
        <v>2806</v>
      </c>
      <c r="B81" s="134">
        <v>6.66</v>
      </c>
      <c r="C81" s="134">
        <v>4.96</v>
      </c>
      <c r="D81" s="134">
        <v>9.2899999999999991</v>
      </c>
      <c r="E81" s="134">
        <v>3.47</v>
      </c>
      <c r="F81" s="134">
        <v>9.44</v>
      </c>
      <c r="G81" s="134">
        <v>45.44</v>
      </c>
      <c r="H81" s="134">
        <v>11.23</v>
      </c>
      <c r="I81" s="134">
        <v>3.34</v>
      </c>
      <c r="J81" s="134">
        <v>0.6</v>
      </c>
      <c r="K81" s="134">
        <v>260.44</v>
      </c>
      <c r="L81" s="134">
        <v>29.73</v>
      </c>
      <c r="M81" s="134">
        <v>67.680000000000007</v>
      </c>
      <c r="N81" s="134">
        <v>0</v>
      </c>
      <c r="O81" s="134">
        <v>0</v>
      </c>
      <c r="P81" s="134">
        <v>0.37</v>
      </c>
      <c r="Q81" s="134">
        <v>4.3099999999999996</v>
      </c>
    </row>
    <row r="82" spans="1:17" customFormat="1">
      <c r="A82" s="112" t="s">
        <v>2807</v>
      </c>
      <c r="B82" s="134">
        <v>18.100000000000001</v>
      </c>
      <c r="C82" s="134">
        <v>14.2</v>
      </c>
      <c r="D82" s="134">
        <v>23.29</v>
      </c>
      <c r="E82" s="134">
        <v>4.09</v>
      </c>
      <c r="F82" s="134">
        <v>8.14</v>
      </c>
      <c r="G82" s="134">
        <v>45.44</v>
      </c>
      <c r="H82" s="134">
        <v>11.23</v>
      </c>
      <c r="I82" s="134">
        <v>3.23</v>
      </c>
      <c r="J82" s="134">
        <v>0.49</v>
      </c>
      <c r="K82" s="134">
        <v>255.33</v>
      </c>
      <c r="L82" s="134">
        <v>29.58</v>
      </c>
      <c r="M82" s="134">
        <v>68.680000000000007</v>
      </c>
      <c r="N82" s="134">
        <v>0</v>
      </c>
      <c r="O82" s="134">
        <v>0</v>
      </c>
      <c r="P82" s="134">
        <v>0.36</v>
      </c>
      <c r="Q82" s="134">
        <v>4.3</v>
      </c>
    </row>
    <row r="83" spans="1:17" customFormat="1">
      <c r="A83" s="112" t="s">
        <v>2808</v>
      </c>
      <c r="B83" s="134">
        <v>19.32</v>
      </c>
      <c r="C83" s="134">
        <v>14.79</v>
      </c>
      <c r="D83" s="134">
        <v>24.57</v>
      </c>
      <c r="E83" s="134">
        <v>4.5999999999999996</v>
      </c>
      <c r="F83" s="134">
        <v>7.31</v>
      </c>
      <c r="G83" s="134">
        <v>45.44</v>
      </c>
      <c r="H83" s="134">
        <v>11.23</v>
      </c>
      <c r="I83" s="134">
        <v>3.13</v>
      </c>
      <c r="J83" s="134">
        <v>0.1</v>
      </c>
      <c r="K83" s="134">
        <v>235.21</v>
      </c>
      <c r="L83" s="134">
        <v>29.07</v>
      </c>
      <c r="M83" s="134">
        <v>73.62</v>
      </c>
      <c r="N83" s="134">
        <v>0</v>
      </c>
      <c r="O83" s="134">
        <v>0</v>
      </c>
      <c r="P83" s="134">
        <v>0.38</v>
      </c>
      <c r="Q83" s="134">
        <v>4.3499999999999996</v>
      </c>
    </row>
    <row r="84" spans="1:17" customFormat="1">
      <c r="A84" s="112" t="s">
        <v>2809</v>
      </c>
      <c r="B84" s="134">
        <v>18.64</v>
      </c>
      <c r="C84" s="134">
        <v>13.83</v>
      </c>
      <c r="D84" s="134">
        <v>23.53</v>
      </c>
      <c r="E84" s="134">
        <v>4.63</v>
      </c>
      <c r="F84" s="134">
        <v>8.8699999999999992</v>
      </c>
      <c r="G84" s="134">
        <v>45.02</v>
      </c>
      <c r="H84" s="134">
        <v>10.96</v>
      </c>
      <c r="I84" s="134">
        <v>3.24</v>
      </c>
      <c r="J84" s="134">
        <v>0.11</v>
      </c>
      <c r="K84" s="134">
        <v>203.58</v>
      </c>
      <c r="L84" s="134">
        <v>28.74</v>
      </c>
      <c r="M84" s="134">
        <v>75.95</v>
      </c>
      <c r="N84" s="134">
        <v>0</v>
      </c>
      <c r="O84" s="134">
        <v>0</v>
      </c>
      <c r="P84" s="134">
        <v>0.38</v>
      </c>
      <c r="Q84" s="134">
        <v>4.3099999999999996</v>
      </c>
    </row>
    <row r="85" spans="1:17" customFormat="1">
      <c r="A85" s="112" t="s">
        <v>2810</v>
      </c>
      <c r="B85" s="134">
        <v>18.21</v>
      </c>
      <c r="C85" s="134">
        <v>12.96</v>
      </c>
      <c r="D85" s="134">
        <v>22.72</v>
      </c>
      <c r="E85" s="134">
        <v>4</v>
      </c>
      <c r="F85" s="134">
        <v>10.72</v>
      </c>
      <c r="G85" s="134">
        <v>41.63</v>
      </c>
      <c r="H85" s="134">
        <v>9.2200000000000006</v>
      </c>
      <c r="I85" s="134">
        <v>3.33</v>
      </c>
      <c r="J85" s="134">
        <v>0.16</v>
      </c>
      <c r="K85" s="134">
        <v>175.36</v>
      </c>
      <c r="L85" s="134">
        <v>28.45</v>
      </c>
      <c r="M85" s="134">
        <v>78.34</v>
      </c>
      <c r="N85" s="134">
        <v>0</v>
      </c>
      <c r="O85" s="134">
        <v>0</v>
      </c>
      <c r="P85" s="134">
        <v>0.39</v>
      </c>
      <c r="Q85" s="134">
        <v>4.32</v>
      </c>
    </row>
    <row r="86" spans="1:17" customFormat="1">
      <c r="A86" s="112" t="s">
        <v>2811</v>
      </c>
      <c r="B86" s="134">
        <v>18.45</v>
      </c>
      <c r="C86" s="134">
        <v>12.6</v>
      </c>
      <c r="D86" s="134">
        <v>22.73</v>
      </c>
      <c r="E86" s="134">
        <v>4.3</v>
      </c>
      <c r="F86" s="134">
        <v>9.75</v>
      </c>
      <c r="G86" s="134">
        <v>41.63</v>
      </c>
      <c r="H86" s="134">
        <v>9.2200000000000006</v>
      </c>
      <c r="I86" s="134">
        <v>3.27</v>
      </c>
      <c r="J86" s="134">
        <v>0.09</v>
      </c>
      <c r="K86" s="134">
        <v>192.48</v>
      </c>
      <c r="L86" s="134">
        <v>28.11</v>
      </c>
      <c r="M86" s="134">
        <v>83.14</v>
      </c>
      <c r="N86" s="134">
        <v>0</v>
      </c>
      <c r="O86" s="134">
        <v>0</v>
      </c>
      <c r="P86" s="134">
        <v>0.41</v>
      </c>
      <c r="Q86" s="134">
        <v>4.3099999999999996</v>
      </c>
    </row>
    <row r="87" spans="1:17" customFormat="1">
      <c r="A87" s="112" t="s">
        <v>2812</v>
      </c>
      <c r="B87" s="134">
        <v>18.63</v>
      </c>
      <c r="C87" s="134">
        <v>12.22</v>
      </c>
      <c r="D87" s="134">
        <v>22.68</v>
      </c>
      <c r="E87" s="134">
        <v>4.43</v>
      </c>
      <c r="F87" s="134">
        <v>9.67</v>
      </c>
      <c r="G87" s="134">
        <v>41.63</v>
      </c>
      <c r="H87" s="134">
        <v>9.2200000000000006</v>
      </c>
      <c r="I87" s="134">
        <v>3.47</v>
      </c>
      <c r="J87" s="134">
        <v>0.13</v>
      </c>
      <c r="K87" s="134">
        <v>220.28</v>
      </c>
      <c r="L87" s="134">
        <v>27.96</v>
      </c>
      <c r="M87" s="134">
        <v>84.8</v>
      </c>
      <c r="N87" s="134">
        <v>0</v>
      </c>
      <c r="O87" s="134">
        <v>0</v>
      </c>
      <c r="P87" s="134">
        <v>0.38</v>
      </c>
      <c r="Q87" s="134">
        <v>4.29</v>
      </c>
    </row>
    <row r="88" spans="1:17" customFormat="1">
      <c r="A88" s="112" t="s">
        <v>2813</v>
      </c>
      <c r="B88" s="134">
        <v>18.95</v>
      </c>
      <c r="C88" s="134">
        <v>11.78</v>
      </c>
      <c r="D88" s="134">
        <v>22.7</v>
      </c>
      <c r="E88" s="134">
        <v>4.9000000000000004</v>
      </c>
      <c r="F88" s="134">
        <v>11.54</v>
      </c>
      <c r="G88" s="134">
        <v>41.82</v>
      </c>
      <c r="H88" s="134">
        <v>9.58</v>
      </c>
      <c r="I88" s="134">
        <v>3.69</v>
      </c>
      <c r="J88" s="134">
        <v>0.31</v>
      </c>
      <c r="K88" s="134">
        <v>252.21</v>
      </c>
      <c r="L88" s="134">
        <v>28.18</v>
      </c>
      <c r="M88" s="134">
        <v>80.8</v>
      </c>
      <c r="N88" s="134">
        <v>0</v>
      </c>
      <c r="O88" s="134">
        <v>0</v>
      </c>
      <c r="P88" s="134">
        <v>0.36</v>
      </c>
      <c r="Q88" s="134">
        <v>4.26</v>
      </c>
    </row>
    <row r="89" spans="1:17" customFormat="1">
      <c r="A89" s="112" t="s">
        <v>2814</v>
      </c>
      <c r="B89" s="134">
        <v>19.010000000000002</v>
      </c>
      <c r="C89" s="134">
        <v>11.65</v>
      </c>
      <c r="D89" s="134">
        <v>22.68</v>
      </c>
      <c r="E89" s="134">
        <v>5.2</v>
      </c>
      <c r="F89" s="134">
        <v>11.09</v>
      </c>
      <c r="G89" s="134">
        <v>43.33</v>
      </c>
      <c r="H89" s="134">
        <v>11.91</v>
      </c>
      <c r="I89" s="134">
        <v>3.37</v>
      </c>
      <c r="J89" s="134">
        <v>0.4</v>
      </c>
      <c r="K89" s="134">
        <v>252.69</v>
      </c>
      <c r="L89" s="134">
        <v>28.21</v>
      </c>
      <c r="M89" s="134">
        <v>80.62</v>
      </c>
      <c r="N89" s="134">
        <v>0</v>
      </c>
      <c r="O89" s="134">
        <v>0</v>
      </c>
      <c r="P89" s="134">
        <v>0.35</v>
      </c>
      <c r="Q89" s="134">
        <v>4.29</v>
      </c>
    </row>
    <row r="90" spans="1:17" customFormat="1">
      <c r="A90" s="112" t="s">
        <v>2815</v>
      </c>
      <c r="B90" s="134">
        <v>19.260000000000002</v>
      </c>
      <c r="C90" s="134">
        <v>13.04</v>
      </c>
      <c r="D90" s="134">
        <v>23.61</v>
      </c>
      <c r="E90" s="134">
        <v>4.82</v>
      </c>
      <c r="F90" s="134">
        <v>6.11</v>
      </c>
      <c r="G90" s="134">
        <v>43.33</v>
      </c>
      <c r="H90" s="134">
        <v>11.91</v>
      </c>
      <c r="I90" s="134">
        <v>3.25</v>
      </c>
      <c r="J90" s="134">
        <v>0.43</v>
      </c>
      <c r="K90" s="134">
        <v>256.62</v>
      </c>
      <c r="L90" s="134">
        <v>28.24</v>
      </c>
      <c r="M90" s="134">
        <v>80.58</v>
      </c>
      <c r="N90" s="134">
        <v>0</v>
      </c>
      <c r="O90" s="134">
        <v>0</v>
      </c>
      <c r="P90" s="134">
        <v>0.36</v>
      </c>
      <c r="Q90" s="134">
        <v>4.26</v>
      </c>
    </row>
    <row r="91" spans="1:17" customFormat="1">
      <c r="A91" s="112" t="s">
        <v>2816</v>
      </c>
      <c r="B91" s="134">
        <v>19.149999999999999</v>
      </c>
      <c r="C91" s="134">
        <v>14.27</v>
      </c>
      <c r="D91" s="134">
        <v>24.17</v>
      </c>
      <c r="E91" s="134">
        <v>5.0599999999999996</v>
      </c>
      <c r="F91" s="134">
        <v>6.25</v>
      </c>
      <c r="G91" s="134">
        <v>43.33</v>
      </c>
      <c r="H91" s="134">
        <v>11.91</v>
      </c>
      <c r="I91" s="134">
        <v>3.28</v>
      </c>
      <c r="J91" s="134">
        <v>0.53</v>
      </c>
      <c r="K91" s="134">
        <v>258.79000000000002</v>
      </c>
      <c r="L91" s="134">
        <v>27.99</v>
      </c>
      <c r="M91" s="134">
        <v>82.27</v>
      </c>
      <c r="N91" s="134">
        <v>0</v>
      </c>
      <c r="O91" s="134">
        <v>0</v>
      </c>
      <c r="P91" s="134">
        <v>0.38</v>
      </c>
      <c r="Q91" s="134">
        <v>4.3099999999999996</v>
      </c>
    </row>
    <row r="92" spans="1:17" customFormat="1">
      <c r="A92" s="112" t="s">
        <v>2817</v>
      </c>
      <c r="B92" s="134">
        <v>14.09</v>
      </c>
      <c r="C92" s="134">
        <v>11.01</v>
      </c>
      <c r="D92" s="134">
        <v>18.399999999999999</v>
      </c>
      <c r="E92" s="134">
        <v>5.07</v>
      </c>
      <c r="F92" s="134">
        <v>6.97</v>
      </c>
      <c r="G92" s="134">
        <v>42.78</v>
      </c>
      <c r="H92" s="134">
        <v>11.86</v>
      </c>
      <c r="I92" s="134">
        <v>3.4</v>
      </c>
      <c r="J92" s="134">
        <v>0.62</v>
      </c>
      <c r="K92" s="134">
        <v>261.95999999999998</v>
      </c>
      <c r="L92" s="134">
        <v>27.93</v>
      </c>
      <c r="M92" s="134">
        <v>82.07</v>
      </c>
      <c r="N92" s="134">
        <v>0</v>
      </c>
      <c r="O92" s="134">
        <v>0</v>
      </c>
      <c r="P92" s="134">
        <v>0.38</v>
      </c>
      <c r="Q92" s="134">
        <v>4.3</v>
      </c>
    </row>
    <row r="93" spans="1:17" customFormat="1">
      <c r="A93" s="112" t="s">
        <v>2818</v>
      </c>
      <c r="B93" s="134">
        <v>4.57</v>
      </c>
      <c r="C93" s="134">
        <v>2.95</v>
      </c>
      <c r="D93" s="134">
        <v>6.56</v>
      </c>
      <c r="E93" s="134">
        <v>5.41</v>
      </c>
      <c r="F93" s="134">
        <v>7.39</v>
      </c>
      <c r="G93" s="134">
        <v>38.39</v>
      </c>
      <c r="H93" s="134">
        <v>11.6</v>
      </c>
      <c r="I93" s="134">
        <v>3.42</v>
      </c>
      <c r="J93" s="134">
        <v>0.65</v>
      </c>
      <c r="K93" s="134">
        <v>263.47000000000003</v>
      </c>
      <c r="L93" s="134">
        <v>27.82</v>
      </c>
      <c r="M93" s="134">
        <v>81.8</v>
      </c>
      <c r="N93" s="134">
        <v>0</v>
      </c>
      <c r="O93" s="134">
        <v>0</v>
      </c>
      <c r="P93" s="134">
        <v>0.37</v>
      </c>
      <c r="Q93" s="134">
        <v>4.26</v>
      </c>
    </row>
    <row r="94" spans="1:17" customFormat="1">
      <c r="A94" s="112" t="s">
        <v>2819</v>
      </c>
      <c r="B94" s="134">
        <v>3.9</v>
      </c>
      <c r="C94" s="134">
        <v>1.92</v>
      </c>
      <c r="D94" s="134">
        <v>5.48</v>
      </c>
      <c r="E94" s="134">
        <v>5.03</v>
      </c>
      <c r="F94" s="134">
        <v>6.29</v>
      </c>
      <c r="G94" s="134">
        <v>38.39</v>
      </c>
      <c r="H94" s="134">
        <v>11.6</v>
      </c>
      <c r="I94" s="134">
        <v>3.39</v>
      </c>
      <c r="J94" s="134">
        <v>0.81</v>
      </c>
      <c r="K94" s="134">
        <v>264.98</v>
      </c>
      <c r="L94" s="134">
        <v>27.76</v>
      </c>
      <c r="M94" s="134">
        <v>80.13</v>
      </c>
      <c r="N94" s="134">
        <v>0</v>
      </c>
      <c r="O94" s="134">
        <v>0</v>
      </c>
      <c r="P94" s="134">
        <v>0.35</v>
      </c>
      <c r="Q94" s="134">
        <v>4.24</v>
      </c>
    </row>
    <row r="95" spans="1:17" customFormat="1">
      <c r="A95" s="112" t="s">
        <v>2820</v>
      </c>
      <c r="B95" s="134">
        <v>10.93</v>
      </c>
      <c r="C95" s="134">
        <v>8.1199999999999992</v>
      </c>
      <c r="D95" s="134">
        <v>14.36</v>
      </c>
      <c r="E95" s="134">
        <v>5.0999999999999996</v>
      </c>
      <c r="F95" s="134">
        <v>5.45</v>
      </c>
      <c r="G95" s="134">
        <v>38.39</v>
      </c>
      <c r="H95" s="134">
        <v>11.6</v>
      </c>
      <c r="I95" s="134">
        <v>3.33</v>
      </c>
      <c r="J95" s="134">
        <v>0.86</v>
      </c>
      <c r="K95" s="134">
        <v>262.17</v>
      </c>
      <c r="L95" s="134">
        <v>27.67</v>
      </c>
      <c r="M95" s="134">
        <v>80.180000000000007</v>
      </c>
      <c r="N95" s="134">
        <v>0</v>
      </c>
      <c r="O95" s="134">
        <v>0</v>
      </c>
      <c r="P95" s="134">
        <v>0.36</v>
      </c>
      <c r="Q95" s="134">
        <v>4.22</v>
      </c>
    </row>
    <row r="96" spans="1:17" customFormat="1">
      <c r="A96" s="112" t="s">
        <v>2821</v>
      </c>
      <c r="B96" s="134">
        <v>6.59</v>
      </c>
      <c r="C96" s="134">
        <v>5.57</v>
      </c>
      <c r="D96" s="134">
        <v>9.5500000000000007</v>
      </c>
      <c r="E96" s="134">
        <v>5.09</v>
      </c>
      <c r="F96" s="134">
        <v>5.16</v>
      </c>
      <c r="G96" s="134">
        <v>37.86</v>
      </c>
      <c r="H96" s="134">
        <v>11.17</v>
      </c>
      <c r="I96" s="134">
        <v>3.34</v>
      </c>
      <c r="J96" s="134">
        <v>0.92</v>
      </c>
      <c r="K96" s="134">
        <v>265.93</v>
      </c>
      <c r="L96" s="134">
        <v>27.47</v>
      </c>
      <c r="M96" s="134">
        <v>81.14</v>
      </c>
      <c r="N96" s="134">
        <v>0</v>
      </c>
      <c r="O96" s="134">
        <v>0</v>
      </c>
      <c r="P96" s="134">
        <v>0.38</v>
      </c>
      <c r="Q96" s="134">
        <v>4.29</v>
      </c>
    </row>
    <row r="97" spans="1:22" customFormat="1">
      <c r="A97" s="112" t="s">
        <v>2822</v>
      </c>
      <c r="B97" s="134">
        <v>3.86</v>
      </c>
      <c r="C97" s="134">
        <v>2.0099999999999998</v>
      </c>
      <c r="D97" s="134">
        <v>5.5</v>
      </c>
      <c r="E97" s="134">
        <v>4.9000000000000004</v>
      </c>
      <c r="F97" s="134">
        <v>6.03</v>
      </c>
      <c r="G97" s="134">
        <v>33.67</v>
      </c>
      <c r="H97" s="134">
        <v>8.4600000000000009</v>
      </c>
      <c r="I97" s="134">
        <v>3.36</v>
      </c>
      <c r="J97" s="134">
        <v>0.71</v>
      </c>
      <c r="K97" s="134">
        <v>262.31</v>
      </c>
      <c r="L97" s="134">
        <v>27.37</v>
      </c>
      <c r="M97" s="134">
        <v>82.17</v>
      </c>
      <c r="N97" s="134">
        <v>0</v>
      </c>
      <c r="O97" s="134">
        <v>0</v>
      </c>
      <c r="P97" s="134">
        <v>0.36</v>
      </c>
      <c r="Q97" s="134">
        <v>4.26</v>
      </c>
    </row>
    <row r="98" spans="1:22" customFormat="1">
      <c r="A98" s="112" t="s">
        <v>2823</v>
      </c>
      <c r="B98" s="134">
        <v>4.0199999999999996</v>
      </c>
      <c r="C98" s="134">
        <v>1.76</v>
      </c>
      <c r="D98" s="134">
        <v>5.5</v>
      </c>
      <c r="E98" s="134">
        <v>4.7</v>
      </c>
      <c r="F98" s="134">
        <v>6.45</v>
      </c>
      <c r="G98" s="134">
        <v>33.67</v>
      </c>
      <c r="H98" s="134">
        <v>8.4600000000000009</v>
      </c>
      <c r="I98" s="134">
        <v>3.39</v>
      </c>
      <c r="J98" s="134">
        <v>0.75</v>
      </c>
      <c r="K98" s="134">
        <v>261.3</v>
      </c>
      <c r="L98" s="134">
        <v>27.31</v>
      </c>
      <c r="M98" s="134">
        <v>82.6</v>
      </c>
      <c r="N98" s="134">
        <v>0</v>
      </c>
      <c r="O98" s="134">
        <v>0</v>
      </c>
      <c r="P98" s="134">
        <v>0.34</v>
      </c>
      <c r="Q98" s="134">
        <v>4.22</v>
      </c>
    </row>
    <row r="99" spans="1:22" customFormat="1">
      <c r="A99" s="112" t="s">
        <v>2824</v>
      </c>
      <c r="B99" s="134">
        <v>16.7</v>
      </c>
      <c r="C99" s="134">
        <v>11.61</v>
      </c>
      <c r="D99" s="134">
        <v>20.81</v>
      </c>
      <c r="E99" s="134">
        <v>4.75</v>
      </c>
      <c r="F99" s="134">
        <v>6.47</v>
      </c>
      <c r="G99" s="134">
        <v>33.67</v>
      </c>
      <c r="H99" s="134">
        <v>8.4600000000000009</v>
      </c>
      <c r="I99" s="134">
        <v>3.28</v>
      </c>
      <c r="J99" s="134">
        <v>0.72</v>
      </c>
      <c r="K99" s="134">
        <v>264.10000000000002</v>
      </c>
      <c r="L99" s="134">
        <v>27.25</v>
      </c>
      <c r="M99" s="134">
        <v>82.94</v>
      </c>
      <c r="N99" s="134">
        <v>0</v>
      </c>
      <c r="O99" s="134">
        <v>0</v>
      </c>
      <c r="P99" s="134">
        <v>0.33</v>
      </c>
      <c r="Q99" s="134">
        <v>4.1900000000000004</v>
      </c>
    </row>
    <row r="100" spans="1:22" customFormat="1">
      <c r="A100" s="112" t="s">
        <v>2825</v>
      </c>
      <c r="B100" s="134">
        <v>18.61</v>
      </c>
      <c r="C100" s="134">
        <v>13.52</v>
      </c>
      <c r="D100" s="134">
        <v>23.34</v>
      </c>
      <c r="E100" s="134">
        <v>4.93</v>
      </c>
      <c r="F100" s="134">
        <v>4.47</v>
      </c>
      <c r="G100" s="134">
        <v>33.18</v>
      </c>
      <c r="H100" s="134">
        <v>8.3699999999999992</v>
      </c>
      <c r="I100" s="134">
        <v>3.16</v>
      </c>
      <c r="J100" s="134">
        <v>0.75</v>
      </c>
      <c r="K100" s="134">
        <v>262.81</v>
      </c>
      <c r="L100" s="134">
        <v>27.2</v>
      </c>
      <c r="M100" s="134">
        <v>83.13</v>
      </c>
      <c r="N100" s="134">
        <v>0</v>
      </c>
      <c r="O100" s="134">
        <v>0</v>
      </c>
      <c r="P100" s="134">
        <v>0.34</v>
      </c>
      <c r="Q100" s="134">
        <v>4.21</v>
      </c>
    </row>
    <row r="101" spans="1:22" customFormat="1">
      <c r="A101" s="112" t="s">
        <v>2826</v>
      </c>
      <c r="B101" s="134">
        <v>18.82</v>
      </c>
      <c r="C101" s="134">
        <v>15.07</v>
      </c>
      <c r="D101" s="134">
        <v>24.32</v>
      </c>
      <c r="E101" s="134">
        <v>5.21</v>
      </c>
      <c r="F101" s="134">
        <v>3.04</v>
      </c>
      <c r="G101" s="134">
        <v>29.26</v>
      </c>
      <c r="H101" s="134">
        <v>7.87</v>
      </c>
      <c r="I101" s="134">
        <v>3.15</v>
      </c>
      <c r="J101" s="134">
        <v>0.64</v>
      </c>
      <c r="K101" s="134">
        <v>257.36</v>
      </c>
      <c r="L101" s="134">
        <v>27.01</v>
      </c>
      <c r="M101" s="134">
        <v>84.54</v>
      </c>
      <c r="N101" s="134">
        <v>0</v>
      </c>
      <c r="O101" s="134">
        <v>0</v>
      </c>
      <c r="P101" s="134">
        <v>0.36</v>
      </c>
      <c r="Q101" s="134">
        <v>4.2699999999999996</v>
      </c>
    </row>
    <row r="102" spans="1:22" customFormat="1">
      <c r="A102" s="112" t="s">
        <v>2827</v>
      </c>
      <c r="B102" s="134">
        <v>18.63</v>
      </c>
      <c r="C102" s="134">
        <v>14.18</v>
      </c>
      <c r="D102" s="134">
        <v>23.7</v>
      </c>
      <c r="E102" s="134">
        <v>5.31</v>
      </c>
      <c r="F102" s="134">
        <v>4.03</v>
      </c>
      <c r="G102" s="134">
        <v>29.26</v>
      </c>
      <c r="H102" s="134">
        <v>7.87</v>
      </c>
      <c r="I102" s="134">
        <v>3.23</v>
      </c>
      <c r="J102" s="134">
        <v>0.68</v>
      </c>
      <c r="K102" s="134">
        <v>262.76</v>
      </c>
      <c r="L102" s="134">
        <v>26.95</v>
      </c>
      <c r="M102" s="134">
        <v>84.78</v>
      </c>
      <c r="N102" s="134">
        <v>0</v>
      </c>
      <c r="O102" s="134">
        <v>0</v>
      </c>
      <c r="P102" s="134">
        <v>0.36</v>
      </c>
      <c r="Q102" s="134">
        <v>4.25</v>
      </c>
    </row>
    <row r="103" spans="1:22" customFormat="1">
      <c r="A103" s="112" t="s">
        <v>2828</v>
      </c>
      <c r="B103" s="134">
        <v>6.51</v>
      </c>
      <c r="C103" s="134">
        <v>5.28</v>
      </c>
      <c r="D103" s="134">
        <v>9.33</v>
      </c>
      <c r="E103" s="134">
        <v>4.75</v>
      </c>
      <c r="F103" s="134">
        <v>5.24</v>
      </c>
      <c r="G103" s="134">
        <v>29.26</v>
      </c>
      <c r="H103" s="134">
        <v>7.87</v>
      </c>
      <c r="I103" s="134">
        <v>3.28</v>
      </c>
      <c r="J103" s="134">
        <v>0.48</v>
      </c>
      <c r="K103" s="134">
        <v>263.64999999999998</v>
      </c>
      <c r="L103" s="134">
        <v>26.77</v>
      </c>
      <c r="M103" s="134">
        <v>85.83</v>
      </c>
      <c r="N103" s="134">
        <v>0</v>
      </c>
      <c r="O103" s="134">
        <v>0</v>
      </c>
      <c r="P103" s="134">
        <v>0.34</v>
      </c>
      <c r="Q103" s="134">
        <v>4.22</v>
      </c>
    </row>
    <row r="104" spans="1:22" customFormat="1">
      <c r="A104" s="112" t="s">
        <v>2829</v>
      </c>
      <c r="B104" s="134">
        <v>16.850000000000001</v>
      </c>
      <c r="C104" s="134">
        <v>10.81</v>
      </c>
      <c r="D104" s="134">
        <v>20.52</v>
      </c>
      <c r="E104" s="134">
        <v>4.91</v>
      </c>
      <c r="F104" s="134">
        <v>5.98</v>
      </c>
      <c r="G104" s="134">
        <v>28.97</v>
      </c>
      <c r="H104" s="134">
        <v>7.85</v>
      </c>
      <c r="I104" s="134">
        <v>3.17</v>
      </c>
      <c r="J104" s="134">
        <v>0.61</v>
      </c>
      <c r="K104" s="134">
        <v>262.02999999999997</v>
      </c>
      <c r="L104" s="134">
        <v>26.71</v>
      </c>
      <c r="M104" s="134">
        <v>85.76</v>
      </c>
      <c r="N104" s="134">
        <v>0</v>
      </c>
      <c r="O104" s="134">
        <v>0</v>
      </c>
      <c r="P104" s="134">
        <v>0.32</v>
      </c>
      <c r="Q104" s="134">
        <v>4.2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3.63</v>
      </c>
      <c r="C106" s="183">
        <f>MIN(C9:C104)</f>
        <v>1.31</v>
      </c>
      <c r="D106" s="183">
        <f t="shared" ref="D106:Q106" si="0">MIN(D9:D104)</f>
        <v>4.97</v>
      </c>
      <c r="E106" s="183">
        <f t="shared" si="0"/>
        <v>2.2200000000000002</v>
      </c>
      <c r="F106" s="183">
        <f t="shared" si="0"/>
        <v>1.92</v>
      </c>
      <c r="G106" s="183">
        <f t="shared" si="0"/>
        <v>18.05</v>
      </c>
      <c r="H106" s="183">
        <f t="shared" si="0"/>
        <v>4.53</v>
      </c>
      <c r="I106" s="183">
        <f t="shared" si="0"/>
        <v>3.13</v>
      </c>
      <c r="J106" s="183">
        <f t="shared" si="0"/>
        <v>0.09</v>
      </c>
      <c r="K106" s="183">
        <f t="shared" si="0"/>
        <v>31.15</v>
      </c>
      <c r="L106" s="183">
        <f t="shared" si="0"/>
        <v>25.15</v>
      </c>
      <c r="M106" s="183">
        <f t="shared" si="0"/>
        <v>55.89</v>
      </c>
      <c r="N106" s="183">
        <f t="shared" si="0"/>
        <v>0</v>
      </c>
      <c r="O106" s="183">
        <f t="shared" si="0"/>
        <v>0</v>
      </c>
      <c r="P106" s="183">
        <f t="shared" si="0"/>
        <v>0.31</v>
      </c>
      <c r="Q106" s="183">
        <f t="shared" si="0"/>
        <v>4.17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21.47</v>
      </c>
      <c r="C107" s="184">
        <f t="shared" ref="C107:Q107" si="1">MAX(C9:C104)</f>
        <v>17.07</v>
      </c>
      <c r="D107" s="184">
        <f t="shared" si="1"/>
        <v>26.87</v>
      </c>
      <c r="E107" s="184">
        <f t="shared" si="1"/>
        <v>9.36</v>
      </c>
      <c r="F107" s="184">
        <f t="shared" si="1"/>
        <v>11.54</v>
      </c>
      <c r="G107" s="184">
        <f t="shared" si="1"/>
        <v>48.79</v>
      </c>
      <c r="H107" s="184">
        <f t="shared" si="1"/>
        <v>11.91</v>
      </c>
      <c r="I107" s="184">
        <f t="shared" si="1"/>
        <v>4</v>
      </c>
      <c r="J107" s="184">
        <f t="shared" si="1"/>
        <v>1.07</v>
      </c>
      <c r="K107" s="184">
        <f t="shared" si="1"/>
        <v>352.39</v>
      </c>
      <c r="L107" s="184">
        <f t="shared" si="1"/>
        <v>32.82</v>
      </c>
      <c r="M107" s="184">
        <f t="shared" si="1"/>
        <v>94.93</v>
      </c>
      <c r="N107" s="184">
        <f t="shared" si="1"/>
        <v>736.4</v>
      </c>
      <c r="O107" s="184">
        <f t="shared" si="1"/>
        <v>0</v>
      </c>
      <c r="P107" s="184">
        <f t="shared" si="1"/>
        <v>0.45</v>
      </c>
      <c r="Q107" s="184">
        <f t="shared" si="1"/>
        <v>4.55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13.860520833333332</v>
      </c>
      <c r="C108" s="183">
        <f t="shared" ref="C108:Q108" si="2">AVERAGE(C9:C104)</f>
        <v>10.318125000000002</v>
      </c>
      <c r="D108" s="183">
        <f t="shared" si="2"/>
        <v>17.857499999999995</v>
      </c>
      <c r="E108" s="183">
        <f t="shared" si="2"/>
        <v>4.1515624999999998</v>
      </c>
      <c r="F108" s="183">
        <f t="shared" si="2"/>
        <v>4.9440625000000002</v>
      </c>
      <c r="G108" s="183">
        <f t="shared" si="2"/>
        <v>34.156250000000007</v>
      </c>
      <c r="H108" s="183">
        <f t="shared" si="2"/>
        <v>8.855416666666672</v>
      </c>
      <c r="I108" s="183">
        <f t="shared" si="2"/>
        <v>3.4793749999999988</v>
      </c>
      <c r="J108" s="183">
        <f t="shared" si="2"/>
        <v>0.6121875</v>
      </c>
      <c r="K108" s="183">
        <f t="shared" si="2"/>
        <v>264.17416666666662</v>
      </c>
      <c r="L108" s="183">
        <f t="shared" si="2"/>
        <v>28.653333333333318</v>
      </c>
      <c r="M108" s="183">
        <f t="shared" si="2"/>
        <v>76.45072916666669</v>
      </c>
      <c r="N108" s="183">
        <f t="shared" si="2"/>
        <v>172.16458333333333</v>
      </c>
      <c r="O108" s="183">
        <f t="shared" si="2"/>
        <v>0</v>
      </c>
      <c r="P108" s="183">
        <f t="shared" si="2"/>
        <v>0.37197916666666669</v>
      </c>
      <c r="Q108" s="183">
        <f t="shared" si="2"/>
        <v>4.3313541666666691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6.6783786828196803</v>
      </c>
      <c r="C109" s="183">
        <f t="shared" ref="C109:Q109" si="3">STDEV(C9:C104)</f>
        <v>5.4559187199725896</v>
      </c>
      <c r="D109" s="183">
        <f t="shared" si="3"/>
        <v>8.169810537003082</v>
      </c>
      <c r="E109" s="183">
        <f t="shared" si="3"/>
        <v>0.90057330059070917</v>
      </c>
      <c r="F109" s="183">
        <f t="shared" si="3"/>
        <v>2.1993666926377249</v>
      </c>
      <c r="G109" s="183">
        <f t="shared" si="3"/>
        <v>10.29669811664218</v>
      </c>
      <c r="H109" s="183">
        <f t="shared" si="3"/>
        <v>2.1846116921809986</v>
      </c>
      <c r="I109" s="183">
        <f t="shared" si="3"/>
        <v>0.23614809135930381</v>
      </c>
      <c r="J109" s="183">
        <f t="shared" si="3"/>
        <v>0.21304411762034547</v>
      </c>
      <c r="K109" s="183">
        <f t="shared" si="3"/>
        <v>41.436975597486374</v>
      </c>
      <c r="L109" s="183">
        <f t="shared" si="3"/>
        <v>2.3940143193816135</v>
      </c>
      <c r="M109" s="183">
        <f t="shared" si="3"/>
        <v>11.776020795604314</v>
      </c>
      <c r="N109" s="183">
        <f t="shared" si="3"/>
        <v>239.27153655656653</v>
      </c>
      <c r="O109" s="183">
        <f t="shared" si="3"/>
        <v>0</v>
      </c>
      <c r="P109" s="183">
        <f t="shared" si="3"/>
        <v>3.3892082344023217E-2</v>
      </c>
      <c r="Q109" s="183">
        <f t="shared" si="3"/>
        <v>9.1681597667396614E-2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28/08/2023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2830</v>
      </c>
      <c r="B9" s="134">
        <v>10.66</v>
      </c>
      <c r="C9" s="134">
        <v>13.92</v>
      </c>
      <c r="D9" s="134">
        <v>17.170000000000002</v>
      </c>
      <c r="E9" s="134">
        <v>4.88</v>
      </c>
      <c r="F9" s="134">
        <v>4.03</v>
      </c>
      <c r="G9" s="134">
        <v>26.62</v>
      </c>
      <c r="H9" s="134">
        <v>7.75</v>
      </c>
      <c r="I9" s="134">
        <v>3.05</v>
      </c>
      <c r="J9" s="134">
        <v>0.77</v>
      </c>
      <c r="K9" s="134">
        <v>264.64999999999998</v>
      </c>
      <c r="L9" s="134">
        <v>26.71</v>
      </c>
      <c r="M9" s="134">
        <v>85.42</v>
      </c>
      <c r="N9" s="134">
        <v>0</v>
      </c>
      <c r="O9" s="134">
        <v>0</v>
      </c>
      <c r="P9" s="134">
        <v>0.35</v>
      </c>
      <c r="Q9" s="134">
        <v>4.2300000000000004</v>
      </c>
    </row>
    <row r="10" spans="1:21" customFormat="1">
      <c r="A10" s="112" t="s">
        <v>2831</v>
      </c>
      <c r="B10" s="134">
        <v>10.07</v>
      </c>
      <c r="C10" s="134">
        <v>14.53</v>
      </c>
      <c r="D10" s="134">
        <v>17.02</v>
      </c>
      <c r="E10" s="134">
        <v>5.62</v>
      </c>
      <c r="F10" s="134">
        <v>3.05</v>
      </c>
      <c r="G10" s="134">
        <v>26.62</v>
      </c>
      <c r="H10" s="134">
        <v>7.75</v>
      </c>
      <c r="I10" s="134">
        <v>3.02</v>
      </c>
      <c r="J10" s="134">
        <v>0.52</v>
      </c>
      <c r="K10" s="134">
        <v>262.91000000000003</v>
      </c>
      <c r="L10" s="134">
        <v>26.58</v>
      </c>
      <c r="M10" s="134">
        <v>86.31</v>
      </c>
      <c r="N10" s="134">
        <v>0</v>
      </c>
      <c r="O10" s="134">
        <v>0</v>
      </c>
      <c r="P10" s="134">
        <v>0.36</v>
      </c>
      <c r="Q10" s="134">
        <v>4.2699999999999996</v>
      </c>
    </row>
    <row r="11" spans="1:21" customFormat="1">
      <c r="A11" s="112" t="s">
        <v>2832</v>
      </c>
      <c r="B11" s="134">
        <v>10.15</v>
      </c>
      <c r="C11" s="134">
        <v>13.2</v>
      </c>
      <c r="D11" s="134">
        <v>16.39</v>
      </c>
      <c r="E11" s="134">
        <v>5.18</v>
      </c>
      <c r="F11" s="134">
        <v>3.84</v>
      </c>
      <c r="G11" s="134">
        <v>26.62</v>
      </c>
      <c r="H11" s="134">
        <v>7.75</v>
      </c>
      <c r="I11" s="134">
        <v>3.15</v>
      </c>
      <c r="J11" s="134">
        <v>0.7</v>
      </c>
      <c r="K11" s="134">
        <v>265.27</v>
      </c>
      <c r="L11" s="134">
        <v>26.6</v>
      </c>
      <c r="M11" s="134">
        <v>85.84</v>
      </c>
      <c r="N11" s="134">
        <v>0</v>
      </c>
      <c r="O11" s="134">
        <v>0</v>
      </c>
      <c r="P11" s="134">
        <v>0.33</v>
      </c>
      <c r="Q11" s="134">
        <v>4.24</v>
      </c>
    </row>
    <row r="12" spans="1:21" customFormat="1">
      <c r="A12" s="112" t="s">
        <v>2833</v>
      </c>
      <c r="B12" s="134">
        <v>9.49</v>
      </c>
      <c r="C12" s="134">
        <v>12.35</v>
      </c>
      <c r="D12" s="134">
        <v>15.42</v>
      </c>
      <c r="E12" s="134">
        <v>5.58</v>
      </c>
      <c r="F12" s="134">
        <v>4.88</v>
      </c>
      <c r="G12" s="134">
        <v>26.73</v>
      </c>
      <c r="H12" s="134">
        <v>7.48</v>
      </c>
      <c r="I12" s="134">
        <v>3.16</v>
      </c>
      <c r="J12" s="134">
        <v>0.65</v>
      </c>
      <c r="K12" s="134">
        <v>265.12</v>
      </c>
      <c r="L12" s="134">
        <v>26.54</v>
      </c>
      <c r="M12" s="134">
        <v>85.95</v>
      </c>
      <c r="N12" s="134">
        <v>0</v>
      </c>
      <c r="O12" s="134">
        <v>0</v>
      </c>
      <c r="P12" s="134">
        <v>0.32</v>
      </c>
      <c r="Q12" s="134">
        <v>4.2300000000000004</v>
      </c>
    </row>
    <row r="13" spans="1:21" customFormat="1">
      <c r="A13" s="112" t="s">
        <v>2834</v>
      </c>
      <c r="B13" s="134">
        <v>10.3</v>
      </c>
      <c r="C13" s="134">
        <v>14.04</v>
      </c>
      <c r="D13" s="134">
        <v>16.95</v>
      </c>
      <c r="E13" s="134">
        <v>5.37</v>
      </c>
      <c r="F13" s="134">
        <v>3.2</v>
      </c>
      <c r="G13" s="134">
        <v>27.61</v>
      </c>
      <c r="H13" s="134">
        <v>5.74</v>
      </c>
      <c r="I13" s="134">
        <v>3.1</v>
      </c>
      <c r="J13" s="134">
        <v>0.56000000000000005</v>
      </c>
      <c r="K13" s="134">
        <v>263.64999999999998</v>
      </c>
      <c r="L13" s="134">
        <v>26.47</v>
      </c>
      <c r="M13" s="134">
        <v>86.16</v>
      </c>
      <c r="N13" s="134">
        <v>0</v>
      </c>
      <c r="O13" s="134">
        <v>0</v>
      </c>
      <c r="P13" s="134">
        <v>0.34</v>
      </c>
      <c r="Q13" s="134">
        <v>4.24</v>
      </c>
    </row>
    <row r="14" spans="1:21" customFormat="1">
      <c r="A14" s="112" t="s">
        <v>2835</v>
      </c>
      <c r="B14" s="134">
        <v>9.9700000000000006</v>
      </c>
      <c r="C14" s="134">
        <v>14.84</v>
      </c>
      <c r="D14" s="134">
        <v>17.100000000000001</v>
      </c>
      <c r="E14" s="134">
        <v>5.09</v>
      </c>
      <c r="F14" s="134">
        <v>2.4900000000000002</v>
      </c>
      <c r="G14" s="134">
        <v>27.61</v>
      </c>
      <c r="H14" s="134">
        <v>5.74</v>
      </c>
      <c r="I14" s="134">
        <v>3.05</v>
      </c>
      <c r="J14" s="134">
        <v>0.6</v>
      </c>
      <c r="K14" s="134">
        <v>263.86</v>
      </c>
      <c r="L14" s="134">
        <v>26.46</v>
      </c>
      <c r="M14" s="134">
        <v>86</v>
      </c>
      <c r="N14" s="134">
        <v>0</v>
      </c>
      <c r="O14" s="134">
        <v>0</v>
      </c>
      <c r="P14" s="134">
        <v>0.37</v>
      </c>
      <c r="Q14" s="134">
        <v>4.28</v>
      </c>
    </row>
    <row r="15" spans="1:21" customFormat="1">
      <c r="A15" s="112" t="s">
        <v>2836</v>
      </c>
      <c r="B15" s="134">
        <v>2</v>
      </c>
      <c r="C15" s="134">
        <v>2</v>
      </c>
      <c r="D15" s="134">
        <v>4</v>
      </c>
      <c r="E15" s="134">
        <v>5.46</v>
      </c>
      <c r="F15" s="134">
        <v>3.32</v>
      </c>
      <c r="G15" s="134">
        <v>27.61</v>
      </c>
      <c r="H15" s="134">
        <v>5.74</v>
      </c>
      <c r="I15" s="134">
        <v>3.18</v>
      </c>
      <c r="J15" s="134">
        <v>0.7</v>
      </c>
      <c r="K15" s="134">
        <v>265.51</v>
      </c>
      <c r="L15" s="134">
        <v>26.46</v>
      </c>
      <c r="M15" s="134">
        <v>85.08</v>
      </c>
      <c r="N15" s="134">
        <v>0</v>
      </c>
      <c r="O15" s="134">
        <v>0</v>
      </c>
      <c r="P15" s="134">
        <v>0.37</v>
      </c>
      <c r="Q15" s="134">
        <v>4.26</v>
      </c>
    </row>
    <row r="16" spans="1:21" customFormat="1">
      <c r="A16" s="112" t="s">
        <v>2837</v>
      </c>
      <c r="B16" s="134">
        <v>2</v>
      </c>
      <c r="C16" s="134">
        <v>2</v>
      </c>
      <c r="D16" s="134">
        <v>4</v>
      </c>
      <c r="E16" s="134">
        <v>5.61</v>
      </c>
      <c r="F16" s="134">
        <v>3.81</v>
      </c>
      <c r="G16" s="134">
        <v>27.36</v>
      </c>
      <c r="H16" s="134">
        <v>5.79</v>
      </c>
      <c r="I16" s="134">
        <v>3.25</v>
      </c>
      <c r="J16" s="134">
        <v>0.48</v>
      </c>
      <c r="K16" s="134">
        <v>263.92</v>
      </c>
      <c r="L16" s="134">
        <v>26.46</v>
      </c>
      <c r="M16" s="134">
        <v>84.98</v>
      </c>
      <c r="N16" s="134">
        <v>0</v>
      </c>
      <c r="O16" s="134">
        <v>0</v>
      </c>
      <c r="P16" s="134">
        <v>0.36</v>
      </c>
      <c r="Q16" s="134">
        <v>4.25</v>
      </c>
    </row>
    <row r="17" spans="1:17" customFormat="1">
      <c r="A17" s="112" t="s">
        <v>2838</v>
      </c>
      <c r="B17" s="134">
        <v>2</v>
      </c>
      <c r="C17" s="134">
        <v>2</v>
      </c>
      <c r="D17" s="134">
        <v>4</v>
      </c>
      <c r="E17" s="134">
        <v>3.99</v>
      </c>
      <c r="F17" s="134">
        <v>3.46</v>
      </c>
      <c r="G17" s="134">
        <v>25.39</v>
      </c>
      <c r="H17" s="134">
        <v>6.1</v>
      </c>
      <c r="I17" s="134">
        <v>3.27</v>
      </c>
      <c r="J17" s="134">
        <v>0.56000000000000005</v>
      </c>
      <c r="K17" s="134">
        <v>269.43</v>
      </c>
      <c r="L17" s="134">
        <v>26.31</v>
      </c>
      <c r="M17" s="134">
        <v>85.44</v>
      </c>
      <c r="N17" s="134">
        <v>0</v>
      </c>
      <c r="O17" s="134">
        <v>0</v>
      </c>
      <c r="P17" s="134">
        <v>0.35</v>
      </c>
      <c r="Q17" s="134">
        <v>4.26</v>
      </c>
    </row>
    <row r="18" spans="1:17" customFormat="1">
      <c r="A18" s="112" t="s">
        <v>2839</v>
      </c>
      <c r="B18" s="134">
        <v>2</v>
      </c>
      <c r="C18" s="134">
        <v>2</v>
      </c>
      <c r="D18" s="134">
        <v>4</v>
      </c>
      <c r="E18" s="134">
        <v>4.6500000000000004</v>
      </c>
      <c r="F18" s="134">
        <v>2.2000000000000002</v>
      </c>
      <c r="G18" s="134">
        <v>25.39</v>
      </c>
      <c r="H18" s="134">
        <v>6.1</v>
      </c>
      <c r="I18" s="134">
        <v>3.25</v>
      </c>
      <c r="J18" s="134">
        <v>0.53</v>
      </c>
      <c r="K18" s="134">
        <v>275.48</v>
      </c>
      <c r="L18" s="134">
        <v>26.27</v>
      </c>
      <c r="M18" s="134">
        <v>84.67</v>
      </c>
      <c r="N18" s="134">
        <v>0</v>
      </c>
      <c r="O18" s="134">
        <v>0</v>
      </c>
      <c r="P18" s="134">
        <v>0.38</v>
      </c>
      <c r="Q18" s="134">
        <v>4.33</v>
      </c>
    </row>
    <row r="19" spans="1:17" customFormat="1">
      <c r="A19" s="112" t="s">
        <v>2840</v>
      </c>
      <c r="B19" s="134">
        <v>2</v>
      </c>
      <c r="C19" s="134">
        <v>2</v>
      </c>
      <c r="D19" s="134">
        <v>4</v>
      </c>
      <c r="E19" s="134">
        <v>4.91</v>
      </c>
      <c r="F19" s="134">
        <v>2.78</v>
      </c>
      <c r="G19" s="134">
        <v>25.39</v>
      </c>
      <c r="H19" s="134">
        <v>6.1</v>
      </c>
      <c r="I19" s="134">
        <v>3.32</v>
      </c>
      <c r="J19" s="134">
        <v>0.44</v>
      </c>
      <c r="K19" s="134">
        <v>271.79000000000002</v>
      </c>
      <c r="L19" s="134">
        <v>26.22</v>
      </c>
      <c r="M19" s="134">
        <v>84.19</v>
      </c>
      <c r="N19" s="134">
        <v>0</v>
      </c>
      <c r="O19" s="134">
        <v>0</v>
      </c>
      <c r="P19" s="134">
        <v>0.36</v>
      </c>
      <c r="Q19" s="134">
        <v>4.34</v>
      </c>
    </row>
    <row r="20" spans="1:17" customFormat="1">
      <c r="A20" s="112" t="s">
        <v>2841</v>
      </c>
      <c r="B20" s="134">
        <v>2</v>
      </c>
      <c r="C20" s="134">
        <v>2</v>
      </c>
      <c r="D20" s="134">
        <v>4</v>
      </c>
      <c r="E20" s="134">
        <v>4.93</v>
      </c>
      <c r="F20" s="134">
        <v>3.27</v>
      </c>
      <c r="G20" s="134">
        <v>26.11</v>
      </c>
      <c r="H20" s="134">
        <v>6.19</v>
      </c>
      <c r="I20" s="134">
        <v>3.4</v>
      </c>
      <c r="J20" s="134">
        <v>0.41</v>
      </c>
      <c r="K20" s="134">
        <v>263.82</v>
      </c>
      <c r="L20" s="134">
        <v>26.12</v>
      </c>
      <c r="M20" s="134">
        <v>84.83</v>
      </c>
      <c r="N20" s="134">
        <v>0</v>
      </c>
      <c r="O20" s="134">
        <v>0</v>
      </c>
      <c r="P20" s="134">
        <v>0.35</v>
      </c>
      <c r="Q20" s="134">
        <v>4.33</v>
      </c>
    </row>
    <row r="21" spans="1:17" customFormat="1">
      <c r="A21" s="112" t="s">
        <v>2842</v>
      </c>
      <c r="B21" s="134">
        <v>2</v>
      </c>
      <c r="C21" s="134">
        <v>2</v>
      </c>
      <c r="D21" s="134">
        <v>4</v>
      </c>
      <c r="E21" s="134">
        <v>4.6399999999999997</v>
      </c>
      <c r="F21" s="134">
        <v>2.63</v>
      </c>
      <c r="G21" s="134">
        <v>31.81</v>
      </c>
      <c r="H21" s="134">
        <v>6.76</v>
      </c>
      <c r="I21" s="134">
        <v>3.31</v>
      </c>
      <c r="J21" s="134">
        <v>0.43</v>
      </c>
      <c r="K21" s="134">
        <v>263.66000000000003</v>
      </c>
      <c r="L21" s="134">
        <v>26.04</v>
      </c>
      <c r="M21" s="134">
        <v>85.35</v>
      </c>
      <c r="N21" s="134">
        <v>0</v>
      </c>
      <c r="O21" s="134">
        <v>0</v>
      </c>
      <c r="P21" s="134">
        <v>0.36</v>
      </c>
      <c r="Q21" s="134">
        <v>4.34</v>
      </c>
    </row>
    <row r="22" spans="1:17" customFormat="1">
      <c r="A22" s="112" t="s">
        <v>2843</v>
      </c>
      <c r="B22" s="134">
        <v>2</v>
      </c>
      <c r="C22" s="134">
        <v>2</v>
      </c>
      <c r="D22" s="134">
        <v>4</v>
      </c>
      <c r="E22" s="134">
        <v>5.1100000000000003</v>
      </c>
      <c r="F22" s="134">
        <v>2.0299999999999998</v>
      </c>
      <c r="G22" s="134">
        <v>31.81</v>
      </c>
      <c r="H22" s="134">
        <v>6.76</v>
      </c>
      <c r="I22" s="134">
        <v>3.29</v>
      </c>
      <c r="J22" s="134">
        <v>0.37</v>
      </c>
      <c r="K22" s="134">
        <v>267.32</v>
      </c>
      <c r="L22" s="134">
        <v>25.94</v>
      </c>
      <c r="M22" s="134">
        <v>85.21</v>
      </c>
      <c r="N22" s="134">
        <v>0</v>
      </c>
      <c r="O22" s="134">
        <v>0</v>
      </c>
      <c r="P22" s="134">
        <v>0.38</v>
      </c>
      <c r="Q22" s="134">
        <v>4.41</v>
      </c>
    </row>
    <row r="23" spans="1:17" customFormat="1">
      <c r="A23" s="112" t="s">
        <v>2844</v>
      </c>
      <c r="B23" s="134">
        <v>2</v>
      </c>
      <c r="C23" s="134">
        <v>2</v>
      </c>
      <c r="D23" s="134">
        <v>4</v>
      </c>
      <c r="E23" s="134">
        <v>5.15</v>
      </c>
      <c r="F23" s="134">
        <v>2.85</v>
      </c>
      <c r="G23" s="134">
        <v>31.81</v>
      </c>
      <c r="H23" s="134">
        <v>6.76</v>
      </c>
      <c r="I23" s="134">
        <v>3.38</v>
      </c>
      <c r="J23" s="134">
        <v>0.56000000000000005</v>
      </c>
      <c r="K23" s="134">
        <v>264.94</v>
      </c>
      <c r="L23" s="134">
        <v>25.97</v>
      </c>
      <c r="M23" s="134">
        <v>84.56</v>
      </c>
      <c r="N23" s="134">
        <v>0</v>
      </c>
      <c r="O23" s="134">
        <v>0</v>
      </c>
      <c r="P23" s="134">
        <v>0.35</v>
      </c>
      <c r="Q23" s="134">
        <v>4.4000000000000004</v>
      </c>
    </row>
    <row r="24" spans="1:17" customFormat="1">
      <c r="A24" s="112" t="s">
        <v>2845</v>
      </c>
      <c r="B24" s="134">
        <v>2</v>
      </c>
      <c r="C24" s="134">
        <v>2</v>
      </c>
      <c r="D24" s="134">
        <v>4</v>
      </c>
      <c r="E24" s="134">
        <v>4.71</v>
      </c>
      <c r="F24" s="134">
        <v>3.67</v>
      </c>
      <c r="G24" s="134">
        <v>32.22</v>
      </c>
      <c r="H24" s="134">
        <v>7.07</v>
      </c>
      <c r="I24" s="134">
        <v>3.44</v>
      </c>
      <c r="J24" s="134">
        <v>0.48</v>
      </c>
      <c r="K24" s="134">
        <v>265.92</v>
      </c>
      <c r="L24" s="134">
        <v>25.94</v>
      </c>
      <c r="M24" s="134">
        <v>84.7</v>
      </c>
      <c r="N24" s="134">
        <v>0</v>
      </c>
      <c r="O24" s="134">
        <v>0</v>
      </c>
      <c r="P24" s="134">
        <v>0.34</v>
      </c>
      <c r="Q24" s="134">
        <v>4.3499999999999996</v>
      </c>
    </row>
    <row r="25" spans="1:17" customFormat="1">
      <c r="A25" s="112" t="s">
        <v>2846</v>
      </c>
      <c r="B25" s="134">
        <v>2</v>
      </c>
      <c r="C25" s="134">
        <v>2</v>
      </c>
      <c r="D25" s="134">
        <v>4</v>
      </c>
      <c r="E25" s="134">
        <v>4.5999999999999996</v>
      </c>
      <c r="F25" s="134">
        <v>2.44</v>
      </c>
      <c r="G25" s="134">
        <v>35.49</v>
      </c>
      <c r="H25" s="134">
        <v>9</v>
      </c>
      <c r="I25" s="134">
        <v>3.37</v>
      </c>
      <c r="J25" s="134">
        <v>0.52</v>
      </c>
      <c r="K25" s="134">
        <v>263.27999999999997</v>
      </c>
      <c r="L25" s="134">
        <v>25.77</v>
      </c>
      <c r="M25" s="134">
        <v>85.76</v>
      </c>
      <c r="N25" s="134">
        <v>0</v>
      </c>
      <c r="O25" s="134">
        <v>0</v>
      </c>
      <c r="P25" s="134">
        <v>0.36</v>
      </c>
      <c r="Q25" s="134">
        <v>4.43</v>
      </c>
    </row>
    <row r="26" spans="1:17" customFormat="1">
      <c r="A26" s="112" t="s">
        <v>2847</v>
      </c>
      <c r="B26" s="134">
        <v>2</v>
      </c>
      <c r="C26" s="134">
        <v>2</v>
      </c>
      <c r="D26" s="134">
        <v>4</v>
      </c>
      <c r="E26" s="134">
        <v>5.14</v>
      </c>
      <c r="F26" s="134">
        <v>2.19</v>
      </c>
      <c r="G26" s="134">
        <v>35.49</v>
      </c>
      <c r="H26" s="134">
        <v>9</v>
      </c>
      <c r="I26" s="134">
        <v>3.33</v>
      </c>
      <c r="J26" s="134">
        <v>0.44</v>
      </c>
      <c r="K26" s="134">
        <v>261.89999999999998</v>
      </c>
      <c r="L26" s="134">
        <v>25.72</v>
      </c>
      <c r="M26" s="134">
        <v>85.86</v>
      </c>
      <c r="N26" s="134">
        <v>0</v>
      </c>
      <c r="O26" s="134">
        <v>0</v>
      </c>
      <c r="P26" s="134">
        <v>0.38</v>
      </c>
      <c r="Q26" s="134">
        <v>4.45</v>
      </c>
    </row>
    <row r="27" spans="1:17" customFormat="1">
      <c r="A27" s="112" t="s">
        <v>2848</v>
      </c>
      <c r="B27" s="134">
        <v>2</v>
      </c>
      <c r="C27" s="134">
        <v>2</v>
      </c>
      <c r="D27" s="134">
        <v>4</v>
      </c>
      <c r="E27" s="134">
        <v>5.18</v>
      </c>
      <c r="F27" s="134">
        <v>3.19</v>
      </c>
      <c r="G27" s="134">
        <v>35.49</v>
      </c>
      <c r="H27" s="134">
        <v>9</v>
      </c>
      <c r="I27" s="134">
        <v>3.46</v>
      </c>
      <c r="J27" s="134">
        <v>0.56999999999999995</v>
      </c>
      <c r="K27" s="134">
        <v>264.64</v>
      </c>
      <c r="L27" s="134">
        <v>25.63</v>
      </c>
      <c r="M27" s="134">
        <v>85.63</v>
      </c>
      <c r="N27" s="134">
        <v>0</v>
      </c>
      <c r="O27" s="134">
        <v>0</v>
      </c>
      <c r="P27" s="134">
        <v>0.35</v>
      </c>
      <c r="Q27" s="134">
        <v>4.43</v>
      </c>
    </row>
    <row r="28" spans="1:17" customFormat="1">
      <c r="A28" s="112" t="s">
        <v>2849</v>
      </c>
      <c r="B28" s="134">
        <v>10.84</v>
      </c>
      <c r="C28" s="134">
        <v>12.23</v>
      </c>
      <c r="D28" s="134">
        <v>16.43</v>
      </c>
      <c r="E28" s="134">
        <v>4.75</v>
      </c>
      <c r="F28" s="134">
        <v>3.16</v>
      </c>
      <c r="G28" s="134">
        <v>35.200000000000003</v>
      </c>
      <c r="H28" s="134">
        <v>8.9499999999999993</v>
      </c>
      <c r="I28" s="134">
        <v>3.46</v>
      </c>
      <c r="J28" s="134">
        <v>0.61</v>
      </c>
      <c r="K28" s="134">
        <v>263.39999999999998</v>
      </c>
      <c r="L28" s="134">
        <v>25.63</v>
      </c>
      <c r="M28" s="134">
        <v>84.99</v>
      </c>
      <c r="N28" s="134">
        <v>0</v>
      </c>
      <c r="O28" s="134">
        <v>0</v>
      </c>
      <c r="P28" s="134">
        <v>0.34</v>
      </c>
      <c r="Q28" s="134">
        <v>4.42</v>
      </c>
    </row>
    <row r="29" spans="1:17" customFormat="1">
      <c r="A29" s="112" t="s">
        <v>2850</v>
      </c>
      <c r="B29" s="134">
        <v>12.02</v>
      </c>
      <c r="C29" s="134">
        <v>15.9</v>
      </c>
      <c r="D29" s="134">
        <v>19.3</v>
      </c>
      <c r="E29" s="134">
        <v>4.8899999999999997</v>
      </c>
      <c r="F29" s="134">
        <v>1.96</v>
      </c>
      <c r="G29" s="134">
        <v>32.86</v>
      </c>
      <c r="H29" s="134">
        <v>8.61</v>
      </c>
      <c r="I29" s="134">
        <v>3.41</v>
      </c>
      <c r="J29" s="134">
        <v>0.24</v>
      </c>
      <c r="K29" s="134">
        <v>247.81</v>
      </c>
      <c r="L29" s="134">
        <v>25.49</v>
      </c>
      <c r="M29" s="134">
        <v>86.85</v>
      </c>
      <c r="N29" s="134">
        <v>0</v>
      </c>
      <c r="O29" s="134">
        <v>0</v>
      </c>
      <c r="P29" s="134">
        <v>0.36</v>
      </c>
      <c r="Q29" s="134">
        <v>4.45</v>
      </c>
    </row>
    <row r="30" spans="1:17" customFormat="1">
      <c r="A30" s="112" t="s">
        <v>2851</v>
      </c>
      <c r="B30" s="134">
        <v>11.77</v>
      </c>
      <c r="C30" s="134">
        <v>15.95</v>
      </c>
      <c r="D30" s="134">
        <v>19.13</v>
      </c>
      <c r="E30" s="134">
        <v>5.08</v>
      </c>
      <c r="F30" s="134">
        <v>2.34</v>
      </c>
      <c r="G30" s="134">
        <v>32.86</v>
      </c>
      <c r="H30" s="134">
        <v>8.61</v>
      </c>
      <c r="I30" s="134">
        <v>3.42</v>
      </c>
      <c r="J30" s="134">
        <v>0.14000000000000001</v>
      </c>
      <c r="K30" s="134">
        <v>169.87</v>
      </c>
      <c r="L30" s="134">
        <v>25.02</v>
      </c>
      <c r="M30" s="134">
        <v>91.37</v>
      </c>
      <c r="N30" s="134">
        <v>0</v>
      </c>
      <c r="O30" s="134">
        <v>0</v>
      </c>
      <c r="P30" s="134">
        <v>0.38</v>
      </c>
      <c r="Q30" s="134">
        <v>4.47</v>
      </c>
    </row>
    <row r="31" spans="1:17" customFormat="1">
      <c r="A31" s="112" t="s">
        <v>2852</v>
      </c>
      <c r="B31" s="134">
        <v>12.1</v>
      </c>
      <c r="C31" s="134">
        <v>14.62</v>
      </c>
      <c r="D31" s="134">
        <v>18.690000000000001</v>
      </c>
      <c r="E31" s="134">
        <v>4.79</v>
      </c>
      <c r="F31" s="134">
        <v>2.76</v>
      </c>
      <c r="G31" s="134">
        <v>32.86</v>
      </c>
      <c r="H31" s="134">
        <v>8.61</v>
      </c>
      <c r="I31" s="134">
        <v>3.53</v>
      </c>
      <c r="J31" s="134">
        <v>0.14000000000000001</v>
      </c>
      <c r="K31" s="134">
        <v>243.47</v>
      </c>
      <c r="L31" s="134">
        <v>24.79</v>
      </c>
      <c r="M31" s="134">
        <v>93.91</v>
      </c>
      <c r="N31" s="134">
        <v>0</v>
      </c>
      <c r="O31" s="134">
        <v>0</v>
      </c>
      <c r="P31" s="134">
        <v>0.37</v>
      </c>
      <c r="Q31" s="134">
        <v>4.46</v>
      </c>
    </row>
    <row r="32" spans="1:17" customFormat="1">
      <c r="A32" s="112" t="s">
        <v>2853</v>
      </c>
      <c r="B32" s="134">
        <v>12.48</v>
      </c>
      <c r="C32" s="134">
        <v>14.33</v>
      </c>
      <c r="D32" s="134">
        <v>18.850000000000001</v>
      </c>
      <c r="E32" s="134">
        <v>5.03</v>
      </c>
      <c r="F32" s="134">
        <v>2.63</v>
      </c>
      <c r="G32" s="134">
        <v>33.090000000000003</v>
      </c>
      <c r="H32" s="134">
        <v>8.7799999999999994</v>
      </c>
      <c r="I32" s="134">
        <v>3.57</v>
      </c>
      <c r="J32" s="134">
        <v>0.1</v>
      </c>
      <c r="K32" s="134">
        <v>161.47999999999999</v>
      </c>
      <c r="L32" s="134">
        <v>24.76</v>
      </c>
      <c r="M32" s="134">
        <v>94.26</v>
      </c>
      <c r="N32" s="134">
        <v>4.5</v>
      </c>
      <c r="O32" s="134">
        <v>0</v>
      </c>
      <c r="P32" s="134">
        <v>0.37</v>
      </c>
      <c r="Q32" s="134">
        <v>4.46</v>
      </c>
    </row>
    <row r="33" spans="1:17" customFormat="1">
      <c r="A33" s="112" t="s">
        <v>2854</v>
      </c>
      <c r="B33" s="134">
        <v>12.46</v>
      </c>
      <c r="C33" s="134">
        <v>16.02</v>
      </c>
      <c r="D33" s="134">
        <v>19.71</v>
      </c>
      <c r="E33" s="134">
        <v>5.03</v>
      </c>
      <c r="F33" s="134">
        <v>1.66</v>
      </c>
      <c r="G33" s="134">
        <v>34.880000000000003</v>
      </c>
      <c r="H33" s="134">
        <v>9.81</v>
      </c>
      <c r="I33" s="134">
        <v>3.58</v>
      </c>
      <c r="J33" s="134">
        <v>7.0000000000000007E-2</v>
      </c>
      <c r="K33" s="134">
        <v>202.73</v>
      </c>
      <c r="L33" s="134">
        <v>24.93</v>
      </c>
      <c r="M33" s="134">
        <v>93.81</v>
      </c>
      <c r="N33" s="134">
        <v>18</v>
      </c>
      <c r="O33" s="134">
        <v>0</v>
      </c>
      <c r="P33" s="134">
        <v>0.39</v>
      </c>
      <c r="Q33" s="134">
        <v>4.53</v>
      </c>
    </row>
    <row r="34" spans="1:17" customFormat="1">
      <c r="A34" s="112" t="s">
        <v>2855</v>
      </c>
      <c r="B34" s="134">
        <v>2.4500000000000002</v>
      </c>
      <c r="C34" s="134">
        <v>3.01</v>
      </c>
      <c r="D34" s="134">
        <v>4.8899999999999997</v>
      </c>
      <c r="E34" s="134">
        <v>4.82</v>
      </c>
      <c r="F34" s="134">
        <v>2.2599999999999998</v>
      </c>
      <c r="G34" s="134">
        <v>34.880000000000003</v>
      </c>
      <c r="H34" s="134">
        <v>9.81</v>
      </c>
      <c r="I34" s="134">
        <v>3.63</v>
      </c>
      <c r="J34" s="134">
        <v>0.08</v>
      </c>
      <c r="K34" s="134">
        <v>212.92</v>
      </c>
      <c r="L34" s="134">
        <v>25.12</v>
      </c>
      <c r="M34" s="134">
        <v>93.52</v>
      </c>
      <c r="N34" s="134">
        <v>31.5</v>
      </c>
      <c r="O34" s="134">
        <v>0</v>
      </c>
      <c r="P34" s="134">
        <v>0.38</v>
      </c>
      <c r="Q34" s="134">
        <v>4.5199999999999996</v>
      </c>
    </row>
    <row r="35" spans="1:17" customFormat="1">
      <c r="A35" s="112" t="s">
        <v>2856</v>
      </c>
      <c r="B35" s="134">
        <v>2</v>
      </c>
      <c r="C35" s="134">
        <v>2</v>
      </c>
      <c r="D35" s="134">
        <v>4</v>
      </c>
      <c r="E35" s="134">
        <v>4.2</v>
      </c>
      <c r="F35" s="134">
        <v>2.83</v>
      </c>
      <c r="G35" s="134">
        <v>34.880000000000003</v>
      </c>
      <c r="H35" s="134">
        <v>9.81</v>
      </c>
      <c r="I35" s="134">
        <v>3.73</v>
      </c>
      <c r="J35" s="134">
        <v>0.21</v>
      </c>
      <c r="K35" s="134">
        <v>253.9</v>
      </c>
      <c r="L35" s="134">
        <v>25.47</v>
      </c>
      <c r="M35" s="134">
        <v>91.51</v>
      </c>
      <c r="N35" s="134">
        <v>49.4</v>
      </c>
      <c r="O35" s="134">
        <v>0</v>
      </c>
      <c r="P35" s="134">
        <v>0.37</v>
      </c>
      <c r="Q35" s="134">
        <v>4.47</v>
      </c>
    </row>
    <row r="36" spans="1:17" customFormat="1">
      <c r="A36" s="112" t="s">
        <v>2857</v>
      </c>
      <c r="B36" s="134">
        <v>4.2</v>
      </c>
      <c r="C36" s="134">
        <v>6.35</v>
      </c>
      <c r="D36" s="134">
        <v>8.0399999999999991</v>
      </c>
      <c r="E36" s="134">
        <v>4.46</v>
      </c>
      <c r="F36" s="134">
        <v>2.71</v>
      </c>
      <c r="G36" s="134">
        <v>34.78</v>
      </c>
      <c r="H36" s="134">
        <v>9.61</v>
      </c>
      <c r="I36" s="134">
        <v>3.71</v>
      </c>
      <c r="J36" s="134">
        <v>0.27</v>
      </c>
      <c r="K36" s="134">
        <v>252.42</v>
      </c>
      <c r="L36" s="134">
        <v>25.9</v>
      </c>
      <c r="M36" s="134">
        <v>88.61</v>
      </c>
      <c r="N36" s="134">
        <v>67.400000000000006</v>
      </c>
      <c r="O36" s="134">
        <v>0</v>
      </c>
      <c r="P36" s="134">
        <v>0.37</v>
      </c>
      <c r="Q36" s="134">
        <v>4.49</v>
      </c>
    </row>
    <row r="37" spans="1:17" customFormat="1">
      <c r="A37" s="112" t="s">
        <v>2858</v>
      </c>
      <c r="B37" s="134">
        <v>12.11</v>
      </c>
      <c r="C37" s="134">
        <v>17.2</v>
      </c>
      <c r="D37" s="134">
        <v>20.05</v>
      </c>
      <c r="E37" s="134">
        <v>4.7</v>
      </c>
      <c r="F37" s="134">
        <v>1.73</v>
      </c>
      <c r="G37" s="134">
        <v>33.94</v>
      </c>
      <c r="H37" s="134">
        <v>8.3000000000000007</v>
      </c>
      <c r="I37" s="134">
        <v>3.73</v>
      </c>
      <c r="J37" s="134">
        <v>0.52</v>
      </c>
      <c r="K37" s="134">
        <v>266.54000000000002</v>
      </c>
      <c r="L37" s="134">
        <v>26.33</v>
      </c>
      <c r="M37" s="134">
        <v>83.02</v>
      </c>
      <c r="N37" s="134">
        <v>84.5</v>
      </c>
      <c r="O37" s="134">
        <v>0</v>
      </c>
      <c r="P37" s="134">
        <v>0.4</v>
      </c>
      <c r="Q37" s="134">
        <v>4.58</v>
      </c>
    </row>
    <row r="38" spans="1:17" customFormat="1">
      <c r="A38" s="112" t="s">
        <v>2859</v>
      </c>
      <c r="B38" s="134">
        <v>12.96</v>
      </c>
      <c r="C38" s="134">
        <v>15.65</v>
      </c>
      <c r="D38" s="134">
        <v>19.920000000000002</v>
      </c>
      <c r="E38" s="134">
        <v>5.07</v>
      </c>
      <c r="F38" s="134">
        <v>2.48</v>
      </c>
      <c r="G38" s="134">
        <v>33.94</v>
      </c>
      <c r="H38" s="134">
        <v>8.3000000000000007</v>
      </c>
      <c r="I38" s="134">
        <v>3.76</v>
      </c>
      <c r="J38" s="134">
        <v>0.49</v>
      </c>
      <c r="K38" s="134">
        <v>265.52</v>
      </c>
      <c r="L38" s="134">
        <v>26.79</v>
      </c>
      <c r="M38" s="134">
        <v>80.459999999999994</v>
      </c>
      <c r="N38" s="134">
        <v>100.7</v>
      </c>
      <c r="O38" s="134">
        <v>0</v>
      </c>
      <c r="P38" s="134">
        <v>0.4</v>
      </c>
      <c r="Q38" s="134">
        <v>4.59</v>
      </c>
    </row>
    <row r="39" spans="1:17" customFormat="1">
      <c r="A39" s="112" t="s">
        <v>2860</v>
      </c>
      <c r="B39" s="134">
        <v>12.99</v>
      </c>
      <c r="C39" s="134">
        <v>14.92</v>
      </c>
      <c r="D39" s="134">
        <v>19.57</v>
      </c>
      <c r="E39" s="134">
        <v>5.14</v>
      </c>
      <c r="F39" s="134">
        <v>2.9</v>
      </c>
      <c r="G39" s="134">
        <v>33.94</v>
      </c>
      <c r="H39" s="134">
        <v>8.3000000000000007</v>
      </c>
      <c r="I39" s="134">
        <v>3.88</v>
      </c>
      <c r="J39" s="134">
        <v>0.56999999999999995</v>
      </c>
      <c r="K39" s="134">
        <v>263.45999999999998</v>
      </c>
      <c r="L39" s="134">
        <v>27.16</v>
      </c>
      <c r="M39" s="134">
        <v>78.72</v>
      </c>
      <c r="N39" s="134">
        <v>141.19999999999999</v>
      </c>
      <c r="O39" s="134">
        <v>0</v>
      </c>
      <c r="P39" s="134">
        <v>0.39</v>
      </c>
      <c r="Q39" s="134">
        <v>4.54</v>
      </c>
    </row>
    <row r="40" spans="1:17" customFormat="1">
      <c r="A40" s="112" t="s">
        <v>2861</v>
      </c>
      <c r="B40" s="134">
        <v>13.32</v>
      </c>
      <c r="C40" s="134">
        <v>14.36</v>
      </c>
      <c r="D40" s="134">
        <v>19.54</v>
      </c>
      <c r="E40" s="134">
        <v>5.22</v>
      </c>
      <c r="F40" s="134">
        <v>3.25</v>
      </c>
      <c r="G40" s="134">
        <v>34.64</v>
      </c>
      <c r="H40" s="134">
        <v>8.5</v>
      </c>
      <c r="I40" s="134">
        <v>3.85</v>
      </c>
      <c r="J40" s="134">
        <v>0.46</v>
      </c>
      <c r="K40" s="134">
        <v>273.98</v>
      </c>
      <c r="L40" s="134">
        <v>27.71</v>
      </c>
      <c r="M40" s="134">
        <v>76.61</v>
      </c>
      <c r="N40" s="134">
        <v>203.2</v>
      </c>
      <c r="O40" s="134">
        <v>0</v>
      </c>
      <c r="P40" s="134">
        <v>0.38</v>
      </c>
      <c r="Q40" s="134">
        <v>4.53</v>
      </c>
    </row>
    <row r="41" spans="1:17" customFormat="1">
      <c r="A41" s="112" t="s">
        <v>2862</v>
      </c>
      <c r="B41" s="134">
        <v>13.39</v>
      </c>
      <c r="C41" s="134">
        <v>14.45</v>
      </c>
      <c r="D41" s="134">
        <v>19.64</v>
      </c>
      <c r="E41" s="134">
        <v>5.4</v>
      </c>
      <c r="F41" s="134">
        <v>3.51</v>
      </c>
      <c r="G41" s="134">
        <v>40.22</v>
      </c>
      <c r="H41" s="134">
        <v>9.76</v>
      </c>
      <c r="I41" s="134">
        <v>3.85</v>
      </c>
      <c r="J41" s="134">
        <v>0.33</v>
      </c>
      <c r="K41" s="134">
        <v>271.87</v>
      </c>
      <c r="L41" s="134">
        <v>28.32</v>
      </c>
      <c r="M41" s="134">
        <v>73.739999999999995</v>
      </c>
      <c r="N41" s="134">
        <v>259.2</v>
      </c>
      <c r="O41" s="134">
        <v>0</v>
      </c>
      <c r="P41" s="134">
        <v>0.38</v>
      </c>
      <c r="Q41" s="134">
        <v>4.5199999999999996</v>
      </c>
    </row>
    <row r="42" spans="1:17" customFormat="1">
      <c r="A42" s="112" t="s">
        <v>2863</v>
      </c>
      <c r="B42" s="134">
        <v>13.36</v>
      </c>
      <c r="C42" s="134">
        <v>14.52</v>
      </c>
      <c r="D42" s="134">
        <v>19.649999999999999</v>
      </c>
      <c r="E42" s="134">
        <v>4.78</v>
      </c>
      <c r="F42" s="134">
        <v>3.12</v>
      </c>
      <c r="G42" s="134">
        <v>40.22</v>
      </c>
      <c r="H42" s="134">
        <v>9.76</v>
      </c>
      <c r="I42" s="134">
        <v>3.85</v>
      </c>
      <c r="J42" s="134">
        <v>0.45</v>
      </c>
      <c r="K42" s="134">
        <v>277.77999999999997</v>
      </c>
      <c r="L42" s="134">
        <v>28.69</v>
      </c>
      <c r="M42" s="134">
        <v>70.86</v>
      </c>
      <c r="N42" s="134">
        <v>295.10000000000002</v>
      </c>
      <c r="O42" s="134">
        <v>0</v>
      </c>
      <c r="P42" s="134">
        <v>0.37</v>
      </c>
      <c r="Q42" s="134">
        <v>4.5</v>
      </c>
    </row>
    <row r="43" spans="1:17" customFormat="1">
      <c r="A43" s="112" t="s">
        <v>2864</v>
      </c>
      <c r="B43" s="134">
        <v>13.38</v>
      </c>
      <c r="C43" s="134">
        <v>15.42</v>
      </c>
      <c r="D43" s="134">
        <v>20.14</v>
      </c>
      <c r="E43" s="134">
        <v>4.8899999999999997</v>
      </c>
      <c r="F43" s="134">
        <v>2.74</v>
      </c>
      <c r="G43" s="134">
        <v>40.22</v>
      </c>
      <c r="H43" s="134">
        <v>9.76</v>
      </c>
      <c r="I43" s="134">
        <v>3.87</v>
      </c>
      <c r="J43" s="134">
        <v>0.53</v>
      </c>
      <c r="K43" s="134">
        <v>297.41000000000003</v>
      </c>
      <c r="L43" s="134">
        <v>29.09</v>
      </c>
      <c r="M43" s="134">
        <v>67.239999999999995</v>
      </c>
      <c r="N43" s="134">
        <v>241.9</v>
      </c>
      <c r="O43" s="134">
        <v>0</v>
      </c>
      <c r="P43" s="134">
        <v>0.39</v>
      </c>
      <c r="Q43" s="134">
        <v>4.5199999999999996</v>
      </c>
    </row>
    <row r="44" spans="1:17" customFormat="1">
      <c r="A44" s="112" t="s">
        <v>2865</v>
      </c>
      <c r="B44" s="134">
        <v>13.45</v>
      </c>
      <c r="C44" s="134">
        <v>16.27</v>
      </c>
      <c r="D44" s="134">
        <v>20.64</v>
      </c>
      <c r="E44" s="134">
        <v>5.78</v>
      </c>
      <c r="F44" s="134">
        <v>2.3199999999999998</v>
      </c>
      <c r="G44" s="134">
        <v>42.25</v>
      </c>
      <c r="H44" s="134">
        <v>10.14</v>
      </c>
      <c r="I44" s="134">
        <v>3.91</v>
      </c>
      <c r="J44" s="134">
        <v>0.55000000000000004</v>
      </c>
      <c r="K44" s="134">
        <v>306.86</v>
      </c>
      <c r="L44" s="134">
        <v>29.39</v>
      </c>
      <c r="M44" s="134">
        <v>65.67</v>
      </c>
      <c r="N44" s="134">
        <v>276.7</v>
      </c>
      <c r="O44" s="134">
        <v>0</v>
      </c>
      <c r="P44" s="134">
        <v>0.42</v>
      </c>
      <c r="Q44" s="134">
        <v>4.5999999999999996</v>
      </c>
    </row>
    <row r="45" spans="1:17" customFormat="1">
      <c r="A45" s="112" t="s">
        <v>2866</v>
      </c>
      <c r="B45" s="134">
        <v>13.31</v>
      </c>
      <c r="C45" s="134">
        <v>15.43</v>
      </c>
      <c r="D45" s="134">
        <v>20.09</v>
      </c>
      <c r="E45" s="134">
        <v>6.08</v>
      </c>
      <c r="F45" s="134">
        <v>3.56</v>
      </c>
      <c r="G45" s="134">
        <v>58.3</v>
      </c>
      <c r="H45" s="134">
        <v>12.52</v>
      </c>
      <c r="I45" s="134">
        <v>3.94</v>
      </c>
      <c r="J45" s="134">
        <v>0.53</v>
      </c>
      <c r="K45" s="134">
        <v>329.49</v>
      </c>
      <c r="L45" s="134">
        <v>29.78</v>
      </c>
      <c r="M45" s="134">
        <v>63.36</v>
      </c>
      <c r="N45" s="134">
        <v>245.7</v>
      </c>
      <c r="O45" s="134">
        <v>0</v>
      </c>
      <c r="P45" s="134">
        <v>0.43</v>
      </c>
      <c r="Q45" s="134">
        <v>4.59</v>
      </c>
    </row>
    <row r="46" spans="1:17" customFormat="1">
      <c r="A46" s="112" t="s">
        <v>2867</v>
      </c>
      <c r="B46" s="134">
        <v>5.15</v>
      </c>
      <c r="C46" s="134">
        <v>6.12</v>
      </c>
      <c r="D46" s="134">
        <v>8.68</v>
      </c>
      <c r="E46" s="134">
        <v>5.49</v>
      </c>
      <c r="F46" s="134">
        <v>4.0999999999999996</v>
      </c>
      <c r="G46" s="134">
        <v>58.3</v>
      </c>
      <c r="H46" s="134">
        <v>12.52</v>
      </c>
      <c r="I46" s="134">
        <v>3.98</v>
      </c>
      <c r="J46" s="134">
        <v>0.77</v>
      </c>
      <c r="K46" s="134">
        <v>313.88</v>
      </c>
      <c r="L46" s="134">
        <v>29.78</v>
      </c>
      <c r="M46" s="134">
        <v>61.5</v>
      </c>
      <c r="N46" s="134">
        <v>398.8</v>
      </c>
      <c r="O46" s="134">
        <v>0</v>
      </c>
      <c r="P46" s="134">
        <v>0.41</v>
      </c>
      <c r="Q46" s="134">
        <v>4.55</v>
      </c>
    </row>
    <row r="47" spans="1:17" customFormat="1">
      <c r="A47" s="112" t="s">
        <v>2868</v>
      </c>
      <c r="B47" s="134">
        <v>2</v>
      </c>
      <c r="C47" s="134">
        <v>2</v>
      </c>
      <c r="D47" s="134">
        <v>4</v>
      </c>
      <c r="E47" s="134">
        <v>4.7</v>
      </c>
      <c r="F47" s="134">
        <v>4.21</v>
      </c>
      <c r="G47" s="134">
        <v>58.3</v>
      </c>
      <c r="H47" s="134">
        <v>12.52</v>
      </c>
      <c r="I47" s="134">
        <v>3.94</v>
      </c>
      <c r="J47" s="134">
        <v>0.96</v>
      </c>
      <c r="K47" s="134">
        <v>304.17</v>
      </c>
      <c r="L47" s="134">
        <v>29.97</v>
      </c>
      <c r="M47" s="134">
        <v>61.24</v>
      </c>
      <c r="N47" s="134">
        <v>527.29999999999995</v>
      </c>
      <c r="O47" s="134">
        <v>0</v>
      </c>
      <c r="P47" s="134">
        <v>0.42</v>
      </c>
      <c r="Q47" s="134">
        <v>4.5199999999999996</v>
      </c>
    </row>
    <row r="48" spans="1:17" customFormat="1">
      <c r="A48" s="112" t="s">
        <v>2869</v>
      </c>
      <c r="B48" s="134">
        <v>2</v>
      </c>
      <c r="C48" s="134">
        <v>2</v>
      </c>
      <c r="D48" s="134">
        <v>4</v>
      </c>
      <c r="E48" s="134">
        <v>4.93</v>
      </c>
      <c r="F48" s="134">
        <v>4.2</v>
      </c>
      <c r="G48" s="134">
        <v>60.69</v>
      </c>
      <c r="H48" s="134">
        <v>13.2</v>
      </c>
      <c r="I48" s="134">
        <v>3.9</v>
      </c>
      <c r="J48" s="134">
        <v>0.96</v>
      </c>
      <c r="K48" s="134">
        <v>299.27999999999997</v>
      </c>
      <c r="L48" s="134">
        <v>29.99</v>
      </c>
      <c r="M48" s="134">
        <v>60.26</v>
      </c>
      <c r="N48" s="134">
        <v>482.9</v>
      </c>
      <c r="O48" s="134">
        <v>0</v>
      </c>
      <c r="P48" s="134">
        <v>0.42</v>
      </c>
      <c r="Q48" s="134">
        <v>4.5</v>
      </c>
    </row>
    <row r="49" spans="1:17" customFormat="1">
      <c r="A49" s="112" t="s">
        <v>2870</v>
      </c>
      <c r="B49" s="134">
        <v>2</v>
      </c>
      <c r="C49" s="134">
        <v>2</v>
      </c>
      <c r="D49" s="134">
        <v>4</v>
      </c>
      <c r="E49" s="134">
        <v>2.4300000000000002</v>
      </c>
      <c r="F49" s="134">
        <v>4.84</v>
      </c>
      <c r="G49" s="134">
        <v>79.83</v>
      </c>
      <c r="H49" s="134">
        <v>17.52</v>
      </c>
      <c r="I49" s="134">
        <v>3.88</v>
      </c>
      <c r="J49" s="134">
        <v>0.75</v>
      </c>
      <c r="K49" s="134">
        <v>314.08999999999997</v>
      </c>
      <c r="L49" s="134">
        <v>30.33</v>
      </c>
      <c r="M49" s="134">
        <v>59.44</v>
      </c>
      <c r="N49" s="134">
        <v>548.9</v>
      </c>
      <c r="O49" s="134">
        <v>0</v>
      </c>
      <c r="P49" s="134">
        <v>0.42</v>
      </c>
      <c r="Q49" s="134">
        <v>4.51</v>
      </c>
    </row>
    <row r="50" spans="1:17" customFormat="1">
      <c r="A50" s="112" t="s">
        <v>2871</v>
      </c>
      <c r="B50" s="134">
        <v>2</v>
      </c>
      <c r="C50" s="134">
        <v>2</v>
      </c>
      <c r="D50" s="134">
        <v>4</v>
      </c>
      <c r="E50" s="134">
        <v>2.75</v>
      </c>
      <c r="F50" s="134">
        <v>4.53</v>
      </c>
      <c r="G50" s="134">
        <v>79.83</v>
      </c>
      <c r="H50" s="134">
        <v>17.52</v>
      </c>
      <c r="I50" s="134">
        <v>3.85</v>
      </c>
      <c r="J50" s="134">
        <v>0.47</v>
      </c>
      <c r="K50" s="134">
        <v>317.99</v>
      </c>
      <c r="L50" s="134">
        <v>30.69</v>
      </c>
      <c r="M50" s="134">
        <v>59.1</v>
      </c>
      <c r="N50" s="134">
        <v>421</v>
      </c>
      <c r="O50" s="134">
        <v>0</v>
      </c>
      <c r="P50" s="134">
        <v>0.41</v>
      </c>
      <c r="Q50" s="134">
        <v>4.49</v>
      </c>
    </row>
    <row r="51" spans="1:17" customFormat="1">
      <c r="A51" s="112" t="s">
        <v>2872</v>
      </c>
      <c r="B51" s="134">
        <v>8.16</v>
      </c>
      <c r="C51" s="134">
        <v>12.08</v>
      </c>
      <c r="D51" s="134">
        <v>14.2</v>
      </c>
      <c r="E51" s="134">
        <v>2.2799999999999998</v>
      </c>
      <c r="F51" s="134">
        <v>4.28</v>
      </c>
      <c r="G51" s="134">
        <v>79.83</v>
      </c>
      <c r="H51" s="134">
        <v>17.52</v>
      </c>
      <c r="I51" s="134">
        <v>3.79</v>
      </c>
      <c r="J51" s="134">
        <v>0.69</v>
      </c>
      <c r="K51" s="134">
        <v>328.03</v>
      </c>
      <c r="L51" s="134">
        <v>30.69</v>
      </c>
      <c r="M51" s="134">
        <v>57.77</v>
      </c>
      <c r="N51" s="134">
        <v>454.5</v>
      </c>
      <c r="O51" s="134">
        <v>0</v>
      </c>
      <c r="P51" s="134">
        <v>0.42</v>
      </c>
      <c r="Q51" s="134">
        <v>4.47</v>
      </c>
    </row>
    <row r="52" spans="1:17" customFormat="1">
      <c r="A52" s="112" t="s">
        <v>2873</v>
      </c>
      <c r="B52" s="134">
        <v>11.52</v>
      </c>
      <c r="C52" s="134">
        <v>16.53</v>
      </c>
      <c r="D52" s="134">
        <v>19.22</v>
      </c>
      <c r="E52" s="134">
        <v>2.2999999999999998</v>
      </c>
      <c r="F52" s="134">
        <v>4.1399999999999997</v>
      </c>
      <c r="G52" s="134">
        <v>81.290000000000006</v>
      </c>
      <c r="H52" s="134">
        <v>17.39</v>
      </c>
      <c r="I52" s="134">
        <v>3.75</v>
      </c>
      <c r="J52" s="134">
        <v>0.56000000000000005</v>
      </c>
      <c r="K52" s="134">
        <v>304.14</v>
      </c>
      <c r="L52" s="134">
        <v>30.02</v>
      </c>
      <c r="M52" s="134">
        <v>60.39</v>
      </c>
      <c r="N52" s="134">
        <v>463.6</v>
      </c>
      <c r="O52" s="134">
        <v>0</v>
      </c>
      <c r="P52" s="134">
        <v>0.42</v>
      </c>
      <c r="Q52" s="134">
        <v>4.42</v>
      </c>
    </row>
    <row r="53" spans="1:17" customFormat="1">
      <c r="A53" s="112" t="s">
        <v>2874</v>
      </c>
      <c r="B53" s="134">
        <v>11.11</v>
      </c>
      <c r="C53" s="134">
        <v>16.41</v>
      </c>
      <c r="D53" s="134">
        <v>18.84</v>
      </c>
      <c r="E53" s="134">
        <v>2.34</v>
      </c>
      <c r="F53" s="134">
        <v>5.36</v>
      </c>
      <c r="G53" s="134">
        <v>93.04</v>
      </c>
      <c r="H53" s="134">
        <v>16.47</v>
      </c>
      <c r="I53" s="134">
        <v>3.75</v>
      </c>
      <c r="J53" s="134">
        <v>0.66</v>
      </c>
      <c r="K53" s="134">
        <v>318.02</v>
      </c>
      <c r="L53" s="134">
        <v>30.88</v>
      </c>
      <c r="M53" s="134">
        <v>57.95</v>
      </c>
      <c r="N53" s="134">
        <v>697</v>
      </c>
      <c r="O53" s="134">
        <v>0</v>
      </c>
      <c r="P53" s="134">
        <v>0.43</v>
      </c>
      <c r="Q53" s="134">
        <v>4.4400000000000004</v>
      </c>
    </row>
    <row r="54" spans="1:17" customFormat="1">
      <c r="A54" s="112" t="s">
        <v>2875</v>
      </c>
      <c r="B54" s="134">
        <v>11.11</v>
      </c>
      <c r="C54" s="134">
        <v>16.22</v>
      </c>
      <c r="D54" s="134">
        <v>18.73</v>
      </c>
      <c r="E54" s="134">
        <v>1.97</v>
      </c>
      <c r="F54" s="134">
        <v>4.6100000000000003</v>
      </c>
      <c r="G54" s="134">
        <v>93.04</v>
      </c>
      <c r="H54" s="134">
        <v>16.47</v>
      </c>
      <c r="I54" s="134">
        <v>3.76</v>
      </c>
      <c r="J54" s="134">
        <v>0.7</v>
      </c>
      <c r="K54" s="134">
        <v>299.35000000000002</v>
      </c>
      <c r="L54" s="134">
        <v>30.98</v>
      </c>
      <c r="M54" s="134">
        <v>57.02</v>
      </c>
      <c r="N54" s="134">
        <v>584.9</v>
      </c>
      <c r="O54" s="134">
        <v>0</v>
      </c>
      <c r="P54" s="134">
        <v>0.42</v>
      </c>
      <c r="Q54" s="134">
        <v>4.43</v>
      </c>
    </row>
    <row r="55" spans="1:17" customFormat="1">
      <c r="A55" s="112" t="s">
        <v>2876</v>
      </c>
      <c r="B55" s="134">
        <v>11.17</v>
      </c>
      <c r="C55" s="134">
        <v>16.07</v>
      </c>
      <c r="D55" s="134">
        <v>18.7</v>
      </c>
      <c r="E55" s="134">
        <v>2.0499999999999998</v>
      </c>
      <c r="F55" s="134">
        <v>4.37</v>
      </c>
      <c r="G55" s="134">
        <v>93.04</v>
      </c>
      <c r="H55" s="134">
        <v>16.47</v>
      </c>
      <c r="I55" s="134">
        <v>3.69</v>
      </c>
      <c r="J55" s="134">
        <v>0.67</v>
      </c>
      <c r="K55" s="134">
        <v>288.01</v>
      </c>
      <c r="L55" s="134">
        <v>31.45</v>
      </c>
      <c r="M55" s="134">
        <v>56.36</v>
      </c>
      <c r="N55" s="134">
        <v>786.8</v>
      </c>
      <c r="O55" s="134">
        <v>0</v>
      </c>
      <c r="P55" s="134">
        <v>0.42</v>
      </c>
      <c r="Q55" s="134">
        <v>4.4400000000000004</v>
      </c>
    </row>
    <row r="56" spans="1:17" customFormat="1">
      <c r="A56" s="112" t="s">
        <v>2877</v>
      </c>
      <c r="B56" s="134">
        <v>11.12</v>
      </c>
      <c r="C56" s="134">
        <v>15.92</v>
      </c>
      <c r="D56" s="134">
        <v>18.59</v>
      </c>
      <c r="E56" s="134">
        <v>1.17</v>
      </c>
      <c r="F56" s="134">
        <v>4.55</v>
      </c>
      <c r="G56" s="134">
        <v>94.04</v>
      </c>
      <c r="H56" s="134">
        <v>16.850000000000001</v>
      </c>
      <c r="I56" s="134">
        <v>3.68</v>
      </c>
      <c r="J56" s="134">
        <v>0.72</v>
      </c>
      <c r="K56" s="134">
        <v>286.81</v>
      </c>
      <c r="L56" s="134">
        <v>31.54</v>
      </c>
      <c r="M56" s="134">
        <v>56.47</v>
      </c>
      <c r="N56" s="134">
        <v>672.4</v>
      </c>
      <c r="O56" s="134">
        <v>0</v>
      </c>
      <c r="P56" s="134">
        <v>0.42</v>
      </c>
      <c r="Q56" s="134">
        <v>4.4000000000000004</v>
      </c>
    </row>
    <row r="57" spans="1:17" customFormat="1">
      <c r="A57" s="112" t="s">
        <v>2878</v>
      </c>
      <c r="B57" s="134">
        <v>11.2</v>
      </c>
      <c r="C57" s="134">
        <v>15.93</v>
      </c>
      <c r="D57" s="134">
        <v>18.649999999999999</v>
      </c>
      <c r="E57" s="134">
        <v>1.65</v>
      </c>
      <c r="F57" s="134">
        <v>5.21</v>
      </c>
      <c r="G57" s="134">
        <v>102.01</v>
      </c>
      <c r="H57" s="134">
        <v>19.579999999999998</v>
      </c>
      <c r="I57" s="134">
        <v>3.66</v>
      </c>
      <c r="J57" s="134">
        <v>0.61</v>
      </c>
      <c r="K57" s="134">
        <v>332.44</v>
      </c>
      <c r="L57" s="134">
        <v>31.89</v>
      </c>
      <c r="M57" s="134">
        <v>55.38</v>
      </c>
      <c r="N57" s="134">
        <v>680</v>
      </c>
      <c r="O57" s="134">
        <v>0</v>
      </c>
      <c r="P57" s="134">
        <v>0.41</v>
      </c>
      <c r="Q57" s="134">
        <v>4.41</v>
      </c>
    </row>
    <row r="58" spans="1:17" customFormat="1">
      <c r="A58" s="112" t="s">
        <v>2879</v>
      </c>
      <c r="B58" s="134">
        <v>11.21</v>
      </c>
      <c r="C58" s="134">
        <v>16.149999999999999</v>
      </c>
      <c r="D58" s="134">
        <v>18.78</v>
      </c>
      <c r="E58" s="134">
        <v>1.53</v>
      </c>
      <c r="F58" s="134">
        <v>4.45</v>
      </c>
      <c r="G58" s="134">
        <v>102.01</v>
      </c>
      <c r="H58" s="134">
        <v>19.579999999999998</v>
      </c>
      <c r="I58" s="134">
        <v>3.65</v>
      </c>
      <c r="J58" s="134">
        <v>0.78</v>
      </c>
      <c r="K58" s="134">
        <v>306.44</v>
      </c>
      <c r="L58" s="134">
        <v>32.04</v>
      </c>
      <c r="M58" s="134">
        <v>54.05</v>
      </c>
      <c r="N58" s="134">
        <v>534.79999999999995</v>
      </c>
      <c r="O58" s="134">
        <v>0</v>
      </c>
      <c r="P58" s="134">
        <v>0.41</v>
      </c>
      <c r="Q58" s="134">
        <v>4.4000000000000004</v>
      </c>
    </row>
    <row r="59" spans="1:17" customFormat="1">
      <c r="A59" s="112" t="s">
        <v>2880</v>
      </c>
      <c r="B59" s="134">
        <v>11.31</v>
      </c>
      <c r="C59" s="134">
        <v>16.47</v>
      </c>
      <c r="D59" s="134">
        <v>19.03</v>
      </c>
      <c r="E59" s="134">
        <v>1.45</v>
      </c>
      <c r="F59" s="134">
        <v>4.6399999999999997</v>
      </c>
      <c r="G59" s="134">
        <v>102.01</v>
      </c>
      <c r="H59" s="134">
        <v>19.579999999999998</v>
      </c>
      <c r="I59" s="134">
        <v>3.58</v>
      </c>
      <c r="J59" s="134">
        <v>0.56000000000000005</v>
      </c>
      <c r="K59" s="134">
        <v>316.16000000000003</v>
      </c>
      <c r="L59" s="134">
        <v>31.74</v>
      </c>
      <c r="M59" s="134">
        <v>54.54</v>
      </c>
      <c r="N59" s="134">
        <v>657.4</v>
      </c>
      <c r="O59" s="134">
        <v>0</v>
      </c>
      <c r="P59" s="134">
        <v>0.41</v>
      </c>
      <c r="Q59" s="134">
        <v>4.37</v>
      </c>
    </row>
    <row r="60" spans="1:17" customFormat="1">
      <c r="A60" s="112" t="s">
        <v>2881</v>
      </c>
      <c r="B60" s="134">
        <v>11.4</v>
      </c>
      <c r="C60" s="134">
        <v>16.14</v>
      </c>
      <c r="D60" s="134">
        <v>18.920000000000002</v>
      </c>
      <c r="E60" s="134">
        <v>1.51</v>
      </c>
      <c r="F60" s="134">
        <v>5.22</v>
      </c>
      <c r="G60" s="134">
        <v>101.5</v>
      </c>
      <c r="H60" s="134">
        <v>19.5</v>
      </c>
      <c r="I60" s="134">
        <v>3.61</v>
      </c>
      <c r="J60" s="134">
        <v>0.46</v>
      </c>
      <c r="K60" s="134">
        <v>318.58999999999997</v>
      </c>
      <c r="L60" s="134">
        <v>31.83</v>
      </c>
      <c r="M60" s="134">
        <v>54.78</v>
      </c>
      <c r="N60" s="134">
        <v>546.20000000000005</v>
      </c>
      <c r="O60" s="134">
        <v>0</v>
      </c>
      <c r="P60" s="134">
        <v>0.41</v>
      </c>
      <c r="Q60" s="134">
        <v>4.38</v>
      </c>
    </row>
    <row r="61" spans="1:17" customFormat="1">
      <c r="A61" s="112" t="s">
        <v>2882</v>
      </c>
      <c r="B61" s="134">
        <v>11.39</v>
      </c>
      <c r="C61" s="134">
        <v>16.05</v>
      </c>
      <c r="D61" s="134">
        <v>18.87</v>
      </c>
      <c r="E61" s="134">
        <v>1.49</v>
      </c>
      <c r="F61" s="134">
        <v>5.29</v>
      </c>
      <c r="G61" s="134">
        <v>97.46</v>
      </c>
      <c r="H61" s="134">
        <v>18.98</v>
      </c>
      <c r="I61" s="134">
        <v>3.59</v>
      </c>
      <c r="J61" s="134">
        <v>0.59</v>
      </c>
      <c r="K61" s="134">
        <v>293.05</v>
      </c>
      <c r="L61" s="134">
        <v>31.96</v>
      </c>
      <c r="M61" s="134">
        <v>54.15</v>
      </c>
      <c r="N61" s="134">
        <v>436.2</v>
      </c>
      <c r="O61" s="134">
        <v>0</v>
      </c>
      <c r="P61" s="134">
        <v>0.41</v>
      </c>
      <c r="Q61" s="134">
        <v>4.4000000000000004</v>
      </c>
    </row>
    <row r="62" spans="1:17" customFormat="1">
      <c r="A62" s="112" t="s">
        <v>2883</v>
      </c>
      <c r="B62" s="134">
        <v>11.85</v>
      </c>
      <c r="C62" s="134">
        <v>16.3</v>
      </c>
      <c r="D62" s="134">
        <v>19.37</v>
      </c>
      <c r="E62" s="134">
        <v>1.53</v>
      </c>
      <c r="F62" s="134">
        <v>5.12</v>
      </c>
      <c r="G62" s="134">
        <v>97.46</v>
      </c>
      <c r="H62" s="134">
        <v>18.98</v>
      </c>
      <c r="I62" s="134">
        <v>3.56</v>
      </c>
      <c r="J62" s="134">
        <v>0.39</v>
      </c>
      <c r="K62" s="134">
        <v>338.73</v>
      </c>
      <c r="L62" s="134">
        <v>31.28</v>
      </c>
      <c r="M62" s="134">
        <v>56.46</v>
      </c>
      <c r="N62" s="134">
        <v>210.7</v>
      </c>
      <c r="O62" s="134">
        <v>0</v>
      </c>
      <c r="P62" s="134">
        <v>0.41</v>
      </c>
      <c r="Q62" s="134">
        <v>4.38</v>
      </c>
    </row>
    <row r="63" spans="1:17" customFormat="1">
      <c r="A63" s="112" t="s">
        <v>2884</v>
      </c>
      <c r="B63" s="134">
        <v>11.75</v>
      </c>
      <c r="C63" s="134">
        <v>15.65</v>
      </c>
      <c r="D63" s="134">
        <v>18.95</v>
      </c>
      <c r="E63" s="134">
        <v>1.03</v>
      </c>
      <c r="F63" s="134">
        <v>5.15</v>
      </c>
      <c r="G63" s="134">
        <v>97.46</v>
      </c>
      <c r="H63" s="134">
        <v>18.98</v>
      </c>
      <c r="I63" s="134">
        <v>3.54</v>
      </c>
      <c r="J63" s="134">
        <v>0.39</v>
      </c>
      <c r="K63" s="134">
        <v>318.49</v>
      </c>
      <c r="L63" s="134">
        <v>30.67</v>
      </c>
      <c r="M63" s="134">
        <v>59.15</v>
      </c>
      <c r="N63" s="134">
        <v>150.19999999999999</v>
      </c>
      <c r="O63" s="134">
        <v>0</v>
      </c>
      <c r="P63" s="134">
        <v>0.41</v>
      </c>
      <c r="Q63" s="134">
        <v>4.41</v>
      </c>
    </row>
    <row r="64" spans="1:17" customFormat="1">
      <c r="A64" s="112" t="s">
        <v>2885</v>
      </c>
      <c r="B64" s="134">
        <v>11.83</v>
      </c>
      <c r="C64" s="134">
        <v>15.59</v>
      </c>
      <c r="D64" s="134">
        <v>18.98</v>
      </c>
      <c r="E64" s="134">
        <v>1.53</v>
      </c>
      <c r="F64" s="134">
        <v>5.86</v>
      </c>
      <c r="G64" s="134">
        <v>98.32</v>
      </c>
      <c r="H64" s="134">
        <v>19.13</v>
      </c>
      <c r="I64" s="134">
        <v>3.51</v>
      </c>
      <c r="J64" s="134">
        <v>0.31</v>
      </c>
      <c r="K64" s="134">
        <v>9.98</v>
      </c>
      <c r="L64" s="134">
        <v>30.51</v>
      </c>
      <c r="M64" s="134">
        <v>59.36</v>
      </c>
      <c r="N64" s="134">
        <v>186.1</v>
      </c>
      <c r="O64" s="134">
        <v>0</v>
      </c>
      <c r="P64" s="134">
        <v>0.4</v>
      </c>
      <c r="Q64" s="134">
        <v>4.3899999999999997</v>
      </c>
    </row>
    <row r="65" spans="1:17" customFormat="1">
      <c r="A65" s="112" t="s">
        <v>2886</v>
      </c>
      <c r="B65" s="134">
        <v>11.76</v>
      </c>
      <c r="C65" s="134">
        <v>15.37</v>
      </c>
      <c r="D65" s="134">
        <v>18.809999999999999</v>
      </c>
      <c r="E65" s="134">
        <v>1.95</v>
      </c>
      <c r="F65" s="134">
        <v>6.24</v>
      </c>
      <c r="G65" s="134">
        <v>105.26</v>
      </c>
      <c r="H65" s="134">
        <v>20.239999999999998</v>
      </c>
      <c r="I65" s="134">
        <v>3.42</v>
      </c>
      <c r="J65" s="134">
        <v>0.31</v>
      </c>
      <c r="K65" s="134">
        <v>309.68</v>
      </c>
      <c r="L65" s="134">
        <v>31.13</v>
      </c>
      <c r="M65" s="134">
        <v>57.87</v>
      </c>
      <c r="N65" s="134">
        <v>324.39999999999998</v>
      </c>
      <c r="O65" s="134">
        <v>0</v>
      </c>
      <c r="P65" s="134">
        <v>0.4</v>
      </c>
      <c r="Q65" s="134">
        <v>4.4000000000000004</v>
      </c>
    </row>
    <row r="66" spans="1:17" customFormat="1">
      <c r="A66" s="112" t="s">
        <v>2887</v>
      </c>
      <c r="B66" s="134">
        <v>12.05</v>
      </c>
      <c r="C66" s="134">
        <v>15.97</v>
      </c>
      <c r="D66" s="134">
        <v>19.36</v>
      </c>
      <c r="E66" s="134">
        <v>1.88</v>
      </c>
      <c r="F66" s="134">
        <v>4.9400000000000004</v>
      </c>
      <c r="G66" s="134">
        <v>105.26</v>
      </c>
      <c r="H66" s="134">
        <v>20.239999999999998</v>
      </c>
      <c r="I66" s="134">
        <v>3.34</v>
      </c>
      <c r="J66" s="134">
        <v>0.28000000000000003</v>
      </c>
      <c r="K66" s="134">
        <v>314.67</v>
      </c>
      <c r="L66" s="134">
        <v>31</v>
      </c>
      <c r="M66" s="134">
        <v>59.06</v>
      </c>
      <c r="N66" s="134">
        <v>268.8</v>
      </c>
      <c r="O66" s="134">
        <v>0</v>
      </c>
      <c r="P66" s="134">
        <v>0.41</v>
      </c>
      <c r="Q66" s="134">
        <v>4.4400000000000004</v>
      </c>
    </row>
    <row r="67" spans="1:17" customFormat="1">
      <c r="A67" s="112" t="s">
        <v>2888</v>
      </c>
      <c r="B67" s="134">
        <v>10.97</v>
      </c>
      <c r="C67" s="134">
        <v>14.48</v>
      </c>
      <c r="D67" s="134">
        <v>17.71</v>
      </c>
      <c r="E67" s="134">
        <v>1.88</v>
      </c>
      <c r="F67" s="134">
        <v>6.21</v>
      </c>
      <c r="G67" s="134">
        <v>105.26</v>
      </c>
      <c r="H67" s="134">
        <v>20.239999999999998</v>
      </c>
      <c r="I67" s="134">
        <v>3.35</v>
      </c>
      <c r="J67" s="134">
        <v>0.59</v>
      </c>
      <c r="K67" s="134">
        <v>318.27999999999997</v>
      </c>
      <c r="L67" s="134">
        <v>31.34</v>
      </c>
      <c r="M67" s="134">
        <v>56.25</v>
      </c>
      <c r="N67" s="134">
        <v>380.3</v>
      </c>
      <c r="O67" s="134">
        <v>0</v>
      </c>
      <c r="P67" s="134">
        <v>0.41</v>
      </c>
      <c r="Q67" s="134">
        <v>4.42</v>
      </c>
    </row>
    <row r="68" spans="1:17" customFormat="1">
      <c r="A68" s="112" t="s">
        <v>2889</v>
      </c>
      <c r="B68" s="134">
        <v>2</v>
      </c>
      <c r="C68" s="134">
        <v>2</v>
      </c>
      <c r="D68" s="134">
        <v>4</v>
      </c>
      <c r="E68" s="134">
        <v>2.29</v>
      </c>
      <c r="F68" s="134">
        <v>5.79</v>
      </c>
      <c r="G68" s="134">
        <v>104.9</v>
      </c>
      <c r="H68" s="134">
        <v>20.5</v>
      </c>
      <c r="I68" s="134">
        <v>3.42</v>
      </c>
      <c r="J68" s="134">
        <v>0.52</v>
      </c>
      <c r="K68" s="134">
        <v>17.09</v>
      </c>
      <c r="L68" s="134">
        <v>31.12</v>
      </c>
      <c r="M68" s="134">
        <v>57.97</v>
      </c>
      <c r="N68" s="134">
        <v>216.1</v>
      </c>
      <c r="O68" s="134">
        <v>0</v>
      </c>
      <c r="P68" s="134">
        <v>0.41</v>
      </c>
      <c r="Q68" s="134">
        <v>4.4000000000000004</v>
      </c>
    </row>
    <row r="69" spans="1:17" customFormat="1">
      <c r="A69" s="112" t="s">
        <v>2890</v>
      </c>
      <c r="B69" s="134">
        <v>7.12</v>
      </c>
      <c r="C69" s="134">
        <v>10.45</v>
      </c>
      <c r="D69" s="134">
        <v>12.52</v>
      </c>
      <c r="E69" s="134">
        <v>2.15</v>
      </c>
      <c r="F69" s="134">
        <v>6.19</v>
      </c>
      <c r="G69" s="134">
        <v>102.09</v>
      </c>
      <c r="H69" s="134">
        <v>22.15</v>
      </c>
      <c r="I69" s="134">
        <v>3.39</v>
      </c>
      <c r="J69" s="134">
        <v>0.45</v>
      </c>
      <c r="K69" s="134">
        <v>322.54000000000002</v>
      </c>
      <c r="L69" s="134">
        <v>30.97</v>
      </c>
      <c r="M69" s="134">
        <v>57.1</v>
      </c>
      <c r="N69" s="134">
        <v>242.5</v>
      </c>
      <c r="O69" s="134">
        <v>0</v>
      </c>
      <c r="P69" s="134">
        <v>0.41</v>
      </c>
      <c r="Q69" s="134">
        <v>4.43</v>
      </c>
    </row>
    <row r="70" spans="1:17" customFormat="1">
      <c r="A70" s="112" t="s">
        <v>2891</v>
      </c>
      <c r="B70" s="134">
        <v>12.26</v>
      </c>
      <c r="C70" s="134">
        <v>16.95</v>
      </c>
      <c r="D70" s="134">
        <v>20.03</v>
      </c>
      <c r="E70" s="134">
        <v>1.54</v>
      </c>
      <c r="F70" s="134">
        <v>5.45</v>
      </c>
      <c r="G70" s="134">
        <v>102.09</v>
      </c>
      <c r="H70" s="134">
        <v>22.15</v>
      </c>
      <c r="I70" s="134">
        <v>3.33</v>
      </c>
      <c r="J70" s="134">
        <v>0.53</v>
      </c>
      <c r="K70" s="134">
        <v>315.94</v>
      </c>
      <c r="L70" s="134">
        <v>31.68</v>
      </c>
      <c r="M70" s="134">
        <v>54.57</v>
      </c>
      <c r="N70" s="134">
        <v>395.1</v>
      </c>
      <c r="O70" s="134">
        <v>0</v>
      </c>
      <c r="P70" s="134">
        <v>0.4</v>
      </c>
      <c r="Q70" s="134">
        <v>4.42</v>
      </c>
    </row>
    <row r="71" spans="1:17" customFormat="1">
      <c r="A71" s="112" t="s">
        <v>2892</v>
      </c>
      <c r="B71" s="134">
        <v>12.37</v>
      </c>
      <c r="C71" s="134">
        <v>17.079999999999998</v>
      </c>
      <c r="D71" s="134">
        <v>20.190000000000001</v>
      </c>
      <c r="E71" s="134">
        <v>1.5</v>
      </c>
      <c r="F71" s="134">
        <v>4.1100000000000003</v>
      </c>
      <c r="G71" s="134">
        <v>102.09</v>
      </c>
      <c r="H71" s="134">
        <v>22.15</v>
      </c>
      <c r="I71" s="134">
        <v>3.31</v>
      </c>
      <c r="J71" s="134">
        <v>0.52</v>
      </c>
      <c r="K71" s="134">
        <v>277.05</v>
      </c>
      <c r="L71" s="134">
        <v>31.87</v>
      </c>
      <c r="M71" s="134">
        <v>54.77</v>
      </c>
      <c r="N71" s="134">
        <v>345.8</v>
      </c>
      <c r="O71" s="134">
        <v>0</v>
      </c>
      <c r="P71" s="134">
        <v>0.42</v>
      </c>
      <c r="Q71" s="134">
        <v>4.46</v>
      </c>
    </row>
    <row r="72" spans="1:17" customFormat="1">
      <c r="A72" s="112" t="s">
        <v>2893</v>
      </c>
      <c r="B72" s="134">
        <v>12.14</v>
      </c>
      <c r="C72" s="134">
        <v>17.09</v>
      </c>
      <c r="D72" s="134">
        <v>20.010000000000002</v>
      </c>
      <c r="E72" s="134">
        <v>1.53</v>
      </c>
      <c r="F72" s="134">
        <v>5.49</v>
      </c>
      <c r="G72" s="134">
        <v>102.12</v>
      </c>
      <c r="H72" s="134">
        <v>21.94</v>
      </c>
      <c r="I72" s="134">
        <v>3.35</v>
      </c>
      <c r="J72" s="134">
        <v>0.56999999999999995</v>
      </c>
      <c r="K72" s="134">
        <v>310.8</v>
      </c>
      <c r="L72" s="134">
        <v>31.98</v>
      </c>
      <c r="M72" s="134">
        <v>53.68</v>
      </c>
      <c r="N72" s="134">
        <v>330.6</v>
      </c>
      <c r="O72" s="134">
        <v>0</v>
      </c>
      <c r="P72" s="134">
        <v>0.42</v>
      </c>
      <c r="Q72" s="134">
        <v>4.49</v>
      </c>
    </row>
    <row r="73" spans="1:17" customFormat="1">
      <c r="A73" s="112" t="s">
        <v>2894</v>
      </c>
      <c r="B73" s="134">
        <v>11.79</v>
      </c>
      <c r="C73" s="134">
        <v>15.91</v>
      </c>
      <c r="D73" s="134">
        <v>19.11</v>
      </c>
      <c r="E73" s="134">
        <v>1.1599999999999999</v>
      </c>
      <c r="F73" s="134">
        <v>7.81</v>
      </c>
      <c r="G73" s="134">
        <v>102.29</v>
      </c>
      <c r="H73" s="134">
        <v>20.62</v>
      </c>
      <c r="I73" s="134">
        <v>3.4</v>
      </c>
      <c r="J73" s="134">
        <v>0.41</v>
      </c>
      <c r="K73" s="134">
        <v>268.79000000000002</v>
      </c>
      <c r="L73" s="134">
        <v>31.71</v>
      </c>
      <c r="M73" s="134">
        <v>55.87</v>
      </c>
      <c r="N73" s="134">
        <v>224.7</v>
      </c>
      <c r="O73" s="134">
        <v>0</v>
      </c>
      <c r="P73" s="134">
        <v>0.4</v>
      </c>
      <c r="Q73" s="134">
        <v>4.4400000000000004</v>
      </c>
    </row>
    <row r="74" spans="1:17" customFormat="1">
      <c r="A74" s="112" t="s">
        <v>2895</v>
      </c>
      <c r="B74" s="134">
        <v>12</v>
      </c>
      <c r="C74" s="134">
        <v>15.85</v>
      </c>
      <c r="D74" s="134">
        <v>19.25</v>
      </c>
      <c r="E74" s="134">
        <v>0.84</v>
      </c>
      <c r="F74" s="134">
        <v>7.32</v>
      </c>
      <c r="G74" s="134">
        <v>102.29</v>
      </c>
      <c r="H74" s="134">
        <v>20.62</v>
      </c>
      <c r="I74" s="134">
        <v>3.29</v>
      </c>
      <c r="J74" s="134">
        <v>0.5</v>
      </c>
      <c r="K74" s="134">
        <v>312.99</v>
      </c>
      <c r="L74" s="134">
        <v>31.5</v>
      </c>
      <c r="M74" s="134">
        <v>55.13</v>
      </c>
      <c r="N74" s="134">
        <v>171.9</v>
      </c>
      <c r="O74" s="134">
        <v>0</v>
      </c>
      <c r="P74" s="134">
        <v>0.4</v>
      </c>
      <c r="Q74" s="134">
        <v>4.42</v>
      </c>
    </row>
    <row r="75" spans="1:17" customFormat="1">
      <c r="A75" s="112" t="s">
        <v>2896</v>
      </c>
      <c r="B75" s="134">
        <v>12.17</v>
      </c>
      <c r="C75" s="134">
        <v>16.21</v>
      </c>
      <c r="D75" s="134">
        <v>19.579999999999998</v>
      </c>
      <c r="E75" s="134">
        <v>1.49</v>
      </c>
      <c r="F75" s="134">
        <v>6.63</v>
      </c>
      <c r="G75" s="134">
        <v>102.29</v>
      </c>
      <c r="H75" s="134">
        <v>20.62</v>
      </c>
      <c r="I75" s="134">
        <v>3.2</v>
      </c>
      <c r="J75" s="134">
        <v>0.51</v>
      </c>
      <c r="K75" s="134">
        <v>273.42</v>
      </c>
      <c r="L75" s="134">
        <v>31.21</v>
      </c>
      <c r="M75" s="134">
        <v>56.68</v>
      </c>
      <c r="N75" s="134">
        <v>105.4</v>
      </c>
      <c r="O75" s="134">
        <v>0</v>
      </c>
      <c r="P75" s="134">
        <v>0.41</v>
      </c>
      <c r="Q75" s="134">
        <v>4.45</v>
      </c>
    </row>
    <row r="76" spans="1:17" customFormat="1">
      <c r="A76" s="112" t="s">
        <v>2897</v>
      </c>
      <c r="B76" s="134">
        <v>11.89</v>
      </c>
      <c r="C76" s="134">
        <v>15.99</v>
      </c>
      <c r="D76" s="134">
        <v>19.239999999999998</v>
      </c>
      <c r="E76" s="134">
        <v>1.83</v>
      </c>
      <c r="F76" s="134">
        <v>6.13</v>
      </c>
      <c r="G76" s="134">
        <v>102.21</v>
      </c>
      <c r="H76" s="134">
        <v>20.91</v>
      </c>
      <c r="I76" s="134">
        <v>3.21</v>
      </c>
      <c r="J76" s="134">
        <v>0.54</v>
      </c>
      <c r="K76" s="134">
        <v>261.54000000000002</v>
      </c>
      <c r="L76" s="134">
        <v>30.86</v>
      </c>
      <c r="M76" s="134">
        <v>58.98</v>
      </c>
      <c r="N76" s="134">
        <v>77</v>
      </c>
      <c r="O76" s="134">
        <v>0</v>
      </c>
      <c r="P76" s="134">
        <v>0.4</v>
      </c>
      <c r="Q76" s="134">
        <v>4.47</v>
      </c>
    </row>
    <row r="77" spans="1:17" customFormat="1">
      <c r="A77" s="112" t="s">
        <v>2898</v>
      </c>
      <c r="B77" s="134">
        <v>11.58</v>
      </c>
      <c r="C77" s="134">
        <v>15.57</v>
      </c>
      <c r="D77" s="134">
        <v>18.77</v>
      </c>
      <c r="E77" s="134">
        <v>1.26</v>
      </c>
      <c r="F77" s="134">
        <v>7.07</v>
      </c>
      <c r="G77" s="134">
        <v>101.61</v>
      </c>
      <c r="H77" s="134">
        <v>22.59</v>
      </c>
      <c r="I77" s="134">
        <v>3.31</v>
      </c>
      <c r="J77" s="134">
        <v>0.41</v>
      </c>
      <c r="K77" s="134">
        <v>251.88</v>
      </c>
      <c r="L77" s="134">
        <v>30.61</v>
      </c>
      <c r="M77" s="134">
        <v>62.03</v>
      </c>
      <c r="N77" s="134">
        <v>56.2</v>
      </c>
      <c r="O77" s="134">
        <v>0</v>
      </c>
      <c r="P77" s="134">
        <v>0.4</v>
      </c>
      <c r="Q77" s="134">
        <v>4.45</v>
      </c>
    </row>
    <row r="78" spans="1:17" customFormat="1">
      <c r="A78" s="112" t="s">
        <v>2899</v>
      </c>
      <c r="B78" s="134">
        <v>11.67</v>
      </c>
      <c r="C78" s="134">
        <v>14.89</v>
      </c>
      <c r="D78" s="134">
        <v>18.489999999999998</v>
      </c>
      <c r="E78" s="134">
        <v>1.48</v>
      </c>
      <c r="F78" s="134">
        <v>7.03</v>
      </c>
      <c r="G78" s="134">
        <v>101.61</v>
      </c>
      <c r="H78" s="134">
        <v>22.59</v>
      </c>
      <c r="I78" s="134">
        <v>3.3</v>
      </c>
      <c r="J78" s="134">
        <v>0.18</v>
      </c>
      <c r="K78" s="134">
        <v>208.59</v>
      </c>
      <c r="L78" s="134">
        <v>30.11</v>
      </c>
      <c r="M78" s="134">
        <v>64.67</v>
      </c>
      <c r="N78" s="134">
        <v>37.6</v>
      </c>
      <c r="O78" s="134">
        <v>0</v>
      </c>
      <c r="P78" s="134">
        <v>0.4</v>
      </c>
      <c r="Q78" s="134">
        <v>4.42</v>
      </c>
    </row>
    <row r="79" spans="1:17" customFormat="1">
      <c r="A79" s="112" t="s">
        <v>2900</v>
      </c>
      <c r="B79" s="134">
        <v>11.44</v>
      </c>
      <c r="C79" s="134">
        <v>14.26</v>
      </c>
      <c r="D79" s="134">
        <v>17.98</v>
      </c>
      <c r="E79" s="134">
        <v>1.65</v>
      </c>
      <c r="F79" s="134">
        <v>8.23</v>
      </c>
      <c r="G79" s="134">
        <v>101.61</v>
      </c>
      <c r="H79" s="134">
        <v>22.59</v>
      </c>
      <c r="I79" s="134">
        <v>3.24</v>
      </c>
      <c r="J79" s="134">
        <v>0.09</v>
      </c>
      <c r="K79" s="134">
        <v>170.83</v>
      </c>
      <c r="L79" s="134">
        <v>29.91</v>
      </c>
      <c r="M79" s="134">
        <v>66.55</v>
      </c>
      <c r="N79" s="134">
        <v>20.8</v>
      </c>
      <c r="O79" s="134">
        <v>0</v>
      </c>
      <c r="P79" s="134">
        <v>0.39</v>
      </c>
      <c r="Q79" s="134">
        <v>4.3899999999999997</v>
      </c>
    </row>
    <row r="80" spans="1:17" customFormat="1">
      <c r="A80" s="112" t="s">
        <v>2901</v>
      </c>
      <c r="B80" s="134">
        <v>11.18</v>
      </c>
      <c r="C80" s="134">
        <v>13.56</v>
      </c>
      <c r="D80" s="134">
        <v>17.399999999999999</v>
      </c>
      <c r="E80" s="134">
        <v>1.52</v>
      </c>
      <c r="F80" s="134">
        <v>9.4</v>
      </c>
      <c r="G80" s="134">
        <v>101.25</v>
      </c>
      <c r="H80" s="134">
        <v>22.78</v>
      </c>
      <c r="I80" s="134">
        <v>3.21</v>
      </c>
      <c r="J80" s="134">
        <v>0.27</v>
      </c>
      <c r="K80" s="134">
        <v>259.89</v>
      </c>
      <c r="L80" s="134">
        <v>29.59</v>
      </c>
      <c r="M80" s="134">
        <v>67.59</v>
      </c>
      <c r="N80" s="134">
        <v>10.9</v>
      </c>
      <c r="O80" s="134">
        <v>0</v>
      </c>
      <c r="P80" s="134">
        <v>0.39</v>
      </c>
      <c r="Q80" s="134">
        <v>4.37</v>
      </c>
    </row>
    <row r="81" spans="1:17" customFormat="1">
      <c r="A81" s="112" t="s">
        <v>2902</v>
      </c>
      <c r="B81" s="134">
        <v>10.99</v>
      </c>
      <c r="C81" s="134">
        <v>13.21</v>
      </c>
      <c r="D81" s="134">
        <v>17.059999999999999</v>
      </c>
      <c r="E81" s="134">
        <v>2.2000000000000002</v>
      </c>
      <c r="F81" s="134">
        <v>9.64</v>
      </c>
      <c r="G81" s="134">
        <v>98.33</v>
      </c>
      <c r="H81" s="134">
        <v>23.95</v>
      </c>
      <c r="I81" s="134">
        <v>3.12</v>
      </c>
      <c r="J81" s="134">
        <v>0.18</v>
      </c>
      <c r="K81" s="134">
        <v>231.64</v>
      </c>
      <c r="L81" s="134">
        <v>29.32</v>
      </c>
      <c r="M81" s="134">
        <v>67.34</v>
      </c>
      <c r="N81" s="134">
        <v>0.1</v>
      </c>
      <c r="O81" s="134">
        <v>0</v>
      </c>
      <c r="P81" s="134">
        <v>0.37</v>
      </c>
      <c r="Q81" s="134">
        <v>4.4000000000000004</v>
      </c>
    </row>
    <row r="82" spans="1:17" customFormat="1">
      <c r="A82" s="112" t="s">
        <v>2903</v>
      </c>
      <c r="B82" s="134">
        <v>10.8</v>
      </c>
      <c r="C82" s="134">
        <v>12.8</v>
      </c>
      <c r="D82" s="134">
        <v>16.7</v>
      </c>
      <c r="E82" s="134">
        <v>3.01</v>
      </c>
      <c r="F82" s="134">
        <v>10.43</v>
      </c>
      <c r="G82" s="134">
        <v>98.33</v>
      </c>
      <c r="H82" s="134">
        <v>23.95</v>
      </c>
      <c r="I82" s="134">
        <v>3.06</v>
      </c>
      <c r="J82" s="134">
        <v>0.14000000000000001</v>
      </c>
      <c r="K82" s="134">
        <v>213.89</v>
      </c>
      <c r="L82" s="134">
        <v>28.89</v>
      </c>
      <c r="M82" s="134">
        <v>69.52</v>
      </c>
      <c r="N82" s="134">
        <v>0</v>
      </c>
      <c r="O82" s="134">
        <v>0</v>
      </c>
      <c r="P82" s="134">
        <v>0.36</v>
      </c>
      <c r="Q82" s="134">
        <v>4.38</v>
      </c>
    </row>
    <row r="83" spans="1:17" customFormat="1">
      <c r="A83" s="112" t="s">
        <v>2904</v>
      </c>
      <c r="B83" s="134">
        <v>10.69</v>
      </c>
      <c r="C83" s="134">
        <v>12.92</v>
      </c>
      <c r="D83" s="134">
        <v>16.670000000000002</v>
      </c>
      <c r="E83" s="134">
        <v>3.38</v>
      </c>
      <c r="F83" s="134">
        <v>10.17</v>
      </c>
      <c r="G83" s="134">
        <v>98.33</v>
      </c>
      <c r="H83" s="134">
        <v>23.95</v>
      </c>
      <c r="I83" s="134">
        <v>2.98</v>
      </c>
      <c r="J83" s="134">
        <v>0.13</v>
      </c>
      <c r="K83" s="134">
        <v>160.25</v>
      </c>
      <c r="L83" s="134">
        <v>28.6</v>
      </c>
      <c r="M83" s="134">
        <v>70.95</v>
      </c>
      <c r="N83" s="134">
        <v>0</v>
      </c>
      <c r="O83" s="134">
        <v>0</v>
      </c>
      <c r="P83" s="134">
        <v>0.38</v>
      </c>
      <c r="Q83" s="134">
        <v>4.3499999999999996</v>
      </c>
    </row>
    <row r="84" spans="1:17" customFormat="1">
      <c r="A84" s="112" t="s">
        <v>2905</v>
      </c>
      <c r="B84" s="134">
        <v>10.58</v>
      </c>
      <c r="C84" s="134">
        <v>12.64</v>
      </c>
      <c r="D84" s="134">
        <v>16.440000000000001</v>
      </c>
      <c r="E84" s="134">
        <v>3.23</v>
      </c>
      <c r="F84" s="134">
        <v>12.11</v>
      </c>
      <c r="G84" s="134">
        <v>97.68</v>
      </c>
      <c r="H84" s="134">
        <v>23.51</v>
      </c>
      <c r="I84" s="134">
        <v>2.93</v>
      </c>
      <c r="J84" s="134">
        <v>0.11</v>
      </c>
      <c r="K84" s="134">
        <v>194.59</v>
      </c>
      <c r="L84" s="134">
        <v>28.49</v>
      </c>
      <c r="M84" s="134">
        <v>71.3</v>
      </c>
      <c r="N84" s="134">
        <v>0</v>
      </c>
      <c r="O84" s="134">
        <v>0</v>
      </c>
      <c r="P84" s="134">
        <v>0.37</v>
      </c>
      <c r="Q84" s="134">
        <v>4.33</v>
      </c>
    </row>
    <row r="85" spans="1:17" customFormat="1">
      <c r="A85" s="112" t="s">
        <v>2906</v>
      </c>
      <c r="B85" s="134">
        <v>10.25</v>
      </c>
      <c r="C85" s="134">
        <v>11.85</v>
      </c>
      <c r="D85" s="134">
        <v>15.76</v>
      </c>
      <c r="E85" s="134">
        <v>2.94</v>
      </c>
      <c r="F85" s="134">
        <v>12.62</v>
      </c>
      <c r="G85" s="134">
        <v>92.45</v>
      </c>
      <c r="H85" s="134">
        <v>21.01</v>
      </c>
      <c r="I85" s="134">
        <v>3.05</v>
      </c>
      <c r="J85" s="134">
        <v>0.09</v>
      </c>
      <c r="K85" s="134">
        <v>208.58</v>
      </c>
      <c r="L85" s="134">
        <v>28.22</v>
      </c>
      <c r="M85" s="134">
        <v>73.62</v>
      </c>
      <c r="N85" s="134">
        <v>0</v>
      </c>
      <c r="O85" s="134">
        <v>0</v>
      </c>
      <c r="P85" s="134">
        <v>0.36</v>
      </c>
      <c r="Q85" s="134">
        <v>4.3499999999999996</v>
      </c>
    </row>
    <row r="86" spans="1:17" customFormat="1">
      <c r="A86" s="112" t="s">
        <v>2907</v>
      </c>
      <c r="B86" s="134">
        <v>10.38</v>
      </c>
      <c r="C86" s="134">
        <v>12.51</v>
      </c>
      <c r="D86" s="134">
        <v>16.21</v>
      </c>
      <c r="E86" s="134">
        <v>3</v>
      </c>
      <c r="F86" s="134">
        <v>8.76</v>
      </c>
      <c r="G86" s="134">
        <v>92.45</v>
      </c>
      <c r="H86" s="134">
        <v>21.01</v>
      </c>
      <c r="I86" s="134">
        <v>3</v>
      </c>
      <c r="J86" s="134">
        <v>0.1</v>
      </c>
      <c r="K86" s="134">
        <v>236.52</v>
      </c>
      <c r="L86" s="134">
        <v>28.06</v>
      </c>
      <c r="M86" s="134">
        <v>75.099999999999994</v>
      </c>
      <c r="N86" s="134">
        <v>0</v>
      </c>
      <c r="O86" s="134">
        <v>0</v>
      </c>
      <c r="P86" s="134">
        <v>0.36</v>
      </c>
      <c r="Q86" s="134">
        <v>4.32</v>
      </c>
    </row>
    <row r="87" spans="1:17" customFormat="1">
      <c r="A87" s="112" t="s">
        <v>2908</v>
      </c>
      <c r="B87" s="134">
        <v>11.12</v>
      </c>
      <c r="C87" s="134">
        <v>14.91</v>
      </c>
      <c r="D87" s="134">
        <v>18.059999999999999</v>
      </c>
      <c r="E87" s="134">
        <v>3.28</v>
      </c>
      <c r="F87" s="134">
        <v>4.6100000000000003</v>
      </c>
      <c r="G87" s="134">
        <v>92.45</v>
      </c>
      <c r="H87" s="134">
        <v>21.01</v>
      </c>
      <c r="I87" s="134">
        <v>2.96</v>
      </c>
      <c r="J87" s="134">
        <v>0.13</v>
      </c>
      <c r="K87" s="134">
        <v>219.46</v>
      </c>
      <c r="L87" s="134">
        <v>27.93</v>
      </c>
      <c r="M87" s="134">
        <v>76.36</v>
      </c>
      <c r="N87" s="134">
        <v>0</v>
      </c>
      <c r="O87" s="134">
        <v>0</v>
      </c>
      <c r="P87" s="134">
        <v>0.41</v>
      </c>
      <c r="Q87" s="134">
        <v>4.3600000000000003</v>
      </c>
    </row>
    <row r="88" spans="1:17" customFormat="1">
      <c r="A88" s="112" t="s">
        <v>2909</v>
      </c>
      <c r="B88" s="134">
        <v>11.05</v>
      </c>
      <c r="C88" s="134">
        <v>13.97</v>
      </c>
      <c r="D88" s="134">
        <v>17.510000000000002</v>
      </c>
      <c r="E88" s="134">
        <v>3.77</v>
      </c>
      <c r="F88" s="134">
        <v>8.02</v>
      </c>
      <c r="G88" s="134">
        <v>92.18</v>
      </c>
      <c r="H88" s="134">
        <v>21.19</v>
      </c>
      <c r="I88" s="134">
        <v>3.2</v>
      </c>
      <c r="J88" s="134">
        <v>0.14000000000000001</v>
      </c>
      <c r="K88" s="134">
        <v>212.91</v>
      </c>
      <c r="L88" s="134">
        <v>27.87</v>
      </c>
      <c r="M88" s="134">
        <v>76.78</v>
      </c>
      <c r="N88" s="134">
        <v>0</v>
      </c>
      <c r="O88" s="134">
        <v>0</v>
      </c>
      <c r="P88" s="134">
        <v>0.4</v>
      </c>
      <c r="Q88" s="134">
        <v>4.38</v>
      </c>
    </row>
    <row r="89" spans="1:17" customFormat="1">
      <c r="A89" s="112" t="s">
        <v>2910</v>
      </c>
      <c r="B89" s="134">
        <v>10.83</v>
      </c>
      <c r="C89" s="134">
        <v>12.75</v>
      </c>
      <c r="D89" s="134">
        <v>16.7</v>
      </c>
      <c r="E89" s="134">
        <v>3.85</v>
      </c>
      <c r="F89" s="134">
        <v>10.27</v>
      </c>
      <c r="G89" s="134">
        <v>90</v>
      </c>
      <c r="H89" s="134">
        <v>22.42</v>
      </c>
      <c r="I89" s="134">
        <v>3.36</v>
      </c>
      <c r="J89" s="134">
        <v>0.09</v>
      </c>
      <c r="K89" s="134">
        <v>208.2</v>
      </c>
      <c r="L89" s="134">
        <v>27.76</v>
      </c>
      <c r="M89" s="134">
        <v>77.680000000000007</v>
      </c>
      <c r="N89" s="134">
        <v>0</v>
      </c>
      <c r="O89" s="134">
        <v>0</v>
      </c>
      <c r="P89" s="134">
        <v>0.39</v>
      </c>
      <c r="Q89" s="134">
        <v>4.3499999999999996</v>
      </c>
    </row>
    <row r="90" spans="1:17" customFormat="1">
      <c r="A90" s="112" t="s">
        <v>2911</v>
      </c>
      <c r="B90" s="134">
        <v>11.11</v>
      </c>
      <c r="C90" s="134">
        <v>12.78</v>
      </c>
      <c r="D90" s="134">
        <v>16.93</v>
      </c>
      <c r="E90" s="134">
        <v>3.56</v>
      </c>
      <c r="F90" s="134">
        <v>7.28</v>
      </c>
      <c r="G90" s="134">
        <v>90</v>
      </c>
      <c r="H90" s="134">
        <v>22.42</v>
      </c>
      <c r="I90" s="134">
        <v>3.22</v>
      </c>
      <c r="J90" s="134">
        <v>0.1</v>
      </c>
      <c r="K90" s="134">
        <v>182.58</v>
      </c>
      <c r="L90" s="134">
        <v>27.68</v>
      </c>
      <c r="M90" s="134">
        <v>78.02</v>
      </c>
      <c r="N90" s="134">
        <v>0</v>
      </c>
      <c r="O90" s="134">
        <v>0</v>
      </c>
      <c r="P90" s="134">
        <v>0.38</v>
      </c>
      <c r="Q90" s="134">
        <v>4.33</v>
      </c>
    </row>
    <row r="91" spans="1:17" customFormat="1">
      <c r="A91" s="112" t="s">
        <v>2912</v>
      </c>
      <c r="B91" s="134">
        <v>11.18</v>
      </c>
      <c r="C91" s="134">
        <v>14.4</v>
      </c>
      <c r="D91" s="134">
        <v>17.84</v>
      </c>
      <c r="E91" s="134">
        <v>3.61</v>
      </c>
      <c r="F91" s="134">
        <v>6.98</v>
      </c>
      <c r="G91" s="134">
        <v>90</v>
      </c>
      <c r="H91" s="134">
        <v>22.42</v>
      </c>
      <c r="I91" s="134">
        <v>3.18</v>
      </c>
      <c r="J91" s="134">
        <v>0.12</v>
      </c>
      <c r="K91" s="134">
        <v>179.92</v>
      </c>
      <c r="L91" s="134">
        <v>27.5</v>
      </c>
      <c r="M91" s="134">
        <v>78.75</v>
      </c>
      <c r="N91" s="134">
        <v>0</v>
      </c>
      <c r="O91" s="134">
        <v>0</v>
      </c>
      <c r="P91" s="134">
        <v>0.41</v>
      </c>
      <c r="Q91" s="134">
        <v>4.3499999999999996</v>
      </c>
    </row>
    <row r="92" spans="1:17" customFormat="1">
      <c r="A92" s="112" t="s">
        <v>2913</v>
      </c>
      <c r="B92" s="134">
        <v>11.13</v>
      </c>
      <c r="C92" s="134">
        <v>13.73</v>
      </c>
      <c r="D92" s="134">
        <v>17.45</v>
      </c>
      <c r="E92" s="134">
        <v>3.57</v>
      </c>
      <c r="F92" s="134">
        <v>8.58</v>
      </c>
      <c r="G92" s="134">
        <v>89.75</v>
      </c>
      <c r="H92" s="134">
        <v>22.29</v>
      </c>
      <c r="I92" s="134">
        <v>3.23</v>
      </c>
      <c r="J92" s="134">
        <v>0.11</v>
      </c>
      <c r="K92" s="134">
        <v>240.72</v>
      </c>
      <c r="L92" s="134">
        <v>27.44</v>
      </c>
      <c r="M92" s="134">
        <v>79.61</v>
      </c>
      <c r="N92" s="134">
        <v>0</v>
      </c>
      <c r="O92" s="134">
        <v>0</v>
      </c>
      <c r="P92" s="134">
        <v>0.41</v>
      </c>
      <c r="Q92" s="134">
        <v>4.3499999999999996</v>
      </c>
    </row>
    <row r="93" spans="1:17" customFormat="1">
      <c r="A93" s="112" t="s">
        <v>2914</v>
      </c>
      <c r="B93" s="134">
        <v>10.92</v>
      </c>
      <c r="C93" s="134">
        <v>12.83</v>
      </c>
      <c r="D93" s="134">
        <v>16.82</v>
      </c>
      <c r="E93" s="134">
        <v>3.91</v>
      </c>
      <c r="F93" s="134">
        <v>9.2100000000000009</v>
      </c>
      <c r="G93" s="134">
        <v>87.72</v>
      </c>
      <c r="H93" s="134">
        <v>21.37</v>
      </c>
      <c r="I93" s="134">
        <v>3.29</v>
      </c>
      <c r="J93" s="134">
        <v>0.31</v>
      </c>
      <c r="K93" s="134">
        <v>255.14</v>
      </c>
      <c r="L93" s="134">
        <v>27.54</v>
      </c>
      <c r="M93" s="134">
        <v>78.58</v>
      </c>
      <c r="N93" s="134">
        <v>0</v>
      </c>
      <c r="O93" s="134">
        <v>0</v>
      </c>
      <c r="P93" s="134">
        <v>0.39</v>
      </c>
      <c r="Q93" s="134">
        <v>4.37</v>
      </c>
    </row>
    <row r="94" spans="1:17" customFormat="1">
      <c r="A94" s="112" t="s">
        <v>2915</v>
      </c>
      <c r="B94" s="134">
        <v>10.8</v>
      </c>
      <c r="C94" s="134">
        <v>12.58</v>
      </c>
      <c r="D94" s="134">
        <v>16.59</v>
      </c>
      <c r="E94" s="134">
        <v>3.94</v>
      </c>
      <c r="F94" s="134">
        <v>9.39</v>
      </c>
      <c r="G94" s="134">
        <v>87.72</v>
      </c>
      <c r="H94" s="134">
        <v>21.37</v>
      </c>
      <c r="I94" s="134">
        <v>3.23</v>
      </c>
      <c r="J94" s="134">
        <v>0.28000000000000003</v>
      </c>
      <c r="K94" s="134">
        <v>267.81</v>
      </c>
      <c r="L94" s="134">
        <v>27.47</v>
      </c>
      <c r="M94" s="134">
        <v>79.239999999999995</v>
      </c>
      <c r="N94" s="134">
        <v>0</v>
      </c>
      <c r="O94" s="134">
        <v>0</v>
      </c>
      <c r="P94" s="134">
        <v>0.38</v>
      </c>
      <c r="Q94" s="134">
        <v>4.3499999999999996</v>
      </c>
    </row>
    <row r="95" spans="1:17" customFormat="1">
      <c r="A95" s="112" t="s">
        <v>2916</v>
      </c>
      <c r="B95" s="134">
        <v>10.63</v>
      </c>
      <c r="C95" s="134">
        <v>12.37</v>
      </c>
      <c r="D95" s="134">
        <v>16.34</v>
      </c>
      <c r="E95" s="134">
        <v>3.92</v>
      </c>
      <c r="F95" s="134">
        <v>9.65</v>
      </c>
      <c r="G95" s="134">
        <v>87.72</v>
      </c>
      <c r="H95" s="134">
        <v>21.37</v>
      </c>
      <c r="I95" s="134">
        <v>3.14</v>
      </c>
      <c r="J95" s="134">
        <v>0.3</v>
      </c>
      <c r="K95" s="134">
        <v>261.2</v>
      </c>
      <c r="L95" s="134">
        <v>27.43</v>
      </c>
      <c r="M95" s="134">
        <v>79.92</v>
      </c>
      <c r="N95" s="134">
        <v>0</v>
      </c>
      <c r="O95" s="134">
        <v>0</v>
      </c>
      <c r="P95" s="134">
        <v>0.37</v>
      </c>
      <c r="Q95" s="134">
        <v>4.33</v>
      </c>
    </row>
    <row r="96" spans="1:17" customFormat="1">
      <c r="A96" s="112" t="s">
        <v>2917</v>
      </c>
      <c r="B96" s="134">
        <v>10.46</v>
      </c>
      <c r="C96" s="134">
        <v>12.07</v>
      </c>
      <c r="D96" s="134">
        <v>16.05</v>
      </c>
      <c r="E96" s="134">
        <v>3.92</v>
      </c>
      <c r="F96" s="134">
        <v>10.02</v>
      </c>
      <c r="G96" s="134">
        <v>87.4</v>
      </c>
      <c r="H96" s="134">
        <v>21.32</v>
      </c>
      <c r="I96" s="134">
        <v>3.07</v>
      </c>
      <c r="J96" s="134">
        <v>0.32</v>
      </c>
      <c r="K96" s="134">
        <v>258.60000000000002</v>
      </c>
      <c r="L96" s="134">
        <v>27.4</v>
      </c>
      <c r="M96" s="134">
        <v>79.72</v>
      </c>
      <c r="N96" s="134">
        <v>0</v>
      </c>
      <c r="O96" s="134">
        <v>0</v>
      </c>
      <c r="P96" s="134">
        <v>0.36</v>
      </c>
      <c r="Q96" s="134">
        <v>4.29</v>
      </c>
    </row>
    <row r="97" spans="1:22" customFormat="1">
      <c r="A97" s="112" t="s">
        <v>2918</v>
      </c>
      <c r="B97" s="134">
        <v>11.02</v>
      </c>
      <c r="C97" s="134">
        <v>14.46</v>
      </c>
      <c r="D97" s="134">
        <v>17.739999999999998</v>
      </c>
      <c r="E97" s="134">
        <v>4.2</v>
      </c>
      <c r="F97" s="134">
        <v>4.55</v>
      </c>
      <c r="G97" s="134">
        <v>84.78</v>
      </c>
      <c r="H97" s="134">
        <v>20.99</v>
      </c>
      <c r="I97" s="134">
        <v>3.05</v>
      </c>
      <c r="J97" s="134">
        <v>0.61</v>
      </c>
      <c r="K97" s="134">
        <v>259.45999999999998</v>
      </c>
      <c r="L97" s="134">
        <v>27.51</v>
      </c>
      <c r="M97" s="134">
        <v>77.91</v>
      </c>
      <c r="N97" s="134">
        <v>0</v>
      </c>
      <c r="O97" s="134">
        <v>0</v>
      </c>
      <c r="P97" s="134">
        <v>0.39</v>
      </c>
      <c r="Q97" s="134">
        <v>4.3600000000000003</v>
      </c>
    </row>
    <row r="98" spans="1:22" customFormat="1">
      <c r="A98" s="112" t="s">
        <v>2919</v>
      </c>
      <c r="B98" s="134">
        <v>11.42</v>
      </c>
      <c r="C98" s="134">
        <v>15.48</v>
      </c>
      <c r="D98" s="134">
        <v>18.59</v>
      </c>
      <c r="E98" s="134">
        <v>4.18</v>
      </c>
      <c r="F98" s="134">
        <v>4.2</v>
      </c>
      <c r="G98" s="134">
        <v>84.78</v>
      </c>
      <c r="H98" s="134">
        <v>20.99</v>
      </c>
      <c r="I98" s="134">
        <v>3.12</v>
      </c>
      <c r="J98" s="134">
        <v>0.63</v>
      </c>
      <c r="K98" s="134">
        <v>262.14999999999998</v>
      </c>
      <c r="L98" s="134">
        <v>27.46</v>
      </c>
      <c r="M98" s="134">
        <v>78.3</v>
      </c>
      <c r="N98" s="134">
        <v>0</v>
      </c>
      <c r="O98" s="134">
        <v>0</v>
      </c>
      <c r="P98" s="134">
        <v>0.4</v>
      </c>
      <c r="Q98" s="134">
        <v>4.4000000000000004</v>
      </c>
    </row>
    <row r="99" spans="1:22" customFormat="1">
      <c r="A99" s="112" t="s">
        <v>2920</v>
      </c>
      <c r="B99" s="134">
        <v>11.21</v>
      </c>
      <c r="C99" s="134">
        <v>14.28</v>
      </c>
      <c r="D99" s="134">
        <v>17.8</v>
      </c>
      <c r="E99" s="134">
        <v>4.7300000000000004</v>
      </c>
      <c r="F99" s="134">
        <v>6.9</v>
      </c>
      <c r="G99" s="134">
        <v>84.78</v>
      </c>
      <c r="H99" s="134">
        <v>20.99</v>
      </c>
      <c r="I99" s="134">
        <v>3.36</v>
      </c>
      <c r="J99" s="134">
        <v>0.55000000000000004</v>
      </c>
      <c r="K99" s="134">
        <v>259.47000000000003</v>
      </c>
      <c r="L99" s="134">
        <v>27.4</v>
      </c>
      <c r="M99" s="134">
        <v>78.12</v>
      </c>
      <c r="N99" s="134">
        <v>0</v>
      </c>
      <c r="O99" s="134">
        <v>0</v>
      </c>
      <c r="P99" s="134">
        <v>0.39</v>
      </c>
      <c r="Q99" s="134">
        <v>4.3499999999999996</v>
      </c>
    </row>
    <row r="100" spans="1:22" customFormat="1">
      <c r="A100" s="112" t="s">
        <v>2921</v>
      </c>
      <c r="B100" s="134">
        <v>11</v>
      </c>
      <c r="C100" s="134">
        <v>13.25</v>
      </c>
      <c r="D100" s="134">
        <v>17.09</v>
      </c>
      <c r="E100" s="134">
        <v>4.79</v>
      </c>
      <c r="F100" s="134">
        <v>8.2100000000000009</v>
      </c>
      <c r="G100" s="134">
        <v>84.58</v>
      </c>
      <c r="H100" s="134">
        <v>20.99</v>
      </c>
      <c r="I100" s="134">
        <v>3.35</v>
      </c>
      <c r="J100" s="134">
        <v>0.52</v>
      </c>
      <c r="K100" s="134">
        <v>256.12</v>
      </c>
      <c r="L100" s="134">
        <v>27.25</v>
      </c>
      <c r="M100" s="134">
        <v>78.459999999999994</v>
      </c>
      <c r="N100" s="134">
        <v>0</v>
      </c>
      <c r="O100" s="134">
        <v>0</v>
      </c>
      <c r="P100" s="134">
        <v>0.38</v>
      </c>
      <c r="Q100" s="134">
        <v>4.33</v>
      </c>
    </row>
    <row r="101" spans="1:22" customFormat="1">
      <c r="A101" s="112" t="s">
        <v>2922</v>
      </c>
      <c r="B101" s="134">
        <v>10.79</v>
      </c>
      <c r="C101" s="134">
        <v>12.96</v>
      </c>
      <c r="D101" s="134">
        <v>16.78</v>
      </c>
      <c r="E101" s="134">
        <v>4.76</v>
      </c>
      <c r="F101" s="134">
        <v>8.25</v>
      </c>
      <c r="G101" s="134">
        <v>82.96</v>
      </c>
      <c r="H101" s="134">
        <v>21</v>
      </c>
      <c r="I101" s="134">
        <v>3.26</v>
      </c>
      <c r="J101" s="134">
        <v>0.64</v>
      </c>
      <c r="K101" s="134">
        <v>261.8</v>
      </c>
      <c r="L101" s="134">
        <v>27.3</v>
      </c>
      <c r="M101" s="134">
        <v>77.28</v>
      </c>
      <c r="N101" s="134">
        <v>0</v>
      </c>
      <c r="O101" s="134">
        <v>0</v>
      </c>
      <c r="P101" s="134">
        <v>0.36</v>
      </c>
      <c r="Q101" s="134">
        <v>4.3</v>
      </c>
    </row>
    <row r="102" spans="1:22" customFormat="1">
      <c r="A102" s="112" t="s">
        <v>2923</v>
      </c>
      <c r="B102" s="134">
        <v>10.94</v>
      </c>
      <c r="C102" s="134">
        <v>14.78</v>
      </c>
      <c r="D102" s="134">
        <v>17.850000000000001</v>
      </c>
      <c r="E102" s="134">
        <v>4.68</v>
      </c>
      <c r="F102" s="134">
        <v>4.58</v>
      </c>
      <c r="G102" s="134">
        <v>82.96</v>
      </c>
      <c r="H102" s="134">
        <v>21</v>
      </c>
      <c r="I102" s="134">
        <v>3.16</v>
      </c>
      <c r="J102" s="134">
        <v>0.7</v>
      </c>
      <c r="K102" s="134">
        <v>269.45999999999998</v>
      </c>
      <c r="L102" s="134">
        <v>27.25</v>
      </c>
      <c r="M102" s="134">
        <v>76.42</v>
      </c>
      <c r="N102" s="134">
        <v>0</v>
      </c>
      <c r="O102" s="134">
        <v>0</v>
      </c>
      <c r="P102" s="134">
        <v>0.39</v>
      </c>
      <c r="Q102" s="134">
        <v>4.3</v>
      </c>
    </row>
    <row r="103" spans="1:22" customFormat="1">
      <c r="A103" s="112" t="s">
        <v>2924</v>
      </c>
      <c r="B103" s="134">
        <v>10.95</v>
      </c>
      <c r="C103" s="134">
        <v>15.89</v>
      </c>
      <c r="D103" s="134">
        <v>18.440000000000001</v>
      </c>
      <c r="E103" s="134">
        <v>4.6500000000000004</v>
      </c>
      <c r="F103" s="134">
        <v>4.07</v>
      </c>
      <c r="G103" s="134">
        <v>82.96</v>
      </c>
      <c r="H103" s="134">
        <v>21</v>
      </c>
      <c r="I103" s="134">
        <v>3.14</v>
      </c>
      <c r="J103" s="134">
        <v>0.83</v>
      </c>
      <c r="K103" s="134">
        <v>265.55</v>
      </c>
      <c r="L103" s="134">
        <v>27.27</v>
      </c>
      <c r="M103" s="134">
        <v>75.5</v>
      </c>
      <c r="N103" s="134">
        <v>0</v>
      </c>
      <c r="O103" s="134">
        <v>0</v>
      </c>
      <c r="P103" s="134">
        <v>0.41</v>
      </c>
      <c r="Q103" s="134">
        <v>4.3499999999999996</v>
      </c>
    </row>
    <row r="104" spans="1:22" customFormat="1">
      <c r="A104" s="112" t="s">
        <v>2925</v>
      </c>
      <c r="B104" s="134">
        <v>10.95</v>
      </c>
      <c r="C104" s="134">
        <v>14.47</v>
      </c>
      <c r="D104" s="134">
        <v>17.7</v>
      </c>
      <c r="E104" s="134">
        <v>4.49</v>
      </c>
      <c r="F104" s="134">
        <v>5.92</v>
      </c>
      <c r="G104" s="134">
        <v>82.86</v>
      </c>
      <c r="H104" s="134">
        <v>21.13</v>
      </c>
      <c r="I104" s="134">
        <v>3.33</v>
      </c>
      <c r="J104" s="134">
        <v>0.73</v>
      </c>
      <c r="K104" s="134">
        <v>268.14</v>
      </c>
      <c r="L104" s="134">
        <v>27.19</v>
      </c>
      <c r="M104" s="134">
        <v>75.88</v>
      </c>
      <c r="N104" s="134">
        <v>0</v>
      </c>
      <c r="O104" s="134">
        <v>0</v>
      </c>
      <c r="P104" s="134">
        <v>0.39</v>
      </c>
      <c r="Q104" s="134">
        <v>4.29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2</v>
      </c>
      <c r="D106" s="183">
        <f t="shared" ref="D106:Q106" si="0">MIN(D9:D104)</f>
        <v>4</v>
      </c>
      <c r="E106" s="183">
        <f t="shared" si="0"/>
        <v>0.84</v>
      </c>
      <c r="F106" s="183">
        <f t="shared" si="0"/>
        <v>1.66</v>
      </c>
      <c r="G106" s="183">
        <f t="shared" si="0"/>
        <v>25.39</v>
      </c>
      <c r="H106" s="183">
        <f t="shared" si="0"/>
        <v>5.74</v>
      </c>
      <c r="I106" s="183">
        <f t="shared" si="0"/>
        <v>2.93</v>
      </c>
      <c r="J106" s="183">
        <f t="shared" si="0"/>
        <v>7.0000000000000007E-2</v>
      </c>
      <c r="K106" s="183">
        <f t="shared" si="0"/>
        <v>9.98</v>
      </c>
      <c r="L106" s="183">
        <f t="shared" si="0"/>
        <v>24.76</v>
      </c>
      <c r="M106" s="183">
        <f t="shared" si="0"/>
        <v>53.68</v>
      </c>
      <c r="N106" s="183">
        <f t="shared" si="0"/>
        <v>0</v>
      </c>
      <c r="O106" s="183">
        <f t="shared" si="0"/>
        <v>0</v>
      </c>
      <c r="P106" s="183">
        <f t="shared" si="0"/>
        <v>0.32</v>
      </c>
      <c r="Q106" s="183">
        <f t="shared" si="0"/>
        <v>4.2300000000000004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13.45</v>
      </c>
      <c r="C107" s="184">
        <f t="shared" ref="C107:Q107" si="1">MAX(C9:C104)</f>
        <v>17.2</v>
      </c>
      <c r="D107" s="184">
        <f t="shared" si="1"/>
        <v>20.64</v>
      </c>
      <c r="E107" s="184">
        <f t="shared" si="1"/>
        <v>6.08</v>
      </c>
      <c r="F107" s="184">
        <f t="shared" si="1"/>
        <v>12.62</v>
      </c>
      <c r="G107" s="184">
        <f t="shared" si="1"/>
        <v>105.26</v>
      </c>
      <c r="H107" s="184">
        <f t="shared" si="1"/>
        <v>23.95</v>
      </c>
      <c r="I107" s="184">
        <f t="shared" si="1"/>
        <v>3.98</v>
      </c>
      <c r="J107" s="184">
        <f t="shared" si="1"/>
        <v>0.96</v>
      </c>
      <c r="K107" s="184">
        <f t="shared" si="1"/>
        <v>338.73</v>
      </c>
      <c r="L107" s="184">
        <f t="shared" si="1"/>
        <v>32.04</v>
      </c>
      <c r="M107" s="184">
        <f t="shared" si="1"/>
        <v>94.26</v>
      </c>
      <c r="N107" s="184">
        <f t="shared" si="1"/>
        <v>786.8</v>
      </c>
      <c r="O107" s="184">
        <f t="shared" si="1"/>
        <v>0</v>
      </c>
      <c r="P107" s="184">
        <f t="shared" si="1"/>
        <v>0.43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9.2718749999999996</v>
      </c>
      <c r="C108" s="183">
        <f t="shared" ref="C108:Q108" si="2">AVERAGE(C9:C104)</f>
        <v>11.86104166666667</v>
      </c>
      <c r="D108" s="183">
        <f t="shared" si="2"/>
        <v>14.983437499999999</v>
      </c>
      <c r="E108" s="183">
        <f t="shared" si="2"/>
        <v>3.6204166666666673</v>
      </c>
      <c r="F108" s="183">
        <f t="shared" si="2"/>
        <v>5.1649999999999983</v>
      </c>
      <c r="G108" s="183">
        <f t="shared" si="2"/>
        <v>69.520833333333329</v>
      </c>
      <c r="H108" s="183">
        <f t="shared" si="2"/>
        <v>15.571458333333334</v>
      </c>
      <c r="I108" s="183">
        <f t="shared" si="2"/>
        <v>3.4165625000000008</v>
      </c>
      <c r="J108" s="183">
        <f t="shared" si="2"/>
        <v>0.44916666666666677</v>
      </c>
      <c r="K108" s="183">
        <f t="shared" si="2"/>
        <v>260.87260416666669</v>
      </c>
      <c r="L108" s="183">
        <f t="shared" si="2"/>
        <v>28.433749999999993</v>
      </c>
      <c r="M108" s="183">
        <f t="shared" si="2"/>
        <v>72.551562500000017</v>
      </c>
      <c r="N108" s="183">
        <f t="shared" si="2"/>
        <v>152.78020833333335</v>
      </c>
      <c r="O108" s="183">
        <f t="shared" si="2"/>
        <v>0</v>
      </c>
      <c r="P108" s="183">
        <f t="shared" si="2"/>
        <v>0.38760416666666658</v>
      </c>
      <c r="Q108" s="183">
        <f t="shared" si="2"/>
        <v>4.4037500000000014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3.9743594816616272</v>
      </c>
      <c r="C109" s="183">
        <f t="shared" ref="C109:Q109" si="3">STDEV(C9:C104)</f>
        <v>5.3743448029879364</v>
      </c>
      <c r="D109" s="183">
        <f t="shared" si="3"/>
        <v>5.9606163277448942</v>
      </c>
      <c r="E109" s="183">
        <f t="shared" si="3"/>
        <v>1.5185525772341737</v>
      </c>
      <c r="F109" s="183">
        <f t="shared" si="3"/>
        <v>2.5455509175194706</v>
      </c>
      <c r="G109" s="183">
        <f t="shared" si="3"/>
        <v>30.63960157315044</v>
      </c>
      <c r="H109" s="183">
        <f t="shared" si="3"/>
        <v>6.3371344975746506</v>
      </c>
      <c r="I109" s="183">
        <f t="shared" si="3"/>
        <v>0.27514906247149762</v>
      </c>
      <c r="J109" s="183">
        <f t="shared" si="3"/>
        <v>0.21841855843006192</v>
      </c>
      <c r="K109" s="183">
        <f t="shared" si="3"/>
        <v>54.106287177131563</v>
      </c>
      <c r="L109" s="183">
        <f t="shared" si="3"/>
        <v>2.2152225740614822</v>
      </c>
      <c r="M109" s="183">
        <f t="shared" si="3"/>
        <v>12.544275719321837</v>
      </c>
      <c r="N109" s="183">
        <f t="shared" si="3"/>
        <v>214.00225066194324</v>
      </c>
      <c r="O109" s="183">
        <f t="shared" si="3"/>
        <v>0</v>
      </c>
      <c r="P109" s="183">
        <f t="shared" si="3"/>
        <v>2.5120542722378267E-2</v>
      </c>
      <c r="Q109" s="183">
        <f t="shared" si="3"/>
        <v>8.6185235027928533E-2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topLeftCell="A94" workbookViewId="0">
      <selection activeCell="B110" sqref="B110:Q110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29/08/2023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112" t="s">
        <v>2926</v>
      </c>
      <c r="B9" s="134">
        <v>6.81</v>
      </c>
      <c r="C9" s="134">
        <v>13.56</v>
      </c>
      <c r="D9" s="134">
        <v>13.9</v>
      </c>
      <c r="E9" s="134">
        <v>4.5599999999999996</v>
      </c>
      <c r="F9" s="134">
        <v>6.56</v>
      </c>
      <c r="G9" s="134">
        <v>82.08</v>
      </c>
      <c r="H9" s="134">
        <v>21.96</v>
      </c>
      <c r="I9" s="134">
        <v>3.31</v>
      </c>
      <c r="J9" s="134">
        <v>0.66</v>
      </c>
      <c r="K9" s="134">
        <v>267.73</v>
      </c>
      <c r="L9" s="134">
        <v>27.15</v>
      </c>
      <c r="M9" s="134">
        <v>75.150000000000006</v>
      </c>
      <c r="N9" s="134">
        <v>0</v>
      </c>
      <c r="O9" s="134">
        <v>0</v>
      </c>
      <c r="P9" s="134">
        <v>0.38</v>
      </c>
      <c r="Q9" s="134">
        <v>4.3</v>
      </c>
    </row>
    <row r="10" spans="1:21">
      <c r="A10" s="112" t="s">
        <v>2927</v>
      </c>
      <c r="B10" s="134">
        <v>6.74</v>
      </c>
      <c r="C10" s="134">
        <v>15.84</v>
      </c>
      <c r="D10" s="134">
        <v>15.03</v>
      </c>
      <c r="E10" s="134">
        <v>4.3499999999999996</v>
      </c>
      <c r="F10" s="134">
        <v>3.33</v>
      </c>
      <c r="G10" s="134">
        <v>82.08</v>
      </c>
      <c r="H10" s="134">
        <v>21.96</v>
      </c>
      <c r="I10" s="134">
        <v>3.21</v>
      </c>
      <c r="J10" s="134">
        <v>0.55000000000000004</v>
      </c>
      <c r="K10" s="134">
        <v>266.14</v>
      </c>
      <c r="L10" s="134">
        <v>27.07</v>
      </c>
      <c r="M10" s="134">
        <v>75.19</v>
      </c>
      <c r="N10" s="134">
        <v>0</v>
      </c>
      <c r="O10" s="134">
        <v>0</v>
      </c>
      <c r="P10" s="134">
        <v>0.4</v>
      </c>
      <c r="Q10" s="134">
        <v>4.34</v>
      </c>
    </row>
    <row r="11" spans="1:21">
      <c r="A11" s="112" t="s">
        <v>2928</v>
      </c>
      <c r="B11" s="134">
        <v>6.81</v>
      </c>
      <c r="C11" s="134">
        <v>14.69</v>
      </c>
      <c r="D11" s="134">
        <v>14.49</v>
      </c>
      <c r="E11" s="134">
        <v>4.4400000000000004</v>
      </c>
      <c r="F11" s="134">
        <v>4.2300000000000004</v>
      </c>
      <c r="G11" s="134">
        <v>82.08</v>
      </c>
      <c r="H11" s="134">
        <v>21.96</v>
      </c>
      <c r="I11" s="134">
        <v>3.18</v>
      </c>
      <c r="J11" s="134">
        <v>0.47</v>
      </c>
      <c r="K11" s="134">
        <v>257.10000000000002</v>
      </c>
      <c r="L11" s="134">
        <v>26.84</v>
      </c>
      <c r="M11" s="134">
        <v>77.84</v>
      </c>
      <c r="N11" s="134">
        <v>0</v>
      </c>
      <c r="O11" s="134">
        <v>0</v>
      </c>
      <c r="P11" s="134">
        <v>0.39</v>
      </c>
      <c r="Q11" s="134">
        <v>4.29</v>
      </c>
    </row>
    <row r="12" spans="1:21">
      <c r="A12" s="112" t="s">
        <v>2929</v>
      </c>
      <c r="B12" s="134">
        <v>6.65</v>
      </c>
      <c r="C12" s="134">
        <v>13.77</v>
      </c>
      <c r="D12" s="134">
        <v>13.88</v>
      </c>
      <c r="E12" s="134">
        <v>4.2</v>
      </c>
      <c r="F12" s="134">
        <v>6.58</v>
      </c>
      <c r="G12" s="134">
        <v>82.02</v>
      </c>
      <c r="H12" s="134">
        <v>21.97</v>
      </c>
      <c r="I12" s="134">
        <v>3.32</v>
      </c>
      <c r="J12" s="134">
        <v>0.43</v>
      </c>
      <c r="K12" s="134">
        <v>260.64999999999998</v>
      </c>
      <c r="L12" s="134">
        <v>26.67</v>
      </c>
      <c r="M12" s="134">
        <v>78.59</v>
      </c>
      <c r="N12" s="134">
        <v>0</v>
      </c>
      <c r="O12" s="134">
        <v>0</v>
      </c>
      <c r="P12" s="134">
        <v>0.37</v>
      </c>
      <c r="Q12" s="134">
        <v>4.2699999999999996</v>
      </c>
    </row>
    <row r="13" spans="1:21">
      <c r="A13" s="112" t="s">
        <v>2930</v>
      </c>
      <c r="B13" s="134">
        <v>6.5</v>
      </c>
      <c r="C13" s="134">
        <v>13.03</v>
      </c>
      <c r="D13" s="134">
        <v>13.37</v>
      </c>
      <c r="E13" s="134">
        <v>4.28</v>
      </c>
      <c r="F13" s="134">
        <v>6.85</v>
      </c>
      <c r="G13" s="134">
        <v>81.61</v>
      </c>
      <c r="H13" s="134">
        <v>22.06</v>
      </c>
      <c r="I13" s="134">
        <v>3.2</v>
      </c>
      <c r="J13" s="134">
        <v>0.48</v>
      </c>
      <c r="K13" s="134">
        <v>259.58999999999997</v>
      </c>
      <c r="L13" s="134">
        <v>26.6</v>
      </c>
      <c r="M13" s="134">
        <v>79.13</v>
      </c>
      <c r="N13" s="134">
        <v>0</v>
      </c>
      <c r="O13" s="134">
        <v>0</v>
      </c>
      <c r="P13" s="134">
        <v>0.35</v>
      </c>
      <c r="Q13" s="134">
        <v>4.2699999999999996</v>
      </c>
    </row>
    <row r="14" spans="1:21">
      <c r="A14" s="112" t="s">
        <v>2931</v>
      </c>
      <c r="B14" s="134">
        <v>6.55</v>
      </c>
      <c r="C14" s="134">
        <v>15.06</v>
      </c>
      <c r="D14" s="134">
        <v>14.47</v>
      </c>
      <c r="E14" s="134">
        <v>4.41</v>
      </c>
      <c r="F14" s="134">
        <v>3.42</v>
      </c>
      <c r="G14" s="134">
        <v>81.61</v>
      </c>
      <c r="H14" s="134">
        <v>22.06</v>
      </c>
      <c r="I14" s="134">
        <v>3.13</v>
      </c>
      <c r="J14" s="134">
        <v>0.46</v>
      </c>
      <c r="K14" s="134">
        <v>258.38</v>
      </c>
      <c r="L14" s="134">
        <v>26.53</v>
      </c>
      <c r="M14" s="134">
        <v>79.06</v>
      </c>
      <c r="N14" s="134">
        <v>0</v>
      </c>
      <c r="O14" s="134">
        <v>0</v>
      </c>
      <c r="P14" s="134">
        <v>0.39</v>
      </c>
      <c r="Q14" s="134">
        <v>4.26</v>
      </c>
    </row>
    <row r="15" spans="1:21">
      <c r="A15" s="112" t="s">
        <v>2932</v>
      </c>
      <c r="B15" s="134">
        <v>6.65</v>
      </c>
      <c r="C15" s="134">
        <v>14.94</v>
      </c>
      <c r="D15" s="134">
        <v>14.49</v>
      </c>
      <c r="E15" s="134">
        <v>4.4000000000000004</v>
      </c>
      <c r="F15" s="134">
        <v>3.11</v>
      </c>
      <c r="G15" s="134">
        <v>81.61</v>
      </c>
      <c r="H15" s="134">
        <v>22.06</v>
      </c>
      <c r="I15" s="134">
        <v>3.08</v>
      </c>
      <c r="J15" s="134">
        <v>0.49</v>
      </c>
      <c r="K15" s="134">
        <v>260.55</v>
      </c>
      <c r="L15" s="134">
        <v>26.46</v>
      </c>
      <c r="M15" s="134">
        <v>79.930000000000007</v>
      </c>
      <c r="N15" s="134">
        <v>0</v>
      </c>
      <c r="O15" s="134">
        <v>0</v>
      </c>
      <c r="P15" s="134">
        <v>0.38</v>
      </c>
      <c r="Q15" s="134">
        <v>4.3</v>
      </c>
    </row>
    <row r="16" spans="1:21">
      <c r="A16" s="112" t="s">
        <v>2933</v>
      </c>
      <c r="B16" s="134">
        <v>6.61</v>
      </c>
      <c r="C16" s="134">
        <v>13.82</v>
      </c>
      <c r="D16" s="134">
        <v>13.87</v>
      </c>
      <c r="E16" s="134">
        <v>4.1900000000000004</v>
      </c>
      <c r="F16" s="134">
        <v>4.83</v>
      </c>
      <c r="G16" s="134">
        <v>81.099999999999994</v>
      </c>
      <c r="H16" s="134">
        <v>21.91</v>
      </c>
      <c r="I16" s="134">
        <v>3.21</v>
      </c>
      <c r="J16" s="134">
        <v>0.34</v>
      </c>
      <c r="K16" s="134">
        <v>262.97000000000003</v>
      </c>
      <c r="L16" s="134">
        <v>26.28</v>
      </c>
      <c r="M16" s="134">
        <v>81.05</v>
      </c>
      <c r="N16" s="134">
        <v>0</v>
      </c>
      <c r="O16" s="134">
        <v>0</v>
      </c>
      <c r="P16" s="134">
        <v>0.37</v>
      </c>
      <c r="Q16" s="134">
        <v>4.26</v>
      </c>
    </row>
    <row r="17" spans="1:17">
      <c r="A17" s="112" t="s">
        <v>2934</v>
      </c>
      <c r="B17" s="134">
        <v>6.5</v>
      </c>
      <c r="C17" s="134">
        <v>13.29</v>
      </c>
      <c r="D17" s="134">
        <v>13.51</v>
      </c>
      <c r="E17" s="134">
        <v>2.98</v>
      </c>
      <c r="F17" s="134">
        <v>5.36</v>
      </c>
      <c r="G17" s="134">
        <v>77.06</v>
      </c>
      <c r="H17" s="134">
        <v>21.01</v>
      </c>
      <c r="I17" s="134">
        <v>3.17</v>
      </c>
      <c r="J17" s="134">
        <v>0.5</v>
      </c>
      <c r="K17" s="134">
        <v>260.05</v>
      </c>
      <c r="L17" s="134">
        <v>26.23</v>
      </c>
      <c r="M17" s="134">
        <v>81.44</v>
      </c>
      <c r="N17" s="134">
        <v>0</v>
      </c>
      <c r="O17" s="134">
        <v>0</v>
      </c>
      <c r="P17" s="134">
        <v>0.36</v>
      </c>
      <c r="Q17" s="134">
        <v>4.25</v>
      </c>
    </row>
    <row r="18" spans="1:17">
      <c r="A18" s="112" t="s">
        <v>2935</v>
      </c>
      <c r="B18" s="134">
        <v>6.58</v>
      </c>
      <c r="C18" s="134">
        <v>14.48</v>
      </c>
      <c r="D18" s="134">
        <v>14.19</v>
      </c>
      <c r="E18" s="134">
        <v>3.7</v>
      </c>
      <c r="F18" s="134">
        <v>3.57</v>
      </c>
      <c r="G18" s="134">
        <v>77.06</v>
      </c>
      <c r="H18" s="134">
        <v>21.01</v>
      </c>
      <c r="I18" s="134">
        <v>3.1</v>
      </c>
      <c r="J18" s="134">
        <v>0.52</v>
      </c>
      <c r="K18" s="134">
        <v>269.83</v>
      </c>
      <c r="L18" s="134">
        <v>26.21</v>
      </c>
      <c r="M18" s="134">
        <v>81.540000000000006</v>
      </c>
      <c r="N18" s="134">
        <v>0</v>
      </c>
      <c r="O18" s="134">
        <v>0</v>
      </c>
      <c r="P18" s="134">
        <v>0.37</v>
      </c>
      <c r="Q18" s="134">
        <v>4.2300000000000004</v>
      </c>
    </row>
    <row r="19" spans="1:17">
      <c r="A19" s="112" t="s">
        <v>2936</v>
      </c>
      <c r="B19" s="134">
        <v>6.79</v>
      </c>
      <c r="C19" s="134">
        <v>15.66</v>
      </c>
      <c r="D19" s="134">
        <v>14.98</v>
      </c>
      <c r="E19" s="134">
        <v>4.1500000000000004</v>
      </c>
      <c r="F19" s="134">
        <v>2.46</v>
      </c>
      <c r="G19" s="134">
        <v>77.06</v>
      </c>
      <c r="H19" s="134">
        <v>21.01</v>
      </c>
      <c r="I19" s="134">
        <v>3.1</v>
      </c>
      <c r="J19" s="134">
        <v>0.62</v>
      </c>
      <c r="K19" s="134">
        <v>269.98</v>
      </c>
      <c r="L19" s="134">
        <v>26.11</v>
      </c>
      <c r="M19" s="134">
        <v>81.69</v>
      </c>
      <c r="N19" s="134">
        <v>0</v>
      </c>
      <c r="O19" s="134">
        <v>0</v>
      </c>
      <c r="P19" s="134">
        <v>0.4</v>
      </c>
      <c r="Q19" s="134">
        <v>4.3099999999999996</v>
      </c>
    </row>
    <row r="20" spans="1:17">
      <c r="A20" s="112" t="s">
        <v>2937</v>
      </c>
      <c r="B20" s="134">
        <v>6.93</v>
      </c>
      <c r="C20" s="134">
        <v>14.55</v>
      </c>
      <c r="D20" s="134">
        <v>14.51</v>
      </c>
      <c r="E20" s="134">
        <v>3.74</v>
      </c>
      <c r="F20" s="134">
        <v>3.54</v>
      </c>
      <c r="G20" s="134">
        <v>77.03</v>
      </c>
      <c r="H20" s="134">
        <v>20.98</v>
      </c>
      <c r="I20" s="134">
        <v>3.21</v>
      </c>
      <c r="J20" s="134">
        <v>0.44</v>
      </c>
      <c r="K20" s="134">
        <v>271.26</v>
      </c>
      <c r="L20" s="134">
        <v>26.05</v>
      </c>
      <c r="M20" s="134">
        <v>82.14</v>
      </c>
      <c r="N20" s="134">
        <v>0</v>
      </c>
      <c r="O20" s="134">
        <v>0</v>
      </c>
      <c r="P20" s="134">
        <v>0.39</v>
      </c>
      <c r="Q20" s="134">
        <v>4.2699999999999996</v>
      </c>
    </row>
    <row r="21" spans="1:17">
      <c r="A21" s="112" t="s">
        <v>2938</v>
      </c>
      <c r="B21" s="134">
        <v>6.89</v>
      </c>
      <c r="C21" s="134">
        <v>13.78</v>
      </c>
      <c r="D21" s="134">
        <v>14.08</v>
      </c>
      <c r="E21" s="134">
        <v>3.54</v>
      </c>
      <c r="F21" s="134">
        <v>4.4400000000000004</v>
      </c>
      <c r="G21" s="134">
        <v>75.599999999999994</v>
      </c>
      <c r="H21" s="134">
        <v>20.059999999999999</v>
      </c>
      <c r="I21" s="134">
        <v>3.3</v>
      </c>
      <c r="J21" s="134">
        <v>0.5</v>
      </c>
      <c r="K21" s="134">
        <v>265.26</v>
      </c>
      <c r="L21" s="134">
        <v>25.96</v>
      </c>
      <c r="M21" s="134">
        <v>82.48</v>
      </c>
      <c r="N21" s="134">
        <v>0</v>
      </c>
      <c r="O21" s="134">
        <v>0</v>
      </c>
      <c r="P21" s="134">
        <v>0.37</v>
      </c>
      <c r="Q21" s="134">
        <v>4.25</v>
      </c>
    </row>
    <row r="22" spans="1:17">
      <c r="A22" s="112" t="s">
        <v>2939</v>
      </c>
      <c r="B22" s="134">
        <v>7.08</v>
      </c>
      <c r="C22" s="134">
        <v>14.58</v>
      </c>
      <c r="D22" s="134">
        <v>14.64</v>
      </c>
      <c r="E22" s="134">
        <v>3.84</v>
      </c>
      <c r="F22" s="134">
        <v>3.08</v>
      </c>
      <c r="G22" s="134">
        <v>75.599999999999994</v>
      </c>
      <c r="H22" s="134">
        <v>20.059999999999999</v>
      </c>
      <c r="I22" s="134">
        <v>3.27</v>
      </c>
      <c r="J22" s="134">
        <v>0.6</v>
      </c>
      <c r="K22" s="134">
        <v>266.69</v>
      </c>
      <c r="L22" s="134">
        <v>25.92</v>
      </c>
      <c r="M22" s="134">
        <v>82.47</v>
      </c>
      <c r="N22" s="134">
        <v>0</v>
      </c>
      <c r="O22" s="134">
        <v>0</v>
      </c>
      <c r="P22" s="134">
        <v>0.38</v>
      </c>
      <c r="Q22" s="134">
        <v>4.2699999999999996</v>
      </c>
    </row>
    <row r="23" spans="1:17">
      <c r="A23" s="112" t="s">
        <v>2940</v>
      </c>
      <c r="B23" s="134">
        <v>7.23</v>
      </c>
      <c r="C23" s="134">
        <v>15.96</v>
      </c>
      <c r="D23" s="134">
        <v>15.49</v>
      </c>
      <c r="E23" s="134">
        <v>4.17</v>
      </c>
      <c r="F23" s="134">
        <v>1.98</v>
      </c>
      <c r="G23" s="134">
        <v>75.599999999999994</v>
      </c>
      <c r="H23" s="134">
        <v>20.059999999999999</v>
      </c>
      <c r="I23" s="134">
        <v>3.25</v>
      </c>
      <c r="J23" s="134">
        <v>0.49</v>
      </c>
      <c r="K23" s="134">
        <v>264.35000000000002</v>
      </c>
      <c r="L23" s="134">
        <v>25.86</v>
      </c>
      <c r="M23" s="134">
        <v>82.94</v>
      </c>
      <c r="N23" s="134">
        <v>0</v>
      </c>
      <c r="O23" s="134">
        <v>0</v>
      </c>
      <c r="P23" s="134">
        <v>0.4</v>
      </c>
      <c r="Q23" s="134">
        <v>4.37</v>
      </c>
    </row>
    <row r="24" spans="1:17">
      <c r="A24" s="112" t="s">
        <v>2941</v>
      </c>
      <c r="B24" s="134">
        <v>7.48</v>
      </c>
      <c r="C24" s="134">
        <v>14.69</v>
      </c>
      <c r="D24" s="134">
        <v>15.03</v>
      </c>
      <c r="E24" s="134">
        <v>3.81</v>
      </c>
      <c r="F24" s="134">
        <v>3.14</v>
      </c>
      <c r="G24" s="134">
        <v>75.03</v>
      </c>
      <c r="H24" s="134">
        <v>19.809999999999999</v>
      </c>
      <c r="I24" s="134">
        <v>3.34</v>
      </c>
      <c r="J24" s="134">
        <v>0.46</v>
      </c>
      <c r="K24" s="134">
        <v>261.54000000000002</v>
      </c>
      <c r="L24" s="134">
        <v>25.76</v>
      </c>
      <c r="M24" s="134">
        <v>83.28</v>
      </c>
      <c r="N24" s="134">
        <v>0</v>
      </c>
      <c r="O24" s="134">
        <v>0</v>
      </c>
      <c r="P24" s="134">
        <v>0.39</v>
      </c>
      <c r="Q24" s="134">
        <v>4.33</v>
      </c>
    </row>
    <row r="25" spans="1:17">
      <c r="A25" s="112" t="s">
        <v>2942</v>
      </c>
      <c r="B25" s="134">
        <v>7.34</v>
      </c>
      <c r="C25" s="134">
        <v>13.98</v>
      </c>
      <c r="D25" s="134">
        <v>14.54</v>
      </c>
      <c r="E25" s="134">
        <v>3.74</v>
      </c>
      <c r="F25" s="134">
        <v>3.66</v>
      </c>
      <c r="G25" s="134">
        <v>70.41</v>
      </c>
      <c r="H25" s="134">
        <v>17.97</v>
      </c>
      <c r="I25" s="134">
        <v>3.42</v>
      </c>
      <c r="J25" s="134">
        <v>0.48</v>
      </c>
      <c r="K25" s="134">
        <v>261.39</v>
      </c>
      <c r="L25" s="134">
        <v>25.77</v>
      </c>
      <c r="M25" s="134">
        <v>83.09</v>
      </c>
      <c r="N25" s="134">
        <v>0</v>
      </c>
      <c r="O25" s="134">
        <v>0</v>
      </c>
      <c r="P25" s="134">
        <v>0.37</v>
      </c>
      <c r="Q25" s="134">
        <v>4.32</v>
      </c>
    </row>
    <row r="26" spans="1:17">
      <c r="A26" s="112" t="s">
        <v>2943</v>
      </c>
      <c r="B26" s="134">
        <v>7.34</v>
      </c>
      <c r="C26" s="134">
        <v>13.98</v>
      </c>
      <c r="D26" s="134">
        <v>14.54</v>
      </c>
      <c r="E26" s="134">
        <v>3.74</v>
      </c>
      <c r="F26" s="134">
        <v>3.66</v>
      </c>
      <c r="G26" s="134">
        <v>70.41</v>
      </c>
      <c r="H26" s="134">
        <v>17.97</v>
      </c>
      <c r="I26" s="134">
        <v>3.42</v>
      </c>
      <c r="J26" s="134">
        <v>0.48</v>
      </c>
      <c r="K26" s="134">
        <v>261.39</v>
      </c>
      <c r="L26" s="134">
        <v>25.77</v>
      </c>
      <c r="M26" s="134">
        <v>83.09</v>
      </c>
      <c r="N26" s="134">
        <v>0</v>
      </c>
      <c r="O26" s="134">
        <v>0</v>
      </c>
      <c r="P26" s="134">
        <v>0.37</v>
      </c>
      <c r="Q26" s="134">
        <v>4.32</v>
      </c>
    </row>
    <row r="27" spans="1:17">
      <c r="A27" s="112" t="s">
        <v>2944</v>
      </c>
      <c r="B27" s="134">
        <v>7.32</v>
      </c>
      <c r="C27" s="134">
        <v>15.57</v>
      </c>
      <c r="D27" s="134">
        <v>15.35</v>
      </c>
      <c r="E27" s="134">
        <v>3.72</v>
      </c>
      <c r="F27" s="134">
        <v>2.37</v>
      </c>
      <c r="G27" s="134">
        <v>70.41</v>
      </c>
      <c r="H27" s="134">
        <v>17.97</v>
      </c>
      <c r="I27" s="134">
        <v>3.37</v>
      </c>
      <c r="J27" s="134">
        <v>0.46</v>
      </c>
      <c r="K27" s="134">
        <v>268.95999999999998</v>
      </c>
      <c r="L27" s="134">
        <v>25.68</v>
      </c>
      <c r="M27" s="134">
        <v>82.94</v>
      </c>
      <c r="N27" s="134">
        <v>0</v>
      </c>
      <c r="O27" s="134">
        <v>0</v>
      </c>
      <c r="P27" s="134">
        <v>0.39</v>
      </c>
      <c r="Q27" s="134">
        <v>4.3899999999999997</v>
      </c>
    </row>
    <row r="28" spans="1:17">
      <c r="A28" s="112" t="s">
        <v>2945</v>
      </c>
      <c r="B28" s="134">
        <v>7.78</v>
      </c>
      <c r="C28" s="134">
        <v>15.53</v>
      </c>
      <c r="D28" s="134">
        <v>15.71</v>
      </c>
      <c r="E28" s="134">
        <v>4.03</v>
      </c>
      <c r="F28" s="134">
        <v>2.84</v>
      </c>
      <c r="G28" s="134">
        <v>70</v>
      </c>
      <c r="H28" s="134">
        <v>18.22</v>
      </c>
      <c r="I28" s="134">
        <v>3.45</v>
      </c>
      <c r="J28" s="134">
        <v>0.46</v>
      </c>
      <c r="K28" s="134">
        <v>273.83</v>
      </c>
      <c r="L28" s="134">
        <v>25.74</v>
      </c>
      <c r="M28" s="134">
        <v>81.96</v>
      </c>
      <c r="N28" s="134">
        <v>0</v>
      </c>
      <c r="O28" s="134">
        <v>0</v>
      </c>
      <c r="P28" s="134">
        <v>0.39</v>
      </c>
      <c r="Q28" s="134">
        <v>4.4000000000000004</v>
      </c>
    </row>
    <row r="29" spans="1:17">
      <c r="A29" s="112" t="s">
        <v>2946</v>
      </c>
      <c r="B29" s="134">
        <v>8</v>
      </c>
      <c r="C29" s="134">
        <v>15.89</v>
      </c>
      <c r="D29" s="134">
        <v>16.07</v>
      </c>
      <c r="E29" s="134">
        <v>3.88</v>
      </c>
      <c r="F29" s="134">
        <v>2.5</v>
      </c>
      <c r="G29" s="134">
        <v>66.8</v>
      </c>
      <c r="H29" s="134">
        <v>20</v>
      </c>
      <c r="I29" s="134">
        <v>3.56</v>
      </c>
      <c r="J29" s="134">
        <v>0.41</v>
      </c>
      <c r="K29" s="134">
        <v>273.88</v>
      </c>
      <c r="L29" s="134">
        <v>25.61</v>
      </c>
      <c r="M29" s="134">
        <v>82.72</v>
      </c>
      <c r="N29" s="134">
        <v>0</v>
      </c>
      <c r="O29" s="134">
        <v>0</v>
      </c>
      <c r="P29" s="134">
        <v>0.4</v>
      </c>
      <c r="Q29" s="134">
        <v>4.43</v>
      </c>
    </row>
    <row r="30" spans="1:17">
      <c r="A30" s="112" t="s">
        <v>2947</v>
      </c>
      <c r="B30" s="134">
        <v>8.33</v>
      </c>
      <c r="C30" s="134">
        <v>17.05</v>
      </c>
      <c r="D30" s="134">
        <v>16.940000000000001</v>
      </c>
      <c r="E30" s="134">
        <v>3.8</v>
      </c>
      <c r="F30" s="134">
        <v>1.95</v>
      </c>
      <c r="G30" s="134">
        <v>66.8</v>
      </c>
      <c r="H30" s="134">
        <v>20</v>
      </c>
      <c r="I30" s="134">
        <v>3.57</v>
      </c>
      <c r="J30" s="134">
        <v>0.5</v>
      </c>
      <c r="K30" s="134">
        <v>263.70999999999998</v>
      </c>
      <c r="L30" s="134">
        <v>25.51</v>
      </c>
      <c r="M30" s="134">
        <v>83.25</v>
      </c>
      <c r="N30" s="134">
        <v>0</v>
      </c>
      <c r="O30" s="134">
        <v>0</v>
      </c>
      <c r="P30" s="134">
        <v>0.41</v>
      </c>
      <c r="Q30" s="134">
        <v>4.51</v>
      </c>
    </row>
    <row r="31" spans="1:17">
      <c r="A31" s="112" t="s">
        <v>2948</v>
      </c>
      <c r="B31" s="134">
        <v>8.6300000000000008</v>
      </c>
      <c r="C31" s="134">
        <v>16.25</v>
      </c>
      <c r="D31" s="134">
        <v>16.760000000000002</v>
      </c>
      <c r="E31" s="134">
        <v>3.45</v>
      </c>
      <c r="F31" s="134">
        <v>2.6</v>
      </c>
      <c r="G31" s="134">
        <v>66.8</v>
      </c>
      <c r="H31" s="134">
        <v>20</v>
      </c>
      <c r="I31" s="134">
        <v>3.64</v>
      </c>
      <c r="J31" s="134">
        <v>0.32</v>
      </c>
      <c r="K31" s="134">
        <v>273.2</v>
      </c>
      <c r="L31" s="134">
        <v>25.45</v>
      </c>
      <c r="M31" s="134">
        <v>83.53</v>
      </c>
      <c r="N31" s="134">
        <v>0</v>
      </c>
      <c r="O31" s="134">
        <v>0</v>
      </c>
      <c r="P31" s="134">
        <v>0.39</v>
      </c>
      <c r="Q31" s="134">
        <v>4.5</v>
      </c>
    </row>
    <row r="32" spans="1:17">
      <c r="A32" s="112" t="s">
        <v>2949</v>
      </c>
      <c r="B32" s="134">
        <v>8.98</v>
      </c>
      <c r="C32" s="134">
        <v>15.77</v>
      </c>
      <c r="D32" s="134">
        <v>16.8</v>
      </c>
      <c r="E32" s="134">
        <v>3.81</v>
      </c>
      <c r="F32" s="134">
        <v>2.69</v>
      </c>
      <c r="G32" s="134">
        <v>67.78</v>
      </c>
      <c r="H32" s="134">
        <v>19.7</v>
      </c>
      <c r="I32" s="134">
        <v>3.74</v>
      </c>
      <c r="J32" s="134">
        <v>0.25</v>
      </c>
      <c r="K32" s="134">
        <v>271.81</v>
      </c>
      <c r="L32" s="134">
        <v>25.43</v>
      </c>
      <c r="M32" s="134">
        <v>83.84</v>
      </c>
      <c r="N32" s="134">
        <v>4</v>
      </c>
      <c r="O32" s="134">
        <v>0</v>
      </c>
      <c r="P32" s="134">
        <v>0.38</v>
      </c>
      <c r="Q32" s="134">
        <v>4.5199999999999996</v>
      </c>
    </row>
    <row r="33" spans="1:17">
      <c r="A33" s="112" t="s">
        <v>2950</v>
      </c>
      <c r="B33" s="134">
        <v>9.23</v>
      </c>
      <c r="C33" s="134">
        <v>16.96</v>
      </c>
      <c r="D33" s="134">
        <v>17.62</v>
      </c>
      <c r="E33" s="134">
        <v>2.99</v>
      </c>
      <c r="F33" s="134">
        <v>2.19</v>
      </c>
      <c r="G33" s="134">
        <v>75.489999999999995</v>
      </c>
      <c r="H33" s="134">
        <v>17.62</v>
      </c>
      <c r="I33" s="134">
        <v>3.76</v>
      </c>
      <c r="J33" s="134">
        <v>0.34</v>
      </c>
      <c r="K33" s="134">
        <v>261.52</v>
      </c>
      <c r="L33" s="134">
        <v>25.46</v>
      </c>
      <c r="M33" s="134">
        <v>84.3</v>
      </c>
      <c r="N33" s="134">
        <v>17.2</v>
      </c>
      <c r="O33" s="134">
        <v>0</v>
      </c>
      <c r="P33" s="134">
        <v>0.4</v>
      </c>
      <c r="Q33" s="134">
        <v>4.55</v>
      </c>
    </row>
    <row r="34" spans="1:17">
      <c r="A34" s="112" t="s">
        <v>2951</v>
      </c>
      <c r="B34" s="134">
        <v>9.61</v>
      </c>
      <c r="C34" s="134">
        <v>18.059999999999999</v>
      </c>
      <c r="D34" s="134">
        <v>18.5</v>
      </c>
      <c r="E34" s="134">
        <v>4.0999999999999996</v>
      </c>
      <c r="F34" s="134">
        <v>1.9</v>
      </c>
      <c r="G34" s="134">
        <v>75.489999999999995</v>
      </c>
      <c r="H34" s="134">
        <v>17.62</v>
      </c>
      <c r="I34" s="134">
        <v>3.82</v>
      </c>
      <c r="J34" s="134">
        <v>0.33</v>
      </c>
      <c r="K34" s="134">
        <v>267.27999999999997</v>
      </c>
      <c r="L34" s="134">
        <v>25.59</v>
      </c>
      <c r="M34" s="134">
        <v>84.01</v>
      </c>
      <c r="N34" s="134">
        <v>32.200000000000003</v>
      </c>
      <c r="O34" s="134">
        <v>0</v>
      </c>
      <c r="P34" s="134">
        <v>0.41</v>
      </c>
      <c r="Q34" s="134">
        <v>4.62</v>
      </c>
    </row>
    <row r="35" spans="1:17">
      <c r="A35" s="112" t="s">
        <v>2952</v>
      </c>
      <c r="B35" s="134">
        <v>10.09</v>
      </c>
      <c r="C35" s="134">
        <v>16.739999999999998</v>
      </c>
      <c r="D35" s="134">
        <v>18.190000000000001</v>
      </c>
      <c r="E35" s="134">
        <v>3.36</v>
      </c>
      <c r="F35" s="134">
        <v>2.62</v>
      </c>
      <c r="G35" s="134">
        <v>75.489999999999995</v>
      </c>
      <c r="H35" s="134">
        <v>17.62</v>
      </c>
      <c r="I35" s="134">
        <v>3.9</v>
      </c>
      <c r="J35" s="134">
        <v>0.39</v>
      </c>
      <c r="K35" s="134">
        <v>269.04000000000002</v>
      </c>
      <c r="L35" s="134">
        <v>25.84</v>
      </c>
      <c r="M35" s="134">
        <v>83.61</v>
      </c>
      <c r="N35" s="134">
        <v>48.9</v>
      </c>
      <c r="O35" s="134">
        <v>0</v>
      </c>
      <c r="P35" s="134">
        <v>0.41</v>
      </c>
      <c r="Q35" s="134">
        <v>4.6399999999999997</v>
      </c>
    </row>
    <row r="36" spans="1:17">
      <c r="A36" s="112" t="s">
        <v>2953</v>
      </c>
      <c r="B36" s="134">
        <v>10.09</v>
      </c>
      <c r="C36" s="134">
        <v>16</v>
      </c>
      <c r="D36" s="134">
        <v>17.8</v>
      </c>
      <c r="E36" s="134">
        <v>3.98</v>
      </c>
      <c r="F36" s="134">
        <v>3</v>
      </c>
      <c r="G36" s="134">
        <v>75.239999999999995</v>
      </c>
      <c r="H36" s="134">
        <v>17.14</v>
      </c>
      <c r="I36" s="134">
        <v>3.97</v>
      </c>
      <c r="J36" s="134">
        <v>0.34</v>
      </c>
      <c r="K36" s="134">
        <v>272.85000000000002</v>
      </c>
      <c r="L36" s="134">
        <v>26.1</v>
      </c>
      <c r="M36" s="134">
        <v>82.74</v>
      </c>
      <c r="N36" s="134">
        <v>65</v>
      </c>
      <c r="O36" s="134">
        <v>0</v>
      </c>
      <c r="P36" s="134">
        <v>0.39</v>
      </c>
      <c r="Q36" s="134">
        <v>4.6100000000000003</v>
      </c>
    </row>
    <row r="37" spans="1:17">
      <c r="A37" s="112" t="s">
        <v>2954</v>
      </c>
      <c r="B37" s="134">
        <v>10.18</v>
      </c>
      <c r="C37" s="134">
        <v>17.190000000000001</v>
      </c>
      <c r="D37" s="134">
        <v>18.489999999999998</v>
      </c>
      <c r="E37" s="134">
        <v>4.12</v>
      </c>
      <c r="F37" s="134">
        <v>2.16</v>
      </c>
      <c r="G37" s="134">
        <v>73.41</v>
      </c>
      <c r="H37" s="134">
        <v>14.48</v>
      </c>
      <c r="I37" s="134">
        <v>3.95</v>
      </c>
      <c r="J37" s="134">
        <v>0.37</v>
      </c>
      <c r="K37" s="134">
        <v>281.16000000000003</v>
      </c>
      <c r="L37" s="134">
        <v>26.48</v>
      </c>
      <c r="M37" s="134">
        <v>80.97</v>
      </c>
      <c r="N37" s="134">
        <v>81</v>
      </c>
      <c r="O37" s="134">
        <v>0</v>
      </c>
      <c r="P37" s="134">
        <v>0.41</v>
      </c>
      <c r="Q37" s="134">
        <v>4.66</v>
      </c>
    </row>
    <row r="38" spans="1:17">
      <c r="A38" s="112" t="s">
        <v>2955</v>
      </c>
      <c r="B38" s="134">
        <v>10.56</v>
      </c>
      <c r="C38" s="134">
        <v>17.88</v>
      </c>
      <c r="D38" s="134">
        <v>19.16</v>
      </c>
      <c r="E38" s="134">
        <v>4.03</v>
      </c>
      <c r="F38" s="134">
        <v>2.0499999999999998</v>
      </c>
      <c r="G38" s="134">
        <v>73.41</v>
      </c>
      <c r="H38" s="134">
        <v>14.48</v>
      </c>
      <c r="I38" s="134">
        <v>3.92</v>
      </c>
      <c r="J38" s="134">
        <v>0.54</v>
      </c>
      <c r="K38" s="134">
        <v>282.20999999999998</v>
      </c>
      <c r="L38" s="134">
        <v>26.86</v>
      </c>
      <c r="M38" s="134">
        <v>78.67</v>
      </c>
      <c r="N38" s="134">
        <v>98.7</v>
      </c>
      <c r="O38" s="134">
        <v>0</v>
      </c>
      <c r="P38" s="134">
        <v>0.42</v>
      </c>
      <c r="Q38" s="134">
        <v>4.6900000000000004</v>
      </c>
    </row>
    <row r="39" spans="1:17">
      <c r="A39" s="112" t="s">
        <v>2956</v>
      </c>
      <c r="B39" s="134">
        <v>10.85</v>
      </c>
      <c r="C39" s="134">
        <v>17.25</v>
      </c>
      <c r="D39" s="134">
        <v>19.059999999999999</v>
      </c>
      <c r="E39" s="134">
        <v>4.3600000000000003</v>
      </c>
      <c r="F39" s="134">
        <v>2.89</v>
      </c>
      <c r="G39" s="134">
        <v>73.41</v>
      </c>
      <c r="H39" s="134">
        <v>14.48</v>
      </c>
      <c r="I39" s="134">
        <v>3.99</v>
      </c>
      <c r="J39" s="134">
        <v>0.38</v>
      </c>
      <c r="K39" s="134">
        <v>314.63</v>
      </c>
      <c r="L39" s="134">
        <v>27.37</v>
      </c>
      <c r="M39" s="134">
        <v>75.400000000000006</v>
      </c>
      <c r="N39" s="134">
        <v>147.30000000000001</v>
      </c>
      <c r="O39" s="134">
        <v>0</v>
      </c>
      <c r="P39" s="134">
        <v>0.42</v>
      </c>
      <c r="Q39" s="134">
        <v>4.71</v>
      </c>
    </row>
    <row r="40" spans="1:17">
      <c r="A40" s="112" t="s">
        <v>2957</v>
      </c>
      <c r="B40" s="134">
        <v>10.99</v>
      </c>
      <c r="C40" s="134">
        <v>16.920000000000002</v>
      </c>
      <c r="D40" s="134">
        <v>19.010000000000002</v>
      </c>
      <c r="E40" s="134">
        <v>5.53</v>
      </c>
      <c r="F40" s="134">
        <v>3.28</v>
      </c>
      <c r="G40" s="134">
        <v>73.44</v>
      </c>
      <c r="H40" s="134">
        <v>14.87</v>
      </c>
      <c r="I40" s="134">
        <v>4.0199999999999996</v>
      </c>
      <c r="J40" s="134">
        <v>0.41</v>
      </c>
      <c r="K40" s="134">
        <v>318.48</v>
      </c>
      <c r="L40" s="134">
        <v>27.96</v>
      </c>
      <c r="M40" s="134">
        <v>71.95</v>
      </c>
      <c r="N40" s="134">
        <v>209.7</v>
      </c>
      <c r="O40" s="134">
        <v>0</v>
      </c>
      <c r="P40" s="134">
        <v>0.41</v>
      </c>
      <c r="Q40" s="134">
        <v>4.72</v>
      </c>
    </row>
    <row r="41" spans="1:17">
      <c r="A41" s="112" t="s">
        <v>2958</v>
      </c>
      <c r="B41" s="134">
        <v>11.09</v>
      </c>
      <c r="C41" s="134">
        <v>17.010000000000002</v>
      </c>
      <c r="D41" s="134">
        <v>19.13</v>
      </c>
      <c r="E41" s="134">
        <v>6.31</v>
      </c>
      <c r="F41" s="134">
        <v>3.44</v>
      </c>
      <c r="G41" s="134">
        <v>73.67</v>
      </c>
      <c r="H41" s="134">
        <v>17.34</v>
      </c>
      <c r="I41" s="134">
        <v>4.0599999999999996</v>
      </c>
      <c r="J41" s="134">
        <v>0.51</v>
      </c>
      <c r="K41" s="134">
        <v>312.12</v>
      </c>
      <c r="L41" s="134">
        <v>28.44</v>
      </c>
      <c r="M41" s="134">
        <v>70.040000000000006</v>
      </c>
      <c r="N41" s="134">
        <v>261.39999999999998</v>
      </c>
      <c r="O41" s="134">
        <v>0</v>
      </c>
      <c r="P41" s="134">
        <v>0.41</v>
      </c>
      <c r="Q41" s="134">
        <v>4.72</v>
      </c>
    </row>
    <row r="42" spans="1:17">
      <c r="A42" s="112" t="s">
        <v>2959</v>
      </c>
      <c r="B42" s="134">
        <v>11.35</v>
      </c>
      <c r="C42" s="134">
        <v>16.84</v>
      </c>
      <c r="D42" s="134">
        <v>19.25</v>
      </c>
      <c r="E42" s="134">
        <v>6.54</v>
      </c>
      <c r="F42" s="134">
        <v>3.49</v>
      </c>
      <c r="G42" s="134">
        <v>73.67</v>
      </c>
      <c r="H42" s="134">
        <v>17.34</v>
      </c>
      <c r="I42" s="134">
        <v>4.21</v>
      </c>
      <c r="J42" s="134">
        <v>0.53</v>
      </c>
      <c r="K42" s="134">
        <v>323</v>
      </c>
      <c r="L42" s="134">
        <v>28.91</v>
      </c>
      <c r="M42" s="134">
        <v>67.92</v>
      </c>
      <c r="N42" s="134">
        <v>284.39999999999998</v>
      </c>
      <c r="O42" s="134">
        <v>0</v>
      </c>
      <c r="P42" s="134">
        <v>0.42</v>
      </c>
      <c r="Q42" s="134">
        <v>4.7300000000000004</v>
      </c>
    </row>
    <row r="43" spans="1:17">
      <c r="A43" s="112" t="s">
        <v>2960</v>
      </c>
      <c r="B43" s="134">
        <v>11.12</v>
      </c>
      <c r="C43" s="134">
        <v>17.829999999999998</v>
      </c>
      <c r="D43" s="134">
        <v>19.59</v>
      </c>
      <c r="E43" s="134">
        <v>5.41</v>
      </c>
      <c r="F43" s="134">
        <v>2.83</v>
      </c>
      <c r="G43" s="134">
        <v>73.67</v>
      </c>
      <c r="H43" s="134">
        <v>17.34</v>
      </c>
      <c r="I43" s="134">
        <v>4.49</v>
      </c>
      <c r="J43" s="134">
        <v>0.67</v>
      </c>
      <c r="K43" s="134">
        <v>298.88</v>
      </c>
      <c r="L43" s="134">
        <v>29.22</v>
      </c>
      <c r="M43" s="134">
        <v>65.680000000000007</v>
      </c>
      <c r="N43" s="134">
        <v>233.9</v>
      </c>
      <c r="O43" s="134">
        <v>0</v>
      </c>
      <c r="P43" s="134">
        <v>0.42</v>
      </c>
      <c r="Q43" s="134">
        <v>4.75</v>
      </c>
    </row>
    <row r="44" spans="1:17">
      <c r="A44" s="112" t="s">
        <v>2961</v>
      </c>
      <c r="B44" s="134">
        <v>11.09</v>
      </c>
      <c r="C44" s="134">
        <v>19.12</v>
      </c>
      <c r="D44" s="134">
        <v>20.239999999999998</v>
      </c>
      <c r="E44" s="134">
        <v>5.07</v>
      </c>
      <c r="F44" s="134">
        <v>2.84</v>
      </c>
      <c r="G44" s="134">
        <v>74.77</v>
      </c>
      <c r="H44" s="134">
        <v>18.350000000000001</v>
      </c>
      <c r="I44" s="134">
        <v>4.5599999999999996</v>
      </c>
      <c r="J44" s="134">
        <v>0.43</v>
      </c>
      <c r="K44" s="134">
        <v>347.81</v>
      </c>
      <c r="L44" s="134">
        <v>29.83</v>
      </c>
      <c r="M44" s="134">
        <v>63.45</v>
      </c>
      <c r="N44" s="134">
        <v>260.60000000000002</v>
      </c>
      <c r="O44" s="134">
        <v>0</v>
      </c>
      <c r="P44" s="134">
        <v>0.46</v>
      </c>
      <c r="Q44" s="134">
        <v>4.8</v>
      </c>
    </row>
    <row r="45" spans="1:17">
      <c r="A45" s="112" t="s">
        <v>2962</v>
      </c>
      <c r="B45" s="134">
        <v>11.05</v>
      </c>
      <c r="C45" s="134">
        <v>18.27</v>
      </c>
      <c r="D45" s="134">
        <v>19.760000000000002</v>
      </c>
      <c r="E45" s="134">
        <v>4.8600000000000003</v>
      </c>
      <c r="F45" s="134">
        <v>4.08</v>
      </c>
      <c r="G45" s="134">
        <v>83.54</v>
      </c>
      <c r="H45" s="134">
        <v>24.72</v>
      </c>
      <c r="I45" s="134">
        <v>4.58</v>
      </c>
      <c r="J45" s="134">
        <v>0.51</v>
      </c>
      <c r="K45" s="134">
        <v>328.13</v>
      </c>
      <c r="L45" s="134">
        <v>30.09</v>
      </c>
      <c r="M45" s="134">
        <v>60.64</v>
      </c>
      <c r="N45" s="134">
        <v>253.2</v>
      </c>
      <c r="O45" s="134">
        <v>0</v>
      </c>
      <c r="P45" s="134">
        <v>0.45</v>
      </c>
      <c r="Q45" s="134">
        <v>4.78</v>
      </c>
    </row>
    <row r="46" spans="1:17">
      <c r="A46" s="112" t="s">
        <v>2963</v>
      </c>
      <c r="B46" s="134">
        <v>10.99</v>
      </c>
      <c r="C46" s="134">
        <v>17.62</v>
      </c>
      <c r="D46" s="134">
        <v>19.37</v>
      </c>
      <c r="E46" s="134">
        <v>4.09</v>
      </c>
      <c r="F46" s="134">
        <v>4.0599999999999996</v>
      </c>
      <c r="G46" s="134">
        <v>83.54</v>
      </c>
      <c r="H46" s="134">
        <v>24.72</v>
      </c>
      <c r="I46" s="134">
        <v>4.59</v>
      </c>
      <c r="J46" s="134">
        <v>0.8</v>
      </c>
      <c r="K46" s="134">
        <v>302.83</v>
      </c>
      <c r="L46" s="134">
        <v>30.14</v>
      </c>
      <c r="M46" s="134">
        <v>58.09</v>
      </c>
      <c r="N46" s="134">
        <v>434.2</v>
      </c>
      <c r="O46" s="134">
        <v>0</v>
      </c>
      <c r="P46" s="134">
        <v>0.45</v>
      </c>
      <c r="Q46" s="134">
        <v>4.7699999999999996</v>
      </c>
    </row>
    <row r="47" spans="1:17">
      <c r="A47" s="112" t="s">
        <v>2964</v>
      </c>
      <c r="B47" s="134">
        <v>10.62</v>
      </c>
      <c r="C47" s="134">
        <v>17.93</v>
      </c>
      <c r="D47" s="134">
        <v>19.23</v>
      </c>
      <c r="E47" s="134">
        <v>4.13</v>
      </c>
      <c r="F47" s="134">
        <v>3.9</v>
      </c>
      <c r="G47" s="134">
        <v>83.54</v>
      </c>
      <c r="H47" s="134">
        <v>24.72</v>
      </c>
      <c r="I47" s="134">
        <v>4.5199999999999996</v>
      </c>
      <c r="J47" s="134">
        <v>0.59</v>
      </c>
      <c r="K47" s="134">
        <v>307.83999999999997</v>
      </c>
      <c r="L47" s="134">
        <v>30.49</v>
      </c>
      <c r="M47" s="134">
        <v>57.68</v>
      </c>
      <c r="N47" s="134">
        <v>531.9</v>
      </c>
      <c r="O47" s="134">
        <v>0</v>
      </c>
      <c r="P47" s="134">
        <v>0.45</v>
      </c>
      <c r="Q47" s="134">
        <v>4.74</v>
      </c>
    </row>
    <row r="48" spans="1:17">
      <c r="A48" s="112" t="s">
        <v>2965</v>
      </c>
      <c r="B48" s="134">
        <v>10.39</v>
      </c>
      <c r="C48" s="134">
        <v>18.14</v>
      </c>
      <c r="D48" s="134">
        <v>19.16</v>
      </c>
      <c r="E48" s="134">
        <v>4.05</v>
      </c>
      <c r="F48" s="134">
        <v>4.54</v>
      </c>
      <c r="G48" s="134">
        <v>82.93</v>
      </c>
      <c r="H48" s="134">
        <v>24.17</v>
      </c>
      <c r="I48" s="134">
        <v>4.51</v>
      </c>
      <c r="J48" s="134">
        <v>0.47</v>
      </c>
      <c r="K48" s="134">
        <v>331.25</v>
      </c>
      <c r="L48" s="134">
        <v>30.99</v>
      </c>
      <c r="M48" s="134">
        <v>57.16</v>
      </c>
      <c r="N48" s="134">
        <v>454.1</v>
      </c>
      <c r="O48" s="134">
        <v>0</v>
      </c>
      <c r="P48" s="134">
        <v>0.45</v>
      </c>
      <c r="Q48" s="134">
        <v>4.75</v>
      </c>
    </row>
    <row r="49" spans="1:17">
      <c r="A49" s="112" t="s">
        <v>2966</v>
      </c>
      <c r="B49" s="134">
        <v>10.31</v>
      </c>
      <c r="C49" s="134">
        <v>17.989999999999998</v>
      </c>
      <c r="D49" s="134">
        <v>19.02</v>
      </c>
      <c r="E49" s="134">
        <v>3.61</v>
      </c>
      <c r="F49" s="134">
        <v>4.67</v>
      </c>
      <c r="G49" s="134">
        <v>78.069999999999993</v>
      </c>
      <c r="H49" s="134">
        <v>20.7</v>
      </c>
      <c r="I49" s="134">
        <v>4.46</v>
      </c>
      <c r="J49" s="134">
        <v>0.46</v>
      </c>
      <c r="K49" s="134">
        <v>326.08999999999997</v>
      </c>
      <c r="L49" s="134">
        <v>31.15</v>
      </c>
      <c r="M49" s="134">
        <v>56.11</v>
      </c>
      <c r="N49" s="134">
        <v>559</v>
      </c>
      <c r="O49" s="134">
        <v>0</v>
      </c>
      <c r="P49" s="134">
        <v>0.45</v>
      </c>
      <c r="Q49" s="134">
        <v>4.75</v>
      </c>
    </row>
    <row r="50" spans="1:17">
      <c r="A50" s="112" t="s">
        <v>2967</v>
      </c>
      <c r="B50" s="134">
        <v>10.07</v>
      </c>
      <c r="C50" s="134">
        <v>17.84</v>
      </c>
      <c r="D50" s="134">
        <v>18.75</v>
      </c>
      <c r="E50" s="134">
        <v>5.15</v>
      </c>
      <c r="F50" s="134">
        <v>3.89</v>
      </c>
      <c r="G50" s="134">
        <v>78.069999999999993</v>
      </c>
      <c r="H50" s="134">
        <v>20.7</v>
      </c>
      <c r="I50" s="134">
        <v>4.42</v>
      </c>
      <c r="J50" s="134">
        <v>0.62</v>
      </c>
      <c r="K50" s="134">
        <v>307.38</v>
      </c>
      <c r="L50" s="134">
        <v>31.4</v>
      </c>
      <c r="M50" s="134">
        <v>55.46</v>
      </c>
      <c r="N50" s="134">
        <v>470.7</v>
      </c>
      <c r="O50" s="134">
        <v>0</v>
      </c>
      <c r="P50" s="134">
        <v>0.46</v>
      </c>
      <c r="Q50" s="134">
        <v>4.7</v>
      </c>
    </row>
    <row r="51" spans="1:17">
      <c r="A51" s="112" t="s">
        <v>2968</v>
      </c>
      <c r="B51" s="134">
        <v>9.68</v>
      </c>
      <c r="C51" s="134">
        <v>17.91</v>
      </c>
      <c r="D51" s="134">
        <v>18.47</v>
      </c>
      <c r="E51" s="134">
        <v>5.38</v>
      </c>
      <c r="F51" s="134">
        <v>4.5999999999999996</v>
      </c>
      <c r="G51" s="134">
        <v>78.069999999999993</v>
      </c>
      <c r="H51" s="134">
        <v>20.7</v>
      </c>
      <c r="I51" s="134">
        <v>4.41</v>
      </c>
      <c r="J51" s="134">
        <v>0.35</v>
      </c>
      <c r="K51" s="134">
        <v>346.44</v>
      </c>
      <c r="L51" s="134">
        <v>31.76</v>
      </c>
      <c r="M51" s="134">
        <v>55.07</v>
      </c>
      <c r="N51" s="134">
        <v>659.3</v>
      </c>
      <c r="O51" s="134">
        <v>0</v>
      </c>
      <c r="P51" s="134">
        <v>0.46</v>
      </c>
      <c r="Q51" s="134">
        <v>4.67</v>
      </c>
    </row>
    <row r="52" spans="1:17">
      <c r="A52" s="112" t="s">
        <v>2969</v>
      </c>
      <c r="B52" s="134">
        <v>9.25</v>
      </c>
      <c r="C52" s="134">
        <v>18.649999999999999</v>
      </c>
      <c r="D52" s="134">
        <v>18.510000000000002</v>
      </c>
      <c r="E52" s="134">
        <v>4.9000000000000004</v>
      </c>
      <c r="F52" s="134">
        <v>3.88</v>
      </c>
      <c r="G52" s="134">
        <v>78.44</v>
      </c>
      <c r="H52" s="134">
        <v>20.75</v>
      </c>
      <c r="I52" s="134">
        <v>4.42</v>
      </c>
      <c r="J52" s="134">
        <v>0.52</v>
      </c>
      <c r="K52" s="134">
        <v>327.39</v>
      </c>
      <c r="L52" s="134">
        <v>31.81</v>
      </c>
      <c r="M52" s="134">
        <v>54.67</v>
      </c>
      <c r="N52" s="134">
        <v>658</v>
      </c>
      <c r="O52" s="134">
        <v>0</v>
      </c>
      <c r="P52" s="134">
        <v>0.47</v>
      </c>
      <c r="Q52" s="134">
        <v>4.71</v>
      </c>
    </row>
    <row r="53" spans="1:17">
      <c r="A53" s="112" t="s">
        <v>2970</v>
      </c>
      <c r="B53" s="134">
        <v>8.68</v>
      </c>
      <c r="C53" s="134">
        <v>18.89</v>
      </c>
      <c r="D53" s="134">
        <v>18.18</v>
      </c>
      <c r="E53" s="134">
        <v>4.99</v>
      </c>
      <c r="F53" s="134">
        <v>4.3099999999999996</v>
      </c>
      <c r="G53" s="134">
        <v>81.430000000000007</v>
      </c>
      <c r="H53" s="134">
        <v>21.09</v>
      </c>
      <c r="I53" s="134">
        <v>4.3600000000000003</v>
      </c>
      <c r="J53" s="134">
        <v>0.38</v>
      </c>
      <c r="K53" s="134">
        <v>5.34</v>
      </c>
      <c r="L53" s="134">
        <v>32.08</v>
      </c>
      <c r="M53" s="134">
        <v>53.64</v>
      </c>
      <c r="N53" s="134">
        <v>586</v>
      </c>
      <c r="O53" s="134">
        <v>0</v>
      </c>
      <c r="P53" s="134">
        <v>0.46</v>
      </c>
      <c r="Q53" s="134">
        <v>4.72</v>
      </c>
    </row>
    <row r="54" spans="1:17">
      <c r="A54" s="112" t="s">
        <v>2971</v>
      </c>
      <c r="B54" s="134">
        <v>8.58</v>
      </c>
      <c r="C54" s="134">
        <v>18.100000000000001</v>
      </c>
      <c r="D54" s="134">
        <v>17.690000000000001</v>
      </c>
      <c r="E54" s="134">
        <v>4.5999999999999996</v>
      </c>
      <c r="F54" s="134">
        <v>5</v>
      </c>
      <c r="G54" s="134">
        <v>81.430000000000007</v>
      </c>
      <c r="H54" s="134">
        <v>21.09</v>
      </c>
      <c r="I54" s="134">
        <v>4.37</v>
      </c>
      <c r="J54" s="134">
        <v>-0.06</v>
      </c>
      <c r="K54" s="134">
        <v>0.4</v>
      </c>
      <c r="L54" s="134">
        <v>32.08</v>
      </c>
      <c r="M54" s="134">
        <v>54.93</v>
      </c>
      <c r="N54" s="134">
        <v>527.20000000000005</v>
      </c>
      <c r="O54" s="134">
        <v>0</v>
      </c>
      <c r="P54" s="134">
        <v>0.46</v>
      </c>
      <c r="Q54" s="134">
        <v>4.6399999999999997</v>
      </c>
    </row>
    <row r="55" spans="1:17">
      <c r="A55" s="112" t="s">
        <v>2972</v>
      </c>
      <c r="B55" s="167" t="s">
        <v>14</v>
      </c>
      <c r="C55" s="167" t="s">
        <v>14</v>
      </c>
      <c r="D55" s="167" t="s">
        <v>14</v>
      </c>
      <c r="E55" s="167" t="s">
        <v>14</v>
      </c>
      <c r="F55" s="167" t="s">
        <v>14</v>
      </c>
      <c r="G55" s="167" t="s">
        <v>14</v>
      </c>
      <c r="H55" s="167" t="s">
        <v>14</v>
      </c>
      <c r="I55" s="167" t="s">
        <v>14</v>
      </c>
      <c r="J55" s="167" t="s">
        <v>14</v>
      </c>
      <c r="K55" s="167" t="s">
        <v>14</v>
      </c>
      <c r="L55" s="167" t="s">
        <v>14</v>
      </c>
      <c r="M55" s="167" t="s">
        <v>14</v>
      </c>
      <c r="N55" s="167" t="s">
        <v>14</v>
      </c>
      <c r="O55" s="167" t="s">
        <v>14</v>
      </c>
      <c r="P55" s="167" t="s">
        <v>14</v>
      </c>
      <c r="Q55" s="167" t="s">
        <v>14</v>
      </c>
    </row>
    <row r="56" spans="1:17">
      <c r="A56" s="112" t="s">
        <v>2973</v>
      </c>
      <c r="B56" s="134">
        <v>7.43</v>
      </c>
      <c r="C56" s="134">
        <v>18.34</v>
      </c>
      <c r="D56" s="134">
        <v>16.89</v>
      </c>
      <c r="E56" s="134">
        <v>5.41</v>
      </c>
      <c r="F56" s="134">
        <v>5.29</v>
      </c>
      <c r="G56" s="134">
        <v>81.430000000000007</v>
      </c>
      <c r="H56" s="134">
        <v>21.09</v>
      </c>
      <c r="I56" s="134">
        <v>4.2699999999999996</v>
      </c>
      <c r="J56" s="134">
        <v>0.35</v>
      </c>
      <c r="K56" s="134">
        <v>309.98</v>
      </c>
      <c r="L56" s="134">
        <v>31.98</v>
      </c>
      <c r="M56" s="134">
        <v>54.2</v>
      </c>
      <c r="N56" s="134">
        <v>464.5</v>
      </c>
      <c r="O56" s="134">
        <v>0</v>
      </c>
      <c r="P56" s="134">
        <v>0.46</v>
      </c>
      <c r="Q56" s="134">
        <v>4.7</v>
      </c>
    </row>
    <row r="57" spans="1:17">
      <c r="A57" s="112" t="s">
        <v>2974</v>
      </c>
      <c r="B57" s="134">
        <v>7.11</v>
      </c>
      <c r="C57" s="134">
        <v>17.47</v>
      </c>
      <c r="D57" s="134">
        <v>16.18</v>
      </c>
      <c r="E57" s="134">
        <v>6.01</v>
      </c>
      <c r="F57" s="134">
        <v>5.8</v>
      </c>
      <c r="G57" s="151" t="s">
        <v>12</v>
      </c>
      <c r="H57" s="151" t="s">
        <v>12</v>
      </c>
      <c r="I57" s="134">
        <v>4.26</v>
      </c>
      <c r="J57" s="134">
        <v>0.51</v>
      </c>
      <c r="K57" s="134">
        <v>296.76</v>
      </c>
      <c r="L57" s="134">
        <v>31.55</v>
      </c>
      <c r="M57" s="134">
        <v>55.6</v>
      </c>
      <c r="N57" s="134">
        <v>485.5</v>
      </c>
      <c r="O57" s="134">
        <v>0</v>
      </c>
      <c r="P57" s="134">
        <v>0.46</v>
      </c>
      <c r="Q57" s="134">
        <v>4.7300000000000004</v>
      </c>
    </row>
    <row r="58" spans="1:17">
      <c r="A58" s="112" t="s">
        <v>2975</v>
      </c>
      <c r="B58" s="134">
        <v>6.55</v>
      </c>
      <c r="C58" s="134">
        <v>16.89</v>
      </c>
      <c r="D58" s="134">
        <v>15.43</v>
      </c>
      <c r="E58" s="134">
        <v>6.49</v>
      </c>
      <c r="F58" s="134">
        <v>7.39</v>
      </c>
      <c r="G58" s="151" t="s">
        <v>12</v>
      </c>
      <c r="H58" s="151" t="s">
        <v>12</v>
      </c>
      <c r="I58" s="134">
        <v>4.22</v>
      </c>
      <c r="J58" s="134">
        <v>0.33</v>
      </c>
      <c r="K58" s="134">
        <v>345.77</v>
      </c>
      <c r="L58" s="134">
        <v>32.03</v>
      </c>
      <c r="M58" s="134">
        <v>54.5</v>
      </c>
      <c r="N58" s="134">
        <v>587.5</v>
      </c>
      <c r="O58" s="134">
        <v>0</v>
      </c>
      <c r="P58" s="134">
        <v>0.46</v>
      </c>
      <c r="Q58" s="134">
        <v>4.72</v>
      </c>
    </row>
    <row r="59" spans="1:17">
      <c r="A59" s="112" t="s">
        <v>2976</v>
      </c>
      <c r="B59" s="134">
        <v>6.01</v>
      </c>
      <c r="C59" s="134">
        <v>16.86</v>
      </c>
      <c r="D59" s="134">
        <v>14.97</v>
      </c>
      <c r="E59" s="134">
        <v>5.55</v>
      </c>
      <c r="F59" s="134">
        <v>6.54</v>
      </c>
      <c r="G59" s="151" t="s">
        <v>12</v>
      </c>
      <c r="H59" s="151" t="s">
        <v>12</v>
      </c>
      <c r="I59" s="134">
        <v>4.1500000000000004</v>
      </c>
      <c r="J59" s="134">
        <v>0.47</v>
      </c>
      <c r="K59" s="134">
        <v>290.51</v>
      </c>
      <c r="L59" s="134">
        <v>32.01</v>
      </c>
      <c r="M59" s="134">
        <v>51.12</v>
      </c>
      <c r="N59" s="134">
        <v>498.7</v>
      </c>
      <c r="O59" s="134">
        <v>0</v>
      </c>
      <c r="P59" s="134">
        <v>0.45</v>
      </c>
      <c r="Q59" s="134">
        <v>4.71</v>
      </c>
    </row>
    <row r="60" spans="1:17">
      <c r="A60" s="112" t="s">
        <v>2977</v>
      </c>
      <c r="B60" s="134">
        <v>5.64</v>
      </c>
      <c r="C60" s="134">
        <v>17</v>
      </c>
      <c r="D60" s="134">
        <v>14.76</v>
      </c>
      <c r="E60" s="134">
        <v>5.73</v>
      </c>
      <c r="F60" s="134">
        <v>7.05</v>
      </c>
      <c r="G60" s="151" t="s">
        <v>12</v>
      </c>
      <c r="H60" s="151" t="s">
        <v>12</v>
      </c>
      <c r="I60" s="134">
        <v>4.1100000000000003</v>
      </c>
      <c r="J60" s="134">
        <v>0.53</v>
      </c>
      <c r="K60" s="134">
        <v>7.2</v>
      </c>
      <c r="L60" s="134">
        <v>32.29</v>
      </c>
      <c r="M60" s="134">
        <v>53.78</v>
      </c>
      <c r="N60" s="134">
        <v>793.3</v>
      </c>
      <c r="O60" s="134">
        <v>0</v>
      </c>
      <c r="P60" s="134">
        <v>0.45</v>
      </c>
      <c r="Q60" s="134">
        <v>4.71</v>
      </c>
    </row>
    <row r="61" spans="1:17">
      <c r="A61" s="112" t="s">
        <v>2978</v>
      </c>
      <c r="B61" s="134">
        <v>5.41</v>
      </c>
      <c r="C61" s="134">
        <v>17.22</v>
      </c>
      <c r="D61" s="134">
        <v>14.69</v>
      </c>
      <c r="E61" s="134">
        <v>5.0599999999999996</v>
      </c>
      <c r="F61" s="134">
        <v>5.52</v>
      </c>
      <c r="G61" s="151" t="s">
        <v>12</v>
      </c>
      <c r="H61" s="151" t="s">
        <v>12</v>
      </c>
      <c r="I61" s="134">
        <v>4.1100000000000003</v>
      </c>
      <c r="J61" s="134">
        <v>0.56000000000000005</v>
      </c>
      <c r="K61" s="134">
        <v>285.95</v>
      </c>
      <c r="L61" s="134">
        <v>32.729999999999997</v>
      </c>
      <c r="M61" s="134">
        <v>51.64</v>
      </c>
      <c r="N61" s="134">
        <v>808.5</v>
      </c>
      <c r="O61" s="134">
        <v>0</v>
      </c>
      <c r="P61" s="134">
        <v>0.45</v>
      </c>
      <c r="Q61" s="134">
        <v>4.67</v>
      </c>
    </row>
    <row r="62" spans="1:17">
      <c r="A62" s="112" t="s">
        <v>2979</v>
      </c>
      <c r="B62" s="134">
        <v>4.88</v>
      </c>
      <c r="C62" s="134">
        <v>17.010000000000002</v>
      </c>
      <c r="D62" s="134">
        <v>14.15</v>
      </c>
      <c r="E62" s="134">
        <v>5.04</v>
      </c>
      <c r="F62" s="134">
        <v>6.42</v>
      </c>
      <c r="G62" s="151" t="s">
        <v>12</v>
      </c>
      <c r="H62" s="151" t="s">
        <v>12</v>
      </c>
      <c r="I62" s="134">
        <v>4.08</v>
      </c>
      <c r="J62" s="134">
        <v>0.35</v>
      </c>
      <c r="K62" s="134">
        <v>341.49</v>
      </c>
      <c r="L62" s="134">
        <v>32.83</v>
      </c>
      <c r="M62" s="134">
        <v>50.41</v>
      </c>
      <c r="N62" s="134">
        <v>520.1</v>
      </c>
      <c r="O62" s="134">
        <v>0</v>
      </c>
      <c r="P62" s="134">
        <v>0.45</v>
      </c>
      <c r="Q62" s="134">
        <v>4.59</v>
      </c>
    </row>
    <row r="63" spans="1:17">
      <c r="A63" s="112" t="s">
        <v>2980</v>
      </c>
      <c r="B63" s="134">
        <v>4.4400000000000004</v>
      </c>
      <c r="C63" s="134">
        <v>17.05</v>
      </c>
      <c r="D63" s="134">
        <v>13.82</v>
      </c>
      <c r="E63" s="134">
        <v>4.28</v>
      </c>
      <c r="F63" s="134">
        <v>5.77</v>
      </c>
      <c r="G63" s="151" t="s">
        <v>12</v>
      </c>
      <c r="H63" s="151" t="s">
        <v>12</v>
      </c>
      <c r="I63" s="134">
        <v>4.1399999999999997</v>
      </c>
      <c r="J63" s="134">
        <v>0.26</v>
      </c>
      <c r="K63" s="134">
        <v>233</v>
      </c>
      <c r="L63" s="134">
        <v>31.84</v>
      </c>
      <c r="M63" s="134">
        <v>53.68</v>
      </c>
      <c r="N63" s="134">
        <v>231.8</v>
      </c>
      <c r="O63" s="134">
        <v>0</v>
      </c>
      <c r="P63" s="134">
        <v>0.45</v>
      </c>
      <c r="Q63" s="134">
        <v>4.54</v>
      </c>
    </row>
    <row r="64" spans="1:17">
      <c r="A64" s="112" t="s">
        <v>2981</v>
      </c>
      <c r="B64" s="134">
        <v>3.43</v>
      </c>
      <c r="C64" s="134">
        <v>16.190000000000001</v>
      </c>
      <c r="D64" s="134">
        <v>12.56</v>
      </c>
      <c r="E64" s="134">
        <v>4.5</v>
      </c>
      <c r="F64" s="134">
        <v>10.07</v>
      </c>
      <c r="G64" s="134">
        <v>58.3</v>
      </c>
      <c r="H64" s="134">
        <v>8.1</v>
      </c>
      <c r="I64" s="134">
        <v>4.09</v>
      </c>
      <c r="J64" s="134">
        <v>0.25</v>
      </c>
      <c r="K64" s="134">
        <v>317.72000000000003</v>
      </c>
      <c r="L64" s="134">
        <v>31.7</v>
      </c>
      <c r="M64" s="134">
        <v>53.64</v>
      </c>
      <c r="N64" s="134">
        <v>399.5</v>
      </c>
      <c r="O64" s="134">
        <v>0</v>
      </c>
      <c r="P64" s="134">
        <v>0.43</v>
      </c>
      <c r="Q64" s="134">
        <v>4.53</v>
      </c>
    </row>
    <row r="65" spans="1:17">
      <c r="A65" s="112" t="s">
        <v>2982</v>
      </c>
      <c r="B65" s="134">
        <v>2.16</v>
      </c>
      <c r="C65" s="134">
        <v>16.61</v>
      </c>
      <c r="D65" s="134">
        <v>11.76</v>
      </c>
      <c r="E65" s="134">
        <v>4.1399999999999997</v>
      </c>
      <c r="F65" s="134">
        <v>6.5</v>
      </c>
      <c r="G65" s="134">
        <v>58.3</v>
      </c>
      <c r="H65" s="134">
        <v>8.1</v>
      </c>
      <c r="I65" s="134">
        <v>4.05</v>
      </c>
      <c r="J65" s="134">
        <v>0.21</v>
      </c>
      <c r="K65" s="134">
        <v>261.33999999999997</v>
      </c>
      <c r="L65" s="134">
        <v>32.61</v>
      </c>
      <c r="M65" s="134">
        <v>52.75</v>
      </c>
      <c r="N65" s="134">
        <v>509.7</v>
      </c>
      <c r="O65" s="134">
        <v>0</v>
      </c>
      <c r="P65" s="134">
        <v>0.34</v>
      </c>
      <c r="Q65" s="134">
        <v>4.42</v>
      </c>
    </row>
    <row r="66" spans="1:17">
      <c r="A66" s="112" t="s">
        <v>2983</v>
      </c>
      <c r="B66" s="134">
        <v>2</v>
      </c>
      <c r="C66" s="134">
        <v>16.41</v>
      </c>
      <c r="D66" s="134">
        <v>11.53</v>
      </c>
      <c r="E66" s="134">
        <v>3.37</v>
      </c>
      <c r="F66" s="134">
        <v>4.76</v>
      </c>
      <c r="G66" s="134">
        <v>58.3</v>
      </c>
      <c r="H66" s="134">
        <v>8.1</v>
      </c>
      <c r="I66" s="134">
        <v>3.76</v>
      </c>
      <c r="J66" s="134">
        <v>0.2</v>
      </c>
      <c r="K66" s="134">
        <v>276.23</v>
      </c>
      <c r="L66" s="134">
        <v>32.92</v>
      </c>
      <c r="M66" s="134">
        <v>49.78</v>
      </c>
      <c r="N66" s="134">
        <v>516.9</v>
      </c>
      <c r="O66" s="134">
        <v>0</v>
      </c>
      <c r="P66" s="134">
        <v>0.37</v>
      </c>
      <c r="Q66" s="134">
        <v>4.3499999999999996</v>
      </c>
    </row>
    <row r="67" spans="1:17">
      <c r="A67" s="112" t="s">
        <v>2984</v>
      </c>
      <c r="B67" s="134">
        <v>2</v>
      </c>
      <c r="C67" s="134">
        <v>15.86</v>
      </c>
      <c r="D67" s="134">
        <v>11.24</v>
      </c>
      <c r="E67" s="134">
        <v>4.28</v>
      </c>
      <c r="F67" s="134">
        <v>6.18</v>
      </c>
      <c r="G67" s="134">
        <v>58.3</v>
      </c>
      <c r="H67" s="134">
        <v>8.1</v>
      </c>
      <c r="I67" s="134">
        <v>3.79</v>
      </c>
      <c r="J67" s="134">
        <v>0.34</v>
      </c>
      <c r="K67" s="134">
        <v>24.25</v>
      </c>
      <c r="L67" s="134">
        <v>32.85</v>
      </c>
      <c r="M67" s="134">
        <v>49.56</v>
      </c>
      <c r="N67" s="134">
        <v>391.2</v>
      </c>
      <c r="O67" s="134">
        <v>0</v>
      </c>
      <c r="P67" s="134">
        <v>0.36</v>
      </c>
      <c r="Q67" s="134">
        <v>4.32</v>
      </c>
    </row>
    <row r="68" spans="1:17">
      <c r="A68" s="112" t="s">
        <v>2985</v>
      </c>
      <c r="B68" s="134">
        <v>2</v>
      </c>
      <c r="C68" s="134">
        <v>16.649999999999999</v>
      </c>
      <c r="D68" s="134">
        <v>11.65</v>
      </c>
      <c r="E68" s="134">
        <v>4.42</v>
      </c>
      <c r="F68" s="134">
        <v>7.62</v>
      </c>
      <c r="G68" s="134">
        <v>63.5</v>
      </c>
      <c r="H68" s="134">
        <v>9.7200000000000006</v>
      </c>
      <c r="I68" s="134">
        <v>3.79</v>
      </c>
      <c r="J68" s="134">
        <v>0.48</v>
      </c>
      <c r="K68" s="134">
        <v>8.8800000000000008</v>
      </c>
      <c r="L68" s="134">
        <v>31.91</v>
      </c>
      <c r="M68" s="134">
        <v>52.26</v>
      </c>
      <c r="N68" s="134">
        <v>238.7</v>
      </c>
      <c r="O68" s="134">
        <v>0</v>
      </c>
      <c r="P68" s="134">
        <v>0.38</v>
      </c>
      <c r="Q68" s="134">
        <v>4.4000000000000004</v>
      </c>
    </row>
    <row r="69" spans="1:17">
      <c r="A69" s="112" t="s">
        <v>2986</v>
      </c>
      <c r="B69" s="134">
        <v>2</v>
      </c>
      <c r="C69" s="134">
        <v>17.47</v>
      </c>
      <c r="D69" s="134">
        <v>12.08</v>
      </c>
      <c r="E69" s="134">
        <v>4.3899999999999997</v>
      </c>
      <c r="F69" s="134">
        <v>6.87</v>
      </c>
      <c r="G69" s="134">
        <v>63.8</v>
      </c>
      <c r="H69" s="134">
        <v>9.7200000000000006</v>
      </c>
      <c r="I69" s="134">
        <v>3.68</v>
      </c>
      <c r="J69" s="134">
        <v>0.3</v>
      </c>
      <c r="K69" s="134">
        <v>318.86</v>
      </c>
      <c r="L69" s="134">
        <v>31.7</v>
      </c>
      <c r="M69" s="134">
        <v>53.42</v>
      </c>
      <c r="N69" s="134">
        <v>194.5</v>
      </c>
      <c r="O69" s="134">
        <v>0</v>
      </c>
      <c r="P69" s="134">
        <v>0.38</v>
      </c>
      <c r="Q69" s="134">
        <v>4.41</v>
      </c>
    </row>
    <row r="70" spans="1:17">
      <c r="A70" s="112" t="s">
        <v>2987</v>
      </c>
      <c r="B70" s="134">
        <v>2.1</v>
      </c>
      <c r="C70" s="134">
        <v>17.96</v>
      </c>
      <c r="D70" s="134">
        <v>12.42</v>
      </c>
      <c r="E70" s="134">
        <v>4.82</v>
      </c>
      <c r="F70" s="134">
        <v>8.23</v>
      </c>
      <c r="G70" s="134">
        <v>63.8</v>
      </c>
      <c r="H70" s="134">
        <v>9.7200000000000006</v>
      </c>
      <c r="I70" s="134">
        <v>3.63</v>
      </c>
      <c r="J70" s="134">
        <v>0.32</v>
      </c>
      <c r="K70" s="134">
        <v>26.61</v>
      </c>
      <c r="L70" s="134">
        <v>31.83</v>
      </c>
      <c r="M70" s="134">
        <v>54.07</v>
      </c>
      <c r="N70" s="134">
        <v>402.9</v>
      </c>
      <c r="O70" s="134">
        <v>0</v>
      </c>
      <c r="P70" s="134">
        <v>0.38</v>
      </c>
      <c r="Q70" s="134">
        <v>4.37</v>
      </c>
    </row>
    <row r="71" spans="1:17">
      <c r="A71" s="112" t="s">
        <v>2988</v>
      </c>
      <c r="B71" s="134">
        <v>2.14</v>
      </c>
      <c r="C71" s="134">
        <v>18.34</v>
      </c>
      <c r="D71" s="134">
        <v>12.65</v>
      </c>
      <c r="E71" s="134">
        <v>4.01</v>
      </c>
      <c r="F71" s="134">
        <v>6.82</v>
      </c>
      <c r="G71" s="134">
        <v>63.8</v>
      </c>
      <c r="H71" s="134">
        <v>9.7200000000000006</v>
      </c>
      <c r="I71" s="134">
        <v>3.62</v>
      </c>
      <c r="J71" s="134">
        <v>0.22</v>
      </c>
      <c r="K71" s="134">
        <v>304.31</v>
      </c>
      <c r="L71" s="134">
        <v>32.700000000000003</v>
      </c>
      <c r="M71" s="134">
        <v>51.8</v>
      </c>
      <c r="N71" s="134">
        <v>353.6</v>
      </c>
      <c r="O71" s="134">
        <v>0</v>
      </c>
      <c r="P71" s="134">
        <v>0.37</v>
      </c>
      <c r="Q71" s="134">
        <v>4.4000000000000004</v>
      </c>
    </row>
    <row r="72" spans="1:17">
      <c r="A72" s="112" t="s">
        <v>2989</v>
      </c>
      <c r="B72" s="134">
        <v>2.02</v>
      </c>
      <c r="C72" s="134">
        <v>18.260000000000002</v>
      </c>
      <c r="D72" s="134">
        <v>12.51</v>
      </c>
      <c r="E72" s="134">
        <v>3.88</v>
      </c>
      <c r="F72" s="134">
        <v>7.17</v>
      </c>
      <c r="G72" s="134">
        <v>74.13</v>
      </c>
      <c r="H72" s="134">
        <v>17.149999999999999</v>
      </c>
      <c r="I72" s="134">
        <v>3.52</v>
      </c>
      <c r="J72" s="134">
        <v>0.46</v>
      </c>
      <c r="K72" s="134">
        <v>278.02</v>
      </c>
      <c r="L72" s="134">
        <v>32.33</v>
      </c>
      <c r="M72" s="134">
        <v>53.64</v>
      </c>
      <c r="N72" s="134">
        <v>286.8</v>
      </c>
      <c r="O72" s="134">
        <v>0</v>
      </c>
      <c r="P72" s="134">
        <v>0.37</v>
      </c>
      <c r="Q72" s="134">
        <v>4.46</v>
      </c>
    </row>
    <row r="73" spans="1:17">
      <c r="A73" s="112" t="s">
        <v>2990</v>
      </c>
      <c r="B73" s="134">
        <v>2.19</v>
      </c>
      <c r="C73" s="134">
        <v>17.97</v>
      </c>
      <c r="D73" s="134">
        <v>12.5</v>
      </c>
      <c r="E73" s="134">
        <v>3.59</v>
      </c>
      <c r="F73" s="134">
        <v>7.76</v>
      </c>
      <c r="G73" s="134">
        <v>74.73</v>
      </c>
      <c r="H73" s="134">
        <v>17.149999999999999</v>
      </c>
      <c r="I73" s="134">
        <v>3.59</v>
      </c>
      <c r="J73" s="134">
        <v>0.46</v>
      </c>
      <c r="K73" s="134">
        <v>322.27999999999997</v>
      </c>
      <c r="L73" s="134">
        <v>32.4</v>
      </c>
      <c r="M73" s="134">
        <v>51.94</v>
      </c>
      <c r="N73" s="134">
        <v>267.3</v>
      </c>
      <c r="O73" s="134">
        <v>0</v>
      </c>
      <c r="P73" s="134">
        <v>0.37</v>
      </c>
      <c r="Q73" s="134">
        <v>4.42</v>
      </c>
    </row>
    <row r="74" spans="1:17">
      <c r="A74" s="112" t="s">
        <v>2991</v>
      </c>
      <c r="B74" s="134">
        <v>2.71</v>
      </c>
      <c r="C74" s="134">
        <v>18.02</v>
      </c>
      <c r="D74" s="134">
        <v>12.94</v>
      </c>
      <c r="E74" s="134">
        <v>3.84</v>
      </c>
      <c r="F74" s="134">
        <v>7.69</v>
      </c>
      <c r="G74" s="134">
        <v>74.73</v>
      </c>
      <c r="H74" s="134">
        <v>17.149999999999999</v>
      </c>
      <c r="I74" s="134">
        <v>3.55</v>
      </c>
      <c r="J74" s="134">
        <v>0.44</v>
      </c>
      <c r="K74" s="134">
        <v>303.04000000000002</v>
      </c>
      <c r="L74" s="134">
        <v>32.17</v>
      </c>
      <c r="M74" s="134">
        <v>53.57</v>
      </c>
      <c r="N74" s="134">
        <v>220.2</v>
      </c>
      <c r="O74" s="134">
        <v>0</v>
      </c>
      <c r="P74" s="134">
        <v>0.36</v>
      </c>
      <c r="Q74" s="134">
        <v>4.42</v>
      </c>
    </row>
    <row r="75" spans="1:17">
      <c r="A75" s="112" t="s">
        <v>2992</v>
      </c>
      <c r="B75" s="134">
        <v>2.8</v>
      </c>
      <c r="C75" s="134">
        <v>18.149999999999999</v>
      </c>
      <c r="D75" s="134">
        <v>13.08</v>
      </c>
      <c r="E75" s="134">
        <v>3.85</v>
      </c>
      <c r="F75" s="134">
        <v>7</v>
      </c>
      <c r="G75" s="134">
        <v>74.73</v>
      </c>
      <c r="H75" s="134">
        <v>17.149999999999999</v>
      </c>
      <c r="I75" s="134">
        <v>3.49</v>
      </c>
      <c r="J75" s="134">
        <v>0.52</v>
      </c>
      <c r="K75" s="134">
        <v>279.58999999999997</v>
      </c>
      <c r="L75" s="134">
        <v>31.78</v>
      </c>
      <c r="M75" s="134">
        <v>54.9</v>
      </c>
      <c r="N75" s="134">
        <v>130.9</v>
      </c>
      <c r="O75" s="134">
        <v>0</v>
      </c>
      <c r="P75" s="134">
        <v>0.36</v>
      </c>
      <c r="Q75" s="134">
        <v>4.43</v>
      </c>
    </row>
    <row r="76" spans="1:17">
      <c r="A76" s="112" t="s">
        <v>2993</v>
      </c>
      <c r="B76" s="134">
        <v>2.93</v>
      </c>
      <c r="C76" s="134">
        <v>17.920000000000002</v>
      </c>
      <c r="D76" s="134">
        <v>13.06</v>
      </c>
      <c r="E76" s="134">
        <v>3.88</v>
      </c>
      <c r="F76" s="134">
        <v>6.75</v>
      </c>
      <c r="G76" s="134">
        <v>69.53</v>
      </c>
      <c r="H76" s="134">
        <v>16</v>
      </c>
      <c r="I76" s="134">
        <v>3.46</v>
      </c>
      <c r="J76" s="134">
        <v>0.48</v>
      </c>
      <c r="K76" s="134">
        <v>291.39999999999998</v>
      </c>
      <c r="L76" s="134">
        <v>31.17</v>
      </c>
      <c r="M76" s="134">
        <v>54.74</v>
      </c>
      <c r="N76" s="134">
        <v>64.099999999999994</v>
      </c>
      <c r="O76" s="134">
        <v>0</v>
      </c>
      <c r="P76" s="134">
        <v>0.35</v>
      </c>
      <c r="Q76" s="134">
        <v>4.46</v>
      </c>
    </row>
    <row r="77" spans="1:17">
      <c r="A77" s="112" t="s">
        <v>2994</v>
      </c>
      <c r="B77" s="134">
        <v>3.38</v>
      </c>
      <c r="C77" s="134">
        <v>18.510000000000002</v>
      </c>
      <c r="D77" s="134">
        <v>13.73</v>
      </c>
      <c r="E77" s="134">
        <v>3.72</v>
      </c>
      <c r="F77" s="134">
        <v>6.22</v>
      </c>
      <c r="G77" s="134">
        <v>69.22</v>
      </c>
      <c r="H77" s="134">
        <v>16</v>
      </c>
      <c r="I77" s="134">
        <v>3.44</v>
      </c>
      <c r="J77" s="134">
        <v>0.46</v>
      </c>
      <c r="K77" s="134">
        <v>275.36</v>
      </c>
      <c r="L77" s="134">
        <v>30.7</v>
      </c>
      <c r="M77" s="134">
        <v>57.99</v>
      </c>
      <c r="N77" s="134">
        <v>48</v>
      </c>
      <c r="O77" s="134">
        <v>0</v>
      </c>
      <c r="P77" s="134">
        <v>0.37</v>
      </c>
      <c r="Q77" s="134">
        <v>4.4400000000000004</v>
      </c>
    </row>
    <row r="78" spans="1:17">
      <c r="A78" s="112" t="s">
        <v>2995</v>
      </c>
      <c r="B78" s="134">
        <v>3.38</v>
      </c>
      <c r="C78" s="134">
        <v>16.829999999999998</v>
      </c>
      <c r="D78" s="134">
        <v>12.86</v>
      </c>
      <c r="E78" s="134">
        <v>3.63</v>
      </c>
      <c r="F78" s="134">
        <v>7.59</v>
      </c>
      <c r="G78" s="134">
        <v>69.22</v>
      </c>
      <c r="H78" s="134">
        <v>16</v>
      </c>
      <c r="I78" s="134">
        <v>3.42</v>
      </c>
      <c r="J78" s="134">
        <v>0.63</v>
      </c>
      <c r="K78" s="134">
        <v>265.33999999999997</v>
      </c>
      <c r="L78" s="134">
        <v>30.3</v>
      </c>
      <c r="M78" s="134">
        <v>62.6</v>
      </c>
      <c r="N78" s="134">
        <v>53.5</v>
      </c>
      <c r="O78" s="134">
        <v>0</v>
      </c>
      <c r="P78" s="134">
        <v>0.35</v>
      </c>
      <c r="Q78" s="134">
        <v>4.47</v>
      </c>
    </row>
    <row r="79" spans="1:17">
      <c r="A79" s="112" t="s">
        <v>2996</v>
      </c>
      <c r="B79" s="134">
        <v>3.2</v>
      </c>
      <c r="C79" s="134">
        <v>16.09</v>
      </c>
      <c r="D79" s="134">
        <v>12.33</v>
      </c>
      <c r="E79" s="134">
        <v>5.35</v>
      </c>
      <c r="F79" s="134">
        <v>8.44</v>
      </c>
      <c r="G79" s="134">
        <v>69.22</v>
      </c>
      <c r="H79" s="134">
        <v>16</v>
      </c>
      <c r="I79" s="134">
        <v>3.43</v>
      </c>
      <c r="J79" s="134">
        <v>0.55000000000000004</v>
      </c>
      <c r="K79" s="134">
        <v>260.64999999999998</v>
      </c>
      <c r="L79" s="134">
        <v>29.88</v>
      </c>
      <c r="M79" s="134">
        <v>64.37</v>
      </c>
      <c r="N79" s="134">
        <v>23.9</v>
      </c>
      <c r="O79" s="134">
        <v>0</v>
      </c>
      <c r="P79" s="134">
        <v>0.36</v>
      </c>
      <c r="Q79" s="134">
        <v>4.4400000000000004</v>
      </c>
    </row>
    <row r="80" spans="1:17">
      <c r="A80" s="112" t="s">
        <v>2997</v>
      </c>
      <c r="B80" s="134">
        <v>3.18</v>
      </c>
      <c r="C80" s="134">
        <v>15.97</v>
      </c>
      <c r="D80" s="134">
        <v>12.25</v>
      </c>
      <c r="E80" s="134">
        <v>4.3</v>
      </c>
      <c r="F80" s="134">
        <v>7.76</v>
      </c>
      <c r="G80" s="134">
        <v>69</v>
      </c>
      <c r="H80" s="134">
        <v>17.850000000000001</v>
      </c>
      <c r="I80" s="134">
        <v>3.42</v>
      </c>
      <c r="J80" s="134">
        <v>0.68</v>
      </c>
      <c r="K80" s="134">
        <v>263.57</v>
      </c>
      <c r="L80" s="134">
        <v>29.52</v>
      </c>
      <c r="M80" s="134">
        <v>64.48</v>
      </c>
      <c r="N80" s="134">
        <v>6.8</v>
      </c>
      <c r="O80" s="134">
        <v>0</v>
      </c>
      <c r="P80" s="134">
        <v>0.36</v>
      </c>
      <c r="Q80" s="134">
        <v>4.41</v>
      </c>
    </row>
    <row r="81" spans="1:17">
      <c r="A81" s="112" t="s">
        <v>2998</v>
      </c>
      <c r="B81" s="134">
        <v>3.19</v>
      </c>
      <c r="C81" s="134">
        <v>15.38</v>
      </c>
      <c r="D81" s="134">
        <v>11.94</v>
      </c>
      <c r="E81" s="134">
        <v>2.09</v>
      </c>
      <c r="F81" s="134">
        <v>7.88</v>
      </c>
      <c r="G81" s="134">
        <v>68.989999999999995</v>
      </c>
      <c r="H81" s="134">
        <v>17.850000000000001</v>
      </c>
      <c r="I81" s="134">
        <v>3.46</v>
      </c>
      <c r="J81" s="134">
        <v>0.23</v>
      </c>
      <c r="K81" s="134">
        <v>238.92</v>
      </c>
      <c r="L81" s="134">
        <v>29.11</v>
      </c>
      <c r="M81" s="134">
        <v>68.849999999999994</v>
      </c>
      <c r="N81" s="134">
        <v>0</v>
      </c>
      <c r="O81" s="134">
        <v>0</v>
      </c>
      <c r="P81" s="134">
        <v>0.35</v>
      </c>
      <c r="Q81" s="134">
        <v>4.4000000000000004</v>
      </c>
    </row>
    <row r="82" spans="1:17">
      <c r="A82" s="112" t="s">
        <v>2999</v>
      </c>
      <c r="B82" s="134">
        <v>3.07</v>
      </c>
      <c r="C82" s="134">
        <v>15.02</v>
      </c>
      <c r="D82" s="134">
        <v>11.66</v>
      </c>
      <c r="E82" s="134">
        <v>2.96</v>
      </c>
      <c r="F82" s="134">
        <v>8.27</v>
      </c>
      <c r="G82" s="134">
        <v>68.989999999999995</v>
      </c>
      <c r="H82" s="134">
        <v>17.850000000000001</v>
      </c>
      <c r="I82" s="134">
        <v>3.42</v>
      </c>
      <c r="J82" s="134">
        <v>0.17</v>
      </c>
      <c r="K82" s="134">
        <v>251.32</v>
      </c>
      <c r="L82" s="134">
        <v>28.68</v>
      </c>
      <c r="M82" s="134">
        <v>71.8</v>
      </c>
      <c r="N82" s="134">
        <v>0</v>
      </c>
      <c r="O82" s="134">
        <v>0</v>
      </c>
      <c r="P82" s="134">
        <v>0.34</v>
      </c>
      <c r="Q82" s="134">
        <v>4.4000000000000004</v>
      </c>
    </row>
    <row r="83" spans="1:17">
      <c r="A83" s="112" t="s">
        <v>3000</v>
      </c>
      <c r="B83" s="134">
        <v>2.9</v>
      </c>
      <c r="C83" s="134">
        <v>13.95</v>
      </c>
      <c r="D83" s="134">
        <v>10.97</v>
      </c>
      <c r="E83" s="134">
        <v>2.9</v>
      </c>
      <c r="F83" s="134">
        <v>10.07</v>
      </c>
      <c r="G83" s="134">
        <v>68.989999999999995</v>
      </c>
      <c r="H83" s="134">
        <v>17.850000000000001</v>
      </c>
      <c r="I83" s="134">
        <v>3.35</v>
      </c>
      <c r="J83" s="134">
        <v>0.19</v>
      </c>
      <c r="K83" s="134">
        <v>155.71</v>
      </c>
      <c r="L83" s="134">
        <v>28.33</v>
      </c>
      <c r="M83" s="134">
        <v>74</v>
      </c>
      <c r="N83" s="134">
        <v>0</v>
      </c>
      <c r="O83" s="134">
        <v>0</v>
      </c>
      <c r="P83" s="134">
        <v>0.34</v>
      </c>
      <c r="Q83" s="134">
        <v>4.3899999999999997</v>
      </c>
    </row>
    <row r="84" spans="1:17">
      <c r="A84" s="112" t="s">
        <v>3001</v>
      </c>
      <c r="B84" s="134">
        <v>3.25</v>
      </c>
      <c r="C84" s="134">
        <v>15.93</v>
      </c>
      <c r="D84" s="134">
        <v>12.28</v>
      </c>
      <c r="E84" s="134">
        <v>3.17</v>
      </c>
      <c r="F84" s="134">
        <v>5.3</v>
      </c>
      <c r="G84" s="134">
        <v>59.25</v>
      </c>
      <c r="H84" s="134">
        <v>15.2</v>
      </c>
      <c r="I84" s="134">
        <v>3.23</v>
      </c>
      <c r="J84" s="134">
        <v>0.15</v>
      </c>
      <c r="K84" s="134">
        <v>155.03</v>
      </c>
      <c r="L84" s="134">
        <v>28.02</v>
      </c>
      <c r="M84" s="134">
        <v>77.27</v>
      </c>
      <c r="N84" s="134">
        <v>0</v>
      </c>
      <c r="O84" s="134">
        <v>0</v>
      </c>
      <c r="P84" s="134">
        <v>0.37</v>
      </c>
      <c r="Q84" s="134">
        <v>4.4400000000000004</v>
      </c>
    </row>
    <row r="85" spans="1:17">
      <c r="A85" s="112" t="s">
        <v>3002</v>
      </c>
      <c r="B85" s="134">
        <v>3.78</v>
      </c>
      <c r="C85" s="134">
        <v>16.829999999999998</v>
      </c>
      <c r="D85" s="134">
        <v>13.17</v>
      </c>
      <c r="E85" s="134">
        <v>3.43</v>
      </c>
      <c r="F85" s="134">
        <v>5.81</v>
      </c>
      <c r="G85" s="134">
        <v>58.68</v>
      </c>
      <c r="H85" s="134">
        <v>15.2</v>
      </c>
      <c r="I85" s="134">
        <v>3.19</v>
      </c>
      <c r="J85" s="134">
        <v>0.17</v>
      </c>
      <c r="K85" s="134">
        <v>162.53</v>
      </c>
      <c r="L85" s="134">
        <v>27.74</v>
      </c>
      <c r="M85" s="134">
        <v>78.09</v>
      </c>
      <c r="N85" s="134">
        <v>0</v>
      </c>
      <c r="O85" s="134">
        <v>0</v>
      </c>
      <c r="P85" s="134">
        <v>0.38</v>
      </c>
      <c r="Q85" s="134">
        <v>4.49</v>
      </c>
    </row>
    <row r="86" spans="1:17">
      <c r="A86" s="112" t="s">
        <v>3003</v>
      </c>
      <c r="B86" s="134">
        <v>3.83</v>
      </c>
      <c r="C86" s="134">
        <v>15.66</v>
      </c>
      <c r="D86" s="134">
        <v>12.6</v>
      </c>
      <c r="E86" s="134">
        <v>3.02</v>
      </c>
      <c r="F86" s="134">
        <v>6.9</v>
      </c>
      <c r="G86" s="134">
        <v>58.68</v>
      </c>
      <c r="H86" s="134">
        <v>15.2</v>
      </c>
      <c r="I86" s="134">
        <v>3.42</v>
      </c>
      <c r="J86" s="134">
        <v>0.09</v>
      </c>
      <c r="K86" s="134">
        <v>174.75</v>
      </c>
      <c r="L86" s="134">
        <v>27.54</v>
      </c>
      <c r="M86" s="134">
        <v>79.239999999999995</v>
      </c>
      <c r="N86" s="134">
        <v>0</v>
      </c>
      <c r="O86" s="134">
        <v>0</v>
      </c>
      <c r="P86" s="134">
        <v>0.38</v>
      </c>
      <c r="Q86" s="134">
        <v>4.47</v>
      </c>
    </row>
    <row r="87" spans="1:17">
      <c r="A87" s="112" t="s">
        <v>3004</v>
      </c>
      <c r="B87" s="134">
        <v>3.79</v>
      </c>
      <c r="C87" s="134">
        <v>14.55</v>
      </c>
      <c r="D87" s="134">
        <v>11.99</v>
      </c>
      <c r="E87" s="134">
        <v>3.59</v>
      </c>
      <c r="F87" s="134">
        <v>7.57</v>
      </c>
      <c r="G87" s="134">
        <v>58.68</v>
      </c>
      <c r="H87" s="134">
        <v>15.2</v>
      </c>
      <c r="I87" s="134">
        <v>3.57</v>
      </c>
      <c r="J87" s="134">
        <v>0.11</v>
      </c>
      <c r="K87" s="134">
        <v>234.77</v>
      </c>
      <c r="L87" s="134">
        <v>27.4</v>
      </c>
      <c r="M87" s="134">
        <v>80.209999999999994</v>
      </c>
      <c r="N87" s="134">
        <v>0</v>
      </c>
      <c r="O87" s="134">
        <v>0</v>
      </c>
      <c r="P87" s="134">
        <v>0.37</v>
      </c>
      <c r="Q87" s="134">
        <v>4.4000000000000004</v>
      </c>
    </row>
    <row r="88" spans="1:17">
      <c r="A88" s="112" t="s">
        <v>3005</v>
      </c>
      <c r="B88" s="134">
        <v>3.54</v>
      </c>
      <c r="C88" s="134">
        <v>13.72</v>
      </c>
      <c r="D88" s="134">
        <v>11.36</v>
      </c>
      <c r="E88" s="134">
        <v>3.1</v>
      </c>
      <c r="F88" s="134">
        <v>8.81</v>
      </c>
      <c r="G88" s="134">
        <v>54.29</v>
      </c>
      <c r="H88" s="134">
        <v>12.9</v>
      </c>
      <c r="I88" s="134">
        <v>3.65</v>
      </c>
      <c r="J88" s="134">
        <v>0.13</v>
      </c>
      <c r="K88" s="134">
        <v>254.83</v>
      </c>
      <c r="L88" s="134">
        <v>27.31</v>
      </c>
      <c r="M88" s="134">
        <v>81.239999999999995</v>
      </c>
      <c r="N88" s="134">
        <v>0</v>
      </c>
      <c r="O88" s="134">
        <v>0</v>
      </c>
      <c r="P88" s="134">
        <v>0.36</v>
      </c>
      <c r="Q88" s="134">
        <v>4.4000000000000004</v>
      </c>
    </row>
    <row r="89" spans="1:17">
      <c r="A89" s="112" t="s">
        <v>3006</v>
      </c>
      <c r="B89" s="134">
        <v>3.88</v>
      </c>
      <c r="C89" s="134">
        <v>13.88</v>
      </c>
      <c r="D89" s="134">
        <v>11.71</v>
      </c>
      <c r="E89" s="134">
        <v>3.53</v>
      </c>
      <c r="F89" s="134">
        <v>7.38</v>
      </c>
      <c r="G89" s="134">
        <v>54.03</v>
      </c>
      <c r="H89" s="134">
        <v>12.9</v>
      </c>
      <c r="I89" s="134">
        <v>3.53</v>
      </c>
      <c r="J89" s="134">
        <v>0.43</v>
      </c>
      <c r="K89" s="134">
        <v>268.08999999999997</v>
      </c>
      <c r="L89" s="134">
        <v>27.57</v>
      </c>
      <c r="M89" s="134">
        <v>78.53</v>
      </c>
      <c r="N89" s="134">
        <v>0</v>
      </c>
      <c r="O89" s="134">
        <v>0</v>
      </c>
      <c r="P89" s="134">
        <v>0.36</v>
      </c>
      <c r="Q89" s="134">
        <v>4.41</v>
      </c>
    </row>
    <row r="90" spans="1:17">
      <c r="A90" s="112" t="s">
        <v>3007</v>
      </c>
      <c r="B90" s="134">
        <v>4.12</v>
      </c>
      <c r="C90" s="134">
        <v>15.03</v>
      </c>
      <c r="D90" s="134">
        <v>12.51</v>
      </c>
      <c r="E90" s="134">
        <v>3.73</v>
      </c>
      <c r="F90" s="134">
        <v>5.62</v>
      </c>
      <c r="G90" s="134">
        <v>54.03</v>
      </c>
      <c r="H90" s="134">
        <v>12.9</v>
      </c>
      <c r="I90" s="134">
        <v>3.44</v>
      </c>
      <c r="J90" s="134">
        <v>0.84</v>
      </c>
      <c r="K90" s="134">
        <v>293.20999999999998</v>
      </c>
      <c r="L90" s="134">
        <v>27.68</v>
      </c>
      <c r="M90" s="134">
        <v>75.849999999999994</v>
      </c>
      <c r="N90" s="134">
        <v>0</v>
      </c>
      <c r="O90" s="134">
        <v>0</v>
      </c>
      <c r="P90" s="134">
        <v>0.37</v>
      </c>
      <c r="Q90" s="134">
        <v>4.4000000000000004</v>
      </c>
    </row>
    <row r="91" spans="1:17">
      <c r="A91" s="112" t="s">
        <v>3008</v>
      </c>
      <c r="B91" s="134">
        <v>4.72</v>
      </c>
      <c r="C91" s="134">
        <v>17.73</v>
      </c>
      <c r="D91" s="134">
        <v>14.39</v>
      </c>
      <c r="E91" s="134">
        <v>3.88</v>
      </c>
      <c r="F91" s="134">
        <v>3.36</v>
      </c>
      <c r="G91" s="134">
        <v>54.03</v>
      </c>
      <c r="H91" s="134">
        <v>12.9</v>
      </c>
      <c r="I91" s="134">
        <v>3.58</v>
      </c>
      <c r="J91" s="134">
        <v>0.7</v>
      </c>
      <c r="K91" s="134">
        <v>287.33</v>
      </c>
      <c r="L91" s="134">
        <v>27.28</v>
      </c>
      <c r="M91" s="134">
        <v>74.44</v>
      </c>
      <c r="N91" s="134">
        <v>0</v>
      </c>
      <c r="O91" s="134">
        <v>0</v>
      </c>
      <c r="P91" s="134">
        <v>0.41</v>
      </c>
      <c r="Q91" s="134">
        <v>4.46</v>
      </c>
    </row>
    <row r="92" spans="1:17">
      <c r="A92" s="112" t="s">
        <v>3009</v>
      </c>
      <c r="B92" s="134">
        <v>5.08</v>
      </c>
      <c r="C92" s="134">
        <v>17.47</v>
      </c>
      <c r="D92" s="134">
        <v>14.55</v>
      </c>
      <c r="E92" s="134">
        <v>3.54</v>
      </c>
      <c r="F92" s="134">
        <v>3.91</v>
      </c>
      <c r="G92" s="134">
        <v>48.72</v>
      </c>
      <c r="H92" s="134">
        <v>10.74</v>
      </c>
      <c r="I92" s="134">
        <v>3.71</v>
      </c>
      <c r="J92" s="134">
        <v>0.4</v>
      </c>
      <c r="K92" s="134">
        <v>269.33</v>
      </c>
      <c r="L92" s="134">
        <v>27.2</v>
      </c>
      <c r="M92" s="134">
        <v>70.91</v>
      </c>
      <c r="N92" s="134">
        <v>0</v>
      </c>
      <c r="O92" s="134">
        <v>0</v>
      </c>
      <c r="P92" s="134">
        <v>0.4</v>
      </c>
      <c r="Q92" s="134">
        <v>4.49</v>
      </c>
    </row>
    <row r="93" spans="1:17">
      <c r="A93" s="112" t="s">
        <v>3010</v>
      </c>
      <c r="B93" s="134">
        <v>5.17</v>
      </c>
      <c r="C93" s="134">
        <v>17.010000000000002</v>
      </c>
      <c r="D93" s="134">
        <v>14.38</v>
      </c>
      <c r="E93" s="134">
        <v>3.28</v>
      </c>
      <c r="F93" s="134">
        <v>5.47</v>
      </c>
      <c r="G93" s="134">
        <v>48.41</v>
      </c>
      <c r="H93" s="134">
        <v>10.74</v>
      </c>
      <c r="I93" s="134">
        <v>3.81</v>
      </c>
      <c r="J93" s="134">
        <v>0.17</v>
      </c>
      <c r="K93" s="134">
        <v>25.14</v>
      </c>
      <c r="L93" s="134">
        <v>27.03</v>
      </c>
      <c r="M93" s="134">
        <v>69.930000000000007</v>
      </c>
      <c r="N93" s="134">
        <v>0</v>
      </c>
      <c r="O93" s="134">
        <v>0</v>
      </c>
      <c r="P93" s="134">
        <v>0.4</v>
      </c>
      <c r="Q93" s="134">
        <v>4.4800000000000004</v>
      </c>
    </row>
    <row r="94" spans="1:17">
      <c r="A94" s="112" t="s">
        <v>3011</v>
      </c>
      <c r="B94" s="134">
        <v>5.55</v>
      </c>
      <c r="C94" s="134">
        <v>17.43</v>
      </c>
      <c r="D94" s="134">
        <v>14.91</v>
      </c>
      <c r="E94" s="134">
        <v>3.36</v>
      </c>
      <c r="F94" s="134">
        <v>5.25</v>
      </c>
      <c r="G94" s="134">
        <v>48.41</v>
      </c>
      <c r="H94" s="134">
        <v>10.74</v>
      </c>
      <c r="I94" s="134">
        <v>3.73</v>
      </c>
      <c r="J94" s="134">
        <v>0.19</v>
      </c>
      <c r="K94" s="134">
        <v>293.18</v>
      </c>
      <c r="L94" s="134">
        <v>26.89</v>
      </c>
      <c r="M94" s="134">
        <v>66.45</v>
      </c>
      <c r="N94" s="134">
        <v>0</v>
      </c>
      <c r="O94" s="134">
        <v>0</v>
      </c>
      <c r="P94" s="134">
        <v>0.4</v>
      </c>
      <c r="Q94" s="134">
        <v>4.45</v>
      </c>
    </row>
    <row r="95" spans="1:17">
      <c r="A95" s="112" t="s">
        <v>3012</v>
      </c>
      <c r="B95" s="134">
        <v>6.43</v>
      </c>
      <c r="C95" s="134">
        <v>17.89</v>
      </c>
      <c r="D95" s="134">
        <v>15.86</v>
      </c>
      <c r="E95" s="134">
        <v>3.46</v>
      </c>
      <c r="F95" s="134">
        <v>4.17</v>
      </c>
      <c r="G95" s="134">
        <v>48.41</v>
      </c>
      <c r="H95" s="134">
        <v>10.74</v>
      </c>
      <c r="I95" s="134">
        <v>3.68</v>
      </c>
      <c r="J95" s="134">
        <v>0.27</v>
      </c>
      <c r="K95" s="134">
        <v>311.61</v>
      </c>
      <c r="L95" s="134">
        <v>26.94</v>
      </c>
      <c r="M95" s="134">
        <v>64.3</v>
      </c>
      <c r="N95" s="134">
        <v>0</v>
      </c>
      <c r="O95" s="134">
        <v>0</v>
      </c>
      <c r="P95" s="134">
        <v>0.39</v>
      </c>
      <c r="Q95" s="134">
        <v>4.4800000000000004</v>
      </c>
    </row>
    <row r="96" spans="1:17">
      <c r="A96" s="112" t="s">
        <v>3013</v>
      </c>
      <c r="B96" s="134">
        <v>6.17</v>
      </c>
      <c r="C96" s="134">
        <v>20.52</v>
      </c>
      <c r="D96" s="134">
        <v>17.02</v>
      </c>
      <c r="E96" s="134">
        <v>3.94</v>
      </c>
      <c r="F96" s="134">
        <v>2.12</v>
      </c>
      <c r="G96" s="134">
        <v>37.94</v>
      </c>
      <c r="H96" s="134">
        <v>7.52</v>
      </c>
      <c r="I96" s="134">
        <v>3.73</v>
      </c>
      <c r="J96" s="134">
        <v>0.1</v>
      </c>
      <c r="K96" s="134">
        <v>270.19</v>
      </c>
      <c r="L96" s="134">
        <v>26.87</v>
      </c>
      <c r="M96" s="134">
        <v>65.680000000000007</v>
      </c>
      <c r="N96" s="134">
        <v>0</v>
      </c>
      <c r="O96" s="134">
        <v>0</v>
      </c>
      <c r="P96" s="134">
        <v>0.43</v>
      </c>
      <c r="Q96" s="134">
        <v>4.5999999999999996</v>
      </c>
    </row>
    <row r="97" spans="1:21">
      <c r="A97" s="112" t="s">
        <v>3014</v>
      </c>
      <c r="B97" s="134">
        <v>6.54</v>
      </c>
      <c r="C97" s="134">
        <v>19.86</v>
      </c>
      <c r="D97" s="134">
        <v>16.97</v>
      </c>
      <c r="E97" s="134">
        <v>3.67</v>
      </c>
      <c r="F97" s="134">
        <v>2.64</v>
      </c>
      <c r="G97" s="134">
        <v>37.32</v>
      </c>
      <c r="H97" s="134">
        <v>7.52</v>
      </c>
      <c r="I97" s="134">
        <v>3.8</v>
      </c>
      <c r="J97" s="134">
        <v>0.06</v>
      </c>
      <c r="K97" s="134">
        <v>198.88</v>
      </c>
      <c r="L97" s="134">
        <v>26.72</v>
      </c>
      <c r="M97" s="134">
        <v>67.22</v>
      </c>
      <c r="N97" s="134">
        <v>0</v>
      </c>
      <c r="O97" s="134">
        <v>0</v>
      </c>
      <c r="P97" s="134">
        <v>0.42</v>
      </c>
      <c r="Q97" s="134">
        <v>4.63</v>
      </c>
    </row>
    <row r="98" spans="1:21">
      <c r="A98" s="112" t="s">
        <v>3015</v>
      </c>
      <c r="B98" s="134">
        <v>6.85</v>
      </c>
      <c r="C98" s="134">
        <v>19.489999999999998</v>
      </c>
      <c r="D98" s="134">
        <v>17.02</v>
      </c>
      <c r="E98" s="134">
        <v>6.74</v>
      </c>
      <c r="F98" s="134">
        <v>3.52</v>
      </c>
      <c r="G98" s="134">
        <v>37.32</v>
      </c>
      <c r="H98" s="134">
        <v>7.52</v>
      </c>
      <c r="I98" s="134">
        <v>3.93</v>
      </c>
      <c r="J98" s="134">
        <v>0.14000000000000001</v>
      </c>
      <c r="K98" s="134">
        <v>341.04</v>
      </c>
      <c r="L98" s="134">
        <v>26.72</v>
      </c>
      <c r="M98" s="134">
        <v>66.59</v>
      </c>
      <c r="N98" s="134">
        <v>0</v>
      </c>
      <c r="O98" s="134">
        <v>0</v>
      </c>
      <c r="P98" s="134">
        <v>0.42</v>
      </c>
      <c r="Q98" s="134">
        <v>4.62</v>
      </c>
    </row>
    <row r="99" spans="1:21">
      <c r="A99" s="112" t="s">
        <v>3016</v>
      </c>
      <c r="B99" s="134">
        <v>7.06</v>
      </c>
      <c r="C99" s="134">
        <v>19.53</v>
      </c>
      <c r="D99" s="134">
        <v>17.22</v>
      </c>
      <c r="E99" s="134">
        <v>5.95</v>
      </c>
      <c r="F99" s="134">
        <v>4</v>
      </c>
      <c r="G99" s="134">
        <v>37.32</v>
      </c>
      <c r="H99" s="134">
        <v>7.52</v>
      </c>
      <c r="I99" s="134">
        <v>3.87</v>
      </c>
      <c r="J99" s="134">
        <v>0.23</v>
      </c>
      <c r="K99" s="134">
        <v>307.14999999999998</v>
      </c>
      <c r="L99" s="134">
        <v>26.82</v>
      </c>
      <c r="M99" s="134">
        <v>66.14</v>
      </c>
      <c r="N99" s="134">
        <v>0</v>
      </c>
      <c r="O99" s="134">
        <v>0</v>
      </c>
      <c r="P99" s="134">
        <v>0.42</v>
      </c>
      <c r="Q99" s="134">
        <v>4.6399999999999997</v>
      </c>
    </row>
    <row r="100" spans="1:21">
      <c r="A100" s="112" t="s">
        <v>3017</v>
      </c>
      <c r="B100" s="134">
        <v>7.23</v>
      </c>
      <c r="C100" s="134">
        <v>20.18</v>
      </c>
      <c r="D100" s="134">
        <v>17.7</v>
      </c>
      <c r="E100" s="134">
        <v>5.57</v>
      </c>
      <c r="F100" s="134">
        <v>3.18</v>
      </c>
      <c r="G100" s="134">
        <v>47.33</v>
      </c>
      <c r="H100" s="134">
        <v>15.49</v>
      </c>
      <c r="I100" s="134">
        <v>3.85</v>
      </c>
      <c r="J100" s="134">
        <v>0.06</v>
      </c>
      <c r="K100" s="134">
        <v>305.35000000000002</v>
      </c>
      <c r="L100" s="134">
        <v>26.74</v>
      </c>
      <c r="M100" s="134">
        <v>68.5</v>
      </c>
      <c r="N100" s="134">
        <v>0</v>
      </c>
      <c r="O100" s="134">
        <v>0</v>
      </c>
      <c r="P100" s="134">
        <v>0.42</v>
      </c>
      <c r="Q100" s="134">
        <v>4.7</v>
      </c>
    </row>
    <row r="101" spans="1:21">
      <c r="A101" s="112" t="s">
        <v>3018</v>
      </c>
      <c r="B101" s="134">
        <v>8.1199999999999992</v>
      </c>
      <c r="C101" s="134">
        <v>21.58</v>
      </c>
      <c r="D101" s="134">
        <v>19.14</v>
      </c>
      <c r="E101" s="134">
        <v>4.74</v>
      </c>
      <c r="F101" s="134">
        <v>2.12</v>
      </c>
      <c r="G101" s="134">
        <v>47.91</v>
      </c>
      <c r="H101" s="134">
        <v>15.49</v>
      </c>
      <c r="I101" s="134">
        <v>3.93</v>
      </c>
      <c r="J101" s="134">
        <v>0.1</v>
      </c>
      <c r="K101" s="134">
        <v>26.99</v>
      </c>
      <c r="L101" s="134">
        <v>26.53</v>
      </c>
      <c r="M101" s="134">
        <v>70.319999999999993</v>
      </c>
      <c r="N101" s="134">
        <v>0</v>
      </c>
      <c r="O101" s="134">
        <v>0</v>
      </c>
      <c r="P101" s="134">
        <v>0.45</v>
      </c>
      <c r="Q101" s="134">
        <v>4.8</v>
      </c>
    </row>
    <row r="102" spans="1:21">
      <c r="A102" s="112" t="s">
        <v>3019</v>
      </c>
      <c r="B102" s="134">
        <v>9.7200000000000006</v>
      </c>
      <c r="C102" s="134">
        <v>21.73</v>
      </c>
      <c r="D102" s="134">
        <v>20.5</v>
      </c>
      <c r="E102" s="134">
        <v>5.82</v>
      </c>
      <c r="F102" s="134">
        <v>2.56</v>
      </c>
      <c r="G102" s="134">
        <v>47.91</v>
      </c>
      <c r="H102" s="134">
        <v>15.49</v>
      </c>
      <c r="I102" s="134">
        <v>4.04</v>
      </c>
      <c r="J102" s="134">
        <v>0.24</v>
      </c>
      <c r="K102" s="134">
        <v>13.96</v>
      </c>
      <c r="L102" s="134">
        <v>26.27</v>
      </c>
      <c r="M102" s="134">
        <v>72.400000000000006</v>
      </c>
      <c r="N102" s="134">
        <v>0</v>
      </c>
      <c r="O102" s="134">
        <v>0</v>
      </c>
      <c r="P102" s="134">
        <v>0.45</v>
      </c>
      <c r="Q102" s="134">
        <v>4.84</v>
      </c>
    </row>
    <row r="103" spans="1:21">
      <c r="A103" s="112" t="s">
        <v>3020</v>
      </c>
      <c r="B103" s="134">
        <v>10.54</v>
      </c>
      <c r="C103" s="134">
        <v>21.12</v>
      </c>
      <c r="D103" s="134">
        <v>20.84</v>
      </c>
      <c r="E103" s="134">
        <v>5</v>
      </c>
      <c r="F103" s="134">
        <v>2.95</v>
      </c>
      <c r="G103" s="134">
        <v>47.91</v>
      </c>
      <c r="H103" s="134">
        <v>15.49</v>
      </c>
      <c r="I103" s="134">
        <v>4.1399999999999997</v>
      </c>
      <c r="J103" s="134">
        <v>0.32</v>
      </c>
      <c r="K103" s="134">
        <v>30.74</v>
      </c>
      <c r="L103" s="134">
        <v>25.98</v>
      </c>
      <c r="M103" s="134">
        <v>76.069999999999993</v>
      </c>
      <c r="N103" s="134">
        <v>0</v>
      </c>
      <c r="O103" s="134">
        <v>0</v>
      </c>
      <c r="P103" s="134">
        <v>0.45</v>
      </c>
      <c r="Q103" s="134">
        <v>4.91</v>
      </c>
    </row>
    <row r="104" spans="1:21">
      <c r="A104" s="112" t="s">
        <v>3021</v>
      </c>
      <c r="B104" s="134">
        <v>10.54</v>
      </c>
      <c r="C104" s="134">
        <v>21.26</v>
      </c>
      <c r="D104" s="134">
        <v>20.91</v>
      </c>
      <c r="E104" s="134">
        <v>4.41</v>
      </c>
      <c r="F104" s="134">
        <v>2.7</v>
      </c>
      <c r="G104" s="134">
        <v>74.45</v>
      </c>
      <c r="H104" s="134">
        <v>26.1</v>
      </c>
      <c r="I104" s="134">
        <v>4.26</v>
      </c>
      <c r="J104" s="134">
        <v>0.23</v>
      </c>
      <c r="K104" s="134">
        <v>45.78</v>
      </c>
      <c r="L104" s="134">
        <v>25.76</v>
      </c>
      <c r="M104" s="134">
        <v>79.150000000000006</v>
      </c>
      <c r="N104" s="134">
        <v>0</v>
      </c>
      <c r="O104" s="134">
        <v>0</v>
      </c>
      <c r="P104" s="134">
        <v>0.45</v>
      </c>
      <c r="Q104" s="134">
        <v>4.96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2</v>
      </c>
      <c r="C106" s="183">
        <f>MIN(C9:C104)</f>
        <v>13.03</v>
      </c>
      <c r="D106" s="183">
        <f t="shared" ref="D106:Q106" si="0">MIN(D9:D104)</f>
        <v>10.97</v>
      </c>
      <c r="E106" s="183">
        <f t="shared" si="0"/>
        <v>2.09</v>
      </c>
      <c r="F106" s="183">
        <f t="shared" si="0"/>
        <v>1.9</v>
      </c>
      <c r="G106" s="183">
        <f t="shared" si="0"/>
        <v>37.32</v>
      </c>
      <c r="H106" s="183">
        <f t="shared" si="0"/>
        <v>7.52</v>
      </c>
      <c r="I106" s="183">
        <f t="shared" si="0"/>
        <v>3.08</v>
      </c>
      <c r="J106" s="183">
        <f t="shared" si="0"/>
        <v>-0.06</v>
      </c>
      <c r="K106" s="183">
        <f t="shared" si="0"/>
        <v>0.4</v>
      </c>
      <c r="L106" s="183">
        <f t="shared" si="0"/>
        <v>25.43</v>
      </c>
      <c r="M106" s="183">
        <f t="shared" si="0"/>
        <v>49.56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4.2300000000000004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11.35</v>
      </c>
      <c r="C107" s="184">
        <f t="shared" ref="C107:Q107" si="1">MAX(C9:C104)</f>
        <v>21.73</v>
      </c>
      <c r="D107" s="184">
        <f t="shared" si="1"/>
        <v>20.91</v>
      </c>
      <c r="E107" s="184">
        <f t="shared" si="1"/>
        <v>6.74</v>
      </c>
      <c r="F107" s="184">
        <f t="shared" si="1"/>
        <v>10.07</v>
      </c>
      <c r="G107" s="184">
        <f t="shared" si="1"/>
        <v>83.54</v>
      </c>
      <c r="H107" s="184">
        <f t="shared" si="1"/>
        <v>26.1</v>
      </c>
      <c r="I107" s="184">
        <f t="shared" si="1"/>
        <v>4.59</v>
      </c>
      <c r="J107" s="184">
        <f t="shared" si="1"/>
        <v>0.84</v>
      </c>
      <c r="K107" s="184">
        <f t="shared" si="1"/>
        <v>347.81</v>
      </c>
      <c r="L107" s="184">
        <f t="shared" si="1"/>
        <v>32.92</v>
      </c>
      <c r="M107" s="184">
        <f t="shared" si="1"/>
        <v>84.3</v>
      </c>
      <c r="N107" s="184">
        <f t="shared" si="1"/>
        <v>808.5</v>
      </c>
      <c r="O107" s="184">
        <f t="shared" si="1"/>
        <v>0</v>
      </c>
      <c r="P107" s="184">
        <f t="shared" si="1"/>
        <v>0.47</v>
      </c>
      <c r="Q107" s="184">
        <f t="shared" si="1"/>
        <v>4.96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6.5742105263157864</v>
      </c>
      <c r="C108" s="183">
        <f t="shared" ref="C108:Q108" si="2">AVERAGE(C9:C104)</f>
        <v>16.828000000000003</v>
      </c>
      <c r="D108" s="183">
        <f t="shared" si="2"/>
        <v>15.415368421052632</v>
      </c>
      <c r="E108" s="183">
        <f t="shared" si="2"/>
        <v>4.2622105263157888</v>
      </c>
      <c r="F108" s="183">
        <f t="shared" si="2"/>
        <v>4.8330526315789468</v>
      </c>
      <c r="G108" s="183">
        <f t="shared" si="2"/>
        <v>68.135227272727235</v>
      </c>
      <c r="H108" s="183">
        <f t="shared" si="2"/>
        <v>16.86000000000001</v>
      </c>
      <c r="I108" s="183">
        <f t="shared" si="2"/>
        <v>3.7497894736842126</v>
      </c>
      <c r="J108" s="183">
        <f t="shared" si="2"/>
        <v>0.39294736842105293</v>
      </c>
      <c r="K108" s="183">
        <f t="shared" si="2"/>
        <v>248.48684210526321</v>
      </c>
      <c r="L108" s="183">
        <f t="shared" si="2"/>
        <v>28.584947368421055</v>
      </c>
      <c r="M108" s="183">
        <f t="shared" si="2"/>
        <v>68.675263157894705</v>
      </c>
      <c r="N108" s="183">
        <f t="shared" si="2"/>
        <v>161.85578947368421</v>
      </c>
      <c r="O108" s="183">
        <f t="shared" si="2"/>
        <v>0</v>
      </c>
      <c r="P108" s="183">
        <f t="shared" si="2"/>
        <v>0.4015789473684212</v>
      </c>
      <c r="Q108" s="183">
        <f t="shared" si="2"/>
        <v>4.5175789473684196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2.8634942123467564</v>
      </c>
      <c r="C109" s="183">
        <f t="shared" ref="C109:Q109" si="3">STDEV(C9:C104)</f>
        <v>1.9269127551493783</v>
      </c>
      <c r="D109" s="183">
        <f t="shared" si="3"/>
        <v>2.7311153557157248</v>
      </c>
      <c r="E109" s="183">
        <f t="shared" si="3"/>
        <v>0.89577397765114797</v>
      </c>
      <c r="F109" s="183">
        <f t="shared" si="3"/>
        <v>2.0757311317323865</v>
      </c>
      <c r="G109" s="183">
        <f t="shared" si="3"/>
        <v>12.294180379843569</v>
      </c>
      <c r="H109" s="183">
        <f t="shared" si="3"/>
        <v>4.7014250713107621</v>
      </c>
      <c r="I109" s="183">
        <f t="shared" si="3"/>
        <v>0.41831470121154979</v>
      </c>
      <c r="J109" s="183">
        <f t="shared" si="3"/>
        <v>0.17359695117071311</v>
      </c>
      <c r="K109" s="183">
        <f t="shared" si="3"/>
        <v>91.073312043196054</v>
      </c>
      <c r="L109" s="183">
        <f t="shared" si="3"/>
        <v>2.5527402355049715</v>
      </c>
      <c r="M109" s="183">
        <f t="shared" si="3"/>
        <v>11.844524890295206</v>
      </c>
      <c r="N109" s="183">
        <f t="shared" si="3"/>
        <v>224.58892032114815</v>
      </c>
      <c r="O109" s="183">
        <f t="shared" si="3"/>
        <v>0</v>
      </c>
      <c r="P109" s="183">
        <f t="shared" si="3"/>
        <v>3.6446281936093936E-2</v>
      </c>
      <c r="Q109" s="183">
        <f t="shared" si="3"/>
        <v>0.17772627644584546</v>
      </c>
      <c r="R109" s="187"/>
      <c r="S109" s="187"/>
      <c r="T109" s="187"/>
      <c r="U109" s="187"/>
    </row>
    <row r="110" spans="1:21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1" t="s">
        <v>56</v>
      </c>
      <c r="C115" s="191"/>
      <c r="D115" s="19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2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30/08/2023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3022</v>
      </c>
      <c r="B9" s="134">
        <v>14.32</v>
      </c>
      <c r="C9" s="134">
        <v>22.46</v>
      </c>
      <c r="D9" s="134">
        <v>24.57</v>
      </c>
      <c r="E9" s="134">
        <v>4.24</v>
      </c>
      <c r="F9" s="134">
        <v>1.98</v>
      </c>
      <c r="G9" s="134">
        <v>76.010000000000005</v>
      </c>
      <c r="H9" s="134">
        <v>26.1</v>
      </c>
      <c r="I9" s="134">
        <v>4.3</v>
      </c>
      <c r="J9" s="134">
        <v>0.06</v>
      </c>
      <c r="K9" s="134">
        <v>199.51</v>
      </c>
      <c r="L9" s="134">
        <v>25.62</v>
      </c>
      <c r="M9" s="134">
        <v>80.930000000000007</v>
      </c>
      <c r="N9" s="134">
        <v>0</v>
      </c>
      <c r="O9" s="134">
        <v>0</v>
      </c>
      <c r="P9" s="134">
        <v>0.46</v>
      </c>
      <c r="Q9" s="134">
        <v>5.04</v>
      </c>
    </row>
    <row r="10" spans="1:21" customFormat="1">
      <c r="A10" s="112" t="s">
        <v>3023</v>
      </c>
      <c r="B10" s="134">
        <v>14.61</v>
      </c>
      <c r="C10" s="134">
        <v>21.08</v>
      </c>
      <c r="D10" s="134">
        <v>24.08</v>
      </c>
      <c r="E10" s="134">
        <v>3.97</v>
      </c>
      <c r="F10" s="134">
        <v>2.65</v>
      </c>
      <c r="G10" s="134">
        <v>76.010000000000005</v>
      </c>
      <c r="H10" s="134">
        <v>26.1</v>
      </c>
      <c r="I10" s="134">
        <v>4.32</v>
      </c>
      <c r="J10" s="134">
        <v>0.11</v>
      </c>
      <c r="K10" s="134">
        <v>193.57</v>
      </c>
      <c r="L10" s="134">
        <v>25.66</v>
      </c>
      <c r="M10" s="134">
        <v>81.12</v>
      </c>
      <c r="N10" s="134">
        <v>0</v>
      </c>
      <c r="O10" s="134">
        <v>0</v>
      </c>
      <c r="P10" s="134">
        <v>0.46</v>
      </c>
      <c r="Q10" s="134">
        <v>5.04</v>
      </c>
    </row>
    <row r="11" spans="1:21" customFormat="1">
      <c r="A11" s="112" t="s">
        <v>3024</v>
      </c>
      <c r="B11" s="134">
        <v>14.63</v>
      </c>
      <c r="C11" s="134">
        <v>20.440000000000001</v>
      </c>
      <c r="D11" s="134">
        <v>23.77</v>
      </c>
      <c r="E11" s="134">
        <v>4.83</v>
      </c>
      <c r="F11" s="134">
        <v>2.91</v>
      </c>
      <c r="G11" s="134">
        <v>76.010000000000005</v>
      </c>
      <c r="H11" s="134">
        <v>26.1</v>
      </c>
      <c r="I11" s="134">
        <v>4.41</v>
      </c>
      <c r="J11" s="134">
        <v>0.09</v>
      </c>
      <c r="K11" s="134">
        <v>88.56</v>
      </c>
      <c r="L11" s="134">
        <v>25.58</v>
      </c>
      <c r="M11" s="134">
        <v>82.32</v>
      </c>
      <c r="N11" s="134">
        <v>0</v>
      </c>
      <c r="O11" s="134">
        <v>0</v>
      </c>
      <c r="P11" s="134">
        <v>0.45</v>
      </c>
      <c r="Q11" s="134">
        <v>5</v>
      </c>
    </row>
    <row r="12" spans="1:21" customFormat="1">
      <c r="A12" s="112" t="s">
        <v>3025</v>
      </c>
      <c r="B12" s="134">
        <v>15.11</v>
      </c>
      <c r="C12" s="134">
        <v>21.02</v>
      </c>
      <c r="D12" s="134">
        <v>24.45</v>
      </c>
      <c r="E12" s="134">
        <v>4.3099999999999996</v>
      </c>
      <c r="F12" s="134">
        <v>2.61</v>
      </c>
      <c r="G12" s="134">
        <v>66.819999999999993</v>
      </c>
      <c r="H12" s="134">
        <v>22</v>
      </c>
      <c r="I12" s="134">
        <v>4.46</v>
      </c>
      <c r="J12" s="134">
        <v>0.24</v>
      </c>
      <c r="K12" s="134">
        <v>29.4</v>
      </c>
      <c r="L12" s="134">
        <v>25.45</v>
      </c>
      <c r="M12" s="134">
        <v>83.83</v>
      </c>
      <c r="N12" s="134">
        <v>0</v>
      </c>
      <c r="O12" s="134">
        <v>0</v>
      </c>
      <c r="P12" s="134">
        <v>0.45</v>
      </c>
      <c r="Q12" s="134">
        <v>5.0199999999999996</v>
      </c>
    </row>
    <row r="13" spans="1:21" customFormat="1">
      <c r="A13" s="112" t="s">
        <v>3026</v>
      </c>
      <c r="B13" s="134">
        <v>15.59</v>
      </c>
      <c r="C13" s="134">
        <v>22.67</v>
      </c>
      <c r="D13" s="134">
        <v>25.69</v>
      </c>
      <c r="E13" s="134">
        <v>4.25</v>
      </c>
      <c r="F13" s="134">
        <v>1.95</v>
      </c>
      <c r="G13" s="134">
        <v>66.27</v>
      </c>
      <c r="H13" s="134">
        <v>22</v>
      </c>
      <c r="I13" s="134">
        <v>4.47</v>
      </c>
      <c r="J13" s="134">
        <v>0.21</v>
      </c>
      <c r="K13" s="134">
        <v>52.9</v>
      </c>
      <c r="L13" s="134">
        <v>25.36</v>
      </c>
      <c r="M13" s="134">
        <v>84.47</v>
      </c>
      <c r="N13" s="134">
        <v>0</v>
      </c>
      <c r="O13" s="134">
        <v>0</v>
      </c>
      <c r="P13" s="134">
        <v>0.47</v>
      </c>
      <c r="Q13" s="134">
        <v>5.1100000000000003</v>
      </c>
    </row>
    <row r="14" spans="1:21" customFormat="1">
      <c r="A14" s="112" t="s">
        <v>3027</v>
      </c>
      <c r="B14" s="134">
        <v>15.97</v>
      </c>
      <c r="C14" s="134">
        <v>22.2</v>
      </c>
      <c r="D14" s="134">
        <v>25.76</v>
      </c>
      <c r="E14" s="134">
        <v>4.5199999999999996</v>
      </c>
      <c r="F14" s="134">
        <v>2.2799999999999998</v>
      </c>
      <c r="G14" s="134">
        <v>66.27</v>
      </c>
      <c r="H14" s="134">
        <v>22</v>
      </c>
      <c r="I14" s="134">
        <v>4.53</v>
      </c>
      <c r="J14" s="134">
        <v>0.14000000000000001</v>
      </c>
      <c r="K14" s="134">
        <v>106.42</v>
      </c>
      <c r="L14" s="134">
        <v>25.29</v>
      </c>
      <c r="M14" s="134">
        <v>85.26</v>
      </c>
      <c r="N14" s="134">
        <v>0</v>
      </c>
      <c r="O14" s="134">
        <v>0</v>
      </c>
      <c r="P14" s="134">
        <v>0.48</v>
      </c>
      <c r="Q14" s="134">
        <v>5.12</v>
      </c>
    </row>
    <row r="15" spans="1:21" customFormat="1">
      <c r="A15" s="112" t="s">
        <v>3028</v>
      </c>
      <c r="B15" s="134">
        <v>16.149999999999999</v>
      </c>
      <c r="C15" s="134">
        <v>20.95</v>
      </c>
      <c r="D15" s="134">
        <v>25.25</v>
      </c>
      <c r="E15" s="134">
        <v>3.93</v>
      </c>
      <c r="F15" s="134">
        <v>2.77</v>
      </c>
      <c r="G15" s="134">
        <v>66.27</v>
      </c>
      <c r="H15" s="134">
        <v>22</v>
      </c>
      <c r="I15" s="134">
        <v>4.58</v>
      </c>
      <c r="J15" s="134">
        <v>0.04</v>
      </c>
      <c r="K15" s="134">
        <v>162.97</v>
      </c>
      <c r="L15" s="134">
        <v>25.21</v>
      </c>
      <c r="M15" s="134">
        <v>85.64</v>
      </c>
      <c r="N15" s="134">
        <v>0</v>
      </c>
      <c r="O15" s="134">
        <v>0</v>
      </c>
      <c r="P15" s="134">
        <v>0.46</v>
      </c>
      <c r="Q15" s="134">
        <v>5.0999999999999996</v>
      </c>
    </row>
    <row r="16" spans="1:21" customFormat="1">
      <c r="A16" s="112" t="s">
        <v>3029</v>
      </c>
      <c r="B16" s="134">
        <v>15.87</v>
      </c>
      <c r="C16" s="134">
        <v>19.7</v>
      </c>
      <c r="D16" s="134">
        <v>24.37</v>
      </c>
      <c r="E16" s="134">
        <v>3.63</v>
      </c>
      <c r="F16" s="134">
        <v>3.13</v>
      </c>
      <c r="G16" s="134">
        <v>53.93</v>
      </c>
      <c r="H16" s="134">
        <v>16.170000000000002</v>
      </c>
      <c r="I16" s="134">
        <v>4.55</v>
      </c>
      <c r="J16" s="134">
        <v>0.14000000000000001</v>
      </c>
      <c r="K16" s="134">
        <v>183.38</v>
      </c>
      <c r="L16" s="134">
        <v>24.93</v>
      </c>
      <c r="M16" s="134">
        <v>88.66</v>
      </c>
      <c r="N16" s="134">
        <v>0</v>
      </c>
      <c r="O16" s="134">
        <v>0</v>
      </c>
      <c r="P16" s="134">
        <v>0.44</v>
      </c>
      <c r="Q16" s="134">
        <v>5.09</v>
      </c>
    </row>
    <row r="17" spans="1:17" customFormat="1">
      <c r="A17" s="112" t="s">
        <v>3030</v>
      </c>
      <c r="B17" s="134">
        <v>16.18</v>
      </c>
      <c r="C17" s="134">
        <v>19.39</v>
      </c>
      <c r="D17" s="134">
        <v>24.46</v>
      </c>
      <c r="E17" s="134">
        <v>3.03</v>
      </c>
      <c r="F17" s="134">
        <v>2.84</v>
      </c>
      <c r="G17" s="134">
        <v>53.2</v>
      </c>
      <c r="H17" s="134">
        <v>16.170000000000002</v>
      </c>
      <c r="I17" s="134">
        <v>4.43</v>
      </c>
      <c r="J17" s="134">
        <v>0.18</v>
      </c>
      <c r="K17" s="134">
        <v>191.19</v>
      </c>
      <c r="L17" s="134">
        <v>24.73</v>
      </c>
      <c r="M17" s="134">
        <v>90</v>
      </c>
      <c r="N17" s="134">
        <v>0</v>
      </c>
      <c r="O17" s="134">
        <v>0</v>
      </c>
      <c r="P17" s="134">
        <v>0.43</v>
      </c>
      <c r="Q17" s="134">
        <v>5.0599999999999996</v>
      </c>
    </row>
    <row r="18" spans="1:17" customFormat="1">
      <c r="A18" s="112" t="s">
        <v>3031</v>
      </c>
      <c r="B18" s="134">
        <v>16.2</v>
      </c>
      <c r="C18" s="134">
        <v>21.64</v>
      </c>
      <c r="D18" s="134">
        <v>25.65</v>
      </c>
      <c r="E18" s="134">
        <v>4.25</v>
      </c>
      <c r="F18" s="134">
        <v>1.66</v>
      </c>
      <c r="G18" s="134">
        <v>53.2</v>
      </c>
      <c r="H18" s="134">
        <v>16.170000000000002</v>
      </c>
      <c r="I18" s="134">
        <v>4.3</v>
      </c>
      <c r="J18" s="134">
        <v>0.18</v>
      </c>
      <c r="K18" s="134">
        <v>172.27</v>
      </c>
      <c r="L18" s="134">
        <v>24.67</v>
      </c>
      <c r="M18" s="134">
        <v>91.8</v>
      </c>
      <c r="N18" s="134">
        <v>0</v>
      </c>
      <c r="O18" s="134">
        <v>0</v>
      </c>
      <c r="P18" s="134">
        <v>0.46</v>
      </c>
      <c r="Q18" s="134">
        <v>5.1100000000000003</v>
      </c>
    </row>
    <row r="19" spans="1:17" customFormat="1">
      <c r="A19" s="112" t="s">
        <v>3032</v>
      </c>
      <c r="B19" s="134">
        <v>16.45</v>
      </c>
      <c r="C19" s="134">
        <v>20.36</v>
      </c>
      <c r="D19" s="134">
        <v>25.18</v>
      </c>
      <c r="E19" s="134">
        <v>5.0199999999999996</v>
      </c>
      <c r="F19" s="134">
        <v>2.27</v>
      </c>
      <c r="G19" s="134">
        <v>53.2</v>
      </c>
      <c r="H19" s="134">
        <v>16.170000000000002</v>
      </c>
      <c r="I19" s="134">
        <v>4.42</v>
      </c>
      <c r="J19" s="134">
        <v>0.2</v>
      </c>
      <c r="K19" s="134">
        <v>184.78</v>
      </c>
      <c r="L19" s="134">
        <v>24.46</v>
      </c>
      <c r="M19" s="134">
        <v>91.84</v>
      </c>
      <c r="N19" s="134">
        <v>0</v>
      </c>
      <c r="O19" s="134">
        <v>0</v>
      </c>
      <c r="P19" s="134">
        <v>0.45</v>
      </c>
      <c r="Q19" s="134">
        <v>5.0999999999999996</v>
      </c>
    </row>
    <row r="20" spans="1:17" customFormat="1">
      <c r="A20" s="112" t="s">
        <v>3033</v>
      </c>
      <c r="B20" s="134">
        <v>16.39</v>
      </c>
      <c r="C20" s="134">
        <v>18.95</v>
      </c>
      <c r="D20" s="134">
        <v>24.39</v>
      </c>
      <c r="E20" s="134">
        <v>4.0599999999999996</v>
      </c>
      <c r="F20" s="134">
        <v>2.92</v>
      </c>
      <c r="G20" s="134">
        <v>38.79</v>
      </c>
      <c r="H20" s="134">
        <v>14.21</v>
      </c>
      <c r="I20" s="134">
        <v>4.49</v>
      </c>
      <c r="J20" s="134">
        <v>0.15</v>
      </c>
      <c r="K20" s="134">
        <v>203.17</v>
      </c>
      <c r="L20" s="134">
        <v>24.48</v>
      </c>
      <c r="M20" s="134">
        <v>90.76</v>
      </c>
      <c r="N20" s="134">
        <v>0</v>
      </c>
      <c r="O20" s="134">
        <v>0</v>
      </c>
      <c r="P20" s="134">
        <v>0.44</v>
      </c>
      <c r="Q20" s="134">
        <v>5.0599999999999996</v>
      </c>
    </row>
    <row r="21" spans="1:17" customFormat="1">
      <c r="A21" s="112" t="s">
        <v>3034</v>
      </c>
      <c r="B21" s="134">
        <v>16.440000000000001</v>
      </c>
      <c r="C21" s="134">
        <v>20.51</v>
      </c>
      <c r="D21" s="134">
        <v>25.26</v>
      </c>
      <c r="E21" s="134">
        <v>4.8499999999999996</v>
      </c>
      <c r="F21" s="134">
        <v>1.78</v>
      </c>
      <c r="G21" s="134">
        <v>37.94</v>
      </c>
      <c r="H21" s="134">
        <v>14.21</v>
      </c>
      <c r="I21" s="134">
        <v>4.42</v>
      </c>
      <c r="J21" s="134">
        <v>0.13</v>
      </c>
      <c r="K21" s="134">
        <v>159.32</v>
      </c>
      <c r="L21" s="134">
        <v>24.36</v>
      </c>
      <c r="M21" s="134">
        <v>92.18</v>
      </c>
      <c r="N21" s="134">
        <v>0</v>
      </c>
      <c r="O21" s="134">
        <v>0</v>
      </c>
      <c r="P21" s="134">
        <v>0.45</v>
      </c>
      <c r="Q21" s="134">
        <v>5.07</v>
      </c>
    </row>
    <row r="22" spans="1:17" customFormat="1">
      <c r="A22" s="112" t="s">
        <v>3035</v>
      </c>
      <c r="B22" s="134">
        <v>16.64</v>
      </c>
      <c r="C22" s="134">
        <v>19.75</v>
      </c>
      <c r="D22" s="134">
        <v>25.01</v>
      </c>
      <c r="E22" s="134">
        <v>4.57</v>
      </c>
      <c r="F22" s="134">
        <v>2.3199999999999998</v>
      </c>
      <c r="G22" s="134">
        <v>37.94</v>
      </c>
      <c r="H22" s="134">
        <v>14.21</v>
      </c>
      <c r="I22" s="134">
        <v>4.3600000000000003</v>
      </c>
      <c r="J22" s="134">
        <v>0.11</v>
      </c>
      <c r="K22" s="134">
        <v>193.75</v>
      </c>
      <c r="L22" s="134">
        <v>24.43</v>
      </c>
      <c r="M22" s="134">
        <v>90.26</v>
      </c>
      <c r="N22" s="134">
        <v>0</v>
      </c>
      <c r="O22" s="134">
        <v>0</v>
      </c>
      <c r="P22" s="134">
        <v>0.44</v>
      </c>
      <c r="Q22" s="134">
        <v>5.09</v>
      </c>
    </row>
    <row r="23" spans="1:17" customFormat="1">
      <c r="A23" s="112" t="s">
        <v>3036</v>
      </c>
      <c r="B23" s="134">
        <v>16.63</v>
      </c>
      <c r="C23" s="134">
        <v>18.350000000000001</v>
      </c>
      <c r="D23" s="134">
        <v>24.27</v>
      </c>
      <c r="E23" s="134">
        <v>4.41</v>
      </c>
      <c r="F23" s="134">
        <v>2.75</v>
      </c>
      <c r="G23" s="134">
        <v>37.94</v>
      </c>
      <c r="H23" s="134">
        <v>14.21</v>
      </c>
      <c r="I23" s="134">
        <v>4.45</v>
      </c>
      <c r="J23" s="134">
        <v>0.11</v>
      </c>
      <c r="K23" s="134">
        <v>148.85</v>
      </c>
      <c r="L23" s="134">
        <v>24.44</v>
      </c>
      <c r="M23" s="134">
        <v>91.59</v>
      </c>
      <c r="N23" s="134">
        <v>0</v>
      </c>
      <c r="O23" s="134">
        <v>0</v>
      </c>
      <c r="P23" s="134">
        <v>0.43</v>
      </c>
      <c r="Q23" s="134">
        <v>5.05</v>
      </c>
    </row>
    <row r="24" spans="1:17" customFormat="1">
      <c r="A24" s="112" t="s">
        <v>3037</v>
      </c>
      <c r="B24" s="134">
        <v>16.48</v>
      </c>
      <c r="C24" s="134">
        <v>19.13</v>
      </c>
      <c r="D24" s="134">
        <v>24.56</v>
      </c>
      <c r="E24" s="134">
        <v>4.3499999999999996</v>
      </c>
      <c r="F24" s="134">
        <v>2.17</v>
      </c>
      <c r="G24" s="134">
        <v>34.409999999999997</v>
      </c>
      <c r="H24" s="134">
        <v>12.42</v>
      </c>
      <c r="I24" s="134">
        <v>4.38</v>
      </c>
      <c r="J24" s="134">
        <v>0.26</v>
      </c>
      <c r="K24" s="134">
        <v>181</v>
      </c>
      <c r="L24" s="134">
        <v>24.35</v>
      </c>
      <c r="M24" s="134">
        <v>92.68</v>
      </c>
      <c r="N24" s="134">
        <v>0</v>
      </c>
      <c r="O24" s="134">
        <v>0</v>
      </c>
      <c r="P24" s="134">
        <v>0.44</v>
      </c>
      <c r="Q24" s="134">
        <v>5.04</v>
      </c>
    </row>
    <row r="25" spans="1:17" customFormat="1">
      <c r="A25" s="112" t="s">
        <v>3038</v>
      </c>
      <c r="B25" s="134">
        <v>16.760000000000002</v>
      </c>
      <c r="C25" s="134">
        <v>20.29</v>
      </c>
      <c r="D25" s="134">
        <v>25.39</v>
      </c>
      <c r="E25" s="134">
        <v>4.3499999999999996</v>
      </c>
      <c r="F25" s="134">
        <v>1.81</v>
      </c>
      <c r="G25" s="134">
        <v>34.200000000000003</v>
      </c>
      <c r="H25" s="134">
        <v>12.42</v>
      </c>
      <c r="I25" s="134">
        <v>4.3600000000000003</v>
      </c>
      <c r="J25" s="134">
        <v>0.14000000000000001</v>
      </c>
      <c r="K25" s="134">
        <v>166.7</v>
      </c>
      <c r="L25" s="134">
        <v>24.54</v>
      </c>
      <c r="M25" s="134">
        <v>91.76</v>
      </c>
      <c r="N25" s="134">
        <v>0</v>
      </c>
      <c r="O25" s="134">
        <v>0</v>
      </c>
      <c r="P25" s="134">
        <v>0.45</v>
      </c>
      <c r="Q25" s="134">
        <v>5.0999999999999996</v>
      </c>
    </row>
    <row r="26" spans="1:17" customFormat="1">
      <c r="A26" s="112" t="s">
        <v>3039</v>
      </c>
      <c r="B26" s="134">
        <v>16.82</v>
      </c>
      <c r="C26" s="134">
        <v>18.78</v>
      </c>
      <c r="D26" s="134">
        <v>24.66</v>
      </c>
      <c r="E26" s="134">
        <v>4.5199999999999996</v>
      </c>
      <c r="F26" s="134">
        <v>2.57</v>
      </c>
      <c r="G26" s="134">
        <v>34.200000000000003</v>
      </c>
      <c r="H26" s="134">
        <v>12.42</v>
      </c>
      <c r="I26" s="134">
        <v>4.38</v>
      </c>
      <c r="J26" s="134">
        <v>0.11</v>
      </c>
      <c r="K26" s="134">
        <v>166.43</v>
      </c>
      <c r="L26" s="134">
        <v>24.31</v>
      </c>
      <c r="M26" s="134">
        <v>93.12</v>
      </c>
      <c r="N26" s="134">
        <v>0</v>
      </c>
      <c r="O26" s="134">
        <v>0</v>
      </c>
      <c r="P26" s="134">
        <v>0.43</v>
      </c>
      <c r="Q26" s="134">
        <v>5.03</v>
      </c>
    </row>
    <row r="27" spans="1:17" customFormat="1">
      <c r="A27" s="112" t="s">
        <v>3040</v>
      </c>
      <c r="B27" s="134">
        <v>16.760000000000002</v>
      </c>
      <c r="C27" s="134">
        <v>17.82</v>
      </c>
      <c r="D27" s="134">
        <v>24.1</v>
      </c>
      <c r="E27" s="134">
        <v>4.5</v>
      </c>
      <c r="F27" s="134">
        <v>2.69</v>
      </c>
      <c r="G27" s="134">
        <v>34.200000000000003</v>
      </c>
      <c r="H27" s="134">
        <v>12.42</v>
      </c>
      <c r="I27" s="134">
        <v>4.43</v>
      </c>
      <c r="J27" s="134">
        <v>0.1</v>
      </c>
      <c r="K27" s="134">
        <v>165.65</v>
      </c>
      <c r="L27" s="134">
        <v>24.25</v>
      </c>
      <c r="M27" s="134">
        <v>94.4</v>
      </c>
      <c r="N27" s="134">
        <v>0</v>
      </c>
      <c r="O27" s="134">
        <v>0</v>
      </c>
      <c r="P27" s="134">
        <v>0.42</v>
      </c>
      <c r="Q27" s="134">
        <v>5.01</v>
      </c>
    </row>
    <row r="28" spans="1:17" customFormat="1">
      <c r="A28" s="112" t="s">
        <v>3041</v>
      </c>
      <c r="B28" s="134">
        <v>16.690000000000001</v>
      </c>
      <c r="C28" s="134">
        <v>20.16</v>
      </c>
      <c r="D28" s="134">
        <v>25.27</v>
      </c>
      <c r="E28" s="134">
        <v>4.67</v>
      </c>
      <c r="F28" s="134">
        <v>1.7</v>
      </c>
      <c r="G28" s="134">
        <v>30.46</v>
      </c>
      <c r="H28" s="134">
        <v>11.95</v>
      </c>
      <c r="I28" s="134">
        <v>4.38</v>
      </c>
      <c r="J28" s="134">
        <v>0.18</v>
      </c>
      <c r="K28" s="134">
        <v>166.8</v>
      </c>
      <c r="L28" s="134">
        <v>24.34</v>
      </c>
      <c r="M28" s="134">
        <v>94.63</v>
      </c>
      <c r="N28" s="134">
        <v>0</v>
      </c>
      <c r="O28" s="134">
        <v>0</v>
      </c>
      <c r="P28" s="134">
        <v>0.44</v>
      </c>
      <c r="Q28" s="134">
        <v>5.07</v>
      </c>
    </row>
    <row r="29" spans="1:17" customFormat="1">
      <c r="A29" s="112" t="s">
        <v>3042</v>
      </c>
      <c r="B29" s="134">
        <v>16.940000000000001</v>
      </c>
      <c r="C29" s="134">
        <v>19.670000000000002</v>
      </c>
      <c r="D29" s="134">
        <v>25.21</v>
      </c>
      <c r="E29" s="134">
        <v>4.82</v>
      </c>
      <c r="F29" s="134">
        <v>2.04</v>
      </c>
      <c r="G29" s="134">
        <v>30.24</v>
      </c>
      <c r="H29" s="134">
        <v>11.95</v>
      </c>
      <c r="I29" s="134">
        <v>4.38</v>
      </c>
      <c r="J29" s="134">
        <v>0.15</v>
      </c>
      <c r="K29" s="134">
        <v>166.27</v>
      </c>
      <c r="L29" s="134">
        <v>24.34</v>
      </c>
      <c r="M29" s="134">
        <v>93.73</v>
      </c>
      <c r="N29" s="134">
        <v>0</v>
      </c>
      <c r="O29" s="134">
        <v>0</v>
      </c>
      <c r="P29" s="134">
        <v>0.44</v>
      </c>
      <c r="Q29" s="134">
        <v>5.12</v>
      </c>
    </row>
    <row r="30" spans="1:17" customFormat="1">
      <c r="A30" s="112" t="s">
        <v>3043</v>
      </c>
      <c r="B30" s="134">
        <v>16.98</v>
      </c>
      <c r="C30" s="134">
        <v>18.04</v>
      </c>
      <c r="D30" s="134">
        <v>24.4</v>
      </c>
      <c r="E30" s="134">
        <v>4.2699999999999996</v>
      </c>
      <c r="F30" s="134">
        <v>2.5499999999999998</v>
      </c>
      <c r="G30" s="134">
        <v>30.24</v>
      </c>
      <c r="H30" s="134">
        <v>11.95</v>
      </c>
      <c r="I30" s="134">
        <v>4.46</v>
      </c>
      <c r="J30" s="134">
        <v>0.16</v>
      </c>
      <c r="K30" s="134">
        <v>166.88</v>
      </c>
      <c r="L30" s="134">
        <v>24.47</v>
      </c>
      <c r="M30" s="134">
        <v>93.62</v>
      </c>
      <c r="N30" s="134">
        <v>0</v>
      </c>
      <c r="O30" s="134">
        <v>0</v>
      </c>
      <c r="P30" s="134">
        <v>0.42</v>
      </c>
      <c r="Q30" s="134">
        <v>5.04</v>
      </c>
    </row>
    <row r="31" spans="1:17" customFormat="1">
      <c r="A31" s="112" t="s">
        <v>3044</v>
      </c>
      <c r="B31" s="134">
        <v>16.8</v>
      </c>
      <c r="C31" s="134">
        <v>18.010000000000002</v>
      </c>
      <c r="D31" s="134">
        <v>24.23</v>
      </c>
      <c r="E31" s="134">
        <v>4.3499999999999996</v>
      </c>
      <c r="F31" s="134">
        <v>2.42</v>
      </c>
      <c r="G31" s="134">
        <v>30.24</v>
      </c>
      <c r="H31" s="134">
        <v>11.95</v>
      </c>
      <c r="I31" s="134">
        <v>4.4400000000000004</v>
      </c>
      <c r="J31" s="134">
        <v>0.11</v>
      </c>
      <c r="K31" s="134">
        <v>168.31</v>
      </c>
      <c r="L31" s="134">
        <v>24.38</v>
      </c>
      <c r="M31" s="134">
        <v>94.4</v>
      </c>
      <c r="N31" s="134">
        <v>0</v>
      </c>
      <c r="O31" s="134">
        <v>0</v>
      </c>
      <c r="P31" s="134">
        <v>0.42</v>
      </c>
      <c r="Q31" s="134">
        <v>5.01</v>
      </c>
    </row>
    <row r="32" spans="1:17" customFormat="1">
      <c r="A32" s="112" t="s">
        <v>3045</v>
      </c>
      <c r="B32" s="134">
        <v>16.829999999999998</v>
      </c>
      <c r="C32" s="134">
        <v>19.84</v>
      </c>
      <c r="D32" s="134">
        <v>25.21</v>
      </c>
      <c r="E32" s="134">
        <v>5.26</v>
      </c>
      <c r="F32" s="134">
        <v>1.71</v>
      </c>
      <c r="G32" s="134">
        <v>27.85</v>
      </c>
      <c r="H32" s="134">
        <v>12.7</v>
      </c>
      <c r="I32" s="134">
        <v>4.4400000000000004</v>
      </c>
      <c r="J32" s="134">
        <v>0.19</v>
      </c>
      <c r="K32" s="134">
        <v>159.4</v>
      </c>
      <c r="L32" s="134">
        <v>24.55</v>
      </c>
      <c r="M32" s="134">
        <v>94.38</v>
      </c>
      <c r="N32" s="134">
        <v>2.5</v>
      </c>
      <c r="O32" s="134">
        <v>0</v>
      </c>
      <c r="P32" s="134">
        <v>0.43</v>
      </c>
      <c r="Q32" s="134">
        <v>5.08</v>
      </c>
    </row>
    <row r="33" spans="1:17" customFormat="1">
      <c r="A33" s="112" t="s">
        <v>3046</v>
      </c>
      <c r="B33" s="134">
        <v>17.09</v>
      </c>
      <c r="C33" s="134">
        <v>19.57</v>
      </c>
      <c r="D33" s="134">
        <v>25.28</v>
      </c>
      <c r="E33" s="134">
        <v>5.28</v>
      </c>
      <c r="F33" s="134">
        <v>1.95</v>
      </c>
      <c r="G33" s="134">
        <v>27.71</v>
      </c>
      <c r="H33" s="134">
        <v>12.7</v>
      </c>
      <c r="I33" s="134">
        <v>4.49</v>
      </c>
      <c r="J33" s="134">
        <v>0.19</v>
      </c>
      <c r="K33" s="134">
        <v>165.96</v>
      </c>
      <c r="L33" s="134">
        <v>24.74</v>
      </c>
      <c r="M33" s="134">
        <v>93.84</v>
      </c>
      <c r="N33" s="134">
        <v>13.6</v>
      </c>
      <c r="O33" s="134">
        <v>0</v>
      </c>
      <c r="P33" s="134">
        <v>0.45</v>
      </c>
      <c r="Q33" s="134">
        <v>5.09</v>
      </c>
    </row>
    <row r="34" spans="1:17" customFormat="1">
      <c r="A34" s="112" t="s">
        <v>3047</v>
      </c>
      <c r="B34" s="134">
        <v>17.13</v>
      </c>
      <c r="C34" s="134">
        <v>19.12</v>
      </c>
      <c r="D34" s="134">
        <v>25.07</v>
      </c>
      <c r="E34" s="134">
        <v>4.87</v>
      </c>
      <c r="F34" s="134">
        <v>2.2799999999999998</v>
      </c>
      <c r="G34" s="134">
        <v>27.71</v>
      </c>
      <c r="H34" s="134">
        <v>12.7</v>
      </c>
      <c r="I34" s="134">
        <v>4.58</v>
      </c>
      <c r="J34" s="134">
        <v>0.23</v>
      </c>
      <c r="K34" s="134">
        <v>175.71</v>
      </c>
      <c r="L34" s="134">
        <v>25.06</v>
      </c>
      <c r="M34" s="134">
        <v>92.8</v>
      </c>
      <c r="N34" s="134">
        <v>29.1</v>
      </c>
      <c r="O34" s="134">
        <v>0</v>
      </c>
      <c r="P34" s="134">
        <v>0.44</v>
      </c>
      <c r="Q34" s="134">
        <v>5.08</v>
      </c>
    </row>
    <row r="35" spans="1:17" customFormat="1">
      <c r="A35" s="112" t="s">
        <v>3048</v>
      </c>
      <c r="B35" s="134">
        <v>17.13</v>
      </c>
      <c r="C35" s="134">
        <v>18.010000000000002</v>
      </c>
      <c r="D35" s="134">
        <v>24.5</v>
      </c>
      <c r="E35" s="134">
        <v>4.75</v>
      </c>
      <c r="F35" s="134">
        <v>2.68</v>
      </c>
      <c r="G35" s="134">
        <v>27.71</v>
      </c>
      <c r="H35" s="134">
        <v>12.7</v>
      </c>
      <c r="I35" s="134">
        <v>4.6100000000000003</v>
      </c>
      <c r="J35" s="134">
        <v>0.15</v>
      </c>
      <c r="K35" s="134">
        <v>161.86000000000001</v>
      </c>
      <c r="L35" s="134">
        <v>25.61</v>
      </c>
      <c r="M35" s="134">
        <v>91.26</v>
      </c>
      <c r="N35" s="134">
        <v>46</v>
      </c>
      <c r="O35" s="134">
        <v>0</v>
      </c>
      <c r="P35" s="134">
        <v>0.44</v>
      </c>
      <c r="Q35" s="134">
        <v>5.0599999999999996</v>
      </c>
    </row>
    <row r="36" spans="1:17" customFormat="1">
      <c r="A36" s="112" t="s">
        <v>3049</v>
      </c>
      <c r="B36" s="134">
        <v>16.59</v>
      </c>
      <c r="C36" s="134">
        <v>17.350000000000001</v>
      </c>
      <c r="D36" s="134">
        <v>23.72</v>
      </c>
      <c r="E36" s="134">
        <v>4.4400000000000004</v>
      </c>
      <c r="F36" s="134">
        <v>2.96</v>
      </c>
      <c r="G36" s="134">
        <v>33.549999999999997</v>
      </c>
      <c r="H36" s="134">
        <v>10.79</v>
      </c>
      <c r="I36" s="134">
        <v>4.63</v>
      </c>
      <c r="J36" s="134">
        <v>0.12</v>
      </c>
      <c r="K36" s="134">
        <v>160.66999999999999</v>
      </c>
      <c r="L36" s="134">
        <v>26.06</v>
      </c>
      <c r="M36" s="134">
        <v>89.59</v>
      </c>
      <c r="N36" s="134">
        <v>63.1</v>
      </c>
      <c r="O36" s="134">
        <v>0</v>
      </c>
      <c r="P36" s="134">
        <v>0.43</v>
      </c>
      <c r="Q36" s="134">
        <v>5.04</v>
      </c>
    </row>
    <row r="37" spans="1:17" customFormat="1">
      <c r="A37" s="112" t="s">
        <v>3050</v>
      </c>
      <c r="B37" s="134">
        <v>16.989999999999998</v>
      </c>
      <c r="C37" s="134">
        <v>19.600000000000001</v>
      </c>
      <c r="D37" s="134">
        <v>25.21</v>
      </c>
      <c r="E37" s="134">
        <v>4.8099999999999996</v>
      </c>
      <c r="F37" s="134">
        <v>1.87</v>
      </c>
      <c r="G37" s="134">
        <v>33.89</v>
      </c>
      <c r="H37" s="134">
        <v>10.79</v>
      </c>
      <c r="I37" s="134">
        <v>4.6500000000000004</v>
      </c>
      <c r="J37" s="134">
        <v>0.12</v>
      </c>
      <c r="K37" s="134">
        <v>269.64999999999998</v>
      </c>
      <c r="L37" s="134">
        <v>26.58</v>
      </c>
      <c r="M37" s="134">
        <v>88.27</v>
      </c>
      <c r="N37" s="134">
        <v>79.599999999999994</v>
      </c>
      <c r="O37" s="134">
        <v>0</v>
      </c>
      <c r="P37" s="134">
        <v>0.44</v>
      </c>
      <c r="Q37" s="134">
        <v>5.1100000000000003</v>
      </c>
    </row>
    <row r="38" spans="1:17" customFormat="1">
      <c r="A38" s="112" t="s">
        <v>3051</v>
      </c>
      <c r="B38" s="134">
        <v>17.05</v>
      </c>
      <c r="C38" s="134">
        <v>18.739999999999998</v>
      </c>
      <c r="D38" s="134">
        <v>24.82</v>
      </c>
      <c r="E38" s="134">
        <v>5.3</v>
      </c>
      <c r="F38" s="134">
        <v>2.67</v>
      </c>
      <c r="G38" s="134">
        <v>33.89</v>
      </c>
      <c r="H38" s="134">
        <v>10.79</v>
      </c>
      <c r="I38" s="134">
        <v>4.71</v>
      </c>
      <c r="J38" s="134">
        <v>0.31</v>
      </c>
      <c r="K38" s="134">
        <v>340.11</v>
      </c>
      <c r="L38" s="134">
        <v>27.22</v>
      </c>
      <c r="M38" s="134">
        <v>82.21</v>
      </c>
      <c r="N38" s="134">
        <v>96.7</v>
      </c>
      <c r="O38" s="134">
        <v>0</v>
      </c>
      <c r="P38" s="134">
        <v>0.44</v>
      </c>
      <c r="Q38" s="134">
        <v>5.08</v>
      </c>
    </row>
    <row r="39" spans="1:17" customFormat="1">
      <c r="A39" s="112" t="s">
        <v>3052</v>
      </c>
      <c r="B39" s="134">
        <v>16.940000000000001</v>
      </c>
      <c r="C39" s="134">
        <v>18.190000000000001</v>
      </c>
      <c r="D39" s="134">
        <v>24.44</v>
      </c>
      <c r="E39" s="134">
        <v>6.34</v>
      </c>
      <c r="F39" s="134">
        <v>3.43</v>
      </c>
      <c r="G39" s="134">
        <v>33.89</v>
      </c>
      <c r="H39" s="134">
        <v>10.79</v>
      </c>
      <c r="I39" s="134">
        <v>4.83</v>
      </c>
      <c r="J39" s="134">
        <v>0.23</v>
      </c>
      <c r="K39" s="134">
        <v>324.39</v>
      </c>
      <c r="L39" s="134">
        <v>27.76</v>
      </c>
      <c r="M39" s="134">
        <v>79.55</v>
      </c>
      <c r="N39" s="134">
        <v>149.69999999999999</v>
      </c>
      <c r="O39" s="134">
        <v>0</v>
      </c>
      <c r="P39" s="134">
        <v>0.43</v>
      </c>
      <c r="Q39" s="134">
        <v>5.07</v>
      </c>
    </row>
    <row r="40" spans="1:17" customFormat="1">
      <c r="A40" s="112" t="s">
        <v>3053</v>
      </c>
      <c r="B40" s="134">
        <v>16.899999999999999</v>
      </c>
      <c r="C40" s="134">
        <v>18.14</v>
      </c>
      <c r="D40" s="134">
        <v>24.38</v>
      </c>
      <c r="E40" s="134">
        <v>7.87</v>
      </c>
      <c r="F40" s="134">
        <v>3.74</v>
      </c>
      <c r="G40" s="134">
        <v>36.81</v>
      </c>
      <c r="H40" s="134">
        <v>11.01</v>
      </c>
      <c r="I40" s="134">
        <v>4.87</v>
      </c>
      <c r="J40" s="134">
        <v>0.34</v>
      </c>
      <c r="K40" s="134">
        <v>321.60000000000002</v>
      </c>
      <c r="L40" s="134">
        <v>28.34</v>
      </c>
      <c r="M40" s="134">
        <v>77.17</v>
      </c>
      <c r="N40" s="134">
        <v>211.5</v>
      </c>
      <c r="O40" s="134">
        <v>0</v>
      </c>
      <c r="P40" s="134">
        <v>0.43</v>
      </c>
      <c r="Q40" s="134">
        <v>5.09</v>
      </c>
    </row>
    <row r="41" spans="1:17" customFormat="1">
      <c r="A41" s="112" t="s">
        <v>3054</v>
      </c>
      <c r="B41" s="134">
        <v>17.170000000000002</v>
      </c>
      <c r="C41" s="134">
        <v>18.38</v>
      </c>
      <c r="D41" s="134">
        <v>24.73</v>
      </c>
      <c r="E41" s="134">
        <v>8.16</v>
      </c>
      <c r="F41" s="134">
        <v>3.51</v>
      </c>
      <c r="G41" s="134">
        <v>36.979999999999997</v>
      </c>
      <c r="H41" s="134">
        <v>11.01</v>
      </c>
      <c r="I41" s="134">
        <v>4.91</v>
      </c>
      <c r="J41" s="134">
        <v>0.36</v>
      </c>
      <c r="K41" s="134">
        <v>325.19</v>
      </c>
      <c r="L41" s="134">
        <v>28.82</v>
      </c>
      <c r="M41" s="134">
        <v>75.67</v>
      </c>
      <c r="N41" s="134">
        <v>252.6</v>
      </c>
      <c r="O41" s="134">
        <v>0</v>
      </c>
      <c r="P41" s="134">
        <v>0.43</v>
      </c>
      <c r="Q41" s="134">
        <v>5.09</v>
      </c>
    </row>
    <row r="42" spans="1:17" customFormat="1">
      <c r="A42" s="112" t="s">
        <v>3055</v>
      </c>
      <c r="B42" s="134">
        <v>17.059999999999999</v>
      </c>
      <c r="C42" s="134">
        <v>18.73</v>
      </c>
      <c r="D42" s="134">
        <v>24.81</v>
      </c>
      <c r="E42" s="134">
        <v>7.96</v>
      </c>
      <c r="F42" s="134">
        <v>3.61</v>
      </c>
      <c r="G42" s="134">
        <v>36.979999999999997</v>
      </c>
      <c r="H42" s="134">
        <v>11.01</v>
      </c>
      <c r="I42" s="134">
        <v>4.97</v>
      </c>
      <c r="J42" s="134">
        <v>0.36</v>
      </c>
      <c r="K42" s="134">
        <v>2.4700000000000002</v>
      </c>
      <c r="L42" s="134">
        <v>29.45</v>
      </c>
      <c r="M42" s="134">
        <v>73.98</v>
      </c>
      <c r="N42" s="134">
        <v>268.89999999999998</v>
      </c>
      <c r="O42" s="134">
        <v>0</v>
      </c>
      <c r="P42" s="134">
        <v>0.44</v>
      </c>
      <c r="Q42" s="134">
        <v>5.07</v>
      </c>
    </row>
    <row r="43" spans="1:17" customFormat="1">
      <c r="A43" s="112" t="s">
        <v>3056</v>
      </c>
      <c r="B43" s="134">
        <v>16.98</v>
      </c>
      <c r="C43" s="134">
        <v>19.75</v>
      </c>
      <c r="D43" s="134">
        <v>25.29</v>
      </c>
      <c r="E43" s="134">
        <v>7.95</v>
      </c>
      <c r="F43" s="134">
        <v>3.36</v>
      </c>
      <c r="G43" s="134">
        <v>36.979999999999997</v>
      </c>
      <c r="H43" s="134">
        <v>11.01</v>
      </c>
      <c r="I43" s="134">
        <v>5.0599999999999996</v>
      </c>
      <c r="J43" s="134">
        <v>0.43</v>
      </c>
      <c r="K43" s="134">
        <v>357.36</v>
      </c>
      <c r="L43" s="134">
        <v>29.82</v>
      </c>
      <c r="M43" s="134">
        <v>71.62</v>
      </c>
      <c r="N43" s="134">
        <v>234.1</v>
      </c>
      <c r="O43" s="134">
        <v>0</v>
      </c>
      <c r="P43" s="134">
        <v>0.46</v>
      </c>
      <c r="Q43" s="134">
        <v>5.0999999999999996</v>
      </c>
    </row>
    <row r="44" spans="1:17" customFormat="1">
      <c r="A44" s="112" t="s">
        <v>3057</v>
      </c>
      <c r="B44" s="134">
        <v>17.03</v>
      </c>
      <c r="C44" s="134">
        <v>20.57</v>
      </c>
      <c r="D44" s="134">
        <v>25.75</v>
      </c>
      <c r="E44" s="134">
        <v>10.119999999999999</v>
      </c>
      <c r="F44" s="134">
        <v>3.26</v>
      </c>
      <c r="G44" s="134">
        <v>50.56</v>
      </c>
      <c r="H44" s="134">
        <v>15.71</v>
      </c>
      <c r="I44" s="134">
        <v>5.14</v>
      </c>
      <c r="J44" s="134">
        <v>0.35</v>
      </c>
      <c r="K44" s="134">
        <v>324.54000000000002</v>
      </c>
      <c r="L44" s="134">
        <v>29.98</v>
      </c>
      <c r="M44" s="134">
        <v>71.36</v>
      </c>
      <c r="N44" s="134">
        <v>239.9</v>
      </c>
      <c r="O44" s="134">
        <v>0</v>
      </c>
      <c r="P44" s="134">
        <v>0.47</v>
      </c>
      <c r="Q44" s="134">
        <v>5.16</v>
      </c>
    </row>
    <row r="45" spans="1:17" customFormat="1">
      <c r="A45" s="112" t="s">
        <v>3058</v>
      </c>
      <c r="B45" s="134">
        <v>17.12</v>
      </c>
      <c r="C45" s="134">
        <v>20.170000000000002</v>
      </c>
      <c r="D45" s="134">
        <v>25.62</v>
      </c>
      <c r="E45" s="134">
        <v>13.29</v>
      </c>
      <c r="F45" s="134">
        <v>3.88</v>
      </c>
      <c r="G45" s="134">
        <v>51.36</v>
      </c>
      <c r="H45" s="134">
        <v>15.71</v>
      </c>
      <c r="I45" s="134">
        <v>5.12</v>
      </c>
      <c r="J45" s="134">
        <v>0.76</v>
      </c>
      <c r="K45" s="134">
        <v>23.97</v>
      </c>
      <c r="L45" s="134">
        <v>30.35</v>
      </c>
      <c r="M45" s="134">
        <v>70.650000000000006</v>
      </c>
      <c r="N45" s="134">
        <v>264.89999999999998</v>
      </c>
      <c r="O45" s="134">
        <v>0</v>
      </c>
      <c r="P45" s="134">
        <v>0.48</v>
      </c>
      <c r="Q45" s="134">
        <v>5.14</v>
      </c>
    </row>
    <row r="46" spans="1:17" customFormat="1">
      <c r="A46" s="112" t="s">
        <v>3059</v>
      </c>
      <c r="B46" s="134">
        <v>17.27</v>
      </c>
      <c r="C46" s="134">
        <v>19.96</v>
      </c>
      <c r="D46" s="134">
        <v>25.63</v>
      </c>
      <c r="E46" s="134">
        <v>16.27</v>
      </c>
      <c r="F46" s="134">
        <v>4.2</v>
      </c>
      <c r="G46" s="134">
        <v>51.36</v>
      </c>
      <c r="H46" s="134">
        <v>15.71</v>
      </c>
      <c r="I46" s="134">
        <v>5.08</v>
      </c>
      <c r="J46" s="134">
        <v>0.59</v>
      </c>
      <c r="K46" s="134">
        <v>21.82</v>
      </c>
      <c r="L46" s="134">
        <v>30.91</v>
      </c>
      <c r="M46" s="134">
        <v>69.38</v>
      </c>
      <c r="N46" s="134">
        <v>440.3</v>
      </c>
      <c r="O46" s="134">
        <v>0</v>
      </c>
      <c r="P46" s="134">
        <v>0.49</v>
      </c>
      <c r="Q46" s="134">
        <v>5.1100000000000003</v>
      </c>
    </row>
    <row r="47" spans="1:17" customFormat="1">
      <c r="A47" s="112" t="s">
        <v>3060</v>
      </c>
      <c r="B47" s="134">
        <v>17.04</v>
      </c>
      <c r="C47" s="134">
        <v>20.18</v>
      </c>
      <c r="D47" s="134">
        <v>25.55</v>
      </c>
      <c r="E47" s="134">
        <v>14.22</v>
      </c>
      <c r="F47" s="134">
        <v>4.51</v>
      </c>
      <c r="G47" s="134">
        <v>51.36</v>
      </c>
      <c r="H47" s="134">
        <v>15.71</v>
      </c>
      <c r="I47" s="134">
        <v>5.07</v>
      </c>
      <c r="J47" s="134">
        <v>0.5</v>
      </c>
      <c r="K47" s="134">
        <v>20.309999999999999</v>
      </c>
      <c r="L47" s="134">
        <v>31.64</v>
      </c>
      <c r="M47" s="134">
        <v>66.430000000000007</v>
      </c>
      <c r="N47" s="134">
        <v>530.1</v>
      </c>
      <c r="O47" s="134">
        <v>0</v>
      </c>
      <c r="P47" s="134">
        <v>0.5</v>
      </c>
      <c r="Q47" s="134">
        <v>5.14</v>
      </c>
    </row>
    <row r="48" spans="1:17" customFormat="1">
      <c r="A48" s="112" t="s">
        <v>3061</v>
      </c>
      <c r="B48" s="134">
        <v>16.739999999999998</v>
      </c>
      <c r="C48" s="134">
        <v>20.309999999999999</v>
      </c>
      <c r="D48" s="134">
        <v>25.38</v>
      </c>
      <c r="E48" s="134">
        <v>13.9</v>
      </c>
      <c r="F48" s="134">
        <v>4.8499999999999996</v>
      </c>
      <c r="G48" s="134">
        <v>71.72</v>
      </c>
      <c r="H48" s="134">
        <v>17.29</v>
      </c>
      <c r="I48" s="134">
        <v>5.05</v>
      </c>
      <c r="J48" s="134">
        <v>0.56999999999999995</v>
      </c>
      <c r="K48" s="134">
        <v>34.28</v>
      </c>
      <c r="L48" s="134">
        <v>31.84</v>
      </c>
      <c r="M48" s="134">
        <v>64.55</v>
      </c>
      <c r="N48" s="134">
        <v>457.5</v>
      </c>
      <c r="O48" s="134">
        <v>0</v>
      </c>
      <c r="P48" s="134">
        <v>0.5</v>
      </c>
      <c r="Q48" s="134">
        <v>5.15</v>
      </c>
    </row>
    <row r="49" spans="1:17" customFormat="1">
      <c r="A49" s="112" t="s">
        <v>3062</v>
      </c>
      <c r="B49" s="134">
        <v>16.54</v>
      </c>
      <c r="C49" s="134">
        <v>20.37</v>
      </c>
      <c r="D49" s="134">
        <v>25.26</v>
      </c>
      <c r="E49" s="134">
        <v>7.34</v>
      </c>
      <c r="F49" s="134">
        <v>4.3</v>
      </c>
      <c r="G49" s="134">
        <v>72.91</v>
      </c>
      <c r="H49" s="134">
        <v>17.29</v>
      </c>
      <c r="I49" s="134">
        <v>5.04</v>
      </c>
      <c r="J49" s="134">
        <v>0.54</v>
      </c>
      <c r="K49" s="134">
        <v>32.369999999999997</v>
      </c>
      <c r="L49" s="134">
        <v>31.66</v>
      </c>
      <c r="M49" s="134">
        <v>64.290000000000006</v>
      </c>
      <c r="N49" s="134">
        <v>517.29999999999995</v>
      </c>
      <c r="O49" s="134">
        <v>0</v>
      </c>
      <c r="P49" s="134">
        <v>0.49</v>
      </c>
      <c r="Q49" s="134">
        <v>5.17</v>
      </c>
    </row>
    <row r="50" spans="1:17" customFormat="1">
      <c r="A50" s="112" t="s">
        <v>3063</v>
      </c>
      <c r="B50" s="134">
        <v>16.12</v>
      </c>
      <c r="C50" s="134">
        <v>20.57</v>
      </c>
      <c r="D50" s="134">
        <v>25.03</v>
      </c>
      <c r="E50" s="134">
        <v>11.18</v>
      </c>
      <c r="F50" s="134">
        <v>4.38</v>
      </c>
      <c r="G50" s="134">
        <v>72.91</v>
      </c>
      <c r="H50" s="134">
        <v>17.29</v>
      </c>
      <c r="I50" s="134">
        <v>5.0599999999999996</v>
      </c>
      <c r="J50" s="134">
        <v>0.42</v>
      </c>
      <c r="K50" s="134">
        <v>353.68</v>
      </c>
      <c r="L50" s="134">
        <v>32</v>
      </c>
      <c r="M50" s="134">
        <v>64.489999999999995</v>
      </c>
      <c r="N50" s="134">
        <v>490.4</v>
      </c>
      <c r="O50" s="134">
        <v>0</v>
      </c>
      <c r="P50" s="134">
        <v>0.5</v>
      </c>
      <c r="Q50" s="134">
        <v>5.13</v>
      </c>
    </row>
    <row r="51" spans="1:17" customFormat="1">
      <c r="A51" s="112" t="s">
        <v>3064</v>
      </c>
      <c r="B51" s="134">
        <v>15.66</v>
      </c>
      <c r="C51" s="134">
        <v>20.49</v>
      </c>
      <c r="D51" s="134">
        <v>24.62</v>
      </c>
      <c r="E51" s="134">
        <v>10.72</v>
      </c>
      <c r="F51" s="134">
        <v>4.75</v>
      </c>
      <c r="G51" s="134">
        <v>72.91</v>
      </c>
      <c r="H51" s="134">
        <v>17.29</v>
      </c>
      <c r="I51" s="134">
        <v>5.08</v>
      </c>
      <c r="J51" s="134">
        <v>0.3</v>
      </c>
      <c r="K51" s="134">
        <v>346.08</v>
      </c>
      <c r="L51" s="134">
        <v>32.369999999999997</v>
      </c>
      <c r="M51" s="134">
        <v>62.8</v>
      </c>
      <c r="N51" s="134">
        <v>538.4</v>
      </c>
      <c r="O51" s="134">
        <v>0</v>
      </c>
      <c r="P51" s="134">
        <v>0.5</v>
      </c>
      <c r="Q51" s="134">
        <v>5.12</v>
      </c>
    </row>
    <row r="52" spans="1:17" customFormat="1">
      <c r="A52" s="112" t="s">
        <v>3065</v>
      </c>
      <c r="B52" s="134">
        <v>15.03</v>
      </c>
      <c r="C52" s="134">
        <v>20.63</v>
      </c>
      <c r="D52" s="134">
        <v>24.18</v>
      </c>
      <c r="E52" s="134">
        <v>10.79</v>
      </c>
      <c r="F52" s="134">
        <v>5.04</v>
      </c>
      <c r="G52" s="134">
        <v>74.31</v>
      </c>
      <c r="H52" s="134">
        <v>19.47</v>
      </c>
      <c r="I52" s="134">
        <v>5.03</v>
      </c>
      <c r="J52" s="134">
        <v>0.43</v>
      </c>
      <c r="K52" s="134">
        <v>26.32</v>
      </c>
      <c r="L52" s="134">
        <v>31.85</v>
      </c>
      <c r="M52" s="134">
        <v>64.37</v>
      </c>
      <c r="N52" s="134">
        <v>394.5</v>
      </c>
      <c r="O52" s="134">
        <v>0</v>
      </c>
      <c r="P52" s="134">
        <v>0.5</v>
      </c>
      <c r="Q52" s="134">
        <v>5.09</v>
      </c>
    </row>
    <row r="53" spans="1:17" customFormat="1">
      <c r="A53" s="112" t="s">
        <v>3066</v>
      </c>
      <c r="B53" s="134">
        <v>14.49</v>
      </c>
      <c r="C53" s="134">
        <v>20.56</v>
      </c>
      <c r="D53" s="134">
        <v>23.71</v>
      </c>
      <c r="E53" s="134">
        <v>12.3</v>
      </c>
      <c r="F53" s="134">
        <v>5.72</v>
      </c>
      <c r="G53" s="134">
        <v>74.39</v>
      </c>
      <c r="H53" s="134">
        <v>19.47</v>
      </c>
      <c r="I53" s="134">
        <v>5</v>
      </c>
      <c r="J53" s="134">
        <v>0.23</v>
      </c>
      <c r="K53" s="134">
        <v>18.11</v>
      </c>
      <c r="L53" s="134">
        <v>32.03</v>
      </c>
      <c r="M53" s="134">
        <v>64.05</v>
      </c>
      <c r="N53" s="134">
        <v>469.7</v>
      </c>
      <c r="O53" s="134">
        <v>0</v>
      </c>
      <c r="P53" s="134">
        <v>0.5</v>
      </c>
      <c r="Q53" s="134">
        <v>5.0599999999999996</v>
      </c>
    </row>
    <row r="54" spans="1:17" customFormat="1">
      <c r="A54" s="112" t="s">
        <v>3067</v>
      </c>
      <c r="B54" s="134">
        <v>13.89</v>
      </c>
      <c r="C54" s="134">
        <v>19.690000000000001</v>
      </c>
      <c r="D54" s="134">
        <v>22.78</v>
      </c>
      <c r="E54" s="134">
        <v>13.06</v>
      </c>
      <c r="F54" s="134">
        <v>6.63</v>
      </c>
      <c r="G54" s="134">
        <v>74.39</v>
      </c>
      <c r="H54" s="134">
        <v>19.47</v>
      </c>
      <c r="I54" s="134">
        <v>4.96</v>
      </c>
      <c r="J54" s="134">
        <v>0.6</v>
      </c>
      <c r="K54" s="134">
        <v>38.840000000000003</v>
      </c>
      <c r="L54" s="134">
        <v>31.8</v>
      </c>
      <c r="M54" s="134">
        <v>63.97</v>
      </c>
      <c r="N54" s="134">
        <v>294.3</v>
      </c>
      <c r="O54" s="134">
        <v>0</v>
      </c>
      <c r="P54" s="134">
        <v>0.5</v>
      </c>
      <c r="Q54" s="134">
        <v>4.9800000000000004</v>
      </c>
    </row>
    <row r="55" spans="1:17" customFormat="1">
      <c r="A55" s="112" t="s">
        <v>3068</v>
      </c>
      <c r="B55" s="134">
        <v>13.45</v>
      </c>
      <c r="C55" s="134">
        <v>19.29</v>
      </c>
      <c r="D55" s="134">
        <v>22.22</v>
      </c>
      <c r="E55" s="134">
        <v>15.85</v>
      </c>
      <c r="F55" s="134">
        <v>8.3699999999999992</v>
      </c>
      <c r="G55" s="134">
        <v>74.39</v>
      </c>
      <c r="H55" s="134">
        <v>19.47</v>
      </c>
      <c r="I55" s="134">
        <v>4.88</v>
      </c>
      <c r="J55" s="134">
        <v>0.67</v>
      </c>
      <c r="K55" s="134">
        <v>21.69</v>
      </c>
      <c r="L55" s="134">
        <v>31.42</v>
      </c>
      <c r="M55" s="134">
        <v>65.459999999999994</v>
      </c>
      <c r="N55" s="134">
        <v>218.9</v>
      </c>
      <c r="O55" s="134">
        <v>0</v>
      </c>
      <c r="P55" s="134">
        <v>0.5</v>
      </c>
      <c r="Q55" s="134">
        <v>4.9000000000000004</v>
      </c>
    </row>
    <row r="56" spans="1:17" customFormat="1">
      <c r="A56" s="112" t="s">
        <v>3069</v>
      </c>
      <c r="B56" s="134">
        <v>13.4</v>
      </c>
      <c r="C56" s="134">
        <v>18.670000000000002</v>
      </c>
      <c r="D56" s="134">
        <v>21.85</v>
      </c>
      <c r="E56" s="134">
        <v>17.36</v>
      </c>
      <c r="F56" s="134">
        <v>10.82</v>
      </c>
      <c r="G56" s="134">
        <v>76</v>
      </c>
      <c r="H56" s="134">
        <v>23.65</v>
      </c>
      <c r="I56" s="134">
        <v>4.79</v>
      </c>
      <c r="J56" s="134">
        <v>0.49</v>
      </c>
      <c r="K56" s="134">
        <v>16.98</v>
      </c>
      <c r="L56" s="134">
        <v>31.75</v>
      </c>
      <c r="M56" s="134">
        <v>65.319999999999993</v>
      </c>
      <c r="N56" s="134">
        <v>666</v>
      </c>
      <c r="O56" s="134">
        <v>0</v>
      </c>
      <c r="P56" s="134">
        <v>0.49</v>
      </c>
      <c r="Q56" s="134">
        <v>4.9000000000000004</v>
      </c>
    </row>
    <row r="57" spans="1:17" customFormat="1">
      <c r="A57" s="112" t="s">
        <v>3070</v>
      </c>
      <c r="B57" s="134">
        <v>12.88</v>
      </c>
      <c r="C57" s="134">
        <v>18.54</v>
      </c>
      <c r="D57" s="134">
        <v>21.37</v>
      </c>
      <c r="E57" s="134">
        <v>12.3</v>
      </c>
      <c r="F57" s="134">
        <v>9.56</v>
      </c>
      <c r="G57" s="134">
        <v>76.09</v>
      </c>
      <c r="H57" s="134">
        <v>23.65</v>
      </c>
      <c r="I57" s="134">
        <v>4.6100000000000003</v>
      </c>
      <c r="J57" s="134">
        <v>0.71</v>
      </c>
      <c r="K57" s="134">
        <v>32.32</v>
      </c>
      <c r="L57" s="134">
        <v>32.340000000000003</v>
      </c>
      <c r="M57" s="134">
        <v>60.14</v>
      </c>
      <c r="N57" s="134">
        <v>623.5</v>
      </c>
      <c r="O57" s="134">
        <v>0</v>
      </c>
      <c r="P57" s="134">
        <v>0.46</v>
      </c>
      <c r="Q57" s="134">
        <v>4.8499999999999996</v>
      </c>
    </row>
    <row r="58" spans="1:17" customFormat="1">
      <c r="A58" s="112" t="s">
        <v>3071</v>
      </c>
      <c r="B58" s="134">
        <v>12.54</v>
      </c>
      <c r="C58" s="134">
        <v>18.89</v>
      </c>
      <c r="D58" s="134">
        <v>21.27</v>
      </c>
      <c r="E58" s="134">
        <v>7.09</v>
      </c>
      <c r="F58" s="134">
        <v>8.36</v>
      </c>
      <c r="G58" s="134">
        <v>76.09</v>
      </c>
      <c r="H58" s="134">
        <v>23.65</v>
      </c>
      <c r="I58" s="134">
        <v>4.45</v>
      </c>
      <c r="J58" s="134">
        <v>0.68</v>
      </c>
      <c r="K58" s="134">
        <v>33.44</v>
      </c>
      <c r="L58" s="134">
        <v>32.06</v>
      </c>
      <c r="M58" s="134">
        <v>58.43</v>
      </c>
      <c r="N58" s="134">
        <v>277.7</v>
      </c>
      <c r="O58" s="134">
        <v>0</v>
      </c>
      <c r="P58" s="134">
        <v>0.47</v>
      </c>
      <c r="Q58" s="134">
        <v>4.8499999999999996</v>
      </c>
    </row>
    <row r="59" spans="1:17" customFormat="1">
      <c r="A59" s="112" t="s">
        <v>3072</v>
      </c>
      <c r="B59" s="134">
        <v>12.1</v>
      </c>
      <c r="C59" s="134">
        <v>19.04</v>
      </c>
      <c r="D59" s="134">
        <v>21</v>
      </c>
      <c r="E59" s="134">
        <v>7.49</v>
      </c>
      <c r="F59" s="134">
        <v>9.7100000000000009</v>
      </c>
      <c r="G59" s="134">
        <v>76.09</v>
      </c>
      <c r="H59" s="134">
        <v>23.65</v>
      </c>
      <c r="I59" s="134">
        <v>4.47</v>
      </c>
      <c r="J59" s="134">
        <v>0.31</v>
      </c>
      <c r="K59" s="134">
        <v>40.07</v>
      </c>
      <c r="L59" s="134">
        <v>31.98</v>
      </c>
      <c r="M59" s="134">
        <v>59.36</v>
      </c>
      <c r="N59" s="134">
        <v>262.7</v>
      </c>
      <c r="O59" s="134">
        <v>0</v>
      </c>
      <c r="P59" s="134">
        <v>0.47</v>
      </c>
      <c r="Q59" s="134">
        <v>4.84</v>
      </c>
    </row>
    <row r="60" spans="1:17" customFormat="1">
      <c r="A60" s="112" t="s">
        <v>3073</v>
      </c>
      <c r="B60" s="134">
        <v>11.77</v>
      </c>
      <c r="C60" s="134">
        <v>18.420000000000002</v>
      </c>
      <c r="D60" s="134">
        <v>20.41</v>
      </c>
      <c r="E60" s="134">
        <v>7.48</v>
      </c>
      <c r="F60" s="134">
        <v>10.73</v>
      </c>
      <c r="G60" s="134">
        <v>66.78</v>
      </c>
      <c r="H60" s="134">
        <v>17.149999999999999</v>
      </c>
      <c r="I60" s="134">
        <v>4.5199999999999996</v>
      </c>
      <c r="J60" s="134">
        <v>0.44</v>
      </c>
      <c r="K60" s="134">
        <v>39.270000000000003</v>
      </c>
      <c r="L60" s="134">
        <v>31.92</v>
      </c>
      <c r="M60" s="134">
        <v>60.48</v>
      </c>
      <c r="N60" s="134">
        <v>222.8</v>
      </c>
      <c r="O60" s="134">
        <v>0</v>
      </c>
      <c r="P60" s="134">
        <v>0.47</v>
      </c>
      <c r="Q60" s="134">
        <v>4.82</v>
      </c>
    </row>
    <row r="61" spans="1:17" customFormat="1">
      <c r="A61" s="112" t="s">
        <v>3074</v>
      </c>
      <c r="B61" s="134">
        <v>11.57</v>
      </c>
      <c r="C61" s="134">
        <v>18.399999999999999</v>
      </c>
      <c r="D61" s="134">
        <v>20.239999999999998</v>
      </c>
      <c r="E61" s="134">
        <v>6.99</v>
      </c>
      <c r="F61" s="134">
        <v>9.4</v>
      </c>
      <c r="G61" s="134">
        <v>66.23</v>
      </c>
      <c r="H61" s="134">
        <v>17.149999999999999</v>
      </c>
      <c r="I61" s="134">
        <v>4.33</v>
      </c>
      <c r="J61" s="134">
        <v>0.41</v>
      </c>
      <c r="K61" s="134">
        <v>46.28</v>
      </c>
      <c r="L61" s="134">
        <v>31.66</v>
      </c>
      <c r="M61" s="134">
        <v>59.6</v>
      </c>
      <c r="N61" s="134">
        <v>257.2</v>
      </c>
      <c r="O61" s="134">
        <v>0</v>
      </c>
      <c r="P61" s="134">
        <v>0.47</v>
      </c>
      <c r="Q61" s="134">
        <v>4.8099999999999996</v>
      </c>
    </row>
    <row r="62" spans="1:17" customFormat="1">
      <c r="A62" s="112" t="s">
        <v>3075</v>
      </c>
      <c r="B62" s="134">
        <v>11.13</v>
      </c>
      <c r="C62" s="134">
        <v>18.05</v>
      </c>
      <c r="D62" s="134">
        <v>19.71</v>
      </c>
      <c r="E62" s="134">
        <v>7.39</v>
      </c>
      <c r="F62" s="134">
        <v>9.99</v>
      </c>
      <c r="G62" s="134">
        <v>66.23</v>
      </c>
      <c r="H62" s="134">
        <v>17.149999999999999</v>
      </c>
      <c r="I62" s="134">
        <v>4.18</v>
      </c>
      <c r="J62" s="134">
        <v>0.36</v>
      </c>
      <c r="K62" s="134">
        <v>24.06</v>
      </c>
      <c r="L62" s="134">
        <v>31.85</v>
      </c>
      <c r="M62" s="134">
        <v>58.96</v>
      </c>
      <c r="N62" s="134">
        <v>288.60000000000002</v>
      </c>
      <c r="O62" s="134">
        <v>0</v>
      </c>
      <c r="P62" s="134">
        <v>0.47</v>
      </c>
      <c r="Q62" s="134">
        <v>4.79</v>
      </c>
    </row>
    <row r="63" spans="1:17" customFormat="1">
      <c r="A63" s="112" t="s">
        <v>3076</v>
      </c>
      <c r="B63" s="134">
        <v>11.25</v>
      </c>
      <c r="C63" s="134">
        <v>18.260000000000002</v>
      </c>
      <c r="D63" s="134">
        <v>19.91</v>
      </c>
      <c r="E63" s="134">
        <v>6.39</v>
      </c>
      <c r="F63" s="134">
        <v>9.32</v>
      </c>
      <c r="G63" s="134">
        <v>66.23</v>
      </c>
      <c r="H63" s="134">
        <v>17.149999999999999</v>
      </c>
      <c r="I63" s="134">
        <v>4.25</v>
      </c>
      <c r="J63" s="134">
        <v>0.38</v>
      </c>
      <c r="K63" s="134">
        <v>35.06</v>
      </c>
      <c r="L63" s="134">
        <v>32.08</v>
      </c>
      <c r="M63" s="134">
        <v>59.31</v>
      </c>
      <c r="N63" s="134">
        <v>299.2</v>
      </c>
      <c r="O63" s="134">
        <v>0</v>
      </c>
      <c r="P63" s="134">
        <v>0.48</v>
      </c>
      <c r="Q63" s="134">
        <v>4.75</v>
      </c>
    </row>
    <row r="64" spans="1:17" customFormat="1">
      <c r="A64" s="112" t="s">
        <v>3077</v>
      </c>
      <c r="B64" s="134">
        <v>10.87</v>
      </c>
      <c r="C64" s="134">
        <v>17.45</v>
      </c>
      <c r="D64" s="134">
        <v>19.190000000000001</v>
      </c>
      <c r="E64" s="134">
        <v>5.89</v>
      </c>
      <c r="F64" s="134">
        <v>8.9600000000000009</v>
      </c>
      <c r="G64" s="134">
        <v>63.88</v>
      </c>
      <c r="H64" s="134">
        <v>15.87</v>
      </c>
      <c r="I64" s="134">
        <v>4.1900000000000004</v>
      </c>
      <c r="J64" s="134">
        <v>0.19</v>
      </c>
      <c r="K64" s="134">
        <v>173.24</v>
      </c>
      <c r="L64" s="134">
        <v>31.87</v>
      </c>
      <c r="M64" s="134">
        <v>66.099999999999994</v>
      </c>
      <c r="N64" s="134">
        <v>226.6</v>
      </c>
      <c r="O64" s="134">
        <v>0</v>
      </c>
      <c r="P64" s="134">
        <v>0.46</v>
      </c>
      <c r="Q64" s="134">
        <v>4.72</v>
      </c>
    </row>
    <row r="65" spans="1:17" customFormat="1">
      <c r="A65" s="112" t="s">
        <v>3078</v>
      </c>
      <c r="B65" s="134">
        <v>10.8</v>
      </c>
      <c r="C65" s="134">
        <v>17.82</v>
      </c>
      <c r="D65" s="134">
        <v>19.32</v>
      </c>
      <c r="E65" s="134">
        <v>5.84</v>
      </c>
      <c r="F65" s="134">
        <v>6.7</v>
      </c>
      <c r="G65" s="134">
        <v>63.74</v>
      </c>
      <c r="H65" s="134">
        <v>15.87</v>
      </c>
      <c r="I65" s="134">
        <v>4.17</v>
      </c>
      <c r="J65" s="134">
        <v>0.23</v>
      </c>
      <c r="K65" s="134">
        <v>216.26</v>
      </c>
      <c r="L65" s="134">
        <v>31.33</v>
      </c>
      <c r="M65" s="134">
        <v>70.52</v>
      </c>
      <c r="N65" s="134">
        <v>199.5</v>
      </c>
      <c r="O65" s="134">
        <v>0</v>
      </c>
      <c r="P65" s="134">
        <v>0.48</v>
      </c>
      <c r="Q65" s="134">
        <v>4.67</v>
      </c>
    </row>
    <row r="66" spans="1:17" customFormat="1">
      <c r="A66" s="112" t="s">
        <v>3079</v>
      </c>
      <c r="B66" s="134">
        <v>10.32</v>
      </c>
      <c r="C66" s="134">
        <v>17.079999999999998</v>
      </c>
      <c r="D66" s="134">
        <v>18.55</v>
      </c>
      <c r="E66" s="134">
        <v>6.34</v>
      </c>
      <c r="F66" s="134">
        <v>7.71</v>
      </c>
      <c r="G66" s="134">
        <v>63.74</v>
      </c>
      <c r="H66" s="134">
        <v>15.87</v>
      </c>
      <c r="I66" s="134">
        <v>4.1500000000000004</v>
      </c>
      <c r="J66" s="134">
        <v>0.26</v>
      </c>
      <c r="K66" s="134">
        <v>186.45</v>
      </c>
      <c r="L66" s="134">
        <v>31.22</v>
      </c>
      <c r="M66" s="134">
        <v>69.33</v>
      </c>
      <c r="N66" s="134">
        <v>192.3</v>
      </c>
      <c r="O66" s="134">
        <v>0</v>
      </c>
      <c r="P66" s="134">
        <v>0.51</v>
      </c>
      <c r="Q66" s="134">
        <v>4.63</v>
      </c>
    </row>
    <row r="67" spans="1:17" customFormat="1">
      <c r="A67" s="112" t="s">
        <v>3080</v>
      </c>
      <c r="B67" s="134">
        <v>10.06</v>
      </c>
      <c r="C67" s="134">
        <v>16.55</v>
      </c>
      <c r="D67" s="134">
        <v>18.059999999999999</v>
      </c>
      <c r="E67" s="134">
        <v>6.66</v>
      </c>
      <c r="F67" s="134">
        <v>7.88</v>
      </c>
      <c r="G67" s="134">
        <v>63.74</v>
      </c>
      <c r="H67" s="134">
        <v>15.87</v>
      </c>
      <c r="I67" s="134">
        <v>4.29</v>
      </c>
      <c r="J67" s="134">
        <v>0.24</v>
      </c>
      <c r="K67" s="134">
        <v>217.47</v>
      </c>
      <c r="L67" s="134">
        <v>31.05</v>
      </c>
      <c r="M67" s="134">
        <v>69.53</v>
      </c>
      <c r="N67" s="134">
        <v>244</v>
      </c>
      <c r="O67" s="134">
        <v>0</v>
      </c>
      <c r="P67" s="134">
        <v>0.5</v>
      </c>
      <c r="Q67" s="134">
        <v>4.58</v>
      </c>
    </row>
    <row r="68" spans="1:17" customFormat="1">
      <c r="A68" s="112" t="s">
        <v>3081</v>
      </c>
      <c r="B68" s="134">
        <v>9.4700000000000006</v>
      </c>
      <c r="C68" s="134">
        <v>15.86</v>
      </c>
      <c r="D68" s="134">
        <v>17.239999999999998</v>
      </c>
      <c r="E68" s="134">
        <v>6.87</v>
      </c>
      <c r="F68" s="134">
        <v>9.6199999999999992</v>
      </c>
      <c r="G68" s="134">
        <v>55.36</v>
      </c>
      <c r="H68" s="134">
        <v>14.41</v>
      </c>
      <c r="I68" s="134">
        <v>4.21</v>
      </c>
      <c r="J68" s="134">
        <v>0.34</v>
      </c>
      <c r="K68" s="134">
        <v>169.05</v>
      </c>
      <c r="L68" s="134">
        <v>31.65</v>
      </c>
      <c r="M68" s="134">
        <v>67.09</v>
      </c>
      <c r="N68" s="134">
        <v>343.2</v>
      </c>
      <c r="O68" s="134">
        <v>0</v>
      </c>
      <c r="P68" s="134">
        <v>0.49</v>
      </c>
      <c r="Q68" s="134">
        <v>4.55</v>
      </c>
    </row>
    <row r="69" spans="1:17" customFormat="1">
      <c r="A69" s="112" t="s">
        <v>3082</v>
      </c>
      <c r="B69" s="134">
        <v>9.25</v>
      </c>
      <c r="C69" s="134">
        <v>15.92</v>
      </c>
      <c r="D69" s="134">
        <v>17.09</v>
      </c>
      <c r="E69" s="134">
        <v>6.72</v>
      </c>
      <c r="F69" s="134">
        <v>9.16</v>
      </c>
      <c r="G69" s="134">
        <v>54.87</v>
      </c>
      <c r="H69" s="134">
        <v>14.41</v>
      </c>
      <c r="I69" s="134">
        <v>4.21</v>
      </c>
      <c r="J69" s="134">
        <v>0.34</v>
      </c>
      <c r="K69" s="134">
        <v>165.18</v>
      </c>
      <c r="L69" s="134">
        <v>32.4</v>
      </c>
      <c r="M69" s="134">
        <v>63.52</v>
      </c>
      <c r="N69" s="134">
        <v>480.4</v>
      </c>
      <c r="O69" s="134">
        <v>0</v>
      </c>
      <c r="P69" s="134">
        <v>0.49</v>
      </c>
      <c r="Q69" s="134">
        <v>4.5199999999999996</v>
      </c>
    </row>
    <row r="70" spans="1:17" customFormat="1">
      <c r="A70" s="112" t="s">
        <v>3083</v>
      </c>
      <c r="B70" s="134">
        <v>8.98</v>
      </c>
      <c r="C70" s="134">
        <v>15.56</v>
      </c>
      <c r="D70" s="134">
        <v>16.68</v>
      </c>
      <c r="E70" s="134">
        <v>7.1</v>
      </c>
      <c r="F70" s="134">
        <v>11</v>
      </c>
      <c r="G70" s="134">
        <v>54.87</v>
      </c>
      <c r="H70" s="134">
        <v>14.41</v>
      </c>
      <c r="I70" s="134">
        <v>4.0599999999999996</v>
      </c>
      <c r="J70" s="134">
        <v>0.24</v>
      </c>
      <c r="K70" s="134">
        <v>178</v>
      </c>
      <c r="L70" s="134">
        <v>32.69</v>
      </c>
      <c r="M70" s="134">
        <v>62.41</v>
      </c>
      <c r="N70" s="134">
        <v>258.3</v>
      </c>
      <c r="O70" s="134">
        <v>0</v>
      </c>
      <c r="P70" s="134">
        <v>0.48</v>
      </c>
      <c r="Q70" s="134">
        <v>4.47</v>
      </c>
    </row>
    <row r="71" spans="1:17" customFormat="1">
      <c r="A71" s="112" t="s">
        <v>3084</v>
      </c>
      <c r="B71" s="134">
        <v>8.68</v>
      </c>
      <c r="C71" s="134">
        <v>15.75</v>
      </c>
      <c r="D71" s="134">
        <v>16.54</v>
      </c>
      <c r="E71" s="134">
        <v>6.57</v>
      </c>
      <c r="F71" s="134">
        <v>9.2899999999999991</v>
      </c>
      <c r="G71" s="134">
        <v>54.87</v>
      </c>
      <c r="H71" s="134">
        <v>14.41</v>
      </c>
      <c r="I71" s="134">
        <v>4.0999999999999996</v>
      </c>
      <c r="J71" s="134">
        <v>0.22</v>
      </c>
      <c r="K71" s="134">
        <v>182.57</v>
      </c>
      <c r="L71" s="134">
        <v>31.7</v>
      </c>
      <c r="M71" s="134">
        <v>67.959999999999994</v>
      </c>
      <c r="N71" s="134">
        <v>158.80000000000001</v>
      </c>
      <c r="O71" s="134">
        <v>0</v>
      </c>
      <c r="P71" s="134">
        <v>0.48</v>
      </c>
      <c r="Q71" s="134">
        <v>4.45</v>
      </c>
    </row>
    <row r="72" spans="1:17" customFormat="1">
      <c r="A72" s="112" t="s">
        <v>3085</v>
      </c>
      <c r="B72" s="134">
        <v>8.4</v>
      </c>
      <c r="C72" s="134">
        <v>16.260000000000002</v>
      </c>
      <c r="D72" s="134">
        <v>16.579999999999998</v>
      </c>
      <c r="E72" s="134">
        <v>7</v>
      </c>
      <c r="F72" s="134">
        <v>10.96</v>
      </c>
      <c r="G72" s="134">
        <v>55.24</v>
      </c>
      <c r="H72" s="134">
        <v>16.21</v>
      </c>
      <c r="I72" s="134">
        <v>4.08</v>
      </c>
      <c r="J72" s="134">
        <v>0.16</v>
      </c>
      <c r="K72" s="134">
        <v>260.16000000000003</v>
      </c>
      <c r="L72" s="134">
        <v>31.87</v>
      </c>
      <c r="M72" s="134">
        <v>64.39</v>
      </c>
      <c r="N72" s="134">
        <v>269.2</v>
      </c>
      <c r="O72" s="134">
        <v>0</v>
      </c>
      <c r="P72" s="134">
        <v>0.51</v>
      </c>
      <c r="Q72" s="134">
        <v>4.47</v>
      </c>
    </row>
    <row r="73" spans="1:17" customFormat="1">
      <c r="A73" s="112" t="s">
        <v>3086</v>
      </c>
      <c r="B73" s="134">
        <v>8.17</v>
      </c>
      <c r="C73" s="134">
        <v>16.68</v>
      </c>
      <c r="D73" s="134">
        <v>16.62</v>
      </c>
      <c r="E73" s="134">
        <v>6.38</v>
      </c>
      <c r="F73" s="134">
        <v>9.39</v>
      </c>
      <c r="G73" s="134">
        <v>55.26</v>
      </c>
      <c r="H73" s="134">
        <v>16.21</v>
      </c>
      <c r="I73" s="134">
        <v>4.09</v>
      </c>
      <c r="J73" s="134">
        <v>0.22</v>
      </c>
      <c r="K73" s="134">
        <v>262.05</v>
      </c>
      <c r="L73" s="134">
        <v>31.73</v>
      </c>
      <c r="M73" s="134">
        <v>65.39</v>
      </c>
      <c r="N73" s="134">
        <v>129.30000000000001</v>
      </c>
      <c r="O73" s="134">
        <v>0</v>
      </c>
      <c r="P73" s="134">
        <v>0.5</v>
      </c>
      <c r="Q73" s="134">
        <v>4.46</v>
      </c>
    </row>
    <row r="74" spans="1:17" customFormat="1">
      <c r="A74" s="112" t="s">
        <v>3087</v>
      </c>
      <c r="B74" s="134">
        <v>8.41</v>
      </c>
      <c r="C74" s="134">
        <v>17.22</v>
      </c>
      <c r="D74" s="134">
        <v>17.09</v>
      </c>
      <c r="E74" s="134">
        <v>6.57</v>
      </c>
      <c r="F74" s="134">
        <v>6.57</v>
      </c>
      <c r="G74" s="134">
        <v>55.26</v>
      </c>
      <c r="H74" s="134">
        <v>16.21</v>
      </c>
      <c r="I74" s="134">
        <v>4.05</v>
      </c>
      <c r="J74" s="134">
        <v>0.95</v>
      </c>
      <c r="K74" s="134">
        <v>304.95</v>
      </c>
      <c r="L74" s="134">
        <v>30.28</v>
      </c>
      <c r="M74" s="134">
        <v>70.5</v>
      </c>
      <c r="N74" s="134">
        <v>28.5</v>
      </c>
      <c r="O74" s="134">
        <v>0</v>
      </c>
      <c r="P74" s="134">
        <v>0.51</v>
      </c>
      <c r="Q74" s="134">
        <v>4.4400000000000004</v>
      </c>
    </row>
    <row r="75" spans="1:17" customFormat="1">
      <c r="A75" s="112" t="s">
        <v>3088</v>
      </c>
      <c r="B75" s="134">
        <v>8.49</v>
      </c>
      <c r="C75" s="134">
        <v>16.920000000000002</v>
      </c>
      <c r="D75" s="134">
        <v>17</v>
      </c>
      <c r="E75" s="134">
        <v>5.55</v>
      </c>
      <c r="F75" s="134">
        <v>6.1</v>
      </c>
      <c r="G75" s="134">
        <v>55.26</v>
      </c>
      <c r="H75" s="134">
        <v>16.21</v>
      </c>
      <c r="I75" s="134">
        <v>4.13</v>
      </c>
      <c r="J75" s="134">
        <v>1.05</v>
      </c>
      <c r="K75" s="134">
        <v>323.11</v>
      </c>
      <c r="L75" s="134">
        <v>25.3</v>
      </c>
      <c r="M75" s="134">
        <v>94.45</v>
      </c>
      <c r="N75" s="134">
        <v>8.1</v>
      </c>
      <c r="O75" s="134">
        <v>12.4</v>
      </c>
      <c r="P75" s="134">
        <v>0.49</v>
      </c>
      <c r="Q75" s="134">
        <v>4.41</v>
      </c>
    </row>
    <row r="76" spans="1:17" customFormat="1">
      <c r="A76" s="112" t="s">
        <v>3089</v>
      </c>
      <c r="B76" s="134">
        <v>8.36</v>
      </c>
      <c r="C76" s="134">
        <v>16.72</v>
      </c>
      <c r="D76" s="134">
        <v>16.8</v>
      </c>
      <c r="E76" s="134">
        <v>5.03</v>
      </c>
      <c r="F76" s="134">
        <v>4.45</v>
      </c>
      <c r="G76" s="134">
        <v>51.32</v>
      </c>
      <c r="H76" s="134">
        <v>15.42</v>
      </c>
      <c r="I76" s="134">
        <v>4.22</v>
      </c>
      <c r="J76" s="134">
        <v>1</v>
      </c>
      <c r="K76" s="134">
        <v>276.48</v>
      </c>
      <c r="L76" s="134">
        <v>23.98</v>
      </c>
      <c r="M76" s="134">
        <v>99.56</v>
      </c>
      <c r="N76" s="134">
        <v>0.4</v>
      </c>
      <c r="O76" s="134">
        <v>2.8</v>
      </c>
      <c r="P76" s="134">
        <v>0.49</v>
      </c>
      <c r="Q76" s="134">
        <v>4.38</v>
      </c>
    </row>
    <row r="77" spans="1:17" customFormat="1">
      <c r="A77" s="112" t="s">
        <v>3090</v>
      </c>
      <c r="B77" s="134">
        <v>8.16</v>
      </c>
      <c r="C77" s="134">
        <v>16.95</v>
      </c>
      <c r="D77" s="134">
        <v>16.75</v>
      </c>
      <c r="E77" s="134">
        <v>4.95</v>
      </c>
      <c r="F77" s="134">
        <v>3.81</v>
      </c>
      <c r="G77" s="134">
        <v>51.08</v>
      </c>
      <c r="H77" s="134">
        <v>15.42</v>
      </c>
      <c r="I77" s="134">
        <v>4.1399999999999997</v>
      </c>
      <c r="J77" s="134">
        <v>0.78</v>
      </c>
      <c r="K77" s="134">
        <v>273.05</v>
      </c>
      <c r="L77" s="134">
        <v>23.65</v>
      </c>
      <c r="M77" s="134">
        <v>100.17</v>
      </c>
      <c r="N77" s="134">
        <v>0.7</v>
      </c>
      <c r="O77" s="134">
        <v>0.2</v>
      </c>
      <c r="P77" s="134">
        <v>0.47</v>
      </c>
      <c r="Q77" s="134">
        <v>4.37</v>
      </c>
    </row>
    <row r="78" spans="1:17" customFormat="1">
      <c r="A78" s="112" t="s">
        <v>3091</v>
      </c>
      <c r="B78" s="134">
        <v>7.94</v>
      </c>
      <c r="C78" s="134">
        <v>17.190000000000001</v>
      </c>
      <c r="D78" s="134">
        <v>16.7</v>
      </c>
      <c r="E78" s="134">
        <v>4.8099999999999996</v>
      </c>
      <c r="F78" s="134">
        <v>3.73</v>
      </c>
      <c r="G78" s="134">
        <v>51.08</v>
      </c>
      <c r="H78" s="134">
        <v>15.42</v>
      </c>
      <c r="I78" s="134">
        <v>4.07</v>
      </c>
      <c r="J78" s="134">
        <v>0.5</v>
      </c>
      <c r="K78" s="134">
        <v>286.94</v>
      </c>
      <c r="L78" s="134">
        <v>23.68</v>
      </c>
      <c r="M78" s="134">
        <v>100.57</v>
      </c>
      <c r="N78" s="134">
        <v>2.9</v>
      </c>
      <c r="O78" s="134">
        <v>0</v>
      </c>
      <c r="P78" s="134">
        <v>0.47</v>
      </c>
      <c r="Q78" s="134">
        <v>4.37</v>
      </c>
    </row>
    <row r="79" spans="1:17" customFormat="1">
      <c r="A79" s="112" t="s">
        <v>3092</v>
      </c>
      <c r="B79" s="134">
        <v>8.01</v>
      </c>
      <c r="C79" s="134">
        <v>17.100000000000001</v>
      </c>
      <c r="D79" s="134">
        <v>16.71</v>
      </c>
      <c r="E79" s="134">
        <v>5.14</v>
      </c>
      <c r="F79" s="134">
        <v>3.56</v>
      </c>
      <c r="G79" s="134">
        <v>51.08</v>
      </c>
      <c r="H79" s="134">
        <v>15.42</v>
      </c>
      <c r="I79" s="134">
        <v>4.0199999999999996</v>
      </c>
      <c r="J79" s="134">
        <v>0.28000000000000003</v>
      </c>
      <c r="K79" s="134">
        <v>269.52</v>
      </c>
      <c r="L79" s="134">
        <v>23.81</v>
      </c>
      <c r="M79" s="134">
        <v>100.89</v>
      </c>
      <c r="N79" s="134">
        <v>1.8</v>
      </c>
      <c r="O79" s="134">
        <v>0</v>
      </c>
      <c r="P79" s="134">
        <v>0.46</v>
      </c>
      <c r="Q79" s="134">
        <v>4.3499999999999996</v>
      </c>
    </row>
    <row r="80" spans="1:17" customFormat="1">
      <c r="A80" s="112" t="s">
        <v>3093</v>
      </c>
      <c r="B80" s="134">
        <v>7.97</v>
      </c>
      <c r="C80" s="134">
        <v>17.62</v>
      </c>
      <c r="D80" s="134">
        <v>16.95</v>
      </c>
      <c r="E80" s="134">
        <v>4.84</v>
      </c>
      <c r="F80" s="134">
        <v>4.12</v>
      </c>
      <c r="G80" s="134">
        <v>40.770000000000003</v>
      </c>
      <c r="H80" s="134">
        <v>13.85</v>
      </c>
      <c r="I80" s="134">
        <v>3.97</v>
      </c>
      <c r="J80" s="134">
        <v>0.28000000000000003</v>
      </c>
      <c r="K80" s="134">
        <v>239.66</v>
      </c>
      <c r="L80" s="134">
        <v>24.21</v>
      </c>
      <c r="M80" s="134">
        <v>101.24</v>
      </c>
      <c r="N80" s="134">
        <v>0</v>
      </c>
      <c r="O80" s="134">
        <v>0</v>
      </c>
      <c r="P80" s="134">
        <v>0.47</v>
      </c>
      <c r="Q80" s="134">
        <v>4.37</v>
      </c>
    </row>
    <row r="81" spans="1:17" customFormat="1">
      <c r="A81" s="112" t="s">
        <v>3094</v>
      </c>
      <c r="B81" s="134">
        <v>8.35</v>
      </c>
      <c r="C81" s="134">
        <v>19.16</v>
      </c>
      <c r="D81" s="134">
        <v>18.059999999999999</v>
      </c>
      <c r="E81" s="134">
        <v>2.27</v>
      </c>
      <c r="F81" s="134">
        <v>2.15</v>
      </c>
      <c r="G81" s="134">
        <v>40.17</v>
      </c>
      <c r="H81" s="134">
        <v>13.85</v>
      </c>
      <c r="I81" s="134">
        <v>3.96</v>
      </c>
      <c r="J81" s="134">
        <v>0.16</v>
      </c>
      <c r="K81" s="134">
        <v>200.2</v>
      </c>
      <c r="L81" s="134">
        <v>24.44</v>
      </c>
      <c r="M81" s="134">
        <v>101.57</v>
      </c>
      <c r="N81" s="134">
        <v>0</v>
      </c>
      <c r="O81" s="134">
        <v>0</v>
      </c>
      <c r="P81" s="134">
        <v>0.5</v>
      </c>
      <c r="Q81" s="134">
        <v>4.43</v>
      </c>
    </row>
    <row r="82" spans="1:17" customFormat="1">
      <c r="A82" s="112" t="s">
        <v>3095</v>
      </c>
      <c r="B82" s="134">
        <v>8.94</v>
      </c>
      <c r="C82" s="134">
        <v>18.309999999999999</v>
      </c>
      <c r="D82" s="134">
        <v>18.09</v>
      </c>
      <c r="E82" s="134">
        <v>2.36</v>
      </c>
      <c r="F82" s="134">
        <v>2.5099999999999998</v>
      </c>
      <c r="G82" s="134">
        <v>40.17</v>
      </c>
      <c r="H82" s="134">
        <v>13.85</v>
      </c>
      <c r="I82" s="134">
        <v>3.97</v>
      </c>
      <c r="J82" s="134">
        <v>0.11</v>
      </c>
      <c r="K82" s="134">
        <v>50.21</v>
      </c>
      <c r="L82" s="134">
        <v>24.75</v>
      </c>
      <c r="M82" s="134">
        <v>101.92</v>
      </c>
      <c r="N82" s="134">
        <v>0</v>
      </c>
      <c r="O82" s="134">
        <v>0</v>
      </c>
      <c r="P82" s="134">
        <v>0.53</v>
      </c>
      <c r="Q82" s="134">
        <v>4.4400000000000004</v>
      </c>
    </row>
    <row r="83" spans="1:17" customFormat="1">
      <c r="A83" s="112" t="s">
        <v>3096</v>
      </c>
      <c r="B83" s="134">
        <v>9.9</v>
      </c>
      <c r="C83" s="134">
        <v>19.05</v>
      </c>
      <c r="D83" s="134">
        <v>19.25</v>
      </c>
      <c r="E83" s="134">
        <v>2.5099999999999998</v>
      </c>
      <c r="F83" s="134">
        <v>2.69</v>
      </c>
      <c r="G83" s="134">
        <v>40.17</v>
      </c>
      <c r="H83" s="134">
        <v>13.85</v>
      </c>
      <c r="I83" s="134">
        <v>4.0999999999999996</v>
      </c>
      <c r="J83" s="134">
        <v>0.11</v>
      </c>
      <c r="K83" s="134">
        <v>80.87</v>
      </c>
      <c r="L83" s="134">
        <v>24.87</v>
      </c>
      <c r="M83" s="134">
        <v>102.23</v>
      </c>
      <c r="N83" s="134">
        <v>0</v>
      </c>
      <c r="O83" s="134">
        <v>0</v>
      </c>
      <c r="P83" s="134">
        <v>0.56999999999999995</v>
      </c>
      <c r="Q83" s="134">
        <v>4.47</v>
      </c>
    </row>
    <row r="84" spans="1:17" customFormat="1">
      <c r="A84" s="112" t="s">
        <v>3097</v>
      </c>
      <c r="B84" s="134">
        <v>10.26</v>
      </c>
      <c r="C84" s="134">
        <v>19.559999999999999</v>
      </c>
      <c r="D84" s="134">
        <v>19.8</v>
      </c>
      <c r="E84" s="134">
        <v>2.1</v>
      </c>
      <c r="F84" s="134">
        <v>2.57</v>
      </c>
      <c r="G84" s="134">
        <v>44.32</v>
      </c>
      <c r="H84" s="134">
        <v>14.91</v>
      </c>
      <c r="I84" s="134">
        <v>5.05</v>
      </c>
      <c r="J84" s="134">
        <v>0.13</v>
      </c>
      <c r="K84" s="134">
        <v>150.78</v>
      </c>
      <c r="L84" s="134">
        <v>24.99</v>
      </c>
      <c r="M84" s="134">
        <v>102.39</v>
      </c>
      <c r="N84" s="134">
        <v>0</v>
      </c>
      <c r="O84" s="134">
        <v>0</v>
      </c>
      <c r="P84" s="134">
        <v>0.55000000000000004</v>
      </c>
      <c r="Q84" s="134">
        <v>4.54</v>
      </c>
    </row>
    <row r="85" spans="1:17" customFormat="1">
      <c r="A85" s="112" t="s">
        <v>3098</v>
      </c>
      <c r="B85" s="134">
        <v>10.26</v>
      </c>
      <c r="C85" s="134">
        <v>20.190000000000001</v>
      </c>
      <c r="D85" s="134">
        <v>20.13</v>
      </c>
      <c r="E85" s="134">
        <v>2.95</v>
      </c>
      <c r="F85" s="134">
        <v>1.77</v>
      </c>
      <c r="G85" s="134">
        <v>44.56</v>
      </c>
      <c r="H85" s="134">
        <v>14.91</v>
      </c>
      <c r="I85" s="134">
        <v>7.16</v>
      </c>
      <c r="J85" s="134">
        <v>0.15</v>
      </c>
      <c r="K85" s="134">
        <v>184.15</v>
      </c>
      <c r="L85" s="134">
        <v>25</v>
      </c>
      <c r="M85" s="134">
        <v>102.51</v>
      </c>
      <c r="N85" s="134">
        <v>0</v>
      </c>
      <c r="O85" s="134">
        <v>0</v>
      </c>
      <c r="P85" s="134">
        <v>0.56999999999999995</v>
      </c>
      <c r="Q85" s="134">
        <v>4.6100000000000003</v>
      </c>
    </row>
    <row r="86" spans="1:17" customFormat="1">
      <c r="A86" s="112" t="s">
        <v>3099</v>
      </c>
      <c r="B86" s="134">
        <v>10.35</v>
      </c>
      <c r="C86" s="134">
        <v>18.87</v>
      </c>
      <c r="D86" s="134">
        <v>19.510000000000002</v>
      </c>
      <c r="E86" s="134">
        <v>2.74</v>
      </c>
      <c r="F86" s="134">
        <v>2.5099999999999998</v>
      </c>
      <c r="G86" s="134">
        <v>44.56</v>
      </c>
      <c r="H86" s="134">
        <v>14.91</v>
      </c>
      <c r="I86" s="134">
        <v>5.18</v>
      </c>
      <c r="J86" s="134">
        <v>0.13</v>
      </c>
      <c r="K86" s="134">
        <v>172.79</v>
      </c>
      <c r="L86" s="134">
        <v>25.09</v>
      </c>
      <c r="M86" s="134">
        <v>102.67</v>
      </c>
      <c r="N86" s="134">
        <v>0</v>
      </c>
      <c r="O86" s="134">
        <v>0</v>
      </c>
      <c r="P86" s="134">
        <v>0.59</v>
      </c>
      <c r="Q86" s="134">
        <v>4.5999999999999996</v>
      </c>
    </row>
    <row r="87" spans="1:17" customFormat="1">
      <c r="A87" s="112" t="s">
        <v>3100</v>
      </c>
      <c r="B87" s="134">
        <v>10.59</v>
      </c>
      <c r="C87" s="134">
        <v>18.21</v>
      </c>
      <c r="D87" s="134">
        <v>19.350000000000001</v>
      </c>
      <c r="E87" s="134">
        <v>2.86</v>
      </c>
      <c r="F87" s="134">
        <v>2.6</v>
      </c>
      <c r="G87" s="134">
        <v>44.56</v>
      </c>
      <c r="H87" s="134">
        <v>14.91</v>
      </c>
      <c r="I87" s="134">
        <v>5.2</v>
      </c>
      <c r="J87" s="134">
        <v>0.23</v>
      </c>
      <c r="K87" s="134">
        <v>178</v>
      </c>
      <c r="L87" s="134">
        <v>25.14</v>
      </c>
      <c r="M87" s="134">
        <v>102.88</v>
      </c>
      <c r="N87" s="134">
        <v>0</v>
      </c>
      <c r="O87" s="134">
        <v>0</v>
      </c>
      <c r="P87" s="134">
        <v>0.61</v>
      </c>
      <c r="Q87" s="134">
        <v>4.59</v>
      </c>
    </row>
    <row r="88" spans="1:17" customFormat="1">
      <c r="A88" s="112" t="s">
        <v>3101</v>
      </c>
      <c r="B88" s="134">
        <v>10.66</v>
      </c>
      <c r="C88" s="134">
        <v>18.37</v>
      </c>
      <c r="D88" s="134">
        <v>19.5</v>
      </c>
      <c r="E88" s="134">
        <v>3.03</v>
      </c>
      <c r="F88" s="134">
        <v>2.38</v>
      </c>
      <c r="G88" s="134">
        <v>42.98</v>
      </c>
      <c r="H88" s="134">
        <v>14.79</v>
      </c>
      <c r="I88" s="134">
        <v>5.27</v>
      </c>
      <c r="J88" s="134">
        <v>0.1</v>
      </c>
      <c r="K88" s="134">
        <v>191.06</v>
      </c>
      <c r="L88" s="134">
        <v>25.1</v>
      </c>
      <c r="M88" s="134">
        <v>103.01</v>
      </c>
      <c r="N88" s="134">
        <v>0</v>
      </c>
      <c r="O88" s="134">
        <v>0</v>
      </c>
      <c r="P88" s="134">
        <v>0.59</v>
      </c>
      <c r="Q88" s="134">
        <v>4.5999999999999996</v>
      </c>
    </row>
    <row r="89" spans="1:17" customFormat="1">
      <c r="A89" s="112" t="s">
        <v>3102</v>
      </c>
      <c r="B89" s="134">
        <v>11.84</v>
      </c>
      <c r="C89" s="134">
        <v>19.96</v>
      </c>
      <c r="D89" s="134">
        <v>21.27</v>
      </c>
      <c r="E89" s="134">
        <v>2.77</v>
      </c>
      <c r="F89" s="134">
        <v>1.82</v>
      </c>
      <c r="G89" s="134">
        <v>42.88</v>
      </c>
      <c r="H89" s="134">
        <v>14.79</v>
      </c>
      <c r="I89" s="134">
        <v>5.35</v>
      </c>
      <c r="J89" s="134">
        <v>7.0000000000000007E-2</v>
      </c>
      <c r="K89" s="134">
        <v>78.13</v>
      </c>
      <c r="L89" s="134">
        <v>25.22</v>
      </c>
      <c r="M89" s="134">
        <v>103.67</v>
      </c>
      <c r="N89" s="134">
        <v>0</v>
      </c>
      <c r="O89" s="134">
        <v>0</v>
      </c>
      <c r="P89" s="134">
        <v>0.65</v>
      </c>
      <c r="Q89" s="134">
        <v>4.67</v>
      </c>
    </row>
    <row r="90" spans="1:17" customFormat="1">
      <c r="A90" s="112" t="s">
        <v>3103</v>
      </c>
      <c r="B90" s="134">
        <v>13.25</v>
      </c>
      <c r="C90" s="134">
        <v>19.98</v>
      </c>
      <c r="D90" s="134">
        <v>22.42</v>
      </c>
      <c r="E90" s="134">
        <v>2.87</v>
      </c>
      <c r="F90" s="134">
        <v>2.16</v>
      </c>
      <c r="G90" s="134">
        <v>42.88</v>
      </c>
      <c r="H90" s="134">
        <v>14.79</v>
      </c>
      <c r="I90" s="134">
        <v>5.35</v>
      </c>
      <c r="J90" s="134">
        <v>0.05</v>
      </c>
      <c r="K90" s="134">
        <v>293.82</v>
      </c>
      <c r="L90" s="134">
        <v>25.27</v>
      </c>
      <c r="M90" s="134">
        <v>103.1</v>
      </c>
      <c r="N90" s="134">
        <v>0</v>
      </c>
      <c r="O90" s="134">
        <v>0</v>
      </c>
      <c r="P90" s="134">
        <v>0.67</v>
      </c>
      <c r="Q90" s="134">
        <v>4.7300000000000004</v>
      </c>
    </row>
    <row r="91" spans="1:17" customFormat="1">
      <c r="A91" s="112" t="s">
        <v>3104</v>
      </c>
      <c r="B91" s="134">
        <v>13.75</v>
      </c>
      <c r="C91" s="134">
        <v>20.52</v>
      </c>
      <c r="D91" s="134">
        <v>23.1</v>
      </c>
      <c r="E91" s="134">
        <v>2.68</v>
      </c>
      <c r="F91" s="134">
        <v>2.0099999999999998</v>
      </c>
      <c r="G91" s="134">
        <v>42.88</v>
      </c>
      <c r="H91" s="134">
        <v>14.79</v>
      </c>
      <c r="I91" s="134">
        <v>5.53</v>
      </c>
      <c r="J91" s="134">
        <v>0.05</v>
      </c>
      <c r="K91" s="134">
        <v>203.47</v>
      </c>
      <c r="L91" s="134">
        <v>25.37</v>
      </c>
      <c r="M91" s="134">
        <v>102.07</v>
      </c>
      <c r="N91" s="134">
        <v>0</v>
      </c>
      <c r="O91" s="134">
        <v>0</v>
      </c>
      <c r="P91" s="134">
        <v>0.69</v>
      </c>
      <c r="Q91" s="134">
        <v>4.83</v>
      </c>
    </row>
    <row r="92" spans="1:17" customFormat="1">
      <c r="A92" s="112" t="s">
        <v>3105</v>
      </c>
      <c r="B92" s="134">
        <v>14.49</v>
      </c>
      <c r="C92" s="134">
        <v>20.38</v>
      </c>
      <c r="D92" s="134">
        <v>23.62</v>
      </c>
      <c r="E92" s="134">
        <v>3.44</v>
      </c>
      <c r="F92" s="134">
        <v>2.17</v>
      </c>
      <c r="G92" s="134">
        <v>52.27</v>
      </c>
      <c r="H92" s="134">
        <v>15.68</v>
      </c>
      <c r="I92" s="134">
        <v>5.72</v>
      </c>
      <c r="J92" s="134">
        <v>0.12</v>
      </c>
      <c r="K92" s="134">
        <v>64.8</v>
      </c>
      <c r="L92" s="134">
        <v>25.52</v>
      </c>
      <c r="M92" s="134">
        <v>103.11</v>
      </c>
      <c r="N92" s="134">
        <v>0</v>
      </c>
      <c r="O92" s="134">
        <v>0</v>
      </c>
      <c r="P92" s="134">
        <v>0.74</v>
      </c>
      <c r="Q92" s="134">
        <v>4.91</v>
      </c>
    </row>
    <row r="93" spans="1:17" customFormat="1">
      <c r="A93" s="112" t="s">
        <v>3106</v>
      </c>
      <c r="B93" s="134">
        <v>15.6</v>
      </c>
      <c r="C93" s="134">
        <v>20.48</v>
      </c>
      <c r="D93" s="134">
        <v>24.56</v>
      </c>
      <c r="E93" s="134">
        <v>3.01</v>
      </c>
      <c r="F93" s="134">
        <v>2.36</v>
      </c>
      <c r="G93" s="134">
        <v>52.82</v>
      </c>
      <c r="H93" s="134">
        <v>15.68</v>
      </c>
      <c r="I93" s="134">
        <v>5.95</v>
      </c>
      <c r="J93" s="134">
        <v>0.13</v>
      </c>
      <c r="K93" s="134">
        <v>111.8</v>
      </c>
      <c r="L93" s="134">
        <v>25.5</v>
      </c>
      <c r="M93" s="134">
        <v>100.94</v>
      </c>
      <c r="N93" s="134">
        <v>0</v>
      </c>
      <c r="O93" s="134">
        <v>0</v>
      </c>
      <c r="P93" s="134">
        <v>0.73</v>
      </c>
      <c r="Q93" s="134">
        <v>4.93</v>
      </c>
    </row>
    <row r="94" spans="1:17" customFormat="1">
      <c r="A94" s="112" t="s">
        <v>3107</v>
      </c>
      <c r="B94" s="134">
        <v>16.2</v>
      </c>
      <c r="C94" s="134">
        <v>20.190000000000001</v>
      </c>
      <c r="D94" s="134">
        <v>24.89</v>
      </c>
      <c r="E94" s="134">
        <v>2.65</v>
      </c>
      <c r="F94" s="134">
        <v>2.23</v>
      </c>
      <c r="G94" s="134">
        <v>52.82</v>
      </c>
      <c r="H94" s="134">
        <v>15.68</v>
      </c>
      <c r="I94" s="134">
        <v>6.4</v>
      </c>
      <c r="J94" s="134">
        <v>0.09</v>
      </c>
      <c r="K94" s="134">
        <v>195.27</v>
      </c>
      <c r="L94" s="134">
        <v>25.49</v>
      </c>
      <c r="M94" s="134">
        <v>96.52</v>
      </c>
      <c r="N94" s="134">
        <v>0</v>
      </c>
      <c r="O94" s="134">
        <v>0</v>
      </c>
      <c r="P94" s="134">
        <v>0.73</v>
      </c>
      <c r="Q94" s="134">
        <v>4.9800000000000004</v>
      </c>
    </row>
    <row r="95" spans="1:17" customFormat="1">
      <c r="A95" s="112" t="s">
        <v>3108</v>
      </c>
      <c r="B95" s="134">
        <v>17.28</v>
      </c>
      <c r="C95" s="134">
        <v>21.33</v>
      </c>
      <c r="D95" s="134">
        <v>26.35</v>
      </c>
      <c r="E95" s="134">
        <v>2.95</v>
      </c>
      <c r="F95" s="134">
        <v>2.0699999999999998</v>
      </c>
      <c r="G95" s="134">
        <v>52.82</v>
      </c>
      <c r="H95" s="134">
        <v>15.68</v>
      </c>
      <c r="I95" s="134">
        <v>6.56</v>
      </c>
      <c r="J95" s="134">
        <v>0.18</v>
      </c>
      <c r="K95" s="134">
        <v>227.21</v>
      </c>
      <c r="L95" s="134">
        <v>25.36</v>
      </c>
      <c r="M95" s="134">
        <v>95.41</v>
      </c>
      <c r="N95" s="134">
        <v>0</v>
      </c>
      <c r="O95" s="134">
        <v>0</v>
      </c>
      <c r="P95" s="134">
        <v>0.72</v>
      </c>
      <c r="Q95" s="134">
        <v>5.0199999999999996</v>
      </c>
    </row>
    <row r="96" spans="1:17" customFormat="1">
      <c r="A96" s="112" t="s">
        <v>3109</v>
      </c>
      <c r="B96" s="134">
        <v>19.22</v>
      </c>
      <c r="C96" s="134">
        <v>23.46</v>
      </c>
      <c r="D96" s="134">
        <v>29.02</v>
      </c>
      <c r="E96" s="134">
        <v>3.32</v>
      </c>
      <c r="F96" s="134">
        <v>1.83</v>
      </c>
      <c r="G96" s="134">
        <v>59.05</v>
      </c>
      <c r="H96" s="134">
        <v>22.27</v>
      </c>
      <c r="I96" s="134">
        <v>6.62</v>
      </c>
      <c r="J96" s="134">
        <v>0.17</v>
      </c>
      <c r="K96" s="134">
        <v>213.38</v>
      </c>
      <c r="L96" s="134">
        <v>25.3</v>
      </c>
      <c r="M96" s="134">
        <v>95.72</v>
      </c>
      <c r="N96" s="134">
        <v>0</v>
      </c>
      <c r="O96" s="134">
        <v>0</v>
      </c>
      <c r="P96" s="134">
        <v>0.77</v>
      </c>
      <c r="Q96" s="134">
        <v>5.16</v>
      </c>
    </row>
    <row r="97" spans="1:22" customFormat="1">
      <c r="A97" s="112" t="s">
        <v>3110</v>
      </c>
      <c r="B97" s="134">
        <v>18.86</v>
      </c>
      <c r="C97" s="134">
        <v>21.43</v>
      </c>
      <c r="D97" s="134">
        <v>27.67</v>
      </c>
      <c r="E97" s="134">
        <v>3.15</v>
      </c>
      <c r="F97" s="134">
        <v>2.44</v>
      </c>
      <c r="G97" s="134">
        <v>59.42</v>
      </c>
      <c r="H97" s="134">
        <v>22.27</v>
      </c>
      <c r="I97" s="134">
        <v>6.64</v>
      </c>
      <c r="J97" s="134">
        <v>0.17</v>
      </c>
      <c r="K97" s="134">
        <v>172.45</v>
      </c>
      <c r="L97" s="134">
        <v>25.4</v>
      </c>
      <c r="M97" s="134">
        <v>96.41</v>
      </c>
      <c r="N97" s="134">
        <v>0</v>
      </c>
      <c r="O97" s="134">
        <v>0</v>
      </c>
      <c r="P97" s="134">
        <v>0.76</v>
      </c>
      <c r="Q97" s="134">
        <v>5.2</v>
      </c>
    </row>
    <row r="98" spans="1:22" customFormat="1">
      <c r="A98" s="112" t="s">
        <v>3111</v>
      </c>
      <c r="B98" s="134">
        <v>18.670000000000002</v>
      </c>
      <c r="C98" s="134">
        <v>20.7</v>
      </c>
      <c r="D98" s="134">
        <v>27.14</v>
      </c>
      <c r="E98" s="134">
        <v>2.97</v>
      </c>
      <c r="F98" s="134">
        <v>2.31</v>
      </c>
      <c r="G98" s="134">
        <v>59.42</v>
      </c>
      <c r="H98" s="134">
        <v>22.27</v>
      </c>
      <c r="I98" s="134">
        <v>6.75</v>
      </c>
      <c r="J98" s="134">
        <v>0.13</v>
      </c>
      <c r="K98" s="134">
        <v>189.03</v>
      </c>
      <c r="L98" s="134">
        <v>25.23</v>
      </c>
      <c r="M98" s="134">
        <v>96.2</v>
      </c>
      <c r="N98" s="134">
        <v>0</v>
      </c>
      <c r="O98" s="134">
        <v>0</v>
      </c>
      <c r="P98" s="134">
        <v>0.77</v>
      </c>
      <c r="Q98" s="134">
        <v>5.2</v>
      </c>
    </row>
    <row r="99" spans="1:22" customFormat="1">
      <c r="A99" s="112" t="s">
        <v>3112</v>
      </c>
      <c r="B99" s="134">
        <v>18.579999999999998</v>
      </c>
      <c r="C99" s="134">
        <v>20.97</v>
      </c>
      <c r="D99" s="134">
        <v>27.21</v>
      </c>
      <c r="E99" s="134">
        <v>3.23</v>
      </c>
      <c r="F99" s="134">
        <v>2.11</v>
      </c>
      <c r="G99" s="134">
        <v>59.42</v>
      </c>
      <c r="H99" s="134">
        <v>22.27</v>
      </c>
      <c r="I99" s="134">
        <v>6.83</v>
      </c>
      <c r="J99" s="134">
        <v>0.3</v>
      </c>
      <c r="K99" s="134">
        <v>171.52</v>
      </c>
      <c r="L99" s="134">
        <v>25.3</v>
      </c>
      <c r="M99" s="134">
        <v>97.19</v>
      </c>
      <c r="N99" s="134">
        <v>0</v>
      </c>
      <c r="O99" s="134">
        <v>0</v>
      </c>
      <c r="P99" s="134">
        <v>0.75</v>
      </c>
      <c r="Q99" s="134">
        <v>5.23</v>
      </c>
    </row>
    <row r="100" spans="1:22" customFormat="1">
      <c r="A100" s="112" t="s">
        <v>3113</v>
      </c>
      <c r="B100" s="134">
        <v>18.649999999999999</v>
      </c>
      <c r="C100" s="134">
        <v>22.12</v>
      </c>
      <c r="D100" s="134">
        <v>27.86</v>
      </c>
      <c r="E100" s="134">
        <v>3.06</v>
      </c>
      <c r="F100" s="134">
        <v>1.67</v>
      </c>
      <c r="G100" s="134">
        <v>65</v>
      </c>
      <c r="H100" s="134">
        <v>25.23</v>
      </c>
      <c r="I100" s="134">
        <v>6.94</v>
      </c>
      <c r="J100" s="134">
        <v>0.12</v>
      </c>
      <c r="K100" s="134">
        <v>192.07</v>
      </c>
      <c r="L100" s="134">
        <v>25.15</v>
      </c>
      <c r="M100" s="134">
        <v>98</v>
      </c>
      <c r="N100" s="134">
        <v>0</v>
      </c>
      <c r="O100" s="134">
        <v>0</v>
      </c>
      <c r="P100" s="134">
        <v>0.8</v>
      </c>
      <c r="Q100" s="134">
        <v>5.31</v>
      </c>
    </row>
    <row r="101" spans="1:22" customFormat="1">
      <c r="A101" s="112" t="s">
        <v>3114</v>
      </c>
      <c r="B101" s="134">
        <v>18.97</v>
      </c>
      <c r="C101" s="134">
        <v>20.62</v>
      </c>
      <c r="D101" s="134">
        <v>27.34</v>
      </c>
      <c r="E101" s="134">
        <v>2.97</v>
      </c>
      <c r="F101" s="134">
        <v>2.4700000000000002</v>
      </c>
      <c r="G101" s="134">
        <v>65.25</v>
      </c>
      <c r="H101" s="134">
        <v>25.23</v>
      </c>
      <c r="I101" s="134">
        <v>6.9</v>
      </c>
      <c r="J101" s="134">
        <v>0.14000000000000001</v>
      </c>
      <c r="K101" s="134">
        <v>182.52</v>
      </c>
      <c r="L101" s="134">
        <v>25.09</v>
      </c>
      <c r="M101" s="134">
        <v>100.29</v>
      </c>
      <c r="N101" s="134">
        <v>0</v>
      </c>
      <c r="O101" s="134">
        <v>0</v>
      </c>
      <c r="P101" s="134">
        <v>0.8</v>
      </c>
      <c r="Q101" s="134">
        <v>5.28</v>
      </c>
    </row>
    <row r="102" spans="1:22" customFormat="1">
      <c r="A102" s="112" t="s">
        <v>3115</v>
      </c>
      <c r="B102" s="134">
        <v>18.309999999999999</v>
      </c>
      <c r="C102" s="134">
        <v>19.36</v>
      </c>
      <c r="D102" s="134">
        <v>26.15</v>
      </c>
      <c r="E102" s="134">
        <v>3.39</v>
      </c>
      <c r="F102" s="134">
        <v>2.19</v>
      </c>
      <c r="G102" s="134">
        <v>65.25</v>
      </c>
      <c r="H102" s="134">
        <v>25.23</v>
      </c>
      <c r="I102" s="134">
        <v>6.98</v>
      </c>
      <c r="J102" s="134">
        <v>0.19</v>
      </c>
      <c r="K102" s="134">
        <v>163.38</v>
      </c>
      <c r="L102" s="134">
        <v>25.22</v>
      </c>
      <c r="M102" s="134">
        <v>101.08</v>
      </c>
      <c r="N102" s="134">
        <v>0</v>
      </c>
      <c r="O102" s="134">
        <v>0</v>
      </c>
      <c r="P102" s="134">
        <v>0.79</v>
      </c>
      <c r="Q102" s="134">
        <v>5.25</v>
      </c>
    </row>
    <row r="103" spans="1:22" customFormat="1">
      <c r="A103" s="112" t="s">
        <v>3116</v>
      </c>
      <c r="B103" s="134">
        <v>18.77</v>
      </c>
      <c r="C103" s="134">
        <v>19.8</v>
      </c>
      <c r="D103" s="134">
        <v>26.75</v>
      </c>
      <c r="E103" s="134">
        <v>2.93</v>
      </c>
      <c r="F103" s="134">
        <v>2.2200000000000002</v>
      </c>
      <c r="G103" s="134">
        <v>65.25</v>
      </c>
      <c r="H103" s="134">
        <v>25.23</v>
      </c>
      <c r="I103" s="134">
        <v>6.96</v>
      </c>
      <c r="J103" s="134">
        <v>0.2</v>
      </c>
      <c r="K103" s="134">
        <v>188.22</v>
      </c>
      <c r="L103" s="134">
        <v>25.09</v>
      </c>
      <c r="M103" s="134">
        <v>103.63</v>
      </c>
      <c r="N103" s="134">
        <v>0</v>
      </c>
      <c r="O103" s="134">
        <v>0</v>
      </c>
      <c r="P103" s="134">
        <v>0.79</v>
      </c>
      <c r="Q103" s="134">
        <v>5.23</v>
      </c>
    </row>
    <row r="104" spans="1:22" customFormat="1">
      <c r="A104" s="112" t="s">
        <v>3117</v>
      </c>
      <c r="B104" s="134">
        <v>18.89</v>
      </c>
      <c r="C104" s="134">
        <v>21.37</v>
      </c>
      <c r="D104" s="134">
        <v>27.66</v>
      </c>
      <c r="E104" s="134">
        <v>3.77</v>
      </c>
      <c r="F104" s="134">
        <v>1.77</v>
      </c>
      <c r="G104" s="134">
        <v>61.91</v>
      </c>
      <c r="H104" s="134">
        <v>23.46</v>
      </c>
      <c r="I104" s="134">
        <v>6.94</v>
      </c>
      <c r="J104" s="134">
        <v>0.18</v>
      </c>
      <c r="K104" s="134">
        <v>176.52</v>
      </c>
      <c r="L104" s="134">
        <v>25.14</v>
      </c>
      <c r="M104" s="134">
        <v>103.38</v>
      </c>
      <c r="N104" s="134">
        <v>0</v>
      </c>
      <c r="O104" s="134">
        <v>0</v>
      </c>
      <c r="P104" s="134">
        <v>0.8</v>
      </c>
      <c r="Q104" s="134">
        <v>5.32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7.94</v>
      </c>
      <c r="C106" s="183">
        <f>MIN(C9:C104)</f>
        <v>15.56</v>
      </c>
      <c r="D106" s="183">
        <f t="shared" ref="D106:Q106" si="0">MIN(D9:D104)</f>
        <v>16.54</v>
      </c>
      <c r="E106" s="183">
        <f t="shared" si="0"/>
        <v>2.1</v>
      </c>
      <c r="F106" s="183">
        <f t="shared" si="0"/>
        <v>1.66</v>
      </c>
      <c r="G106" s="183">
        <f t="shared" si="0"/>
        <v>27.71</v>
      </c>
      <c r="H106" s="183">
        <f t="shared" si="0"/>
        <v>10.79</v>
      </c>
      <c r="I106" s="183">
        <f t="shared" si="0"/>
        <v>3.96</v>
      </c>
      <c r="J106" s="183">
        <f t="shared" si="0"/>
        <v>0.04</v>
      </c>
      <c r="K106" s="183">
        <f t="shared" si="0"/>
        <v>2.4700000000000002</v>
      </c>
      <c r="L106" s="183">
        <f t="shared" si="0"/>
        <v>23.65</v>
      </c>
      <c r="M106" s="183">
        <f t="shared" si="0"/>
        <v>58.43</v>
      </c>
      <c r="N106" s="183">
        <f t="shared" si="0"/>
        <v>0</v>
      </c>
      <c r="O106" s="183">
        <f t="shared" si="0"/>
        <v>0</v>
      </c>
      <c r="P106" s="183">
        <f t="shared" si="0"/>
        <v>0.42</v>
      </c>
      <c r="Q106" s="183">
        <f t="shared" si="0"/>
        <v>4.3499999999999996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19.22</v>
      </c>
      <c r="C107" s="184">
        <f t="shared" ref="C107:Q107" si="1">MAX(C9:C104)</f>
        <v>23.46</v>
      </c>
      <c r="D107" s="184">
        <f t="shared" si="1"/>
        <v>29.02</v>
      </c>
      <c r="E107" s="184">
        <f t="shared" si="1"/>
        <v>17.36</v>
      </c>
      <c r="F107" s="184">
        <f t="shared" si="1"/>
        <v>11</v>
      </c>
      <c r="G107" s="184">
        <f t="shared" si="1"/>
        <v>76.09</v>
      </c>
      <c r="H107" s="184">
        <f t="shared" si="1"/>
        <v>26.1</v>
      </c>
      <c r="I107" s="184">
        <f t="shared" si="1"/>
        <v>7.16</v>
      </c>
      <c r="J107" s="184">
        <f t="shared" si="1"/>
        <v>1.05</v>
      </c>
      <c r="K107" s="184">
        <f t="shared" si="1"/>
        <v>357.36</v>
      </c>
      <c r="L107" s="184">
        <f t="shared" si="1"/>
        <v>32.69</v>
      </c>
      <c r="M107" s="184">
        <f t="shared" si="1"/>
        <v>103.67</v>
      </c>
      <c r="N107" s="184">
        <f t="shared" si="1"/>
        <v>666</v>
      </c>
      <c r="O107" s="184">
        <f t="shared" si="1"/>
        <v>12.4</v>
      </c>
      <c r="P107" s="184">
        <f t="shared" si="1"/>
        <v>0.8</v>
      </c>
      <c r="Q107" s="184">
        <f t="shared" si="1"/>
        <v>5.32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14.221562499999996</v>
      </c>
      <c r="C108" s="183">
        <f t="shared" ref="C108:Q108" si="2">AVERAGE(C9:C104)</f>
        <v>19.238437499999993</v>
      </c>
      <c r="D108" s="183">
        <f t="shared" si="2"/>
        <v>22.807291666666661</v>
      </c>
      <c r="E108" s="183">
        <f t="shared" si="2"/>
        <v>5.9006249999999989</v>
      </c>
      <c r="F108" s="183">
        <f t="shared" si="2"/>
        <v>4.1910416666666679</v>
      </c>
      <c r="G108" s="183">
        <f t="shared" si="2"/>
        <v>52.671875000000007</v>
      </c>
      <c r="H108" s="183">
        <f t="shared" si="2"/>
        <v>16.608333333333338</v>
      </c>
      <c r="I108" s="183">
        <f t="shared" si="2"/>
        <v>4.8647916666666671</v>
      </c>
      <c r="J108" s="183">
        <f t="shared" si="2"/>
        <v>0.27875000000000005</v>
      </c>
      <c r="K108" s="183">
        <f t="shared" si="2"/>
        <v>165.9138541666666</v>
      </c>
      <c r="L108" s="183">
        <f t="shared" si="2"/>
        <v>27.329166666666666</v>
      </c>
      <c r="M108" s="183">
        <f t="shared" si="2"/>
        <v>84.294375000000031</v>
      </c>
      <c r="N108" s="183">
        <f t="shared" si="2"/>
        <v>122.34687499999997</v>
      </c>
      <c r="O108" s="183">
        <f t="shared" si="2"/>
        <v>0.16041666666666665</v>
      </c>
      <c r="P108" s="183">
        <f t="shared" si="2"/>
        <v>0.52010416666666648</v>
      </c>
      <c r="Q108" s="183">
        <f t="shared" si="2"/>
        <v>4.9056250000000023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3.4534660935371226</v>
      </c>
      <c r="C109" s="183">
        <f t="shared" ref="C109:Q109" si="3">STDEV(C9:C104)</f>
        <v>1.6470677793391186</v>
      </c>
      <c r="D109" s="183">
        <f t="shared" si="3"/>
        <v>3.4031909110705358</v>
      </c>
      <c r="E109" s="183">
        <f t="shared" si="3"/>
        <v>3.3665602662533436</v>
      </c>
      <c r="F109" s="183">
        <f t="shared" si="3"/>
        <v>2.8052310080939704</v>
      </c>
      <c r="G109" s="183">
        <f t="shared" si="3"/>
        <v>14.732317094526666</v>
      </c>
      <c r="H109" s="183">
        <f t="shared" si="3"/>
        <v>4.2120995306545046</v>
      </c>
      <c r="I109" s="183">
        <f t="shared" si="3"/>
        <v>0.84568001808157156</v>
      </c>
      <c r="J109" s="183">
        <f t="shared" si="3"/>
        <v>0.21354279738682228</v>
      </c>
      <c r="K109" s="183">
        <f t="shared" si="3"/>
        <v>93.43643705321594</v>
      </c>
      <c r="L109" s="183">
        <f t="shared" si="3"/>
        <v>3.1857494092043437</v>
      </c>
      <c r="M109" s="183">
        <f t="shared" si="3"/>
        <v>15.239029518243219</v>
      </c>
      <c r="N109" s="183">
        <f t="shared" si="3"/>
        <v>176.21194472514006</v>
      </c>
      <c r="O109" s="183">
        <f t="shared" si="3"/>
        <v>1.2943992035865961</v>
      </c>
      <c r="P109" s="183">
        <f t="shared" si="3"/>
        <v>0.11022937607950721</v>
      </c>
      <c r="Q109" s="183">
        <f t="shared" si="3"/>
        <v>0.27308688611575332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96" activePane="bottomLeft" state="frozen"/>
      <selection pane="bottomLeft" activeCell="C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31/08/2023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3118</v>
      </c>
      <c r="B9" s="134">
        <v>18.18</v>
      </c>
      <c r="C9" s="134">
        <v>19.13</v>
      </c>
      <c r="D9" s="134">
        <v>25.92</v>
      </c>
      <c r="E9" s="134">
        <v>2.87</v>
      </c>
      <c r="F9" s="134">
        <v>2.46</v>
      </c>
      <c r="G9" s="134">
        <v>61.76</v>
      </c>
      <c r="H9" s="134">
        <v>23.46</v>
      </c>
      <c r="I9" s="134">
        <v>6.96</v>
      </c>
      <c r="J9" s="134">
        <v>0.12</v>
      </c>
      <c r="K9" s="134">
        <v>210.28</v>
      </c>
      <c r="L9" s="134">
        <v>25.05</v>
      </c>
      <c r="M9" s="134">
        <v>102.86</v>
      </c>
      <c r="N9" s="134">
        <v>0</v>
      </c>
      <c r="O9" s="134">
        <v>0</v>
      </c>
      <c r="P9" s="134">
        <v>0.79</v>
      </c>
      <c r="Q9" s="134">
        <v>5.28</v>
      </c>
    </row>
    <row r="10" spans="1:21" customFormat="1">
      <c r="A10" s="112" t="s">
        <v>3119</v>
      </c>
      <c r="B10" s="134">
        <v>17.78</v>
      </c>
      <c r="C10" s="134">
        <v>17.96</v>
      </c>
      <c r="D10" s="134">
        <v>25</v>
      </c>
      <c r="E10" s="134">
        <v>2.84</v>
      </c>
      <c r="F10" s="134">
        <v>2.71</v>
      </c>
      <c r="G10" s="134">
        <v>61.76</v>
      </c>
      <c r="H10" s="134">
        <v>23.46</v>
      </c>
      <c r="I10" s="134">
        <v>6.96</v>
      </c>
      <c r="J10" s="134">
        <v>0.09</v>
      </c>
      <c r="K10" s="134">
        <v>216.42</v>
      </c>
      <c r="L10" s="134">
        <v>25.06</v>
      </c>
      <c r="M10" s="134">
        <v>102.79</v>
      </c>
      <c r="N10" s="134">
        <v>0</v>
      </c>
      <c r="O10" s="134">
        <v>0</v>
      </c>
      <c r="P10" s="134">
        <v>0.77</v>
      </c>
      <c r="Q10" s="134">
        <v>5.24</v>
      </c>
    </row>
    <row r="11" spans="1:21" customFormat="1">
      <c r="A11" s="112" t="s">
        <v>3120</v>
      </c>
      <c r="B11" s="134">
        <v>18.13</v>
      </c>
      <c r="C11" s="134">
        <v>18.36</v>
      </c>
      <c r="D11" s="134">
        <v>25.48</v>
      </c>
      <c r="E11" s="134">
        <v>3.17</v>
      </c>
      <c r="F11" s="134">
        <v>2.5499999999999998</v>
      </c>
      <c r="G11" s="134">
        <v>61.76</v>
      </c>
      <c r="H11" s="134">
        <v>23.46</v>
      </c>
      <c r="I11" s="134">
        <v>6.8</v>
      </c>
      <c r="J11" s="134">
        <v>0.1</v>
      </c>
      <c r="K11" s="134">
        <v>184.85</v>
      </c>
      <c r="L11" s="134">
        <v>25.04</v>
      </c>
      <c r="M11" s="134">
        <v>102.24</v>
      </c>
      <c r="N11" s="134">
        <v>0</v>
      </c>
      <c r="O11" s="134">
        <v>0</v>
      </c>
      <c r="P11" s="134">
        <v>0.77</v>
      </c>
      <c r="Q11" s="134">
        <v>5.21</v>
      </c>
    </row>
    <row r="12" spans="1:21" customFormat="1">
      <c r="A12" s="112" t="s">
        <v>3121</v>
      </c>
      <c r="B12" s="134">
        <v>18.420000000000002</v>
      </c>
      <c r="C12" s="134">
        <v>20.58</v>
      </c>
      <c r="D12" s="134">
        <v>26.88</v>
      </c>
      <c r="E12" s="134">
        <v>3.08</v>
      </c>
      <c r="F12" s="134">
        <v>1.82</v>
      </c>
      <c r="G12" s="134">
        <v>53.03</v>
      </c>
      <c r="H12" s="134">
        <v>18.309999999999999</v>
      </c>
      <c r="I12" s="134">
        <v>6.69</v>
      </c>
      <c r="J12" s="134">
        <v>0.09</v>
      </c>
      <c r="K12" s="134">
        <v>174.17</v>
      </c>
      <c r="L12" s="134">
        <v>25</v>
      </c>
      <c r="M12" s="134">
        <v>102.06</v>
      </c>
      <c r="N12" s="134">
        <v>0</v>
      </c>
      <c r="O12" s="134">
        <v>0</v>
      </c>
      <c r="P12" s="134">
        <v>0.8</v>
      </c>
      <c r="Q12" s="134">
        <v>5.29</v>
      </c>
    </row>
    <row r="13" spans="1:21" customFormat="1">
      <c r="A13" s="112" t="s">
        <v>3122</v>
      </c>
      <c r="B13" s="134">
        <v>18.809999999999999</v>
      </c>
      <c r="C13" s="134">
        <v>19.28</v>
      </c>
      <c r="D13" s="134">
        <v>26.51</v>
      </c>
      <c r="E13" s="134">
        <v>3.51</v>
      </c>
      <c r="F13" s="134">
        <v>2.71</v>
      </c>
      <c r="G13" s="134">
        <v>52.52</v>
      </c>
      <c r="H13" s="134">
        <v>18.309999999999999</v>
      </c>
      <c r="I13" s="134">
        <v>6.78</v>
      </c>
      <c r="J13" s="134">
        <v>0.11</v>
      </c>
      <c r="K13" s="134">
        <v>163.72</v>
      </c>
      <c r="L13" s="134">
        <v>24.97</v>
      </c>
      <c r="M13" s="134">
        <v>102.31</v>
      </c>
      <c r="N13" s="134">
        <v>0</v>
      </c>
      <c r="O13" s="134">
        <v>0</v>
      </c>
      <c r="P13" s="134">
        <v>0.78</v>
      </c>
      <c r="Q13" s="134">
        <v>5.28</v>
      </c>
    </row>
    <row r="14" spans="1:21" customFormat="1">
      <c r="A14" s="112" t="s">
        <v>3123</v>
      </c>
      <c r="B14" s="134">
        <v>19.010000000000002</v>
      </c>
      <c r="C14" s="134">
        <v>19.71</v>
      </c>
      <c r="D14" s="134">
        <v>26.89</v>
      </c>
      <c r="E14" s="134">
        <v>3.46</v>
      </c>
      <c r="F14" s="134">
        <v>2.35</v>
      </c>
      <c r="G14" s="134">
        <v>52.52</v>
      </c>
      <c r="H14" s="134">
        <v>18.309999999999999</v>
      </c>
      <c r="I14" s="134">
        <v>6.88</v>
      </c>
      <c r="J14" s="134">
        <v>0.08</v>
      </c>
      <c r="K14" s="134">
        <v>160.97999999999999</v>
      </c>
      <c r="L14" s="134">
        <v>24.84</v>
      </c>
      <c r="M14" s="134">
        <v>101.75</v>
      </c>
      <c r="N14" s="134">
        <v>0</v>
      </c>
      <c r="O14" s="134">
        <v>0</v>
      </c>
      <c r="P14" s="134">
        <v>0.8</v>
      </c>
      <c r="Q14" s="134">
        <v>5.22</v>
      </c>
    </row>
    <row r="15" spans="1:21" customFormat="1">
      <c r="A15" s="112" t="s">
        <v>3124</v>
      </c>
      <c r="B15" s="134">
        <v>19</v>
      </c>
      <c r="C15" s="134">
        <v>19.489999999999998</v>
      </c>
      <c r="D15" s="134">
        <v>26.77</v>
      </c>
      <c r="E15" s="134">
        <v>3.67</v>
      </c>
      <c r="F15" s="134">
        <v>2.52</v>
      </c>
      <c r="G15" s="134">
        <v>52.52</v>
      </c>
      <c r="H15" s="134">
        <v>18.309999999999999</v>
      </c>
      <c r="I15" s="134">
        <v>6.86</v>
      </c>
      <c r="J15" s="134">
        <v>0.1</v>
      </c>
      <c r="K15" s="134">
        <v>186.25</v>
      </c>
      <c r="L15" s="134">
        <v>24.78</v>
      </c>
      <c r="M15" s="134">
        <v>101.41</v>
      </c>
      <c r="N15" s="134">
        <v>0</v>
      </c>
      <c r="O15" s="134">
        <v>0</v>
      </c>
      <c r="P15" s="134">
        <v>0.8</v>
      </c>
      <c r="Q15" s="134">
        <v>5.22</v>
      </c>
    </row>
    <row r="16" spans="1:21" customFormat="1">
      <c r="A16" s="112" t="s">
        <v>3125</v>
      </c>
      <c r="B16" s="134">
        <v>18.329999999999998</v>
      </c>
      <c r="C16" s="134">
        <v>17.64</v>
      </c>
      <c r="D16" s="134">
        <v>25.27</v>
      </c>
      <c r="E16" s="134">
        <v>2.9</v>
      </c>
      <c r="F16" s="134">
        <v>2.95</v>
      </c>
      <c r="G16" s="134">
        <v>36.11</v>
      </c>
      <c r="H16" s="134">
        <v>15.47</v>
      </c>
      <c r="I16" s="134">
        <v>6.88</v>
      </c>
      <c r="J16" s="134">
        <v>0.15</v>
      </c>
      <c r="K16" s="134">
        <v>214.38</v>
      </c>
      <c r="L16" s="134">
        <v>24.82</v>
      </c>
      <c r="M16" s="134">
        <v>101.21</v>
      </c>
      <c r="N16" s="134">
        <v>0</v>
      </c>
      <c r="O16" s="134">
        <v>0</v>
      </c>
      <c r="P16" s="134">
        <v>0.78</v>
      </c>
      <c r="Q16" s="134">
        <v>5.21</v>
      </c>
    </row>
    <row r="17" spans="1:17" customFormat="1">
      <c r="A17" s="112" t="s">
        <v>3126</v>
      </c>
      <c r="B17" s="134">
        <v>18.100000000000001</v>
      </c>
      <c r="C17" s="134">
        <v>16.690000000000001</v>
      </c>
      <c r="D17" s="134">
        <v>24.59</v>
      </c>
      <c r="E17" s="134">
        <v>4.4800000000000004</v>
      </c>
      <c r="F17" s="134">
        <v>3.06</v>
      </c>
      <c r="G17" s="134">
        <v>35.14</v>
      </c>
      <c r="H17" s="134">
        <v>15.47</v>
      </c>
      <c r="I17" s="134">
        <v>6.83</v>
      </c>
      <c r="J17" s="134">
        <v>0.09</v>
      </c>
      <c r="K17" s="134">
        <v>202.68</v>
      </c>
      <c r="L17" s="134">
        <v>24.75</v>
      </c>
      <c r="M17" s="134">
        <v>100.8</v>
      </c>
      <c r="N17" s="134">
        <v>0</v>
      </c>
      <c r="O17" s="134">
        <v>0</v>
      </c>
      <c r="P17" s="134">
        <v>0.77</v>
      </c>
      <c r="Q17" s="134">
        <v>5.19</v>
      </c>
    </row>
    <row r="18" spans="1:17" customFormat="1">
      <c r="A18" s="112" t="s">
        <v>3127</v>
      </c>
      <c r="B18" s="134">
        <v>18</v>
      </c>
      <c r="C18" s="134">
        <v>17.95</v>
      </c>
      <c r="D18" s="134">
        <v>25.16</v>
      </c>
      <c r="E18" s="134">
        <v>5.99</v>
      </c>
      <c r="F18" s="134">
        <v>2.5099999999999998</v>
      </c>
      <c r="G18" s="134">
        <v>35.14</v>
      </c>
      <c r="H18" s="134">
        <v>15.47</v>
      </c>
      <c r="I18" s="134">
        <v>6.71</v>
      </c>
      <c r="J18" s="134">
        <v>0.12</v>
      </c>
      <c r="K18" s="134">
        <v>181.14</v>
      </c>
      <c r="L18" s="134">
        <v>24.75</v>
      </c>
      <c r="M18" s="134">
        <v>100.89</v>
      </c>
      <c r="N18" s="134">
        <v>0</v>
      </c>
      <c r="O18" s="134">
        <v>0</v>
      </c>
      <c r="P18" s="134">
        <v>0.77</v>
      </c>
      <c r="Q18" s="134">
        <v>5.19</v>
      </c>
    </row>
    <row r="19" spans="1:17" customFormat="1">
      <c r="A19" s="112" t="s">
        <v>3128</v>
      </c>
      <c r="B19" s="134">
        <v>18.489999999999998</v>
      </c>
      <c r="C19" s="134">
        <v>19.75</v>
      </c>
      <c r="D19" s="134">
        <v>26.5</v>
      </c>
      <c r="E19" s="134">
        <v>6.76</v>
      </c>
      <c r="F19" s="134">
        <v>1.96</v>
      </c>
      <c r="G19" s="134">
        <v>35.14</v>
      </c>
      <c r="H19" s="134">
        <v>15.47</v>
      </c>
      <c r="I19" s="134">
        <v>6.82</v>
      </c>
      <c r="J19" s="134">
        <v>7.0000000000000007E-2</v>
      </c>
      <c r="K19" s="134">
        <v>175.16</v>
      </c>
      <c r="L19" s="134">
        <v>24.64</v>
      </c>
      <c r="M19" s="134">
        <v>100.79</v>
      </c>
      <c r="N19" s="134">
        <v>0</v>
      </c>
      <c r="O19" s="134">
        <v>0</v>
      </c>
      <c r="P19" s="134">
        <v>0.79</v>
      </c>
      <c r="Q19" s="134">
        <v>5.23</v>
      </c>
    </row>
    <row r="20" spans="1:17" customFormat="1">
      <c r="A20" s="112" t="s">
        <v>3129</v>
      </c>
      <c r="B20" s="134">
        <v>18.18</v>
      </c>
      <c r="C20" s="134">
        <v>17.75</v>
      </c>
      <c r="D20" s="134">
        <v>25.2</v>
      </c>
      <c r="E20" s="134">
        <v>6.81</v>
      </c>
      <c r="F20" s="134">
        <v>2.79</v>
      </c>
      <c r="G20" s="134">
        <v>30.43</v>
      </c>
      <c r="H20" s="134">
        <v>14.97</v>
      </c>
      <c r="I20" s="134">
        <v>6.87</v>
      </c>
      <c r="J20" s="134">
        <v>0.09</v>
      </c>
      <c r="K20" s="134">
        <v>168.68</v>
      </c>
      <c r="L20" s="134">
        <v>24.62</v>
      </c>
      <c r="M20" s="134">
        <v>100.96</v>
      </c>
      <c r="N20" s="134">
        <v>0</v>
      </c>
      <c r="O20" s="134">
        <v>0</v>
      </c>
      <c r="P20" s="134">
        <v>0.78</v>
      </c>
      <c r="Q20" s="134">
        <v>5.19</v>
      </c>
    </row>
    <row r="21" spans="1:17" customFormat="1">
      <c r="A21" s="112" t="s">
        <v>3130</v>
      </c>
      <c r="B21" s="134">
        <v>17.809999999999999</v>
      </c>
      <c r="C21" s="134">
        <v>16.93</v>
      </c>
      <c r="D21" s="134">
        <v>24.48</v>
      </c>
      <c r="E21" s="134">
        <v>6.51</v>
      </c>
      <c r="F21" s="134">
        <v>3.07</v>
      </c>
      <c r="G21" s="134">
        <v>30.15</v>
      </c>
      <c r="H21" s="134">
        <v>14.97</v>
      </c>
      <c r="I21" s="134">
        <v>6.9</v>
      </c>
      <c r="J21" s="134">
        <v>0.12</v>
      </c>
      <c r="K21" s="134">
        <v>198.23</v>
      </c>
      <c r="L21" s="134">
        <v>24.69</v>
      </c>
      <c r="M21" s="134">
        <v>101.08</v>
      </c>
      <c r="N21" s="134">
        <v>0</v>
      </c>
      <c r="O21" s="134">
        <v>0</v>
      </c>
      <c r="P21" s="134">
        <v>0.77</v>
      </c>
      <c r="Q21" s="134">
        <v>5.13</v>
      </c>
    </row>
    <row r="22" spans="1:17" customFormat="1">
      <c r="A22" s="112" t="s">
        <v>3131</v>
      </c>
      <c r="B22" s="134">
        <v>18.27</v>
      </c>
      <c r="C22" s="134">
        <v>19.079999999999998</v>
      </c>
      <c r="D22" s="134">
        <v>25.97</v>
      </c>
      <c r="E22" s="134">
        <v>6.77</v>
      </c>
      <c r="F22" s="134">
        <v>2.02</v>
      </c>
      <c r="G22" s="134">
        <v>30.15</v>
      </c>
      <c r="H22" s="134">
        <v>14.97</v>
      </c>
      <c r="I22" s="134">
        <v>6.75</v>
      </c>
      <c r="J22" s="134">
        <v>0.09</v>
      </c>
      <c r="K22" s="134">
        <v>194.04</v>
      </c>
      <c r="L22" s="134">
        <v>24.69</v>
      </c>
      <c r="M22" s="134">
        <v>101.03</v>
      </c>
      <c r="N22" s="134">
        <v>0</v>
      </c>
      <c r="O22" s="134">
        <v>0</v>
      </c>
      <c r="P22" s="134">
        <v>0.79</v>
      </c>
      <c r="Q22" s="134">
        <v>5.18</v>
      </c>
    </row>
    <row r="23" spans="1:17" customFormat="1">
      <c r="A23" s="112" t="s">
        <v>3132</v>
      </c>
      <c r="B23" s="134">
        <v>18.420000000000002</v>
      </c>
      <c r="C23" s="134">
        <v>18.47</v>
      </c>
      <c r="D23" s="134">
        <v>25.77</v>
      </c>
      <c r="E23" s="134">
        <v>6.84</v>
      </c>
      <c r="F23" s="134">
        <v>2.34</v>
      </c>
      <c r="G23" s="134">
        <v>30.15</v>
      </c>
      <c r="H23" s="134">
        <v>14.97</v>
      </c>
      <c r="I23" s="134">
        <v>6.7</v>
      </c>
      <c r="J23" s="134">
        <v>0.12</v>
      </c>
      <c r="K23" s="134">
        <v>221.82</v>
      </c>
      <c r="L23" s="134">
        <v>24.72</v>
      </c>
      <c r="M23" s="134">
        <v>101.11</v>
      </c>
      <c r="N23" s="134">
        <v>0</v>
      </c>
      <c r="O23" s="134">
        <v>0</v>
      </c>
      <c r="P23" s="134">
        <v>0.78</v>
      </c>
      <c r="Q23" s="134">
        <v>5.17</v>
      </c>
    </row>
    <row r="24" spans="1:17" customFormat="1">
      <c r="A24" s="112" t="s">
        <v>3133</v>
      </c>
      <c r="B24" s="134">
        <v>17.440000000000001</v>
      </c>
      <c r="C24" s="134">
        <v>16.95</v>
      </c>
      <c r="D24" s="134">
        <v>24.2</v>
      </c>
      <c r="E24" s="134">
        <v>6.08</v>
      </c>
      <c r="F24" s="134">
        <v>2.88</v>
      </c>
      <c r="G24" s="134">
        <v>29.09</v>
      </c>
      <c r="H24" s="134">
        <v>10.57</v>
      </c>
      <c r="I24" s="134">
        <v>6.84</v>
      </c>
      <c r="J24" s="134">
        <v>0.09</v>
      </c>
      <c r="K24" s="134">
        <v>170.81</v>
      </c>
      <c r="L24" s="134">
        <v>24.62</v>
      </c>
      <c r="M24" s="134">
        <v>101.04</v>
      </c>
      <c r="N24" s="134">
        <v>0</v>
      </c>
      <c r="O24" s="134">
        <v>0</v>
      </c>
      <c r="P24" s="134">
        <v>0.75</v>
      </c>
      <c r="Q24" s="134">
        <v>5.15</v>
      </c>
    </row>
    <row r="25" spans="1:17" customFormat="1">
      <c r="A25" s="112" t="s">
        <v>3134</v>
      </c>
      <c r="B25" s="134">
        <v>17.989999999999998</v>
      </c>
      <c r="C25" s="134">
        <v>19.260000000000002</v>
      </c>
      <c r="D25" s="134">
        <v>25.84</v>
      </c>
      <c r="E25" s="134">
        <v>6.63</v>
      </c>
      <c r="F25" s="134">
        <v>1.98</v>
      </c>
      <c r="G25" s="134">
        <v>29.03</v>
      </c>
      <c r="H25" s="134">
        <v>10.57</v>
      </c>
      <c r="I25" s="134">
        <v>6.69</v>
      </c>
      <c r="J25" s="134">
        <v>0.13</v>
      </c>
      <c r="K25" s="134">
        <v>181.2</v>
      </c>
      <c r="L25" s="134">
        <v>24.64</v>
      </c>
      <c r="M25" s="134">
        <v>101.15</v>
      </c>
      <c r="N25" s="134">
        <v>0</v>
      </c>
      <c r="O25" s="134">
        <v>0</v>
      </c>
      <c r="P25" s="134">
        <v>0.78</v>
      </c>
      <c r="Q25" s="134">
        <v>5.18</v>
      </c>
    </row>
    <row r="26" spans="1:17" customFormat="1">
      <c r="A26" s="112" t="s">
        <v>3135</v>
      </c>
      <c r="B26" s="134">
        <v>18.27</v>
      </c>
      <c r="C26" s="134">
        <v>18.73</v>
      </c>
      <c r="D26" s="134">
        <v>25.79</v>
      </c>
      <c r="E26" s="134">
        <v>6.27</v>
      </c>
      <c r="F26" s="134">
        <v>2.4</v>
      </c>
      <c r="G26" s="134">
        <v>29.03</v>
      </c>
      <c r="H26" s="134">
        <v>10.57</v>
      </c>
      <c r="I26" s="134">
        <v>6.52</v>
      </c>
      <c r="J26" s="134">
        <v>0.1</v>
      </c>
      <c r="K26" s="134">
        <v>173.75</v>
      </c>
      <c r="L26" s="134">
        <v>24.57</v>
      </c>
      <c r="M26" s="134">
        <v>101.19</v>
      </c>
      <c r="N26" s="134">
        <v>0</v>
      </c>
      <c r="O26" s="134">
        <v>0</v>
      </c>
      <c r="P26" s="134">
        <v>0.77</v>
      </c>
      <c r="Q26" s="134">
        <v>5.17</v>
      </c>
    </row>
    <row r="27" spans="1:17" customFormat="1">
      <c r="A27" s="112" t="s">
        <v>3136</v>
      </c>
      <c r="B27" s="134">
        <v>17.87</v>
      </c>
      <c r="C27" s="134">
        <v>17.07</v>
      </c>
      <c r="D27" s="134">
        <v>24.6</v>
      </c>
      <c r="E27" s="134">
        <v>6.48</v>
      </c>
      <c r="F27" s="134">
        <v>2.71</v>
      </c>
      <c r="G27" s="134">
        <v>29.03</v>
      </c>
      <c r="H27" s="134">
        <v>10.57</v>
      </c>
      <c r="I27" s="134">
        <v>6.71</v>
      </c>
      <c r="J27" s="134">
        <v>0.12</v>
      </c>
      <c r="K27" s="134">
        <v>152.34</v>
      </c>
      <c r="L27" s="134">
        <v>24.74</v>
      </c>
      <c r="M27" s="134">
        <v>101.29</v>
      </c>
      <c r="N27" s="134">
        <v>0</v>
      </c>
      <c r="O27" s="134">
        <v>0</v>
      </c>
      <c r="P27" s="134">
        <v>0.74</v>
      </c>
      <c r="Q27" s="134">
        <v>5.1100000000000003</v>
      </c>
    </row>
    <row r="28" spans="1:17" customFormat="1">
      <c r="A28" s="112" t="s">
        <v>3137</v>
      </c>
      <c r="B28" s="134">
        <v>17.73</v>
      </c>
      <c r="C28" s="134">
        <v>17.510000000000002</v>
      </c>
      <c r="D28" s="134">
        <v>24.71</v>
      </c>
      <c r="E28" s="134">
        <v>6.46</v>
      </c>
      <c r="F28" s="134">
        <v>2.29</v>
      </c>
      <c r="G28" s="134">
        <v>26.42</v>
      </c>
      <c r="H28" s="134">
        <v>10.039999999999999</v>
      </c>
      <c r="I28" s="134">
        <v>6.6</v>
      </c>
      <c r="J28" s="134">
        <v>0.1</v>
      </c>
      <c r="K28" s="134">
        <v>197.28</v>
      </c>
      <c r="L28" s="134">
        <v>24.63</v>
      </c>
      <c r="M28" s="134">
        <v>101.27</v>
      </c>
      <c r="N28" s="134">
        <v>0</v>
      </c>
      <c r="O28" s="134">
        <v>0</v>
      </c>
      <c r="P28" s="134">
        <v>0.75</v>
      </c>
      <c r="Q28" s="134">
        <v>5.12</v>
      </c>
    </row>
    <row r="29" spans="1:17" customFormat="1">
      <c r="A29" s="112" t="s">
        <v>3138</v>
      </c>
      <c r="B29" s="134">
        <v>18.25</v>
      </c>
      <c r="C29" s="134">
        <v>19.05</v>
      </c>
      <c r="D29" s="134">
        <v>25.94</v>
      </c>
      <c r="E29" s="134">
        <v>6.81</v>
      </c>
      <c r="F29" s="134">
        <v>2.0099999999999998</v>
      </c>
      <c r="G29" s="134">
        <v>26.26</v>
      </c>
      <c r="H29" s="134">
        <v>10.039999999999999</v>
      </c>
      <c r="I29" s="134">
        <v>6.45</v>
      </c>
      <c r="J29" s="134">
        <v>0.12</v>
      </c>
      <c r="K29" s="134">
        <v>200.62</v>
      </c>
      <c r="L29" s="134">
        <v>24.54</v>
      </c>
      <c r="M29" s="134">
        <v>101.32</v>
      </c>
      <c r="N29" s="134">
        <v>0</v>
      </c>
      <c r="O29" s="134">
        <v>0</v>
      </c>
      <c r="P29" s="134">
        <v>0.76</v>
      </c>
      <c r="Q29" s="134">
        <v>5.17</v>
      </c>
    </row>
    <row r="30" spans="1:17" customFormat="1">
      <c r="A30" s="112" t="s">
        <v>3139</v>
      </c>
      <c r="B30" s="134">
        <v>18.260000000000002</v>
      </c>
      <c r="C30" s="134">
        <v>17.649999999999999</v>
      </c>
      <c r="D30" s="134">
        <v>25.22</v>
      </c>
      <c r="E30" s="134">
        <v>6.4</v>
      </c>
      <c r="F30" s="134">
        <v>2.5499999999999998</v>
      </c>
      <c r="G30" s="134">
        <v>26.26</v>
      </c>
      <c r="H30" s="134">
        <v>10.039999999999999</v>
      </c>
      <c r="I30" s="134">
        <v>6.45</v>
      </c>
      <c r="J30" s="134">
        <v>0.13</v>
      </c>
      <c r="K30" s="134">
        <v>187.07</v>
      </c>
      <c r="L30" s="134">
        <v>24.54</v>
      </c>
      <c r="M30" s="134">
        <v>101.41</v>
      </c>
      <c r="N30" s="134">
        <v>0</v>
      </c>
      <c r="O30" s="134">
        <v>0</v>
      </c>
      <c r="P30" s="134">
        <v>0.73</v>
      </c>
      <c r="Q30" s="134">
        <v>5.14</v>
      </c>
    </row>
    <row r="31" spans="1:17" customFormat="1">
      <c r="A31" s="112" t="s">
        <v>3140</v>
      </c>
      <c r="B31" s="134">
        <v>17.84</v>
      </c>
      <c r="C31" s="134">
        <v>16.55</v>
      </c>
      <c r="D31" s="134">
        <v>24.31</v>
      </c>
      <c r="E31" s="134">
        <v>6.05</v>
      </c>
      <c r="F31" s="134">
        <v>2.64</v>
      </c>
      <c r="G31" s="134">
        <v>26.26</v>
      </c>
      <c r="H31" s="134">
        <v>10.039999999999999</v>
      </c>
      <c r="I31" s="134">
        <v>6.52</v>
      </c>
      <c r="J31" s="134">
        <v>0.24</v>
      </c>
      <c r="K31" s="134">
        <v>253.75</v>
      </c>
      <c r="L31" s="134">
        <v>24.55</v>
      </c>
      <c r="M31" s="134">
        <v>101.47</v>
      </c>
      <c r="N31" s="134">
        <v>0</v>
      </c>
      <c r="O31" s="134">
        <v>0</v>
      </c>
      <c r="P31" s="134">
        <v>0.72</v>
      </c>
      <c r="Q31" s="134">
        <v>5.13</v>
      </c>
    </row>
    <row r="32" spans="1:17" customFormat="1">
      <c r="A32" s="112" t="s">
        <v>3141</v>
      </c>
      <c r="B32" s="134">
        <v>18.22</v>
      </c>
      <c r="C32" s="134">
        <v>19.190000000000001</v>
      </c>
      <c r="D32" s="134">
        <v>25.99</v>
      </c>
      <c r="E32" s="134">
        <v>6.71</v>
      </c>
      <c r="F32" s="134">
        <v>1.64</v>
      </c>
      <c r="G32" s="134">
        <v>21.97</v>
      </c>
      <c r="H32" s="134">
        <v>12.94</v>
      </c>
      <c r="I32" s="134">
        <v>6.39</v>
      </c>
      <c r="J32" s="134">
        <v>0.23</v>
      </c>
      <c r="K32" s="134">
        <v>245.82</v>
      </c>
      <c r="L32" s="134">
        <v>24.63</v>
      </c>
      <c r="M32" s="134">
        <v>101.48</v>
      </c>
      <c r="N32" s="134">
        <v>3.8</v>
      </c>
      <c r="O32" s="134">
        <v>0</v>
      </c>
      <c r="P32" s="134">
        <v>0.74</v>
      </c>
      <c r="Q32" s="134">
        <v>5.16</v>
      </c>
    </row>
    <row r="33" spans="1:17" customFormat="1">
      <c r="A33" s="112" t="s">
        <v>3142</v>
      </c>
      <c r="B33" s="134">
        <v>18.78</v>
      </c>
      <c r="C33" s="134">
        <v>20.61</v>
      </c>
      <c r="D33" s="134">
        <v>27.17</v>
      </c>
      <c r="E33" s="134">
        <v>7.33</v>
      </c>
      <c r="F33" s="134">
        <v>1.75</v>
      </c>
      <c r="G33" s="134">
        <v>21.71</v>
      </c>
      <c r="H33" s="134">
        <v>12.94</v>
      </c>
      <c r="I33" s="134">
        <v>6.29</v>
      </c>
      <c r="J33" s="134">
        <v>0.1</v>
      </c>
      <c r="K33" s="134">
        <v>172.64</v>
      </c>
      <c r="L33" s="134">
        <v>24.82</v>
      </c>
      <c r="M33" s="134">
        <v>101.02</v>
      </c>
      <c r="N33" s="134">
        <v>17.7</v>
      </c>
      <c r="O33" s="134">
        <v>0</v>
      </c>
      <c r="P33" s="134">
        <v>0.77</v>
      </c>
      <c r="Q33" s="134">
        <v>5.25</v>
      </c>
    </row>
    <row r="34" spans="1:17" customFormat="1">
      <c r="A34" s="112" t="s">
        <v>3143</v>
      </c>
      <c r="B34" s="134">
        <v>19.43</v>
      </c>
      <c r="C34" s="134">
        <v>19.8</v>
      </c>
      <c r="D34" s="134">
        <v>27.28</v>
      </c>
      <c r="E34" s="134">
        <v>7.16</v>
      </c>
      <c r="F34" s="134">
        <v>2.38</v>
      </c>
      <c r="G34" s="134">
        <v>21.71</v>
      </c>
      <c r="H34" s="134">
        <v>12.94</v>
      </c>
      <c r="I34" s="134">
        <v>6.44</v>
      </c>
      <c r="J34" s="134">
        <v>0.05</v>
      </c>
      <c r="K34" s="134">
        <v>119.04</v>
      </c>
      <c r="L34" s="134">
        <v>25.07</v>
      </c>
      <c r="M34" s="134">
        <v>100.05</v>
      </c>
      <c r="N34" s="134">
        <v>32.700000000000003</v>
      </c>
      <c r="O34" s="134">
        <v>0</v>
      </c>
      <c r="P34" s="134">
        <v>0.76</v>
      </c>
      <c r="Q34" s="134">
        <v>5.31</v>
      </c>
    </row>
    <row r="35" spans="1:17" customFormat="1">
      <c r="A35" s="112" t="s">
        <v>3144</v>
      </c>
      <c r="B35" s="134">
        <v>20</v>
      </c>
      <c r="C35" s="134">
        <v>18.79</v>
      </c>
      <c r="D35" s="134">
        <v>27.21</v>
      </c>
      <c r="E35" s="134">
        <v>6.65</v>
      </c>
      <c r="F35" s="134">
        <v>2.73</v>
      </c>
      <c r="G35" s="134">
        <v>21.71</v>
      </c>
      <c r="H35" s="134">
        <v>12.94</v>
      </c>
      <c r="I35" s="134">
        <v>6.44</v>
      </c>
      <c r="J35" s="134">
        <v>0.05</v>
      </c>
      <c r="K35" s="134">
        <v>107.11</v>
      </c>
      <c r="L35" s="134">
        <v>25.37</v>
      </c>
      <c r="M35" s="134">
        <v>99.29</v>
      </c>
      <c r="N35" s="134">
        <v>48.5</v>
      </c>
      <c r="O35" s="134">
        <v>0</v>
      </c>
      <c r="P35" s="134">
        <v>0.74</v>
      </c>
      <c r="Q35" s="134">
        <v>5.28</v>
      </c>
    </row>
    <row r="36" spans="1:17" customFormat="1">
      <c r="A36" s="112" t="s">
        <v>3145</v>
      </c>
      <c r="B36" s="134">
        <v>19.739999999999998</v>
      </c>
      <c r="C36" s="134">
        <v>17.920000000000002</v>
      </c>
      <c r="D36" s="134">
        <v>26.55</v>
      </c>
      <c r="E36" s="134">
        <v>6.68</v>
      </c>
      <c r="F36" s="134">
        <v>2.7</v>
      </c>
      <c r="G36" s="134">
        <v>30.32</v>
      </c>
      <c r="H36" s="134">
        <v>10.8</v>
      </c>
      <c r="I36" s="134">
        <v>6.45</v>
      </c>
      <c r="J36" s="134">
        <v>0.15</v>
      </c>
      <c r="K36" s="134">
        <v>106.32</v>
      </c>
      <c r="L36" s="134">
        <v>25.77</v>
      </c>
      <c r="M36" s="134">
        <v>96.57</v>
      </c>
      <c r="N36" s="134">
        <v>64.099999999999994</v>
      </c>
      <c r="O36" s="134">
        <v>0</v>
      </c>
      <c r="P36" s="134">
        <v>0.72</v>
      </c>
      <c r="Q36" s="134">
        <v>5.29</v>
      </c>
    </row>
    <row r="37" spans="1:17" customFormat="1">
      <c r="A37" s="112" t="s">
        <v>3146</v>
      </c>
      <c r="B37" s="134">
        <v>20.03</v>
      </c>
      <c r="C37" s="134">
        <v>18.29</v>
      </c>
      <c r="D37" s="134">
        <v>26.98</v>
      </c>
      <c r="E37" s="134">
        <v>6.49</v>
      </c>
      <c r="F37" s="134">
        <v>2.68</v>
      </c>
      <c r="G37" s="134">
        <v>30.83</v>
      </c>
      <c r="H37" s="134">
        <v>10.8</v>
      </c>
      <c r="I37" s="134">
        <v>6.41</v>
      </c>
      <c r="J37" s="134">
        <v>7.0000000000000007E-2</v>
      </c>
      <c r="K37" s="134">
        <v>248.87</v>
      </c>
      <c r="L37" s="134">
        <v>26.21</v>
      </c>
      <c r="M37" s="134">
        <v>92.75</v>
      </c>
      <c r="N37" s="134">
        <v>79.5</v>
      </c>
      <c r="O37" s="134">
        <v>0</v>
      </c>
      <c r="P37" s="134">
        <v>0.71</v>
      </c>
      <c r="Q37" s="134">
        <v>5.3</v>
      </c>
    </row>
    <row r="38" spans="1:17" customFormat="1">
      <c r="A38" s="112" t="s">
        <v>3147</v>
      </c>
      <c r="B38" s="134">
        <v>20.36</v>
      </c>
      <c r="C38" s="134">
        <v>20.76</v>
      </c>
      <c r="D38" s="134">
        <v>28.52</v>
      </c>
      <c r="E38" s="134">
        <v>6.99</v>
      </c>
      <c r="F38" s="134">
        <v>1.8</v>
      </c>
      <c r="G38" s="134">
        <v>30.83</v>
      </c>
      <c r="H38" s="134">
        <v>10.8</v>
      </c>
      <c r="I38" s="134">
        <v>6.39</v>
      </c>
      <c r="J38" s="134">
        <v>0.23</v>
      </c>
      <c r="K38" s="134">
        <v>159.41</v>
      </c>
      <c r="L38" s="134">
        <v>26.69</v>
      </c>
      <c r="M38" s="134">
        <v>92.06</v>
      </c>
      <c r="N38" s="134">
        <v>95.6</v>
      </c>
      <c r="O38" s="134">
        <v>0</v>
      </c>
      <c r="P38" s="134">
        <v>0.74</v>
      </c>
      <c r="Q38" s="134">
        <v>5.34</v>
      </c>
    </row>
    <row r="39" spans="1:17" customFormat="1">
      <c r="A39" s="112" t="s">
        <v>3148</v>
      </c>
      <c r="B39" s="134">
        <v>20.43</v>
      </c>
      <c r="C39" s="134">
        <v>19.670000000000002</v>
      </c>
      <c r="D39" s="134">
        <v>28.01</v>
      </c>
      <c r="E39" s="134">
        <v>7.19</v>
      </c>
      <c r="F39" s="134">
        <v>2.69</v>
      </c>
      <c r="G39" s="134">
        <v>30.83</v>
      </c>
      <c r="H39" s="134">
        <v>10.8</v>
      </c>
      <c r="I39" s="134">
        <v>6.48</v>
      </c>
      <c r="J39" s="134">
        <v>0.16</v>
      </c>
      <c r="K39" s="134">
        <v>258.85000000000002</v>
      </c>
      <c r="L39" s="134">
        <v>27.01</v>
      </c>
      <c r="M39" s="134">
        <v>89.32</v>
      </c>
      <c r="N39" s="134">
        <v>155.69999999999999</v>
      </c>
      <c r="O39" s="134">
        <v>0</v>
      </c>
      <c r="P39" s="134">
        <v>0.72</v>
      </c>
      <c r="Q39" s="134">
        <v>5.35</v>
      </c>
    </row>
    <row r="40" spans="1:17" customFormat="1">
      <c r="A40" s="112" t="s">
        <v>3149</v>
      </c>
      <c r="B40" s="134">
        <v>20.07</v>
      </c>
      <c r="C40" s="134">
        <v>18.72</v>
      </c>
      <c r="D40" s="134">
        <v>27.23</v>
      </c>
      <c r="E40" s="134">
        <v>6.71</v>
      </c>
      <c r="F40" s="134">
        <v>2.97</v>
      </c>
      <c r="G40" s="134">
        <v>31.3</v>
      </c>
      <c r="H40" s="134">
        <v>11.32</v>
      </c>
      <c r="I40" s="134">
        <v>6.57</v>
      </c>
      <c r="J40" s="134">
        <v>0.13</v>
      </c>
      <c r="K40" s="134">
        <v>206.54</v>
      </c>
      <c r="L40" s="134">
        <v>27.68</v>
      </c>
      <c r="M40" s="134">
        <v>85.55</v>
      </c>
      <c r="N40" s="134">
        <v>230.2</v>
      </c>
      <c r="O40" s="134">
        <v>0</v>
      </c>
      <c r="P40" s="134">
        <v>0.71</v>
      </c>
      <c r="Q40" s="134">
        <v>5.34</v>
      </c>
    </row>
    <row r="41" spans="1:17" customFormat="1">
      <c r="A41" s="112" t="s">
        <v>3150</v>
      </c>
      <c r="B41" s="134">
        <v>19.88</v>
      </c>
      <c r="C41" s="134">
        <v>18.45</v>
      </c>
      <c r="D41" s="134">
        <v>26.93</v>
      </c>
      <c r="E41" s="134">
        <v>7.42</v>
      </c>
      <c r="F41" s="134">
        <v>2.96</v>
      </c>
      <c r="G41" s="134">
        <v>31.32</v>
      </c>
      <c r="H41" s="134">
        <v>11.32</v>
      </c>
      <c r="I41" s="134">
        <v>6.54</v>
      </c>
      <c r="J41" s="134">
        <v>0.18</v>
      </c>
      <c r="K41" s="134">
        <v>141.83000000000001</v>
      </c>
      <c r="L41" s="134">
        <v>28.63</v>
      </c>
      <c r="M41" s="134">
        <v>80.709999999999994</v>
      </c>
      <c r="N41" s="134">
        <v>279</v>
      </c>
      <c r="O41" s="134">
        <v>0</v>
      </c>
      <c r="P41" s="134">
        <v>0.7</v>
      </c>
      <c r="Q41" s="134">
        <v>5.29</v>
      </c>
    </row>
    <row r="42" spans="1:17" customFormat="1">
      <c r="A42" s="112" t="s">
        <v>3151</v>
      </c>
      <c r="B42" s="134">
        <v>19.57</v>
      </c>
      <c r="C42" s="134">
        <v>18.829999999999998</v>
      </c>
      <c r="D42" s="134">
        <v>26.88</v>
      </c>
      <c r="E42" s="134">
        <v>7.12</v>
      </c>
      <c r="F42" s="134">
        <v>2.9</v>
      </c>
      <c r="G42" s="134">
        <v>31.32</v>
      </c>
      <c r="H42" s="134">
        <v>11.32</v>
      </c>
      <c r="I42" s="134">
        <v>6.48</v>
      </c>
      <c r="J42" s="134">
        <v>0.15</v>
      </c>
      <c r="K42" s="134">
        <v>196.07</v>
      </c>
      <c r="L42" s="134">
        <v>29.31</v>
      </c>
      <c r="M42" s="134">
        <v>79.58</v>
      </c>
      <c r="N42" s="134">
        <v>261.5</v>
      </c>
      <c r="O42" s="134">
        <v>0</v>
      </c>
      <c r="P42" s="134">
        <v>0.69</v>
      </c>
      <c r="Q42" s="134">
        <v>5.26</v>
      </c>
    </row>
    <row r="43" spans="1:17" customFormat="1">
      <c r="A43" s="112" t="s">
        <v>3152</v>
      </c>
      <c r="B43" s="134">
        <v>19.13</v>
      </c>
      <c r="C43" s="134">
        <v>19.05</v>
      </c>
      <c r="D43" s="134">
        <v>26.65</v>
      </c>
      <c r="E43" s="134">
        <v>6.86</v>
      </c>
      <c r="F43" s="134">
        <v>2.97</v>
      </c>
      <c r="G43" s="134">
        <v>31.32</v>
      </c>
      <c r="H43" s="134">
        <v>11.32</v>
      </c>
      <c r="I43" s="134">
        <v>6.47</v>
      </c>
      <c r="J43" s="134">
        <v>0.2</v>
      </c>
      <c r="K43" s="134">
        <v>255.92</v>
      </c>
      <c r="L43" s="134">
        <v>29.51</v>
      </c>
      <c r="M43" s="134">
        <v>77.42</v>
      </c>
      <c r="N43" s="134">
        <v>249.2</v>
      </c>
      <c r="O43" s="134">
        <v>0</v>
      </c>
      <c r="P43" s="134">
        <v>0.69</v>
      </c>
      <c r="Q43" s="134">
        <v>5.25</v>
      </c>
    </row>
    <row r="44" spans="1:17" customFormat="1">
      <c r="A44" s="112" t="s">
        <v>3153</v>
      </c>
      <c r="B44" s="134">
        <v>18.559999999999999</v>
      </c>
      <c r="C44" s="134">
        <v>20.21</v>
      </c>
      <c r="D44" s="134">
        <v>26.8</v>
      </c>
      <c r="E44" s="134">
        <v>7.42</v>
      </c>
      <c r="F44" s="134">
        <v>2.48</v>
      </c>
      <c r="G44" s="134">
        <v>35.36</v>
      </c>
      <c r="H44" s="134">
        <v>14.83</v>
      </c>
      <c r="I44" s="134">
        <v>6.48</v>
      </c>
      <c r="J44" s="134">
        <v>0.22</v>
      </c>
      <c r="K44" s="134">
        <v>49.12</v>
      </c>
      <c r="L44" s="134">
        <v>30.02</v>
      </c>
      <c r="M44" s="134">
        <v>74.63</v>
      </c>
      <c r="N44" s="134">
        <v>226.7</v>
      </c>
      <c r="O44" s="134">
        <v>0</v>
      </c>
      <c r="P44" s="134">
        <v>0.7</v>
      </c>
      <c r="Q44" s="134">
        <v>5.28</v>
      </c>
    </row>
    <row r="45" spans="1:17" customFormat="1">
      <c r="A45" s="112" t="s">
        <v>3154</v>
      </c>
      <c r="B45" s="134">
        <v>18.440000000000001</v>
      </c>
      <c r="C45" s="134">
        <v>21.05</v>
      </c>
      <c r="D45" s="134">
        <v>27.13</v>
      </c>
      <c r="E45" s="134">
        <v>7.35</v>
      </c>
      <c r="F45" s="134">
        <v>2.39</v>
      </c>
      <c r="G45" s="134">
        <v>35.6</v>
      </c>
      <c r="H45" s="134">
        <v>14.83</v>
      </c>
      <c r="I45" s="134">
        <v>6.47</v>
      </c>
      <c r="J45" s="134">
        <v>7.0000000000000007E-2</v>
      </c>
      <c r="K45" s="134">
        <v>290.76</v>
      </c>
      <c r="L45" s="134">
        <v>30.58</v>
      </c>
      <c r="M45" s="134">
        <v>71.849999999999994</v>
      </c>
      <c r="N45" s="134">
        <v>289.8</v>
      </c>
      <c r="O45" s="134">
        <v>0</v>
      </c>
      <c r="P45" s="134">
        <v>0.71</v>
      </c>
      <c r="Q45" s="134">
        <v>5.26</v>
      </c>
    </row>
    <row r="46" spans="1:17" customFormat="1">
      <c r="A46" s="112" t="s">
        <v>3155</v>
      </c>
      <c r="B46" s="134">
        <v>18.21</v>
      </c>
      <c r="C46" s="134">
        <v>20.34</v>
      </c>
      <c r="D46" s="134">
        <v>26.58</v>
      </c>
      <c r="E46" s="134">
        <v>8.2200000000000006</v>
      </c>
      <c r="F46" s="134">
        <v>3.12</v>
      </c>
      <c r="G46" s="134">
        <v>35.6</v>
      </c>
      <c r="H46" s="134">
        <v>14.83</v>
      </c>
      <c r="I46" s="134">
        <v>6.46</v>
      </c>
      <c r="J46" s="134">
        <v>0.15</v>
      </c>
      <c r="K46" s="134">
        <v>32.520000000000003</v>
      </c>
      <c r="L46" s="134">
        <v>30.65</v>
      </c>
      <c r="M46" s="134">
        <v>70.09</v>
      </c>
      <c r="N46" s="134">
        <v>480.6</v>
      </c>
      <c r="O46" s="134">
        <v>0</v>
      </c>
      <c r="P46" s="134">
        <v>0.71</v>
      </c>
      <c r="Q46" s="134">
        <v>5.23</v>
      </c>
    </row>
    <row r="47" spans="1:17" customFormat="1">
      <c r="A47" s="112" t="s">
        <v>3156</v>
      </c>
      <c r="B47" s="134">
        <v>17.760000000000002</v>
      </c>
      <c r="C47" s="134">
        <v>20.32</v>
      </c>
      <c r="D47" s="134">
        <v>26.21</v>
      </c>
      <c r="E47" s="134">
        <v>8.94</v>
      </c>
      <c r="F47" s="134">
        <v>3.41</v>
      </c>
      <c r="G47" s="134">
        <v>35.6</v>
      </c>
      <c r="H47" s="134">
        <v>14.83</v>
      </c>
      <c r="I47" s="134">
        <v>6.47</v>
      </c>
      <c r="J47" s="134">
        <v>0.31</v>
      </c>
      <c r="K47" s="134">
        <v>53.22</v>
      </c>
      <c r="L47" s="134">
        <v>31.32</v>
      </c>
      <c r="M47" s="134">
        <v>67.88</v>
      </c>
      <c r="N47" s="134">
        <v>526.9</v>
      </c>
      <c r="O47" s="134">
        <v>0</v>
      </c>
      <c r="P47" s="134">
        <v>0.71</v>
      </c>
      <c r="Q47" s="134">
        <v>5.22</v>
      </c>
    </row>
    <row r="48" spans="1:17" customFormat="1">
      <c r="A48" s="112" t="s">
        <v>3157</v>
      </c>
      <c r="B48" s="134">
        <v>17.43</v>
      </c>
      <c r="C48" s="134">
        <v>20.8</v>
      </c>
      <c r="D48" s="134">
        <v>26.2</v>
      </c>
      <c r="E48" s="134">
        <v>11.27</v>
      </c>
      <c r="F48" s="134">
        <v>4.09</v>
      </c>
      <c r="G48" s="134">
        <v>47.67</v>
      </c>
      <c r="H48" s="134">
        <v>18.100000000000001</v>
      </c>
      <c r="I48" s="134">
        <v>6.53</v>
      </c>
      <c r="J48" s="134">
        <v>0.34</v>
      </c>
      <c r="K48" s="134">
        <v>61.51</v>
      </c>
      <c r="L48" s="134">
        <v>31.43</v>
      </c>
      <c r="M48" s="134">
        <v>68.05</v>
      </c>
      <c r="N48" s="134">
        <v>440.7</v>
      </c>
      <c r="O48" s="134">
        <v>0</v>
      </c>
      <c r="P48" s="134">
        <v>0.72</v>
      </c>
      <c r="Q48" s="134">
        <v>5.21</v>
      </c>
    </row>
    <row r="49" spans="1:17" customFormat="1">
      <c r="A49" s="112" t="s">
        <v>3158</v>
      </c>
      <c r="B49" s="134">
        <v>17.36</v>
      </c>
      <c r="C49" s="134">
        <v>21.03</v>
      </c>
      <c r="D49" s="134">
        <v>26.26</v>
      </c>
      <c r="E49" s="134">
        <v>7.14</v>
      </c>
      <c r="F49" s="134">
        <v>3.65</v>
      </c>
      <c r="G49" s="134">
        <v>48.38</v>
      </c>
      <c r="H49" s="134">
        <v>18.100000000000001</v>
      </c>
      <c r="I49" s="134">
        <v>6.76</v>
      </c>
      <c r="J49" s="134">
        <v>0.33</v>
      </c>
      <c r="K49" s="134">
        <v>24.26</v>
      </c>
      <c r="L49" s="134">
        <v>31.97</v>
      </c>
      <c r="M49" s="134">
        <v>66.930000000000007</v>
      </c>
      <c r="N49" s="134">
        <v>499.9</v>
      </c>
      <c r="O49" s="134">
        <v>0</v>
      </c>
      <c r="P49" s="134">
        <v>0.73</v>
      </c>
      <c r="Q49" s="134">
        <v>5.18</v>
      </c>
    </row>
    <row r="50" spans="1:17" customFormat="1">
      <c r="A50" s="112" t="s">
        <v>3159</v>
      </c>
      <c r="B50" s="134">
        <v>17.059999999999999</v>
      </c>
      <c r="C50" s="134">
        <v>21.75</v>
      </c>
      <c r="D50" s="134">
        <v>26.4</v>
      </c>
      <c r="E50" s="134">
        <v>10.46</v>
      </c>
      <c r="F50" s="134">
        <v>3.75</v>
      </c>
      <c r="G50" s="134">
        <v>48.38</v>
      </c>
      <c r="H50" s="134">
        <v>18.100000000000001</v>
      </c>
      <c r="I50" s="134">
        <v>6.95</v>
      </c>
      <c r="J50" s="134">
        <v>0.27</v>
      </c>
      <c r="K50" s="134">
        <v>12.13</v>
      </c>
      <c r="L50" s="134">
        <v>32.11</v>
      </c>
      <c r="M50" s="134">
        <v>65.91</v>
      </c>
      <c r="N50" s="134">
        <v>497</v>
      </c>
      <c r="O50" s="134">
        <v>0</v>
      </c>
      <c r="P50" s="134">
        <v>0.74</v>
      </c>
      <c r="Q50" s="134">
        <v>5.18</v>
      </c>
    </row>
    <row r="51" spans="1:17" customFormat="1">
      <c r="A51" s="112" t="s">
        <v>3160</v>
      </c>
      <c r="B51" s="151" t="s">
        <v>12</v>
      </c>
      <c r="C51" s="151" t="s">
        <v>12</v>
      </c>
      <c r="D51" s="151" t="s">
        <v>12</v>
      </c>
      <c r="E51" s="151" t="s">
        <v>12</v>
      </c>
      <c r="F51" s="151" t="s">
        <v>12</v>
      </c>
      <c r="G51" s="134">
        <v>48.38</v>
      </c>
      <c r="H51" s="134">
        <v>18.100000000000001</v>
      </c>
      <c r="I51" s="134">
        <v>6.94</v>
      </c>
      <c r="J51" s="134">
        <v>0.51</v>
      </c>
      <c r="K51" s="134">
        <v>44.18</v>
      </c>
      <c r="L51" s="134">
        <v>32.46</v>
      </c>
      <c r="M51" s="134">
        <v>63.76</v>
      </c>
      <c r="N51" s="134">
        <v>689.4</v>
      </c>
      <c r="O51" s="134">
        <v>0</v>
      </c>
      <c r="P51" s="151" t="s">
        <v>12</v>
      </c>
      <c r="Q51" s="134">
        <v>5.13</v>
      </c>
    </row>
    <row r="52" spans="1:17" customFormat="1">
      <c r="A52" s="112" t="s">
        <v>3161</v>
      </c>
      <c r="B52" s="151" t="s">
        <v>12</v>
      </c>
      <c r="C52" s="151" t="s">
        <v>12</v>
      </c>
      <c r="D52" s="151" t="s">
        <v>12</v>
      </c>
      <c r="E52" s="151" t="s">
        <v>12</v>
      </c>
      <c r="F52" s="151" t="s">
        <v>12</v>
      </c>
      <c r="G52" s="134">
        <v>65.36</v>
      </c>
      <c r="H52" s="134">
        <v>20.77</v>
      </c>
      <c r="I52" s="134">
        <v>7.08</v>
      </c>
      <c r="J52" s="134">
        <v>0.63</v>
      </c>
      <c r="K52" s="134">
        <v>36.15</v>
      </c>
      <c r="L52" s="134">
        <v>32.71</v>
      </c>
      <c r="M52" s="134">
        <v>63.51</v>
      </c>
      <c r="N52" s="134">
        <v>713.8</v>
      </c>
      <c r="O52" s="134">
        <v>0</v>
      </c>
      <c r="P52" s="134">
        <v>0.05</v>
      </c>
      <c r="Q52" s="134">
        <v>5.0999999999999996</v>
      </c>
    </row>
    <row r="53" spans="1:17" customFormat="1">
      <c r="A53" s="112" t="s">
        <v>3162</v>
      </c>
      <c r="B53" s="151" t="s">
        <v>12</v>
      </c>
      <c r="C53" s="151" t="s">
        <v>12</v>
      </c>
      <c r="D53" s="151" t="s">
        <v>12</v>
      </c>
      <c r="E53" s="151" t="s">
        <v>12</v>
      </c>
      <c r="F53" s="151" t="s">
        <v>12</v>
      </c>
      <c r="G53" s="134">
        <v>66.36</v>
      </c>
      <c r="H53" s="134">
        <v>20.77</v>
      </c>
      <c r="I53" s="134">
        <v>9.77</v>
      </c>
      <c r="J53" s="134">
        <v>0.66</v>
      </c>
      <c r="K53" s="134">
        <v>48.89</v>
      </c>
      <c r="L53" s="134">
        <v>32.549999999999997</v>
      </c>
      <c r="M53" s="134">
        <v>60.89</v>
      </c>
      <c r="N53" s="134">
        <v>732.4</v>
      </c>
      <c r="O53" s="134">
        <v>0</v>
      </c>
      <c r="P53" s="134">
        <v>0.7</v>
      </c>
      <c r="Q53" s="134">
        <v>5.0599999999999996</v>
      </c>
    </row>
    <row r="54" spans="1:17" customFormat="1">
      <c r="A54" s="112" t="s">
        <v>3163</v>
      </c>
      <c r="B54" s="151" t="s">
        <v>12</v>
      </c>
      <c r="C54" s="151" t="s">
        <v>12</v>
      </c>
      <c r="D54" s="151" t="s">
        <v>12</v>
      </c>
      <c r="E54" s="151" t="s">
        <v>12</v>
      </c>
      <c r="F54" s="151" t="s">
        <v>12</v>
      </c>
      <c r="G54" s="134">
        <v>66.36</v>
      </c>
      <c r="H54" s="134">
        <v>20.77</v>
      </c>
      <c r="I54" s="134">
        <v>17.87</v>
      </c>
      <c r="J54" s="134">
        <v>0.56000000000000005</v>
      </c>
      <c r="K54" s="134">
        <v>35.71</v>
      </c>
      <c r="L54" s="134">
        <v>32.869999999999997</v>
      </c>
      <c r="M54" s="134">
        <v>62.26</v>
      </c>
      <c r="N54" s="134">
        <v>695</v>
      </c>
      <c r="O54" s="134">
        <v>0</v>
      </c>
      <c r="P54" s="134">
        <v>0.7</v>
      </c>
      <c r="Q54" s="134">
        <v>4.9800000000000004</v>
      </c>
    </row>
    <row r="55" spans="1:17" customFormat="1">
      <c r="A55" s="112" t="s">
        <v>3164</v>
      </c>
      <c r="B55" s="151" t="s">
        <v>12</v>
      </c>
      <c r="C55" s="151" t="s">
        <v>12</v>
      </c>
      <c r="D55" s="151" t="s">
        <v>12</v>
      </c>
      <c r="E55" s="151" t="s">
        <v>12</v>
      </c>
      <c r="F55" s="134">
        <v>11.81</v>
      </c>
      <c r="G55" s="134">
        <v>66.36</v>
      </c>
      <c r="H55" s="134">
        <v>20.77</v>
      </c>
      <c r="I55" s="134">
        <v>28.96</v>
      </c>
      <c r="J55" s="134">
        <v>0.79</v>
      </c>
      <c r="K55" s="134">
        <v>45.44</v>
      </c>
      <c r="L55" s="134">
        <v>32.6</v>
      </c>
      <c r="M55" s="134">
        <v>62.36</v>
      </c>
      <c r="N55" s="134">
        <v>755.7</v>
      </c>
      <c r="O55" s="134">
        <v>0</v>
      </c>
      <c r="P55" s="134">
        <v>0.71</v>
      </c>
      <c r="Q55" s="134">
        <v>4.9000000000000004</v>
      </c>
    </row>
    <row r="56" spans="1:17" customFormat="1">
      <c r="A56" s="112" t="s">
        <v>3165</v>
      </c>
      <c r="B56" s="151" t="s">
        <v>12</v>
      </c>
      <c r="C56" s="151" t="s">
        <v>12</v>
      </c>
      <c r="D56" s="151" t="s">
        <v>12</v>
      </c>
      <c r="E56" s="151" t="s">
        <v>12</v>
      </c>
      <c r="F56" s="134">
        <v>10.7</v>
      </c>
      <c r="G56" s="134">
        <v>61.08</v>
      </c>
      <c r="H56" s="134">
        <v>21.37</v>
      </c>
      <c r="I56" s="134">
        <v>48.13</v>
      </c>
      <c r="J56" s="134">
        <v>0.71</v>
      </c>
      <c r="K56" s="134">
        <v>29.8</v>
      </c>
      <c r="L56" s="134">
        <v>33.15</v>
      </c>
      <c r="M56" s="134">
        <v>61.08</v>
      </c>
      <c r="N56" s="134">
        <v>838.5</v>
      </c>
      <c r="O56" s="134">
        <v>0</v>
      </c>
      <c r="P56" s="134">
        <v>0.77</v>
      </c>
      <c r="Q56" s="134">
        <v>4.8600000000000003</v>
      </c>
    </row>
    <row r="57" spans="1:17" customFormat="1">
      <c r="A57" s="112" t="s">
        <v>3166</v>
      </c>
      <c r="B57" s="151" t="s">
        <v>12</v>
      </c>
      <c r="C57" s="151" t="s">
        <v>12</v>
      </c>
      <c r="D57" s="151" t="s">
        <v>12</v>
      </c>
      <c r="E57" s="151" t="s">
        <v>12</v>
      </c>
      <c r="F57" s="134">
        <v>8.77</v>
      </c>
      <c r="G57" s="134">
        <v>60.77</v>
      </c>
      <c r="H57" s="134">
        <v>21.37</v>
      </c>
      <c r="I57" s="134">
        <v>66.02</v>
      </c>
      <c r="J57" s="134">
        <v>0.74</v>
      </c>
      <c r="K57" s="134">
        <v>22.72</v>
      </c>
      <c r="L57" s="134">
        <v>33.29</v>
      </c>
      <c r="M57" s="134">
        <v>59.97</v>
      </c>
      <c r="N57" s="134">
        <v>843.1</v>
      </c>
      <c r="O57" s="134">
        <v>0</v>
      </c>
      <c r="P57" s="134">
        <v>0.76</v>
      </c>
      <c r="Q57" s="134">
        <v>4.87</v>
      </c>
    </row>
    <row r="58" spans="1:17" customFormat="1">
      <c r="A58" s="112" t="s">
        <v>3167</v>
      </c>
      <c r="B58" s="151" t="s">
        <v>12</v>
      </c>
      <c r="C58" s="151" t="s">
        <v>12</v>
      </c>
      <c r="D58" s="151" t="s">
        <v>12</v>
      </c>
      <c r="E58" s="151" t="s">
        <v>12</v>
      </c>
      <c r="F58" s="134">
        <v>8.11</v>
      </c>
      <c r="G58" s="134">
        <v>60.77</v>
      </c>
      <c r="H58" s="134">
        <v>21.37</v>
      </c>
      <c r="I58" s="134">
        <v>82.62</v>
      </c>
      <c r="J58" s="134">
        <v>0.8</v>
      </c>
      <c r="K58" s="134">
        <v>41.26</v>
      </c>
      <c r="L58" s="134">
        <v>33.380000000000003</v>
      </c>
      <c r="M58" s="134">
        <v>60.12</v>
      </c>
      <c r="N58" s="134">
        <v>822.6</v>
      </c>
      <c r="O58" s="134">
        <v>0</v>
      </c>
      <c r="P58" s="134">
        <v>0.75</v>
      </c>
      <c r="Q58" s="134">
        <v>4.8600000000000003</v>
      </c>
    </row>
    <row r="59" spans="1:17" customFormat="1">
      <c r="A59" s="112" t="s">
        <v>3168</v>
      </c>
      <c r="B59" s="151" t="s">
        <v>12</v>
      </c>
      <c r="C59" s="151" t="s">
        <v>12</v>
      </c>
      <c r="D59" s="151" t="s">
        <v>12</v>
      </c>
      <c r="E59" s="151" t="s">
        <v>12</v>
      </c>
      <c r="F59" s="134">
        <v>7.53</v>
      </c>
      <c r="G59" s="134">
        <v>60.77</v>
      </c>
      <c r="H59" s="134">
        <v>21.37</v>
      </c>
      <c r="I59" s="134">
        <v>101.77</v>
      </c>
      <c r="J59" s="134">
        <v>0.57999999999999996</v>
      </c>
      <c r="K59" s="134">
        <v>49.29</v>
      </c>
      <c r="L59" s="134">
        <v>33.44</v>
      </c>
      <c r="M59" s="134">
        <v>60.04</v>
      </c>
      <c r="N59" s="134">
        <v>757.1</v>
      </c>
      <c r="O59" s="134">
        <v>0</v>
      </c>
      <c r="P59" s="134">
        <v>0.75</v>
      </c>
      <c r="Q59" s="134">
        <v>4.8899999999999997</v>
      </c>
    </row>
    <row r="60" spans="1:17" customFormat="1">
      <c r="A60" s="112" t="s">
        <v>3169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34">
        <v>8.82</v>
      </c>
      <c r="G60" s="134">
        <v>61.6</v>
      </c>
      <c r="H60" s="134">
        <v>19.440000000000001</v>
      </c>
      <c r="I60" s="134">
        <v>121.02</v>
      </c>
      <c r="J60" s="134">
        <v>0.65</v>
      </c>
      <c r="K60" s="134">
        <v>35.340000000000003</v>
      </c>
      <c r="L60" s="134">
        <v>33.44</v>
      </c>
      <c r="M60" s="134">
        <v>61</v>
      </c>
      <c r="N60" s="134">
        <v>671.4</v>
      </c>
      <c r="O60" s="134">
        <v>0</v>
      </c>
      <c r="P60" s="134">
        <v>0.74</v>
      </c>
      <c r="Q60" s="134">
        <v>4.9000000000000004</v>
      </c>
    </row>
    <row r="61" spans="1:17" customFormat="1">
      <c r="A61" s="112" t="s">
        <v>3170</v>
      </c>
      <c r="B61" s="134">
        <v>9.58</v>
      </c>
      <c r="C61" s="134">
        <v>23.54</v>
      </c>
      <c r="D61" s="134">
        <v>20.91</v>
      </c>
      <c r="E61" s="134">
        <v>6.84</v>
      </c>
      <c r="F61" s="134">
        <v>7.59</v>
      </c>
      <c r="G61" s="134">
        <v>61.65</v>
      </c>
      <c r="H61" s="134">
        <v>19.440000000000001</v>
      </c>
      <c r="I61" s="134">
        <v>137.34</v>
      </c>
      <c r="J61" s="134">
        <v>0.67</v>
      </c>
      <c r="K61" s="134">
        <v>44.99</v>
      </c>
      <c r="L61" s="134">
        <v>33.619999999999997</v>
      </c>
      <c r="M61" s="134">
        <v>58.84</v>
      </c>
      <c r="N61" s="134">
        <v>694.7</v>
      </c>
      <c r="O61" s="134">
        <v>0</v>
      </c>
      <c r="P61" s="134">
        <v>0.74</v>
      </c>
      <c r="Q61" s="134">
        <v>4.8600000000000003</v>
      </c>
    </row>
    <row r="62" spans="1:17" customFormat="1">
      <c r="A62" s="112" t="s">
        <v>3171</v>
      </c>
      <c r="B62" s="134">
        <v>9.15</v>
      </c>
      <c r="C62" s="134">
        <v>23.46</v>
      </c>
      <c r="D62" s="134">
        <v>20.94</v>
      </c>
      <c r="E62" s="134">
        <v>11.26</v>
      </c>
      <c r="F62" s="134">
        <v>10.37</v>
      </c>
      <c r="G62" s="134">
        <v>61.65</v>
      </c>
      <c r="H62" s="134">
        <v>19.440000000000001</v>
      </c>
      <c r="I62" s="134">
        <v>151.21</v>
      </c>
      <c r="J62" s="134">
        <v>0.79</v>
      </c>
      <c r="K62" s="134">
        <v>40.32</v>
      </c>
      <c r="L62" s="134">
        <v>32.96</v>
      </c>
      <c r="M62" s="134">
        <v>61.33</v>
      </c>
      <c r="N62" s="134">
        <v>479.9</v>
      </c>
      <c r="O62" s="134">
        <v>0</v>
      </c>
      <c r="P62" s="134">
        <v>0.71</v>
      </c>
      <c r="Q62" s="134">
        <v>4.8600000000000003</v>
      </c>
    </row>
    <row r="63" spans="1:17" customFormat="1">
      <c r="A63" s="112" t="s">
        <v>3172</v>
      </c>
      <c r="B63" s="134">
        <v>6.15</v>
      </c>
      <c r="C63" s="134">
        <v>22.54</v>
      </c>
      <c r="D63" s="134">
        <v>18.059999999999999</v>
      </c>
      <c r="E63" s="134">
        <v>14.08</v>
      </c>
      <c r="F63" s="134">
        <v>16.11</v>
      </c>
      <c r="G63" s="134">
        <v>61.65</v>
      </c>
      <c r="H63" s="134">
        <v>19.440000000000001</v>
      </c>
      <c r="I63" s="134">
        <v>162.06</v>
      </c>
      <c r="J63" s="134">
        <v>0.47</v>
      </c>
      <c r="K63" s="134">
        <v>66.16</v>
      </c>
      <c r="L63" s="134">
        <v>33.64</v>
      </c>
      <c r="M63" s="134">
        <v>58.3</v>
      </c>
      <c r="N63" s="134">
        <v>751.6</v>
      </c>
      <c r="O63" s="134">
        <v>0</v>
      </c>
      <c r="P63" s="134">
        <v>0.62</v>
      </c>
      <c r="Q63" s="134">
        <v>4.7</v>
      </c>
    </row>
    <row r="64" spans="1:17" customFormat="1">
      <c r="A64" s="112" t="s">
        <v>3173</v>
      </c>
      <c r="B64" s="134">
        <v>4.1100000000000003</v>
      </c>
      <c r="C64" s="134">
        <v>22.28</v>
      </c>
      <c r="D64" s="134">
        <v>16.29</v>
      </c>
      <c r="E64" s="134">
        <v>14.33</v>
      </c>
      <c r="F64" s="134">
        <v>17.940000000000001</v>
      </c>
      <c r="G64" s="134">
        <v>56.29</v>
      </c>
      <c r="H64" s="134">
        <v>18.27</v>
      </c>
      <c r="I64" s="134">
        <v>145.16999999999999</v>
      </c>
      <c r="J64" s="134">
        <v>0.59</v>
      </c>
      <c r="K64" s="134">
        <v>47.96</v>
      </c>
      <c r="L64" s="134">
        <v>34.1</v>
      </c>
      <c r="M64" s="134">
        <v>56.96</v>
      </c>
      <c r="N64" s="134">
        <v>714.5</v>
      </c>
      <c r="O64" s="134">
        <v>0</v>
      </c>
      <c r="P64" s="134">
        <v>0.6</v>
      </c>
      <c r="Q64" s="134">
        <v>4.55</v>
      </c>
    </row>
    <row r="65" spans="1:17" customFormat="1">
      <c r="A65" s="112" t="s">
        <v>3174</v>
      </c>
      <c r="B65" s="134">
        <v>2.75</v>
      </c>
      <c r="C65" s="134">
        <v>21.4</v>
      </c>
      <c r="D65" s="134">
        <v>14.74</v>
      </c>
      <c r="E65" s="134">
        <v>24.55</v>
      </c>
      <c r="F65" s="134">
        <v>11.81</v>
      </c>
      <c r="G65" s="134">
        <v>55.97</v>
      </c>
      <c r="H65" s="134">
        <v>18.27</v>
      </c>
      <c r="I65" s="134">
        <v>107.66</v>
      </c>
      <c r="J65" s="134">
        <v>0.56000000000000005</v>
      </c>
      <c r="K65" s="134">
        <v>43.9</v>
      </c>
      <c r="L65" s="134">
        <v>34</v>
      </c>
      <c r="M65" s="134">
        <v>55.35</v>
      </c>
      <c r="N65" s="134">
        <v>615.29999999999995</v>
      </c>
      <c r="O65" s="134">
        <v>0</v>
      </c>
      <c r="P65" s="134">
        <v>0.52</v>
      </c>
      <c r="Q65" s="134">
        <v>4.46</v>
      </c>
    </row>
    <row r="66" spans="1:17" customFormat="1">
      <c r="A66" s="112" t="s">
        <v>3175</v>
      </c>
      <c r="B66" s="134">
        <v>2.41</v>
      </c>
      <c r="C66" s="134">
        <v>21.68</v>
      </c>
      <c r="D66" s="134">
        <v>14.61</v>
      </c>
      <c r="E66" s="134">
        <v>26.45</v>
      </c>
      <c r="F66" s="134">
        <v>8</v>
      </c>
      <c r="G66" s="134">
        <v>55.97</v>
      </c>
      <c r="H66" s="134">
        <v>18.27</v>
      </c>
      <c r="I66" s="134">
        <v>89.53</v>
      </c>
      <c r="J66" s="134">
        <v>0.62</v>
      </c>
      <c r="K66" s="134">
        <v>42.52</v>
      </c>
      <c r="L66" s="134">
        <v>33.770000000000003</v>
      </c>
      <c r="M66" s="134">
        <v>57.65</v>
      </c>
      <c r="N66" s="134">
        <v>576.9</v>
      </c>
      <c r="O66" s="134">
        <v>0</v>
      </c>
      <c r="P66" s="134">
        <v>0.53</v>
      </c>
      <c r="Q66" s="134">
        <v>4.33</v>
      </c>
    </row>
    <row r="67" spans="1:17" customFormat="1">
      <c r="A67" s="112" t="s">
        <v>3176</v>
      </c>
      <c r="B67" s="134">
        <v>3.03</v>
      </c>
      <c r="C67" s="134">
        <v>21.34</v>
      </c>
      <c r="D67" s="134">
        <v>14.93</v>
      </c>
      <c r="E67" s="134">
        <v>26.84</v>
      </c>
      <c r="F67" s="134">
        <v>9.24</v>
      </c>
      <c r="G67" s="134">
        <v>55.97</v>
      </c>
      <c r="H67" s="134">
        <v>18.27</v>
      </c>
      <c r="I67" s="134">
        <v>83.49</v>
      </c>
      <c r="J67" s="134">
        <v>0.8</v>
      </c>
      <c r="K67" s="134">
        <v>39.22</v>
      </c>
      <c r="L67" s="134">
        <v>33.590000000000003</v>
      </c>
      <c r="M67" s="134">
        <v>57.84</v>
      </c>
      <c r="N67" s="134">
        <v>538.5</v>
      </c>
      <c r="O67" s="134">
        <v>0</v>
      </c>
      <c r="P67" s="134">
        <v>0.53</v>
      </c>
      <c r="Q67" s="134">
        <v>4.32</v>
      </c>
    </row>
    <row r="68" spans="1:17" customFormat="1">
      <c r="A68" s="112" t="s">
        <v>3177</v>
      </c>
      <c r="B68" s="134">
        <v>3.48</v>
      </c>
      <c r="C68" s="134">
        <v>21.07</v>
      </c>
      <c r="D68" s="134">
        <v>15.14</v>
      </c>
      <c r="E68" s="134">
        <v>25.25</v>
      </c>
      <c r="F68" s="134">
        <v>8.51</v>
      </c>
      <c r="G68" s="134">
        <v>55.07</v>
      </c>
      <c r="H68" s="134">
        <v>16.489999999999998</v>
      </c>
      <c r="I68" s="134">
        <v>82.03</v>
      </c>
      <c r="J68" s="134">
        <v>0.73</v>
      </c>
      <c r="K68" s="134">
        <v>32.119999999999997</v>
      </c>
      <c r="L68" s="134">
        <v>33.340000000000003</v>
      </c>
      <c r="M68" s="134">
        <v>58.99</v>
      </c>
      <c r="N68" s="134">
        <v>393.6</v>
      </c>
      <c r="O68" s="134">
        <v>0</v>
      </c>
      <c r="P68" s="134">
        <v>0.51</v>
      </c>
      <c r="Q68" s="134">
        <v>4.34</v>
      </c>
    </row>
    <row r="69" spans="1:17" customFormat="1">
      <c r="A69" s="112" t="s">
        <v>3178</v>
      </c>
      <c r="B69" s="134">
        <v>3.68</v>
      </c>
      <c r="C69" s="134">
        <v>20.87</v>
      </c>
      <c r="D69" s="134">
        <v>15.21</v>
      </c>
      <c r="E69" s="134">
        <v>26.79</v>
      </c>
      <c r="F69" s="134">
        <v>10.33</v>
      </c>
      <c r="G69" s="134">
        <v>55.02</v>
      </c>
      <c r="H69" s="134">
        <v>16.489999999999998</v>
      </c>
      <c r="I69" s="134">
        <v>77.3</v>
      </c>
      <c r="J69" s="134">
        <v>0.49</v>
      </c>
      <c r="K69" s="134">
        <v>56.92</v>
      </c>
      <c r="L69" s="134">
        <v>33.25</v>
      </c>
      <c r="M69" s="134">
        <v>59.71</v>
      </c>
      <c r="N69" s="134">
        <v>348.5</v>
      </c>
      <c r="O69" s="134">
        <v>0</v>
      </c>
      <c r="P69" s="134">
        <v>0.5</v>
      </c>
      <c r="Q69" s="134">
        <v>4.29</v>
      </c>
    </row>
    <row r="70" spans="1:17" customFormat="1">
      <c r="A70" s="112" t="s">
        <v>3179</v>
      </c>
      <c r="B70" s="134">
        <v>4.13</v>
      </c>
      <c r="C70" s="134">
        <v>21.25</v>
      </c>
      <c r="D70" s="134">
        <v>15.77</v>
      </c>
      <c r="E70" s="134">
        <v>27.33</v>
      </c>
      <c r="F70" s="134">
        <v>9.3800000000000008</v>
      </c>
      <c r="G70" s="134">
        <v>55.02</v>
      </c>
      <c r="H70" s="134">
        <v>16.489999999999998</v>
      </c>
      <c r="I70" s="134">
        <v>71.13</v>
      </c>
      <c r="J70" s="134">
        <v>0.44</v>
      </c>
      <c r="K70" s="134">
        <v>53.65</v>
      </c>
      <c r="L70" s="134">
        <v>32.74</v>
      </c>
      <c r="M70" s="134">
        <v>58.81</v>
      </c>
      <c r="N70" s="134">
        <v>213.9</v>
      </c>
      <c r="O70" s="134">
        <v>0</v>
      </c>
      <c r="P70" s="134">
        <v>0.5</v>
      </c>
      <c r="Q70" s="134">
        <v>4.3099999999999996</v>
      </c>
    </row>
    <row r="71" spans="1:17" customFormat="1">
      <c r="A71" s="112" t="s">
        <v>3180</v>
      </c>
      <c r="B71" s="134">
        <v>4.6900000000000004</v>
      </c>
      <c r="C71" s="134">
        <v>21.94</v>
      </c>
      <c r="D71" s="134">
        <v>16.579999999999998</v>
      </c>
      <c r="E71" s="134">
        <v>27.52</v>
      </c>
      <c r="F71" s="134">
        <v>10.220000000000001</v>
      </c>
      <c r="G71" s="134">
        <v>55.02</v>
      </c>
      <c r="H71" s="134">
        <v>16.489999999999998</v>
      </c>
      <c r="I71" s="134">
        <v>66.290000000000006</v>
      </c>
      <c r="J71" s="134">
        <v>0.26</v>
      </c>
      <c r="K71" s="134">
        <v>44.95</v>
      </c>
      <c r="L71" s="134">
        <v>33.15</v>
      </c>
      <c r="M71" s="134">
        <v>57.91</v>
      </c>
      <c r="N71" s="134">
        <v>311.3</v>
      </c>
      <c r="O71" s="134">
        <v>0</v>
      </c>
      <c r="P71" s="134">
        <v>0.49</v>
      </c>
      <c r="Q71" s="134">
        <v>4.3</v>
      </c>
    </row>
    <row r="72" spans="1:17" customFormat="1">
      <c r="A72" s="112" t="s">
        <v>3181</v>
      </c>
      <c r="B72" s="134">
        <v>5</v>
      </c>
      <c r="C72" s="134">
        <v>22.26</v>
      </c>
      <c r="D72" s="134">
        <v>16.989999999999998</v>
      </c>
      <c r="E72" s="134">
        <v>27.25</v>
      </c>
      <c r="F72" s="134">
        <v>11.23</v>
      </c>
      <c r="G72" s="134">
        <v>53.37</v>
      </c>
      <c r="H72" s="134">
        <v>15.08</v>
      </c>
      <c r="I72" s="134">
        <v>62.97</v>
      </c>
      <c r="J72" s="134">
        <v>0.52</v>
      </c>
      <c r="K72" s="134">
        <v>61.91</v>
      </c>
      <c r="L72" s="134">
        <v>33.090000000000003</v>
      </c>
      <c r="M72" s="134">
        <v>58.8</v>
      </c>
      <c r="N72" s="134">
        <v>255.7</v>
      </c>
      <c r="O72" s="134">
        <v>0</v>
      </c>
      <c r="P72" s="134">
        <v>0.52</v>
      </c>
      <c r="Q72" s="134">
        <v>4.38</v>
      </c>
    </row>
    <row r="73" spans="1:17" customFormat="1">
      <c r="A73" s="112" t="s">
        <v>3182</v>
      </c>
      <c r="B73" s="134">
        <v>5.5</v>
      </c>
      <c r="C73" s="134">
        <v>21.66</v>
      </c>
      <c r="D73" s="134">
        <v>17.079999999999998</v>
      </c>
      <c r="E73" s="134">
        <v>28.56</v>
      </c>
      <c r="F73" s="134">
        <v>12.22</v>
      </c>
      <c r="G73" s="134">
        <v>53.28</v>
      </c>
      <c r="H73" s="134">
        <v>15.08</v>
      </c>
      <c r="I73" s="134">
        <v>58.6</v>
      </c>
      <c r="J73" s="134">
        <v>0.3</v>
      </c>
      <c r="K73" s="134">
        <v>63.61</v>
      </c>
      <c r="L73" s="134">
        <v>32.76</v>
      </c>
      <c r="M73" s="134">
        <v>60.03</v>
      </c>
      <c r="N73" s="134">
        <v>161.69999999999999</v>
      </c>
      <c r="O73" s="134">
        <v>0</v>
      </c>
      <c r="P73" s="134">
        <v>0.5</v>
      </c>
      <c r="Q73" s="134">
        <v>4.3600000000000003</v>
      </c>
    </row>
    <row r="74" spans="1:17" customFormat="1">
      <c r="A74" s="112" t="s">
        <v>3183</v>
      </c>
      <c r="B74" s="134">
        <v>5.67</v>
      </c>
      <c r="C74" s="134">
        <v>21.03</v>
      </c>
      <c r="D74" s="134">
        <v>16.88</v>
      </c>
      <c r="E74" s="134">
        <v>29.19</v>
      </c>
      <c r="F74" s="134">
        <v>14.29</v>
      </c>
      <c r="G74" s="134">
        <v>53.28</v>
      </c>
      <c r="H74" s="134">
        <v>15.08</v>
      </c>
      <c r="I74" s="134">
        <v>55.53</v>
      </c>
      <c r="J74" s="134">
        <v>0.46</v>
      </c>
      <c r="K74" s="134">
        <v>28.59</v>
      </c>
      <c r="L74" s="134">
        <v>32.92</v>
      </c>
      <c r="M74" s="134">
        <v>60.53</v>
      </c>
      <c r="N74" s="134">
        <v>178.3</v>
      </c>
      <c r="O74" s="134">
        <v>0</v>
      </c>
      <c r="P74" s="134">
        <v>0.49</v>
      </c>
      <c r="Q74" s="134">
        <v>4.3600000000000003</v>
      </c>
    </row>
    <row r="75" spans="1:17" customFormat="1">
      <c r="A75" s="112" t="s">
        <v>3184</v>
      </c>
      <c r="B75" s="134">
        <v>6.31</v>
      </c>
      <c r="C75" s="134">
        <v>21.41</v>
      </c>
      <c r="D75" s="134">
        <v>17.600000000000001</v>
      </c>
      <c r="E75" s="134">
        <v>25.27</v>
      </c>
      <c r="F75" s="134">
        <v>15.21</v>
      </c>
      <c r="G75" s="134">
        <v>53.28</v>
      </c>
      <c r="H75" s="134">
        <v>15.08</v>
      </c>
      <c r="I75" s="134">
        <v>51.43</v>
      </c>
      <c r="J75" s="134">
        <v>0.59</v>
      </c>
      <c r="K75" s="134">
        <v>35.630000000000003</v>
      </c>
      <c r="L75" s="134">
        <v>32.630000000000003</v>
      </c>
      <c r="M75" s="134">
        <v>60.72</v>
      </c>
      <c r="N75" s="134">
        <v>126.7</v>
      </c>
      <c r="O75" s="134">
        <v>0</v>
      </c>
      <c r="P75" s="134">
        <v>0.5</v>
      </c>
      <c r="Q75" s="134">
        <v>4.3499999999999996</v>
      </c>
    </row>
    <row r="76" spans="1:17" customFormat="1">
      <c r="A76" s="112" t="s">
        <v>3185</v>
      </c>
      <c r="B76" s="134">
        <v>7.23</v>
      </c>
      <c r="C76" s="134">
        <v>22.35</v>
      </c>
      <c r="D76" s="134">
        <v>18.82</v>
      </c>
      <c r="E76" s="134">
        <v>27.08</v>
      </c>
      <c r="F76" s="134">
        <v>16.55</v>
      </c>
      <c r="G76" s="134">
        <v>55.43</v>
      </c>
      <c r="H76" s="134">
        <v>12.98</v>
      </c>
      <c r="I76" s="134">
        <v>46.64</v>
      </c>
      <c r="J76" s="134">
        <v>0.4</v>
      </c>
      <c r="K76" s="134">
        <v>45.57</v>
      </c>
      <c r="L76" s="134">
        <v>32.53</v>
      </c>
      <c r="M76" s="134">
        <v>61.19</v>
      </c>
      <c r="N76" s="134">
        <v>78</v>
      </c>
      <c r="O76" s="134">
        <v>0</v>
      </c>
      <c r="P76" s="134">
        <v>0.52</v>
      </c>
      <c r="Q76" s="134">
        <v>4.3600000000000003</v>
      </c>
    </row>
    <row r="77" spans="1:17" customFormat="1">
      <c r="A77" s="112" t="s">
        <v>3186</v>
      </c>
      <c r="B77" s="134">
        <v>10.15</v>
      </c>
      <c r="C77" s="134">
        <v>27.34</v>
      </c>
      <c r="D77" s="134">
        <v>23.77</v>
      </c>
      <c r="E77" s="134">
        <v>31.85</v>
      </c>
      <c r="F77" s="134">
        <v>12.58</v>
      </c>
      <c r="G77" s="134">
        <v>55.56</v>
      </c>
      <c r="H77" s="134">
        <v>12.98</v>
      </c>
      <c r="I77" s="134">
        <v>44.87</v>
      </c>
      <c r="J77" s="134">
        <v>0.25</v>
      </c>
      <c r="K77" s="134">
        <v>39.119999999999997</v>
      </c>
      <c r="L77" s="134">
        <v>32.46</v>
      </c>
      <c r="M77" s="134">
        <v>60.71</v>
      </c>
      <c r="N77" s="134">
        <v>73.3</v>
      </c>
      <c r="O77" s="134">
        <v>0</v>
      </c>
      <c r="P77" s="134">
        <v>0.53</v>
      </c>
      <c r="Q77" s="134">
        <v>4.41</v>
      </c>
    </row>
    <row r="78" spans="1:17" customFormat="1">
      <c r="A78" s="112" t="s">
        <v>3187</v>
      </c>
      <c r="B78" s="134">
        <v>10.210000000000001</v>
      </c>
      <c r="C78" s="134">
        <v>26.97</v>
      </c>
      <c r="D78" s="134">
        <v>23.63</v>
      </c>
      <c r="E78" s="134">
        <v>34.71</v>
      </c>
      <c r="F78" s="134">
        <v>12.64</v>
      </c>
      <c r="G78" s="134">
        <v>55.56</v>
      </c>
      <c r="H78" s="134">
        <v>12.98</v>
      </c>
      <c r="I78" s="134">
        <v>39.19</v>
      </c>
      <c r="J78" s="134">
        <v>0.32</v>
      </c>
      <c r="K78" s="134">
        <v>39.53</v>
      </c>
      <c r="L78" s="134">
        <v>32.33</v>
      </c>
      <c r="M78" s="134">
        <v>60.56</v>
      </c>
      <c r="N78" s="134">
        <v>61.7</v>
      </c>
      <c r="O78" s="134">
        <v>0</v>
      </c>
      <c r="P78" s="134">
        <v>0.56999999999999995</v>
      </c>
      <c r="Q78" s="134">
        <v>4.4400000000000004</v>
      </c>
    </row>
    <row r="79" spans="1:17" customFormat="1">
      <c r="A79" s="112" t="s">
        <v>3188</v>
      </c>
      <c r="B79" s="134">
        <v>13.2</v>
      </c>
      <c r="C79" s="134">
        <v>28.24</v>
      </c>
      <c r="D79" s="134">
        <v>26.69</v>
      </c>
      <c r="E79" s="134">
        <v>29.08</v>
      </c>
      <c r="F79" s="134">
        <v>12.49</v>
      </c>
      <c r="G79" s="134">
        <v>55.56</v>
      </c>
      <c r="H79" s="134">
        <v>12.98</v>
      </c>
      <c r="I79" s="134">
        <v>36.29</v>
      </c>
      <c r="J79" s="134">
        <v>0.34</v>
      </c>
      <c r="K79" s="134">
        <v>45.84</v>
      </c>
      <c r="L79" s="134">
        <v>32.119999999999997</v>
      </c>
      <c r="M79" s="134">
        <v>61.92</v>
      </c>
      <c r="N79" s="134">
        <v>37.200000000000003</v>
      </c>
      <c r="O79" s="134">
        <v>0</v>
      </c>
      <c r="P79" s="134">
        <v>0.64</v>
      </c>
      <c r="Q79" s="134">
        <v>4.5</v>
      </c>
    </row>
    <row r="80" spans="1:17" customFormat="1">
      <c r="A80" s="112" t="s">
        <v>3189</v>
      </c>
      <c r="B80" s="134">
        <v>13.74</v>
      </c>
      <c r="C80" s="134">
        <v>27.13</v>
      </c>
      <c r="D80" s="134">
        <v>26.54</v>
      </c>
      <c r="E80" s="134">
        <v>21.93</v>
      </c>
      <c r="F80" s="134">
        <v>12.66</v>
      </c>
      <c r="G80" s="134">
        <v>55.99</v>
      </c>
      <c r="H80" s="134">
        <v>19.47</v>
      </c>
      <c r="I80" s="134">
        <v>34.29</v>
      </c>
      <c r="J80" s="134">
        <v>0.17</v>
      </c>
      <c r="K80" s="134">
        <v>82.58</v>
      </c>
      <c r="L80" s="134">
        <v>31.75</v>
      </c>
      <c r="M80" s="134">
        <v>65.75</v>
      </c>
      <c r="N80" s="134">
        <v>13.2</v>
      </c>
      <c r="O80" s="134">
        <v>0</v>
      </c>
      <c r="P80" s="134">
        <v>0.61</v>
      </c>
      <c r="Q80" s="134">
        <v>4.5599999999999996</v>
      </c>
    </row>
    <row r="81" spans="1:17" customFormat="1">
      <c r="A81" s="112" t="s">
        <v>3190</v>
      </c>
      <c r="B81" s="134">
        <v>10.36</v>
      </c>
      <c r="C81" s="134">
        <v>25.59</v>
      </c>
      <c r="D81" s="134">
        <v>23.02</v>
      </c>
      <c r="E81" s="134">
        <v>11.3</v>
      </c>
      <c r="F81" s="134">
        <v>11.93</v>
      </c>
      <c r="G81" s="134">
        <v>56.01</v>
      </c>
      <c r="H81" s="134">
        <v>19.47</v>
      </c>
      <c r="I81" s="134">
        <v>32.409999999999997</v>
      </c>
      <c r="J81" s="134">
        <v>0.2</v>
      </c>
      <c r="K81" s="134">
        <v>48.42</v>
      </c>
      <c r="L81" s="134">
        <v>31.22</v>
      </c>
      <c r="M81" s="134">
        <v>65.95</v>
      </c>
      <c r="N81" s="134">
        <v>0</v>
      </c>
      <c r="O81" s="134">
        <v>0</v>
      </c>
      <c r="P81" s="134">
        <v>0.65</v>
      </c>
      <c r="Q81" s="134">
        <v>4.63</v>
      </c>
    </row>
    <row r="82" spans="1:17" customFormat="1">
      <c r="A82" s="112" t="s">
        <v>3191</v>
      </c>
      <c r="B82" s="134">
        <v>12.23</v>
      </c>
      <c r="C82" s="134">
        <v>26.6</v>
      </c>
      <c r="D82" s="134">
        <v>25.06</v>
      </c>
      <c r="E82" s="134">
        <v>12.83</v>
      </c>
      <c r="F82" s="134">
        <v>11.08</v>
      </c>
      <c r="G82" s="134">
        <v>56.01</v>
      </c>
      <c r="H82" s="134">
        <v>19.47</v>
      </c>
      <c r="I82" s="134">
        <v>31.46</v>
      </c>
      <c r="J82" s="134">
        <v>0.11</v>
      </c>
      <c r="K82" s="134">
        <v>68.319999999999993</v>
      </c>
      <c r="L82" s="134">
        <v>30.82</v>
      </c>
      <c r="M82" s="134">
        <v>69.11</v>
      </c>
      <c r="N82" s="134">
        <v>0</v>
      </c>
      <c r="O82" s="134">
        <v>0</v>
      </c>
      <c r="P82" s="134">
        <v>0.72</v>
      </c>
      <c r="Q82" s="134">
        <v>4.67</v>
      </c>
    </row>
    <row r="83" spans="1:17" customFormat="1">
      <c r="A83" s="112" t="s">
        <v>3192</v>
      </c>
      <c r="B83" s="134">
        <v>11.44</v>
      </c>
      <c r="C83" s="134">
        <v>25.39</v>
      </c>
      <c r="D83" s="134">
        <v>23.79</v>
      </c>
      <c r="E83" s="134">
        <v>11.98</v>
      </c>
      <c r="F83" s="134">
        <v>10.8</v>
      </c>
      <c r="G83" s="134">
        <v>56.01</v>
      </c>
      <c r="H83" s="134">
        <v>19.47</v>
      </c>
      <c r="I83" s="134">
        <v>31.09</v>
      </c>
      <c r="J83" s="134">
        <v>0.22</v>
      </c>
      <c r="K83" s="134">
        <v>50.92</v>
      </c>
      <c r="L83" s="134">
        <v>30.5</v>
      </c>
      <c r="M83" s="134">
        <v>70.27</v>
      </c>
      <c r="N83" s="134">
        <v>0</v>
      </c>
      <c r="O83" s="134">
        <v>0</v>
      </c>
      <c r="P83" s="134">
        <v>0.79</v>
      </c>
      <c r="Q83" s="134">
        <v>4.66</v>
      </c>
    </row>
    <row r="84" spans="1:17" customFormat="1">
      <c r="A84" s="112" t="s">
        <v>3193</v>
      </c>
      <c r="B84" s="134">
        <v>14.86</v>
      </c>
      <c r="C84" s="134">
        <v>28.18</v>
      </c>
      <c r="D84" s="134">
        <v>27.99</v>
      </c>
      <c r="E84" s="134">
        <v>11.07</v>
      </c>
      <c r="F84" s="134">
        <v>9.6999999999999993</v>
      </c>
      <c r="G84" s="134">
        <v>60.52</v>
      </c>
      <c r="H84" s="134">
        <v>20.239999999999998</v>
      </c>
      <c r="I84" s="134">
        <v>29.85</v>
      </c>
      <c r="J84" s="134">
        <v>0.17</v>
      </c>
      <c r="K84" s="134">
        <v>70.05</v>
      </c>
      <c r="L84" s="134">
        <v>30.32</v>
      </c>
      <c r="M84" s="134">
        <v>73.489999999999995</v>
      </c>
      <c r="N84" s="134">
        <v>0</v>
      </c>
      <c r="O84" s="134">
        <v>0</v>
      </c>
      <c r="P84" s="134">
        <v>0.76</v>
      </c>
      <c r="Q84" s="134">
        <v>4.71</v>
      </c>
    </row>
    <row r="85" spans="1:17" customFormat="1">
      <c r="A85" s="112" t="s">
        <v>3194</v>
      </c>
      <c r="B85" s="134">
        <v>14.01</v>
      </c>
      <c r="C85" s="134">
        <v>26.55</v>
      </c>
      <c r="D85" s="134">
        <v>26.46</v>
      </c>
      <c r="E85" s="134">
        <v>10.73</v>
      </c>
      <c r="F85" s="134">
        <v>8.2799999999999994</v>
      </c>
      <c r="G85" s="134">
        <v>60.78</v>
      </c>
      <c r="H85" s="134">
        <v>20.239999999999998</v>
      </c>
      <c r="I85" s="134">
        <v>28.54</v>
      </c>
      <c r="J85" s="134">
        <v>0.13</v>
      </c>
      <c r="K85" s="134">
        <v>63.29</v>
      </c>
      <c r="L85" s="134">
        <v>30.07</v>
      </c>
      <c r="M85" s="134">
        <v>74.39</v>
      </c>
      <c r="N85" s="134">
        <v>0</v>
      </c>
      <c r="O85" s="134">
        <v>0</v>
      </c>
      <c r="P85" s="134">
        <v>0.78</v>
      </c>
      <c r="Q85" s="134">
        <v>4.7300000000000004</v>
      </c>
    </row>
    <row r="86" spans="1:17" customFormat="1">
      <c r="A86" s="112" t="s">
        <v>3195</v>
      </c>
      <c r="B86" s="134">
        <v>11.94</v>
      </c>
      <c r="C86" s="134">
        <v>24.9</v>
      </c>
      <c r="D86" s="134">
        <v>23.94</v>
      </c>
      <c r="E86" s="134">
        <v>10.14</v>
      </c>
      <c r="F86" s="134">
        <v>8.64</v>
      </c>
      <c r="G86" s="134">
        <v>60.78</v>
      </c>
      <c r="H86" s="134">
        <v>20.239999999999998</v>
      </c>
      <c r="I86" s="134">
        <v>26.51</v>
      </c>
      <c r="J86" s="134">
        <v>0.1</v>
      </c>
      <c r="K86" s="134">
        <v>148.80000000000001</v>
      </c>
      <c r="L86" s="134">
        <v>29.62</v>
      </c>
      <c r="M86" s="134">
        <v>78.23</v>
      </c>
      <c r="N86" s="134">
        <v>0</v>
      </c>
      <c r="O86" s="134">
        <v>0</v>
      </c>
      <c r="P86" s="134">
        <v>0.73</v>
      </c>
      <c r="Q86" s="134">
        <v>4.74</v>
      </c>
    </row>
    <row r="87" spans="1:17" customFormat="1">
      <c r="A87" s="112" t="s">
        <v>3196</v>
      </c>
      <c r="B87" s="134">
        <v>11.93</v>
      </c>
      <c r="C87" s="134">
        <v>25.29</v>
      </c>
      <c r="D87" s="134">
        <v>24.13</v>
      </c>
      <c r="E87" s="134">
        <v>10.4</v>
      </c>
      <c r="F87" s="134">
        <v>6.75</v>
      </c>
      <c r="G87" s="134">
        <v>60.78</v>
      </c>
      <c r="H87" s="134">
        <v>20.239999999999998</v>
      </c>
      <c r="I87" s="134">
        <v>26.85</v>
      </c>
      <c r="J87" s="134">
        <v>0.06</v>
      </c>
      <c r="K87" s="134">
        <v>242.37</v>
      </c>
      <c r="L87" s="134">
        <v>29.39</v>
      </c>
      <c r="M87" s="134">
        <v>78.569999999999993</v>
      </c>
      <c r="N87" s="134">
        <v>0</v>
      </c>
      <c r="O87" s="134">
        <v>0</v>
      </c>
      <c r="P87" s="134">
        <v>0.77</v>
      </c>
      <c r="Q87" s="134">
        <v>4.78</v>
      </c>
    </row>
    <row r="88" spans="1:17" customFormat="1">
      <c r="A88" s="112" t="s">
        <v>3197</v>
      </c>
      <c r="B88" s="134">
        <v>11.86</v>
      </c>
      <c r="C88" s="134">
        <v>24.85</v>
      </c>
      <c r="D88" s="134">
        <v>23.85</v>
      </c>
      <c r="E88" s="134">
        <v>10.83</v>
      </c>
      <c r="F88" s="134">
        <v>6.92</v>
      </c>
      <c r="G88" s="134">
        <v>64.930000000000007</v>
      </c>
      <c r="H88" s="134">
        <v>19.66</v>
      </c>
      <c r="I88" s="134">
        <v>26.51</v>
      </c>
      <c r="J88" s="134">
        <v>0.26</v>
      </c>
      <c r="K88" s="134">
        <v>173.85</v>
      </c>
      <c r="L88" s="134">
        <v>29.3</v>
      </c>
      <c r="M88" s="134">
        <v>82.28</v>
      </c>
      <c r="N88" s="134">
        <v>0</v>
      </c>
      <c r="O88" s="134">
        <v>0</v>
      </c>
      <c r="P88" s="134">
        <v>0.75</v>
      </c>
      <c r="Q88" s="134">
        <v>4.8600000000000003</v>
      </c>
    </row>
    <row r="89" spans="1:17" customFormat="1">
      <c r="A89" s="112" t="s">
        <v>3198</v>
      </c>
      <c r="B89" s="134">
        <v>10.039999999999999</v>
      </c>
      <c r="C89" s="134">
        <v>19.13</v>
      </c>
      <c r="D89" s="134">
        <v>19.399999999999999</v>
      </c>
      <c r="E89" s="134">
        <v>9.81</v>
      </c>
      <c r="F89" s="134">
        <v>8.76</v>
      </c>
      <c r="G89" s="134">
        <v>65.17</v>
      </c>
      <c r="H89" s="134">
        <v>19.66</v>
      </c>
      <c r="I89" s="134">
        <v>27.74</v>
      </c>
      <c r="J89" s="134">
        <v>0.28999999999999998</v>
      </c>
      <c r="K89" s="134">
        <v>184.18</v>
      </c>
      <c r="L89" s="134">
        <v>28.69</v>
      </c>
      <c r="M89" s="134">
        <v>88.58</v>
      </c>
      <c r="N89" s="134">
        <v>0</v>
      </c>
      <c r="O89" s="134">
        <v>0</v>
      </c>
      <c r="P89" s="134">
        <v>0.67</v>
      </c>
      <c r="Q89" s="134">
        <v>4.82</v>
      </c>
    </row>
    <row r="90" spans="1:17" customFormat="1">
      <c r="A90" s="112" t="s">
        <v>3199</v>
      </c>
      <c r="B90" s="134">
        <v>10.029999999999999</v>
      </c>
      <c r="C90" s="134">
        <v>17.62</v>
      </c>
      <c r="D90" s="134">
        <v>18.600000000000001</v>
      </c>
      <c r="E90" s="134">
        <v>9.8800000000000008</v>
      </c>
      <c r="F90" s="134">
        <v>9.6999999999999993</v>
      </c>
      <c r="G90" s="134">
        <v>65.17</v>
      </c>
      <c r="H90" s="134">
        <v>19.66</v>
      </c>
      <c r="I90" s="134">
        <v>25.95</v>
      </c>
      <c r="J90" s="134">
        <v>0.28000000000000003</v>
      </c>
      <c r="K90" s="134">
        <v>176.63</v>
      </c>
      <c r="L90" s="134">
        <v>28.74</v>
      </c>
      <c r="M90" s="134">
        <v>85.99</v>
      </c>
      <c r="N90" s="134">
        <v>0</v>
      </c>
      <c r="O90" s="134">
        <v>0</v>
      </c>
      <c r="P90" s="134">
        <v>0.68</v>
      </c>
      <c r="Q90" s="134">
        <v>4.7699999999999996</v>
      </c>
    </row>
    <row r="91" spans="1:17" customFormat="1">
      <c r="A91" s="112" t="s">
        <v>3200</v>
      </c>
      <c r="B91" s="134">
        <v>10.32</v>
      </c>
      <c r="C91" s="134">
        <v>18.34</v>
      </c>
      <c r="D91" s="134">
        <v>19.21</v>
      </c>
      <c r="E91" s="134">
        <v>10.19</v>
      </c>
      <c r="F91" s="134">
        <v>9.44</v>
      </c>
      <c r="G91" s="134">
        <v>65.17</v>
      </c>
      <c r="H91" s="134">
        <v>19.66</v>
      </c>
      <c r="I91" s="134">
        <v>25.4</v>
      </c>
      <c r="J91" s="134">
        <v>0.11</v>
      </c>
      <c r="K91" s="134">
        <v>204.09</v>
      </c>
      <c r="L91" s="134">
        <v>28.32</v>
      </c>
      <c r="M91" s="134">
        <v>86.45</v>
      </c>
      <c r="N91" s="134">
        <v>0</v>
      </c>
      <c r="O91" s="134">
        <v>0</v>
      </c>
      <c r="P91" s="134">
        <v>0.68</v>
      </c>
      <c r="Q91" s="134">
        <v>4.78</v>
      </c>
    </row>
    <row r="92" spans="1:17" customFormat="1">
      <c r="A92" s="112" t="s">
        <v>3201</v>
      </c>
      <c r="B92" s="134">
        <v>9.9499999999999993</v>
      </c>
      <c r="C92" s="134">
        <v>17.329999999999998</v>
      </c>
      <c r="D92" s="134">
        <v>18.38</v>
      </c>
      <c r="E92" s="134">
        <v>9.7100000000000009</v>
      </c>
      <c r="F92" s="134">
        <v>10.49</v>
      </c>
      <c r="G92" s="134">
        <v>56.51</v>
      </c>
      <c r="H92" s="134">
        <v>17.03</v>
      </c>
      <c r="I92" s="134">
        <v>25.65</v>
      </c>
      <c r="J92" s="134">
        <v>0.12</v>
      </c>
      <c r="K92" s="134">
        <v>205.89</v>
      </c>
      <c r="L92" s="134">
        <v>28.17</v>
      </c>
      <c r="M92" s="134">
        <v>86.4</v>
      </c>
      <c r="N92" s="134">
        <v>0</v>
      </c>
      <c r="O92" s="134">
        <v>0</v>
      </c>
      <c r="P92" s="134">
        <v>0.68</v>
      </c>
      <c r="Q92" s="134">
        <v>4.79</v>
      </c>
    </row>
    <row r="93" spans="1:17" customFormat="1">
      <c r="A93" s="112" t="s">
        <v>3202</v>
      </c>
      <c r="B93" s="134">
        <v>9.7200000000000006</v>
      </c>
      <c r="C93" s="134">
        <v>16.27</v>
      </c>
      <c r="D93" s="134">
        <v>17.649999999999999</v>
      </c>
      <c r="E93" s="134">
        <v>9.4700000000000006</v>
      </c>
      <c r="F93" s="134">
        <v>11.04</v>
      </c>
      <c r="G93" s="134">
        <v>56</v>
      </c>
      <c r="H93" s="134">
        <v>17.03</v>
      </c>
      <c r="I93" s="134">
        <v>26.09</v>
      </c>
      <c r="J93" s="134">
        <v>0.14000000000000001</v>
      </c>
      <c r="K93" s="134">
        <v>155.77000000000001</v>
      </c>
      <c r="L93" s="134">
        <v>28.28</v>
      </c>
      <c r="M93" s="134">
        <v>87.42</v>
      </c>
      <c r="N93" s="134">
        <v>0</v>
      </c>
      <c r="O93" s="134">
        <v>0</v>
      </c>
      <c r="P93" s="134">
        <v>0.66</v>
      </c>
      <c r="Q93" s="134">
        <v>4.72</v>
      </c>
    </row>
    <row r="94" spans="1:17" customFormat="1">
      <c r="A94" s="112" t="s">
        <v>3203</v>
      </c>
      <c r="B94" s="134">
        <v>9.51</v>
      </c>
      <c r="C94" s="134">
        <v>15.83</v>
      </c>
      <c r="D94" s="134">
        <v>17.25</v>
      </c>
      <c r="E94" s="134">
        <v>9.39</v>
      </c>
      <c r="F94" s="134">
        <v>10.74</v>
      </c>
      <c r="G94" s="134">
        <v>56</v>
      </c>
      <c r="H94" s="134">
        <v>17.03</v>
      </c>
      <c r="I94" s="134">
        <v>23.97</v>
      </c>
      <c r="J94" s="134">
        <v>0.12</v>
      </c>
      <c r="K94" s="134">
        <v>185.38</v>
      </c>
      <c r="L94" s="134">
        <v>28.17</v>
      </c>
      <c r="M94" s="134">
        <v>88.32</v>
      </c>
      <c r="N94" s="134">
        <v>0</v>
      </c>
      <c r="O94" s="134">
        <v>0</v>
      </c>
      <c r="P94" s="134">
        <v>0.66</v>
      </c>
      <c r="Q94" s="134">
        <v>4.6900000000000004</v>
      </c>
    </row>
    <row r="95" spans="1:17" customFormat="1">
      <c r="A95" s="112" t="s">
        <v>3204</v>
      </c>
      <c r="B95" s="134">
        <v>9.4499999999999993</v>
      </c>
      <c r="C95" s="134">
        <v>15.28</v>
      </c>
      <c r="D95" s="134">
        <v>16.91</v>
      </c>
      <c r="E95" s="134">
        <v>9.06</v>
      </c>
      <c r="F95" s="134">
        <v>10.3</v>
      </c>
      <c r="G95" s="134">
        <v>56</v>
      </c>
      <c r="H95" s="134">
        <v>17.03</v>
      </c>
      <c r="I95" s="134">
        <v>22.86</v>
      </c>
      <c r="J95" s="134">
        <v>0.14000000000000001</v>
      </c>
      <c r="K95" s="134">
        <v>181.79</v>
      </c>
      <c r="L95" s="134">
        <v>28.02</v>
      </c>
      <c r="M95" s="134">
        <v>90.53</v>
      </c>
      <c r="N95" s="134">
        <v>0</v>
      </c>
      <c r="O95" s="134">
        <v>0</v>
      </c>
      <c r="P95" s="134">
        <v>0.67</v>
      </c>
      <c r="Q95" s="134">
        <v>4.68</v>
      </c>
    </row>
    <row r="96" spans="1:17" customFormat="1">
      <c r="A96" s="112" t="s">
        <v>3205</v>
      </c>
      <c r="B96" s="134">
        <v>9.3000000000000007</v>
      </c>
      <c r="C96" s="134">
        <v>14.45</v>
      </c>
      <c r="D96" s="134">
        <v>16.36</v>
      </c>
      <c r="E96" s="134">
        <v>8.98</v>
      </c>
      <c r="F96" s="134">
        <v>9.76</v>
      </c>
      <c r="G96" s="134">
        <v>54.79</v>
      </c>
      <c r="H96" s="134">
        <v>19.32</v>
      </c>
      <c r="I96" s="134">
        <v>22.29</v>
      </c>
      <c r="J96" s="134">
        <v>0.13</v>
      </c>
      <c r="K96" s="134">
        <v>183.55</v>
      </c>
      <c r="L96" s="134">
        <v>27.84</v>
      </c>
      <c r="M96" s="134">
        <v>92.52</v>
      </c>
      <c r="N96" s="134">
        <v>0</v>
      </c>
      <c r="O96" s="134">
        <v>0</v>
      </c>
      <c r="P96" s="134">
        <v>0.67</v>
      </c>
      <c r="Q96" s="134">
        <v>4.68</v>
      </c>
    </row>
    <row r="97" spans="1:22" customFormat="1">
      <c r="A97" s="112" t="s">
        <v>3206</v>
      </c>
      <c r="B97" s="134">
        <v>9.2799999999999994</v>
      </c>
      <c r="C97" s="134">
        <v>14.75</v>
      </c>
      <c r="D97" s="134">
        <v>16.5</v>
      </c>
      <c r="E97" s="134">
        <v>8.6199999999999992</v>
      </c>
      <c r="F97" s="134">
        <v>8.2100000000000009</v>
      </c>
      <c r="G97" s="134">
        <v>54.74</v>
      </c>
      <c r="H97" s="134">
        <v>19.32</v>
      </c>
      <c r="I97" s="134">
        <v>21.42</v>
      </c>
      <c r="J97" s="134">
        <v>0.14000000000000001</v>
      </c>
      <c r="K97" s="134">
        <v>217.69</v>
      </c>
      <c r="L97" s="134">
        <v>27.74</v>
      </c>
      <c r="M97" s="134">
        <v>93.4</v>
      </c>
      <c r="N97" s="134">
        <v>0</v>
      </c>
      <c r="O97" s="134">
        <v>0</v>
      </c>
      <c r="P97" s="134">
        <v>0.68</v>
      </c>
      <c r="Q97" s="134">
        <v>4.67</v>
      </c>
    </row>
    <row r="98" spans="1:22" customFormat="1">
      <c r="A98" s="112" t="s">
        <v>3207</v>
      </c>
      <c r="B98" s="134">
        <v>9.17</v>
      </c>
      <c r="C98" s="134">
        <v>14.84</v>
      </c>
      <c r="D98" s="134">
        <v>16.46</v>
      </c>
      <c r="E98" s="134">
        <v>8.5500000000000007</v>
      </c>
      <c r="F98" s="134">
        <v>7.95</v>
      </c>
      <c r="G98" s="134">
        <v>54.74</v>
      </c>
      <c r="H98" s="134">
        <v>19.32</v>
      </c>
      <c r="I98" s="134">
        <v>20.27</v>
      </c>
      <c r="J98" s="134">
        <v>0.14000000000000001</v>
      </c>
      <c r="K98" s="134">
        <v>167.27</v>
      </c>
      <c r="L98" s="134">
        <v>27.82</v>
      </c>
      <c r="M98" s="134">
        <v>93.99</v>
      </c>
      <c r="N98" s="134">
        <v>0</v>
      </c>
      <c r="O98" s="134">
        <v>0</v>
      </c>
      <c r="P98" s="134">
        <v>0.7</v>
      </c>
      <c r="Q98" s="134">
        <v>4.62</v>
      </c>
    </row>
    <row r="99" spans="1:22" customFormat="1">
      <c r="A99" s="112" t="s">
        <v>3208</v>
      </c>
      <c r="B99" s="134">
        <v>9.69</v>
      </c>
      <c r="C99" s="134">
        <v>16.16</v>
      </c>
      <c r="D99" s="134">
        <v>17.559999999999999</v>
      </c>
      <c r="E99" s="134">
        <v>9.11</v>
      </c>
      <c r="F99" s="134">
        <v>6.29</v>
      </c>
      <c r="G99" s="134">
        <v>54.74</v>
      </c>
      <c r="H99" s="134">
        <v>19.32</v>
      </c>
      <c r="I99" s="134">
        <v>20</v>
      </c>
      <c r="J99" s="134">
        <v>0.1</v>
      </c>
      <c r="K99" s="134">
        <v>210.59</v>
      </c>
      <c r="L99" s="134">
        <v>27.7</v>
      </c>
      <c r="M99" s="134">
        <v>95.39</v>
      </c>
      <c r="N99" s="134">
        <v>0</v>
      </c>
      <c r="O99" s="134">
        <v>0</v>
      </c>
      <c r="P99" s="134">
        <v>0.73</v>
      </c>
      <c r="Q99" s="134">
        <v>4.66</v>
      </c>
    </row>
    <row r="100" spans="1:22" customFormat="1">
      <c r="A100" s="112" t="s">
        <v>3209</v>
      </c>
      <c r="B100" s="134">
        <v>9.93</v>
      </c>
      <c r="C100" s="134">
        <v>17.28</v>
      </c>
      <c r="D100" s="134">
        <v>18.34</v>
      </c>
      <c r="E100" s="134">
        <v>8.75</v>
      </c>
      <c r="F100" s="134">
        <v>5.34</v>
      </c>
      <c r="G100" s="134">
        <v>56.7</v>
      </c>
      <c r="H100" s="134">
        <v>16.39</v>
      </c>
      <c r="I100" s="134">
        <v>19.87</v>
      </c>
      <c r="J100" s="134">
        <v>0.09</v>
      </c>
      <c r="K100" s="134">
        <v>177.76</v>
      </c>
      <c r="L100" s="134">
        <v>27.77</v>
      </c>
      <c r="M100" s="134">
        <v>95.26</v>
      </c>
      <c r="N100" s="134">
        <v>0</v>
      </c>
      <c r="O100" s="134">
        <v>0</v>
      </c>
      <c r="P100" s="134">
        <v>0.77</v>
      </c>
      <c r="Q100" s="134">
        <v>4.74</v>
      </c>
    </row>
    <row r="101" spans="1:22" customFormat="1">
      <c r="A101" s="112" t="s">
        <v>3210</v>
      </c>
      <c r="B101" s="134">
        <v>10.06</v>
      </c>
      <c r="C101" s="134">
        <v>16.010000000000002</v>
      </c>
      <c r="D101" s="134">
        <v>17.78</v>
      </c>
      <c r="E101" s="134">
        <v>8.56</v>
      </c>
      <c r="F101" s="134">
        <v>5.18</v>
      </c>
      <c r="G101" s="134">
        <v>56.81</v>
      </c>
      <c r="H101" s="134">
        <v>16.39</v>
      </c>
      <c r="I101" s="134">
        <v>20.71</v>
      </c>
      <c r="J101" s="134">
        <v>0.15</v>
      </c>
      <c r="K101" s="134">
        <v>214.97</v>
      </c>
      <c r="L101" s="134">
        <v>27.64</v>
      </c>
      <c r="M101" s="134">
        <v>97.43</v>
      </c>
      <c r="N101" s="134">
        <v>0</v>
      </c>
      <c r="O101" s="134">
        <v>0</v>
      </c>
      <c r="P101" s="134">
        <v>0.75</v>
      </c>
      <c r="Q101" s="134">
        <v>4.71</v>
      </c>
    </row>
    <row r="102" spans="1:22" customFormat="1">
      <c r="A102" s="112" t="s">
        <v>3211</v>
      </c>
      <c r="B102" s="134">
        <v>9.94</v>
      </c>
      <c r="C102" s="134">
        <v>15.48</v>
      </c>
      <c r="D102" s="134">
        <v>17.41</v>
      </c>
      <c r="E102" s="134">
        <v>8.48</v>
      </c>
      <c r="F102" s="134">
        <v>5.41</v>
      </c>
      <c r="G102" s="134">
        <v>56.81</v>
      </c>
      <c r="H102" s="134">
        <v>16.39</v>
      </c>
      <c r="I102" s="134">
        <v>20.079999999999998</v>
      </c>
      <c r="J102" s="134">
        <v>0.09</v>
      </c>
      <c r="K102" s="134">
        <v>214.53</v>
      </c>
      <c r="L102" s="134">
        <v>27.56</v>
      </c>
      <c r="M102" s="134">
        <v>97.26</v>
      </c>
      <c r="N102" s="134">
        <v>0</v>
      </c>
      <c r="O102" s="134">
        <v>0</v>
      </c>
      <c r="P102" s="134">
        <v>0.78</v>
      </c>
      <c r="Q102" s="134">
        <v>4.66</v>
      </c>
    </row>
    <row r="103" spans="1:22" customFormat="1">
      <c r="A103" s="112" t="s">
        <v>3212</v>
      </c>
      <c r="B103" s="134">
        <v>9.74</v>
      </c>
      <c r="C103" s="134">
        <v>15.6</v>
      </c>
      <c r="D103" s="134">
        <v>17.309999999999999</v>
      </c>
      <c r="E103" s="134">
        <v>7.81</v>
      </c>
      <c r="F103" s="134">
        <v>5.43</v>
      </c>
      <c r="G103" s="134">
        <v>56.81</v>
      </c>
      <c r="H103" s="134">
        <v>16.39</v>
      </c>
      <c r="I103" s="134">
        <v>19.36</v>
      </c>
      <c r="J103" s="134">
        <v>0.12</v>
      </c>
      <c r="K103" s="134">
        <v>185.23</v>
      </c>
      <c r="L103" s="134">
        <v>27.65</v>
      </c>
      <c r="M103" s="134">
        <v>96.19</v>
      </c>
      <c r="N103" s="134">
        <v>0</v>
      </c>
      <c r="O103" s="134">
        <v>0</v>
      </c>
      <c r="P103" s="134">
        <v>0.78</v>
      </c>
      <c r="Q103" s="134">
        <v>4.6500000000000004</v>
      </c>
    </row>
    <row r="104" spans="1:22" customFormat="1">
      <c r="A104" s="112" t="s">
        <v>3213</v>
      </c>
      <c r="B104" s="134">
        <v>9.51</v>
      </c>
      <c r="C104" s="134">
        <v>15.14</v>
      </c>
      <c r="D104" s="134">
        <v>16.89</v>
      </c>
      <c r="E104" s="134">
        <v>7.98</v>
      </c>
      <c r="F104" s="134">
        <v>5.29</v>
      </c>
      <c r="G104" s="134">
        <v>55.29</v>
      </c>
      <c r="H104" s="134">
        <v>17.87</v>
      </c>
      <c r="I104" s="134">
        <v>18.440000000000001</v>
      </c>
      <c r="J104" s="134">
        <v>0.13</v>
      </c>
      <c r="K104" s="134">
        <v>231.42</v>
      </c>
      <c r="L104" s="134">
        <v>27.5</v>
      </c>
      <c r="M104" s="134">
        <v>97</v>
      </c>
      <c r="N104" s="134">
        <v>0</v>
      </c>
      <c r="O104" s="134">
        <v>0</v>
      </c>
      <c r="P104" s="134">
        <v>0.76</v>
      </c>
      <c r="Q104" s="134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2.41</v>
      </c>
      <c r="C106" s="183">
        <f>MIN(C9:C104)</f>
        <v>14.45</v>
      </c>
      <c r="D106" s="183">
        <f t="shared" ref="D106:Q106" si="0">MIN(D9:D104)</f>
        <v>14.61</v>
      </c>
      <c r="E106" s="183">
        <f t="shared" si="0"/>
        <v>2.84</v>
      </c>
      <c r="F106" s="183">
        <f t="shared" si="0"/>
        <v>1.64</v>
      </c>
      <c r="G106" s="183">
        <f t="shared" si="0"/>
        <v>21.71</v>
      </c>
      <c r="H106" s="183">
        <f t="shared" si="0"/>
        <v>10.039999999999999</v>
      </c>
      <c r="I106" s="183">
        <f t="shared" si="0"/>
        <v>6.29</v>
      </c>
      <c r="J106" s="183">
        <f t="shared" si="0"/>
        <v>0.05</v>
      </c>
      <c r="K106" s="183">
        <f t="shared" si="0"/>
        <v>12.13</v>
      </c>
      <c r="L106" s="183">
        <f t="shared" si="0"/>
        <v>24.54</v>
      </c>
      <c r="M106" s="183">
        <f t="shared" si="0"/>
        <v>55.35</v>
      </c>
      <c r="N106" s="183">
        <f t="shared" si="0"/>
        <v>0</v>
      </c>
      <c r="O106" s="183">
        <f t="shared" si="0"/>
        <v>0</v>
      </c>
      <c r="P106" s="183">
        <f t="shared" si="0"/>
        <v>0.05</v>
      </c>
      <c r="Q106" s="183">
        <f t="shared" si="0"/>
        <v>4.29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20.43</v>
      </c>
      <c r="C107" s="184">
        <f t="shared" ref="C107:Q107" si="1">MAX(C9:C104)</f>
        <v>28.24</v>
      </c>
      <c r="D107" s="184">
        <f t="shared" si="1"/>
        <v>28.52</v>
      </c>
      <c r="E107" s="184">
        <f t="shared" si="1"/>
        <v>34.71</v>
      </c>
      <c r="F107" s="184">
        <f t="shared" si="1"/>
        <v>17.940000000000001</v>
      </c>
      <c r="G107" s="184">
        <f t="shared" si="1"/>
        <v>66.36</v>
      </c>
      <c r="H107" s="184">
        <f t="shared" si="1"/>
        <v>23.46</v>
      </c>
      <c r="I107" s="184">
        <f t="shared" si="1"/>
        <v>162.06</v>
      </c>
      <c r="J107" s="184">
        <f t="shared" si="1"/>
        <v>0.8</v>
      </c>
      <c r="K107" s="184">
        <f t="shared" si="1"/>
        <v>290.76</v>
      </c>
      <c r="L107" s="184">
        <f t="shared" si="1"/>
        <v>34.1</v>
      </c>
      <c r="M107" s="184">
        <f t="shared" si="1"/>
        <v>102.86</v>
      </c>
      <c r="N107" s="184">
        <f t="shared" si="1"/>
        <v>843.1</v>
      </c>
      <c r="O107" s="184">
        <f t="shared" si="1"/>
        <v>0</v>
      </c>
      <c r="P107" s="184">
        <f t="shared" si="1"/>
        <v>0.8</v>
      </c>
      <c r="Q107" s="184">
        <f t="shared" si="1"/>
        <v>5.35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13.528837209302328</v>
      </c>
      <c r="C108" s="183">
        <f t="shared" ref="C108:Q108" si="2">AVERAGE(C9:C104)</f>
        <v>20.043488372093019</v>
      </c>
      <c r="D108" s="183">
        <f t="shared" si="2"/>
        <v>22.667558139534886</v>
      </c>
      <c r="E108" s="183">
        <f t="shared" si="2"/>
        <v>11.450465116279069</v>
      </c>
      <c r="F108" s="183">
        <f t="shared" si="2"/>
        <v>6.6182608695652165</v>
      </c>
      <c r="G108" s="183">
        <f t="shared" si="2"/>
        <v>48.303020833333335</v>
      </c>
      <c r="H108" s="183">
        <f t="shared" si="2"/>
        <v>16.49677083333334</v>
      </c>
      <c r="I108" s="183">
        <f t="shared" si="2"/>
        <v>30.887083333333333</v>
      </c>
      <c r="J108" s="183">
        <f t="shared" si="2"/>
        <v>0.26979166666666676</v>
      </c>
      <c r="K108" s="183">
        <f t="shared" si="2"/>
        <v>129.35614583333333</v>
      </c>
      <c r="L108" s="183">
        <f t="shared" si="2"/>
        <v>29.036666666666672</v>
      </c>
      <c r="M108" s="183">
        <f t="shared" si="2"/>
        <v>81.102916666666658</v>
      </c>
      <c r="N108" s="183">
        <f t="shared" si="2"/>
        <v>193.98541666666668</v>
      </c>
      <c r="O108" s="183">
        <f t="shared" si="2"/>
        <v>0</v>
      </c>
      <c r="P108" s="183">
        <f t="shared" si="2"/>
        <v>0.69242105263157916</v>
      </c>
      <c r="Q108" s="183">
        <f t="shared" si="2"/>
        <v>4.9066666666666672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5.4810892903219033</v>
      </c>
      <c r="C109" s="183">
        <f t="shared" ref="C109:Q109" si="3">STDEV(C9:C104)</f>
        <v>3.3391125159211117</v>
      </c>
      <c r="D109" s="183">
        <f t="shared" si="3"/>
        <v>4.4024009321242152</v>
      </c>
      <c r="E109" s="183">
        <f t="shared" si="3"/>
        <v>8.145049728223853</v>
      </c>
      <c r="F109" s="183">
        <f t="shared" si="3"/>
        <v>4.2739753244557255</v>
      </c>
      <c r="G109" s="183">
        <f t="shared" si="3"/>
        <v>13.744875877350506</v>
      </c>
      <c r="H109" s="183">
        <f t="shared" si="3"/>
        <v>3.5946871600333221</v>
      </c>
      <c r="I109" s="183">
        <f t="shared" si="3"/>
        <v>36.177379088586534</v>
      </c>
      <c r="J109" s="183">
        <f t="shared" si="3"/>
        <v>0.21933861909057745</v>
      </c>
      <c r="K109" s="183">
        <f t="shared" si="3"/>
        <v>78.100643697998137</v>
      </c>
      <c r="L109" s="183">
        <f t="shared" si="3"/>
        <v>3.3625975757053994</v>
      </c>
      <c r="M109" s="183">
        <f t="shared" si="3"/>
        <v>17.366247961077153</v>
      </c>
      <c r="N109" s="183">
        <f t="shared" si="3"/>
        <v>273.11572098333272</v>
      </c>
      <c r="O109" s="183">
        <f t="shared" si="3"/>
        <v>0</v>
      </c>
      <c r="P109" s="183">
        <f t="shared" si="3"/>
        <v>0.11077786657218262</v>
      </c>
      <c r="Q109" s="183">
        <f t="shared" si="3"/>
        <v>0.3279270351021219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5" zoomScaleNormal="85" workbookViewId="0">
      <pane xSplit="1" ySplit="8" topLeftCell="B9" activePane="bottomRight" state="frozen"/>
      <selection pane="topRight"/>
      <selection pane="bottomLeft"/>
      <selection pane="bottomRight" activeCell="N1" sqref="N1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 t="str">
        <f>$A$9</f>
        <v>01/08/2023 00:15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 t="str">
        <f>'01'!$B$2</f>
        <v>01/08/2023 00:15</v>
      </c>
      <c r="B9" s="95">
        <f>'01'!B108</f>
        <v>14.720104166666671</v>
      </c>
      <c r="C9" s="95">
        <f>'01'!C108</f>
        <v>19.036979166666665</v>
      </c>
      <c r="D9" s="95">
        <f>'01'!D108</f>
        <v>20.705937500000001</v>
      </c>
      <c r="E9" s="95" t="str">
        <f>'01'!E108</f>
        <v>Maint.</v>
      </c>
      <c r="F9" s="95">
        <f>'01'!F108</f>
        <v>3.9351041666666657</v>
      </c>
      <c r="G9" s="95">
        <f>'01'!G108</f>
        <v>24.144895833333333</v>
      </c>
      <c r="H9" s="95">
        <f>'01'!H108</f>
        <v>6.0163541666666633</v>
      </c>
      <c r="I9" s="95">
        <f>'01'!I108</f>
        <v>4.5641666666666678</v>
      </c>
      <c r="J9" s="95">
        <f>'01'!J108</f>
        <v>0.77406249999999976</v>
      </c>
      <c r="K9" s="95">
        <f>'01'!K108</f>
        <v>260.54156250000017</v>
      </c>
      <c r="L9" s="95">
        <f>'01'!L108</f>
        <v>27.157500000000002</v>
      </c>
      <c r="M9" s="95">
        <f>'01'!M108</f>
        <v>89.033750000000012</v>
      </c>
      <c r="N9" s="95">
        <f>'01'!N108</f>
        <v>52.579166666666673</v>
      </c>
      <c r="O9" s="95">
        <f>'01'!O108</f>
        <v>4.5833333333333337E-2</v>
      </c>
      <c r="P9" s="95">
        <f>'01'!P108</f>
        <v>0.43489583333333343</v>
      </c>
      <c r="Q9" s="95">
        <f>'01'!Q108</f>
        <v>3.750833333333333</v>
      </c>
      <c r="R9" s="160"/>
      <c r="S9" s="160"/>
      <c r="T9" s="160"/>
      <c r="U9" s="160"/>
    </row>
    <row r="10" spans="1:21">
      <c r="A10" s="157" t="str">
        <f>'02'!$B$2</f>
        <v>02/08/2023 00:15</v>
      </c>
      <c r="B10" s="95">
        <f>'02'!B108</f>
        <v>14.260208333333333</v>
      </c>
      <c r="C10" s="95">
        <f>'02'!C108</f>
        <v>20.998437500000001</v>
      </c>
      <c r="D10" s="95">
        <f>'02'!D108</f>
        <v>21.362187500000001</v>
      </c>
      <c r="E10" s="95">
        <f>'02'!E108</f>
        <v>7.0056521739130435</v>
      </c>
      <c r="F10" s="95">
        <f>'02'!F108</f>
        <v>2.5269791666666661</v>
      </c>
      <c r="G10" s="95">
        <f>'02'!G108</f>
        <v>15.211562500000001</v>
      </c>
      <c r="H10" s="95">
        <f>'02'!H108</f>
        <v>5.256249999999997</v>
      </c>
      <c r="I10" s="95">
        <f>'02'!I108</f>
        <v>5.6927083333333348</v>
      </c>
      <c r="J10" s="95">
        <f>'02'!J108</f>
        <v>1.1742708333333336</v>
      </c>
      <c r="K10" s="95">
        <f>'02'!K108</f>
        <v>263.27166666666653</v>
      </c>
      <c r="L10" s="95">
        <f>'02'!L108</f>
        <v>25.01947916666666</v>
      </c>
      <c r="M10" s="95">
        <f>'02'!M108</f>
        <v>95.75</v>
      </c>
      <c r="N10" s="95">
        <f>'02'!N108</f>
        <v>29.220833333333331</v>
      </c>
      <c r="O10" s="95">
        <f>'02'!O108</f>
        <v>0.4145833333333333</v>
      </c>
      <c r="P10" s="95">
        <f>'02'!P108</f>
        <v>0.52510416666666693</v>
      </c>
      <c r="Q10" s="95">
        <f>'02'!Q108</f>
        <v>3.5536458333333329</v>
      </c>
      <c r="R10" s="160"/>
      <c r="S10" s="160"/>
      <c r="T10" s="160"/>
      <c r="U10" s="160"/>
    </row>
    <row r="11" spans="1:21">
      <c r="A11" s="157" t="str">
        <f>'03'!$B$2</f>
        <v>03/08/2023 00:15</v>
      </c>
      <c r="B11" s="95">
        <f>'03'!B108</f>
        <v>12.383229166666666</v>
      </c>
      <c r="C11" s="95">
        <f>'03'!C108</f>
        <v>19.755520833333332</v>
      </c>
      <c r="D11" s="95">
        <f>'03'!D108</f>
        <v>19.20708333333334</v>
      </c>
      <c r="E11" s="95">
        <f>'03'!E108</f>
        <v>7.8148958333333356</v>
      </c>
      <c r="F11" s="95">
        <f>'03'!F108</f>
        <v>2.5765625000000001</v>
      </c>
      <c r="G11" s="95">
        <f>'03'!G108</f>
        <v>7.9949999999999974</v>
      </c>
      <c r="H11" s="95">
        <f>'03'!H108</f>
        <v>3.2987500000000005</v>
      </c>
      <c r="I11" s="95">
        <f>'03'!I108</f>
        <v>4.0185416666666658</v>
      </c>
      <c r="J11" s="95">
        <f>'03'!J108</f>
        <v>1.4623958333333331</v>
      </c>
      <c r="K11" s="95">
        <f>'03'!K108</f>
        <v>266.46843750000005</v>
      </c>
      <c r="L11" s="95">
        <f>'03'!L108</f>
        <v>24.748437499999998</v>
      </c>
      <c r="M11" s="95">
        <f>'03'!M108</f>
        <v>91.683854166666677</v>
      </c>
      <c r="N11" s="95">
        <f>'03'!N108</f>
        <v>49.695833333333326</v>
      </c>
      <c r="O11" s="95">
        <f>'03'!O108</f>
        <v>0.50416666666666698</v>
      </c>
      <c r="P11" s="95">
        <f>'03'!P108</f>
        <v>0.35718749999999999</v>
      </c>
      <c r="Q11" s="95">
        <f>'03'!Q108</f>
        <v>3.3264583333333331</v>
      </c>
      <c r="R11" s="160"/>
      <c r="S11" s="160"/>
      <c r="T11" s="160"/>
      <c r="U11" s="160"/>
    </row>
    <row r="12" spans="1:21">
      <c r="A12" s="157" t="str">
        <f>'04'!$B$2</f>
        <v>04/08/2023 00:15</v>
      </c>
      <c r="B12" s="95">
        <f>'04'!B108</f>
        <v>11.425208333333336</v>
      </c>
      <c r="C12" s="95">
        <f>'04'!C108</f>
        <v>19.973958333333339</v>
      </c>
      <c r="D12" s="95">
        <f>'04'!D108</f>
        <v>18.552916666666654</v>
      </c>
      <c r="E12" s="95">
        <f>'04'!E108</f>
        <v>6.9978125000000047</v>
      </c>
      <c r="F12" s="95">
        <f>'04'!F108</f>
        <v>2.5127083333333342</v>
      </c>
      <c r="G12" s="95">
        <f>'04'!G108</f>
        <v>9.473020833333333</v>
      </c>
      <c r="H12" s="95">
        <f>'04'!H108</f>
        <v>3.9097916666666666</v>
      </c>
      <c r="I12" s="95">
        <f>'04'!I108</f>
        <v>2.8513541666666655</v>
      </c>
      <c r="J12" s="95">
        <f>'04'!J108</f>
        <v>0.9260416666666661</v>
      </c>
      <c r="K12" s="95">
        <f>'04'!K108</f>
        <v>261.8860416666667</v>
      </c>
      <c r="L12" s="95">
        <f>'04'!L108</f>
        <v>24.285520833333337</v>
      </c>
      <c r="M12" s="95">
        <f>'04'!M108</f>
        <v>93.998125000000016</v>
      </c>
      <c r="N12" s="95">
        <f>'04'!N108</f>
        <v>51.230208333333344</v>
      </c>
      <c r="O12" s="95">
        <f>'04'!O108</f>
        <v>5.6250000000000022E-2</v>
      </c>
      <c r="P12" s="95">
        <f>'04'!P108</f>
        <v>0.31677083333333345</v>
      </c>
      <c r="Q12" s="95">
        <f>'04'!Q108</f>
        <v>3.3176041666666656</v>
      </c>
      <c r="R12" s="160"/>
      <c r="S12" s="160"/>
      <c r="T12" s="160"/>
      <c r="U12" s="160"/>
    </row>
    <row r="13" spans="1:21">
      <c r="A13" s="157" t="str">
        <f>'05'!$B$2</f>
        <v>05/08/2023 00:15</v>
      </c>
      <c r="B13" s="95">
        <f>'05'!B108</f>
        <v>12.46510416666667</v>
      </c>
      <c r="C13" s="95">
        <f>'05'!C108</f>
        <v>19.795624999999994</v>
      </c>
      <c r="D13" s="95">
        <f>'05'!D108</f>
        <v>19.294270833333336</v>
      </c>
      <c r="E13" s="95">
        <f>'05'!E108</f>
        <v>7.4792708333333344</v>
      </c>
      <c r="F13" s="95">
        <f>'05'!F108</f>
        <v>3.5052083333333335</v>
      </c>
      <c r="G13" s="95">
        <f>'05'!G108</f>
        <v>16.608437499999997</v>
      </c>
      <c r="H13" s="95">
        <f>'05'!H108</f>
        <v>5.3987499999999988</v>
      </c>
      <c r="I13" s="95">
        <f>'05'!I108</f>
        <v>3.2338541666666671</v>
      </c>
      <c r="J13" s="95">
        <f>'05'!J108</f>
        <v>0.73968749999999972</v>
      </c>
      <c r="K13" s="95">
        <f>'05'!K108</f>
        <v>260.48885416666673</v>
      </c>
      <c r="L13" s="95">
        <f>'05'!L108</f>
        <v>26.85229166666667</v>
      </c>
      <c r="M13" s="95">
        <f>'05'!M108</f>
        <v>85.488749999999982</v>
      </c>
      <c r="N13" s="95">
        <f>'05'!N108</f>
        <v>124.87812500000003</v>
      </c>
      <c r="O13" s="95">
        <f>'05'!O108</f>
        <v>0.1270833333333333</v>
      </c>
      <c r="P13" s="95">
        <f>'05'!P108</f>
        <v>0.38187499999999991</v>
      </c>
      <c r="Q13" s="95">
        <f>'05'!Q108</f>
        <v>3.4094736842105267</v>
      </c>
      <c r="R13" s="160"/>
      <c r="S13" s="160"/>
      <c r="T13" s="160"/>
      <c r="U13" s="160"/>
    </row>
    <row r="14" spans="1:21">
      <c r="A14" s="157" t="str">
        <f>'06'!$B$2</f>
        <v>06/08/2023 00:15</v>
      </c>
      <c r="B14" s="95">
        <f>'06'!B108</f>
        <v>11.811562500000001</v>
      </c>
      <c r="C14" s="95">
        <f>'06'!C108</f>
        <v>19.833958333333335</v>
      </c>
      <c r="D14" s="95">
        <f>'06'!D108</f>
        <v>18.789166666666663</v>
      </c>
      <c r="E14" s="95">
        <f>'06'!E108</f>
        <v>7.686041666666668</v>
      </c>
      <c r="F14" s="95">
        <f>'06'!F108</f>
        <v>3.6370833333333348</v>
      </c>
      <c r="G14" s="95">
        <f>'06'!G108</f>
        <v>18.110729166666669</v>
      </c>
      <c r="H14" s="95">
        <f>'06'!H108</f>
        <v>5.9417708333333286</v>
      </c>
      <c r="I14" s="95">
        <f>'06'!I108</f>
        <v>3.3496875000000004</v>
      </c>
      <c r="J14" s="95">
        <f>'06'!J108</f>
        <v>0.72989583333333341</v>
      </c>
      <c r="K14" s="95">
        <f>'06'!K108</f>
        <v>266.40874999999994</v>
      </c>
      <c r="L14" s="95">
        <f>'06'!L108</f>
        <v>27.059270833333333</v>
      </c>
      <c r="M14" s="95">
        <f>'06'!M108</f>
        <v>86.680208333333368</v>
      </c>
      <c r="N14" s="95">
        <f>'06'!N108</f>
        <v>112.57187500000003</v>
      </c>
      <c r="O14" s="95">
        <f>'06'!O108</f>
        <v>5.6250000000000001E-2</v>
      </c>
      <c r="P14" s="95">
        <f>'06'!P108</f>
        <v>0.41531250000000014</v>
      </c>
      <c r="Q14" s="95">
        <f>'06'!Q108</f>
        <v>3.2688541666666655</v>
      </c>
      <c r="R14" s="160"/>
      <c r="S14" s="160"/>
      <c r="T14" s="160"/>
      <c r="U14" s="160"/>
    </row>
    <row r="15" spans="1:21">
      <c r="A15" s="157" t="str">
        <f>'07'!$B$2</f>
        <v>07/08/2023 00:15</v>
      </c>
      <c r="B15" s="95">
        <f>'07'!B108</f>
        <v>9.799687500000001</v>
      </c>
      <c r="C15" s="95">
        <f>'07'!C108</f>
        <v>16.783750000000008</v>
      </c>
      <c r="D15" s="95">
        <f>'07'!D108</f>
        <v>15.583125000000004</v>
      </c>
      <c r="E15" s="95">
        <f>'07'!E108</f>
        <v>7.1031250000000021</v>
      </c>
      <c r="F15" s="95">
        <f>'07'!F108</f>
        <v>4.4197916666666659</v>
      </c>
      <c r="G15" s="95">
        <f>'07'!G108</f>
        <v>24.769895833333326</v>
      </c>
      <c r="H15" s="95">
        <f>'07'!H108</f>
        <v>6.2377083333333347</v>
      </c>
      <c r="I15" s="95">
        <f>'07'!I108</f>
        <v>36.665624999999999</v>
      </c>
      <c r="J15" s="95">
        <f>'07'!J108</f>
        <v>0.76500000000000012</v>
      </c>
      <c r="K15" s="95">
        <f>'07'!K108</f>
        <v>263.0281250000001</v>
      </c>
      <c r="L15" s="95">
        <f>'07'!L108</f>
        <v>27.021145833333325</v>
      </c>
      <c r="M15" s="95">
        <f>'07'!M108</f>
        <v>82.982500000000002</v>
      </c>
      <c r="N15" s="95">
        <f>'07'!N108</f>
        <v>105.77083333333336</v>
      </c>
      <c r="O15" s="95">
        <f>'07'!O108</f>
        <v>4.1666666666666666E-3</v>
      </c>
      <c r="P15" s="95">
        <f>'07'!P108</f>
        <v>0.39802083333333327</v>
      </c>
      <c r="Q15" s="95">
        <f>'07'!Q108</f>
        <v>3.2056818181818176</v>
      </c>
      <c r="R15" s="160"/>
      <c r="S15" s="160"/>
      <c r="T15" s="160"/>
      <c r="U15" s="160"/>
    </row>
    <row r="16" spans="1:21">
      <c r="A16" s="157" t="str">
        <f>'08'!$B$2</f>
        <v>08/08/2023 00:15</v>
      </c>
      <c r="B16" s="95">
        <f>'08'!B108</f>
        <v>8.9593749999999961</v>
      </c>
      <c r="C16" s="95">
        <f>'08'!C108</f>
        <v>17.545104166666672</v>
      </c>
      <c r="D16" s="95">
        <f>'08'!D108</f>
        <v>15.306041666666664</v>
      </c>
      <c r="E16" s="95">
        <f>'08'!E108</f>
        <v>6.9278124999999973</v>
      </c>
      <c r="F16" s="95">
        <f>'08'!F108</f>
        <v>3.8079166666666677</v>
      </c>
      <c r="G16" s="95">
        <f>'08'!G108</f>
        <v>28.494375000000016</v>
      </c>
      <c r="H16" s="95">
        <f>'08'!H108</f>
        <v>7.2047916666666616</v>
      </c>
      <c r="I16" s="95">
        <f>'08'!I108</f>
        <v>12.722500000000004</v>
      </c>
      <c r="J16" s="95">
        <f>'08'!J108</f>
        <v>0.6806249999999997</v>
      </c>
      <c r="K16" s="95">
        <f>'08'!K108</f>
        <v>265.31697916666661</v>
      </c>
      <c r="L16" s="95">
        <f>'08'!L108</f>
        <v>27.407916666666676</v>
      </c>
      <c r="M16" s="95">
        <f>'08'!M108</f>
        <v>79.620625000000004</v>
      </c>
      <c r="N16" s="95">
        <f>'08'!N108</f>
        <v>123.25104166666669</v>
      </c>
      <c r="O16" s="95">
        <f>'08'!O108</f>
        <v>0</v>
      </c>
      <c r="P16" s="95">
        <f>'08'!P108</f>
        <v>0.39937500000000009</v>
      </c>
      <c r="Q16" s="95">
        <f>'08'!Q108</f>
        <v>1.3480357142857144</v>
      </c>
      <c r="R16" s="160"/>
      <c r="S16" s="160"/>
      <c r="T16" s="160"/>
      <c r="U16" s="160"/>
    </row>
    <row r="17" spans="1:21">
      <c r="A17" s="157" t="str">
        <f>'09'!$B$2</f>
        <v>09/08/2023 00:15</v>
      </c>
      <c r="B17" s="95">
        <f>'09'!B108</f>
        <v>10.835624999999995</v>
      </c>
      <c r="C17" s="95">
        <f>'09'!C108</f>
        <v>18.583541666666665</v>
      </c>
      <c r="D17" s="95">
        <f>'09'!D108</f>
        <v>17.353333333333335</v>
      </c>
      <c r="E17" s="95">
        <f>'09'!E108</f>
        <v>6.6223958333333348</v>
      </c>
      <c r="F17" s="95">
        <f>'09'!F108</f>
        <v>4.4134375000000006</v>
      </c>
      <c r="G17" s="95">
        <f>'09'!G108</f>
        <v>31.277222222222214</v>
      </c>
      <c r="H17" s="95">
        <f>'09'!H108</f>
        <v>11.314000000000002</v>
      </c>
      <c r="I17" s="95">
        <f>'09'!I108</f>
        <v>4.0528124999999999</v>
      </c>
      <c r="J17" s="95">
        <f>'09'!J108</f>
        <v>0.53718750000000015</v>
      </c>
      <c r="K17" s="95">
        <f>'09'!K108</f>
        <v>240.69906250000005</v>
      </c>
      <c r="L17" s="95">
        <f>'09'!L108</f>
        <v>26.933125000000004</v>
      </c>
      <c r="M17" s="95">
        <f>'09'!M108</f>
        <v>84.574374999999961</v>
      </c>
      <c r="N17" s="95">
        <f>'09'!N108</f>
        <v>126.23645833333335</v>
      </c>
      <c r="O17" s="95">
        <f>'09'!O108</f>
        <v>0.14583333333333334</v>
      </c>
      <c r="P17" s="95">
        <f>'09'!P108</f>
        <v>0.45635416666666667</v>
      </c>
      <c r="Q17" s="95">
        <f>'09'!Q108</f>
        <v>2.6828421052631581</v>
      </c>
      <c r="R17" s="160"/>
      <c r="S17" s="160"/>
      <c r="T17" s="160"/>
      <c r="U17" s="160"/>
    </row>
    <row r="18" spans="1:21">
      <c r="A18" s="157" t="str">
        <f>'10'!$B$2</f>
        <v>10/08/2023 00:15</v>
      </c>
      <c r="B18" s="95">
        <f>'10'!B108</f>
        <v>13.645416666666664</v>
      </c>
      <c r="C18" s="95">
        <f>'10'!C108</f>
        <v>20.380312499999999</v>
      </c>
      <c r="D18" s="95">
        <f>'10'!D108</f>
        <v>20.545416666666679</v>
      </c>
      <c r="E18" s="95">
        <f>'10'!E108</f>
        <v>8.1247916666666669</v>
      </c>
      <c r="F18" s="95">
        <f>'10'!F108</f>
        <v>5.7142708333333312</v>
      </c>
      <c r="G18" s="95">
        <f>'10'!G108</f>
        <v>37.845520833333332</v>
      </c>
      <c r="H18" s="95">
        <f>'10'!H108</f>
        <v>9.5795833333333338</v>
      </c>
      <c r="I18" s="95">
        <f>'10'!I108</f>
        <v>3.6432291666666674</v>
      </c>
      <c r="J18" s="95">
        <f>'10'!J108</f>
        <v>0.40604166666666669</v>
      </c>
      <c r="K18" s="95">
        <f>'10'!K108</f>
        <v>269.27479166666654</v>
      </c>
      <c r="L18" s="95">
        <f>'10'!L108</f>
        <v>28.178229166666657</v>
      </c>
      <c r="M18" s="95">
        <f>'10'!M108</f>
        <v>79.935729166666661</v>
      </c>
      <c r="N18" s="95">
        <f>'10'!N108</f>
        <v>129.26562499999997</v>
      </c>
      <c r="O18" s="95">
        <f>'10'!O108</f>
        <v>2.0833333333333333E-3</v>
      </c>
      <c r="P18" s="95">
        <f>'10'!P108</f>
        <v>0.45427083333333362</v>
      </c>
      <c r="Q18" s="95">
        <f>'10'!Q108</f>
        <v>4.6328124999999982</v>
      </c>
      <c r="R18" s="160"/>
      <c r="S18" s="160"/>
      <c r="T18" s="160"/>
      <c r="U18" s="160"/>
    </row>
    <row r="19" spans="1:21">
      <c r="A19" s="157" t="str">
        <f>'11'!$B$2</f>
        <v>11/08/2023 00:15</v>
      </c>
      <c r="B19" s="95">
        <f>'11'!B108</f>
        <v>8.6449999999999996</v>
      </c>
      <c r="C19" s="95">
        <f>'11'!C108</f>
        <v>19.811041666666668</v>
      </c>
      <c r="D19" s="95">
        <f>'11'!D108</f>
        <v>16.238854166666673</v>
      </c>
      <c r="E19" s="95">
        <f>'11'!E108</f>
        <v>8.2640624999999996</v>
      </c>
      <c r="F19" s="95">
        <f>'11'!F108</f>
        <v>6.7693749999999993</v>
      </c>
      <c r="G19" s="95">
        <f>'11'!G108</f>
        <v>36.904270833333314</v>
      </c>
      <c r="H19" s="95">
        <f>'11'!H108</f>
        <v>9.8218750000000039</v>
      </c>
      <c r="I19" s="95">
        <f>'11'!I108</f>
        <v>3.6066666666666669</v>
      </c>
      <c r="J19" s="95">
        <f>'11'!J108</f>
        <v>0.48041666666666649</v>
      </c>
      <c r="K19" s="95">
        <f>'11'!K108</f>
        <v>260.9882291666666</v>
      </c>
      <c r="L19" s="95">
        <f>'11'!L108</f>
        <v>29.326979166666657</v>
      </c>
      <c r="M19" s="95">
        <f>'11'!M108</f>
        <v>73.609270833333355</v>
      </c>
      <c r="N19" s="95">
        <f>'11'!N108</f>
        <v>161.87500000000003</v>
      </c>
      <c r="O19" s="95">
        <f>'11'!O108</f>
        <v>0</v>
      </c>
      <c r="P19" s="95">
        <f>'11'!P108</f>
        <v>0.41687500000000005</v>
      </c>
      <c r="Q19" s="95">
        <f>'11'!Q108</f>
        <v>4.3603125</v>
      </c>
      <c r="R19" s="160"/>
      <c r="S19" s="160"/>
      <c r="T19" s="160"/>
      <c r="U19" s="160"/>
    </row>
    <row r="20" spans="1:21">
      <c r="A20" s="157" t="str">
        <f>'12'!$B$2</f>
        <v>12/08/2023 00:15</v>
      </c>
      <c r="B20" s="95">
        <f>'12'!B108</f>
        <v>8.4285416666666695</v>
      </c>
      <c r="C20" s="95">
        <f>'12'!C108</f>
        <v>20.629375</v>
      </c>
      <c r="D20" s="95">
        <f>'12'!D108</f>
        <v>16.49260416666667</v>
      </c>
      <c r="E20" s="95">
        <f>'12'!E108</f>
        <v>7.5615625</v>
      </c>
      <c r="F20" s="95">
        <f>'12'!F108</f>
        <v>6.3520833333333364</v>
      </c>
      <c r="G20" s="95">
        <f>'12'!G108</f>
        <v>34.970208333333346</v>
      </c>
      <c r="H20" s="95">
        <f>'12'!H108</f>
        <v>10.344374999999999</v>
      </c>
      <c r="I20" s="95">
        <f>'12'!I108</f>
        <v>3.5084375000000012</v>
      </c>
      <c r="J20" s="95">
        <f>'12'!J108</f>
        <v>0.64177083333333329</v>
      </c>
      <c r="K20" s="95">
        <f>'12'!K108</f>
        <v>270.60031250000003</v>
      </c>
      <c r="L20" s="95">
        <f>'12'!L108</f>
        <v>29.595000000000013</v>
      </c>
      <c r="M20" s="95">
        <f>'12'!M108</f>
        <v>70.695104166666695</v>
      </c>
      <c r="N20" s="95">
        <f>'12'!N108</f>
        <v>192.66458333333333</v>
      </c>
      <c r="O20" s="95">
        <f>'12'!O108</f>
        <v>0</v>
      </c>
      <c r="P20" s="95">
        <f>'12'!P108</f>
        <v>0.42760416666666673</v>
      </c>
      <c r="Q20" s="95">
        <f>'12'!Q108</f>
        <v>4.2947916666666677</v>
      </c>
      <c r="R20" s="160"/>
      <c r="S20" s="160"/>
      <c r="T20" s="160"/>
      <c r="U20" s="160"/>
    </row>
    <row r="21" spans="1:21" s="142" customFormat="1">
      <c r="A21" s="157" t="str">
        <f>'13'!$B$2</f>
        <v>13/08/2023 00:15</v>
      </c>
      <c r="B21" s="158">
        <f>'13'!B108</f>
        <v>8.4954166666666726</v>
      </c>
      <c r="C21" s="158">
        <f>'13'!C108</f>
        <v>20.4653125</v>
      </c>
      <c r="D21" s="158">
        <f>'13'!D108</f>
        <v>16.46020833333333</v>
      </c>
      <c r="E21" s="158">
        <f>'13'!E108</f>
        <v>7.641874999999998</v>
      </c>
      <c r="F21" s="158">
        <f>'13'!F108</f>
        <v>5.9057291666666663</v>
      </c>
      <c r="G21" s="158">
        <f>'13'!G108</f>
        <v>30.34822916666667</v>
      </c>
      <c r="H21" s="158">
        <f>'13'!H108</f>
        <v>8.7567708333333325</v>
      </c>
      <c r="I21" s="158">
        <f>'13'!I108</f>
        <v>3.8133333333333321</v>
      </c>
      <c r="J21" s="158">
        <f>'13'!J108</f>
        <v>0.48833333333333334</v>
      </c>
      <c r="K21" s="158">
        <f>'13'!K108</f>
        <v>256.99010416666664</v>
      </c>
      <c r="L21" s="158">
        <f>'13'!L108</f>
        <v>29.04302083333333</v>
      </c>
      <c r="M21" s="158">
        <f>'13'!M108</f>
        <v>73.572395833333317</v>
      </c>
      <c r="N21" s="158">
        <f>'13'!N108</f>
        <v>150.14999999999998</v>
      </c>
      <c r="O21" s="158">
        <f>'13'!O108</f>
        <v>0</v>
      </c>
      <c r="P21" s="158">
        <f>'13'!P108</f>
        <v>0.43562500000000032</v>
      </c>
      <c r="Q21" s="158">
        <f>'13'!Q108</f>
        <v>4.315104166666667</v>
      </c>
      <c r="R21" s="176"/>
      <c r="S21" s="176"/>
      <c r="T21" s="176"/>
      <c r="U21" s="176"/>
    </row>
    <row r="22" spans="1:21" s="142" customFormat="1">
      <c r="A22" s="157" t="str">
        <f>'14'!$B$2</f>
        <v>14/08/2023 00:15</v>
      </c>
      <c r="B22" s="159">
        <f>'14'!B108</f>
        <v>12.566145833333342</v>
      </c>
      <c r="C22" s="159">
        <f>'14'!C108</f>
        <v>21.863854166666666</v>
      </c>
      <c r="D22" s="159">
        <f>'14'!D108</f>
        <v>20.455312500000002</v>
      </c>
      <c r="E22" s="159">
        <f>'14'!E108</f>
        <v>7.5446874999999993</v>
      </c>
      <c r="F22" s="159">
        <f>'14'!F108</f>
        <v>5.3488541666666647</v>
      </c>
      <c r="G22" s="159">
        <f>'14'!G108</f>
        <v>30.633333333333315</v>
      </c>
      <c r="H22" s="159">
        <f>'14'!H108</f>
        <v>8.8201041666666615</v>
      </c>
      <c r="I22" s="159">
        <f>'14'!I108</f>
        <v>3.9289583333333336</v>
      </c>
      <c r="J22" s="159">
        <f>'14'!J108</f>
        <v>0.29947916666666669</v>
      </c>
      <c r="K22" s="159">
        <f>'14'!K108</f>
        <v>221.64291666666676</v>
      </c>
      <c r="L22" s="159">
        <f>'14'!L108</f>
        <v>27.7934375</v>
      </c>
      <c r="M22" s="159">
        <f>'14'!M108</f>
        <v>81.917708333333323</v>
      </c>
      <c r="N22" s="159">
        <f>'14'!N108</f>
        <v>87.818749999999966</v>
      </c>
      <c r="O22" s="159">
        <f>'14'!O108</f>
        <v>7.2916666666666671E-2</v>
      </c>
      <c r="P22" s="159">
        <f>'14'!P108</f>
        <v>0.43760416666666663</v>
      </c>
      <c r="Q22" s="159">
        <f>'14'!Q108</f>
        <v>4.5965625000000001</v>
      </c>
      <c r="R22" s="177"/>
      <c r="S22" s="177"/>
      <c r="T22" s="177"/>
      <c r="U22" s="177"/>
    </row>
    <row r="23" spans="1:21">
      <c r="A23" s="157" t="str">
        <f>'15'!$B$2</f>
        <v>15/08/2023 00:15</v>
      </c>
      <c r="B23" s="95">
        <f>'15'!B108</f>
        <v>9.3839583333333341</v>
      </c>
      <c r="C23" s="95">
        <f>'15'!C108</f>
        <v>21.506562500000005</v>
      </c>
      <c r="D23" s="95">
        <f>'15'!D108</f>
        <v>17.716250000000006</v>
      </c>
      <c r="E23" s="95">
        <f>'15'!E108</f>
        <v>8.8027083333333369</v>
      </c>
      <c r="F23" s="95">
        <f>'15'!F108</f>
        <v>6.112708333333333</v>
      </c>
      <c r="G23" s="95">
        <f>'15'!G108</f>
        <v>28.314270833333342</v>
      </c>
      <c r="H23" s="95">
        <f>'15'!H108</f>
        <v>8.2759375000000031</v>
      </c>
      <c r="I23" s="95">
        <f>'15'!I108</f>
        <v>3.5884375000000013</v>
      </c>
      <c r="J23" s="95">
        <f>'15'!J108</f>
        <v>0.49531250000000004</v>
      </c>
      <c r="K23" s="95">
        <f>'15'!K108</f>
        <v>259.53187499999996</v>
      </c>
      <c r="L23" s="95">
        <f>'15'!L108</f>
        <v>28.757604166666663</v>
      </c>
      <c r="M23" s="95">
        <f>'15'!M108</f>
        <v>76.035312500000018</v>
      </c>
      <c r="N23" s="95">
        <f>'15'!N108</f>
        <v>170.92291666666665</v>
      </c>
      <c r="O23" s="95">
        <f>'15'!O108</f>
        <v>0</v>
      </c>
      <c r="P23" s="95">
        <f>'15'!P108</f>
        <v>0.40145833333333303</v>
      </c>
      <c r="Q23" s="95">
        <f>'15'!Q108</f>
        <v>4.3672916666666657</v>
      </c>
      <c r="R23" s="160"/>
      <c r="S23" s="160"/>
      <c r="T23" s="160"/>
      <c r="U23" s="160"/>
    </row>
    <row r="24" spans="1:21">
      <c r="A24" s="157" t="str">
        <f>'16'!$B$2</f>
        <v>16/08/2023 00:15</v>
      </c>
      <c r="B24" s="95">
        <f>'16'!B108</f>
        <v>9.8167708333333312</v>
      </c>
      <c r="C24" s="95">
        <f>'16'!C108</f>
        <v>21.72208333333333</v>
      </c>
      <c r="D24" s="95">
        <f>'16'!D108</f>
        <v>18.17583333333334</v>
      </c>
      <c r="E24" s="95">
        <f>'16'!E108</f>
        <v>7.1461458333333354</v>
      </c>
      <c r="F24" s="95">
        <f>'16'!F108</f>
        <v>6.0094791666666678</v>
      </c>
      <c r="G24" s="95">
        <f>'16'!G108</f>
        <v>26.425624999999997</v>
      </c>
      <c r="H24" s="95">
        <f>'16'!H108</f>
        <v>6.948333333333335</v>
      </c>
      <c r="I24" s="95">
        <f>'16'!I108</f>
        <v>3.5191666666666666</v>
      </c>
      <c r="J24" s="95">
        <f>'16'!J108</f>
        <v>0.52864583333333337</v>
      </c>
      <c r="K24" s="95">
        <f>'16'!K108</f>
        <v>267.97770833333334</v>
      </c>
      <c r="L24" s="95">
        <f>'16'!L108</f>
        <v>29.301666666666677</v>
      </c>
      <c r="M24" s="95">
        <f>'16'!M108</f>
        <v>74.085625000000007</v>
      </c>
      <c r="N24" s="95">
        <f>'16'!N108</f>
        <v>159.51979166666669</v>
      </c>
      <c r="O24" s="95">
        <f>'16'!O108</f>
        <v>0</v>
      </c>
      <c r="P24" s="95">
        <f>'16'!P108</f>
        <v>0.39687500000000009</v>
      </c>
      <c r="Q24" s="95">
        <f>'16'!Q108</f>
        <v>4.3963541666666694</v>
      </c>
      <c r="R24" s="160"/>
      <c r="S24" s="160"/>
      <c r="T24" s="160"/>
      <c r="U24" s="160"/>
    </row>
    <row r="25" spans="1:21">
      <c r="A25" s="157" t="str">
        <f>'17'!$B$2</f>
        <v>17/08/2023 00:15</v>
      </c>
      <c r="B25" s="95">
        <f>'17'!B108</f>
        <v>11.610937499999997</v>
      </c>
      <c r="C25" s="95">
        <f>'17'!C108</f>
        <v>22.006666666666671</v>
      </c>
      <c r="D25" s="95">
        <f>'17'!D108</f>
        <v>19.764166666666664</v>
      </c>
      <c r="E25" s="95">
        <f>'17'!E108</f>
        <v>7.7462500000000007</v>
      </c>
      <c r="F25" s="95">
        <f>'17'!F108</f>
        <v>4.5715625000000006</v>
      </c>
      <c r="G25" s="95">
        <f>'17'!G108</f>
        <v>31.698124999999976</v>
      </c>
      <c r="H25" s="95">
        <f>'17'!H108</f>
        <v>9.3509374999999917</v>
      </c>
      <c r="I25" s="95">
        <f>'17'!I108</f>
        <v>3.9030208333333323</v>
      </c>
      <c r="J25" s="95">
        <f>'17'!J108</f>
        <v>0.47906250000000011</v>
      </c>
      <c r="K25" s="95">
        <f>'17'!K108</f>
        <v>263.51208333333335</v>
      </c>
      <c r="L25" s="95">
        <f>'17'!L108</f>
        <v>27.451041666666665</v>
      </c>
      <c r="M25" s="95">
        <f>'17'!M108</f>
        <v>84.536666666666662</v>
      </c>
      <c r="N25" s="95">
        <f>'17'!N108</f>
        <v>101.21979166666664</v>
      </c>
      <c r="O25" s="95">
        <f>'17'!O108</f>
        <v>0.92499999999999993</v>
      </c>
      <c r="P25" s="95">
        <f>'17'!P108</f>
        <v>0.48614583333333344</v>
      </c>
      <c r="Q25" s="95">
        <f>'17'!Q108</f>
        <v>4.5852083333333349</v>
      </c>
      <c r="R25" s="160"/>
      <c r="S25" s="160"/>
      <c r="T25" s="160"/>
      <c r="U25" s="160"/>
    </row>
    <row r="26" spans="1:21">
      <c r="A26" s="157" t="str">
        <f>'18'!$B$2</f>
        <v>18/08/2023 00:15</v>
      </c>
      <c r="B26" s="95">
        <f>'18'!B108</f>
        <v>10.781595744680853</v>
      </c>
      <c r="C26" s="95">
        <f>'18'!C108</f>
        <v>20.971702127659565</v>
      </c>
      <c r="D26" s="95">
        <f>'18'!D108</f>
        <v>19.773723404255328</v>
      </c>
      <c r="E26" s="95">
        <f>'18'!E108</f>
        <v>5.9165217391304328</v>
      </c>
      <c r="F26" s="95">
        <f>'18'!F108</f>
        <v>4.5091666666666672</v>
      </c>
      <c r="G26" s="95">
        <f>'18'!G108</f>
        <v>23.2756043956044</v>
      </c>
      <c r="H26" s="95">
        <f>'18'!H108</f>
        <v>10.080439560439558</v>
      </c>
      <c r="I26" s="95">
        <f>'18'!I108</f>
        <v>11.550104166666669</v>
      </c>
      <c r="J26" s="95">
        <f>'18'!J108</f>
        <v>0.36875000000000008</v>
      </c>
      <c r="K26" s="95">
        <f>'18'!K108</f>
        <v>252.18718749999991</v>
      </c>
      <c r="L26" s="95">
        <f>'18'!L108</f>
        <v>26.381458333333317</v>
      </c>
      <c r="M26" s="95">
        <f>'18'!M108</f>
        <v>91.318958333333327</v>
      </c>
      <c r="N26" s="95">
        <f>'18'!N108</f>
        <v>87.187500000000043</v>
      </c>
      <c r="O26" s="95">
        <f>'18'!O108</f>
        <v>0.67291666666666672</v>
      </c>
      <c r="P26" s="95">
        <f>'18'!P108</f>
        <v>0.52666666666666684</v>
      </c>
      <c r="Q26" s="95">
        <f>'18'!Q108</f>
        <v>4.560833333333334</v>
      </c>
      <c r="R26" s="160"/>
      <c r="S26" s="160"/>
      <c r="T26" s="160"/>
      <c r="U26" s="160"/>
    </row>
    <row r="27" spans="1:21">
      <c r="A27" s="157" t="str">
        <f>'19'!$B$2</f>
        <v>19/08/2023 00:15</v>
      </c>
      <c r="B27" s="95">
        <f>'19'!B108</f>
        <v>10.720624999999998</v>
      </c>
      <c r="C27" s="95">
        <f>'19'!C108</f>
        <v>17.017604166666668</v>
      </c>
      <c r="D27" s="95">
        <f>'19'!D108</f>
        <v>18.8396875</v>
      </c>
      <c r="E27" s="95">
        <f>'19'!E108</f>
        <v>3.7375000000000003</v>
      </c>
      <c r="F27" s="95">
        <f>'19'!F108</f>
        <v>3.988333333333332</v>
      </c>
      <c r="G27" s="95">
        <f>'19'!G108</f>
        <v>10.763333333333341</v>
      </c>
      <c r="H27" s="95">
        <f>'19'!H108</f>
        <v>6.2957291666666668</v>
      </c>
      <c r="I27" s="95">
        <f>'19'!I108</f>
        <v>5.9586458333333345</v>
      </c>
      <c r="J27" s="95">
        <f>'19'!J108</f>
        <v>0.16229166666666664</v>
      </c>
      <c r="K27" s="95">
        <f>'19'!K108</f>
        <v>221.33354166666666</v>
      </c>
      <c r="L27" s="95">
        <f>'19'!L108</f>
        <v>26.81677083333334</v>
      </c>
      <c r="M27" s="95">
        <f>'19'!M108</f>
        <v>93.349062499999988</v>
      </c>
      <c r="N27" s="95">
        <f>'19'!N108</f>
        <v>138.42916666666673</v>
      </c>
      <c r="O27" s="95">
        <f>'19'!O108</f>
        <v>3.125E-2</v>
      </c>
      <c r="P27" s="95">
        <f>'19'!P108</f>
        <v>0.48385416666666675</v>
      </c>
      <c r="Q27" s="95">
        <f>'19'!Q108</f>
        <v>4.5089583333333332</v>
      </c>
      <c r="R27" s="160"/>
      <c r="S27" s="160"/>
      <c r="T27" s="160"/>
      <c r="U27" s="160"/>
    </row>
    <row r="28" spans="1:21">
      <c r="A28" s="157" t="str">
        <f>'20'!$B$2</f>
        <v>20/08/2023 00:15</v>
      </c>
      <c r="B28" s="95">
        <f>'20'!B108</f>
        <v>11.723854166666667</v>
      </c>
      <c r="C28" s="95">
        <f>'20'!C108</f>
        <v>17.091041666666666</v>
      </c>
      <c r="D28" s="95">
        <f>'20'!D108</f>
        <v>19.682499999999994</v>
      </c>
      <c r="E28" s="95">
        <f>'20'!E108</f>
        <v>3.9611458333333349</v>
      </c>
      <c r="F28" s="95">
        <f>'20'!F108</f>
        <v>2.9453124999999982</v>
      </c>
      <c r="G28" s="95">
        <f>'20'!G108</f>
        <v>4.776250000000001</v>
      </c>
      <c r="H28" s="95">
        <f>'20'!H108</f>
        <v>1.3783333333333327</v>
      </c>
      <c r="I28" s="95">
        <f>'20'!I108</f>
        <v>3.1285416666666674</v>
      </c>
      <c r="J28" s="95">
        <f>'20'!J108</f>
        <v>0.268125</v>
      </c>
      <c r="K28" s="95">
        <f>'20'!K108</f>
        <v>218.31041666666658</v>
      </c>
      <c r="L28" s="95">
        <f>'20'!L108</f>
        <v>26.026562500000001</v>
      </c>
      <c r="M28" s="95">
        <f>'20'!M108</f>
        <v>90.3984375</v>
      </c>
      <c r="N28" s="95">
        <f>'20'!N108</f>
        <v>69.024999999999991</v>
      </c>
      <c r="O28" s="95">
        <f>'20'!O108</f>
        <v>4.1666666666666666E-3</v>
      </c>
      <c r="P28" s="95">
        <f>'20'!P108</f>
        <v>0.35979166666666651</v>
      </c>
      <c r="Q28" s="95">
        <f>'20'!Q108</f>
        <v>4.5789583333333344</v>
      </c>
      <c r="R28" s="160"/>
      <c r="S28" s="160"/>
      <c r="T28" s="160"/>
      <c r="U28" s="160"/>
    </row>
    <row r="29" spans="1:21">
      <c r="A29" s="157" t="str">
        <f>'21'!$B$2</f>
        <v>21/08/2023 00:15</v>
      </c>
      <c r="B29" s="95">
        <f>'21'!B108</f>
        <v>11.093333333333335</v>
      </c>
      <c r="C29" s="95">
        <f>'21'!C108</f>
        <v>16.357083333333328</v>
      </c>
      <c r="D29" s="95">
        <f>'21'!D108</f>
        <v>18.793125000000007</v>
      </c>
      <c r="E29" s="95">
        <f>'21'!E108</f>
        <v>3.2863541666666669</v>
      </c>
      <c r="F29" s="95">
        <f>'21'!F108</f>
        <v>3.4181249999999994</v>
      </c>
      <c r="G29" s="95">
        <f>'21'!G108</f>
        <v>14.995937499999998</v>
      </c>
      <c r="H29" s="95">
        <f>'21'!H108</f>
        <v>6.627604166666667</v>
      </c>
      <c r="I29" s="95">
        <f>'21'!I108</f>
        <v>2.8714583333333326</v>
      </c>
      <c r="J29" s="95">
        <f>'21'!J108</f>
        <v>0.31885416666666677</v>
      </c>
      <c r="K29" s="95">
        <f>'21'!K108</f>
        <v>252.65875000000003</v>
      </c>
      <c r="L29" s="95">
        <f>'21'!L108</f>
        <v>26.639999999999997</v>
      </c>
      <c r="M29" s="95">
        <f>'21'!M108</f>
        <v>89.910000000000025</v>
      </c>
      <c r="N29" s="95">
        <f>'21'!N108</f>
        <v>83.896875000000009</v>
      </c>
      <c r="O29" s="95">
        <f>'21'!O108</f>
        <v>2.0833333333333333E-3</v>
      </c>
      <c r="P29" s="95">
        <f>'21'!P108</f>
        <v>0.36822916666666666</v>
      </c>
      <c r="Q29" s="95">
        <f>'21'!Q108</f>
        <v>4.4939583333333317</v>
      </c>
      <c r="R29" s="160"/>
      <c r="S29" s="160"/>
      <c r="T29" s="160"/>
      <c r="U29" s="160"/>
    </row>
    <row r="30" spans="1:21">
      <c r="A30" s="157" t="str">
        <f>'22'!$B$2</f>
        <v>22/08/2023 00:15</v>
      </c>
      <c r="B30" s="95">
        <f>'22'!B108</f>
        <v>6.4555208333333338</v>
      </c>
      <c r="C30" s="95">
        <f>'22'!C108</f>
        <v>14.685729166666663</v>
      </c>
      <c r="D30" s="95">
        <f>'22'!D108</f>
        <v>14.200104166666669</v>
      </c>
      <c r="E30" s="95">
        <f>'22'!E108</f>
        <v>4.9433333333333325</v>
      </c>
      <c r="F30" s="95">
        <f>'22'!F108</f>
        <v>5.6098958333333337</v>
      </c>
      <c r="G30" s="95">
        <f>'22'!G108</f>
        <v>22.426770833333332</v>
      </c>
      <c r="H30" s="95">
        <f>'22'!H108</f>
        <v>9.1311458333333295</v>
      </c>
      <c r="I30" s="95">
        <f>'22'!I108</f>
        <v>3.4885416666666664</v>
      </c>
      <c r="J30" s="95">
        <f>'22'!J108</f>
        <v>0.54197916666666679</v>
      </c>
      <c r="K30" s="95">
        <f>'22'!K108</f>
        <v>254.20239583333344</v>
      </c>
      <c r="L30" s="95">
        <f>'22'!L108</f>
        <v>28.228020833333332</v>
      </c>
      <c r="M30" s="95">
        <f>'22'!M108</f>
        <v>81.871249999999989</v>
      </c>
      <c r="N30" s="95">
        <f>'22'!N108</f>
        <v>162.80625000000001</v>
      </c>
      <c r="O30" s="95">
        <f>'22'!O108</f>
        <v>0</v>
      </c>
      <c r="P30" s="95">
        <f>'22'!P108</f>
        <v>0.42572916666666644</v>
      </c>
      <c r="Q30" s="95">
        <f>'22'!Q108</f>
        <v>4.2653124999999985</v>
      </c>
      <c r="R30" s="160"/>
      <c r="S30" s="160"/>
      <c r="T30" s="160"/>
      <c r="U30" s="160"/>
    </row>
    <row r="31" spans="1:21">
      <c r="A31" s="157" t="str">
        <f>'23'!$B$2</f>
        <v>23/08/2023 00:15</v>
      </c>
      <c r="B31" s="95">
        <f>'23'!B108</f>
        <v>8.3892708333333381</v>
      </c>
      <c r="C31" s="95">
        <f>'23'!C108</f>
        <v>13.225416666666668</v>
      </c>
      <c r="D31" s="95">
        <f>'23'!D108</f>
        <v>14.988750000000005</v>
      </c>
      <c r="E31" s="95">
        <f>'23'!E108</f>
        <v>4.5482291666666681</v>
      </c>
      <c r="F31" s="95">
        <f>'23'!F108</f>
        <v>4.9465624999999989</v>
      </c>
      <c r="G31" s="95">
        <f>'23'!G108</f>
        <v>16.419166666666666</v>
      </c>
      <c r="H31" s="95">
        <f>'23'!H108</f>
        <v>7.6867708333333349</v>
      </c>
      <c r="I31" s="95">
        <f>'23'!I108</f>
        <v>3.0164583333333326</v>
      </c>
      <c r="J31" s="95">
        <f>'23'!J108</f>
        <v>0.66052083333333322</v>
      </c>
      <c r="K31" s="95">
        <f>'23'!K108</f>
        <v>260.95281250000011</v>
      </c>
      <c r="L31" s="95">
        <f>'23'!L108</f>
        <v>28.378229166666657</v>
      </c>
      <c r="M31" s="95">
        <f>'23'!M108</f>
        <v>82.452812500000007</v>
      </c>
      <c r="N31" s="95">
        <f>'23'!N108</f>
        <v>145.88333333333335</v>
      </c>
      <c r="O31" s="95">
        <f>'23'!O108</f>
        <v>4.1666666666666666E-3</v>
      </c>
      <c r="P31" s="95">
        <f>'23'!P108</f>
        <v>0.33624999999999994</v>
      </c>
      <c r="Q31" s="95">
        <f>'23'!Q108</f>
        <v>4.2371875000000001</v>
      </c>
      <c r="R31" s="160"/>
      <c r="S31" s="178"/>
      <c r="T31" s="160"/>
      <c r="U31" s="160"/>
    </row>
    <row r="32" spans="1:21">
      <c r="A32" s="157" t="str">
        <f>'24'!$B$2</f>
        <v>24/08/2023 00:15</v>
      </c>
      <c r="B32" s="95">
        <f>'24'!B108</f>
        <v>7.3434375000000029</v>
      </c>
      <c r="C32" s="95">
        <f>'24'!C108</f>
        <v>13.742291666666665</v>
      </c>
      <c r="D32" s="95">
        <f>'24'!D108</f>
        <v>14.420104166666661</v>
      </c>
      <c r="E32" s="95">
        <f>'24'!E108</f>
        <v>3.5338541666666674</v>
      </c>
      <c r="F32" s="95">
        <f>'24'!F108</f>
        <v>3.726458333333333</v>
      </c>
      <c r="G32" s="95">
        <f>'24'!G108</f>
        <v>22.421249999999997</v>
      </c>
      <c r="H32" s="95">
        <f>'24'!H108</f>
        <v>7.2547916666666685</v>
      </c>
      <c r="I32" s="95">
        <f>'24'!I108</f>
        <v>4.2570833333333349</v>
      </c>
      <c r="J32" s="95">
        <f>'24'!J108</f>
        <v>0.59458333333333324</v>
      </c>
      <c r="K32" s="95">
        <f>'24'!K108</f>
        <v>256.42572916666649</v>
      </c>
      <c r="L32" s="95">
        <f>'24'!L108</f>
        <v>26.887708333333347</v>
      </c>
      <c r="M32" s="95">
        <f>'24'!M108</f>
        <v>87.358958333333348</v>
      </c>
      <c r="N32" s="95">
        <f>'24'!N108</f>
        <v>108.71458333333334</v>
      </c>
      <c r="O32" s="95">
        <f>'24'!O108</f>
        <v>4.1666666666666678E-2</v>
      </c>
      <c r="P32" s="95">
        <f>'24'!P108</f>
        <v>0.47697916666666679</v>
      </c>
      <c r="Q32" s="95">
        <f>'24'!Q108</f>
        <v>4.333333333333333</v>
      </c>
      <c r="R32" s="160"/>
      <c r="S32" s="160"/>
      <c r="T32" s="160"/>
      <c r="U32" s="160"/>
    </row>
    <row r="33" spans="1:21">
      <c r="A33" s="157" t="str">
        <f>'25'!$B$2</f>
        <v>25/08/2023 00:15</v>
      </c>
      <c r="B33" s="95">
        <f>'25'!B108</f>
        <v>11.153541666666662</v>
      </c>
      <c r="C33" s="95">
        <f>'25'!C108</f>
        <v>13.157083333333333</v>
      </c>
      <c r="D33" s="95">
        <f>'25'!D108</f>
        <v>17.169999999999998</v>
      </c>
      <c r="E33" s="95">
        <f>'25'!E108</f>
        <v>4.6103124999999991</v>
      </c>
      <c r="F33" s="95">
        <f>'25'!F108</f>
        <v>3.6718749999999996</v>
      </c>
      <c r="G33" s="95">
        <f>'25'!G108</f>
        <v>14.489270833333324</v>
      </c>
      <c r="H33" s="95">
        <f>'25'!H108</f>
        <v>4.6860416666666653</v>
      </c>
      <c r="I33" s="95">
        <f>'25'!I108</f>
        <v>3.569999999999999</v>
      </c>
      <c r="J33" s="95">
        <f>'25'!J108</f>
        <v>0.5819791666666666</v>
      </c>
      <c r="K33" s="95">
        <f>'25'!K108</f>
        <v>258.89291666666679</v>
      </c>
      <c r="L33" s="95">
        <f>'25'!L108</f>
        <v>27.586249999999989</v>
      </c>
      <c r="M33" s="95">
        <f>'25'!M108</f>
        <v>83.527291666666642</v>
      </c>
      <c r="N33" s="95">
        <f>'25'!N108</f>
        <v>145.24583333333331</v>
      </c>
      <c r="O33" s="95">
        <f>'25'!O108</f>
        <v>2.0833333333333333E-3</v>
      </c>
      <c r="P33" s="95">
        <f>'25'!P108</f>
        <v>0.37677083333333328</v>
      </c>
      <c r="Q33" s="95">
        <f>'25'!Q108</f>
        <v>4.4172916666666682</v>
      </c>
      <c r="R33" s="160"/>
      <c r="S33" s="178"/>
      <c r="T33" s="160"/>
      <c r="U33" s="160"/>
    </row>
    <row r="34" spans="1:21">
      <c r="A34" s="157" t="str">
        <f>'26'!$B$2</f>
        <v>26/08/2023 00:15</v>
      </c>
      <c r="B34" s="95">
        <f>'26'!B108</f>
        <v>7.6244791666666671</v>
      </c>
      <c r="C34" s="95">
        <f>'26'!C108</f>
        <v>12.87677083333333</v>
      </c>
      <c r="D34" s="95">
        <f>'26'!D108</f>
        <v>14.192812500000002</v>
      </c>
      <c r="E34" s="95">
        <f>'26'!E108</f>
        <v>3.5870833333333354</v>
      </c>
      <c r="F34" s="95">
        <f>'26'!F108</f>
        <v>4.6189583333333344</v>
      </c>
      <c r="G34" s="95">
        <f>'26'!G108</f>
        <v>26.051354166666666</v>
      </c>
      <c r="H34" s="95">
        <f>'26'!H108</f>
        <v>6.5235416666666657</v>
      </c>
      <c r="I34" s="95">
        <f>'26'!I108</f>
        <v>3.4402083333333326</v>
      </c>
      <c r="J34" s="95">
        <f>'26'!J108</f>
        <v>0.56583333333333341</v>
      </c>
      <c r="K34" s="95">
        <f>'26'!K108</f>
        <v>251.50572916666667</v>
      </c>
      <c r="L34" s="95">
        <f>'26'!L108</f>
        <v>28.480208333333355</v>
      </c>
      <c r="M34" s="95">
        <f>'26'!M108</f>
        <v>77.923958333333346</v>
      </c>
      <c r="N34" s="95">
        <f>'26'!N108</f>
        <v>178.95833333333337</v>
      </c>
      <c r="O34" s="95">
        <f>'26'!O108</f>
        <v>0</v>
      </c>
      <c r="P34" s="95">
        <f>'26'!P108</f>
        <v>0.3671875</v>
      </c>
      <c r="Q34" s="95">
        <f>'26'!Q108</f>
        <v>4.4063541666666666</v>
      </c>
      <c r="R34" s="160"/>
      <c r="S34" s="160"/>
      <c r="T34" s="160"/>
      <c r="U34" s="160"/>
    </row>
    <row r="35" spans="1:21">
      <c r="A35" s="157" t="str">
        <f>'27'!$B$2</f>
        <v>27/08/2023 00:15</v>
      </c>
      <c r="B35" s="95">
        <f>'27'!B108</f>
        <v>13.860520833333332</v>
      </c>
      <c r="C35" s="95">
        <f>'27'!C108</f>
        <v>10.318125000000002</v>
      </c>
      <c r="D35" s="95">
        <f>'27'!D108</f>
        <v>17.857499999999995</v>
      </c>
      <c r="E35" s="95">
        <f>'27'!E108</f>
        <v>4.1515624999999998</v>
      </c>
      <c r="F35" s="95">
        <f>'27'!F108</f>
        <v>4.9440625000000002</v>
      </c>
      <c r="G35" s="95">
        <f>'27'!G108</f>
        <v>34.156250000000007</v>
      </c>
      <c r="H35" s="95">
        <f>'27'!H108</f>
        <v>8.855416666666672</v>
      </c>
      <c r="I35" s="95">
        <f>'27'!I108</f>
        <v>3.4793749999999988</v>
      </c>
      <c r="J35" s="95">
        <f>'27'!J108</f>
        <v>0.6121875</v>
      </c>
      <c r="K35" s="95">
        <f>'27'!K108</f>
        <v>264.17416666666662</v>
      </c>
      <c r="L35" s="95">
        <f>'27'!L108</f>
        <v>28.653333333333318</v>
      </c>
      <c r="M35" s="95">
        <f>'27'!M108</f>
        <v>76.45072916666669</v>
      </c>
      <c r="N35" s="95">
        <f>'27'!N108</f>
        <v>172.16458333333333</v>
      </c>
      <c r="O35" s="95">
        <f>'27'!O108</f>
        <v>0</v>
      </c>
      <c r="P35" s="95">
        <f>'27'!P108</f>
        <v>0.37197916666666669</v>
      </c>
      <c r="Q35" s="95">
        <f>'27'!Q108</f>
        <v>4.3313541666666691</v>
      </c>
      <c r="R35" s="160"/>
      <c r="S35" s="160"/>
      <c r="T35" s="160"/>
      <c r="U35" s="160"/>
    </row>
    <row r="36" spans="1:21">
      <c r="A36" s="157" t="str">
        <f>'28'!$B$2</f>
        <v>28/08/2023 00:15</v>
      </c>
      <c r="B36" s="95">
        <f>'28'!B108</f>
        <v>9.2718749999999996</v>
      </c>
      <c r="C36" s="95">
        <f>'28'!C108</f>
        <v>11.86104166666667</v>
      </c>
      <c r="D36" s="95">
        <f>'28'!D108</f>
        <v>14.983437499999999</v>
      </c>
      <c r="E36" s="95">
        <f>'28'!E108</f>
        <v>3.6204166666666673</v>
      </c>
      <c r="F36" s="95">
        <f>'28'!F108</f>
        <v>5.1649999999999983</v>
      </c>
      <c r="G36" s="95">
        <f>'28'!G108</f>
        <v>69.520833333333329</v>
      </c>
      <c r="H36" s="95">
        <f>'28'!H108</f>
        <v>15.571458333333334</v>
      </c>
      <c r="I36" s="95">
        <f>'28'!I108</f>
        <v>3.4165625000000008</v>
      </c>
      <c r="J36" s="95">
        <f>'28'!J108</f>
        <v>0.44916666666666677</v>
      </c>
      <c r="K36" s="95">
        <f>'28'!K108</f>
        <v>260.87260416666669</v>
      </c>
      <c r="L36" s="95">
        <f>'28'!L108</f>
        <v>28.433749999999993</v>
      </c>
      <c r="M36" s="95">
        <f>'28'!M108</f>
        <v>72.551562500000017</v>
      </c>
      <c r="N36" s="95">
        <f>'28'!N108</f>
        <v>152.78020833333335</v>
      </c>
      <c r="O36" s="95">
        <f>'28'!O108</f>
        <v>0</v>
      </c>
      <c r="P36" s="95">
        <f>'28'!P108</f>
        <v>0.38760416666666658</v>
      </c>
      <c r="Q36" s="95">
        <f>'28'!Q108</f>
        <v>4.4037500000000014</v>
      </c>
      <c r="R36" s="160"/>
      <c r="S36" s="160"/>
      <c r="T36" s="160"/>
      <c r="U36" s="160"/>
    </row>
    <row r="37" spans="1:21" s="2" customFormat="1">
      <c r="A37" s="157" t="str">
        <f>'29'!$B$2</f>
        <v>29/08/2023 00:15</v>
      </c>
      <c r="B37" s="95">
        <f>'29'!B108</f>
        <v>6.5742105263157864</v>
      </c>
      <c r="C37" s="95">
        <f>'29'!C108</f>
        <v>16.828000000000003</v>
      </c>
      <c r="D37" s="95">
        <f>'29'!D108</f>
        <v>15.415368421052632</v>
      </c>
      <c r="E37" s="95">
        <f>'29'!E108</f>
        <v>4.2622105263157888</v>
      </c>
      <c r="F37" s="95">
        <f>'29'!F108</f>
        <v>4.8330526315789468</v>
      </c>
      <c r="G37" s="95">
        <f>'29'!G108</f>
        <v>68.135227272727235</v>
      </c>
      <c r="H37" s="95">
        <f>'29'!H108</f>
        <v>16.86000000000001</v>
      </c>
      <c r="I37" s="95">
        <f>'29'!I108</f>
        <v>3.7497894736842126</v>
      </c>
      <c r="J37" s="95">
        <f>'29'!J108</f>
        <v>0.39294736842105293</v>
      </c>
      <c r="K37" s="95">
        <f>'29'!K108</f>
        <v>248.48684210526321</v>
      </c>
      <c r="L37" s="95">
        <f>'29'!L108</f>
        <v>28.584947368421055</v>
      </c>
      <c r="M37" s="95">
        <f>'29'!M108</f>
        <v>68.675263157894705</v>
      </c>
      <c r="N37" s="95">
        <f>'29'!N108</f>
        <v>161.85578947368421</v>
      </c>
      <c r="O37" s="95">
        <f>'29'!O108</f>
        <v>0</v>
      </c>
      <c r="P37" s="95">
        <f>'29'!P108</f>
        <v>0.4015789473684212</v>
      </c>
      <c r="Q37" s="95">
        <f>'29'!Q108</f>
        <v>4.5175789473684196</v>
      </c>
      <c r="R37" s="160"/>
      <c r="S37" s="160"/>
      <c r="T37" s="160"/>
      <c r="U37" s="160"/>
    </row>
    <row r="38" spans="1:21" s="2" customFormat="1">
      <c r="A38" s="157" t="str">
        <f>'30'!$B$2</f>
        <v>30/08/2023 00:15</v>
      </c>
      <c r="B38" s="95">
        <f>'30'!B108</f>
        <v>14.221562499999996</v>
      </c>
      <c r="C38" s="95">
        <f>'30'!C108</f>
        <v>19.238437499999993</v>
      </c>
      <c r="D38" s="95">
        <f>'30'!D108</f>
        <v>22.807291666666661</v>
      </c>
      <c r="E38" s="95">
        <f>'30'!E108</f>
        <v>5.9006249999999989</v>
      </c>
      <c r="F38" s="95">
        <f>'30'!F108</f>
        <v>4.1910416666666679</v>
      </c>
      <c r="G38" s="95">
        <f>'30'!G108</f>
        <v>52.671875000000007</v>
      </c>
      <c r="H38" s="95">
        <f>'30'!H108</f>
        <v>16.608333333333338</v>
      </c>
      <c r="I38" s="95">
        <f>'30'!I108</f>
        <v>4.8647916666666671</v>
      </c>
      <c r="J38" s="95">
        <f>'30'!J108</f>
        <v>0.27875000000000005</v>
      </c>
      <c r="K38" s="95">
        <f>'30'!K108</f>
        <v>165.9138541666666</v>
      </c>
      <c r="L38" s="95">
        <f>'30'!L108</f>
        <v>27.329166666666666</v>
      </c>
      <c r="M38" s="95">
        <f>'30'!M108</f>
        <v>84.294375000000031</v>
      </c>
      <c r="N38" s="95">
        <f>'30'!N108</f>
        <v>122.34687499999997</v>
      </c>
      <c r="O38" s="95">
        <f>'30'!O108</f>
        <v>0.16041666666666665</v>
      </c>
      <c r="P38" s="95">
        <f>'30'!P108</f>
        <v>0.52010416666666648</v>
      </c>
      <c r="Q38" s="95">
        <f>'30'!Q108</f>
        <v>4.9056250000000023</v>
      </c>
      <c r="R38" s="160"/>
      <c r="S38" s="160"/>
      <c r="T38" s="160"/>
      <c r="U38" s="160"/>
    </row>
    <row r="39" spans="1:21" s="2" customFormat="1">
      <c r="A39" s="157" t="str">
        <f>'31'!$B$2</f>
        <v>31/08/2023 00:15</v>
      </c>
      <c r="B39" s="95">
        <f>'31'!B108</f>
        <v>13.528837209302328</v>
      </c>
      <c r="C39" s="95">
        <f>'31'!C108</f>
        <v>20.043488372093019</v>
      </c>
      <c r="D39" s="95">
        <f>'31'!D108</f>
        <v>22.667558139534886</v>
      </c>
      <c r="E39" s="95">
        <f>'31'!E108</f>
        <v>11.450465116279069</v>
      </c>
      <c r="F39" s="95">
        <f>'31'!F108</f>
        <v>6.6182608695652165</v>
      </c>
      <c r="G39" s="95">
        <f>'31'!G108</f>
        <v>48.303020833333335</v>
      </c>
      <c r="H39" s="95">
        <f>'31'!H108</f>
        <v>16.49677083333334</v>
      </c>
      <c r="I39" s="95">
        <f>'31'!I108</f>
        <v>30.887083333333333</v>
      </c>
      <c r="J39" s="95">
        <f>'31'!J108</f>
        <v>0.26979166666666676</v>
      </c>
      <c r="K39" s="95">
        <f>'31'!K108</f>
        <v>129.35614583333333</v>
      </c>
      <c r="L39" s="95">
        <f>'31'!L108</f>
        <v>29.036666666666672</v>
      </c>
      <c r="M39" s="95">
        <f>'31'!M108</f>
        <v>81.102916666666658</v>
      </c>
      <c r="N39" s="95">
        <f>'31'!N108</f>
        <v>193.98541666666668</v>
      </c>
      <c r="O39" s="95">
        <f>'31'!O108</f>
        <v>0</v>
      </c>
      <c r="P39" s="95">
        <f>'31'!P108</f>
        <v>0.69242105263157916</v>
      </c>
      <c r="Q39" s="95">
        <f>'31'!Q108</f>
        <v>4.9066666666666672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6.4555208333333338</v>
      </c>
      <c r="C41" s="161">
        <f t="shared" si="0"/>
        <v>10.318125000000002</v>
      </c>
      <c r="D41" s="161">
        <f t="shared" si="0"/>
        <v>14.192812500000002</v>
      </c>
      <c r="E41" s="161">
        <f t="shared" si="0"/>
        <v>3.2863541666666669</v>
      </c>
      <c r="F41" s="161">
        <f t="shared" si="0"/>
        <v>2.5127083333333342</v>
      </c>
      <c r="G41" s="161">
        <f t="shared" si="0"/>
        <v>4.776250000000001</v>
      </c>
      <c r="H41" s="161">
        <f t="shared" si="0"/>
        <v>1.3783333333333327</v>
      </c>
      <c r="I41" s="161">
        <f t="shared" si="0"/>
        <v>2.8513541666666655</v>
      </c>
      <c r="J41" s="161">
        <f t="shared" si="0"/>
        <v>0.16229166666666664</v>
      </c>
      <c r="K41" s="161">
        <f t="shared" si="0"/>
        <v>129.35614583333333</v>
      </c>
      <c r="L41" s="161">
        <f t="shared" si="0"/>
        <v>24.285520833333337</v>
      </c>
      <c r="M41" s="161">
        <f t="shared" si="0"/>
        <v>68.675263157894705</v>
      </c>
      <c r="N41" s="161">
        <f t="shared" si="0"/>
        <v>29.220833333333331</v>
      </c>
      <c r="O41" s="161">
        <f t="shared" si="0"/>
        <v>0</v>
      </c>
      <c r="P41" s="161">
        <f t="shared" si="0"/>
        <v>0.31677083333333345</v>
      </c>
      <c r="Q41" s="161">
        <f t="shared" si="0"/>
        <v>1.3480357142857144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14.720104166666671</v>
      </c>
      <c r="C42" s="161">
        <f t="shared" si="1"/>
        <v>22.006666666666671</v>
      </c>
      <c r="D42" s="161">
        <f t="shared" si="1"/>
        <v>22.807291666666661</v>
      </c>
      <c r="E42" s="161">
        <f t="shared" si="1"/>
        <v>11.450465116279069</v>
      </c>
      <c r="F42" s="161">
        <f t="shared" si="1"/>
        <v>6.7693749999999993</v>
      </c>
      <c r="G42" s="161">
        <f t="shared" si="1"/>
        <v>69.520833333333329</v>
      </c>
      <c r="H42" s="161">
        <f t="shared" si="1"/>
        <v>16.86000000000001</v>
      </c>
      <c r="I42" s="161">
        <f t="shared" si="1"/>
        <v>36.665624999999999</v>
      </c>
      <c r="J42" s="161">
        <f t="shared" si="1"/>
        <v>1.4623958333333331</v>
      </c>
      <c r="K42" s="161">
        <f t="shared" si="1"/>
        <v>270.60031250000003</v>
      </c>
      <c r="L42" s="161">
        <f t="shared" si="1"/>
        <v>29.595000000000013</v>
      </c>
      <c r="M42" s="161">
        <f t="shared" si="1"/>
        <v>95.75</v>
      </c>
      <c r="N42" s="161">
        <f t="shared" si="1"/>
        <v>193.98541666666668</v>
      </c>
      <c r="O42" s="161">
        <f t="shared" si="1"/>
        <v>0.92499999999999993</v>
      </c>
      <c r="P42" s="161">
        <f t="shared" si="1"/>
        <v>0.69242105263157916</v>
      </c>
      <c r="Q42" s="161">
        <f t="shared" si="1"/>
        <v>4.9066666666666672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10.709514709041903</v>
      </c>
      <c r="C43" s="161">
        <f t="shared" si="2"/>
        <v>18.003416091389873</v>
      </c>
      <c r="D43" s="161">
        <f t="shared" si="2"/>
        <v>17.99337647736052</v>
      </c>
      <c r="E43" s="161">
        <f t="shared" si="2"/>
        <v>6.2659567907435001</v>
      </c>
      <c r="F43" s="161">
        <f t="shared" si="2"/>
        <v>4.5582244946605632</v>
      </c>
      <c r="G43" s="161">
        <f t="shared" si="2"/>
        <v>27.79454407711464</v>
      </c>
      <c r="H43" s="161">
        <f t="shared" si="2"/>
        <v>8.4042729159281588</v>
      </c>
      <c r="I43" s="161">
        <f t="shared" si="2"/>
        <v>6.2690691496887379</v>
      </c>
      <c r="J43" s="161">
        <f t="shared" si="2"/>
        <v>0.57012867855121663</v>
      </c>
      <c r="K43" s="161">
        <f t="shared" si="2"/>
        <v>248.83550297113749</v>
      </c>
      <c r="L43" s="161">
        <f t="shared" si="2"/>
        <v>27.528862549518951</v>
      </c>
      <c r="M43" s="161">
        <f t="shared" si="2"/>
        <v>82.754373408319168</v>
      </c>
      <c r="N43" s="161">
        <f t="shared" si="2"/>
        <v>124.26292197226941</v>
      </c>
      <c r="O43" s="161">
        <f t="shared" si="2"/>
        <v>0.1055779569892473</v>
      </c>
      <c r="P43" s="161">
        <f t="shared" si="2"/>
        <v>0.42698387096774193</v>
      </c>
      <c r="Q43" s="161">
        <f t="shared" si="2"/>
        <v>4.0735170624508488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2.3458875978554938</v>
      </c>
      <c r="C44" s="161">
        <f t="shared" si="3"/>
        <v>3.2835002393802575</v>
      </c>
      <c r="D44" s="161">
        <f t="shared" si="3"/>
        <v>2.4439883930281905</v>
      </c>
      <c r="E44" s="161">
        <f t="shared" si="3"/>
        <v>1.9963479415527219</v>
      </c>
      <c r="F44" s="161">
        <f t="shared" si="3"/>
        <v>1.2045822926656549</v>
      </c>
      <c r="G44" s="161">
        <f t="shared" si="3"/>
        <v>15.521138936076136</v>
      </c>
      <c r="H44" s="161">
        <f t="shared" si="3"/>
        <v>3.8185034449204984</v>
      </c>
      <c r="I44" s="161">
        <f t="shared" si="3"/>
        <v>7.7006698646052403</v>
      </c>
      <c r="J44" s="161">
        <f t="shared" si="3"/>
        <v>0.26860394305496332</v>
      </c>
      <c r="K44" s="161">
        <f t="shared" si="3"/>
        <v>30.517216804598927</v>
      </c>
      <c r="L44" s="161">
        <f t="shared" si="3"/>
        <v>1.3397500343573505</v>
      </c>
      <c r="M44" s="161">
        <f t="shared" si="3"/>
        <v>7.2673272020759709</v>
      </c>
      <c r="N44" s="161">
        <f t="shared" si="3"/>
        <v>44.304252777788058</v>
      </c>
      <c r="O44" s="161">
        <f t="shared" si="3"/>
        <v>0.22125639971439445</v>
      </c>
      <c r="P44" s="161">
        <f t="shared" si="3"/>
        <v>7.2973672498601358E-2</v>
      </c>
      <c r="Q44" s="161">
        <f t="shared" si="3"/>
        <v>0.75088052850159792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30</v>
      </c>
      <c r="F45" s="147">
        <f t="shared" si="4"/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f t="shared" si="4"/>
        <v>31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&gt;90%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1" t="s">
        <v>56</v>
      </c>
      <c r="C50" s="191"/>
      <c r="D50" s="19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opLeftCell="A4" zoomScale="85" zoomScaleNormal="85" workbookViewId="0">
      <selection activeCell="B9" sqref="B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8" t="s">
        <v>61</v>
      </c>
      <c r="E1" s="198"/>
      <c r="F1" s="198"/>
      <c r="G1" s="198"/>
      <c r="H1" s="198"/>
      <c r="I1" s="198"/>
      <c r="J1" s="199"/>
    </row>
    <row r="2" spans="2:24" ht="22.5" customHeight="1">
      <c r="B2" s="2"/>
      <c r="C2" s="91" t="s">
        <v>2</v>
      </c>
      <c r="D2" s="200" t="s">
        <v>62</v>
      </c>
      <c r="E2" s="201"/>
      <c r="F2" s="201"/>
      <c r="G2" s="201"/>
      <c r="H2" s="201"/>
      <c r="I2" s="201"/>
      <c r="J2" s="202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6" t="s">
        <v>63</v>
      </c>
      <c r="H5" s="196"/>
      <c r="I5" s="93"/>
      <c r="J5" s="93"/>
      <c r="K5" s="93"/>
      <c r="L5" s="93"/>
      <c r="M5" s="107"/>
      <c r="O5" s="108"/>
      <c r="P5" s="109"/>
      <c r="Q5" s="109"/>
      <c r="R5" s="109"/>
      <c r="S5" s="127" t="s">
        <v>64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65</v>
      </c>
      <c r="C7" s="97" t="s">
        <v>66</v>
      </c>
      <c r="D7" s="97" t="s">
        <v>67</v>
      </c>
      <c r="E7" s="97" t="s">
        <v>68</v>
      </c>
      <c r="F7" s="97" t="s">
        <v>69</v>
      </c>
      <c r="G7" s="97" t="s">
        <v>70</v>
      </c>
      <c r="H7" s="98" t="s">
        <v>71</v>
      </c>
      <c r="I7" s="97" t="s">
        <v>72</v>
      </c>
      <c r="J7" s="97" t="s">
        <v>73</v>
      </c>
      <c r="K7" s="97" t="s">
        <v>74</v>
      </c>
      <c r="L7" s="97" t="s">
        <v>54</v>
      </c>
      <c r="M7" s="39" t="s">
        <v>75</v>
      </c>
      <c r="O7" s="113" t="s">
        <v>65</v>
      </c>
      <c r="P7" s="114" t="s">
        <v>66</v>
      </c>
      <c r="Q7" s="114" t="s">
        <v>76</v>
      </c>
      <c r="R7" s="114" t="s">
        <v>11</v>
      </c>
      <c r="S7" s="114" t="s">
        <v>77</v>
      </c>
      <c r="T7" s="114" t="s">
        <v>78</v>
      </c>
      <c r="U7" s="132" t="s">
        <v>79</v>
      </c>
      <c r="V7" s="132" t="s">
        <v>80</v>
      </c>
      <c r="W7" s="114" t="s">
        <v>54</v>
      </c>
      <c r="X7" s="133" t="s">
        <v>75</v>
      </c>
    </row>
    <row r="8" spans="2:24" ht="15.75">
      <c r="B8" s="82">
        <v>45169.533333333333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95">
        <v>199.8</v>
      </c>
      <c r="I8" s="6">
        <v>0</v>
      </c>
      <c r="J8" s="95">
        <f>F8/H8</f>
        <v>1.0010010010010009</v>
      </c>
      <c r="K8" s="95">
        <f>(H8-F8)*100/F8</f>
        <v>-9.9999999999994316E-2</v>
      </c>
      <c r="L8" s="6" t="s">
        <v>81</v>
      </c>
      <c r="M8" s="115" t="s">
        <v>56</v>
      </c>
      <c r="O8" s="82">
        <v>45147.584722222222</v>
      </c>
      <c r="P8" s="112" t="s">
        <v>64</v>
      </c>
      <c r="Q8" s="112">
        <v>4757.05</v>
      </c>
      <c r="R8" s="112">
        <v>3654.94</v>
      </c>
      <c r="S8" s="134" t="s">
        <v>82</v>
      </c>
      <c r="T8" s="134">
        <v>867.34</v>
      </c>
      <c r="U8" s="130">
        <v>0.98380000000000001</v>
      </c>
      <c r="V8" s="130">
        <v>0.98</v>
      </c>
      <c r="W8" s="6" t="s">
        <v>81</v>
      </c>
      <c r="X8" s="115" t="s">
        <v>56</v>
      </c>
    </row>
    <row r="9" spans="2:24" ht="15.75">
      <c r="B9" s="82"/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81</v>
      </c>
      <c r="M9" s="115" t="s">
        <v>56</v>
      </c>
      <c r="O9" s="82">
        <v>45156.494444444441</v>
      </c>
      <c r="P9" s="112" t="s">
        <v>64</v>
      </c>
      <c r="Q9" s="112">
        <v>4837.29</v>
      </c>
      <c r="R9" s="112">
        <v>3710.76</v>
      </c>
      <c r="S9" s="134" t="s">
        <v>82</v>
      </c>
      <c r="T9" s="134">
        <v>866.41</v>
      </c>
      <c r="U9" s="130">
        <v>0.98</v>
      </c>
      <c r="V9" s="130">
        <v>0.97729999999999995</v>
      </c>
      <c r="W9" s="6" t="s">
        <v>81</v>
      </c>
      <c r="X9" s="115" t="s">
        <v>56</v>
      </c>
    </row>
    <row r="10" spans="2:24" ht="15.75">
      <c r="B10" s="82"/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81</v>
      </c>
      <c r="M10" s="115" t="s">
        <v>56</v>
      </c>
      <c r="O10" s="82">
        <v>45167.524305555555</v>
      </c>
      <c r="P10" s="112" t="s">
        <v>64</v>
      </c>
      <c r="Q10" s="112">
        <v>4789.6899999999996</v>
      </c>
      <c r="R10" s="112">
        <v>3679.7</v>
      </c>
      <c r="S10" s="134" t="s">
        <v>82</v>
      </c>
      <c r="T10" s="134">
        <v>870.06</v>
      </c>
      <c r="U10" s="130">
        <v>0.97729999999999995</v>
      </c>
      <c r="V10" s="130">
        <v>0.97050000000000003</v>
      </c>
      <c r="W10" s="6" t="s">
        <v>81</v>
      </c>
      <c r="X10" s="115" t="s">
        <v>56</v>
      </c>
    </row>
    <row r="11" spans="2:24" ht="15.75">
      <c r="B11" s="8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81</v>
      </c>
      <c r="M11" s="115" t="s">
        <v>56</v>
      </c>
      <c r="O11" s="82"/>
      <c r="P11" s="112" t="s">
        <v>64</v>
      </c>
      <c r="Q11" s="112"/>
      <c r="R11" s="112"/>
      <c r="S11" s="134" t="s">
        <v>82</v>
      </c>
      <c r="T11" s="134"/>
      <c r="U11" s="130"/>
      <c r="V11" s="130"/>
      <c r="W11" s="6" t="s">
        <v>81</v>
      </c>
      <c r="X11" s="115" t="s">
        <v>56</v>
      </c>
    </row>
    <row r="12" spans="2:24" ht="15.75">
      <c r="B12" s="8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81</v>
      </c>
      <c r="M12" s="115" t="s">
        <v>56</v>
      </c>
      <c r="O12" s="82"/>
      <c r="P12" s="112" t="s">
        <v>64</v>
      </c>
      <c r="Q12" s="112"/>
      <c r="R12" s="112"/>
      <c r="S12" s="134" t="s">
        <v>82</v>
      </c>
      <c r="T12" s="134"/>
      <c r="U12" s="130"/>
      <c r="V12" s="130"/>
      <c r="W12" s="6" t="s">
        <v>81</v>
      </c>
      <c r="X12" s="115" t="s">
        <v>56</v>
      </c>
    </row>
    <row r="13" spans="2:24" ht="15.75">
      <c r="B13" s="8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81</v>
      </c>
      <c r="M13" s="115" t="s">
        <v>56</v>
      </c>
      <c r="O13" s="82"/>
      <c r="P13" s="112" t="s">
        <v>64</v>
      </c>
      <c r="Q13" s="112"/>
      <c r="R13" s="112"/>
      <c r="S13" s="134" t="s">
        <v>82</v>
      </c>
      <c r="T13" s="134"/>
      <c r="U13" s="130"/>
      <c r="V13" s="130"/>
      <c r="W13" s="6" t="s">
        <v>81</v>
      </c>
      <c r="X13" s="115" t="s">
        <v>56</v>
      </c>
    </row>
    <row r="14" spans="2:24" ht="15.75">
      <c r="B14" s="8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81</v>
      </c>
      <c r="M14" s="115" t="s">
        <v>56</v>
      </c>
      <c r="O14" s="82"/>
      <c r="P14" s="112" t="s">
        <v>64</v>
      </c>
      <c r="Q14" s="112"/>
      <c r="R14" s="112"/>
      <c r="S14" s="134" t="s">
        <v>82</v>
      </c>
      <c r="T14" s="134"/>
      <c r="U14" s="130"/>
      <c r="V14" s="130"/>
      <c r="W14" s="6" t="s">
        <v>81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64</v>
      </c>
      <c r="Q15" s="112"/>
      <c r="R15" s="112"/>
      <c r="S15" s="134" t="s">
        <v>82</v>
      </c>
      <c r="T15" s="134"/>
      <c r="U15" s="130"/>
      <c r="V15" s="130"/>
      <c r="W15" s="6" t="s">
        <v>81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64</v>
      </c>
      <c r="Q16" s="112"/>
      <c r="R16" s="112"/>
      <c r="S16" s="134" t="s">
        <v>82</v>
      </c>
      <c r="T16" s="134"/>
      <c r="U16" s="130"/>
      <c r="V16" s="130"/>
      <c r="W16" s="6" t="s">
        <v>81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64</v>
      </c>
      <c r="Q17" s="112"/>
      <c r="R17" s="112"/>
      <c r="S17" s="134" t="s">
        <v>82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4" t="s">
        <v>83</v>
      </c>
      <c r="D21" s="194"/>
      <c r="E21" s="194"/>
      <c r="F21" s="194"/>
      <c r="G21" s="194"/>
      <c r="H21" s="194"/>
      <c r="I21" s="119">
        <f>COUNT(B8:B20)</f>
        <v>1</v>
      </c>
      <c r="J21" s="120"/>
      <c r="K21" s="120"/>
      <c r="L21" s="106"/>
      <c r="M21" s="121"/>
      <c r="O21" s="122"/>
      <c r="P21" s="197" t="s">
        <v>84</v>
      </c>
      <c r="Q21" s="197"/>
      <c r="R21" s="197"/>
      <c r="S21" s="197"/>
      <c r="T21" s="135">
        <f>COUNT(O8:O20)</f>
        <v>3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5" t="s">
        <v>85</v>
      </c>
      <c r="H24" s="195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65</v>
      </c>
      <c r="C26" s="97" t="s">
        <v>66</v>
      </c>
      <c r="D26" s="97" t="s">
        <v>67</v>
      </c>
      <c r="E26" s="97" t="s">
        <v>68</v>
      </c>
      <c r="F26" s="97" t="s">
        <v>69</v>
      </c>
      <c r="G26" s="97" t="s">
        <v>70</v>
      </c>
      <c r="H26" s="98" t="s">
        <v>71</v>
      </c>
      <c r="I26" s="97" t="s">
        <v>72</v>
      </c>
      <c r="J26" s="97" t="s">
        <v>73</v>
      </c>
      <c r="K26" s="97" t="s">
        <v>74</v>
      </c>
      <c r="L26" s="97" t="s">
        <v>54</v>
      </c>
      <c r="M26" s="39" t="s">
        <v>75</v>
      </c>
      <c r="O26" s="113" t="s">
        <v>65</v>
      </c>
      <c r="P26" s="114" t="s">
        <v>66</v>
      </c>
      <c r="Q26" s="114" t="s">
        <v>76</v>
      </c>
      <c r="R26" s="114" t="s">
        <v>11</v>
      </c>
      <c r="S26" s="114" t="s">
        <v>77</v>
      </c>
      <c r="T26" s="114" t="s">
        <v>78</v>
      </c>
      <c r="U26" s="132" t="s">
        <v>79</v>
      </c>
      <c r="V26" s="132" t="s">
        <v>80</v>
      </c>
      <c r="W26" s="114" t="s">
        <v>54</v>
      </c>
      <c r="X26" s="133" t="s">
        <v>75</v>
      </c>
    </row>
    <row r="27" spans="2:24" ht="15.75">
      <c r="B27" s="82">
        <v>45156.505555555559</v>
      </c>
      <c r="C27" s="6" t="s">
        <v>86</v>
      </c>
      <c r="D27" s="6" t="s">
        <v>39</v>
      </c>
      <c r="E27" s="6">
        <v>0</v>
      </c>
      <c r="F27" s="6">
        <v>200</v>
      </c>
      <c r="G27" s="6">
        <v>0</v>
      </c>
      <c r="H27" s="95">
        <v>200.2</v>
      </c>
      <c r="I27" s="6">
        <v>0</v>
      </c>
      <c r="J27" s="95">
        <f>F27/H27</f>
        <v>0.99900099900099903</v>
      </c>
      <c r="K27" s="95">
        <f>(H27-F27)*100/F27</f>
        <v>9.9999999999994316E-2</v>
      </c>
      <c r="L27" s="6" t="s">
        <v>81</v>
      </c>
      <c r="M27" s="115" t="s">
        <v>56</v>
      </c>
      <c r="O27" s="82">
        <v>45147.584722222222</v>
      </c>
      <c r="P27" s="112" t="s">
        <v>29</v>
      </c>
      <c r="Q27" s="112">
        <v>4470.6899999999996</v>
      </c>
      <c r="R27" s="112">
        <v>3455.6</v>
      </c>
      <c r="S27" s="134" t="s">
        <v>87</v>
      </c>
      <c r="T27" s="134">
        <v>795.15</v>
      </c>
      <c r="U27" s="130">
        <v>0.92830000000000001</v>
      </c>
      <c r="V27" s="130">
        <v>0.92110000000000003</v>
      </c>
      <c r="W27" s="6" t="s">
        <v>81</v>
      </c>
      <c r="X27" s="115" t="s">
        <v>56</v>
      </c>
    </row>
    <row r="28" spans="2:24" ht="15.75">
      <c r="B28" s="82">
        <v>45169.545138888891</v>
      </c>
      <c r="C28" s="6" t="s">
        <v>86</v>
      </c>
      <c r="D28" s="6" t="s">
        <v>39</v>
      </c>
      <c r="E28" s="6">
        <v>0</v>
      </c>
      <c r="F28" s="6">
        <v>200</v>
      </c>
      <c r="G28" s="6">
        <v>0</v>
      </c>
      <c r="H28" s="95">
        <v>199.8</v>
      </c>
      <c r="I28" s="6">
        <v>0</v>
      </c>
      <c r="J28" s="95">
        <f t="shared" ref="J28:J33" si="2">F28/H28</f>
        <v>1.0010010010010009</v>
      </c>
      <c r="K28" s="95">
        <f t="shared" ref="K28:K33" si="3">(H28-F28)*100/F28</f>
        <v>-9.9999999999994316E-2</v>
      </c>
      <c r="L28" s="6" t="s">
        <v>81</v>
      </c>
      <c r="M28" s="115" t="s">
        <v>56</v>
      </c>
      <c r="O28" s="82">
        <v>45156.494444444441</v>
      </c>
      <c r="P28" s="112" t="s">
        <v>29</v>
      </c>
      <c r="Q28" s="112">
        <v>4690.04</v>
      </c>
      <c r="R28" s="112">
        <v>3641.37</v>
      </c>
      <c r="S28" s="134" t="s">
        <v>87</v>
      </c>
      <c r="T28" s="134">
        <v>775.27</v>
      </c>
      <c r="U28" s="130">
        <v>0.92110000000000003</v>
      </c>
      <c r="V28" s="130">
        <v>0.93740000000000001</v>
      </c>
      <c r="W28" s="6" t="s">
        <v>81</v>
      </c>
      <c r="X28" s="115" t="s">
        <v>56</v>
      </c>
    </row>
    <row r="29" spans="2:24" ht="15.75">
      <c r="B29" s="82"/>
      <c r="C29" s="6" t="s">
        <v>86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81</v>
      </c>
      <c r="M29" s="115" t="s">
        <v>56</v>
      </c>
      <c r="O29" s="82">
        <v>45167.524305555555</v>
      </c>
      <c r="P29" s="112" t="s">
        <v>29</v>
      </c>
      <c r="Q29" s="112">
        <v>4459.5</v>
      </c>
      <c r="R29" s="112">
        <v>3472.13</v>
      </c>
      <c r="S29" s="134" t="s">
        <v>87</v>
      </c>
      <c r="T29" s="134">
        <v>789.2</v>
      </c>
      <c r="U29" s="130">
        <v>0.93740000000000001</v>
      </c>
      <c r="V29" s="130">
        <v>0.93720000000000003</v>
      </c>
      <c r="W29" s="6" t="s">
        <v>81</v>
      </c>
      <c r="X29" s="115" t="s">
        <v>56</v>
      </c>
    </row>
    <row r="30" spans="2:24" ht="15.75">
      <c r="B30" s="82"/>
      <c r="C30" s="6" t="s">
        <v>86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81</v>
      </c>
      <c r="M30" s="115" t="s">
        <v>56</v>
      </c>
      <c r="O30" s="82"/>
      <c r="P30" s="112" t="s">
        <v>29</v>
      </c>
      <c r="Q30" s="112"/>
      <c r="R30" s="112"/>
      <c r="S30" s="134" t="s">
        <v>87</v>
      </c>
      <c r="T30" s="134"/>
      <c r="U30" s="130"/>
      <c r="V30" s="130"/>
      <c r="W30" s="6" t="s">
        <v>81</v>
      </c>
      <c r="X30" s="115" t="s">
        <v>56</v>
      </c>
    </row>
    <row r="31" spans="2:24" ht="15.75">
      <c r="B31" s="82"/>
      <c r="C31" s="6" t="s">
        <v>86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81</v>
      </c>
      <c r="M31" s="115" t="s">
        <v>56</v>
      </c>
      <c r="O31" s="82"/>
      <c r="P31" s="112" t="s">
        <v>29</v>
      </c>
      <c r="Q31" s="112"/>
      <c r="R31" s="112"/>
      <c r="S31" s="134" t="s">
        <v>87</v>
      </c>
      <c r="T31" s="134"/>
      <c r="U31" s="130"/>
      <c r="V31" s="130"/>
      <c r="W31" s="6" t="s">
        <v>81</v>
      </c>
      <c r="X31" s="115" t="s">
        <v>56</v>
      </c>
    </row>
    <row r="32" spans="2:24" ht="15.75">
      <c r="B32" s="82"/>
      <c r="C32" s="6" t="s">
        <v>86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81</v>
      </c>
      <c r="M32" s="115" t="s">
        <v>56</v>
      </c>
      <c r="O32" s="82"/>
      <c r="P32" s="112" t="s">
        <v>29</v>
      </c>
      <c r="Q32" s="112"/>
      <c r="R32" s="112"/>
      <c r="S32" s="134" t="s">
        <v>87</v>
      </c>
      <c r="T32" s="134"/>
      <c r="U32" s="130"/>
      <c r="V32" s="130"/>
      <c r="W32" s="6" t="s">
        <v>81</v>
      </c>
      <c r="X32" s="115" t="s">
        <v>56</v>
      </c>
    </row>
    <row r="33" spans="2:24" ht="15.75">
      <c r="B33" s="82"/>
      <c r="C33" s="6" t="s">
        <v>86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81</v>
      </c>
      <c r="M33" s="115" t="s">
        <v>56</v>
      </c>
      <c r="O33" s="82"/>
      <c r="P33" s="112" t="s">
        <v>29</v>
      </c>
      <c r="Q33" s="112"/>
      <c r="R33" s="112"/>
      <c r="S33" s="134" t="s">
        <v>87</v>
      </c>
      <c r="T33" s="134"/>
      <c r="U33" s="130"/>
      <c r="V33" s="130"/>
      <c r="W33" s="6" t="s">
        <v>81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87</v>
      </c>
      <c r="T34" s="134"/>
      <c r="U34" s="130"/>
      <c r="V34" s="130"/>
      <c r="W34" s="6" t="s">
        <v>81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87</v>
      </c>
      <c r="T35" s="134"/>
      <c r="U35" s="130"/>
      <c r="V35" s="130"/>
      <c r="W35" s="6" t="s">
        <v>81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87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87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7" t="s">
        <v>88</v>
      </c>
      <c r="Q40" s="197"/>
      <c r="R40" s="197"/>
      <c r="S40" s="197"/>
      <c r="T40" s="135">
        <f>COUNT(O27:O39)</f>
        <v>3</v>
      </c>
      <c r="U40" s="136"/>
      <c r="V40" s="136"/>
      <c r="W40" s="137"/>
      <c r="X40" s="138"/>
    </row>
    <row r="41" spans="2:24">
      <c r="B41" s="99"/>
      <c r="C41" s="106"/>
      <c r="D41" s="194" t="s">
        <v>89</v>
      </c>
      <c r="E41" s="194"/>
      <c r="F41" s="194"/>
      <c r="G41" s="194"/>
      <c r="H41" s="194"/>
      <c r="I41" s="194"/>
      <c r="J41" s="126">
        <f>COUNT(B27:B39)</f>
        <v>2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5" t="s">
        <v>38</v>
      </c>
      <c r="H44" s="195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65</v>
      </c>
      <c r="C46" s="97" t="s">
        <v>66</v>
      </c>
      <c r="D46" s="97" t="s">
        <v>67</v>
      </c>
      <c r="E46" s="97" t="s">
        <v>68</v>
      </c>
      <c r="F46" s="97" t="s">
        <v>69</v>
      </c>
      <c r="G46" s="97" t="s">
        <v>70</v>
      </c>
      <c r="H46" s="98" t="s">
        <v>71</v>
      </c>
      <c r="I46" s="97" t="s">
        <v>72</v>
      </c>
      <c r="J46" s="97" t="s">
        <v>73</v>
      </c>
      <c r="K46" s="97" t="s">
        <v>74</v>
      </c>
      <c r="L46" s="97" t="s">
        <v>54</v>
      </c>
      <c r="M46" s="39" t="s">
        <v>75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81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81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81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81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81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4" t="s">
        <v>90</v>
      </c>
      <c r="E61" s="194"/>
      <c r="F61" s="194"/>
      <c r="G61" s="194"/>
      <c r="H61" s="194"/>
      <c r="I61" s="194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5" t="s">
        <v>37</v>
      </c>
      <c r="H64" s="195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65</v>
      </c>
      <c r="C66" s="97" t="s">
        <v>66</v>
      </c>
      <c r="D66" s="97" t="s">
        <v>67</v>
      </c>
      <c r="E66" s="97" t="s">
        <v>68</v>
      </c>
      <c r="F66" s="97" t="s">
        <v>69</v>
      </c>
      <c r="G66" s="97" t="s">
        <v>70</v>
      </c>
      <c r="H66" s="98" t="s">
        <v>71</v>
      </c>
      <c r="I66" s="97" t="s">
        <v>72</v>
      </c>
      <c r="J66" s="97" t="s">
        <v>73</v>
      </c>
      <c r="K66" s="97" t="s">
        <v>74</v>
      </c>
      <c r="L66" s="97" t="s">
        <v>54</v>
      </c>
      <c r="M66" s="39" t="s">
        <v>75</v>
      </c>
    </row>
    <row r="67" spans="2:13" ht="15.75">
      <c r="B67" s="82">
        <v>45156.475694444445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5</v>
      </c>
      <c r="I67" s="6">
        <v>0</v>
      </c>
      <c r="J67" s="95">
        <f>F67/H67</f>
        <v>1</v>
      </c>
      <c r="K67" s="95">
        <f>(H67-F67)*100/F67</f>
        <v>0</v>
      </c>
      <c r="L67" s="6" t="s">
        <v>81</v>
      </c>
      <c r="M67" s="115" t="s">
        <v>56</v>
      </c>
    </row>
    <row r="68" spans="2:13" ht="15.75">
      <c r="B68" s="82">
        <v>45169.453472222223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4.9000000000000004</v>
      </c>
      <c r="I68" s="6">
        <v>0</v>
      </c>
      <c r="J68" s="95">
        <f t="shared" ref="J68:J73" si="4">F68/H68</f>
        <v>1.0204081632653061</v>
      </c>
      <c r="K68" s="95">
        <f t="shared" ref="K68:K73" si="5">(H68-F68)*100/F68</f>
        <v>-1.9999999999999929</v>
      </c>
      <c r="L68" s="6" t="s">
        <v>81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81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81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81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81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81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4" t="s">
        <v>91</v>
      </c>
      <c r="E81" s="194"/>
      <c r="F81" s="194"/>
      <c r="G81" s="194"/>
      <c r="H81" s="194"/>
      <c r="I81" s="194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5" t="s">
        <v>92</v>
      </c>
      <c r="H84" s="195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65</v>
      </c>
      <c r="C86" s="97" t="s">
        <v>66</v>
      </c>
      <c r="D86" s="97" t="s">
        <v>67</v>
      </c>
      <c r="E86" s="97" t="s">
        <v>68</v>
      </c>
      <c r="F86" s="97" t="s">
        <v>69</v>
      </c>
      <c r="G86" s="97" t="s">
        <v>70</v>
      </c>
      <c r="H86" s="98" t="s">
        <v>71</v>
      </c>
      <c r="I86" s="97" t="s">
        <v>72</v>
      </c>
      <c r="J86" s="97" t="s">
        <v>73</v>
      </c>
      <c r="K86" s="97" t="s">
        <v>74</v>
      </c>
      <c r="L86" s="97" t="s">
        <v>54</v>
      </c>
      <c r="M86" s="39" t="s">
        <v>75</v>
      </c>
    </row>
    <row r="87" spans="2:13" ht="15.75">
      <c r="B87" s="8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81</v>
      </c>
      <c r="M87" s="115" t="s">
        <v>56</v>
      </c>
    </row>
    <row r="88" spans="2:13" ht="15.75">
      <c r="B88" s="8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81</v>
      </c>
      <c r="M88" s="115" t="s">
        <v>56</v>
      </c>
    </row>
    <row r="89" spans="2:13" ht="15.75">
      <c r="B89" s="8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81</v>
      </c>
      <c r="M89" s="115" t="s">
        <v>56</v>
      </c>
    </row>
    <row r="90" spans="2:13" ht="15.75">
      <c r="B90" s="8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81</v>
      </c>
      <c r="M90" s="115" t="s">
        <v>56</v>
      </c>
    </row>
    <row r="91" spans="2:13" ht="15.75">
      <c r="B91" s="8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81</v>
      </c>
      <c r="M91" s="115" t="s">
        <v>56</v>
      </c>
    </row>
    <row r="92" spans="2:13" ht="15.75">
      <c r="B92" s="8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81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4" t="s">
        <v>93</v>
      </c>
      <c r="E101" s="194"/>
      <c r="F101" s="194"/>
      <c r="G101" s="194"/>
      <c r="H101" s="194"/>
      <c r="I101" s="194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6" t="s">
        <v>94</v>
      </c>
      <c r="H104" s="196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65</v>
      </c>
      <c r="C106" s="97" t="s">
        <v>66</v>
      </c>
      <c r="D106" s="97" t="s">
        <v>67</v>
      </c>
      <c r="E106" s="97" t="s">
        <v>68</v>
      </c>
      <c r="F106" s="97" t="s">
        <v>69</v>
      </c>
      <c r="G106" s="97" t="s">
        <v>70</v>
      </c>
      <c r="H106" s="98" t="s">
        <v>71</v>
      </c>
      <c r="I106" s="97" t="s">
        <v>72</v>
      </c>
      <c r="J106" s="97" t="s">
        <v>73</v>
      </c>
      <c r="K106" s="97" t="s">
        <v>74</v>
      </c>
      <c r="L106" s="97" t="s">
        <v>54</v>
      </c>
      <c r="M106" s="141" t="s">
        <v>75</v>
      </c>
    </row>
    <row r="107" spans="2:13" ht="15.75">
      <c r="B107" s="82">
        <v>45156.48333333333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95">
        <v>320.3</v>
      </c>
      <c r="I107" s="6">
        <f>G107-E107</f>
        <v>0</v>
      </c>
      <c r="J107" s="95">
        <f>F107/H107</f>
        <v>0.99906337808304713</v>
      </c>
      <c r="K107" s="95">
        <f>(H107-F107)*100/F107</f>
        <v>9.3750000000003553E-2</v>
      </c>
      <c r="L107" s="6" t="s">
        <v>81</v>
      </c>
      <c r="M107" s="115" t="s">
        <v>56</v>
      </c>
    </row>
    <row r="108" spans="2:13" ht="15.75">
      <c r="B108" s="82">
        <v>45169.491666666669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95">
        <v>320.5</v>
      </c>
      <c r="I108" s="6">
        <f>G108-E108</f>
        <v>0</v>
      </c>
      <c r="J108" s="95">
        <f>F108/H108</f>
        <v>0.99843993759750393</v>
      </c>
      <c r="K108" s="95">
        <f>(H108-F108)*100/F108</f>
        <v>0.15625</v>
      </c>
      <c r="L108" s="6" t="s">
        <v>81</v>
      </c>
      <c r="M108" s="115" t="s">
        <v>56</v>
      </c>
    </row>
    <row r="109" spans="2:13" ht="15.75">
      <c r="B109" s="8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81</v>
      </c>
      <c r="M109" s="115" t="s">
        <v>56</v>
      </c>
    </row>
    <row r="110" spans="2:13" ht="15.75">
      <c r="B110" s="8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81</v>
      </c>
      <c r="M110" s="115" t="s">
        <v>56</v>
      </c>
    </row>
    <row r="111" spans="2:13" ht="15.75">
      <c r="B111" s="8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81</v>
      </c>
      <c r="M111" s="115" t="s">
        <v>56</v>
      </c>
    </row>
    <row r="112" spans="2:13" ht="15.75">
      <c r="B112" s="8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81</v>
      </c>
      <c r="M112" s="115" t="s">
        <v>56</v>
      </c>
    </row>
    <row r="113" spans="2:13" ht="15.75">
      <c r="B113" s="8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81</v>
      </c>
      <c r="M113" s="115" t="s">
        <v>56</v>
      </c>
    </row>
    <row r="114" spans="2:13" ht="15.75">
      <c r="B114" s="8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81</v>
      </c>
      <c r="M114" s="116"/>
    </row>
    <row r="115" spans="2:13" ht="15.75">
      <c r="B115" s="8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81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4" t="s">
        <v>95</v>
      </c>
      <c r="D119" s="194"/>
      <c r="E119" s="194"/>
      <c r="F119" s="194"/>
      <c r="G119" s="194"/>
      <c r="H119" s="194"/>
      <c r="I119" s="126">
        <f>COUNT(B107:B118)</f>
        <v>2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3" t="s">
        <v>96</v>
      </c>
      <c r="C2" s="203"/>
      <c r="D2" s="205" t="str">
        <f>'MONTHLY 31'!$B$2</f>
        <v>01/08/2023 00:15</v>
      </c>
      <c r="E2" s="205"/>
    </row>
    <row r="3" spans="2:5">
      <c r="B3" s="203" t="s">
        <v>97</v>
      </c>
      <c r="C3" s="203"/>
      <c r="D3" s="205"/>
      <c r="E3" s="205"/>
    </row>
    <row r="7" spans="2:5" s="2" customFormat="1">
      <c r="B7" s="78" t="s">
        <v>98</v>
      </c>
      <c r="C7" s="78" t="s">
        <v>99</v>
      </c>
      <c r="D7" s="79" t="s">
        <v>100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101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4" t="s">
        <v>101</v>
      </c>
      <c r="C44" s="204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6" t="s">
        <v>102</v>
      </c>
      <c r="C2" s="206"/>
      <c r="D2" s="206"/>
      <c r="E2" s="206"/>
      <c r="F2" s="207">
        <v>1</v>
      </c>
      <c r="G2" s="208"/>
      <c r="H2" s="208"/>
    </row>
    <row r="3" spans="2:24" customFormat="1" ht="15" customHeight="1">
      <c r="B3" s="206"/>
      <c r="C3" s="206"/>
      <c r="D3" s="206"/>
      <c r="E3" s="206"/>
      <c r="F3" s="208"/>
      <c r="G3" s="208"/>
      <c r="H3" s="208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1" t="s">
        <v>94</v>
      </c>
      <c r="C12" s="222" t="s">
        <v>103</v>
      </c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46"/>
      <c r="U12" s="45"/>
    </row>
    <row r="13" spans="2:24" ht="15" customHeight="1">
      <c r="B13" s="212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4" t="s">
        <v>117</v>
      </c>
      <c r="Q13" s="4" t="s">
        <v>118</v>
      </c>
      <c r="R13" s="47"/>
      <c r="U13" s="45"/>
    </row>
    <row r="14" spans="2:24" ht="15" customHeight="1">
      <c r="B14" s="212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2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5" t="s">
        <v>132</v>
      </c>
      <c r="Q15" s="8" t="s">
        <v>133</v>
      </c>
      <c r="R15" s="49" t="s">
        <v>75</v>
      </c>
      <c r="X15" s="48"/>
    </row>
    <row r="16" spans="2:24" ht="15.75" customHeight="1">
      <c r="B16" s="212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2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2"/>
      <c r="C18" s="12" t="s">
        <v>104</v>
      </c>
      <c r="D18" s="12" t="s">
        <v>105</v>
      </c>
      <c r="E18" s="12" t="s">
        <v>106</v>
      </c>
      <c r="F18" s="12" t="s">
        <v>134</v>
      </c>
      <c r="G18" s="12" t="s">
        <v>108</v>
      </c>
      <c r="H18" s="12" t="s">
        <v>109</v>
      </c>
      <c r="I18" s="12" t="s">
        <v>110</v>
      </c>
      <c r="J18" s="12" t="s">
        <v>111</v>
      </c>
      <c r="K18" s="12" t="s">
        <v>112</v>
      </c>
      <c r="L18" s="12" t="s">
        <v>113</v>
      </c>
      <c r="M18" s="12" t="s">
        <v>114</v>
      </c>
      <c r="N18" s="12" t="s">
        <v>115</v>
      </c>
      <c r="O18" s="12" t="s">
        <v>116</v>
      </c>
      <c r="P18" s="37" t="s">
        <v>117</v>
      </c>
      <c r="Q18" s="12" t="s">
        <v>118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5" t="s">
        <v>132</v>
      </c>
      <c r="Q20" s="8" t="s">
        <v>133</v>
      </c>
      <c r="R20" s="52" t="s">
        <v>75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3" t="s">
        <v>85</v>
      </c>
      <c r="C25" s="224" t="s">
        <v>103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09"/>
      <c r="S25" s="56"/>
      <c r="T25" s="57"/>
    </row>
    <row r="26" spans="2:28" ht="15" customHeight="1">
      <c r="B26" s="213"/>
      <c r="C26" s="16" t="s">
        <v>104</v>
      </c>
      <c r="D26" s="17" t="s">
        <v>135</v>
      </c>
      <c r="E26" s="17" t="s">
        <v>136</v>
      </c>
      <c r="F26" s="17" t="s">
        <v>137</v>
      </c>
      <c r="G26" s="17" t="s">
        <v>138</v>
      </c>
      <c r="H26" s="17" t="s">
        <v>139</v>
      </c>
      <c r="I26" s="17" t="s">
        <v>140</v>
      </c>
      <c r="J26" s="17" t="s">
        <v>141</v>
      </c>
      <c r="K26" s="17" t="s">
        <v>142</v>
      </c>
      <c r="L26" s="17" t="s">
        <v>143</v>
      </c>
      <c r="M26" s="17" t="s">
        <v>144</v>
      </c>
      <c r="N26" s="17" t="s">
        <v>145</v>
      </c>
      <c r="O26" s="17" t="s">
        <v>146</v>
      </c>
      <c r="P26" s="17" t="s">
        <v>147</v>
      </c>
      <c r="Q26" s="17" t="s">
        <v>148</v>
      </c>
      <c r="R26" s="17" t="s">
        <v>149</v>
      </c>
      <c r="S26" s="17" t="s">
        <v>150</v>
      </c>
      <c r="T26" s="58" t="s">
        <v>75</v>
      </c>
      <c r="Z26" s="1"/>
      <c r="AA26" s="1"/>
      <c r="AB26" s="1"/>
    </row>
    <row r="27" spans="2:28" ht="15.75" customHeight="1">
      <c r="B27" s="213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3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4"/>
      <c r="C29" s="20" t="s">
        <v>104</v>
      </c>
      <c r="D29" s="21" t="s">
        <v>135</v>
      </c>
      <c r="E29" s="21" t="s">
        <v>136</v>
      </c>
      <c r="F29" s="21" t="s">
        <v>137</v>
      </c>
      <c r="G29" s="21" t="s">
        <v>138</v>
      </c>
      <c r="H29" s="21" t="s">
        <v>139</v>
      </c>
      <c r="I29" s="21" t="s">
        <v>140</v>
      </c>
      <c r="J29" s="21" t="s">
        <v>141</v>
      </c>
      <c r="K29" s="21" t="s">
        <v>142</v>
      </c>
      <c r="L29" s="21" t="s">
        <v>143</v>
      </c>
      <c r="M29" s="21" t="s">
        <v>144</v>
      </c>
      <c r="N29" s="21" t="s">
        <v>145</v>
      </c>
      <c r="O29" s="21" t="s">
        <v>146</v>
      </c>
      <c r="P29" s="21" t="s">
        <v>147</v>
      </c>
      <c r="Q29" s="21" t="s">
        <v>148</v>
      </c>
      <c r="R29" s="21" t="s">
        <v>149</v>
      </c>
      <c r="S29" s="21" t="s">
        <v>150</v>
      </c>
      <c r="T29" s="60" t="s">
        <v>75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5" t="s">
        <v>37</v>
      </c>
      <c r="C36" s="226" t="s">
        <v>103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7"/>
    </row>
    <row r="37" spans="2:25" ht="15.75" customHeight="1">
      <c r="B37" s="216"/>
      <c r="C37" s="24" t="s">
        <v>104</v>
      </c>
      <c r="D37" s="12" t="s">
        <v>135</v>
      </c>
      <c r="E37" s="12" t="s">
        <v>136</v>
      </c>
      <c r="F37" s="12" t="s">
        <v>151</v>
      </c>
      <c r="G37" s="12" t="s">
        <v>152</v>
      </c>
      <c r="H37" s="12" t="s">
        <v>153</v>
      </c>
      <c r="I37" s="12" t="s">
        <v>154</v>
      </c>
      <c r="J37" s="12" t="s">
        <v>155</v>
      </c>
      <c r="K37" s="12" t="s">
        <v>156</v>
      </c>
      <c r="L37" s="12" t="s">
        <v>157</v>
      </c>
      <c r="M37" s="12" t="s">
        <v>158</v>
      </c>
      <c r="N37" s="12" t="s">
        <v>159</v>
      </c>
      <c r="O37" s="38" t="s">
        <v>160</v>
      </c>
    </row>
    <row r="38" spans="2:25">
      <c r="B38" s="21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6"/>
      <c r="C39" s="24" t="s">
        <v>161</v>
      </c>
      <c r="D39" s="12" t="s">
        <v>162</v>
      </c>
      <c r="E39" s="12" t="s">
        <v>163</v>
      </c>
      <c r="F39" s="12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9" t="s">
        <v>75</v>
      </c>
      <c r="W39" s="1"/>
      <c r="X39" s="1"/>
      <c r="Y39" s="1"/>
    </row>
    <row r="40" spans="2:25">
      <c r="B40" s="2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104</v>
      </c>
      <c r="D42" s="12" t="s">
        <v>135</v>
      </c>
      <c r="E42" s="12" t="s">
        <v>136</v>
      </c>
      <c r="F42" s="12" t="s">
        <v>151</v>
      </c>
      <c r="G42" s="12" t="s">
        <v>152</v>
      </c>
      <c r="H42" s="12" t="s">
        <v>153</v>
      </c>
      <c r="I42" s="12" t="s">
        <v>154</v>
      </c>
      <c r="J42" s="12" t="s">
        <v>155</v>
      </c>
      <c r="K42" s="12" t="s">
        <v>156</v>
      </c>
      <c r="L42" s="12" t="s">
        <v>157</v>
      </c>
      <c r="M42" s="12" t="s">
        <v>158</v>
      </c>
      <c r="N42" s="12" t="s">
        <v>159</v>
      </c>
      <c r="O42" s="38" t="s">
        <v>160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161</v>
      </c>
      <c r="D44" s="12" t="s">
        <v>162</v>
      </c>
      <c r="E44" s="12" t="s">
        <v>163</v>
      </c>
      <c r="F44" s="12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9" t="s">
        <v>75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7" t="s">
        <v>63</v>
      </c>
      <c r="C48" s="28" t="s">
        <v>103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8"/>
      <c r="C49" s="24" t="s">
        <v>104</v>
      </c>
      <c r="D49" s="12" t="s">
        <v>126</v>
      </c>
      <c r="E49" s="12" t="s">
        <v>173</v>
      </c>
      <c r="F49" s="12" t="s">
        <v>174</v>
      </c>
      <c r="G49" s="12" t="s">
        <v>175</v>
      </c>
      <c r="H49" s="12" t="s">
        <v>176</v>
      </c>
      <c r="I49" s="12" t="s">
        <v>177</v>
      </c>
      <c r="J49" s="12" t="s">
        <v>111</v>
      </c>
      <c r="K49" s="12" t="s">
        <v>178</v>
      </c>
      <c r="L49" s="12" t="s">
        <v>179</v>
      </c>
      <c r="M49" s="12" t="s">
        <v>180</v>
      </c>
      <c r="N49" s="12" t="s">
        <v>181</v>
      </c>
      <c r="O49" s="12" t="s">
        <v>182</v>
      </c>
      <c r="P49" s="12" t="s">
        <v>183</v>
      </c>
      <c r="Q49" s="38" t="s">
        <v>184</v>
      </c>
    </row>
    <row r="50" spans="2:20">
      <c r="B50" s="218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8"/>
      <c r="C51" s="24" t="s">
        <v>185</v>
      </c>
      <c r="D51" s="12" t="s">
        <v>186</v>
      </c>
      <c r="E51" s="12" t="s">
        <v>187</v>
      </c>
      <c r="F51" s="12" t="s">
        <v>188</v>
      </c>
      <c r="G51" s="12" t="s">
        <v>189</v>
      </c>
      <c r="H51" s="12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9" t="s">
        <v>75</v>
      </c>
    </row>
    <row r="52" spans="2:20" ht="15.75">
      <c r="B52" s="21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104</v>
      </c>
      <c r="D54" s="12" t="s">
        <v>126</v>
      </c>
      <c r="E54" s="12" t="s">
        <v>173</v>
      </c>
      <c r="F54" s="12" t="s">
        <v>174</v>
      </c>
      <c r="G54" s="12" t="s">
        <v>175</v>
      </c>
      <c r="H54" s="12" t="s">
        <v>176</v>
      </c>
      <c r="I54" s="12" t="s">
        <v>177</v>
      </c>
      <c r="J54" s="12" t="s">
        <v>111</v>
      </c>
      <c r="K54" s="12" t="s">
        <v>178</v>
      </c>
      <c r="L54" s="12" t="s">
        <v>179</v>
      </c>
      <c r="M54" s="12" t="s">
        <v>180</v>
      </c>
      <c r="N54" s="12" t="s">
        <v>181</v>
      </c>
      <c r="O54" s="12" t="s">
        <v>182</v>
      </c>
      <c r="P54" s="12" t="s">
        <v>183</v>
      </c>
      <c r="Q54" s="38" t="s">
        <v>184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185</v>
      </c>
      <c r="D56" s="12" t="s">
        <v>186</v>
      </c>
      <c r="E56" s="12" t="s">
        <v>187</v>
      </c>
      <c r="F56" s="12" t="s">
        <v>188</v>
      </c>
      <c r="G56" s="12" t="s">
        <v>189</v>
      </c>
      <c r="H56" s="12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9" t="s">
        <v>75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3" t="s">
        <v>197</v>
      </c>
      <c r="C61" s="224" t="s">
        <v>103</v>
      </c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09"/>
      <c r="S61" s="65"/>
      <c r="T61" s="66"/>
    </row>
    <row r="62" spans="2:20" ht="15.75">
      <c r="B62" s="213"/>
      <c r="C62" s="30" t="s">
        <v>104</v>
      </c>
      <c r="D62" s="30" t="s">
        <v>198</v>
      </c>
      <c r="E62" s="30" t="s">
        <v>199</v>
      </c>
      <c r="F62" s="30" t="s">
        <v>200</v>
      </c>
      <c r="G62" s="30" t="s">
        <v>201</v>
      </c>
      <c r="H62" s="30" t="s">
        <v>202</v>
      </c>
      <c r="I62" s="30" t="s">
        <v>203</v>
      </c>
      <c r="J62" s="30" t="s">
        <v>204</v>
      </c>
      <c r="K62" s="30" t="s">
        <v>205</v>
      </c>
      <c r="L62" s="30" t="s">
        <v>206</v>
      </c>
      <c r="M62" s="30" t="s">
        <v>207</v>
      </c>
      <c r="N62" s="30" t="s">
        <v>208</v>
      </c>
      <c r="O62" s="30" t="s">
        <v>209</v>
      </c>
      <c r="P62" s="30" t="s">
        <v>210</v>
      </c>
      <c r="Q62" s="30" t="s">
        <v>211</v>
      </c>
      <c r="R62" s="30" t="s">
        <v>212</v>
      </c>
      <c r="S62" s="67" t="s">
        <v>213</v>
      </c>
      <c r="T62" s="58" t="s">
        <v>75</v>
      </c>
    </row>
    <row r="63" spans="2:20" ht="15.75">
      <c r="B63" s="219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4"/>
      <c r="C65" s="69" t="s">
        <v>104</v>
      </c>
      <c r="D65" s="69" t="s">
        <v>198</v>
      </c>
      <c r="E65" s="69" t="s">
        <v>199</v>
      </c>
      <c r="F65" s="69" t="s">
        <v>200</v>
      </c>
      <c r="G65" s="69" t="s">
        <v>201</v>
      </c>
      <c r="H65" s="69" t="s">
        <v>202</v>
      </c>
      <c r="I65" s="69" t="s">
        <v>203</v>
      </c>
      <c r="J65" s="69" t="s">
        <v>204</v>
      </c>
      <c r="K65" s="69" t="s">
        <v>205</v>
      </c>
      <c r="L65" s="69" t="s">
        <v>206</v>
      </c>
      <c r="M65" s="69" t="s">
        <v>207</v>
      </c>
      <c r="N65" s="69" t="s">
        <v>208</v>
      </c>
      <c r="O65" s="69" t="s">
        <v>209</v>
      </c>
      <c r="P65" s="69" t="s">
        <v>210</v>
      </c>
      <c r="Q65" s="69" t="s">
        <v>211</v>
      </c>
      <c r="R65" s="69" t="s">
        <v>212</v>
      </c>
      <c r="S65" s="75" t="s">
        <v>213</v>
      </c>
      <c r="T65" s="60" t="s">
        <v>75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3" t="s">
        <v>214</v>
      </c>
      <c r="C69" s="224" t="s">
        <v>103</v>
      </c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09"/>
      <c r="S69" s="65"/>
      <c r="T69" s="66"/>
    </row>
    <row r="70" spans="2:20" ht="15.75">
      <c r="B70" s="213"/>
      <c r="C70" s="69" t="s">
        <v>104</v>
      </c>
      <c r="D70" s="69" t="s">
        <v>198</v>
      </c>
      <c r="E70" s="69" t="s">
        <v>199</v>
      </c>
      <c r="F70" s="69" t="s">
        <v>200</v>
      </c>
      <c r="G70" s="69" t="s">
        <v>201</v>
      </c>
      <c r="H70" s="69" t="s">
        <v>202</v>
      </c>
      <c r="I70" s="69" t="s">
        <v>203</v>
      </c>
      <c r="J70" s="69" t="s">
        <v>204</v>
      </c>
      <c r="K70" s="69" t="s">
        <v>205</v>
      </c>
      <c r="L70" s="69" t="s">
        <v>206</v>
      </c>
      <c r="M70" s="69" t="s">
        <v>207</v>
      </c>
      <c r="N70" s="69" t="s">
        <v>208</v>
      </c>
      <c r="O70" s="69" t="s">
        <v>209</v>
      </c>
      <c r="P70" s="69" t="s">
        <v>210</v>
      </c>
      <c r="Q70" s="69" t="s">
        <v>211</v>
      </c>
      <c r="R70" s="69" t="s">
        <v>212</v>
      </c>
      <c r="S70" s="75" t="s">
        <v>213</v>
      </c>
      <c r="T70" s="60" t="s">
        <v>75</v>
      </c>
    </row>
    <row r="71" spans="2:20" ht="15.75">
      <c r="B71" s="213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4"/>
      <c r="C73" s="69" t="s">
        <v>104</v>
      </c>
      <c r="D73" s="69" t="s">
        <v>198</v>
      </c>
      <c r="E73" s="69" t="s">
        <v>199</v>
      </c>
      <c r="F73" s="69" t="s">
        <v>200</v>
      </c>
      <c r="G73" s="69" t="s">
        <v>201</v>
      </c>
      <c r="H73" s="69" t="s">
        <v>202</v>
      </c>
      <c r="I73" s="69" t="s">
        <v>203</v>
      </c>
      <c r="J73" s="69" t="s">
        <v>204</v>
      </c>
      <c r="K73" s="69" t="s">
        <v>205</v>
      </c>
      <c r="L73" s="69" t="s">
        <v>206</v>
      </c>
      <c r="M73" s="69" t="s">
        <v>207</v>
      </c>
      <c r="N73" s="69" t="s">
        <v>208</v>
      </c>
      <c r="O73" s="69" t="s">
        <v>209</v>
      </c>
      <c r="P73" s="69" t="s">
        <v>210</v>
      </c>
      <c r="Q73" s="69" t="s">
        <v>211</v>
      </c>
      <c r="R73" s="69" t="s">
        <v>212</v>
      </c>
      <c r="S73" s="75" t="s">
        <v>213</v>
      </c>
      <c r="T73" s="60" t="s">
        <v>75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0" t="s">
        <v>92</v>
      </c>
      <c r="C77" s="209" t="s">
        <v>103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70"/>
      <c r="S77" s="70"/>
      <c r="T77" s="15"/>
    </row>
    <row r="78" spans="2:20">
      <c r="B78" s="221"/>
      <c r="C78" s="17" t="s">
        <v>104</v>
      </c>
      <c r="D78" s="17" t="s">
        <v>215</v>
      </c>
      <c r="E78" s="17" t="s">
        <v>216</v>
      </c>
      <c r="F78" s="17" t="s">
        <v>217</v>
      </c>
      <c r="G78" s="17" t="s">
        <v>218</v>
      </c>
      <c r="H78" s="71" t="s">
        <v>219</v>
      </c>
      <c r="I78" s="71" t="s">
        <v>220</v>
      </c>
      <c r="J78" s="71" t="s">
        <v>221</v>
      </c>
      <c r="K78" s="71" t="s">
        <v>222</v>
      </c>
      <c r="L78" s="71" t="s">
        <v>135</v>
      </c>
      <c r="M78" s="17" t="s">
        <v>223</v>
      </c>
      <c r="N78" s="71" t="s">
        <v>224</v>
      </c>
      <c r="O78" s="71" t="s">
        <v>216</v>
      </c>
      <c r="P78" s="71" t="s">
        <v>225</v>
      </c>
      <c r="Q78" s="71" t="s">
        <v>226</v>
      </c>
      <c r="R78" s="71" t="s">
        <v>216</v>
      </c>
      <c r="S78" s="71" t="s">
        <v>227</v>
      </c>
      <c r="T78" s="69" t="s">
        <v>216</v>
      </c>
    </row>
    <row r="79" spans="2:20">
      <c r="B79" s="221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1"/>
      <c r="C80" s="69" t="s">
        <v>228</v>
      </c>
      <c r="D80" s="69" t="s">
        <v>229</v>
      </c>
      <c r="E80" s="69" t="s">
        <v>230</v>
      </c>
      <c r="F80" s="69" t="s">
        <v>216</v>
      </c>
      <c r="G80" s="69" t="s">
        <v>225</v>
      </c>
      <c r="H80" s="69" t="s">
        <v>231</v>
      </c>
      <c r="I80" s="69" t="s">
        <v>216</v>
      </c>
      <c r="J80" s="69" t="s">
        <v>232</v>
      </c>
      <c r="K80" s="69" t="s">
        <v>233</v>
      </c>
      <c r="L80" s="69" t="s">
        <v>234</v>
      </c>
      <c r="M80" s="69" t="s">
        <v>216</v>
      </c>
      <c r="N80" s="69" t="s">
        <v>235</v>
      </c>
      <c r="O80" s="75" t="s">
        <v>216</v>
      </c>
      <c r="P80" s="75" t="s">
        <v>236</v>
      </c>
      <c r="Q80" s="75" t="s">
        <v>216</v>
      </c>
      <c r="R80" s="75" t="s">
        <v>237</v>
      </c>
      <c r="S80" s="75" t="s">
        <v>216</v>
      </c>
      <c r="T80" s="60" t="s">
        <v>75</v>
      </c>
    </row>
    <row r="81" spans="2:20" ht="15.75">
      <c r="B81" s="2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238</v>
      </c>
    </row>
    <row r="82" spans="2:20">
      <c r="B82" s="221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1"/>
      <c r="C83" s="21" t="s">
        <v>104</v>
      </c>
      <c r="D83" s="21" t="s">
        <v>215</v>
      </c>
      <c r="E83" s="21" t="s">
        <v>216</v>
      </c>
      <c r="F83" s="21" t="s">
        <v>217</v>
      </c>
      <c r="G83" s="21" t="s">
        <v>218</v>
      </c>
      <c r="H83" s="69" t="s">
        <v>219</v>
      </c>
      <c r="I83" s="69" t="s">
        <v>220</v>
      </c>
      <c r="J83" s="69" t="s">
        <v>221</v>
      </c>
      <c r="K83" s="69" t="s">
        <v>222</v>
      </c>
      <c r="L83" s="69" t="s">
        <v>135</v>
      </c>
      <c r="M83" s="21" t="s">
        <v>223</v>
      </c>
      <c r="N83" s="69" t="s">
        <v>224</v>
      </c>
      <c r="O83" s="69" t="s">
        <v>216</v>
      </c>
      <c r="P83" s="69" t="s">
        <v>225</v>
      </c>
      <c r="Q83" s="69" t="s">
        <v>226</v>
      </c>
      <c r="R83" s="69" t="s">
        <v>216</v>
      </c>
      <c r="S83" s="69" t="s">
        <v>227</v>
      </c>
      <c r="T83" s="69" t="s">
        <v>216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228</v>
      </c>
      <c r="D85" s="69" t="s">
        <v>229</v>
      </c>
      <c r="E85" s="69" t="s">
        <v>230</v>
      </c>
      <c r="F85" s="69" t="s">
        <v>216</v>
      </c>
      <c r="G85" s="69" t="s">
        <v>225</v>
      </c>
      <c r="H85" s="69" t="s">
        <v>231</v>
      </c>
      <c r="I85" s="69" t="s">
        <v>216</v>
      </c>
      <c r="J85" s="69" t="s">
        <v>232</v>
      </c>
      <c r="K85" s="69" t="s">
        <v>233</v>
      </c>
      <c r="L85" s="69" t="s">
        <v>234</v>
      </c>
      <c r="M85" s="69" t="s">
        <v>216</v>
      </c>
      <c r="N85" s="69" t="s">
        <v>235</v>
      </c>
      <c r="O85" s="75" t="s">
        <v>216</v>
      </c>
      <c r="P85" s="75" t="s">
        <v>236</v>
      </c>
      <c r="Q85" s="75" t="s">
        <v>216</v>
      </c>
      <c r="R85" s="75" t="s">
        <v>237</v>
      </c>
      <c r="S85" s="75" t="s">
        <v>216</v>
      </c>
      <c r="T85" s="58" t="s">
        <v>75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2023-09-05T13:58:52Z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