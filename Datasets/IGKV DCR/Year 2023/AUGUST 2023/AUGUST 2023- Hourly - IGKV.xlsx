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Q45"/>
  <c r="B45"/>
  <c r="C38" i="41"/>
  <c r="D38"/>
  <c r="E38"/>
  <c r="B38"/>
  <c r="E39" i="39" l="1"/>
  <c r="A39"/>
  <c r="Q38"/>
  <c r="K38"/>
  <c r="D38"/>
  <c r="A38"/>
  <c r="I36"/>
  <c r="D36"/>
  <c r="C36"/>
  <c r="E35"/>
  <c r="D35"/>
  <c r="C35"/>
  <c r="O34"/>
  <c r="L34"/>
  <c r="J34"/>
  <c r="B34"/>
  <c r="P33"/>
  <c r="N33"/>
  <c r="M33"/>
  <c r="L33"/>
  <c r="F33"/>
  <c r="H32"/>
  <c r="G32"/>
  <c r="P31"/>
  <c r="N31"/>
  <c r="G31"/>
  <c r="B31"/>
  <c r="Q29"/>
  <c r="K29"/>
  <c r="D29"/>
  <c r="A29"/>
  <c r="B28"/>
  <c r="M27"/>
  <c r="N26"/>
  <c r="O25"/>
  <c r="B22"/>
  <c r="O21"/>
  <c r="G21"/>
  <c r="C21"/>
  <c r="O18"/>
  <c r="F18"/>
  <c r="D18"/>
  <c r="H16"/>
  <c r="D16"/>
  <c r="I15"/>
  <c r="J14"/>
  <c r="K13"/>
  <c r="L12"/>
  <c r="M11"/>
  <c r="N10"/>
  <c r="M10"/>
  <c r="Q40" i="41"/>
  <c r="Q39"/>
  <c r="Q38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40"/>
  <c r="C39"/>
  <c r="B39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O39" i="39" s="1"/>
  <c r="N36" i="41"/>
  <c r="N39" i="39" s="1"/>
  <c r="M36" i="41"/>
  <c r="M39" i="39" s="1"/>
  <c r="L36" i="41"/>
  <c r="L39" i="39" s="1"/>
  <c r="K36" i="41"/>
  <c r="K39" i="39" s="1"/>
  <c r="J36" i="41"/>
  <c r="J39" i="39" s="1"/>
  <c r="I36" i="41"/>
  <c r="I39" i="39" s="1"/>
  <c r="H36" i="41"/>
  <c r="H39" i="39" s="1"/>
  <c r="G36" i="41"/>
  <c r="G39" i="39" s="1"/>
  <c r="F36" i="41"/>
  <c r="F39" i="39" s="1"/>
  <c r="E36" i="41"/>
  <c r="D36"/>
  <c r="D39" i="39" s="1"/>
  <c r="C36" i="41"/>
  <c r="C39" i="39" s="1"/>
  <c r="B36" i="41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8" i="39" s="1"/>
  <c r="O36" i="40"/>
  <c r="O38" i="39" s="1"/>
  <c r="N36" i="40"/>
  <c r="N38" i="39" s="1"/>
  <c r="M36" i="40"/>
  <c r="M38" i="39" s="1"/>
  <c r="L36" i="40"/>
  <c r="L38" i="39" s="1"/>
  <c r="K36" i="40"/>
  <c r="J36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C36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H36"/>
  <c r="H36" i="39" s="1"/>
  <c r="G36" i="33"/>
  <c r="G36" i="39" s="1"/>
  <c r="F36" i="33"/>
  <c r="F36" i="39" s="1"/>
  <c r="E36" i="33"/>
  <c r="E36" i="39" s="1"/>
  <c r="D36" i="33"/>
  <c r="C36"/>
  <c r="B36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D36"/>
  <c r="C36"/>
  <c r="B36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N36"/>
  <c r="N34" i="39" s="1"/>
  <c r="M36" i="31"/>
  <c r="M34" i="39" s="1"/>
  <c r="L36" i="31"/>
  <c r="K36"/>
  <c r="K34" i="39" s="1"/>
  <c r="J36" i="31"/>
  <c r="I36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O36"/>
  <c r="O33" i="39" s="1"/>
  <c r="N36" i="30"/>
  <c r="M36"/>
  <c r="L36"/>
  <c r="K36"/>
  <c r="K33" i="39" s="1"/>
  <c r="J36" i="30"/>
  <c r="J33" i="39" s="1"/>
  <c r="I36" i="30"/>
  <c r="I33" i="39" s="1"/>
  <c r="H36" i="30"/>
  <c r="H33" i="39" s="1"/>
  <c r="G36" i="30"/>
  <c r="G33" i="39" s="1"/>
  <c r="F36" i="30"/>
  <c r="E36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G36"/>
  <c r="F36"/>
  <c r="F32" i="39" s="1"/>
  <c r="E36" i="29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O36"/>
  <c r="O31" i="39" s="1"/>
  <c r="N36" i="28"/>
  <c r="M36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F36"/>
  <c r="F31" i="39" s="1"/>
  <c r="E36" i="28"/>
  <c r="E31" i="39" s="1"/>
  <c r="D36" i="28"/>
  <c r="D31" i="39" s="1"/>
  <c r="C36" i="28"/>
  <c r="C31" i="39" s="1"/>
  <c r="B36" i="2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9" i="39" s="1"/>
  <c r="O36" i="26"/>
  <c r="O29" i="39" s="1"/>
  <c r="N36" i="26"/>
  <c r="N29" i="39" s="1"/>
  <c r="M36" i="26"/>
  <c r="M29" i="39" s="1"/>
  <c r="L36" i="26"/>
  <c r="L29" i="39" s="1"/>
  <c r="K36" i="26"/>
  <c r="J3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C3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L39" i="24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L36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M39" i="2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M36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N36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N36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F36"/>
  <c r="F21" i="39" s="1"/>
  <c r="E36" i="18"/>
  <c r="E21" i="39" s="1"/>
  <c r="D36" i="18"/>
  <c r="D21" i="39" s="1"/>
  <c r="C36" i="18"/>
  <c r="B36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N36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E36"/>
  <c r="E18" i="39" s="1"/>
  <c r="D36" i="15"/>
  <c r="C36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40" i="13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G36"/>
  <c r="G16" i="39" s="1"/>
  <c r="F36" i="13"/>
  <c r="F16" i="39" s="1"/>
  <c r="E36" i="13"/>
  <c r="E16" i="39" s="1"/>
  <c r="D36" i="13"/>
  <c r="C36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H40" i="12"/>
  <c r="G40"/>
  <c r="Q40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I36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J36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K36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L36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L39" i="3"/>
  <c r="Q38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M36"/>
  <c r="L36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9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D35"/>
  <c r="C35"/>
  <c r="B35"/>
  <c r="Q34"/>
  <c r="P34"/>
  <c r="O34"/>
  <c r="N34"/>
  <c r="M34"/>
  <c r="L34"/>
  <c r="K34"/>
  <c r="J34"/>
  <c r="I34"/>
  <c r="H34"/>
  <c r="G34"/>
  <c r="F34"/>
  <c r="D34"/>
  <c r="C34"/>
  <c r="B34"/>
  <c r="B2"/>
  <c r="A9" i="39" s="1"/>
  <c r="B2" s="1"/>
  <c r="P39" i="41" l="1"/>
  <c r="O39"/>
  <c r="N39"/>
  <c r="M39"/>
  <c r="L39"/>
  <c r="K39"/>
  <c r="J39"/>
  <c r="I39"/>
  <c r="H39"/>
  <c r="G39"/>
  <c r="C40"/>
  <c r="B40"/>
  <c r="F39"/>
  <c r="E39"/>
  <c r="D39"/>
  <c r="Q39" i="40"/>
  <c r="P39"/>
  <c r="O39"/>
  <c r="N39"/>
  <c r="M39"/>
  <c r="L39"/>
  <c r="K39"/>
  <c r="J39"/>
  <c r="I39"/>
  <c r="H39"/>
  <c r="G39"/>
  <c r="F39"/>
  <c r="E39"/>
  <c r="D39"/>
  <c r="C39"/>
  <c r="B39"/>
  <c r="C39" i="43"/>
  <c r="B39"/>
  <c r="Q39"/>
  <c r="P39"/>
  <c r="O39"/>
  <c r="N39"/>
  <c r="M39"/>
  <c r="L39"/>
  <c r="K39"/>
  <c r="J39"/>
  <c r="I39"/>
  <c r="H39"/>
  <c r="G39"/>
  <c r="F39"/>
  <c r="E39"/>
  <c r="D39"/>
  <c r="P39" i="33"/>
  <c r="B40"/>
  <c r="O39"/>
  <c r="N39"/>
  <c r="Q39"/>
  <c r="M39"/>
  <c r="L39"/>
  <c r="K39"/>
  <c r="J39"/>
  <c r="I39"/>
  <c r="H39"/>
  <c r="G39"/>
  <c r="F39"/>
  <c r="E39"/>
  <c r="D39"/>
  <c r="C39"/>
  <c r="Q39" i="32"/>
  <c r="O39"/>
  <c r="N39"/>
  <c r="P39"/>
  <c r="M39"/>
  <c r="L39"/>
  <c r="K39"/>
  <c r="J39"/>
  <c r="I39"/>
  <c r="H39"/>
  <c r="G39"/>
  <c r="F39"/>
  <c r="E39"/>
  <c r="D39"/>
  <c r="C39"/>
  <c r="B39"/>
  <c r="O39" i="31"/>
  <c r="N39"/>
  <c r="M39"/>
  <c r="L39"/>
  <c r="K39"/>
  <c r="J39"/>
  <c r="I39"/>
  <c r="H39"/>
  <c r="G39"/>
  <c r="F39"/>
  <c r="E39"/>
  <c r="D39"/>
  <c r="C39"/>
  <c r="B39"/>
  <c r="Q39"/>
  <c r="P39"/>
  <c r="L39" i="30"/>
  <c r="K39"/>
  <c r="J39"/>
  <c r="I39"/>
  <c r="H39"/>
  <c r="G39"/>
  <c r="F39"/>
  <c r="E39"/>
  <c r="D39"/>
  <c r="C39"/>
  <c r="B39"/>
  <c r="Q39"/>
  <c r="P39"/>
  <c r="O39"/>
  <c r="N39"/>
  <c r="M39"/>
  <c r="J39" i="29"/>
  <c r="I39"/>
  <c r="H39"/>
  <c r="G39"/>
  <c r="L40"/>
  <c r="F39"/>
  <c r="E39"/>
  <c r="D39"/>
  <c r="C39"/>
  <c r="K39"/>
  <c r="B39"/>
  <c r="Q39"/>
  <c r="P39"/>
  <c r="O39"/>
  <c r="N39"/>
  <c r="M39"/>
  <c r="J39" i="28"/>
  <c r="I39"/>
  <c r="H39"/>
  <c r="G39"/>
  <c r="F39"/>
  <c r="E39"/>
  <c r="D39"/>
  <c r="C39"/>
  <c r="B39"/>
  <c r="Q39"/>
  <c r="P39"/>
  <c r="O39"/>
  <c r="N39"/>
  <c r="M39"/>
  <c r="L39"/>
  <c r="K39"/>
  <c r="L39" i="27"/>
  <c r="K39"/>
  <c r="J39"/>
  <c r="I39"/>
  <c r="H39"/>
  <c r="G39"/>
  <c r="F39"/>
  <c r="E39"/>
  <c r="D39"/>
  <c r="C39"/>
  <c r="B39"/>
  <c r="Q39"/>
  <c r="P39"/>
  <c r="O39"/>
  <c r="N39"/>
  <c r="M39"/>
  <c r="J39" i="26"/>
  <c r="I39"/>
  <c r="H39"/>
  <c r="G39"/>
  <c r="F39"/>
  <c r="E39"/>
  <c r="D39"/>
  <c r="C39"/>
  <c r="B39"/>
  <c r="Q39"/>
  <c r="P39"/>
  <c r="O39"/>
  <c r="N39"/>
  <c r="M39"/>
  <c r="L39"/>
  <c r="K39"/>
  <c r="K39" i="25"/>
  <c r="J39"/>
  <c r="I39"/>
  <c r="H39"/>
  <c r="G39"/>
  <c r="F39"/>
  <c r="E39"/>
  <c r="D39"/>
  <c r="C39"/>
  <c r="B39"/>
  <c r="Q39"/>
  <c r="P39"/>
  <c r="O39"/>
  <c r="N39"/>
  <c r="M39"/>
  <c r="L39"/>
  <c r="K39" i="24"/>
  <c r="J39"/>
  <c r="I39"/>
  <c r="H39"/>
  <c r="G39"/>
  <c r="F39"/>
  <c r="E39"/>
  <c r="D39"/>
  <c r="C39"/>
  <c r="B39"/>
  <c r="Q39"/>
  <c r="P39"/>
  <c r="O39"/>
  <c r="N39"/>
  <c r="M39"/>
  <c r="L39" i="23"/>
  <c r="K39"/>
  <c r="J39"/>
  <c r="I39"/>
  <c r="H39"/>
  <c r="G39"/>
  <c r="F39"/>
  <c r="E39"/>
  <c r="D39"/>
  <c r="C39"/>
  <c r="B39"/>
  <c r="Q39"/>
  <c r="P39"/>
  <c r="O39"/>
  <c r="N39"/>
  <c r="L39" i="22"/>
  <c r="K39"/>
  <c r="N39"/>
  <c r="J39"/>
  <c r="I39"/>
  <c r="H39"/>
  <c r="G39"/>
  <c r="M39"/>
  <c r="F39"/>
  <c r="E39"/>
  <c r="D39"/>
  <c r="C39"/>
  <c r="B39"/>
  <c r="Q39"/>
  <c r="P39"/>
  <c r="O39"/>
  <c r="P39" i="21"/>
  <c r="O39"/>
  <c r="N39"/>
  <c r="M39"/>
  <c r="L39"/>
  <c r="K39"/>
  <c r="J39"/>
  <c r="I39"/>
  <c r="H39"/>
  <c r="G39"/>
  <c r="F39"/>
  <c r="E39"/>
  <c r="D39"/>
  <c r="C39"/>
  <c r="B39"/>
  <c r="Q39"/>
  <c r="B39" i="20"/>
  <c r="Q39"/>
  <c r="P39"/>
  <c r="O39"/>
  <c r="N39"/>
  <c r="M39"/>
  <c r="L39"/>
  <c r="K39"/>
  <c r="J39"/>
  <c r="I39"/>
  <c r="H39"/>
  <c r="G39"/>
  <c r="F39"/>
  <c r="E39"/>
  <c r="D39"/>
  <c r="C39"/>
  <c r="B39" i="19"/>
  <c r="Q39"/>
  <c r="P39"/>
  <c r="O39"/>
  <c r="C39"/>
  <c r="N39"/>
  <c r="M39"/>
  <c r="L39"/>
  <c r="K39"/>
  <c r="J39"/>
  <c r="I39"/>
  <c r="H39"/>
  <c r="G39"/>
  <c r="F39"/>
  <c r="E39"/>
  <c r="D39"/>
  <c r="P40" i="18"/>
  <c r="O39"/>
  <c r="B40"/>
  <c r="N39"/>
  <c r="M39"/>
  <c r="L39"/>
  <c r="K39"/>
  <c r="J39"/>
  <c r="Q39"/>
  <c r="I39"/>
  <c r="H39"/>
  <c r="G39"/>
  <c r="F39"/>
  <c r="E39"/>
  <c r="D39"/>
  <c r="C39"/>
  <c r="D39" i="17"/>
  <c r="C39"/>
  <c r="B39"/>
  <c r="Q39"/>
  <c r="P39"/>
  <c r="O39"/>
  <c r="N39"/>
  <c r="M39"/>
  <c r="L39"/>
  <c r="K39"/>
  <c r="J39"/>
  <c r="I39"/>
  <c r="H39"/>
  <c r="G39"/>
  <c r="F39"/>
  <c r="E39"/>
  <c r="F39" i="16"/>
  <c r="E39"/>
  <c r="D39"/>
  <c r="C39"/>
  <c r="B39"/>
  <c r="Q39"/>
  <c r="P39"/>
  <c r="O39"/>
  <c r="N39"/>
  <c r="M39"/>
  <c r="L39"/>
  <c r="K39"/>
  <c r="J39"/>
  <c r="I39"/>
  <c r="H39"/>
  <c r="G39"/>
  <c r="E39" i="15"/>
  <c r="D39"/>
  <c r="C39"/>
  <c r="B39"/>
  <c r="Q39"/>
  <c r="P39"/>
  <c r="O39"/>
  <c r="N40"/>
  <c r="M39"/>
  <c r="L39"/>
  <c r="K39"/>
  <c r="J39"/>
  <c r="I39"/>
  <c r="H39"/>
  <c r="G39"/>
  <c r="F39"/>
  <c r="G39" i="14"/>
  <c r="F39"/>
  <c r="I40"/>
  <c r="E39"/>
  <c r="H39"/>
  <c r="D39"/>
  <c r="J39"/>
  <c r="C39"/>
  <c r="B39"/>
  <c r="Q39"/>
  <c r="P39"/>
  <c r="O39"/>
  <c r="N39"/>
  <c r="M39"/>
  <c r="L39"/>
  <c r="K39"/>
  <c r="G40" i="13"/>
  <c r="F39"/>
  <c r="E39"/>
  <c r="D39"/>
  <c r="C39"/>
  <c r="B39"/>
  <c r="Q39"/>
  <c r="P39"/>
  <c r="O39"/>
  <c r="N39"/>
  <c r="M39"/>
  <c r="L39"/>
  <c r="K39"/>
  <c r="J39"/>
  <c r="I39"/>
  <c r="H39"/>
  <c r="F39" i="12"/>
  <c r="E39"/>
  <c r="D39"/>
  <c r="C39"/>
  <c r="B39"/>
  <c r="Q39"/>
  <c r="P39"/>
  <c r="O39"/>
  <c r="N39"/>
  <c r="M39"/>
  <c r="L39"/>
  <c r="K39"/>
  <c r="J39"/>
  <c r="I39"/>
  <c r="F39" i="11"/>
  <c r="I39"/>
  <c r="E39"/>
  <c r="H40"/>
  <c r="D39"/>
  <c r="C39"/>
  <c r="B39"/>
  <c r="Q39"/>
  <c r="P39"/>
  <c r="O39"/>
  <c r="N39"/>
  <c r="M39"/>
  <c r="G40"/>
  <c r="L39"/>
  <c r="K39"/>
  <c r="J39"/>
  <c r="J39" i="10"/>
  <c r="I39"/>
  <c r="H40"/>
  <c r="G39"/>
  <c r="F39"/>
  <c r="E39"/>
  <c r="D39"/>
  <c r="C39"/>
  <c r="B39"/>
  <c r="Q39"/>
  <c r="P40"/>
  <c r="O39"/>
  <c r="N39"/>
  <c r="M39"/>
  <c r="L39"/>
  <c r="K39"/>
  <c r="J39" i="9"/>
  <c r="K40"/>
  <c r="I39"/>
  <c r="H39"/>
  <c r="G39"/>
  <c r="F39"/>
  <c r="E39"/>
  <c r="D39"/>
  <c r="C39"/>
  <c r="B39"/>
  <c r="Q39"/>
  <c r="P39"/>
  <c r="O39"/>
  <c r="N39"/>
  <c r="M39"/>
  <c r="L39"/>
  <c r="K39" i="8"/>
  <c r="J39"/>
  <c r="I39"/>
  <c r="H39"/>
  <c r="G39"/>
  <c r="L40"/>
  <c r="F39"/>
  <c r="E39"/>
  <c r="D39"/>
  <c r="C39"/>
  <c r="B39"/>
  <c r="Q39"/>
  <c r="P39"/>
  <c r="O39"/>
  <c r="N39"/>
  <c r="M39"/>
  <c r="J46" i="39"/>
  <c r="J39" i="3"/>
  <c r="I46" i="39"/>
  <c r="I39" i="3"/>
  <c r="K46" i="39"/>
  <c r="H46"/>
  <c r="H39" i="3"/>
  <c r="K40"/>
  <c r="G46" i="39"/>
  <c r="G39" i="3"/>
  <c r="F39"/>
  <c r="E39"/>
  <c r="F47" i="39"/>
  <c r="E46"/>
  <c r="D47"/>
  <c r="D39" i="3"/>
  <c r="L46" i="39"/>
  <c r="C46"/>
  <c r="C39" i="3"/>
  <c r="B46" i="39"/>
  <c r="B39" i="3"/>
  <c r="Q39"/>
  <c r="P46" i="39"/>
  <c r="P39" i="3"/>
  <c r="Q46" i="39"/>
  <c r="O46"/>
  <c r="O39" i="3"/>
  <c r="N47" i="39"/>
  <c r="N39" i="3"/>
  <c r="M47" i="39"/>
  <c r="M39" i="3"/>
  <c r="O39" i="2"/>
  <c r="N39"/>
  <c r="M39"/>
  <c r="L39"/>
  <c r="K39"/>
  <c r="J39"/>
  <c r="I39"/>
  <c r="H39"/>
  <c r="G39"/>
  <c r="F39"/>
  <c r="E39"/>
  <c r="D39"/>
  <c r="C39"/>
  <c r="B39"/>
  <c r="Q39"/>
  <c r="P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O47" l="1"/>
  <c r="D46"/>
  <c r="F46"/>
  <c r="E47"/>
  <c r="G47"/>
  <c r="M46"/>
  <c r="N46"/>
  <c r="L47"/>
  <c r="C47"/>
  <c r="K47"/>
  <c r="B47"/>
  <c r="J47"/>
  <c r="Q47"/>
  <c r="I47"/>
  <c r="P47"/>
  <c r="H47"/>
</calcChain>
</file>

<file path=xl/sharedStrings.xml><?xml version="1.0" encoding="utf-8"?>
<sst xmlns="http://schemas.openxmlformats.org/spreadsheetml/2006/main" count="2928" uniqueCount="801">
  <si>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</si>
  <si>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</si>
  <si>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</si>
  <si>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</si>
  <si>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</si>
  <si>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</si>
  <si>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</si>
  <si>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</si>
  <si>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</si>
  <si>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</si>
  <si>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</si>
  <si>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</si>
  <si>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</si>
  <si>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</si>
  <si>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</si>
  <si>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</si>
  <si>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</si>
  <si>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</si>
  <si>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</si>
  <si>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</si>
  <si>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</si>
  <si>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</si>
  <si>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</si>
  <si>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</si>
  <si>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</si>
  <si>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</si>
  <si>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</si>
  <si>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</si>
  <si>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</si>
  <si>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</si>
  <si>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</si>
  <si>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</si>
  <si>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</si>
  <si>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</si>
  <si>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</si>
  <si>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</si>
  <si>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</si>
  <si>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</si>
  <si>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</si>
  <si>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</si>
  <si>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</si>
  <si>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</si>
  <si>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</si>
  <si>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</si>
  <si>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</si>
  <si>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</si>
  <si>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</si>
  <si>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</si>
  <si>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</si>
  <si>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</si>
  <si>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</si>
  <si>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</si>
  <si>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</si>
  <si>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</si>
  <si>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</si>
  <si>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</si>
  <si>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</si>
  <si>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</si>
  <si>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</si>
  <si>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</si>
  <si>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01/08/2023 01:00</t>
  </si>
  <si>
    <t>01/08/2023 02:00</t>
  </si>
  <si>
    <t>01/08/2023 03:00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</si>
  <si>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</si>
  <si>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</si>
  <si>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</si>
  <si>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</si>
  <si>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</si>
  <si>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</si>
  <si>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</si>
  <si>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</si>
  <si>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</si>
  <si>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</si>
  <si>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</si>
  <si>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</si>
  <si>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</si>
  <si>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</si>
  <si>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</si>
  <si>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</si>
  <si>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</si>
  <si>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</si>
  <si>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</si>
  <si>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01/08/2023 24:00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</si>
  <si>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</si>
  <si>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</si>
  <si>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</si>
  <si>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</si>
  <si>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</si>
  <si>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</si>
  <si>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</si>
  <si>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</si>
  <si>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</si>
  <si>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</si>
  <si>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</si>
  <si>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</si>
  <si>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</si>
  <si>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</si>
  <si>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</si>
  <si>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</si>
  <si>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</si>
  <si>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02/08/2023 18:00</t>
  </si>
  <si>
    <t>02/08/2023 19:00</t>
  </si>
  <si>
    <t>02/08/2023 20:00</t>
  </si>
  <si>
    <t>02/08/2023 21:00</t>
  </si>
  <si>
    <t>02/08/2023 22:00</t>
  </si>
  <si>
    <t>02/08/2023 23:00</t>
  </si>
  <si>
    <t>02/08/2023 24:00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</si>
  <si>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</si>
  <si>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</si>
  <si>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</si>
  <si>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</si>
  <si>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</si>
  <si>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</si>
  <si>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</si>
  <si>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</si>
  <si>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</si>
  <si>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</si>
  <si>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</si>
  <si>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</si>
  <si>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</si>
  <si>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</si>
  <si>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</si>
  <si>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</si>
  <si>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</si>
  <si>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</si>
  <si>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</si>
  <si>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</si>
  <si>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</si>
  <si>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</si>
  <si>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</si>
  <si>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03/08/2023 24:00</t>
  </si>
  <si>
    <t>04/08/2023 01:00</t>
  </si>
  <si>
    <t>04/08/2023 02:00</t>
  </si>
  <si>
    <t>04/08/2023 03:00</t>
  </si>
  <si>
    <t>04/08/2023 04:00</t>
  </si>
  <si>
    <t>04/08/2023 05:00</t>
  </si>
  <si>
    <t>04/08/2023 06:00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</si>
  <si>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</si>
  <si>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</si>
  <si>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</si>
  <si>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</si>
  <si>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</si>
  <si>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</si>
  <si>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13:00</t>
  </si>
  <si>
    <t>04/08/2023 14:00</t>
  </si>
  <si>
    <t>04/08/2023 15:00</t>
  </si>
  <si>
    <t>04/08/2023 16:00</t>
  </si>
  <si>
    <t>04/08/2023 17:00</t>
  </si>
  <si>
    <t>04/08/2023 18:00</t>
  </si>
  <si>
    <t>04/08/2023 19:00</t>
  </si>
  <si>
    <t>04/08/2023 20:00</t>
  </si>
  <si>
    <t>04/08/2023 21:00</t>
  </si>
  <si>
    <t>04/08/2023 22:00</t>
  </si>
  <si>
    <t>04/08/2023 23:00</t>
  </si>
  <si>
    <t>04/08/2023 24:00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</si>
  <si>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</si>
  <si>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</si>
  <si>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</si>
  <si>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</si>
  <si>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</si>
  <si>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</si>
  <si>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</si>
  <si>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</si>
  <si>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</si>
  <si>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</si>
  <si>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</si>
  <si>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</si>
  <si>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</si>
  <si>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</si>
  <si>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</si>
  <si>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</si>
  <si>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</si>
  <si>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</si>
  <si>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</si>
  <si>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</si>
  <si>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</si>
  <si>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</si>
  <si>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</si>
  <si>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05/08/2023 24:00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</si>
  <si>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</si>
  <si>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</si>
  <si>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</si>
  <si>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</si>
  <si>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</si>
  <si>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</si>
  <si>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</si>
  <si>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</si>
  <si>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</si>
  <si>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</si>
  <si>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</si>
  <si>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</si>
  <si>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</si>
  <si>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</si>
  <si>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</si>
  <si>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</si>
  <si>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</si>
  <si>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</si>
  <si>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</si>
  <si>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</si>
  <si>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</si>
  <si>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</si>
  <si>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</si>
  <si>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06/08/2023 24:00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</si>
  <si>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</si>
  <si>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</si>
  <si>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</si>
  <si>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</si>
  <si>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</si>
  <si>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</si>
  <si>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</si>
  <si>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</si>
  <si>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</si>
  <si>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</si>
  <si>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</si>
  <si>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</si>
  <si>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</si>
  <si>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</si>
  <si>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</si>
  <si>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</si>
  <si>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</si>
  <si>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</si>
  <si>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</si>
  <si>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</si>
  <si>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</si>
  <si>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</si>
  <si>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</si>
  <si>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07/08/2023 24:00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</si>
  <si>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</si>
  <si>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</si>
  <si>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</si>
  <si>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</si>
  <si>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</si>
  <si>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</si>
  <si>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</si>
  <si>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</si>
  <si>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</si>
  <si>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</si>
  <si>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</si>
  <si>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</si>
  <si>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</si>
  <si>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</si>
  <si>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</si>
  <si>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</si>
  <si>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</si>
  <si>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</si>
  <si>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</si>
  <si>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</si>
  <si>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</si>
  <si>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</si>
  <si>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</si>
  <si>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08/08/2023 24:00</t>
  </si>
  <si>
    <t>09/08/2023 01:00</t>
  </si>
  <si>
    <t>09/08/2023 02:00</t>
  </si>
  <si>
    <t>09/08/2023 03:00</t>
  </si>
  <si>
    <t>09/08/2023 05:00</t>
  </si>
  <si>
    <t>09/08/2023 06:00</t>
  </si>
  <si>
    <t>09/08/2023 07:00</t>
  </si>
  <si>
    <t>09/08/2023 08:00</t>
  </si>
  <si>
    <t>09/08/2023 09:00</t>
  </si>
  <si>
    <t>09/08/2023 10:00</t>
  </si>
  <si>
    <t>09/08/2023 11:00</t>
  </si>
  <si>
    <t>09/08/2023 12:00</t>
  </si>
  <si>
    <t>09/08/2023 13:00</t>
  </si>
  <si>
    <t>09/08/2023 14:00</t>
  </si>
  <si>
    <t>09/08/2023 15:00</t>
  </si>
  <si>
    <t>09/08/2023 16:00</t>
  </si>
  <si>
    <t>09/08/2023 17:00</t>
  </si>
  <si>
    <t>09/08/2023 18:00</t>
  </si>
  <si>
    <t>09/08/2023 19:00</t>
  </si>
  <si>
    <t>09/08/2023 20:00</t>
  </si>
  <si>
    <t>09/08/2023 21:00</t>
  </si>
  <si>
    <t>09/08/2023 22:00</t>
  </si>
  <si>
    <t>09/08/2023 23:00</t>
  </si>
  <si>
    <t>09/08/2023 24:00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</si>
  <si>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</si>
  <si>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</si>
  <si>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</si>
  <si>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</si>
  <si>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</si>
  <si>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</si>
  <si>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</si>
  <si>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</si>
  <si>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</si>
  <si>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</si>
  <si>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</si>
  <si>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</si>
  <si>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</si>
  <si>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14:00</t>
  </si>
  <si>
    <t>10/08/2023 15:00</t>
  </si>
  <si>
    <t>10/08/2023 16:00</t>
  </si>
  <si>
    <t>10/08/2023 17:00</t>
  </si>
  <si>
    <t>10/08/2023 18:00</t>
  </si>
  <si>
    <t>10/08/2023 19:00</t>
  </si>
  <si>
    <t>10/08/2023 20:00</t>
  </si>
  <si>
    <t>10/08/2023 21:00</t>
  </si>
  <si>
    <t>10/08/2023 22:00</t>
  </si>
  <si>
    <t>10/08/2023 23:00</t>
  </si>
  <si>
    <t>10/08/2023 24:00</t>
  </si>
  <si>
    <t>11/08/2023 01:00</t>
  </si>
  <si>
    <t>11/08/2023 02:00</t>
  </si>
  <si>
    <t>11/08/2023 03:00</t>
  </si>
  <si>
    <t>11/08/2023 04:00</t>
  </si>
  <si>
    <t>11/08/2023 05:00</t>
  </si>
  <si>
    <t>11/08/2023 06:00</t>
  </si>
  <si>
    <t>11/08/2023 07:00</t>
  </si>
  <si>
    <t>11/08/2023 08:00</t>
  </si>
  <si>
    <t>11/08/2023 09:00</t>
  </si>
  <si>
    <t>11/08/2023 10:00</t>
  </si>
  <si>
    <t>11/08/2023 11:00</t>
  </si>
  <si>
    <t>11/08/2023 12:00</t>
  </si>
  <si>
    <t>11/08/2023 13:00</t>
  </si>
  <si>
    <t>11/08/2023 14:00</t>
  </si>
  <si>
    <t>11/08/2023 15:00</t>
  </si>
  <si>
    <t>11/08/2023 16:00</t>
  </si>
  <si>
    <t>11/08/2023 17:00</t>
  </si>
  <si>
    <t>11/08/2023 18:00</t>
  </si>
  <si>
    <t>11/08/2023 19:00</t>
  </si>
  <si>
    <t>11/08/2023 20:00</t>
  </si>
  <si>
    <t>11/08/2023 21:00</t>
  </si>
  <si>
    <t>11/08/2023 22:00</t>
  </si>
  <si>
    <t>11/08/2023 23:00</t>
  </si>
  <si>
    <t>11/08/2023 24:00</t>
  </si>
  <si>
    <t>12/08/2023 01:00</t>
  </si>
  <si>
    <t>12/08/2023 02:00</t>
  </si>
  <si>
    <t>12/08/2023 03:00</t>
  </si>
  <si>
    <t>12/08/2023 04:00</t>
  </si>
  <si>
    <t>12/08/2023 05:00</t>
  </si>
  <si>
    <t>12/08/2023 06:00</t>
  </si>
  <si>
    <t>12/08/2023 07:00</t>
  </si>
  <si>
    <t>12/08/2023 08:00</t>
  </si>
  <si>
    <t>12/08/2023 09:00</t>
  </si>
  <si>
    <t>12/08/2023 10:00</t>
  </si>
  <si>
    <t>12/08/2023 11:00</t>
  </si>
  <si>
    <t>12/08/2023 12:00</t>
  </si>
  <si>
    <t>12/08/2023 13:00</t>
  </si>
  <si>
    <t>12/08/2023 14:00</t>
  </si>
  <si>
    <t>12/08/2023 15:00</t>
  </si>
  <si>
    <t>12/08/2023 16:00</t>
  </si>
  <si>
    <t>12/08/2023 17:00</t>
  </si>
  <si>
    <t>12/08/2023 18:00</t>
  </si>
  <si>
    <t>12/08/2023 19:00</t>
  </si>
  <si>
    <t>12/08/2023 20:00</t>
  </si>
  <si>
    <t>12/08/2023 21:00</t>
  </si>
  <si>
    <t>12/08/2023 22:00</t>
  </si>
  <si>
    <t>12/08/2023 23:00</t>
  </si>
  <si>
    <t>12/08/2023 24:00</t>
  </si>
  <si>
    <t>13/08/2023 01:00</t>
  </si>
  <si>
    <t>13/08/2023 02:00</t>
  </si>
  <si>
    <t>13/08/2023 03:00</t>
  </si>
  <si>
    <t>13/08/2023 04:00</t>
  </si>
  <si>
    <t>13/08/2023 05:00</t>
  </si>
  <si>
    <t>13/08/2023 06:00</t>
  </si>
  <si>
    <t>13/08/2023 07:00</t>
  </si>
  <si>
    <t>13/08/2023 08:00</t>
  </si>
  <si>
    <t>13/08/2023 09:00</t>
  </si>
  <si>
    <t>13/08/2023 10:00</t>
  </si>
  <si>
    <t>13/08/2023 11:00</t>
  </si>
  <si>
    <t>13/08/2023 12:00</t>
  </si>
  <si>
    <t>13/08/2023 13:00</t>
  </si>
  <si>
    <t>13/08/2023 14:00</t>
  </si>
  <si>
    <t>13/08/2023 15:00</t>
  </si>
  <si>
    <t>13/08/2023 16:00</t>
  </si>
  <si>
    <t>13/08/2023 17:00</t>
  </si>
  <si>
    <t>13/08/2023 18:00</t>
  </si>
  <si>
    <t>13/08/2023 19:00</t>
  </si>
  <si>
    <t>13/08/2023 20:00</t>
  </si>
  <si>
    <t>13/08/2023 21:00</t>
  </si>
  <si>
    <t>13/08/2023 22:00</t>
  </si>
  <si>
    <t>13/08/2023 23:00</t>
  </si>
  <si>
    <t>13/08/2023 24:00</t>
  </si>
  <si>
    <t>14/08/2023 01:00</t>
  </si>
  <si>
    <t>14/08/2023 02:00</t>
  </si>
  <si>
    <t>14/08/2023 03:00</t>
  </si>
  <si>
    <t>14/08/2023 04:00</t>
  </si>
  <si>
    <t>14/08/2023 05:00</t>
  </si>
  <si>
    <t>14/08/2023 06:00</t>
  </si>
  <si>
    <t>14/08/2023 07:00</t>
  </si>
  <si>
    <t>14/08/2023 08:00</t>
  </si>
  <si>
    <t>14/08/2023 09:00</t>
  </si>
  <si>
    <t>14/08/2023 10:00</t>
  </si>
  <si>
    <t>14/08/2023 11:00</t>
  </si>
  <si>
    <t>14/08/2023 12:00</t>
  </si>
  <si>
    <t>14/08/2023 13:00</t>
  </si>
  <si>
    <t>14/08/2023 14:00</t>
  </si>
  <si>
    <t>14/08/2023 15:00</t>
  </si>
  <si>
    <t>14/08/2023 16:00</t>
  </si>
  <si>
    <t>14/08/2023 17:00</t>
  </si>
  <si>
    <t>14/08/2023 18:00</t>
  </si>
  <si>
    <t>14/08/2023 19:00</t>
  </si>
  <si>
    <t>14/08/2023 20:00</t>
  </si>
  <si>
    <t>14/08/2023 21:00</t>
  </si>
  <si>
    <t>14/08/2023 22:00</t>
  </si>
  <si>
    <t>14/08/2023 23:00</t>
  </si>
  <si>
    <t>14/08/2023 24:00</t>
  </si>
  <si>
    <t>15/08/2023 01:00</t>
  </si>
  <si>
    <t>15/08/2023 02:00</t>
  </si>
  <si>
    <t>15/08/2023 03:00</t>
  </si>
  <si>
    <t>15/08/2023 04:00</t>
  </si>
  <si>
    <t>15/08/2023 05:00</t>
  </si>
  <si>
    <t>15/08/2023 06:00</t>
  </si>
  <si>
    <t>15/08/2023 07:00</t>
  </si>
  <si>
    <t>15/08/2023 08:00</t>
  </si>
  <si>
    <t>15/08/2023 09:00</t>
  </si>
  <si>
    <t>15/08/2023 10:00</t>
  </si>
  <si>
    <t>15/08/2023 11:00</t>
  </si>
  <si>
    <t>15/08/2023 12:00</t>
  </si>
  <si>
    <t>15/08/2023 13:00</t>
  </si>
  <si>
    <t>15/08/2023 14:00</t>
  </si>
  <si>
    <t>15/08/2023 15:00</t>
  </si>
  <si>
    <t>15/08/2023 16:00</t>
  </si>
  <si>
    <t>15/08/2023 17:00</t>
  </si>
  <si>
    <t>15/08/2023 18:00</t>
  </si>
  <si>
    <t>15/08/2023 19:00</t>
  </si>
  <si>
    <t>15/08/2023 20:00</t>
  </si>
  <si>
    <t>15/08/2023 21:00</t>
  </si>
  <si>
    <t>15/08/2023 22:00</t>
  </si>
  <si>
    <t>15/08/2023 23:00</t>
  </si>
  <si>
    <t>15/08/2023 24:00</t>
  </si>
  <si>
    <t>16/08/2023 01:00</t>
  </si>
  <si>
    <t>16/08/2023 02:00</t>
  </si>
  <si>
    <t>16/08/2023 03:00</t>
  </si>
  <si>
    <t>16/08/2023 04:00</t>
  </si>
  <si>
    <t>16/08/2023 05:00</t>
  </si>
  <si>
    <t>16/08/2023 06:00</t>
  </si>
  <si>
    <t>16/08/2023 07:00</t>
  </si>
  <si>
    <t>16/08/2023 08:00</t>
  </si>
  <si>
    <t>16/08/2023 09:00</t>
  </si>
  <si>
    <t>16/08/2023 10:00</t>
  </si>
  <si>
    <t>16/08/2023 11:00</t>
  </si>
  <si>
    <t>16/08/2023 12:00</t>
  </si>
  <si>
    <t>16/08/2023 13:00</t>
  </si>
  <si>
    <t>16/08/2023 14:00</t>
  </si>
  <si>
    <t>16/08/2023 15:00</t>
  </si>
  <si>
    <t>16/08/2023 16:00</t>
  </si>
  <si>
    <t>16/08/2023 17:00</t>
  </si>
  <si>
    <t>16/08/2023 18:00</t>
  </si>
  <si>
    <t>16/08/2023 19:00</t>
  </si>
  <si>
    <t>16/08/2023 20:00</t>
  </si>
  <si>
    <t>16/08/2023 21:00</t>
  </si>
  <si>
    <t>16/08/2023 22:00</t>
  </si>
  <si>
    <t>16/08/2023 23:00</t>
  </si>
  <si>
    <t>16/08/2023 24:00</t>
  </si>
  <si>
    <t>17/08/2023 01:00</t>
  </si>
  <si>
    <t>17/08/2023 02:00</t>
  </si>
  <si>
    <t>17/08/2023 03:00</t>
  </si>
  <si>
    <t>17/08/2023 04:00</t>
  </si>
  <si>
    <t>17/08/2023 05:00</t>
  </si>
  <si>
    <t>17/08/2023 06:00</t>
  </si>
  <si>
    <t>17/08/2023 07:00</t>
  </si>
  <si>
    <t>17/08/2023 08:00</t>
  </si>
  <si>
    <t>17/08/2023 09:00</t>
  </si>
  <si>
    <t>17/08/2023 10:00</t>
  </si>
  <si>
    <t>17/08/2023 11:00</t>
  </si>
  <si>
    <t>17/08/2023 12:00</t>
  </si>
  <si>
    <t>17/08/2023 13:00</t>
  </si>
  <si>
    <t>17/08/2023 14:00</t>
  </si>
  <si>
    <t>17/08/2023 15:00</t>
  </si>
  <si>
    <t>17/08/2023 16:00</t>
  </si>
  <si>
    <t>17/08/2023 17:00</t>
  </si>
  <si>
    <t>17/08/2023 18:00</t>
  </si>
  <si>
    <t>17/08/2023 19:00</t>
  </si>
  <si>
    <t>17/08/2023 20:00</t>
  </si>
  <si>
    <t>17/08/2023 21:00</t>
  </si>
  <si>
    <t>17/08/2023 22:00</t>
  </si>
  <si>
    <t>17/08/2023 23:00</t>
  </si>
  <si>
    <t>17/08/2023 24:00</t>
  </si>
  <si>
    <t>18/08/2023 01:00</t>
  </si>
  <si>
    <t>18/08/2023 02:00</t>
  </si>
  <si>
    <t>18/08/2023 03:00</t>
  </si>
  <si>
    <t>18/08/2023 04:00</t>
  </si>
  <si>
    <t>18/08/2023 05:00</t>
  </si>
  <si>
    <t>18/08/2023 06:00</t>
  </si>
  <si>
    <t>18/08/2023 07:00</t>
  </si>
  <si>
    <t>18/08/2023 08:00</t>
  </si>
  <si>
    <t>18/08/2023 09:00</t>
  </si>
  <si>
    <t>18/08/2023 10:00</t>
  </si>
  <si>
    <t>18/08/2023 11:00</t>
  </si>
  <si>
    <t>18/08/2023 12:00</t>
  </si>
  <si>
    <t>18/08/2023 13:00</t>
  </si>
  <si>
    <t>18/08/2023 14:00</t>
  </si>
  <si>
    <t>18/08/2023 15:00</t>
  </si>
  <si>
    <t>18/08/2023 16:00</t>
  </si>
  <si>
    <t>18/08/2023 17:00</t>
  </si>
  <si>
    <t>18/08/2023 18:00</t>
  </si>
  <si>
    <t>18/08/2023 19:00</t>
  </si>
  <si>
    <t>18/08/2023 20:00</t>
  </si>
  <si>
    <t>18/08/2023 21:00</t>
  </si>
  <si>
    <t>18/08/2023 22:00</t>
  </si>
  <si>
    <t>18/08/2023 23:00</t>
  </si>
  <si>
    <t>18/08/2023 24:00</t>
  </si>
  <si>
    <t>19/08/2023 01:00</t>
  </si>
  <si>
    <t>19/08/2023 02:00</t>
  </si>
  <si>
    <t>19/08/2023 03:00</t>
  </si>
  <si>
    <t>19/08/2023 04:00</t>
  </si>
  <si>
    <t>19/08/2023 05:00</t>
  </si>
  <si>
    <t>19/08/2023 06:00</t>
  </si>
  <si>
    <t>19/08/2023 07:00</t>
  </si>
  <si>
    <t>19/08/2023 08:00</t>
  </si>
  <si>
    <t>19/08/2023 09:00</t>
  </si>
  <si>
    <t>19/08/2023 10:00</t>
  </si>
  <si>
    <t>19/08/2023 11:00</t>
  </si>
  <si>
    <t>19/08/2023 12:00</t>
  </si>
  <si>
    <t>19/08/2023 13:00</t>
  </si>
  <si>
    <t>19/08/2023 14:00</t>
  </si>
  <si>
    <t>19/08/2023 15:00</t>
  </si>
  <si>
    <t>19/08/2023 16:00</t>
  </si>
  <si>
    <t>19/08/2023 17:00</t>
  </si>
  <si>
    <t>19/08/2023 18:00</t>
  </si>
  <si>
    <t>19/08/2023 19:00</t>
  </si>
  <si>
    <t>19/08/2023 20:00</t>
  </si>
  <si>
    <t>19/08/2023 21:00</t>
  </si>
  <si>
    <t>19/08/2023 22:00</t>
  </si>
  <si>
    <t>19/08/2023 23:00</t>
  </si>
  <si>
    <t>19/08/2023 24:00</t>
  </si>
  <si>
    <t>20/08/2023 01:00</t>
  </si>
  <si>
    <t>20/08/2023 02:00</t>
  </si>
  <si>
    <t>20/08/2023 03:00</t>
  </si>
  <si>
    <t>20/08/2023 04:00</t>
  </si>
  <si>
    <t>20/08/2023 05:00</t>
  </si>
  <si>
    <t>20/08/2023 06:00</t>
  </si>
  <si>
    <t>20/08/2023 07:00</t>
  </si>
  <si>
    <t>20/08/2023 08:00</t>
  </si>
  <si>
    <t>20/08/2023 09:00</t>
  </si>
  <si>
    <t>20/08/2023 10:00</t>
  </si>
  <si>
    <t>20/08/2023 11:00</t>
  </si>
  <si>
    <t>20/08/2023 12:00</t>
  </si>
  <si>
    <t>20/08/2023 13:00</t>
  </si>
  <si>
    <t>20/08/2023 14:00</t>
  </si>
  <si>
    <t>20/08/2023 15:00</t>
  </si>
  <si>
    <t>20/08/2023 16:00</t>
  </si>
  <si>
    <t>20/08/2023 17:00</t>
  </si>
  <si>
    <t>20/08/2023 18:00</t>
  </si>
  <si>
    <t>20/08/2023 19:00</t>
  </si>
  <si>
    <t>20/08/2023 20:00</t>
  </si>
  <si>
    <t>20/08/2023 21:00</t>
  </si>
  <si>
    <t>20/08/2023 22:00</t>
  </si>
  <si>
    <t>20/08/2023 23:00</t>
  </si>
  <si>
    <t>20/08/2023 24:00</t>
  </si>
  <si>
    <t>21/08/2023 01:00</t>
  </si>
  <si>
    <t>21/08/2023 02:00</t>
  </si>
  <si>
    <t>21/08/2023 03:00</t>
  </si>
  <si>
    <t>21/08/2023 04:00</t>
  </si>
  <si>
    <t>21/08/2023 05:00</t>
  </si>
  <si>
    <t>21/08/2023 06:00</t>
  </si>
  <si>
    <t>21/08/2023 07:00</t>
  </si>
  <si>
    <t>21/08/2023 08:00</t>
  </si>
  <si>
    <t>21/08/2023 09:00</t>
  </si>
  <si>
    <t>21/08/2023 10:00</t>
  </si>
  <si>
    <t>21/08/2023 11:00</t>
  </si>
  <si>
    <t>21/08/2023 12:00</t>
  </si>
  <si>
    <t>21/08/2023 13:00</t>
  </si>
  <si>
    <t>21/08/2023 14:00</t>
  </si>
  <si>
    <t>21/08/2023 15:00</t>
  </si>
  <si>
    <t>21/08/2023 16:00</t>
  </si>
  <si>
    <t>21/08/2023 17:00</t>
  </si>
  <si>
    <t>21/08/2023 18:00</t>
  </si>
  <si>
    <t>21/08/2023 19:00</t>
  </si>
  <si>
    <t>21/08/2023 20:00</t>
  </si>
  <si>
    <t>21/08/2023 21:00</t>
  </si>
  <si>
    <t>21/08/2023 22:00</t>
  </si>
  <si>
    <t>21/08/2023 23:00</t>
  </si>
  <si>
    <t>21/08/2023 24:00</t>
  </si>
  <si>
    <t>22/08/2023 01:00</t>
  </si>
  <si>
    <t>22/08/2023 02:00</t>
  </si>
  <si>
    <t>22/08/2023 03:00</t>
  </si>
  <si>
    <t>22/08/2023 05:00</t>
  </si>
  <si>
    <t>22/08/2023 06:00</t>
  </si>
  <si>
    <t>22/08/2023 07:00</t>
  </si>
  <si>
    <t>22/08/2023 08:00</t>
  </si>
  <si>
    <t>22/08/2023 09:00</t>
  </si>
  <si>
    <t>22/08/2023 10:00</t>
  </si>
  <si>
    <t>22/08/2023 11:00</t>
  </si>
  <si>
    <t>22/08/2023 12:00</t>
  </si>
  <si>
    <t>22/08/2023 13:00</t>
  </si>
  <si>
    <t>22/08/2023 14:00</t>
  </si>
  <si>
    <t>22/08/2023 15:00</t>
  </si>
  <si>
    <t>22/08/2023 16:00</t>
  </si>
  <si>
    <t>22/08/2023 17:00</t>
  </si>
  <si>
    <t>22/08/2023 18:00</t>
  </si>
  <si>
    <t>22/08/2023 19:00</t>
  </si>
  <si>
    <t>22/08/2023 20:00</t>
  </si>
  <si>
    <t>22/08/2023 21:00</t>
  </si>
  <si>
    <t>22/08/2023 22:00</t>
  </si>
  <si>
    <t>22/08/2023 23:00</t>
  </si>
  <si>
    <t>22/08/2023 24:00</t>
  </si>
  <si>
    <t>23/08/2023 01:00</t>
  </si>
  <si>
    <t>23/08/2023 02:00</t>
  </si>
  <si>
    <t>23/08/2023 03:00</t>
  </si>
  <si>
    <t>23/08/2023 04:00</t>
  </si>
  <si>
    <t>23/08/2023 05:00</t>
  </si>
  <si>
    <t>23/08/2023 06:00</t>
  </si>
  <si>
    <t>23/08/2023 07:00</t>
  </si>
  <si>
    <t>23/08/2023 08:00</t>
  </si>
  <si>
    <t>23/08/2023 09:00</t>
  </si>
  <si>
    <t>23/08/2023 10:00</t>
  </si>
  <si>
    <t>23/08/2023 11:00</t>
  </si>
  <si>
    <t>23/08/2023 12:00</t>
  </si>
  <si>
    <t>23/08/2023 13:00</t>
  </si>
  <si>
    <t>23/08/2023 14:00</t>
  </si>
  <si>
    <t>23/08/2023 15:00</t>
  </si>
  <si>
    <t>23/08/2023 16:00</t>
  </si>
  <si>
    <t>23/08/2023 17:00</t>
  </si>
  <si>
    <t>23/08/2023 18:00</t>
  </si>
  <si>
    <t>23/08/2023 19:00</t>
  </si>
  <si>
    <t>23/08/2023 20:00</t>
  </si>
  <si>
    <t>23/08/2023 21:00</t>
  </si>
  <si>
    <t>23/08/2023 22:00</t>
  </si>
  <si>
    <t>23/08/2023 23:00</t>
  </si>
  <si>
    <t>23/08/2023 24:00</t>
  </si>
  <si>
    <t>24/08/2023 01:00</t>
  </si>
  <si>
    <t>24/08/2023 02:00</t>
  </si>
  <si>
    <t>24/08/2023 03:00</t>
  </si>
  <si>
    <t>24/08/2023 04:00</t>
  </si>
  <si>
    <t>24/08/2023 05:00</t>
  </si>
  <si>
    <t>24/08/2023 06:00</t>
  </si>
  <si>
    <t>24/08/2023 07:00</t>
  </si>
  <si>
    <t>24/08/2023 08:00</t>
  </si>
  <si>
    <t>24/08/2023 09:00</t>
  </si>
  <si>
    <t>24/08/2023 10:00</t>
  </si>
  <si>
    <t>24/08/2023 11:00</t>
  </si>
  <si>
    <t>24/08/2023 12:00</t>
  </si>
  <si>
    <t>24/08/2023 13:00</t>
  </si>
  <si>
    <t>24/08/2023 14:00</t>
  </si>
  <si>
    <t>24/08/2023 15:00</t>
  </si>
  <si>
    <t>24/08/2023 16:00</t>
  </si>
  <si>
    <t>24/08/2023 17:00</t>
  </si>
  <si>
    <t>24/08/2023 18:00</t>
  </si>
  <si>
    <t>24/08/2023 19:00</t>
  </si>
  <si>
    <t>24/08/2023 20:00</t>
  </si>
  <si>
    <t>24/08/2023 21:00</t>
  </si>
  <si>
    <t>24/08/2023 22:00</t>
  </si>
  <si>
    <t>24/08/2023 23:00</t>
  </si>
  <si>
    <t>24/08/2023 24:00</t>
  </si>
  <si>
    <t>25/08/2023 01:00</t>
  </si>
  <si>
    <t>25/08/2023 02:00</t>
  </si>
  <si>
    <t>25/08/2023 03:00</t>
  </si>
  <si>
    <t>25/08/2023 04:00</t>
  </si>
  <si>
    <t>25/08/2023 05:00</t>
  </si>
  <si>
    <t>25/08/2023 06:00</t>
  </si>
  <si>
    <t>25/08/2023 07:00</t>
  </si>
  <si>
    <t>25/08/2023 08:00</t>
  </si>
  <si>
    <t>25/08/2023 09:00</t>
  </si>
  <si>
    <t>25/08/2023 10:00</t>
  </si>
  <si>
    <t>25/08/2023 11:00</t>
  </si>
  <si>
    <t>25/08/2023 12:00</t>
  </si>
  <si>
    <t>25/08/2023 13:00</t>
  </si>
  <si>
    <t>25/08/2023 14:00</t>
  </si>
  <si>
    <t>25/08/2023 15:00</t>
  </si>
  <si>
    <t>25/08/2023 16:00</t>
  </si>
  <si>
    <t>25/08/2023 17:00</t>
  </si>
  <si>
    <t>25/08/2023 18:00</t>
  </si>
  <si>
    <t>25/08/2023 19:00</t>
  </si>
  <si>
    <t>25/08/2023 20:00</t>
  </si>
  <si>
    <t>25/08/2023 21:00</t>
  </si>
  <si>
    <t>25/08/2023 22:00</t>
  </si>
  <si>
    <t>25/08/2023 23:00</t>
  </si>
  <si>
    <t>25/08/2023 24:00</t>
  </si>
  <si>
    <t>26/08/2023 01:00</t>
  </si>
  <si>
    <t>26/08/2023 02:00</t>
  </si>
  <si>
    <t>26/08/2023 03:00</t>
  </si>
  <si>
    <t>26/08/2023 04:00</t>
  </si>
  <si>
    <t>26/08/2023 05:00</t>
  </si>
  <si>
    <t>26/08/2023 06:00</t>
  </si>
  <si>
    <t>26/08/2023 07:00</t>
  </si>
  <si>
    <t>26/08/2023 08:00</t>
  </si>
  <si>
    <t>26/08/2023 09:00</t>
  </si>
  <si>
    <t>26/08/2023 10:00</t>
  </si>
  <si>
    <t>26/08/2023 11:00</t>
  </si>
  <si>
    <t>26/08/2023 12:00</t>
  </si>
  <si>
    <t>26/08/2023 13:00</t>
  </si>
  <si>
    <t>26/08/2023 14:00</t>
  </si>
  <si>
    <t>26/08/2023 15:00</t>
  </si>
  <si>
    <t>26/08/2023 16:00</t>
  </si>
  <si>
    <t>26/08/2023 17:00</t>
  </si>
  <si>
    <t>26/08/2023 18:00</t>
  </si>
  <si>
    <t>26/08/2023 19:00</t>
  </si>
  <si>
    <t>26/08/2023 20:00</t>
  </si>
  <si>
    <t>26/08/2023 21:00</t>
  </si>
  <si>
    <t>26/08/2023 22:00</t>
  </si>
  <si>
    <t>26/08/2023 23:00</t>
  </si>
  <si>
    <t>26/08/2023 24:00</t>
  </si>
  <si>
    <t>27/08/2023 01:00</t>
  </si>
  <si>
    <t>27/08/2023 02:00</t>
  </si>
  <si>
    <t>27/08/2023 03:00</t>
  </si>
  <si>
    <t>27/08/2023 04:00</t>
  </si>
  <si>
    <t>27/08/2023 05:00</t>
  </si>
  <si>
    <t>27/08/2023 06:00</t>
  </si>
  <si>
    <t>27/08/2023 07:00</t>
  </si>
  <si>
    <t>27/08/2023 08:00</t>
  </si>
  <si>
    <t>27/08/2023 09:00</t>
  </si>
  <si>
    <t>27/08/2023 10:00</t>
  </si>
  <si>
    <t>27/08/2023 11:00</t>
  </si>
  <si>
    <t>27/08/2023 12:00</t>
  </si>
  <si>
    <t>27/08/2023 13:00</t>
  </si>
  <si>
    <t>27/08/2023 14:00</t>
  </si>
  <si>
    <t>27/08/2023 15:00</t>
  </si>
  <si>
    <t>27/08/2023 16:00</t>
  </si>
  <si>
    <t>27/08/2023 17:00</t>
  </si>
  <si>
    <t>27/08/2023 18:00</t>
  </si>
  <si>
    <t>27/08/2023 19:00</t>
  </si>
  <si>
    <t>27/08/2023 20:00</t>
  </si>
  <si>
    <t>27/08/2023 21:00</t>
  </si>
  <si>
    <t>27/08/2023 22:00</t>
  </si>
  <si>
    <t>27/08/2023 23:00</t>
  </si>
  <si>
    <t>27/08/2023 24:00</t>
  </si>
  <si>
    <t>28/08/2023 01:00</t>
  </si>
  <si>
    <t>28/08/2023 02:00</t>
  </si>
  <si>
    <t>28/08/2023 03:00</t>
  </si>
  <si>
    <t>28/08/2023 04:00</t>
  </si>
  <si>
    <t>28/08/2023 05:00</t>
  </si>
  <si>
    <t>28/08/2023 06:00</t>
  </si>
  <si>
    <t>28/08/2023 07:00</t>
  </si>
  <si>
    <t>28/08/2023 08:00</t>
  </si>
  <si>
    <t>28/08/2023 09:00</t>
  </si>
  <si>
    <t>28/08/2023 10:00</t>
  </si>
  <si>
    <t>28/08/2023 11:00</t>
  </si>
  <si>
    <t>28/08/2023 12:00</t>
  </si>
  <si>
    <t>28/08/2023 13:00</t>
  </si>
  <si>
    <t>28/08/2023 14:00</t>
  </si>
  <si>
    <t>28/08/2023 15:00</t>
  </si>
  <si>
    <t>28/08/2023 16:00</t>
  </si>
  <si>
    <t>28/08/2023 17:00</t>
  </si>
  <si>
    <t>28/08/2023 18:00</t>
  </si>
  <si>
    <t>28/08/2023 19:00</t>
  </si>
  <si>
    <t>28/08/2023 20:00</t>
  </si>
  <si>
    <t>28/08/2023 21:00</t>
  </si>
  <si>
    <t>28/08/2023 22:00</t>
  </si>
  <si>
    <t>28/08/2023 23:00</t>
  </si>
  <si>
    <t>28/08/2023 24:00</t>
  </si>
  <si>
    <t>29/08/2023 01:00</t>
  </si>
  <si>
    <t>29/08/2023 02:00</t>
  </si>
  <si>
    <t>29/08/2023 03:00</t>
  </si>
  <si>
    <t>29/08/2023 04:00</t>
  </si>
  <si>
    <t>29/08/2023 05:00</t>
  </si>
  <si>
    <t>29/08/2023 06:00</t>
  </si>
  <si>
    <t>29/08/2023 07:00</t>
  </si>
  <si>
    <t>29/08/2023 08:00</t>
  </si>
  <si>
    <t>29/08/2023 09:00</t>
  </si>
  <si>
    <t>29/08/2023 10:00</t>
  </si>
  <si>
    <t>29/08/2023 11:00</t>
  </si>
  <si>
    <t>29/08/2023 12:00</t>
  </si>
  <si>
    <t>29/08/2023 13:00</t>
  </si>
  <si>
    <t>29/08/2023 14:00</t>
  </si>
  <si>
    <t>29/08/2023 15:00</t>
  </si>
  <si>
    <t>29/08/2023 16:00</t>
  </si>
  <si>
    <t>29/08/2023 17:00</t>
  </si>
  <si>
    <t>29/08/2023 18:00</t>
  </si>
  <si>
    <t>29/08/2023 19:00</t>
  </si>
  <si>
    <t>29/08/2023 20:00</t>
  </si>
  <si>
    <t>29/08/2023 21:00</t>
  </si>
  <si>
    <t>29/08/2023 22:00</t>
  </si>
  <si>
    <t>29/08/2023 23:00</t>
  </si>
  <si>
    <t>29/08/2023 24:00</t>
  </si>
  <si>
    <t>30/08/2023 01:00</t>
  </si>
  <si>
    <t>30/08/2023 02:00</t>
  </si>
  <si>
    <t>30/08/2023 03:00</t>
  </si>
  <si>
    <t>30/08/2023 04:00</t>
  </si>
  <si>
    <t>30/08/2023 05:00</t>
  </si>
  <si>
    <t>30/08/2023 06:00</t>
  </si>
  <si>
    <t>30/08/2023 07:00</t>
  </si>
  <si>
    <t>30/08/2023 08:00</t>
  </si>
  <si>
    <t>30/08/2023 09:00</t>
  </si>
  <si>
    <t>30/08/2023 10:00</t>
  </si>
  <si>
    <t>30/08/2023 11:00</t>
  </si>
  <si>
    <t>30/08/2023 12:00</t>
  </si>
  <si>
    <t>30/08/2023 13:00</t>
  </si>
  <si>
    <t>30/08/2023 14:00</t>
  </si>
  <si>
    <t>30/08/2023 15:00</t>
  </si>
  <si>
    <t>30/08/2023 16:00</t>
  </si>
  <si>
    <t>30/08/2023 17:00</t>
  </si>
  <si>
    <t>30/08/2023 18:00</t>
  </si>
  <si>
    <t>30/08/2023 19:00</t>
  </si>
  <si>
    <t>30/08/2023 20:00</t>
  </si>
  <si>
    <t>30/08/2023 21:00</t>
  </si>
  <si>
    <t>30/08/2023 22:00</t>
  </si>
  <si>
    <t>30/08/2023 23:00</t>
  </si>
  <si>
    <t>30/08/2023 24:00</t>
  </si>
  <si>
    <t>31/08/2023 01:00</t>
  </si>
  <si>
    <t>31/08/2023 02:00</t>
  </si>
  <si>
    <t>31/08/2023 03:00</t>
  </si>
  <si>
    <t>31/08/2023 04:00</t>
  </si>
  <si>
    <t>31/08/2023 05:00</t>
  </si>
  <si>
    <t>31/08/2023 06:00</t>
  </si>
  <si>
    <t>31/08/2023 07:00</t>
  </si>
  <si>
    <t>31/08/2023 08:00</t>
  </si>
  <si>
    <t>31/08/2023 09:00</t>
  </si>
  <si>
    <t>31/08/2023 10:00</t>
  </si>
  <si>
    <t>31/08/2023 11:00</t>
  </si>
  <si>
    <t>31/08/2023 12:00</t>
  </si>
  <si>
    <t>31/08/2023 13:00</t>
  </si>
  <si>
    <t>31/08/2023 14:00</t>
  </si>
  <si>
    <t>31/08/2023 15:00</t>
  </si>
  <si>
    <t>31/08/2023 16:00</t>
  </si>
  <si>
    <t>31/08/2023 17:00</t>
  </si>
  <si>
    <t>31/08/2023 18:00</t>
  </si>
  <si>
    <t>31/08/2023 19:00</t>
  </si>
  <si>
    <t>31/08/2023 20:00</t>
  </si>
  <si>
    <t>31/08/2023 21:00</t>
  </si>
  <si>
    <t>31/08/2023 22:00</t>
  </si>
  <si>
    <t>31/08/2023 23:00</t>
  </si>
  <si>
    <t>31/08/2023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</si>
</sst>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3" activePane="bottomRight" state="frozen"/>
      <selection pane="topRight"/>
      <selection pane="bottomLeft"/>
      <selection pane="bottomRight" activeCell="E39" sqref="E39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60</v>
      </c>
      <c r="B9" s="52">
        <v>12.25</v>
      </c>
      <c r="C9" s="52">
        <v>19.670000000000002</v>
      </c>
      <c r="D9" s="52">
        <v>18.690000000000001</v>
      </c>
      <c r="E9" s="30" t="s">
        <v>8</v>
      </c>
      <c r="F9" s="52">
        <v>5.12</v>
      </c>
      <c r="G9" s="52">
        <v>25.14</v>
      </c>
      <c r="H9" s="52">
        <v>8.57</v>
      </c>
      <c r="I9" s="52">
        <v>5.31</v>
      </c>
      <c r="J9" s="52">
        <v>0.85</v>
      </c>
      <c r="K9" s="52">
        <v>259.45</v>
      </c>
      <c r="L9" s="52">
        <v>27.02</v>
      </c>
      <c r="M9" s="52">
        <v>88.87</v>
      </c>
      <c r="N9" s="52">
        <v>0</v>
      </c>
      <c r="O9" s="52">
        <v>0</v>
      </c>
      <c r="P9" s="52">
        <v>0.47</v>
      </c>
      <c r="Q9" s="52">
        <v>3.88</v>
      </c>
      <c r="R9" s="50"/>
      <c r="S9" s="50"/>
      <c r="T9" s="50"/>
      <c r="U9" s="50"/>
    </row>
    <row r="10" spans="1:21" customFormat="1">
      <c r="A10" s="51" t="s">
        <v>61</v>
      </c>
      <c r="B10" s="52">
        <v>12.66</v>
      </c>
      <c r="C10" s="52">
        <v>18.12</v>
      </c>
      <c r="D10" s="52">
        <v>18.260000000000002</v>
      </c>
      <c r="E10" s="30" t="s">
        <v>8</v>
      </c>
      <c r="F10" s="52">
        <v>5.1100000000000003</v>
      </c>
      <c r="G10" s="52">
        <v>21.68</v>
      </c>
      <c r="H10" s="52">
        <v>6.07</v>
      </c>
      <c r="I10" s="52">
        <v>4.92</v>
      </c>
      <c r="J10" s="52">
        <v>0.7</v>
      </c>
      <c r="K10" s="52">
        <v>260.16000000000003</v>
      </c>
      <c r="L10" s="52">
        <v>27.07</v>
      </c>
      <c r="M10" s="52">
        <v>89.63</v>
      </c>
      <c r="N10" s="52">
        <v>0</v>
      </c>
      <c r="O10" s="52">
        <v>0</v>
      </c>
      <c r="P10" s="52">
        <v>0.44</v>
      </c>
      <c r="Q10" s="52">
        <v>3.88</v>
      </c>
      <c r="R10" s="50"/>
      <c r="S10" s="50"/>
      <c r="T10" s="50"/>
      <c r="U10" s="50"/>
    </row>
    <row r="11" spans="1:21" customFormat="1">
      <c r="A11" s="51" t="s">
        <v>62</v>
      </c>
      <c r="B11" s="52">
        <v>13.21</v>
      </c>
      <c r="C11" s="52">
        <v>20.29</v>
      </c>
      <c r="D11" s="52">
        <v>19.96</v>
      </c>
      <c r="E11" s="30" t="s">
        <v>8</v>
      </c>
      <c r="F11" s="52">
        <v>4.6900000000000004</v>
      </c>
      <c r="G11" s="52">
        <v>15.87</v>
      </c>
      <c r="H11" s="52">
        <v>5.0199999999999996</v>
      </c>
      <c r="I11" s="52">
        <v>4.72</v>
      </c>
      <c r="J11" s="52">
        <v>0.62</v>
      </c>
      <c r="K11" s="52">
        <v>257.06</v>
      </c>
      <c r="L11" s="52">
        <v>27.11</v>
      </c>
      <c r="M11" s="52">
        <v>90.69</v>
      </c>
      <c r="N11" s="52">
        <v>0</v>
      </c>
      <c r="O11" s="52">
        <v>0.2</v>
      </c>
      <c r="P11" s="52">
        <v>0.47</v>
      </c>
      <c r="Q11" s="52">
        <v>3.91</v>
      </c>
      <c r="R11" s="50"/>
      <c r="S11" s="50"/>
      <c r="T11" s="50"/>
      <c r="U11" s="50"/>
    </row>
    <row r="12" spans="1:21" customFormat="1">
      <c r="A12" s="53">
        <v>45139.166666666664</v>
      </c>
      <c r="B12" s="52">
        <v>13.47</v>
      </c>
      <c r="C12" s="52">
        <v>19.2</v>
      </c>
      <c r="D12" s="52">
        <v>19.79</v>
      </c>
      <c r="E12" s="30" t="s">
        <v>8</v>
      </c>
      <c r="F12" s="52">
        <v>3.61</v>
      </c>
      <c r="G12" s="52">
        <v>16.91</v>
      </c>
      <c r="H12" s="52">
        <v>5.45</v>
      </c>
      <c r="I12" s="52">
        <v>4.71</v>
      </c>
      <c r="J12" s="52">
        <v>0.94</v>
      </c>
      <c r="K12" s="52">
        <v>264.22000000000003</v>
      </c>
      <c r="L12" s="52">
        <v>26.91</v>
      </c>
      <c r="M12" s="52">
        <v>91.98</v>
      </c>
      <c r="N12" s="52">
        <v>0</v>
      </c>
      <c r="O12" s="52">
        <v>0</v>
      </c>
      <c r="P12" s="52">
        <v>0.43</v>
      </c>
      <c r="Q12" s="52">
        <v>3.85</v>
      </c>
      <c r="R12" s="50"/>
      <c r="S12" s="50"/>
      <c r="T12" s="50"/>
      <c r="U12" s="50"/>
    </row>
    <row r="13" spans="1:21" customFormat="1">
      <c r="A13" s="51" t="s">
        <v>63</v>
      </c>
      <c r="B13" s="52">
        <v>15.19</v>
      </c>
      <c r="C13" s="52">
        <v>19.02</v>
      </c>
      <c r="D13" s="52">
        <v>20.67</v>
      </c>
      <c r="E13" s="30" t="s">
        <v>8</v>
      </c>
      <c r="F13" s="52">
        <v>3.08</v>
      </c>
      <c r="G13" s="52">
        <v>19.329999999999998</v>
      </c>
      <c r="H13" s="52">
        <v>5.45</v>
      </c>
      <c r="I13" s="52">
        <v>4.8600000000000003</v>
      </c>
      <c r="J13" s="52">
        <v>0.95</v>
      </c>
      <c r="K13" s="52">
        <v>281.33999999999997</v>
      </c>
      <c r="L13" s="52">
        <v>26.6</v>
      </c>
      <c r="M13" s="52">
        <v>96.84</v>
      </c>
      <c r="N13" s="52">
        <v>0</v>
      </c>
      <c r="O13" s="52">
        <v>0.6</v>
      </c>
      <c r="P13" s="52">
        <v>0.41</v>
      </c>
      <c r="Q13" s="52">
        <v>3.85</v>
      </c>
      <c r="R13" s="50"/>
      <c r="S13" s="50"/>
      <c r="T13" s="50"/>
      <c r="U13" s="50"/>
    </row>
    <row r="14" spans="1:21" customFormat="1">
      <c r="A14" s="51" t="s">
        <v>64</v>
      </c>
      <c r="B14" s="52">
        <v>15.74</v>
      </c>
      <c r="C14" s="52">
        <v>19.239999999999998</v>
      </c>
      <c r="D14" s="52">
        <v>21.48</v>
      </c>
      <c r="E14" s="30" t="s">
        <v>8</v>
      </c>
      <c r="F14" s="52">
        <v>3.13</v>
      </c>
      <c r="G14" s="52">
        <v>19.329999999999998</v>
      </c>
      <c r="H14" s="52">
        <v>4.96</v>
      </c>
      <c r="I14" s="52">
        <v>4.74</v>
      </c>
      <c r="J14" s="52">
        <v>1.21</v>
      </c>
      <c r="K14" s="52">
        <v>265.2</v>
      </c>
      <c r="L14" s="52">
        <v>25.7</v>
      </c>
      <c r="M14" s="52">
        <v>97.52</v>
      </c>
      <c r="N14" s="52">
        <v>0</v>
      </c>
      <c r="O14" s="52">
        <v>0.2</v>
      </c>
      <c r="P14" s="52">
        <v>0.4</v>
      </c>
      <c r="Q14" s="52">
        <v>3.88</v>
      </c>
      <c r="R14" s="50"/>
      <c r="S14" s="50"/>
      <c r="T14" s="50"/>
      <c r="U14" s="50"/>
    </row>
    <row r="15" spans="1:21" customFormat="1">
      <c r="A15" s="51" t="s">
        <v>65</v>
      </c>
      <c r="B15" s="52">
        <v>17.170000000000002</v>
      </c>
      <c r="C15" s="52">
        <v>19.98</v>
      </c>
      <c r="D15" s="52">
        <v>23.16</v>
      </c>
      <c r="E15" s="30" t="s">
        <v>8</v>
      </c>
      <c r="F15" s="52">
        <v>2.8</v>
      </c>
      <c r="G15" s="52">
        <v>16.78</v>
      </c>
      <c r="H15" s="52">
        <v>3.64</v>
      </c>
      <c r="I15" s="52">
        <v>4.4400000000000004</v>
      </c>
      <c r="J15" s="52">
        <v>0.74</v>
      </c>
      <c r="K15" s="52">
        <v>268.33999999999997</v>
      </c>
      <c r="L15" s="52">
        <v>26.04</v>
      </c>
      <c r="M15" s="52">
        <v>98.09</v>
      </c>
      <c r="N15" s="52">
        <v>40.299999999999997</v>
      </c>
      <c r="O15" s="52">
        <v>0.6</v>
      </c>
      <c r="P15" s="52">
        <v>0.39</v>
      </c>
      <c r="Q15" s="52">
        <v>3.98</v>
      </c>
      <c r="R15" s="50"/>
      <c r="S15" s="50"/>
      <c r="T15" s="50"/>
      <c r="U15" s="50"/>
    </row>
    <row r="16" spans="1:21" customFormat="1">
      <c r="A16" s="51" t="s">
        <v>66</v>
      </c>
      <c r="B16" s="52">
        <v>17.87</v>
      </c>
      <c r="C16" s="52">
        <v>23.01</v>
      </c>
      <c r="D16" s="52">
        <v>25.19</v>
      </c>
      <c r="E16" s="30" t="s">
        <v>8</v>
      </c>
      <c r="F16" s="52">
        <v>2.82</v>
      </c>
      <c r="G16" s="52">
        <v>16.5</v>
      </c>
      <c r="H16" s="52">
        <v>2.68</v>
      </c>
      <c r="I16" s="52">
        <v>4.42</v>
      </c>
      <c r="J16" s="52">
        <v>0.92</v>
      </c>
      <c r="K16" s="52">
        <v>267.19</v>
      </c>
      <c r="L16" s="52">
        <v>26.7</v>
      </c>
      <c r="M16" s="52">
        <v>95.89</v>
      </c>
      <c r="N16" s="52">
        <v>92.1</v>
      </c>
      <c r="O16" s="52">
        <v>0</v>
      </c>
      <c r="P16" s="52">
        <v>0.43</v>
      </c>
      <c r="Q16" s="52">
        <v>4.09</v>
      </c>
      <c r="R16" s="50"/>
      <c r="S16" s="50"/>
      <c r="T16" s="50"/>
      <c r="U16" s="50"/>
    </row>
    <row r="17" spans="1:21" customFormat="1">
      <c r="A17" s="51" t="s">
        <v>67</v>
      </c>
      <c r="B17" s="52">
        <v>19.22</v>
      </c>
      <c r="C17" s="52">
        <v>23.23</v>
      </c>
      <c r="D17" s="52">
        <v>25.68</v>
      </c>
      <c r="E17" s="30" t="s">
        <v>8</v>
      </c>
      <c r="F17" s="52">
        <v>3.48</v>
      </c>
      <c r="G17" s="52">
        <v>29.27</v>
      </c>
      <c r="H17" s="52">
        <v>3.56</v>
      </c>
      <c r="I17" s="52">
        <v>4.53</v>
      </c>
      <c r="J17" s="52">
        <v>0.78</v>
      </c>
      <c r="K17" s="52">
        <v>283.11</v>
      </c>
      <c r="L17" s="52">
        <v>27.03</v>
      </c>
      <c r="M17" s="52">
        <v>91.37</v>
      </c>
      <c r="N17" s="52">
        <v>107</v>
      </c>
      <c r="O17" s="52">
        <v>0</v>
      </c>
      <c r="P17" s="52">
        <v>0.44</v>
      </c>
      <c r="Q17" s="52">
        <v>4.22</v>
      </c>
      <c r="R17" s="50"/>
      <c r="S17" s="50"/>
      <c r="T17" s="50"/>
      <c r="U17" s="50"/>
    </row>
    <row r="18" spans="1:21" customFormat="1">
      <c r="A18" s="51" t="s">
        <v>68</v>
      </c>
      <c r="B18" s="52">
        <v>20.440000000000001</v>
      </c>
      <c r="C18" s="52">
        <v>21.67</v>
      </c>
      <c r="D18" s="52">
        <v>26.08</v>
      </c>
      <c r="E18" s="30" t="s">
        <v>8</v>
      </c>
      <c r="F18" s="52">
        <v>3.18</v>
      </c>
      <c r="G18" s="52">
        <v>31.89</v>
      </c>
      <c r="H18" s="52">
        <v>5.59</v>
      </c>
      <c r="I18" s="52">
        <v>4.41</v>
      </c>
      <c r="J18" s="52">
        <v>0.8</v>
      </c>
      <c r="K18" s="52">
        <v>277.14999999999998</v>
      </c>
      <c r="L18" s="52">
        <v>27.21</v>
      </c>
      <c r="M18" s="52">
        <v>89.51</v>
      </c>
      <c r="N18" s="52">
        <v>98.3</v>
      </c>
      <c r="O18" s="52">
        <v>0</v>
      </c>
      <c r="P18" s="52">
        <v>0.39</v>
      </c>
      <c r="Q18" s="52">
        <v>4.0999999999999996</v>
      </c>
      <c r="R18" s="50"/>
      <c r="S18" s="50"/>
      <c r="T18" s="50"/>
      <c r="U18" s="50"/>
    </row>
    <row r="19" spans="1:21" customFormat="1">
      <c r="A19" s="51" t="s">
        <v>69</v>
      </c>
      <c r="B19" s="52">
        <v>21.33</v>
      </c>
      <c r="C19" s="52">
        <v>21.81</v>
      </c>
      <c r="D19" s="52">
        <v>27.46</v>
      </c>
      <c r="E19" s="30" t="s">
        <v>8</v>
      </c>
      <c r="F19" s="52">
        <v>3.71</v>
      </c>
      <c r="G19" s="52">
        <v>31.89</v>
      </c>
      <c r="H19" s="52">
        <v>9.17</v>
      </c>
      <c r="I19" s="52">
        <v>4.47</v>
      </c>
      <c r="J19" s="52">
        <v>0.73</v>
      </c>
      <c r="K19" s="52">
        <v>283.66000000000003</v>
      </c>
      <c r="L19" s="52">
        <v>27.46</v>
      </c>
      <c r="M19" s="52">
        <v>90.91</v>
      </c>
      <c r="N19" s="52">
        <v>116.3</v>
      </c>
      <c r="O19" s="52">
        <v>0.8</v>
      </c>
      <c r="P19" s="52">
        <v>0.43</v>
      </c>
      <c r="Q19" s="52">
        <v>4.1399999999999997</v>
      </c>
      <c r="R19" s="50"/>
      <c r="S19" s="50"/>
      <c r="T19" s="50"/>
      <c r="U19" s="50"/>
    </row>
    <row r="20" spans="1:21" customFormat="1">
      <c r="A20" s="51" t="s">
        <v>70</v>
      </c>
      <c r="B20" s="52">
        <v>21.22</v>
      </c>
      <c r="C20" s="52">
        <v>21.39</v>
      </c>
      <c r="D20" s="52">
        <v>27.14</v>
      </c>
      <c r="E20" s="30" t="s">
        <v>8</v>
      </c>
      <c r="F20" s="52">
        <v>3.64</v>
      </c>
      <c r="G20" s="52">
        <v>32.770000000000003</v>
      </c>
      <c r="H20" s="52">
        <v>9.17</v>
      </c>
      <c r="I20" s="52">
        <v>4.57</v>
      </c>
      <c r="J20" s="52">
        <v>0.91</v>
      </c>
      <c r="K20" s="52">
        <v>256.64999999999998</v>
      </c>
      <c r="L20" s="52">
        <v>26.72</v>
      </c>
      <c r="M20" s="52">
        <v>93.93</v>
      </c>
      <c r="N20" s="52">
        <v>163.30000000000001</v>
      </c>
      <c r="O20" s="52">
        <v>0.4</v>
      </c>
      <c r="P20" s="52">
        <v>0.42</v>
      </c>
      <c r="Q20" s="52">
        <v>4.16</v>
      </c>
      <c r="R20" s="50"/>
      <c r="S20" s="50"/>
      <c r="T20" s="50"/>
      <c r="U20" s="50"/>
    </row>
    <row r="21" spans="1:21" customFormat="1">
      <c r="A21" s="51" t="s">
        <v>71</v>
      </c>
      <c r="B21" s="52">
        <v>20.78</v>
      </c>
      <c r="C21" s="52">
        <v>20.79</v>
      </c>
      <c r="D21" s="52">
        <v>26.46</v>
      </c>
      <c r="E21" s="30" t="s">
        <v>8</v>
      </c>
      <c r="F21" s="52">
        <v>3.57</v>
      </c>
      <c r="G21" s="52">
        <v>32.770000000000003</v>
      </c>
      <c r="H21" s="52">
        <v>7.32</v>
      </c>
      <c r="I21" s="52">
        <v>4.58</v>
      </c>
      <c r="J21" s="52">
        <v>0.79</v>
      </c>
      <c r="K21" s="52">
        <v>257.56</v>
      </c>
      <c r="L21" s="52">
        <v>27.14</v>
      </c>
      <c r="M21" s="52">
        <v>91.7</v>
      </c>
      <c r="N21" s="52">
        <v>179.2</v>
      </c>
      <c r="O21" s="52">
        <v>0</v>
      </c>
      <c r="P21" s="52">
        <v>0.42</v>
      </c>
      <c r="Q21" s="52">
        <v>4.05</v>
      </c>
      <c r="R21" s="50"/>
      <c r="S21" s="50"/>
      <c r="T21" s="50"/>
      <c r="U21" s="50"/>
    </row>
    <row r="22" spans="1:21" customFormat="1">
      <c r="A22" s="51" t="s">
        <v>72</v>
      </c>
      <c r="B22" s="52">
        <v>19.399999999999999</v>
      </c>
      <c r="C22" s="52">
        <v>22.29</v>
      </c>
      <c r="D22" s="52">
        <v>26.13</v>
      </c>
      <c r="E22" s="30" t="s">
        <v>8</v>
      </c>
      <c r="F22" s="52">
        <v>4.8899999999999997</v>
      </c>
      <c r="G22" s="52">
        <v>28.51</v>
      </c>
      <c r="H22" s="52">
        <v>5.72</v>
      </c>
      <c r="I22" s="52">
        <v>4.58</v>
      </c>
      <c r="J22" s="52">
        <v>1.01</v>
      </c>
      <c r="K22" s="52">
        <v>258.95999999999998</v>
      </c>
      <c r="L22" s="52">
        <v>27.93</v>
      </c>
      <c r="M22" s="52">
        <v>88.43</v>
      </c>
      <c r="N22" s="52">
        <v>201</v>
      </c>
      <c r="O22" s="52">
        <v>0</v>
      </c>
      <c r="P22" s="52">
        <v>0.45</v>
      </c>
      <c r="Q22" s="52">
        <v>4.0199999999999996</v>
      </c>
      <c r="R22" s="50"/>
      <c r="S22" s="50"/>
      <c r="T22" s="50"/>
      <c r="U22" s="50"/>
    </row>
    <row r="23" spans="1:21" customFormat="1">
      <c r="A23" s="51" t="s">
        <v>73</v>
      </c>
      <c r="B23" s="52">
        <v>16.53</v>
      </c>
      <c r="C23" s="52">
        <v>21.6</v>
      </c>
      <c r="D23" s="52">
        <v>22.98</v>
      </c>
      <c r="E23" s="30" t="s">
        <v>8</v>
      </c>
      <c r="F23" s="52">
        <v>5.31</v>
      </c>
      <c r="G23" s="52">
        <v>29.12</v>
      </c>
      <c r="H23" s="52">
        <v>6.03</v>
      </c>
      <c r="I23" s="52">
        <v>4.6500000000000004</v>
      </c>
      <c r="J23" s="52">
        <v>0.9</v>
      </c>
      <c r="K23" s="52">
        <v>264.70999999999998</v>
      </c>
      <c r="L23" s="52">
        <v>28.33</v>
      </c>
      <c r="M23" s="52">
        <v>85.18</v>
      </c>
      <c r="N23" s="52">
        <v>172.8</v>
      </c>
      <c r="O23" s="52">
        <v>0</v>
      </c>
      <c r="P23" s="52">
        <v>0.52</v>
      </c>
      <c r="Q23" s="52">
        <v>3.79</v>
      </c>
      <c r="R23" s="50"/>
      <c r="S23" s="50"/>
      <c r="T23" s="50"/>
      <c r="U23" s="50"/>
    </row>
    <row r="24" spans="1:21" customFormat="1">
      <c r="A24" s="51" t="s">
        <v>74</v>
      </c>
      <c r="B24" s="52">
        <v>15.67</v>
      </c>
      <c r="C24" s="52">
        <v>20.73</v>
      </c>
      <c r="D24" s="52">
        <v>22.35</v>
      </c>
      <c r="E24" s="30" t="s">
        <v>8</v>
      </c>
      <c r="F24" s="52">
        <v>6.49</v>
      </c>
      <c r="G24" s="52">
        <v>30.37</v>
      </c>
      <c r="H24" s="52">
        <v>9.34</v>
      </c>
      <c r="I24" s="52">
        <v>4.7300000000000004</v>
      </c>
      <c r="J24" s="52">
        <v>1.01</v>
      </c>
      <c r="K24" s="52">
        <v>261.04000000000002</v>
      </c>
      <c r="L24" s="52">
        <v>29.05</v>
      </c>
      <c r="M24" s="52">
        <v>82.33</v>
      </c>
      <c r="N24" s="52">
        <v>241.3</v>
      </c>
      <c r="O24" s="52">
        <v>0</v>
      </c>
      <c r="P24" s="52">
        <v>0.55000000000000004</v>
      </c>
      <c r="Q24" s="52">
        <v>3.81</v>
      </c>
      <c r="R24" s="50"/>
      <c r="S24" s="50"/>
      <c r="T24" s="50"/>
      <c r="U24" s="50"/>
    </row>
    <row r="25" spans="1:21" customFormat="1">
      <c r="A25" s="51" t="s">
        <v>75</v>
      </c>
      <c r="B25" s="52">
        <v>14.51</v>
      </c>
      <c r="C25" s="52">
        <v>21.04</v>
      </c>
      <c r="D25" s="52">
        <v>21.59</v>
      </c>
      <c r="E25" s="30" t="s">
        <v>8</v>
      </c>
      <c r="F25" s="52">
        <v>6.25</v>
      </c>
      <c r="G25" s="52">
        <v>30.49</v>
      </c>
      <c r="H25" s="52">
        <v>9.34</v>
      </c>
      <c r="I25" s="52">
        <v>5.46</v>
      </c>
      <c r="J25" s="52">
        <v>1.03</v>
      </c>
      <c r="K25" s="52">
        <v>262.06</v>
      </c>
      <c r="L25" s="52">
        <v>28.82</v>
      </c>
      <c r="M25" s="52">
        <v>83.28</v>
      </c>
      <c r="N25" s="52">
        <v>168.7</v>
      </c>
      <c r="O25" s="52">
        <v>0</v>
      </c>
      <c r="P25" s="52">
        <v>0.56000000000000005</v>
      </c>
      <c r="Q25" s="52">
        <v>3.7</v>
      </c>
      <c r="R25" s="50"/>
      <c r="S25" s="50"/>
      <c r="T25" s="50"/>
      <c r="U25" s="50"/>
    </row>
    <row r="26" spans="1:21" customFormat="1">
      <c r="A26" s="51" t="s">
        <v>76</v>
      </c>
      <c r="B26" s="52">
        <v>13.02</v>
      </c>
      <c r="C26" s="52">
        <v>20.170000000000002</v>
      </c>
      <c r="D26" s="52">
        <v>19.93</v>
      </c>
      <c r="E26" s="30" t="s">
        <v>8</v>
      </c>
      <c r="F26" s="52">
        <v>8.2100000000000009</v>
      </c>
      <c r="G26" s="52">
        <v>33.56</v>
      </c>
      <c r="H26" s="52">
        <v>8.84</v>
      </c>
      <c r="I26" s="52">
        <v>5.8</v>
      </c>
      <c r="J26" s="52">
        <v>0.89</v>
      </c>
      <c r="K26" s="52">
        <v>259.02</v>
      </c>
      <c r="L26" s="52">
        <v>28.36</v>
      </c>
      <c r="M26" s="52">
        <v>85.16</v>
      </c>
      <c r="N26" s="52">
        <v>48</v>
      </c>
      <c r="O26" s="52">
        <v>0</v>
      </c>
      <c r="P26" s="52">
        <v>0.55000000000000004</v>
      </c>
      <c r="Q26" s="52">
        <v>3.6</v>
      </c>
      <c r="R26" s="50"/>
      <c r="S26" s="50"/>
      <c r="T26" s="50"/>
      <c r="U26" s="50"/>
    </row>
    <row r="27" spans="1:21" customFormat="1">
      <c r="A27" s="51" t="s">
        <v>77</v>
      </c>
      <c r="B27" s="52">
        <v>12.51</v>
      </c>
      <c r="C27" s="52">
        <v>21.08</v>
      </c>
      <c r="D27" s="52">
        <v>19.420000000000002</v>
      </c>
      <c r="E27" s="30" t="s">
        <v>8</v>
      </c>
      <c r="F27" s="52">
        <v>7.28</v>
      </c>
      <c r="G27" s="52">
        <v>33.56</v>
      </c>
      <c r="H27" s="52">
        <v>8.84</v>
      </c>
      <c r="I27" s="52">
        <v>5.26</v>
      </c>
      <c r="J27" s="52">
        <v>0.83</v>
      </c>
      <c r="K27" s="52">
        <v>256.77</v>
      </c>
      <c r="L27" s="52">
        <v>27.95</v>
      </c>
      <c r="M27" s="52">
        <v>86.26</v>
      </c>
      <c r="N27" s="52">
        <v>0.9</v>
      </c>
      <c r="O27" s="52">
        <v>0</v>
      </c>
      <c r="P27" s="52">
        <v>0.56000000000000005</v>
      </c>
      <c r="Q27" s="52">
        <v>3.51</v>
      </c>
      <c r="R27" s="50"/>
      <c r="S27" s="50"/>
      <c r="T27" s="50"/>
      <c r="U27" s="50"/>
    </row>
    <row r="28" spans="1:21" customFormat="1">
      <c r="A28" s="51" t="s">
        <v>78</v>
      </c>
      <c r="B28" s="52">
        <v>10.039999999999999</v>
      </c>
      <c r="C28" s="52">
        <v>19.489999999999998</v>
      </c>
      <c r="D28" s="52">
        <v>17.190000000000001</v>
      </c>
      <c r="E28" s="30" t="s">
        <v>8</v>
      </c>
      <c r="F28" s="52">
        <v>8.39</v>
      </c>
      <c r="G28" s="52">
        <v>27.62</v>
      </c>
      <c r="H28" s="52">
        <v>7.45</v>
      </c>
      <c r="I28" s="52">
        <v>4.62</v>
      </c>
      <c r="J28" s="52">
        <v>0.71</v>
      </c>
      <c r="K28" s="52">
        <v>256.79000000000002</v>
      </c>
      <c r="L28" s="52">
        <v>27.84</v>
      </c>
      <c r="M28" s="52">
        <v>86.63</v>
      </c>
      <c r="N28" s="52">
        <v>0</v>
      </c>
      <c r="O28" s="52">
        <v>0</v>
      </c>
      <c r="P28" s="52">
        <v>0.47</v>
      </c>
      <c r="Q28" s="52">
        <v>3.38</v>
      </c>
      <c r="R28" s="50"/>
      <c r="S28" s="50"/>
      <c r="T28" s="50"/>
      <c r="U28" s="50"/>
    </row>
    <row r="29" spans="1:21" customFormat="1">
      <c r="A29" s="51" t="s">
        <v>79</v>
      </c>
      <c r="B29" s="52">
        <v>10.15</v>
      </c>
      <c r="C29" s="52">
        <v>19.27</v>
      </c>
      <c r="D29" s="52">
        <v>17.16</v>
      </c>
      <c r="E29" s="30" t="s">
        <v>8</v>
      </c>
      <c r="F29" s="52">
        <v>7.6</v>
      </c>
      <c r="G29" s="52">
        <v>26.74</v>
      </c>
      <c r="H29" s="52">
        <v>7.45</v>
      </c>
      <c r="I29" s="52">
        <v>4.54</v>
      </c>
      <c r="J29" s="52">
        <v>0.77</v>
      </c>
      <c r="K29" s="52">
        <v>255.74</v>
      </c>
      <c r="L29" s="52">
        <v>27.69</v>
      </c>
      <c r="M29" s="52">
        <v>87.46</v>
      </c>
      <c r="N29" s="52">
        <v>0</v>
      </c>
      <c r="O29" s="52">
        <v>0</v>
      </c>
      <c r="P29" s="52">
        <v>0.46</v>
      </c>
      <c r="Q29" s="52">
        <v>3.42</v>
      </c>
      <c r="R29" s="50"/>
      <c r="S29" s="50"/>
      <c r="T29" s="50"/>
      <c r="U29" s="50"/>
    </row>
    <row r="30" spans="1:21" customFormat="1">
      <c r="A30" s="51" t="s">
        <v>80</v>
      </c>
      <c r="B30" s="52">
        <v>10.39</v>
      </c>
      <c r="C30" s="52">
        <v>19.149999999999999</v>
      </c>
      <c r="D30" s="52">
        <v>17.29</v>
      </c>
      <c r="E30" s="30" t="s">
        <v>8</v>
      </c>
      <c r="F30" s="52">
        <v>6.62</v>
      </c>
      <c r="G30" s="52">
        <v>23.76</v>
      </c>
      <c r="H30" s="52">
        <v>6.71</v>
      </c>
      <c r="I30" s="52">
        <v>4.3899999999999997</v>
      </c>
      <c r="J30" s="52">
        <v>0.83</v>
      </c>
      <c r="K30" s="52">
        <v>256</v>
      </c>
      <c r="L30" s="52">
        <v>27.47</v>
      </c>
      <c r="M30" s="52">
        <v>88.81</v>
      </c>
      <c r="N30" s="52">
        <v>0</v>
      </c>
      <c r="O30" s="52">
        <v>0</v>
      </c>
      <c r="P30" s="52">
        <v>0.44</v>
      </c>
      <c r="Q30" s="52">
        <v>3.38</v>
      </c>
      <c r="R30" s="50"/>
      <c r="S30" s="50"/>
      <c r="T30" s="50"/>
      <c r="U30" s="50"/>
    </row>
    <row r="31" spans="1:21" customFormat="1">
      <c r="A31" s="51" t="s">
        <v>81</v>
      </c>
      <c r="B31" s="52">
        <v>10.51</v>
      </c>
      <c r="C31" s="52">
        <v>19.04</v>
      </c>
      <c r="D31" s="52">
        <v>17.329999999999998</v>
      </c>
      <c r="E31" s="30" t="s">
        <v>8</v>
      </c>
      <c r="F31" s="52">
        <v>5.47</v>
      </c>
      <c r="G31" s="52">
        <v>21.94</v>
      </c>
      <c r="H31" s="52">
        <v>6.71</v>
      </c>
      <c r="I31" s="52">
        <v>4.24</v>
      </c>
      <c r="J31" s="52">
        <v>1.1499999999999999</v>
      </c>
      <c r="K31" s="52">
        <v>258.54000000000002</v>
      </c>
      <c r="L31" s="52">
        <v>27.01</v>
      </c>
      <c r="M31" s="52">
        <v>89.33</v>
      </c>
      <c r="N31" s="52">
        <v>0</v>
      </c>
      <c r="O31" s="52">
        <v>0</v>
      </c>
      <c r="P31" s="52">
        <v>0.43</v>
      </c>
      <c r="Q31" s="52">
        <v>3.33</v>
      </c>
      <c r="R31" s="50"/>
      <c r="S31" s="50"/>
      <c r="T31" s="50"/>
      <c r="U31" s="50"/>
    </row>
    <row r="32" spans="1:21" customFormat="1">
      <c r="A32" s="51" t="s">
        <v>82</v>
      </c>
      <c r="B32" s="52">
        <v>10.7</v>
      </c>
      <c r="C32" s="52">
        <v>22.62</v>
      </c>
      <c r="D32" s="52">
        <v>18.89</v>
      </c>
      <c r="E32" s="30" t="s">
        <v>8</v>
      </c>
      <c r="F32" s="52">
        <v>4.43</v>
      </c>
      <c r="G32" s="52">
        <v>17.75</v>
      </c>
      <c r="H32" s="52">
        <v>6.31</v>
      </c>
      <c r="I32" s="52">
        <v>4.0199999999999996</v>
      </c>
      <c r="J32" s="52">
        <v>1.27</v>
      </c>
      <c r="K32" s="52">
        <v>260.14999999999998</v>
      </c>
      <c r="L32" s="52">
        <v>26.44</v>
      </c>
      <c r="M32" s="52">
        <v>89.64</v>
      </c>
      <c r="N32" s="52">
        <v>0</v>
      </c>
      <c r="O32" s="52">
        <v>0</v>
      </c>
      <c r="P32" s="52">
        <v>0.47</v>
      </c>
      <c r="Q32" s="52">
        <v>3.44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10.039999999999999</v>
      </c>
      <c r="C34" s="41">
        <f t="shared" si="0"/>
        <v>18.12</v>
      </c>
      <c r="D34" s="41">
        <f t="shared" si="0"/>
        <v>17.16</v>
      </c>
      <c r="E34" s="30" t="s">
        <v>8</v>
      </c>
      <c r="F34" s="41">
        <f t="shared" si="0"/>
        <v>2.8</v>
      </c>
      <c r="G34" s="41">
        <f t="shared" si="0"/>
        <v>15.87</v>
      </c>
      <c r="H34" s="41">
        <f t="shared" si="0"/>
        <v>2.68</v>
      </c>
      <c r="I34" s="41">
        <f t="shared" si="0"/>
        <v>4.0199999999999996</v>
      </c>
      <c r="J34" s="41">
        <f t="shared" si="0"/>
        <v>0.62</v>
      </c>
      <c r="K34" s="41">
        <f t="shared" si="0"/>
        <v>255.74</v>
      </c>
      <c r="L34" s="41">
        <f t="shared" si="0"/>
        <v>25.7</v>
      </c>
      <c r="M34" s="41">
        <f t="shared" si="0"/>
        <v>82.33</v>
      </c>
      <c r="N34" s="41">
        <f t="shared" si="0"/>
        <v>0</v>
      </c>
      <c r="O34" s="41">
        <f t="shared" si="0"/>
        <v>0</v>
      </c>
      <c r="P34" s="41">
        <f t="shared" si="0"/>
        <v>0.39</v>
      </c>
      <c r="Q34" s="41">
        <f t="shared" si="0"/>
        <v>3.33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21.33</v>
      </c>
      <c r="C35" s="33">
        <f t="shared" si="1"/>
        <v>23.23</v>
      </c>
      <c r="D35" s="33">
        <f t="shared" si="1"/>
        <v>27.46</v>
      </c>
      <c r="E35" s="30" t="s">
        <v>8</v>
      </c>
      <c r="F35" s="33">
        <f t="shared" si="1"/>
        <v>8.39</v>
      </c>
      <c r="G35" s="33">
        <f t="shared" si="1"/>
        <v>33.56</v>
      </c>
      <c r="H35" s="33">
        <f t="shared" si="1"/>
        <v>9.34</v>
      </c>
      <c r="I35" s="33">
        <f t="shared" si="1"/>
        <v>5.8</v>
      </c>
      <c r="J35" s="33">
        <f t="shared" si="1"/>
        <v>1.27</v>
      </c>
      <c r="K35" s="33">
        <f t="shared" si="1"/>
        <v>283.66000000000003</v>
      </c>
      <c r="L35" s="33">
        <f t="shared" si="1"/>
        <v>29.05</v>
      </c>
      <c r="M35" s="33">
        <f t="shared" si="1"/>
        <v>98.09</v>
      </c>
      <c r="N35" s="33">
        <f t="shared" si="1"/>
        <v>241.3</v>
      </c>
      <c r="O35" s="33">
        <f t="shared" si="1"/>
        <v>0.8</v>
      </c>
      <c r="P35" s="33">
        <f t="shared" si="1"/>
        <v>0.56000000000000005</v>
      </c>
      <c r="Q35" s="33">
        <f t="shared" si="1"/>
        <v>4.22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15.165833333333332</v>
      </c>
      <c r="C36" s="41">
        <f t="shared" si="2"/>
        <v>20.579166666666669</v>
      </c>
      <c r="D36" s="41">
        <f t="shared" si="2"/>
        <v>21.678333333333338</v>
      </c>
      <c r="E36" s="30" t="s">
        <v>8</v>
      </c>
      <c r="F36" s="41">
        <f t="shared" si="2"/>
        <v>4.9533333333333331</v>
      </c>
      <c r="G36" s="41">
        <f t="shared" si="2"/>
        <v>25.564583333333331</v>
      </c>
      <c r="H36" s="41">
        <f t="shared" si="2"/>
        <v>6.6412500000000003</v>
      </c>
      <c r="I36" s="41">
        <f t="shared" si="2"/>
        <v>4.7070833333333342</v>
      </c>
      <c r="J36" s="41">
        <f t="shared" si="2"/>
        <v>0.88916666666666655</v>
      </c>
      <c r="K36" s="41">
        <f t="shared" si="2"/>
        <v>263.78625000000005</v>
      </c>
      <c r="L36" s="41">
        <f t="shared" si="2"/>
        <v>27.316666666666674</v>
      </c>
      <c r="M36" s="41">
        <f t="shared" si="2"/>
        <v>89.976666666666674</v>
      </c>
      <c r="N36" s="41">
        <f t="shared" si="2"/>
        <v>67.88333333333334</v>
      </c>
      <c r="O36" s="41">
        <f t="shared" si="2"/>
        <v>0.11666666666666668</v>
      </c>
      <c r="P36" s="41">
        <f t="shared" si="2"/>
        <v>0.45833333333333343</v>
      </c>
      <c r="Q36" s="41">
        <f t="shared" si="2"/>
        <v>3.8070833333333325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3.7967777146539428</v>
      </c>
      <c r="C37" s="41">
        <f t="shared" ref="C37:Q37" si="3">STDEV(C9:C32)</f>
        <v>1.4124444326635721</v>
      </c>
      <c r="D37" s="41">
        <f t="shared" si="3"/>
        <v>3.4944349131610353</v>
      </c>
      <c r="E37" s="30" t="s">
        <v>8</v>
      </c>
      <c r="F37" s="41">
        <f t="shared" si="3"/>
        <v>1.7541891888120069</v>
      </c>
      <c r="G37" s="41">
        <f t="shared" si="3"/>
        <v>6.2499057239266529</v>
      </c>
      <c r="H37" s="41">
        <f t="shared" si="3"/>
        <v>1.953512583282605</v>
      </c>
      <c r="I37" s="41">
        <f t="shared" si="3"/>
        <v>0.40169725964437114</v>
      </c>
      <c r="J37" s="41">
        <f t="shared" si="3"/>
        <v>0.16327934629810495</v>
      </c>
      <c r="K37" s="41">
        <f t="shared" si="3"/>
        <v>8.7927024151192033</v>
      </c>
      <c r="L37" s="41">
        <f t="shared" si="3"/>
        <v>0.81965351463740588</v>
      </c>
      <c r="M37" s="41">
        <f t="shared" si="3"/>
        <v>4.2603037926654226</v>
      </c>
      <c r="N37" s="41">
        <f t="shared" si="3"/>
        <v>81.341767797397878</v>
      </c>
      <c r="O37" s="41">
        <f t="shared" si="3"/>
        <v>0.23529198635010865</v>
      </c>
      <c r="P37" s="41">
        <f t="shared" si="3"/>
        <v>5.2805357655274075E-2</v>
      </c>
      <c r="Q37" s="41">
        <f t="shared" si="3"/>
        <v>0.27631864351438762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E39" sqref="E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83</v>
      </c>
      <c r="B9" s="52">
        <v>10.17</v>
      </c>
      <c r="C9" s="52">
        <v>20.38</v>
      </c>
      <c r="D9" s="52">
        <v>17.690000000000001</v>
      </c>
      <c r="E9" s="30" t="s">
        <v>8</v>
      </c>
      <c r="F9" s="52">
        <v>4.0199999999999996</v>
      </c>
      <c r="G9" s="52">
        <v>17.75</v>
      </c>
      <c r="H9" s="52">
        <v>5.73</v>
      </c>
      <c r="I9" s="52">
        <v>4.26</v>
      </c>
      <c r="J9" s="52">
        <v>1.32</v>
      </c>
      <c r="K9" s="52">
        <v>264.94</v>
      </c>
      <c r="L9" s="52">
        <v>26.33</v>
      </c>
      <c r="M9" s="52">
        <v>94.25</v>
      </c>
      <c r="N9" s="52">
        <v>0</v>
      </c>
      <c r="O9" s="52">
        <v>0.8</v>
      </c>
      <c r="P9" s="52">
        <v>0.41</v>
      </c>
      <c r="Q9" s="52">
        <v>3.37</v>
      </c>
    </row>
    <row r="10" spans="1:21" customFormat="1">
      <c r="A10" s="51" t="s">
        <v>84</v>
      </c>
      <c r="B10" s="52">
        <v>10.87</v>
      </c>
      <c r="C10" s="52">
        <v>20.36</v>
      </c>
      <c r="D10" s="52">
        <v>18.170000000000002</v>
      </c>
      <c r="E10" s="30" t="s">
        <v>8</v>
      </c>
      <c r="F10" s="52">
        <v>3.45</v>
      </c>
      <c r="G10" s="52">
        <v>16.52</v>
      </c>
      <c r="H10" s="52">
        <v>5.61</v>
      </c>
      <c r="I10" s="52">
        <v>4.43</v>
      </c>
      <c r="J10" s="52">
        <v>1.1000000000000001</v>
      </c>
      <c r="K10" s="52">
        <v>257.86</v>
      </c>
      <c r="L10" s="52">
        <v>25.1</v>
      </c>
      <c r="M10" s="52">
        <v>95.94</v>
      </c>
      <c r="N10" s="52">
        <v>0</v>
      </c>
      <c r="O10" s="52">
        <v>0.4</v>
      </c>
      <c r="P10" s="52">
        <v>0.41</v>
      </c>
      <c r="Q10" s="52">
        <v>3.38</v>
      </c>
    </row>
    <row r="11" spans="1:21" customFormat="1">
      <c r="A11" s="51" t="s">
        <v>85</v>
      </c>
      <c r="B11" s="52">
        <v>12.02</v>
      </c>
      <c r="C11" s="52">
        <v>20.46</v>
      </c>
      <c r="D11" s="52">
        <v>19.28</v>
      </c>
      <c r="E11" s="30" t="s">
        <v>8</v>
      </c>
      <c r="F11" s="52">
        <v>2.89</v>
      </c>
      <c r="G11" s="52">
        <v>16.52</v>
      </c>
      <c r="H11" s="52">
        <v>5.61</v>
      </c>
      <c r="I11" s="52">
        <v>5.17</v>
      </c>
      <c r="J11" s="52">
        <v>1.04</v>
      </c>
      <c r="K11" s="52">
        <v>260.64999999999998</v>
      </c>
      <c r="L11" s="52">
        <v>25.21</v>
      </c>
      <c r="M11" s="52">
        <v>95.59</v>
      </c>
      <c r="N11" s="52">
        <v>0</v>
      </c>
      <c r="O11" s="52">
        <v>0.2</v>
      </c>
      <c r="P11" s="52">
        <v>0.49</v>
      </c>
      <c r="Q11" s="52">
        <v>3.43</v>
      </c>
    </row>
    <row r="12" spans="1:21" customFormat="1">
      <c r="A12" s="51" t="s">
        <v>86</v>
      </c>
      <c r="B12" s="52">
        <v>13.09</v>
      </c>
      <c r="C12" s="52">
        <v>20.32</v>
      </c>
      <c r="D12" s="52">
        <v>19.91</v>
      </c>
      <c r="E12" s="30" t="s">
        <v>8</v>
      </c>
      <c r="F12" s="52">
        <v>3.08</v>
      </c>
      <c r="G12" s="52">
        <v>18.260000000000002</v>
      </c>
      <c r="H12" s="52">
        <v>5.61</v>
      </c>
      <c r="I12" s="52">
        <v>5.95</v>
      </c>
      <c r="J12" s="52">
        <v>1.04</v>
      </c>
      <c r="K12" s="52">
        <v>264.67</v>
      </c>
      <c r="L12" s="52">
        <v>25.05</v>
      </c>
      <c r="M12" s="52">
        <v>95.76</v>
      </c>
      <c r="N12" s="52">
        <v>0</v>
      </c>
      <c r="O12" s="52">
        <v>1</v>
      </c>
      <c r="P12" s="52">
        <v>0.5</v>
      </c>
      <c r="Q12" s="52">
        <v>3.49</v>
      </c>
    </row>
    <row r="13" spans="1:21" customFormat="1">
      <c r="A13" s="51" t="s">
        <v>87</v>
      </c>
      <c r="B13" s="52">
        <v>13.22</v>
      </c>
      <c r="C13" s="52">
        <v>22.45</v>
      </c>
      <c r="D13" s="52">
        <v>20.91</v>
      </c>
      <c r="E13" s="30" t="s">
        <v>8</v>
      </c>
      <c r="F13" s="52">
        <v>3.14</v>
      </c>
      <c r="G13" s="52">
        <v>18.260000000000002</v>
      </c>
      <c r="H13" s="52">
        <v>5.61</v>
      </c>
      <c r="I13" s="52">
        <v>5.85</v>
      </c>
      <c r="J13" s="52">
        <v>1.1200000000000001</v>
      </c>
      <c r="K13" s="52">
        <v>261.19</v>
      </c>
      <c r="L13" s="52">
        <v>24.98</v>
      </c>
      <c r="M13" s="52">
        <v>97.44</v>
      </c>
      <c r="N13" s="52">
        <v>0</v>
      </c>
      <c r="O13" s="52">
        <v>0.4</v>
      </c>
      <c r="P13" s="52">
        <v>0.51</v>
      </c>
      <c r="Q13" s="52">
        <v>3.56</v>
      </c>
    </row>
    <row r="14" spans="1:21" customFormat="1">
      <c r="A14" s="51" t="s">
        <v>88</v>
      </c>
      <c r="B14" s="52">
        <v>13.69</v>
      </c>
      <c r="C14" s="52">
        <v>21.96</v>
      </c>
      <c r="D14" s="52">
        <v>21.41</v>
      </c>
      <c r="E14" s="30" t="s">
        <v>8</v>
      </c>
      <c r="F14" s="52">
        <v>3.24</v>
      </c>
      <c r="G14" s="52">
        <v>17.87</v>
      </c>
      <c r="H14" s="52">
        <v>4.75</v>
      </c>
      <c r="I14" s="52">
        <v>5.4</v>
      </c>
      <c r="J14" s="52">
        <v>0.95</v>
      </c>
      <c r="K14" s="52">
        <v>271.07</v>
      </c>
      <c r="L14" s="52">
        <v>25.03</v>
      </c>
      <c r="M14" s="52">
        <v>97.25</v>
      </c>
      <c r="N14" s="52">
        <v>0</v>
      </c>
      <c r="O14" s="52">
        <v>1.2</v>
      </c>
      <c r="P14" s="52">
        <v>0.56000000000000005</v>
      </c>
      <c r="Q14" s="52">
        <v>3.55</v>
      </c>
    </row>
    <row r="15" spans="1:21" customFormat="1">
      <c r="A15" s="51" t="s">
        <v>89</v>
      </c>
      <c r="B15" s="52">
        <v>15.35</v>
      </c>
      <c r="C15" s="52">
        <v>21.87</v>
      </c>
      <c r="D15" s="52">
        <v>22.03</v>
      </c>
      <c r="E15" s="30" t="s">
        <v>8</v>
      </c>
      <c r="F15" s="52">
        <v>2.5499999999999998</v>
      </c>
      <c r="G15" s="52">
        <v>17.87</v>
      </c>
      <c r="H15" s="52">
        <v>4.75</v>
      </c>
      <c r="I15" s="52">
        <v>5.95</v>
      </c>
      <c r="J15" s="52">
        <v>0.59</v>
      </c>
      <c r="K15" s="52">
        <v>284.66000000000003</v>
      </c>
      <c r="L15" s="52">
        <v>25.02</v>
      </c>
      <c r="M15" s="52">
        <v>97.93</v>
      </c>
      <c r="N15" s="52">
        <v>2.5</v>
      </c>
      <c r="O15" s="52">
        <v>1.2</v>
      </c>
      <c r="P15" s="52">
        <v>0.57999999999999996</v>
      </c>
      <c r="Q15" s="52">
        <v>3.59</v>
      </c>
    </row>
    <row r="16" spans="1:21" customFormat="1">
      <c r="A16" s="51" t="s">
        <v>90</v>
      </c>
      <c r="B16" s="52">
        <v>17.54</v>
      </c>
      <c r="C16" s="52">
        <v>22.24</v>
      </c>
      <c r="D16" s="52">
        <v>24.57</v>
      </c>
      <c r="E16" s="30" t="s">
        <v>8</v>
      </c>
      <c r="F16" s="52">
        <v>2.9</v>
      </c>
      <c r="G16" s="52">
        <v>17.7</v>
      </c>
      <c r="H16" s="52">
        <v>6.29</v>
      </c>
      <c r="I16" s="52">
        <v>5.96</v>
      </c>
      <c r="J16" s="52">
        <v>0.82</v>
      </c>
      <c r="K16" s="52">
        <v>281.56</v>
      </c>
      <c r="L16" s="52">
        <v>25.06</v>
      </c>
      <c r="M16" s="52">
        <v>97.81</v>
      </c>
      <c r="N16" s="52">
        <v>24.2</v>
      </c>
      <c r="O16" s="52">
        <v>1</v>
      </c>
      <c r="P16" s="52">
        <v>0.59</v>
      </c>
      <c r="Q16" s="52">
        <v>3.72</v>
      </c>
    </row>
    <row r="17" spans="1:17" customFormat="1">
      <c r="A17" s="51" t="s">
        <v>91</v>
      </c>
      <c r="B17" s="52">
        <v>18.16</v>
      </c>
      <c r="C17" s="52">
        <v>21.77</v>
      </c>
      <c r="D17" s="52">
        <v>24.85</v>
      </c>
      <c r="E17" s="30" t="s">
        <v>8</v>
      </c>
      <c r="F17" s="52">
        <v>2.92</v>
      </c>
      <c r="G17" s="52">
        <v>17.7</v>
      </c>
      <c r="H17" s="52">
        <v>7.3</v>
      </c>
      <c r="I17" s="52">
        <v>5.81</v>
      </c>
      <c r="J17" s="52">
        <v>1.1599999999999999</v>
      </c>
      <c r="K17" s="52">
        <v>266.27</v>
      </c>
      <c r="L17" s="52">
        <v>25.36</v>
      </c>
      <c r="M17" s="52">
        <v>97.29</v>
      </c>
      <c r="N17" s="52">
        <v>43.9</v>
      </c>
      <c r="O17" s="52">
        <v>0.6</v>
      </c>
      <c r="P17" s="52">
        <v>0.55000000000000004</v>
      </c>
      <c r="Q17" s="52">
        <v>3.8</v>
      </c>
    </row>
    <row r="18" spans="1:17" customFormat="1">
      <c r="A18" s="51" t="s">
        <v>92</v>
      </c>
      <c r="B18" s="52">
        <v>18.46</v>
      </c>
      <c r="C18" s="52">
        <v>23.23</v>
      </c>
      <c r="D18" s="52">
        <v>25.72</v>
      </c>
      <c r="E18" s="30" t="s">
        <v>8</v>
      </c>
      <c r="F18" s="52">
        <v>2.87</v>
      </c>
      <c r="G18" s="52">
        <v>16.11</v>
      </c>
      <c r="H18" s="52">
        <v>7.3</v>
      </c>
      <c r="I18" s="52">
        <v>5.79</v>
      </c>
      <c r="J18" s="52">
        <v>1.31</v>
      </c>
      <c r="K18" s="52">
        <v>263.75</v>
      </c>
      <c r="L18" s="52">
        <v>25.49</v>
      </c>
      <c r="M18" s="52">
        <v>96.84</v>
      </c>
      <c r="N18" s="52">
        <v>122.4</v>
      </c>
      <c r="O18" s="52">
        <v>0.6</v>
      </c>
      <c r="P18" s="52">
        <v>0.63</v>
      </c>
      <c r="Q18" s="52">
        <v>3.76</v>
      </c>
    </row>
    <row r="19" spans="1:17" customFormat="1">
      <c r="A19" s="51" t="s">
        <v>93</v>
      </c>
      <c r="B19" s="52">
        <v>18.57</v>
      </c>
      <c r="C19" s="52">
        <v>22.08</v>
      </c>
      <c r="D19" s="52">
        <v>25.33</v>
      </c>
      <c r="E19" s="30" t="s">
        <v>8</v>
      </c>
      <c r="F19" s="52">
        <v>3.25</v>
      </c>
      <c r="G19" s="52">
        <v>21.16</v>
      </c>
      <c r="H19" s="52">
        <v>7.74</v>
      </c>
      <c r="I19" s="52">
        <v>6.69</v>
      </c>
      <c r="J19" s="52">
        <v>1.38</v>
      </c>
      <c r="K19" s="52">
        <v>268</v>
      </c>
      <c r="L19" s="52">
        <v>25.88</v>
      </c>
      <c r="M19" s="52">
        <v>95.12</v>
      </c>
      <c r="N19" s="52">
        <v>188.6</v>
      </c>
      <c r="O19" s="52">
        <v>0.2</v>
      </c>
      <c r="P19" s="52">
        <v>0.64</v>
      </c>
      <c r="Q19" s="52">
        <v>3.8</v>
      </c>
    </row>
    <row r="20" spans="1:17" customFormat="1">
      <c r="A20" s="51" t="s">
        <v>94</v>
      </c>
      <c r="B20" s="52">
        <v>19.05</v>
      </c>
      <c r="C20" s="52">
        <v>22.71</v>
      </c>
      <c r="D20" s="52">
        <v>25.97</v>
      </c>
      <c r="E20" s="30" t="s">
        <v>8</v>
      </c>
      <c r="F20" s="52">
        <v>2.74</v>
      </c>
      <c r="G20" s="52">
        <v>24.7</v>
      </c>
      <c r="H20" s="52">
        <v>7.74</v>
      </c>
      <c r="I20" s="52">
        <v>7.23</v>
      </c>
      <c r="J20" s="52">
        <v>1.31</v>
      </c>
      <c r="K20" s="52">
        <v>269.27999999999997</v>
      </c>
      <c r="L20" s="52">
        <v>25.94</v>
      </c>
      <c r="M20" s="52">
        <v>95.81</v>
      </c>
      <c r="N20" s="52">
        <v>131.5</v>
      </c>
      <c r="O20" s="52">
        <v>0.6</v>
      </c>
      <c r="P20" s="52">
        <v>0.71</v>
      </c>
      <c r="Q20" s="52">
        <v>3.83</v>
      </c>
    </row>
    <row r="21" spans="1:17" customFormat="1">
      <c r="A21" s="51" t="s">
        <v>95</v>
      </c>
      <c r="B21" s="52">
        <v>18.59</v>
      </c>
      <c r="C21" s="52">
        <v>21.87</v>
      </c>
      <c r="D21" s="52">
        <v>24.63</v>
      </c>
      <c r="E21" s="52">
        <v>9.6999999999999993</v>
      </c>
      <c r="F21" s="52">
        <v>3.15</v>
      </c>
      <c r="G21" s="52">
        <v>24.7</v>
      </c>
      <c r="H21" s="52">
        <v>6.63</v>
      </c>
      <c r="I21" s="52">
        <v>7.28</v>
      </c>
      <c r="J21" s="52">
        <v>1.26</v>
      </c>
      <c r="K21" s="52">
        <v>260.8</v>
      </c>
      <c r="L21" s="52">
        <v>25.46</v>
      </c>
      <c r="M21" s="52">
        <v>96.24</v>
      </c>
      <c r="N21" s="52">
        <v>110.6</v>
      </c>
      <c r="O21" s="52">
        <v>0.6</v>
      </c>
      <c r="P21" s="52">
        <v>0.67</v>
      </c>
      <c r="Q21" s="52">
        <v>3.78</v>
      </c>
    </row>
    <row r="22" spans="1:17" customFormat="1">
      <c r="A22" s="51" t="s">
        <v>96</v>
      </c>
      <c r="B22" s="52">
        <v>17.77</v>
      </c>
      <c r="C22" s="52">
        <v>21.54</v>
      </c>
      <c r="D22" s="52">
        <v>24.33</v>
      </c>
      <c r="E22" s="52">
        <v>8.7899999999999991</v>
      </c>
      <c r="F22" s="52">
        <v>3.2</v>
      </c>
      <c r="G22" s="52">
        <v>20.5</v>
      </c>
      <c r="H22" s="52">
        <v>6.39</v>
      </c>
      <c r="I22" s="52">
        <v>7.47</v>
      </c>
      <c r="J22" s="52">
        <v>1.27</v>
      </c>
      <c r="K22" s="52">
        <v>264.98</v>
      </c>
      <c r="L22" s="52">
        <v>25.54</v>
      </c>
      <c r="M22" s="52">
        <v>95.77</v>
      </c>
      <c r="N22" s="52">
        <v>68.2</v>
      </c>
      <c r="O22" s="52">
        <v>1</v>
      </c>
      <c r="P22" s="52">
        <v>0.71</v>
      </c>
      <c r="Q22" s="52">
        <v>3.73</v>
      </c>
    </row>
    <row r="23" spans="1:17" customFormat="1">
      <c r="A23" s="51" t="s">
        <v>97</v>
      </c>
      <c r="B23" s="52">
        <v>17.809999999999999</v>
      </c>
      <c r="C23" s="52">
        <v>25.32</v>
      </c>
      <c r="D23" s="52">
        <v>25.02</v>
      </c>
      <c r="E23" s="52">
        <v>5.67</v>
      </c>
      <c r="F23" s="52">
        <v>3.04</v>
      </c>
      <c r="G23" s="52">
        <v>20.69</v>
      </c>
      <c r="H23" s="52">
        <v>7.74</v>
      </c>
      <c r="I23" s="52">
        <v>7.57</v>
      </c>
      <c r="J23" s="52">
        <v>1.39</v>
      </c>
      <c r="K23" s="52">
        <v>260.72000000000003</v>
      </c>
      <c r="L23" s="52">
        <v>25.28</v>
      </c>
      <c r="M23" s="52">
        <v>97.29</v>
      </c>
      <c r="N23" s="52">
        <v>96</v>
      </c>
      <c r="O23" s="52">
        <v>1.8</v>
      </c>
      <c r="P23" s="52">
        <v>0.77</v>
      </c>
      <c r="Q23" s="52">
        <v>3.75</v>
      </c>
    </row>
    <row r="24" spans="1:17" customFormat="1">
      <c r="A24" s="51" t="s">
        <v>98</v>
      </c>
      <c r="B24" s="52">
        <v>16.77</v>
      </c>
      <c r="C24" s="52">
        <v>27.18</v>
      </c>
      <c r="D24" s="52">
        <v>26.1</v>
      </c>
      <c r="E24" s="52">
        <v>5.62</v>
      </c>
      <c r="F24" s="52">
        <v>3.75</v>
      </c>
      <c r="G24" s="52">
        <v>20.69</v>
      </c>
      <c r="H24" s="52">
        <v>7.74</v>
      </c>
      <c r="I24" s="52">
        <v>7.69</v>
      </c>
      <c r="J24" s="52">
        <v>1.52</v>
      </c>
      <c r="K24" s="52">
        <v>270.60000000000002</v>
      </c>
      <c r="L24" s="52">
        <v>25.15</v>
      </c>
      <c r="M24" s="52">
        <v>96.65</v>
      </c>
      <c r="N24" s="52">
        <v>69.3</v>
      </c>
      <c r="O24" s="52">
        <v>0.2</v>
      </c>
      <c r="P24" s="52">
        <v>0.81</v>
      </c>
      <c r="Q24" s="52">
        <v>3.87</v>
      </c>
    </row>
    <row r="25" spans="1:17" customFormat="1">
      <c r="A25" s="51" t="s">
        <v>99</v>
      </c>
      <c r="B25" s="52">
        <v>14.79</v>
      </c>
      <c r="C25" s="52">
        <v>22.53</v>
      </c>
      <c r="D25" s="52">
        <v>22.08</v>
      </c>
      <c r="E25" s="52">
        <v>5.1100000000000003</v>
      </c>
      <c r="F25" s="52">
        <v>2.67</v>
      </c>
      <c r="G25" s="52">
        <v>14.64</v>
      </c>
      <c r="H25" s="52">
        <v>6.9</v>
      </c>
      <c r="I25" s="52">
        <v>6.69</v>
      </c>
      <c r="J25" s="52">
        <v>1.47</v>
      </c>
      <c r="K25" s="52">
        <v>268.49</v>
      </c>
      <c r="L25" s="52">
        <v>25.15</v>
      </c>
      <c r="M25" s="52">
        <v>94.24</v>
      </c>
      <c r="N25" s="52">
        <v>43.6</v>
      </c>
      <c r="O25" s="52">
        <v>0</v>
      </c>
      <c r="P25" s="52">
        <v>0.59</v>
      </c>
      <c r="Q25" s="52">
        <v>3.65</v>
      </c>
    </row>
    <row r="26" spans="1:17" customFormat="1">
      <c r="A26" s="51" t="s">
        <v>100</v>
      </c>
      <c r="B26" s="52">
        <v>13.44</v>
      </c>
      <c r="C26" s="52">
        <v>23.48</v>
      </c>
      <c r="D26" s="52">
        <v>21.83</v>
      </c>
      <c r="E26" s="52">
        <v>5.28</v>
      </c>
      <c r="F26" s="52">
        <v>2.85</v>
      </c>
      <c r="G26" s="52">
        <v>13.35</v>
      </c>
      <c r="H26" s="52">
        <v>6.9</v>
      </c>
      <c r="I26" s="52">
        <v>6.27</v>
      </c>
      <c r="J26" s="52">
        <v>1.56</v>
      </c>
      <c r="K26" s="52">
        <v>271.16000000000003</v>
      </c>
      <c r="L26" s="52">
        <v>25.09</v>
      </c>
      <c r="M26" s="52">
        <v>93.8</v>
      </c>
      <c r="N26" s="52">
        <v>12</v>
      </c>
      <c r="O26" s="52">
        <v>0.2</v>
      </c>
      <c r="P26" s="52">
        <v>0.56999999999999995</v>
      </c>
      <c r="Q26" s="52">
        <v>3.58</v>
      </c>
    </row>
    <row r="27" spans="1:17" customFormat="1">
      <c r="A27" s="51" t="s">
        <v>101</v>
      </c>
      <c r="B27" s="52">
        <v>13.14</v>
      </c>
      <c r="C27" s="52">
        <v>22.59</v>
      </c>
      <c r="D27" s="52">
        <v>21.03</v>
      </c>
      <c r="E27" s="52">
        <v>8.0299999999999994</v>
      </c>
      <c r="F27" s="52">
        <v>2.97</v>
      </c>
      <c r="G27" s="52">
        <v>12.52</v>
      </c>
      <c r="H27" s="52">
        <v>4.96</v>
      </c>
      <c r="I27" s="52">
        <v>5.97</v>
      </c>
      <c r="J27" s="52">
        <v>1.69</v>
      </c>
      <c r="K27" s="52">
        <v>266.04000000000002</v>
      </c>
      <c r="L27" s="52">
        <v>24.82</v>
      </c>
      <c r="M27" s="52">
        <v>94.27</v>
      </c>
      <c r="N27" s="52">
        <v>0.1</v>
      </c>
      <c r="O27" s="52">
        <v>0.8</v>
      </c>
      <c r="P27" s="52">
        <v>0.51</v>
      </c>
      <c r="Q27" s="52">
        <v>3.55</v>
      </c>
    </row>
    <row r="28" spans="1:17" customFormat="1">
      <c r="A28" s="51" t="s">
        <v>102</v>
      </c>
      <c r="B28" s="52">
        <v>12.6</v>
      </c>
      <c r="C28" s="52">
        <v>22.55</v>
      </c>
      <c r="D28" s="52">
        <v>20.69</v>
      </c>
      <c r="E28" s="52">
        <v>7.77</v>
      </c>
      <c r="F28" s="52">
        <v>2.92</v>
      </c>
      <c r="G28" s="52">
        <v>10.73</v>
      </c>
      <c r="H28" s="52">
        <v>3.59</v>
      </c>
      <c r="I28" s="52">
        <v>5.49</v>
      </c>
      <c r="J28" s="52">
        <v>1.5</v>
      </c>
      <c r="K28" s="52">
        <v>266.27</v>
      </c>
      <c r="L28" s="52">
        <v>24.48</v>
      </c>
      <c r="M28" s="52">
        <v>96.23</v>
      </c>
      <c r="N28" s="52">
        <v>0</v>
      </c>
      <c r="O28" s="52">
        <v>0.8</v>
      </c>
      <c r="P28" s="52">
        <v>0.49</v>
      </c>
      <c r="Q28" s="52">
        <v>3.51</v>
      </c>
    </row>
    <row r="29" spans="1:17" customFormat="1">
      <c r="A29" s="51" t="s">
        <v>103</v>
      </c>
      <c r="B29" s="52">
        <v>11.78</v>
      </c>
      <c r="C29" s="52">
        <v>22.95</v>
      </c>
      <c r="D29" s="52">
        <v>20.07</v>
      </c>
      <c r="E29" s="52">
        <v>8.16</v>
      </c>
      <c r="F29" s="52">
        <v>3.17</v>
      </c>
      <c r="G29" s="52">
        <v>10.48</v>
      </c>
      <c r="H29" s="52">
        <v>2.82</v>
      </c>
      <c r="I29" s="52">
        <v>4.9800000000000004</v>
      </c>
      <c r="J29" s="52">
        <v>1.47</v>
      </c>
      <c r="K29" s="52">
        <v>266.44</v>
      </c>
      <c r="L29" s="52">
        <v>24.49</v>
      </c>
      <c r="M29" s="52">
        <v>96.88</v>
      </c>
      <c r="N29" s="52">
        <v>0</v>
      </c>
      <c r="O29" s="52">
        <v>1.2</v>
      </c>
      <c r="P29" s="52">
        <v>0.47</v>
      </c>
      <c r="Q29" s="52">
        <v>3.46</v>
      </c>
    </row>
    <row r="30" spans="1:17" customFormat="1">
      <c r="A30" s="51" t="s">
        <v>104</v>
      </c>
      <c r="B30" s="52">
        <v>11.19</v>
      </c>
      <c r="C30" s="52">
        <v>22.06</v>
      </c>
      <c r="D30" s="52">
        <v>19.28</v>
      </c>
      <c r="E30" s="52">
        <v>8.43</v>
      </c>
      <c r="F30" s="52">
        <v>2.81</v>
      </c>
      <c r="G30" s="52">
        <v>10.48</v>
      </c>
      <c r="H30" s="52">
        <v>3.84</v>
      </c>
      <c r="I30" s="52">
        <v>4.45</v>
      </c>
      <c r="J30" s="52">
        <v>1.74</v>
      </c>
      <c r="K30" s="52">
        <v>268.69</v>
      </c>
      <c r="L30" s="52">
        <v>24.27</v>
      </c>
      <c r="M30" s="52">
        <v>98.31</v>
      </c>
      <c r="N30" s="52">
        <v>0</v>
      </c>
      <c r="O30" s="52">
        <v>1</v>
      </c>
      <c r="P30" s="52">
        <v>0.4</v>
      </c>
      <c r="Q30" s="52">
        <v>3.43</v>
      </c>
    </row>
    <row r="31" spans="1:17" customFormat="1">
      <c r="A31" s="51" t="s">
        <v>105</v>
      </c>
      <c r="B31" s="52">
        <v>11.19</v>
      </c>
      <c r="C31" s="52">
        <v>21.77</v>
      </c>
      <c r="D31" s="52">
        <v>19.25</v>
      </c>
      <c r="E31" s="52">
        <v>8.75</v>
      </c>
      <c r="F31" s="52">
        <v>2.82</v>
      </c>
      <c r="G31" s="52">
        <v>8.86</v>
      </c>
      <c r="H31" s="52">
        <v>3.84</v>
      </c>
      <c r="I31" s="52">
        <v>4.28</v>
      </c>
      <c r="J31" s="52">
        <v>1.95</v>
      </c>
      <c r="K31" s="52">
        <v>264.07</v>
      </c>
      <c r="L31" s="52">
        <v>24.37</v>
      </c>
      <c r="M31" s="52">
        <v>98.46</v>
      </c>
      <c r="N31" s="52">
        <v>0</v>
      </c>
      <c r="O31" s="52">
        <v>0.6</v>
      </c>
      <c r="P31" s="52">
        <v>0.38</v>
      </c>
      <c r="Q31" s="52">
        <v>3.41</v>
      </c>
    </row>
    <row r="32" spans="1:17" customFormat="1">
      <c r="A32" s="51" t="s">
        <v>106</v>
      </c>
      <c r="B32" s="52">
        <v>11.12</v>
      </c>
      <c r="C32" s="52">
        <v>21.03</v>
      </c>
      <c r="D32" s="52">
        <v>18.850000000000001</v>
      </c>
      <c r="E32" s="52">
        <v>8.98</v>
      </c>
      <c r="F32" s="52">
        <v>2.75</v>
      </c>
      <c r="G32" s="52">
        <v>9.19</v>
      </c>
      <c r="H32" s="52">
        <v>3.4</v>
      </c>
      <c r="I32" s="52">
        <v>3.95</v>
      </c>
      <c r="J32" s="52">
        <v>1.66</v>
      </c>
      <c r="K32" s="52">
        <v>265.92</v>
      </c>
      <c r="L32" s="52">
        <v>24.35</v>
      </c>
      <c r="M32" s="52">
        <v>98.56</v>
      </c>
      <c r="N32" s="52">
        <v>0</v>
      </c>
      <c r="O32" s="52">
        <v>1</v>
      </c>
      <c r="P32" s="52">
        <v>0.36</v>
      </c>
      <c r="Q32" s="52">
        <v>3.41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10.17</v>
      </c>
      <c r="C34" s="41">
        <f t="shared" si="0"/>
        <v>20.32</v>
      </c>
      <c r="D34" s="41">
        <f t="shared" si="0"/>
        <v>17.690000000000001</v>
      </c>
      <c r="E34" s="41">
        <f t="shared" si="0"/>
        <v>5.1100000000000003</v>
      </c>
      <c r="F34" s="41">
        <f t="shared" si="0"/>
        <v>2.5499999999999998</v>
      </c>
      <c r="G34" s="41">
        <f t="shared" si="0"/>
        <v>8.86</v>
      </c>
      <c r="H34" s="41">
        <f t="shared" si="0"/>
        <v>2.82</v>
      </c>
      <c r="I34" s="41">
        <f t="shared" si="0"/>
        <v>3.95</v>
      </c>
      <c r="J34" s="41">
        <f t="shared" si="0"/>
        <v>0.59</v>
      </c>
      <c r="K34" s="41">
        <f t="shared" si="0"/>
        <v>257.86</v>
      </c>
      <c r="L34" s="41">
        <f t="shared" si="0"/>
        <v>24.27</v>
      </c>
      <c r="M34" s="41">
        <f t="shared" si="0"/>
        <v>93.8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3.37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19.05</v>
      </c>
      <c r="C35" s="33">
        <f t="shared" si="1"/>
        <v>27.18</v>
      </c>
      <c r="D35" s="33">
        <f t="shared" si="1"/>
        <v>26.1</v>
      </c>
      <c r="E35" s="33">
        <f t="shared" si="1"/>
        <v>9.6999999999999993</v>
      </c>
      <c r="F35" s="33">
        <f t="shared" si="1"/>
        <v>4.0199999999999996</v>
      </c>
      <c r="G35" s="33">
        <f t="shared" si="1"/>
        <v>24.7</v>
      </c>
      <c r="H35" s="33">
        <f t="shared" si="1"/>
        <v>7.74</v>
      </c>
      <c r="I35" s="33">
        <f t="shared" si="1"/>
        <v>7.69</v>
      </c>
      <c r="J35" s="33">
        <f t="shared" si="1"/>
        <v>1.95</v>
      </c>
      <c r="K35" s="33">
        <f t="shared" si="1"/>
        <v>284.66000000000003</v>
      </c>
      <c r="L35" s="33">
        <f t="shared" si="1"/>
        <v>26.33</v>
      </c>
      <c r="M35" s="33">
        <f t="shared" si="1"/>
        <v>98.56</v>
      </c>
      <c r="N35" s="33">
        <f t="shared" si="1"/>
        <v>188.6</v>
      </c>
      <c r="O35" s="33">
        <f t="shared" si="1"/>
        <v>1.8</v>
      </c>
      <c r="P35" s="33">
        <f t="shared" si="1"/>
        <v>0.81</v>
      </c>
      <c r="Q35" s="33">
        <f t="shared" si="1"/>
        <v>3.87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14.599166666666667</v>
      </c>
      <c r="C36" s="41">
        <f t="shared" si="2"/>
        <v>22.279166666666665</v>
      </c>
      <c r="D36" s="41">
        <f t="shared" si="2"/>
        <v>22.041666666666661</v>
      </c>
      <c r="E36" s="41">
        <f t="shared" si="2"/>
        <v>7.5241666666666669</v>
      </c>
      <c r="F36" s="41">
        <f t="shared" si="2"/>
        <v>3.0479166666666671</v>
      </c>
      <c r="G36" s="41">
        <f t="shared" si="2"/>
        <v>16.552083333333336</v>
      </c>
      <c r="H36" s="41">
        <f t="shared" si="2"/>
        <v>5.782916666666666</v>
      </c>
      <c r="I36" s="41">
        <f t="shared" si="2"/>
        <v>5.857499999999999</v>
      </c>
      <c r="J36" s="41">
        <f t="shared" si="2"/>
        <v>1.3174999999999999</v>
      </c>
      <c r="K36" s="41">
        <f t="shared" si="2"/>
        <v>267.00333333333327</v>
      </c>
      <c r="L36" s="41">
        <f t="shared" si="2"/>
        <v>25.120833333333334</v>
      </c>
      <c r="M36" s="41">
        <f t="shared" si="2"/>
        <v>96.405416666666667</v>
      </c>
      <c r="N36" s="41">
        <f t="shared" si="2"/>
        <v>38.037500000000001</v>
      </c>
      <c r="O36" s="41">
        <f t="shared" si="2"/>
        <v>0.72499999999999998</v>
      </c>
      <c r="P36" s="41">
        <f t="shared" si="2"/>
        <v>0.55458333333333343</v>
      </c>
      <c r="Q36" s="41">
        <f t="shared" si="2"/>
        <v>3.6004166666666659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3.0170802422881948</v>
      </c>
      <c r="C37" s="41">
        <f t="shared" ref="C37:Q37" si="3">STDEV(C9:C32)</f>
        <v>1.5336456046231226</v>
      </c>
      <c r="D37" s="41">
        <f t="shared" si="3"/>
        <v>2.7306579342025503</v>
      </c>
      <c r="E37" s="41">
        <f t="shared" si="3"/>
        <v>1.6356286438571714</v>
      </c>
      <c r="F37" s="41">
        <f t="shared" si="3"/>
        <v>0.33457278621454029</v>
      </c>
      <c r="G37" s="41">
        <f t="shared" si="3"/>
        <v>4.5136941191721416</v>
      </c>
      <c r="H37" s="41">
        <f t="shared" si="3"/>
        <v>1.5253238548973262</v>
      </c>
      <c r="I37" s="41">
        <f t="shared" si="3"/>
        <v>1.1167976345434054</v>
      </c>
      <c r="J37" s="41">
        <f t="shared" si="3"/>
        <v>0.30970182012914382</v>
      </c>
      <c r="K37" s="41">
        <f t="shared" si="3"/>
        <v>6.0928979802023564</v>
      </c>
      <c r="L37" s="41">
        <f t="shared" si="3"/>
        <v>0.51321591919013587</v>
      </c>
      <c r="M37" s="41">
        <f t="shared" si="3"/>
        <v>1.3996986606334403</v>
      </c>
      <c r="N37" s="41">
        <f t="shared" si="3"/>
        <v>54.607570843961383</v>
      </c>
      <c r="O37" s="41">
        <f t="shared" si="3"/>
        <v>0.42452018951322923</v>
      </c>
      <c r="P37" s="41">
        <f t="shared" si="3"/>
        <v>0.12268656305245138</v>
      </c>
      <c r="Q37" s="41">
        <f t="shared" si="3"/>
        <v>0.16128503439206843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107</v>
      </c>
      <c r="B9" s="52">
        <v>12.46</v>
      </c>
      <c r="C9" s="52">
        <v>21.45</v>
      </c>
      <c r="D9" s="52">
        <v>20.07</v>
      </c>
      <c r="E9" s="52">
        <v>9.0500000000000007</v>
      </c>
      <c r="F9" s="52">
        <v>2.91</v>
      </c>
      <c r="G9" s="52">
        <v>9.19</v>
      </c>
      <c r="H9" s="52">
        <v>2.87</v>
      </c>
      <c r="I9" s="52">
        <v>3.66</v>
      </c>
      <c r="J9" s="52">
        <v>1.54</v>
      </c>
      <c r="K9" s="52">
        <v>267.06</v>
      </c>
      <c r="L9" s="52">
        <v>24.42</v>
      </c>
      <c r="M9" s="52">
        <v>98.71</v>
      </c>
      <c r="N9" s="52">
        <v>0</v>
      </c>
      <c r="O9" s="52">
        <v>0.8</v>
      </c>
      <c r="P9" s="52">
        <v>0.33</v>
      </c>
      <c r="Q9" s="52">
        <v>3.42</v>
      </c>
    </row>
    <row r="10" spans="1:21" customFormat="1">
      <c r="A10" s="51" t="s">
        <v>108</v>
      </c>
      <c r="B10" s="52">
        <v>12.31</v>
      </c>
      <c r="C10" s="52">
        <v>22.82</v>
      </c>
      <c r="D10" s="52">
        <v>20.36</v>
      </c>
      <c r="E10" s="52">
        <v>8.99</v>
      </c>
      <c r="F10" s="52">
        <v>3.5</v>
      </c>
      <c r="G10" s="52">
        <v>6.53</v>
      </c>
      <c r="H10" s="52">
        <v>2.0299999999999998</v>
      </c>
      <c r="I10" s="52">
        <v>3.47</v>
      </c>
      <c r="J10" s="52">
        <v>1.48</v>
      </c>
      <c r="K10" s="52">
        <v>267.57</v>
      </c>
      <c r="L10" s="52">
        <v>24.35</v>
      </c>
      <c r="M10" s="52">
        <v>98.52</v>
      </c>
      <c r="N10" s="52">
        <v>0</v>
      </c>
      <c r="O10" s="52">
        <v>1.6</v>
      </c>
      <c r="P10" s="52">
        <v>0.36</v>
      </c>
      <c r="Q10" s="52">
        <v>3.42</v>
      </c>
    </row>
    <row r="11" spans="1:21" customFormat="1">
      <c r="A11" s="51" t="s">
        <v>109</v>
      </c>
      <c r="B11" s="52">
        <v>11.94</v>
      </c>
      <c r="C11" s="52">
        <v>20.88</v>
      </c>
      <c r="D11" s="52">
        <v>19.440000000000001</v>
      </c>
      <c r="E11" s="52">
        <v>8.2799999999999994</v>
      </c>
      <c r="F11" s="52">
        <v>2.9</v>
      </c>
      <c r="G11" s="52">
        <v>4.8600000000000003</v>
      </c>
      <c r="H11" s="52">
        <v>1.63</v>
      </c>
      <c r="I11" s="52">
        <v>3.22</v>
      </c>
      <c r="J11" s="52">
        <v>1.54</v>
      </c>
      <c r="K11" s="52">
        <v>267.38</v>
      </c>
      <c r="L11" s="52">
        <v>24.18</v>
      </c>
      <c r="M11" s="52">
        <v>98.37</v>
      </c>
      <c r="N11" s="52">
        <v>0</v>
      </c>
      <c r="O11" s="52">
        <v>1.4</v>
      </c>
      <c r="P11" s="52">
        <v>0.28000000000000003</v>
      </c>
      <c r="Q11" s="52">
        <v>3.35</v>
      </c>
    </row>
    <row r="12" spans="1:21" customFormat="1">
      <c r="A12" s="51" t="s">
        <v>110</v>
      </c>
      <c r="B12" s="52">
        <v>12.34</v>
      </c>
      <c r="C12" s="52">
        <v>19.920000000000002</v>
      </c>
      <c r="D12" s="52">
        <v>19.16</v>
      </c>
      <c r="E12" s="52">
        <v>8.43</v>
      </c>
      <c r="F12" s="52">
        <v>2.63</v>
      </c>
      <c r="G12" s="52">
        <v>4.67</v>
      </c>
      <c r="H12" s="52">
        <v>1.76</v>
      </c>
      <c r="I12" s="52">
        <v>3.1</v>
      </c>
      <c r="J12" s="52">
        <v>1.39</v>
      </c>
      <c r="K12" s="52">
        <v>266.77999999999997</v>
      </c>
      <c r="L12" s="52">
        <v>24.08</v>
      </c>
      <c r="M12" s="52">
        <v>98.76</v>
      </c>
      <c r="N12" s="52">
        <v>0</v>
      </c>
      <c r="O12" s="52">
        <v>1.8</v>
      </c>
      <c r="P12" s="52">
        <v>0.27</v>
      </c>
      <c r="Q12" s="52">
        <v>3.37</v>
      </c>
    </row>
    <row r="13" spans="1:21" customFormat="1">
      <c r="A13" s="51" t="s">
        <v>111</v>
      </c>
      <c r="B13" s="52">
        <v>12.93</v>
      </c>
      <c r="C13" s="52">
        <v>20.45</v>
      </c>
      <c r="D13" s="52">
        <v>19.850000000000001</v>
      </c>
      <c r="E13" s="52">
        <v>8.61</v>
      </c>
      <c r="F13" s="52">
        <v>2.88</v>
      </c>
      <c r="G13" s="52">
        <v>8</v>
      </c>
      <c r="H13" s="52">
        <v>1.76</v>
      </c>
      <c r="I13" s="52">
        <v>2.95</v>
      </c>
      <c r="J13" s="52">
        <v>1.31</v>
      </c>
      <c r="K13" s="52">
        <v>267.5</v>
      </c>
      <c r="L13" s="52">
        <v>23.94</v>
      </c>
      <c r="M13" s="52">
        <v>99</v>
      </c>
      <c r="N13" s="52">
        <v>0</v>
      </c>
      <c r="O13" s="52">
        <v>2.8</v>
      </c>
      <c r="P13" s="52">
        <v>0.27</v>
      </c>
      <c r="Q13" s="52">
        <v>3.37</v>
      </c>
    </row>
    <row r="14" spans="1:21" customFormat="1">
      <c r="A14" s="51" t="s">
        <v>112</v>
      </c>
      <c r="B14" s="52">
        <v>13.48</v>
      </c>
      <c r="C14" s="52">
        <v>20.14</v>
      </c>
      <c r="D14" s="52">
        <v>19.95</v>
      </c>
      <c r="E14" s="52">
        <v>8.75</v>
      </c>
      <c r="F14" s="52">
        <v>2.71</v>
      </c>
      <c r="G14" s="52">
        <v>8</v>
      </c>
      <c r="H14" s="52">
        <v>3.62</v>
      </c>
      <c r="I14" s="52">
        <v>2.92</v>
      </c>
      <c r="J14" s="52">
        <v>1.32</v>
      </c>
      <c r="K14" s="52">
        <v>268.33</v>
      </c>
      <c r="L14" s="52">
        <v>23.94</v>
      </c>
      <c r="M14" s="52">
        <v>99.13</v>
      </c>
      <c r="N14" s="52">
        <v>0</v>
      </c>
      <c r="O14" s="52">
        <v>2.4</v>
      </c>
      <c r="P14" s="52">
        <v>0.28000000000000003</v>
      </c>
      <c r="Q14" s="52">
        <v>3.4</v>
      </c>
    </row>
    <row r="15" spans="1:21" customFormat="1">
      <c r="A15" s="51" t="s">
        <v>113</v>
      </c>
      <c r="B15" s="52">
        <v>13.9</v>
      </c>
      <c r="C15" s="52">
        <v>23.56</v>
      </c>
      <c r="D15" s="52">
        <v>22.11</v>
      </c>
      <c r="E15" s="52">
        <v>9.39</v>
      </c>
      <c r="F15" s="52">
        <v>3.04</v>
      </c>
      <c r="G15" s="52">
        <v>5.93</v>
      </c>
      <c r="H15" s="52">
        <v>5.39</v>
      </c>
      <c r="I15" s="52">
        <v>3.83</v>
      </c>
      <c r="J15" s="52">
        <v>1.46</v>
      </c>
      <c r="K15" s="52">
        <v>269.18</v>
      </c>
      <c r="L15" s="52">
        <v>23.94</v>
      </c>
      <c r="M15" s="52">
        <v>99.19</v>
      </c>
      <c r="N15" s="52">
        <v>5.5</v>
      </c>
      <c r="O15" s="52">
        <v>2</v>
      </c>
      <c r="P15" s="52">
        <v>0.42</v>
      </c>
      <c r="Q15" s="52">
        <v>3.52</v>
      </c>
    </row>
    <row r="16" spans="1:21" customFormat="1">
      <c r="A16" s="51" t="s">
        <v>114</v>
      </c>
      <c r="B16" s="52">
        <v>14.34</v>
      </c>
      <c r="C16" s="52">
        <v>21.8</v>
      </c>
      <c r="D16" s="52">
        <v>21.69</v>
      </c>
      <c r="E16" s="52">
        <v>8.61</v>
      </c>
      <c r="F16" s="52">
        <v>3.03</v>
      </c>
      <c r="G16" s="52">
        <v>5.54</v>
      </c>
      <c r="H16" s="52">
        <v>5.39</v>
      </c>
      <c r="I16" s="52">
        <v>4.95</v>
      </c>
      <c r="J16" s="52">
        <v>1.5</v>
      </c>
      <c r="K16" s="52">
        <v>265.70999999999998</v>
      </c>
      <c r="L16" s="52">
        <v>23.93</v>
      </c>
      <c r="M16" s="52">
        <v>99.05</v>
      </c>
      <c r="N16" s="52">
        <v>24</v>
      </c>
      <c r="O16" s="52">
        <v>0.8</v>
      </c>
      <c r="P16" s="52">
        <v>0.4</v>
      </c>
      <c r="Q16" s="52">
        <v>3.48</v>
      </c>
    </row>
    <row r="17" spans="1:17" customFormat="1">
      <c r="A17" s="51" t="s">
        <v>115</v>
      </c>
      <c r="B17" s="52">
        <v>14.51</v>
      </c>
      <c r="C17" s="52">
        <v>21.24</v>
      </c>
      <c r="D17" s="52">
        <v>21.69</v>
      </c>
      <c r="E17" s="52">
        <v>8.9</v>
      </c>
      <c r="F17" s="52">
        <v>2.52</v>
      </c>
      <c r="G17" s="52">
        <v>7.59</v>
      </c>
      <c r="H17" s="52">
        <v>4.5999999999999996</v>
      </c>
      <c r="I17" s="52">
        <v>5.05</v>
      </c>
      <c r="J17" s="52">
        <v>1.58</v>
      </c>
      <c r="K17" s="52">
        <v>270.77999999999997</v>
      </c>
      <c r="L17" s="52">
        <v>23.96</v>
      </c>
      <c r="M17" s="52">
        <v>99.1</v>
      </c>
      <c r="N17" s="52">
        <v>46.7</v>
      </c>
      <c r="O17" s="52">
        <v>1</v>
      </c>
      <c r="P17" s="52">
        <v>0.4</v>
      </c>
      <c r="Q17" s="52">
        <v>3.49</v>
      </c>
    </row>
    <row r="18" spans="1:17" customFormat="1">
      <c r="A18" s="51" t="s">
        <v>116</v>
      </c>
      <c r="B18" s="52">
        <v>14.8</v>
      </c>
      <c r="C18" s="52">
        <v>20.27</v>
      </c>
      <c r="D18" s="52">
        <v>21.38</v>
      </c>
      <c r="E18" s="52">
        <v>9.32</v>
      </c>
      <c r="F18" s="52">
        <v>2.72</v>
      </c>
      <c r="G18" s="52">
        <v>7.59</v>
      </c>
      <c r="H18" s="52">
        <v>4.5999999999999996</v>
      </c>
      <c r="I18" s="52">
        <v>5.0199999999999996</v>
      </c>
      <c r="J18" s="52">
        <v>1.54</v>
      </c>
      <c r="K18" s="52">
        <v>267.79000000000002</v>
      </c>
      <c r="L18" s="52">
        <v>24.07</v>
      </c>
      <c r="M18" s="52">
        <v>99.15</v>
      </c>
      <c r="N18" s="52">
        <v>101</v>
      </c>
      <c r="O18" s="52">
        <v>1.6</v>
      </c>
      <c r="P18" s="52">
        <v>0.38</v>
      </c>
      <c r="Q18" s="52">
        <v>3.48</v>
      </c>
    </row>
    <row r="19" spans="1:17" customFormat="1">
      <c r="A19" s="51" t="s">
        <v>117</v>
      </c>
      <c r="B19" s="52">
        <v>14.85</v>
      </c>
      <c r="C19" s="52">
        <v>20.260000000000002</v>
      </c>
      <c r="D19" s="52">
        <v>21.2</v>
      </c>
      <c r="E19" s="52">
        <v>7.41</v>
      </c>
      <c r="F19" s="52">
        <v>3</v>
      </c>
      <c r="G19" s="52">
        <v>5.46</v>
      </c>
      <c r="H19" s="52">
        <v>4.74</v>
      </c>
      <c r="I19" s="52">
        <v>4.8</v>
      </c>
      <c r="J19" s="52">
        <v>1.66</v>
      </c>
      <c r="K19" s="52">
        <v>267.63</v>
      </c>
      <c r="L19" s="52">
        <v>24.8</v>
      </c>
      <c r="M19" s="52">
        <v>99.18</v>
      </c>
      <c r="N19" s="52">
        <v>230.4</v>
      </c>
      <c r="O19" s="52">
        <v>0.6</v>
      </c>
      <c r="P19" s="52">
        <v>0.37</v>
      </c>
      <c r="Q19" s="52">
        <v>3.46</v>
      </c>
    </row>
    <row r="20" spans="1:17" customFormat="1">
      <c r="A20" s="51" t="s">
        <v>118</v>
      </c>
      <c r="B20" s="52">
        <v>14.33</v>
      </c>
      <c r="C20" s="52">
        <v>22.25</v>
      </c>
      <c r="D20" s="52">
        <v>21.5</v>
      </c>
      <c r="E20" s="52">
        <v>7.7</v>
      </c>
      <c r="F20" s="52">
        <v>3.11</v>
      </c>
      <c r="G20" s="52">
        <v>4.8</v>
      </c>
      <c r="H20" s="52">
        <v>4.74</v>
      </c>
      <c r="I20" s="52">
        <v>4.37</v>
      </c>
      <c r="J20" s="52">
        <v>1.74</v>
      </c>
      <c r="K20" s="52">
        <v>267.73</v>
      </c>
      <c r="L20" s="52">
        <v>25.43</v>
      </c>
      <c r="M20" s="52">
        <v>99.17</v>
      </c>
      <c r="N20" s="52">
        <v>259.3</v>
      </c>
      <c r="O20" s="52">
        <v>0.2</v>
      </c>
      <c r="P20" s="52">
        <v>0.4</v>
      </c>
      <c r="Q20" s="52">
        <v>3.48</v>
      </c>
    </row>
    <row r="21" spans="1:17" customFormat="1">
      <c r="A21" s="51" t="s">
        <v>119</v>
      </c>
      <c r="B21" s="52">
        <v>13.82</v>
      </c>
      <c r="C21" s="52">
        <v>21.11</v>
      </c>
      <c r="D21" s="52">
        <v>20.55</v>
      </c>
      <c r="E21" s="52">
        <v>7.23</v>
      </c>
      <c r="F21" s="52">
        <v>3.38</v>
      </c>
      <c r="G21" s="52">
        <v>6.71</v>
      </c>
      <c r="H21" s="52">
        <v>3.85</v>
      </c>
      <c r="I21" s="52">
        <v>4.3099999999999996</v>
      </c>
      <c r="J21" s="52">
        <v>1.78</v>
      </c>
      <c r="K21" s="52">
        <v>266.81</v>
      </c>
      <c r="L21" s="52">
        <v>25.93</v>
      </c>
      <c r="M21" s="52">
        <v>90.18</v>
      </c>
      <c r="N21" s="52">
        <v>196.4</v>
      </c>
      <c r="O21" s="52">
        <v>0</v>
      </c>
      <c r="P21" s="52">
        <v>0.37</v>
      </c>
      <c r="Q21" s="52">
        <v>3.41</v>
      </c>
    </row>
    <row r="22" spans="1:17" customFormat="1">
      <c r="A22" s="51" t="s">
        <v>120</v>
      </c>
      <c r="B22" s="52">
        <v>13.29</v>
      </c>
      <c r="C22" s="52">
        <v>20.36</v>
      </c>
      <c r="D22" s="52">
        <v>19.89</v>
      </c>
      <c r="E22" s="52">
        <v>7.33</v>
      </c>
      <c r="F22" s="52">
        <v>3.43</v>
      </c>
      <c r="G22" s="52">
        <v>12.5</v>
      </c>
      <c r="H22" s="52">
        <v>3.39</v>
      </c>
      <c r="I22" s="52">
        <v>4.43</v>
      </c>
      <c r="J22" s="52">
        <v>1.73</v>
      </c>
      <c r="K22" s="52">
        <v>271.97000000000003</v>
      </c>
      <c r="L22" s="52">
        <v>25.86</v>
      </c>
      <c r="M22" s="52">
        <v>89.12</v>
      </c>
      <c r="N22" s="52">
        <v>173.2</v>
      </c>
      <c r="O22" s="52">
        <v>0</v>
      </c>
      <c r="P22" s="52">
        <v>0.39</v>
      </c>
      <c r="Q22" s="52">
        <v>3.39</v>
      </c>
    </row>
    <row r="23" spans="1:17" customFormat="1">
      <c r="A23" s="51" t="s">
        <v>121</v>
      </c>
      <c r="B23" s="52">
        <v>12.98</v>
      </c>
      <c r="C23" s="52">
        <v>20.27</v>
      </c>
      <c r="D23" s="52">
        <v>19.89</v>
      </c>
      <c r="E23" s="52">
        <v>7.12</v>
      </c>
      <c r="F23" s="52">
        <v>3.13</v>
      </c>
      <c r="G23" s="52">
        <v>12.5</v>
      </c>
      <c r="H23" s="52">
        <v>4.37</v>
      </c>
      <c r="I23" s="52">
        <v>4.84</v>
      </c>
      <c r="J23" s="52">
        <v>1.72</v>
      </c>
      <c r="K23" s="52">
        <v>272.70999999999998</v>
      </c>
      <c r="L23" s="52">
        <v>26.22</v>
      </c>
      <c r="M23" s="52">
        <v>86.78</v>
      </c>
      <c r="N23" s="52">
        <v>239.7</v>
      </c>
      <c r="O23" s="52">
        <v>0</v>
      </c>
      <c r="P23" s="52">
        <v>0.42</v>
      </c>
      <c r="Q23" s="52">
        <v>3.36</v>
      </c>
    </row>
    <row r="24" spans="1:17" customFormat="1">
      <c r="A24" s="51" t="s">
        <v>122</v>
      </c>
      <c r="B24" s="52">
        <v>12.54</v>
      </c>
      <c r="C24" s="52">
        <v>20.37</v>
      </c>
      <c r="D24" s="52">
        <v>19.579999999999998</v>
      </c>
      <c r="E24" s="52">
        <v>7.09</v>
      </c>
      <c r="F24" s="52">
        <v>3.16</v>
      </c>
      <c r="G24" s="52">
        <v>10.24</v>
      </c>
      <c r="H24" s="52">
        <v>4.78</v>
      </c>
      <c r="I24" s="52">
        <v>4.7699999999999996</v>
      </c>
      <c r="J24" s="52">
        <v>1.78</v>
      </c>
      <c r="K24" s="52">
        <v>264.89999999999998</v>
      </c>
      <c r="L24" s="52">
        <v>25.88</v>
      </c>
      <c r="M24" s="52">
        <v>86.34</v>
      </c>
      <c r="N24" s="52">
        <v>124.1</v>
      </c>
      <c r="O24" s="52">
        <v>0</v>
      </c>
      <c r="P24" s="52">
        <v>0.43</v>
      </c>
      <c r="Q24" s="52">
        <v>3.34</v>
      </c>
    </row>
    <row r="25" spans="1:17" customFormat="1">
      <c r="A25" s="51" t="s">
        <v>123</v>
      </c>
      <c r="B25" s="52">
        <v>12.08</v>
      </c>
      <c r="C25" s="52">
        <v>21.67</v>
      </c>
      <c r="D25" s="52">
        <v>19.23</v>
      </c>
      <c r="E25" s="52">
        <v>7.27</v>
      </c>
      <c r="F25" s="52">
        <v>3.28</v>
      </c>
      <c r="G25" s="52">
        <v>10.31</v>
      </c>
      <c r="H25" s="52">
        <v>4.78</v>
      </c>
      <c r="I25" s="52">
        <v>4.78</v>
      </c>
      <c r="J25" s="52">
        <v>1.88</v>
      </c>
      <c r="K25" s="52">
        <v>283.77999999999997</v>
      </c>
      <c r="L25" s="52">
        <v>25.76</v>
      </c>
      <c r="M25" s="52">
        <v>85.59</v>
      </c>
      <c r="N25" s="52">
        <v>55.4</v>
      </c>
      <c r="O25" s="52">
        <v>0</v>
      </c>
      <c r="P25" s="52">
        <v>0.47</v>
      </c>
      <c r="Q25" s="52">
        <v>3.3</v>
      </c>
    </row>
    <row r="26" spans="1:17" customFormat="1">
      <c r="A26" s="51" t="s">
        <v>124</v>
      </c>
      <c r="B26" s="52">
        <v>11.46</v>
      </c>
      <c r="C26" s="52">
        <v>21.43</v>
      </c>
      <c r="D26" s="52">
        <v>19.260000000000002</v>
      </c>
      <c r="E26" s="52">
        <v>7.37</v>
      </c>
      <c r="F26" s="52">
        <v>3.45</v>
      </c>
      <c r="G26" s="52">
        <v>12.31</v>
      </c>
      <c r="H26" s="52">
        <v>4.1500000000000004</v>
      </c>
      <c r="I26" s="52">
        <v>4.54</v>
      </c>
      <c r="J26" s="52">
        <v>1.7</v>
      </c>
      <c r="K26" s="52">
        <v>273.07</v>
      </c>
      <c r="L26" s="52">
        <v>25.76</v>
      </c>
      <c r="M26" s="52">
        <v>83.98</v>
      </c>
      <c r="N26" s="52">
        <v>44.3</v>
      </c>
      <c r="O26" s="52">
        <v>0</v>
      </c>
      <c r="P26" s="52">
        <v>0.46</v>
      </c>
      <c r="Q26" s="52">
        <v>3.32</v>
      </c>
    </row>
    <row r="27" spans="1:17" customFormat="1">
      <c r="A27" s="51" t="s">
        <v>125</v>
      </c>
      <c r="B27" s="52">
        <v>11.01</v>
      </c>
      <c r="C27" s="52">
        <v>20.68</v>
      </c>
      <c r="D27" s="52">
        <v>18.59</v>
      </c>
      <c r="E27" s="52">
        <v>8.44</v>
      </c>
      <c r="F27" s="52">
        <v>3.59</v>
      </c>
      <c r="G27" s="52">
        <v>13.4</v>
      </c>
      <c r="H27" s="52">
        <v>3.06</v>
      </c>
      <c r="I27" s="52">
        <v>4.3899999999999997</v>
      </c>
      <c r="J27" s="52">
        <v>1.86</v>
      </c>
      <c r="K27" s="52">
        <v>270.27</v>
      </c>
      <c r="L27" s="52">
        <v>25.56</v>
      </c>
      <c r="M27" s="52">
        <v>84.44</v>
      </c>
      <c r="N27" s="52">
        <v>0</v>
      </c>
      <c r="O27" s="52">
        <v>0</v>
      </c>
      <c r="P27" s="52">
        <v>0.41</v>
      </c>
      <c r="Q27" s="52">
        <v>3.29</v>
      </c>
    </row>
    <row r="28" spans="1:17" customFormat="1">
      <c r="A28" s="51" t="s">
        <v>126</v>
      </c>
      <c r="B28" s="52">
        <v>10.86</v>
      </c>
      <c r="C28" s="52">
        <v>19.899999999999999</v>
      </c>
      <c r="D28" s="52">
        <v>17.97</v>
      </c>
      <c r="E28" s="52">
        <v>8.61</v>
      </c>
      <c r="F28" s="52">
        <v>2.89</v>
      </c>
      <c r="G28" s="52">
        <v>13.4</v>
      </c>
      <c r="H28" s="52">
        <v>3.24</v>
      </c>
      <c r="I28" s="52">
        <v>4.2300000000000004</v>
      </c>
      <c r="J28" s="52">
        <v>1.47</v>
      </c>
      <c r="K28" s="52">
        <v>267.61</v>
      </c>
      <c r="L28" s="52">
        <v>24.98</v>
      </c>
      <c r="M28" s="52">
        <v>86.16</v>
      </c>
      <c r="N28" s="52">
        <v>0</v>
      </c>
      <c r="O28" s="52">
        <v>0</v>
      </c>
      <c r="P28" s="52">
        <v>0.4</v>
      </c>
      <c r="Q28" s="52">
        <v>3.24</v>
      </c>
    </row>
    <row r="29" spans="1:17" customFormat="1">
      <c r="A29" s="51" t="s">
        <v>127</v>
      </c>
      <c r="B29" s="52">
        <v>11.11</v>
      </c>
      <c r="C29" s="52">
        <v>20.04</v>
      </c>
      <c r="D29" s="52">
        <v>18.21</v>
      </c>
      <c r="E29" s="52">
        <v>8.44</v>
      </c>
      <c r="F29" s="52">
        <v>3.06</v>
      </c>
      <c r="G29" s="52">
        <v>13.05</v>
      </c>
      <c r="H29" s="52">
        <v>3.24</v>
      </c>
      <c r="I29" s="52">
        <v>4.07</v>
      </c>
      <c r="J29" s="52">
        <v>1.75</v>
      </c>
      <c r="K29" s="52">
        <v>266.81</v>
      </c>
      <c r="L29" s="52">
        <v>24.97</v>
      </c>
      <c r="M29" s="52">
        <v>85.8</v>
      </c>
      <c r="N29" s="52">
        <v>0</v>
      </c>
      <c r="O29" s="52">
        <v>0</v>
      </c>
      <c r="P29" s="52">
        <v>0.4</v>
      </c>
      <c r="Q29" s="52">
        <v>3.25</v>
      </c>
    </row>
    <row r="30" spans="1:17" customFormat="1">
      <c r="A30" s="51" t="s">
        <v>128</v>
      </c>
      <c r="B30" s="52">
        <v>10.9</v>
      </c>
      <c r="C30" s="52">
        <v>20.329999999999998</v>
      </c>
      <c r="D30" s="52">
        <v>18.27</v>
      </c>
      <c r="E30" s="52">
        <v>8.66</v>
      </c>
      <c r="F30" s="52">
        <v>3.2</v>
      </c>
      <c r="G30" s="52">
        <v>9.24</v>
      </c>
      <c r="H30" s="52">
        <v>2.44</v>
      </c>
      <c r="I30" s="52">
        <v>3.99</v>
      </c>
      <c r="J30" s="52">
        <v>1.61</v>
      </c>
      <c r="K30" s="52">
        <v>265.83999999999997</v>
      </c>
      <c r="L30" s="52">
        <v>24.89</v>
      </c>
      <c r="M30" s="52">
        <v>82.31</v>
      </c>
      <c r="N30" s="52">
        <v>0</v>
      </c>
      <c r="O30" s="52">
        <v>0</v>
      </c>
      <c r="P30" s="52">
        <v>0.39</v>
      </c>
      <c r="Q30" s="52">
        <v>3.26</v>
      </c>
    </row>
    <row r="31" spans="1:17" customFormat="1">
      <c r="A31" s="51" t="s">
        <v>129</v>
      </c>
      <c r="B31" s="52">
        <v>9.9600000000000009</v>
      </c>
      <c r="C31" s="52">
        <v>20.8</v>
      </c>
      <c r="D31" s="52">
        <v>17.82</v>
      </c>
      <c r="E31" s="52">
        <v>8.08</v>
      </c>
      <c r="F31" s="52">
        <v>3.73</v>
      </c>
      <c r="G31" s="52">
        <v>10.26</v>
      </c>
      <c r="H31" s="52">
        <v>4.8499999999999996</v>
      </c>
      <c r="I31" s="52">
        <v>3.85</v>
      </c>
      <c r="J31" s="52">
        <v>1.48</v>
      </c>
      <c r="K31" s="52">
        <v>265</v>
      </c>
      <c r="L31" s="52">
        <v>24.69</v>
      </c>
      <c r="M31" s="52">
        <v>83.89</v>
      </c>
      <c r="N31" s="52">
        <v>0</v>
      </c>
      <c r="O31" s="52">
        <v>0</v>
      </c>
      <c r="P31" s="52">
        <v>0.4</v>
      </c>
      <c r="Q31" s="52">
        <v>3.23</v>
      </c>
    </row>
    <row r="32" spans="1:17" customFormat="1">
      <c r="A32" s="51" t="s">
        <v>130</v>
      </c>
      <c r="B32" s="52">
        <v>9.52</v>
      </c>
      <c r="C32" s="52">
        <v>19.87</v>
      </c>
      <c r="D32" s="52">
        <v>16.829999999999998</v>
      </c>
      <c r="E32" s="52">
        <v>7.82</v>
      </c>
      <c r="F32" s="52">
        <v>2.8</v>
      </c>
      <c r="G32" s="52">
        <v>10.56</v>
      </c>
      <c r="H32" s="52">
        <v>4.8499999999999996</v>
      </c>
      <c r="I32" s="52">
        <v>3.38</v>
      </c>
      <c r="J32" s="52">
        <v>1.41</v>
      </c>
      <c r="K32" s="52">
        <v>265.60000000000002</v>
      </c>
      <c r="L32" s="52">
        <v>24.65</v>
      </c>
      <c r="M32" s="52">
        <v>85.49</v>
      </c>
      <c r="N32" s="52">
        <v>0</v>
      </c>
      <c r="O32" s="52">
        <v>0</v>
      </c>
      <c r="P32" s="52">
        <v>0.34</v>
      </c>
      <c r="Q32" s="52">
        <v>3.17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9.52</v>
      </c>
      <c r="C34" s="41">
        <f t="shared" si="0"/>
        <v>19.87</v>
      </c>
      <c r="D34" s="41">
        <f t="shared" si="0"/>
        <v>16.829999999999998</v>
      </c>
      <c r="E34" s="41">
        <f t="shared" si="0"/>
        <v>7.09</v>
      </c>
      <c r="F34" s="41">
        <f t="shared" si="0"/>
        <v>2.52</v>
      </c>
      <c r="G34" s="41">
        <f t="shared" si="0"/>
        <v>4.67</v>
      </c>
      <c r="H34" s="41">
        <f t="shared" si="0"/>
        <v>1.63</v>
      </c>
      <c r="I34" s="41">
        <f t="shared" si="0"/>
        <v>2.92</v>
      </c>
      <c r="J34" s="41">
        <f t="shared" si="0"/>
        <v>1.31</v>
      </c>
      <c r="K34" s="41">
        <f t="shared" si="0"/>
        <v>264.89999999999998</v>
      </c>
      <c r="L34" s="41">
        <f t="shared" si="0"/>
        <v>23.93</v>
      </c>
      <c r="M34" s="41">
        <f t="shared" si="0"/>
        <v>82.31</v>
      </c>
      <c r="N34" s="41">
        <f t="shared" si="0"/>
        <v>0</v>
      </c>
      <c r="O34" s="41">
        <f t="shared" si="0"/>
        <v>0</v>
      </c>
      <c r="P34" s="41">
        <f t="shared" si="0"/>
        <v>0.27</v>
      </c>
      <c r="Q34" s="41">
        <f t="shared" si="0"/>
        <v>3.17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14.85</v>
      </c>
      <c r="C35" s="33">
        <f t="shared" si="1"/>
        <v>23.56</v>
      </c>
      <c r="D35" s="33">
        <f t="shared" si="1"/>
        <v>22.11</v>
      </c>
      <c r="E35" s="33">
        <f t="shared" si="1"/>
        <v>9.39</v>
      </c>
      <c r="F35" s="33">
        <f t="shared" si="1"/>
        <v>3.73</v>
      </c>
      <c r="G35" s="33">
        <f t="shared" si="1"/>
        <v>13.4</v>
      </c>
      <c r="H35" s="33">
        <f t="shared" si="1"/>
        <v>5.39</v>
      </c>
      <c r="I35" s="33">
        <f t="shared" si="1"/>
        <v>5.05</v>
      </c>
      <c r="J35" s="33">
        <f t="shared" si="1"/>
        <v>1.88</v>
      </c>
      <c r="K35" s="33">
        <f t="shared" si="1"/>
        <v>283.77999999999997</v>
      </c>
      <c r="L35" s="33">
        <f t="shared" si="1"/>
        <v>26.22</v>
      </c>
      <c r="M35" s="33">
        <f t="shared" si="1"/>
        <v>99.19</v>
      </c>
      <c r="N35" s="33">
        <f t="shared" si="1"/>
        <v>259.3</v>
      </c>
      <c r="O35" s="33">
        <f t="shared" si="1"/>
        <v>2.8</v>
      </c>
      <c r="P35" s="33">
        <f t="shared" si="1"/>
        <v>0.47</v>
      </c>
      <c r="Q35" s="33">
        <f t="shared" si="1"/>
        <v>3.52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12.571666666666665</v>
      </c>
      <c r="C36" s="41">
        <f t="shared" si="2"/>
        <v>20.911250000000003</v>
      </c>
      <c r="D36" s="41">
        <f t="shared" si="2"/>
        <v>19.770416666666659</v>
      </c>
      <c r="E36" s="41">
        <f t="shared" si="2"/>
        <v>8.2041666666666675</v>
      </c>
      <c r="F36" s="41">
        <f t="shared" si="2"/>
        <v>3.0854166666666676</v>
      </c>
      <c r="G36" s="41">
        <f t="shared" si="2"/>
        <v>8.8600000000000012</v>
      </c>
      <c r="H36" s="41">
        <f t="shared" si="2"/>
        <v>3.7554166666666666</v>
      </c>
      <c r="I36" s="41">
        <f t="shared" si="2"/>
        <v>4.121666666666667</v>
      </c>
      <c r="J36" s="41">
        <f t="shared" si="2"/>
        <v>1.5929166666666663</v>
      </c>
      <c r="K36" s="41">
        <f t="shared" si="2"/>
        <v>268.65875</v>
      </c>
      <c r="L36" s="41">
        <f t="shared" si="2"/>
        <v>24.841250000000002</v>
      </c>
      <c r="M36" s="41">
        <f t="shared" si="2"/>
        <v>92.392083333333332</v>
      </c>
      <c r="N36" s="41">
        <f t="shared" si="2"/>
        <v>62.5</v>
      </c>
      <c r="O36" s="41">
        <f t="shared" si="2"/>
        <v>0.70833333333333348</v>
      </c>
      <c r="P36" s="41">
        <f t="shared" si="2"/>
        <v>0.37666666666666671</v>
      </c>
      <c r="Q36" s="41">
        <f t="shared" si="2"/>
        <v>3.3666666666666667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1.525669252055206</v>
      </c>
      <c r="C37" s="41">
        <f t="shared" ref="C37:Q37" si="3">STDEV(C9:C32)</f>
        <v>0.96522271590765796</v>
      </c>
      <c r="D37" s="41">
        <f t="shared" si="3"/>
        <v>1.3897653200910889</v>
      </c>
      <c r="E37" s="41">
        <f t="shared" si="3"/>
        <v>0.73373918282028205</v>
      </c>
      <c r="F37" s="41">
        <f t="shared" si="3"/>
        <v>0.31493241741082595</v>
      </c>
      <c r="G37" s="41">
        <f t="shared" si="3"/>
        <v>2.9654136744929103</v>
      </c>
      <c r="H37" s="41">
        <f t="shared" si="3"/>
        <v>1.195756915702048</v>
      </c>
      <c r="I37" s="41">
        <f t="shared" si="3"/>
        <v>0.68130735365540396</v>
      </c>
      <c r="J37" s="41">
        <f t="shared" si="3"/>
        <v>0.16496321504760394</v>
      </c>
      <c r="K37" s="41">
        <f t="shared" si="3"/>
        <v>3.941613344926056</v>
      </c>
      <c r="L37" s="41">
        <f t="shared" si="3"/>
        <v>0.77818245597197477</v>
      </c>
      <c r="M37" s="41">
        <f t="shared" si="3"/>
        <v>6.8648303308252663</v>
      </c>
      <c r="N37" s="41">
        <f t="shared" si="3"/>
        <v>89.93198879539834</v>
      </c>
      <c r="O37" s="41">
        <f t="shared" si="3"/>
        <v>0.89826725308841937</v>
      </c>
      <c r="P37" s="41">
        <f t="shared" si="3"/>
        <v>5.6079653496003933E-2</v>
      </c>
      <c r="Q37" s="41">
        <f t="shared" si="3"/>
        <v>9.4898878293946082E-2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131</v>
      </c>
      <c r="B9" s="52">
        <v>9.11</v>
      </c>
      <c r="C9" s="52">
        <v>21.45</v>
      </c>
      <c r="D9" s="52">
        <v>17.21</v>
      </c>
      <c r="E9" s="52">
        <v>8.4</v>
      </c>
      <c r="F9" s="52">
        <v>2.72</v>
      </c>
      <c r="G9" s="52">
        <v>10.56</v>
      </c>
      <c r="H9" s="52">
        <v>4.18</v>
      </c>
      <c r="I9" s="52">
        <v>3.27</v>
      </c>
      <c r="J9" s="52">
        <v>1.42</v>
      </c>
      <c r="K9" s="52">
        <v>264.85000000000002</v>
      </c>
      <c r="L9" s="52">
        <v>24.42</v>
      </c>
      <c r="M9" s="52">
        <v>89.03</v>
      </c>
      <c r="N9" s="52">
        <v>0</v>
      </c>
      <c r="O9" s="52">
        <v>0</v>
      </c>
      <c r="P9" s="52">
        <v>0.33</v>
      </c>
      <c r="Q9" s="52">
        <v>3.19</v>
      </c>
    </row>
    <row r="10" spans="1:21" customFormat="1">
      <c r="A10" s="51" t="s">
        <v>132</v>
      </c>
      <c r="B10" s="52">
        <v>9.3000000000000007</v>
      </c>
      <c r="C10" s="52">
        <v>19.87</v>
      </c>
      <c r="D10" s="52">
        <v>16.8</v>
      </c>
      <c r="E10" s="52">
        <v>8.35</v>
      </c>
      <c r="F10" s="52">
        <v>2.88</v>
      </c>
      <c r="G10" s="52">
        <v>7.88</v>
      </c>
      <c r="H10" s="52">
        <v>4.18</v>
      </c>
      <c r="I10" s="52">
        <v>3.05</v>
      </c>
      <c r="J10" s="52">
        <v>1.38</v>
      </c>
      <c r="K10" s="52">
        <v>267.11</v>
      </c>
      <c r="L10" s="52">
        <v>23.97</v>
      </c>
      <c r="M10" s="52">
        <v>90.31</v>
      </c>
      <c r="N10" s="52">
        <v>0</v>
      </c>
      <c r="O10" s="52">
        <v>0</v>
      </c>
      <c r="P10" s="52">
        <v>0.3</v>
      </c>
      <c r="Q10" s="52">
        <v>3.21</v>
      </c>
    </row>
    <row r="11" spans="1:21" customFormat="1">
      <c r="A11" s="51" t="s">
        <v>133</v>
      </c>
      <c r="B11" s="52">
        <v>9.51</v>
      </c>
      <c r="C11" s="52">
        <v>19.5</v>
      </c>
      <c r="D11" s="52">
        <v>16.68</v>
      </c>
      <c r="E11" s="52">
        <v>5.75</v>
      </c>
      <c r="F11" s="52">
        <v>2.89</v>
      </c>
      <c r="G11" s="52">
        <v>6.22</v>
      </c>
      <c r="H11" s="52">
        <v>3.04</v>
      </c>
      <c r="I11" s="52">
        <v>2.87</v>
      </c>
      <c r="J11" s="52">
        <v>1.3</v>
      </c>
      <c r="K11" s="52">
        <v>267.36</v>
      </c>
      <c r="L11" s="52">
        <v>23.92</v>
      </c>
      <c r="M11" s="52">
        <v>90.7</v>
      </c>
      <c r="N11" s="52">
        <v>0</v>
      </c>
      <c r="O11" s="52">
        <v>0</v>
      </c>
      <c r="P11" s="52">
        <v>0.28999999999999998</v>
      </c>
      <c r="Q11" s="52">
        <v>3.2</v>
      </c>
    </row>
    <row r="12" spans="1:21" customFormat="1">
      <c r="A12" s="51" t="s">
        <v>134</v>
      </c>
      <c r="B12" s="52">
        <v>9.34</v>
      </c>
      <c r="C12" s="52">
        <v>21.81</v>
      </c>
      <c r="D12" s="52">
        <v>17.579999999999998</v>
      </c>
      <c r="E12" s="52">
        <v>5.89</v>
      </c>
      <c r="F12" s="52">
        <v>3.4</v>
      </c>
      <c r="G12" s="52">
        <v>8.99</v>
      </c>
      <c r="H12" s="52">
        <v>2.95</v>
      </c>
      <c r="I12" s="52">
        <v>2.73</v>
      </c>
      <c r="J12" s="52">
        <v>1.3</v>
      </c>
      <c r="K12" s="52">
        <v>265.35000000000002</v>
      </c>
      <c r="L12" s="52">
        <v>23.43</v>
      </c>
      <c r="M12" s="52">
        <v>96.03</v>
      </c>
      <c r="N12" s="52">
        <v>0</v>
      </c>
      <c r="O12" s="52">
        <v>0.2</v>
      </c>
      <c r="P12" s="52">
        <v>0.33</v>
      </c>
      <c r="Q12" s="52">
        <v>3.24</v>
      </c>
    </row>
    <row r="13" spans="1:21" customFormat="1">
      <c r="A13" s="51" t="s">
        <v>135</v>
      </c>
      <c r="B13" s="52">
        <v>9.4</v>
      </c>
      <c r="C13" s="52">
        <v>20.39</v>
      </c>
      <c r="D13" s="52">
        <v>17.14</v>
      </c>
      <c r="E13" s="52">
        <v>5.57</v>
      </c>
      <c r="F13" s="52">
        <v>2.79</v>
      </c>
      <c r="G13" s="52">
        <v>8.99</v>
      </c>
      <c r="H13" s="52">
        <v>4.4000000000000004</v>
      </c>
      <c r="I13" s="52">
        <v>2.5299999999999998</v>
      </c>
      <c r="J13" s="52">
        <v>1.19</v>
      </c>
      <c r="K13" s="52">
        <v>264.87</v>
      </c>
      <c r="L13" s="52">
        <v>23.27</v>
      </c>
      <c r="M13" s="52">
        <v>96.49</v>
      </c>
      <c r="N13" s="52">
        <v>0</v>
      </c>
      <c r="O13" s="52">
        <v>0.2</v>
      </c>
      <c r="P13" s="52">
        <v>0.26</v>
      </c>
      <c r="Q13" s="52">
        <v>3.21</v>
      </c>
    </row>
    <row r="14" spans="1:21" customFormat="1">
      <c r="A14" s="51" t="s">
        <v>136</v>
      </c>
      <c r="B14" s="52">
        <v>9.91</v>
      </c>
      <c r="C14" s="52">
        <v>20.190000000000001</v>
      </c>
      <c r="D14" s="52">
        <v>17.38</v>
      </c>
      <c r="E14" s="52">
        <v>5.84</v>
      </c>
      <c r="F14" s="52">
        <v>2.83</v>
      </c>
      <c r="G14" s="52">
        <v>7.94</v>
      </c>
      <c r="H14" s="52">
        <v>4.4000000000000004</v>
      </c>
      <c r="I14" s="52">
        <v>2.4900000000000002</v>
      </c>
      <c r="J14" s="52">
        <v>1.1200000000000001</v>
      </c>
      <c r="K14" s="52">
        <v>263.91000000000003</v>
      </c>
      <c r="L14" s="52">
        <v>23.09</v>
      </c>
      <c r="M14" s="52">
        <v>96.72</v>
      </c>
      <c r="N14" s="52">
        <v>0.7</v>
      </c>
      <c r="O14" s="52">
        <v>0.2</v>
      </c>
      <c r="P14" s="52">
        <v>0.27</v>
      </c>
      <c r="Q14" s="52">
        <v>3.23</v>
      </c>
    </row>
    <row r="15" spans="1:21" customFormat="1">
      <c r="A15" s="51" t="s">
        <v>137</v>
      </c>
      <c r="B15" s="52">
        <v>10.25</v>
      </c>
      <c r="C15" s="52">
        <v>20.350000000000001</v>
      </c>
      <c r="D15" s="52">
        <v>17.7</v>
      </c>
      <c r="E15" s="52">
        <v>6.01</v>
      </c>
      <c r="F15" s="52">
        <v>2.85</v>
      </c>
      <c r="G15" s="52">
        <v>5.85</v>
      </c>
      <c r="H15" s="52">
        <v>3.18</v>
      </c>
      <c r="I15" s="52">
        <v>2.44</v>
      </c>
      <c r="J15" s="52">
        <v>1.48</v>
      </c>
      <c r="K15" s="52">
        <v>265.27999999999997</v>
      </c>
      <c r="L15" s="52">
        <v>23.03</v>
      </c>
      <c r="M15" s="52">
        <v>96.94</v>
      </c>
      <c r="N15" s="52">
        <v>27.2</v>
      </c>
      <c r="O15" s="52">
        <v>0.2</v>
      </c>
      <c r="P15" s="52">
        <v>0.27</v>
      </c>
      <c r="Q15" s="52">
        <v>3.27</v>
      </c>
    </row>
    <row r="16" spans="1:21" customFormat="1">
      <c r="A16" s="51" t="s">
        <v>138</v>
      </c>
      <c r="B16" s="52">
        <v>10.68</v>
      </c>
      <c r="C16" s="52">
        <v>20.399999999999999</v>
      </c>
      <c r="D16" s="52">
        <v>17.95</v>
      </c>
      <c r="E16" s="52">
        <v>5.88</v>
      </c>
      <c r="F16" s="52">
        <v>2.89</v>
      </c>
      <c r="G16" s="52">
        <v>6.31</v>
      </c>
      <c r="H16" s="52">
        <v>2.57</v>
      </c>
      <c r="I16" s="52">
        <v>2.41</v>
      </c>
      <c r="J16" s="52">
        <v>1.17</v>
      </c>
      <c r="K16" s="52">
        <v>266.36</v>
      </c>
      <c r="L16" s="52">
        <v>23.53</v>
      </c>
      <c r="M16" s="52">
        <v>96.93</v>
      </c>
      <c r="N16" s="52">
        <v>75.900000000000006</v>
      </c>
      <c r="O16" s="52">
        <v>0.2</v>
      </c>
      <c r="P16" s="52">
        <v>0.26</v>
      </c>
      <c r="Q16" s="52">
        <v>3.26</v>
      </c>
    </row>
    <row r="17" spans="1:17" customFormat="1">
      <c r="A17" s="51" t="s">
        <v>139</v>
      </c>
      <c r="B17" s="52">
        <v>10.72</v>
      </c>
      <c r="C17" s="52">
        <v>21.39</v>
      </c>
      <c r="D17" s="52">
        <v>18.43</v>
      </c>
      <c r="E17" s="52">
        <v>5.79</v>
      </c>
      <c r="F17" s="52">
        <v>3.24</v>
      </c>
      <c r="G17" s="52">
        <v>9.11</v>
      </c>
      <c r="H17" s="52">
        <v>2.52</v>
      </c>
      <c r="I17" s="52">
        <v>2.48</v>
      </c>
      <c r="J17" s="52">
        <v>1.2</v>
      </c>
      <c r="K17" s="52">
        <v>266.7</v>
      </c>
      <c r="L17" s="52">
        <v>23.95</v>
      </c>
      <c r="M17" s="52">
        <v>96.27</v>
      </c>
      <c r="N17" s="52">
        <v>86.1</v>
      </c>
      <c r="O17" s="52">
        <v>0</v>
      </c>
      <c r="P17" s="52">
        <v>0.3</v>
      </c>
      <c r="Q17" s="52">
        <v>3.31</v>
      </c>
    </row>
    <row r="18" spans="1:17" customFormat="1">
      <c r="A18" s="51" t="s">
        <v>140</v>
      </c>
      <c r="B18" s="52">
        <v>10.46</v>
      </c>
      <c r="C18" s="52">
        <v>20.58</v>
      </c>
      <c r="D18" s="52">
        <v>17.89</v>
      </c>
      <c r="E18" s="52">
        <v>5.33</v>
      </c>
      <c r="F18" s="52">
        <v>3.2</v>
      </c>
      <c r="G18" s="52">
        <v>9.11</v>
      </c>
      <c r="H18" s="52">
        <v>2.95</v>
      </c>
      <c r="I18" s="52">
        <v>2.39</v>
      </c>
      <c r="J18" s="52">
        <v>1.43</v>
      </c>
      <c r="K18" s="52">
        <v>265.63</v>
      </c>
      <c r="L18" s="52">
        <v>24.36</v>
      </c>
      <c r="M18" s="52">
        <v>94.67</v>
      </c>
      <c r="N18" s="52">
        <v>150</v>
      </c>
      <c r="O18" s="52">
        <v>0.2</v>
      </c>
      <c r="P18" s="52">
        <v>0.25</v>
      </c>
      <c r="Q18" s="52">
        <v>3.27</v>
      </c>
    </row>
    <row r="19" spans="1:17" customFormat="1">
      <c r="A19" s="51" t="s">
        <v>141</v>
      </c>
      <c r="B19" s="52">
        <v>10.49</v>
      </c>
      <c r="C19" s="52">
        <v>20.36</v>
      </c>
      <c r="D19" s="52">
        <v>18</v>
      </c>
      <c r="E19" s="52">
        <v>8.17</v>
      </c>
      <c r="F19" s="52">
        <v>2.99</v>
      </c>
      <c r="G19" s="52">
        <v>7.19</v>
      </c>
      <c r="H19" s="52">
        <v>2.95</v>
      </c>
      <c r="I19" s="52">
        <v>2.34</v>
      </c>
      <c r="J19" s="52">
        <v>1.1100000000000001</v>
      </c>
      <c r="K19" s="52">
        <v>265.70999999999998</v>
      </c>
      <c r="L19" s="52">
        <v>24.59</v>
      </c>
      <c r="M19" s="52">
        <v>95.15</v>
      </c>
      <c r="N19" s="52">
        <v>170.6</v>
      </c>
      <c r="O19" s="52">
        <v>0.2</v>
      </c>
      <c r="P19" s="52">
        <v>0.27</v>
      </c>
      <c r="Q19" s="52">
        <v>3.28</v>
      </c>
    </row>
    <row r="20" spans="1:17" customFormat="1">
      <c r="A20" s="51" t="s">
        <v>142</v>
      </c>
      <c r="B20" s="52">
        <v>10.72</v>
      </c>
      <c r="C20" s="52">
        <v>19.72</v>
      </c>
      <c r="D20" s="52">
        <v>17.73</v>
      </c>
      <c r="E20" s="52">
        <v>8.6</v>
      </c>
      <c r="F20" s="52">
        <v>3.09</v>
      </c>
      <c r="G20" s="52">
        <v>8.66</v>
      </c>
      <c r="H20" s="52">
        <v>3.54</v>
      </c>
      <c r="I20" s="52">
        <v>2.2999999999999998</v>
      </c>
      <c r="J20" s="52">
        <v>1.31</v>
      </c>
      <c r="K20" s="52">
        <v>266.3</v>
      </c>
      <c r="L20" s="52">
        <v>25.2</v>
      </c>
      <c r="M20" s="52">
        <v>95.02</v>
      </c>
      <c r="N20" s="52">
        <v>216.3</v>
      </c>
      <c r="O20" s="52">
        <v>0.2</v>
      </c>
      <c r="P20" s="52">
        <v>0.27</v>
      </c>
      <c r="Q20" s="52">
        <v>3.3</v>
      </c>
    </row>
    <row r="21" spans="1:17" customFormat="1">
      <c r="A21" s="51" t="s">
        <v>143</v>
      </c>
      <c r="B21" s="52">
        <v>10.73</v>
      </c>
      <c r="C21" s="52">
        <v>19.73</v>
      </c>
      <c r="D21" s="52">
        <v>17.78</v>
      </c>
      <c r="E21" s="52">
        <v>8.52</v>
      </c>
      <c r="F21" s="52">
        <v>3.19</v>
      </c>
      <c r="G21" s="52">
        <v>8.66</v>
      </c>
      <c r="H21" s="52">
        <v>3.54</v>
      </c>
      <c r="I21" s="52">
        <v>2.3199999999999998</v>
      </c>
      <c r="J21" s="52">
        <v>1.24</v>
      </c>
      <c r="K21" s="52">
        <v>267.85000000000002</v>
      </c>
      <c r="L21" s="52">
        <v>25.29</v>
      </c>
      <c r="M21" s="52">
        <v>91.8</v>
      </c>
      <c r="N21" s="52">
        <v>135.4</v>
      </c>
      <c r="O21" s="52">
        <v>0</v>
      </c>
      <c r="P21" s="52">
        <v>0.26</v>
      </c>
      <c r="Q21" s="52">
        <v>3.31</v>
      </c>
    </row>
    <row r="22" spans="1:17" customFormat="1">
      <c r="A22" s="51" t="s">
        <v>144</v>
      </c>
      <c r="B22" s="52">
        <v>10.84</v>
      </c>
      <c r="C22" s="52">
        <v>19.920000000000002</v>
      </c>
      <c r="D22" s="52">
        <v>17.93</v>
      </c>
      <c r="E22" s="52">
        <v>8.6199999999999992</v>
      </c>
      <c r="F22" s="52">
        <v>3.01</v>
      </c>
      <c r="G22" s="52">
        <v>9.58</v>
      </c>
      <c r="H22" s="52">
        <v>4.59</v>
      </c>
      <c r="I22" s="52">
        <v>2.31</v>
      </c>
      <c r="J22" s="52">
        <v>1.35</v>
      </c>
      <c r="K22" s="52">
        <v>267.20999999999998</v>
      </c>
      <c r="L22" s="52">
        <v>25.33</v>
      </c>
      <c r="M22" s="52">
        <v>91.35</v>
      </c>
      <c r="N22" s="52">
        <v>146.1</v>
      </c>
      <c r="O22" s="52">
        <v>0.2</v>
      </c>
      <c r="P22" s="52">
        <v>0.31</v>
      </c>
      <c r="Q22" s="52">
        <v>3.3</v>
      </c>
    </row>
    <row r="23" spans="1:17" customFormat="1">
      <c r="A23" s="51" t="s">
        <v>145</v>
      </c>
      <c r="B23" s="52">
        <v>9.83</v>
      </c>
      <c r="C23" s="52">
        <v>20.74</v>
      </c>
      <c r="D23" s="52">
        <v>17.34</v>
      </c>
      <c r="E23" s="52">
        <v>7.63</v>
      </c>
      <c r="F23" s="52">
        <v>3.52</v>
      </c>
      <c r="G23" s="52">
        <v>9.58</v>
      </c>
      <c r="H23" s="52">
        <v>4.59</v>
      </c>
      <c r="I23" s="52">
        <v>2.2999999999999998</v>
      </c>
      <c r="J23" s="52">
        <v>1.44</v>
      </c>
      <c r="K23" s="52">
        <v>272.27999999999997</v>
      </c>
      <c r="L23" s="52">
        <v>25.01</v>
      </c>
      <c r="M23" s="52">
        <v>93.48</v>
      </c>
      <c r="N23" s="52">
        <v>203.6</v>
      </c>
      <c r="O23" s="52">
        <v>0.2</v>
      </c>
      <c r="P23" s="52">
        <v>0.28000000000000003</v>
      </c>
      <c r="Q23" s="52">
        <v>3.25</v>
      </c>
    </row>
    <row r="24" spans="1:17" customFormat="1">
      <c r="A24" s="51" t="s">
        <v>146</v>
      </c>
      <c r="B24" s="52">
        <v>9.93</v>
      </c>
      <c r="C24" s="52">
        <v>20.59</v>
      </c>
      <c r="D24" s="52">
        <v>17.559999999999999</v>
      </c>
      <c r="E24" s="52">
        <v>7.93</v>
      </c>
      <c r="F24" s="52">
        <v>3.36</v>
      </c>
      <c r="G24" s="52">
        <v>14.4</v>
      </c>
      <c r="H24" s="52">
        <v>4.96</v>
      </c>
      <c r="I24" s="52">
        <v>2.64</v>
      </c>
      <c r="J24" s="52">
        <v>1.1599999999999999</v>
      </c>
      <c r="K24" s="52">
        <v>277.32</v>
      </c>
      <c r="L24" s="52">
        <v>25.08</v>
      </c>
      <c r="M24" s="52">
        <v>92.93</v>
      </c>
      <c r="N24" s="52">
        <v>153.1</v>
      </c>
      <c r="O24" s="52">
        <v>0.2</v>
      </c>
      <c r="P24" s="52">
        <v>0.33</v>
      </c>
      <c r="Q24" s="52">
        <v>3.25</v>
      </c>
    </row>
    <row r="25" spans="1:17" customFormat="1">
      <c r="A25" s="51" t="s">
        <v>147</v>
      </c>
      <c r="B25" s="52">
        <v>11.64</v>
      </c>
      <c r="C25" s="52">
        <v>21.89</v>
      </c>
      <c r="D25" s="52">
        <v>19.73</v>
      </c>
      <c r="E25" s="52">
        <v>8.5</v>
      </c>
      <c r="F25" s="52">
        <v>3.02</v>
      </c>
      <c r="G25" s="52">
        <v>14.4</v>
      </c>
      <c r="H25" s="52">
        <v>4.96</v>
      </c>
      <c r="I25" s="52">
        <v>2.88</v>
      </c>
      <c r="J25" s="52">
        <v>0.87</v>
      </c>
      <c r="K25" s="52">
        <v>290.14999999999998</v>
      </c>
      <c r="L25" s="52">
        <v>24.77</v>
      </c>
      <c r="M25" s="52">
        <v>94.71</v>
      </c>
      <c r="N25" s="52">
        <v>82.8</v>
      </c>
      <c r="O25" s="52">
        <v>0.4</v>
      </c>
      <c r="P25" s="52">
        <v>0.36</v>
      </c>
      <c r="Q25" s="52">
        <v>3.37</v>
      </c>
    </row>
    <row r="26" spans="1:17" customFormat="1">
      <c r="A26" s="51" t="s">
        <v>148</v>
      </c>
      <c r="B26" s="52">
        <v>12.74</v>
      </c>
      <c r="C26" s="52">
        <v>21.9</v>
      </c>
      <c r="D26" s="52">
        <v>20.62</v>
      </c>
      <c r="E26" s="52">
        <v>8.66</v>
      </c>
      <c r="F26" s="52">
        <v>3.04</v>
      </c>
      <c r="G26" s="52">
        <v>12.96</v>
      </c>
      <c r="H26" s="52">
        <v>4.8600000000000003</v>
      </c>
      <c r="I26" s="52">
        <v>2.99</v>
      </c>
      <c r="J26" s="52">
        <v>0.88</v>
      </c>
      <c r="K26" s="52">
        <v>275.42</v>
      </c>
      <c r="L26" s="52">
        <v>24.67</v>
      </c>
      <c r="M26" s="52">
        <v>93.77</v>
      </c>
      <c r="N26" s="52">
        <v>58.1</v>
      </c>
      <c r="O26" s="52">
        <v>0</v>
      </c>
      <c r="P26" s="52">
        <v>0.37</v>
      </c>
      <c r="Q26" s="52">
        <v>3.46</v>
      </c>
    </row>
    <row r="27" spans="1:17" customFormat="1">
      <c r="A27" s="51" t="s">
        <v>149</v>
      </c>
      <c r="B27" s="52">
        <v>13.73</v>
      </c>
      <c r="C27" s="52">
        <v>24.06</v>
      </c>
      <c r="D27" s="52">
        <v>22.33</v>
      </c>
      <c r="E27" s="52">
        <v>7.86</v>
      </c>
      <c r="F27" s="52">
        <v>2.54</v>
      </c>
      <c r="G27" s="52">
        <v>10.91</v>
      </c>
      <c r="H27" s="52">
        <v>4.8600000000000003</v>
      </c>
      <c r="I27" s="52">
        <v>3.27</v>
      </c>
      <c r="J27" s="52">
        <v>0.57999999999999996</v>
      </c>
      <c r="K27" s="52">
        <v>266.35000000000002</v>
      </c>
      <c r="L27" s="52">
        <v>24.62</v>
      </c>
      <c r="M27" s="52">
        <v>92.61</v>
      </c>
      <c r="N27" s="52">
        <v>0.2</v>
      </c>
      <c r="O27" s="52">
        <v>0</v>
      </c>
      <c r="P27" s="52">
        <v>0.44</v>
      </c>
      <c r="Q27" s="52">
        <v>3.54</v>
      </c>
    </row>
    <row r="28" spans="1:17" customFormat="1">
      <c r="A28" s="51" t="s">
        <v>150</v>
      </c>
      <c r="B28" s="52">
        <v>14.07</v>
      </c>
      <c r="C28" s="52">
        <v>23.42</v>
      </c>
      <c r="D28" s="52">
        <v>22.48</v>
      </c>
      <c r="E28" s="52">
        <v>7.27</v>
      </c>
      <c r="F28" s="52">
        <v>2.9</v>
      </c>
      <c r="G28" s="52">
        <v>12.8</v>
      </c>
      <c r="H28" s="52">
        <v>5.76</v>
      </c>
      <c r="I28" s="52">
        <v>3.47</v>
      </c>
      <c r="J28" s="52">
        <v>0.42</v>
      </c>
      <c r="K28" s="52">
        <v>259.77999999999997</v>
      </c>
      <c r="L28" s="52">
        <v>24.48</v>
      </c>
      <c r="M28" s="52">
        <v>96.38</v>
      </c>
      <c r="N28" s="52">
        <v>0</v>
      </c>
      <c r="O28" s="52">
        <v>0.4</v>
      </c>
      <c r="P28" s="52">
        <v>0.41</v>
      </c>
      <c r="Q28" s="52">
        <v>3.55</v>
      </c>
    </row>
    <row r="29" spans="1:17" customFormat="1">
      <c r="A29" s="51" t="s">
        <v>151</v>
      </c>
      <c r="B29" s="52">
        <v>15.31</v>
      </c>
      <c r="C29" s="52">
        <v>22.96</v>
      </c>
      <c r="D29" s="52">
        <v>23.06</v>
      </c>
      <c r="E29" s="52">
        <v>7.72</v>
      </c>
      <c r="F29" s="52">
        <v>2.73</v>
      </c>
      <c r="G29" s="52">
        <v>14.9</v>
      </c>
      <c r="H29" s="52">
        <v>5.76</v>
      </c>
      <c r="I29" s="52">
        <v>3.91</v>
      </c>
      <c r="J29" s="52">
        <v>0.12</v>
      </c>
      <c r="K29" s="52">
        <v>237.38</v>
      </c>
      <c r="L29" s="52">
        <v>24.46</v>
      </c>
      <c r="M29" s="52">
        <v>97.38</v>
      </c>
      <c r="N29" s="52">
        <v>0</v>
      </c>
      <c r="O29" s="52">
        <v>0</v>
      </c>
      <c r="P29" s="52">
        <v>0.46</v>
      </c>
      <c r="Q29" s="52">
        <v>3.59</v>
      </c>
    </row>
    <row r="30" spans="1:17" customFormat="1">
      <c r="A30" s="51" t="s">
        <v>152</v>
      </c>
      <c r="B30" s="52">
        <v>16.41</v>
      </c>
      <c r="C30" s="52">
        <v>22.49</v>
      </c>
      <c r="D30" s="52">
        <v>23.57</v>
      </c>
      <c r="E30" s="52">
        <v>7.67</v>
      </c>
      <c r="F30" s="52">
        <v>2.85</v>
      </c>
      <c r="G30" s="52">
        <v>16.829999999999998</v>
      </c>
      <c r="H30" s="52">
        <v>6.53</v>
      </c>
      <c r="I30" s="52">
        <v>4.28</v>
      </c>
      <c r="J30" s="52">
        <v>0.37</v>
      </c>
      <c r="K30" s="52">
        <v>264.12</v>
      </c>
      <c r="L30" s="52">
        <v>24.82</v>
      </c>
      <c r="M30" s="52">
        <v>97.6</v>
      </c>
      <c r="N30" s="52">
        <v>0</v>
      </c>
      <c r="O30" s="52">
        <v>0.2</v>
      </c>
      <c r="P30" s="52">
        <v>0.48</v>
      </c>
      <c r="Q30" s="52">
        <v>3.64</v>
      </c>
    </row>
    <row r="31" spans="1:17" customFormat="1">
      <c r="A31" s="51" t="s">
        <v>153</v>
      </c>
      <c r="B31" s="52">
        <v>16.7</v>
      </c>
      <c r="C31" s="52">
        <v>21.56</v>
      </c>
      <c r="D31" s="52">
        <v>23.58</v>
      </c>
      <c r="E31" s="52">
        <v>8.02</v>
      </c>
      <c r="F31" s="52">
        <v>3.08</v>
      </c>
      <c r="G31" s="52">
        <v>16.829999999999998</v>
      </c>
      <c r="H31" s="52">
        <v>6.76</v>
      </c>
      <c r="I31" s="52">
        <v>4.2699999999999996</v>
      </c>
      <c r="J31" s="52">
        <v>0.56999999999999995</v>
      </c>
      <c r="K31" s="52">
        <v>263.99</v>
      </c>
      <c r="L31" s="52">
        <v>25.01</v>
      </c>
      <c r="M31" s="52">
        <v>97.3</v>
      </c>
      <c r="N31" s="52">
        <v>0</v>
      </c>
      <c r="O31" s="52">
        <v>0.2</v>
      </c>
      <c r="P31" s="52">
        <v>0.47</v>
      </c>
      <c r="Q31" s="52">
        <v>3.65</v>
      </c>
    </row>
    <row r="32" spans="1:17" customFormat="1">
      <c r="A32" s="51" t="s">
        <v>154</v>
      </c>
      <c r="B32" s="52">
        <v>17.13</v>
      </c>
      <c r="C32" s="52">
        <v>21.63</v>
      </c>
      <c r="D32" s="52">
        <v>23.81</v>
      </c>
      <c r="E32" s="52">
        <v>8.35</v>
      </c>
      <c r="F32" s="52">
        <v>3.08</v>
      </c>
      <c r="G32" s="52">
        <v>14.57</v>
      </c>
      <c r="H32" s="52">
        <v>6.76</v>
      </c>
      <c r="I32" s="52">
        <v>4.1399999999999997</v>
      </c>
      <c r="J32" s="52">
        <v>0.72</v>
      </c>
      <c r="K32" s="52">
        <v>263.14</v>
      </c>
      <c r="L32" s="52">
        <v>25.13</v>
      </c>
      <c r="M32" s="52">
        <v>95.85</v>
      </c>
      <c r="N32" s="52">
        <v>0</v>
      </c>
      <c r="O32" s="52">
        <v>0</v>
      </c>
      <c r="P32" s="52">
        <v>0.46</v>
      </c>
      <c r="Q32" s="52">
        <v>3.64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9.11</v>
      </c>
      <c r="C34" s="41">
        <f t="shared" si="0"/>
        <v>19.5</v>
      </c>
      <c r="D34" s="41">
        <f t="shared" si="0"/>
        <v>16.68</v>
      </c>
      <c r="E34" s="41">
        <f t="shared" si="0"/>
        <v>5.33</v>
      </c>
      <c r="F34" s="41">
        <f t="shared" si="0"/>
        <v>2.54</v>
      </c>
      <c r="G34" s="41">
        <f t="shared" si="0"/>
        <v>5.85</v>
      </c>
      <c r="H34" s="41">
        <f t="shared" si="0"/>
        <v>2.52</v>
      </c>
      <c r="I34" s="41">
        <f t="shared" si="0"/>
        <v>2.2999999999999998</v>
      </c>
      <c r="J34" s="41">
        <f t="shared" si="0"/>
        <v>0.12</v>
      </c>
      <c r="K34" s="41">
        <f t="shared" si="0"/>
        <v>237.38</v>
      </c>
      <c r="L34" s="41">
        <f t="shared" si="0"/>
        <v>23.03</v>
      </c>
      <c r="M34" s="41">
        <f t="shared" si="0"/>
        <v>89.03</v>
      </c>
      <c r="N34" s="41">
        <f t="shared" si="0"/>
        <v>0</v>
      </c>
      <c r="O34" s="41">
        <f t="shared" si="0"/>
        <v>0</v>
      </c>
      <c r="P34" s="41">
        <f t="shared" si="0"/>
        <v>0.25</v>
      </c>
      <c r="Q34" s="41">
        <f t="shared" si="0"/>
        <v>3.19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17.13</v>
      </c>
      <c r="C35" s="33">
        <f t="shared" si="1"/>
        <v>24.06</v>
      </c>
      <c r="D35" s="33">
        <f t="shared" si="1"/>
        <v>23.81</v>
      </c>
      <c r="E35" s="33">
        <f t="shared" si="1"/>
        <v>8.66</v>
      </c>
      <c r="F35" s="33">
        <f t="shared" si="1"/>
        <v>3.52</v>
      </c>
      <c r="G35" s="33">
        <f t="shared" si="1"/>
        <v>16.829999999999998</v>
      </c>
      <c r="H35" s="33">
        <f t="shared" si="1"/>
        <v>6.76</v>
      </c>
      <c r="I35" s="33">
        <f t="shared" si="1"/>
        <v>4.28</v>
      </c>
      <c r="J35" s="33">
        <f t="shared" si="1"/>
        <v>1.48</v>
      </c>
      <c r="K35" s="33">
        <f t="shared" si="1"/>
        <v>290.14999999999998</v>
      </c>
      <c r="L35" s="33">
        <f t="shared" si="1"/>
        <v>25.33</v>
      </c>
      <c r="M35" s="33">
        <f t="shared" si="1"/>
        <v>97.6</v>
      </c>
      <c r="N35" s="33">
        <f t="shared" si="1"/>
        <v>216.3</v>
      </c>
      <c r="O35" s="33">
        <f t="shared" si="1"/>
        <v>0.4</v>
      </c>
      <c r="P35" s="33">
        <f t="shared" si="1"/>
        <v>0.48</v>
      </c>
      <c r="Q35" s="33">
        <f t="shared" si="1"/>
        <v>3.65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11.622916666666667</v>
      </c>
      <c r="C36" s="41">
        <f t="shared" si="2"/>
        <v>21.120833333333334</v>
      </c>
      <c r="D36" s="41">
        <f t="shared" si="2"/>
        <v>19.178333333333331</v>
      </c>
      <c r="E36" s="41">
        <f t="shared" si="2"/>
        <v>7.347083333333333</v>
      </c>
      <c r="F36" s="41">
        <f t="shared" si="2"/>
        <v>3.0037499999999997</v>
      </c>
      <c r="G36" s="41">
        <f t="shared" si="2"/>
        <v>10.551249999999998</v>
      </c>
      <c r="H36" s="41">
        <f t="shared" si="2"/>
        <v>4.3662500000000009</v>
      </c>
      <c r="I36" s="41">
        <f t="shared" si="2"/>
        <v>2.9200000000000004</v>
      </c>
      <c r="J36" s="41">
        <f t="shared" si="2"/>
        <v>1.0470833333333334</v>
      </c>
      <c r="K36" s="41">
        <f t="shared" si="2"/>
        <v>266.43416666666667</v>
      </c>
      <c r="L36" s="41">
        <f t="shared" si="2"/>
        <v>24.392916666666665</v>
      </c>
      <c r="M36" s="41">
        <f t="shared" si="2"/>
        <v>94.55916666666667</v>
      </c>
      <c r="N36" s="41">
        <f t="shared" si="2"/>
        <v>62.754166666666656</v>
      </c>
      <c r="O36" s="41">
        <f t="shared" si="2"/>
        <v>0.14166666666666666</v>
      </c>
      <c r="P36" s="41">
        <f t="shared" si="2"/>
        <v>0.33458333333333329</v>
      </c>
      <c r="Q36" s="41">
        <f t="shared" si="2"/>
        <v>3.3550000000000004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2.5374164868102045</v>
      </c>
      <c r="C37" s="41">
        <f t="shared" ref="C37:Q37" si="3">STDEV(C9:C32)</f>
        <v>1.2306163767261664</v>
      </c>
      <c r="D37" s="41">
        <f t="shared" si="3"/>
        <v>2.4936975631042233</v>
      </c>
      <c r="E37" s="41">
        <f t="shared" si="3"/>
        <v>1.2039373057729807</v>
      </c>
      <c r="F37" s="41">
        <f t="shared" si="3"/>
        <v>0.23274939872897668</v>
      </c>
      <c r="G37" s="41">
        <f t="shared" si="3"/>
        <v>3.3407397156657015</v>
      </c>
      <c r="H37" s="41">
        <f t="shared" si="3"/>
        <v>1.2950635791006673</v>
      </c>
      <c r="I37" s="41">
        <f t="shared" si="3"/>
        <v>0.6583180148648895</v>
      </c>
      <c r="J37" s="41">
        <f t="shared" si="3"/>
        <v>0.38833512159817168</v>
      </c>
      <c r="K37" s="41">
        <f t="shared" si="3"/>
        <v>8.6614899394398019</v>
      </c>
      <c r="L37" s="41">
        <f t="shared" si="3"/>
        <v>0.71333557665907676</v>
      </c>
      <c r="M37" s="41">
        <f t="shared" si="3"/>
        <v>2.5086267101772495</v>
      </c>
      <c r="N37" s="41">
        <f t="shared" si="3"/>
        <v>75.926961351979102</v>
      </c>
      <c r="O37" s="41">
        <f t="shared" si="3"/>
        <v>0.12481870911416906</v>
      </c>
      <c r="P37" s="41">
        <f t="shared" si="3"/>
        <v>7.7514608253887285E-2</v>
      </c>
      <c r="Q37" s="41">
        <f t="shared" si="3"/>
        <v>0.1576457227870077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155</v>
      </c>
      <c r="B9" s="52">
        <v>15.08</v>
      </c>
      <c r="C9" s="52">
        <v>21.47</v>
      </c>
      <c r="D9" s="52">
        <v>22.24</v>
      </c>
      <c r="E9" s="52">
        <v>7.74</v>
      </c>
      <c r="F9" s="52">
        <v>3.37</v>
      </c>
      <c r="G9" s="52">
        <v>11.74</v>
      </c>
      <c r="H9" s="52">
        <v>5.84</v>
      </c>
      <c r="I9" s="52">
        <v>3.85</v>
      </c>
      <c r="J9" s="52">
        <v>0.9</v>
      </c>
      <c r="K9" s="52">
        <v>266.18</v>
      </c>
      <c r="L9" s="52">
        <v>25.19</v>
      </c>
      <c r="M9" s="52">
        <v>93.18</v>
      </c>
      <c r="N9" s="52">
        <v>0</v>
      </c>
      <c r="O9" s="52">
        <v>0</v>
      </c>
      <c r="P9" s="52">
        <v>0.45</v>
      </c>
      <c r="Q9" s="52">
        <v>3.57</v>
      </c>
    </row>
    <row r="10" spans="1:21" customFormat="1">
      <c r="A10" s="51" t="s">
        <v>156</v>
      </c>
      <c r="B10" s="52">
        <v>14.85</v>
      </c>
      <c r="C10" s="52">
        <v>21.27</v>
      </c>
      <c r="D10" s="52">
        <v>21.9</v>
      </c>
      <c r="E10" s="52">
        <v>8.18</v>
      </c>
      <c r="F10" s="52">
        <v>3.28</v>
      </c>
      <c r="G10" s="52">
        <v>8.61</v>
      </c>
      <c r="H10" s="52">
        <v>5.84</v>
      </c>
      <c r="I10" s="52">
        <v>3.5</v>
      </c>
      <c r="J10" s="52">
        <v>0.72</v>
      </c>
      <c r="K10" s="52">
        <v>264.07</v>
      </c>
      <c r="L10" s="52">
        <v>25.16</v>
      </c>
      <c r="M10" s="52">
        <v>93.29</v>
      </c>
      <c r="N10" s="52">
        <v>0</v>
      </c>
      <c r="O10" s="52">
        <v>0</v>
      </c>
      <c r="P10" s="52">
        <v>0.4</v>
      </c>
      <c r="Q10" s="52">
        <v>3.59</v>
      </c>
    </row>
    <row r="11" spans="1:21" customFormat="1">
      <c r="A11" s="51" t="s">
        <v>157</v>
      </c>
      <c r="B11" s="52">
        <v>14.97</v>
      </c>
      <c r="C11" s="52">
        <v>20.67</v>
      </c>
      <c r="D11" s="52">
        <v>21.75</v>
      </c>
      <c r="E11" s="52">
        <v>7.15</v>
      </c>
      <c r="F11" s="52">
        <v>3.08</v>
      </c>
      <c r="G11" s="52">
        <v>9.68</v>
      </c>
      <c r="H11" s="52">
        <v>5.77</v>
      </c>
      <c r="I11" s="52">
        <v>3.36</v>
      </c>
      <c r="J11" s="52">
        <v>0.8</v>
      </c>
      <c r="K11" s="52">
        <v>264.42</v>
      </c>
      <c r="L11" s="52">
        <v>25.15</v>
      </c>
      <c r="M11" s="52">
        <v>92.67</v>
      </c>
      <c r="N11" s="52">
        <v>0</v>
      </c>
      <c r="O11" s="52">
        <v>0</v>
      </c>
      <c r="P11" s="52">
        <v>0.38</v>
      </c>
      <c r="Q11" s="52">
        <v>3.56</v>
      </c>
    </row>
    <row r="12" spans="1:21" customFormat="1">
      <c r="A12" s="51" t="s">
        <v>158</v>
      </c>
      <c r="B12" s="52">
        <v>15.52</v>
      </c>
      <c r="C12" s="52">
        <v>20.87</v>
      </c>
      <c r="D12" s="52">
        <v>22.24</v>
      </c>
      <c r="E12" s="52">
        <v>7.64</v>
      </c>
      <c r="F12" s="52">
        <v>2.65</v>
      </c>
      <c r="G12" s="52">
        <v>9.68</v>
      </c>
      <c r="H12" s="52">
        <v>4.2699999999999996</v>
      </c>
      <c r="I12" s="52">
        <v>3.25</v>
      </c>
      <c r="J12" s="52">
        <v>0.66</v>
      </c>
      <c r="K12" s="52">
        <v>263.42</v>
      </c>
      <c r="L12" s="52">
        <v>25.04</v>
      </c>
      <c r="M12" s="52">
        <v>92.53</v>
      </c>
      <c r="N12" s="52">
        <v>0</v>
      </c>
      <c r="O12" s="52">
        <v>0</v>
      </c>
      <c r="P12" s="52">
        <v>0.37</v>
      </c>
      <c r="Q12" s="52">
        <v>3.57</v>
      </c>
    </row>
    <row r="13" spans="1:21" customFormat="1">
      <c r="A13" s="51" t="s">
        <v>159</v>
      </c>
      <c r="B13" s="52">
        <v>15.72</v>
      </c>
      <c r="C13" s="52">
        <v>20.95</v>
      </c>
      <c r="D13" s="52">
        <v>22.37</v>
      </c>
      <c r="E13" s="52">
        <v>7.69</v>
      </c>
      <c r="F13" s="52">
        <v>2.8</v>
      </c>
      <c r="G13" s="52">
        <v>7.94</v>
      </c>
      <c r="H13" s="52">
        <v>3.17</v>
      </c>
      <c r="I13" s="52">
        <v>3.14</v>
      </c>
      <c r="J13" s="52">
        <v>0.76</v>
      </c>
      <c r="K13" s="52">
        <v>262.76</v>
      </c>
      <c r="L13" s="52">
        <v>24.85</v>
      </c>
      <c r="M13" s="52">
        <v>92.63</v>
      </c>
      <c r="N13" s="52">
        <v>0</v>
      </c>
      <c r="O13" s="52">
        <v>0</v>
      </c>
      <c r="P13" s="52">
        <v>0.35</v>
      </c>
      <c r="Q13" s="52">
        <v>3.57</v>
      </c>
    </row>
    <row r="14" spans="1:21" customFormat="1">
      <c r="A14" s="51" t="s">
        <v>160</v>
      </c>
      <c r="B14" s="52">
        <v>15.09</v>
      </c>
      <c r="C14" s="52">
        <v>20.45</v>
      </c>
      <c r="D14" s="52">
        <v>21.51</v>
      </c>
      <c r="E14" s="52">
        <v>7.25</v>
      </c>
      <c r="F14" s="52">
        <v>3.35</v>
      </c>
      <c r="G14" s="52">
        <v>8.68</v>
      </c>
      <c r="H14" s="52">
        <v>4.0199999999999996</v>
      </c>
      <c r="I14" s="52">
        <v>3.07</v>
      </c>
      <c r="J14" s="52">
        <v>0.89</v>
      </c>
      <c r="K14" s="52">
        <v>265.98</v>
      </c>
      <c r="L14" s="52">
        <v>24.85</v>
      </c>
      <c r="M14" s="52">
        <v>91.35</v>
      </c>
      <c r="N14" s="52">
        <v>2.2999999999999998</v>
      </c>
      <c r="O14" s="52">
        <v>0</v>
      </c>
      <c r="P14" s="52">
        <v>0.37</v>
      </c>
      <c r="Q14" s="52">
        <v>3.54</v>
      </c>
    </row>
    <row r="15" spans="1:21" customFormat="1">
      <c r="A15" s="51" t="s">
        <v>161</v>
      </c>
      <c r="B15" s="52">
        <v>14.98</v>
      </c>
      <c r="C15" s="52">
        <v>21.54</v>
      </c>
      <c r="D15" s="52">
        <v>22.22</v>
      </c>
      <c r="E15" s="52">
        <v>7.39</v>
      </c>
      <c r="F15" s="52">
        <v>2.71</v>
      </c>
      <c r="G15" s="52">
        <v>8.68</v>
      </c>
      <c r="H15" s="52">
        <v>4.0199999999999996</v>
      </c>
      <c r="I15" s="52">
        <v>2.8</v>
      </c>
      <c r="J15" s="52">
        <v>0.64</v>
      </c>
      <c r="K15" s="52">
        <v>267.97000000000003</v>
      </c>
      <c r="L15" s="52">
        <v>25.14</v>
      </c>
      <c r="M15" s="52">
        <v>90.25</v>
      </c>
      <c r="N15" s="52">
        <v>63.4</v>
      </c>
      <c r="O15" s="52">
        <v>0</v>
      </c>
      <c r="P15" s="52">
        <v>0.32</v>
      </c>
      <c r="Q15" s="52">
        <v>3.59</v>
      </c>
    </row>
    <row r="16" spans="1:21" customFormat="1">
      <c r="A16" s="51" t="s">
        <v>162</v>
      </c>
      <c r="B16" s="52">
        <v>15.26</v>
      </c>
      <c r="C16" s="52">
        <v>20.59</v>
      </c>
      <c r="D16" s="52">
        <v>21.86</v>
      </c>
      <c r="E16" s="52">
        <v>7.43</v>
      </c>
      <c r="F16" s="52">
        <v>2.82</v>
      </c>
      <c r="G16" s="52">
        <v>11.98</v>
      </c>
      <c r="H16" s="52">
        <v>3.06</v>
      </c>
      <c r="I16" s="52">
        <v>2.82</v>
      </c>
      <c r="J16" s="52">
        <v>1.1599999999999999</v>
      </c>
      <c r="K16" s="52">
        <v>265.47000000000003</v>
      </c>
      <c r="L16" s="52">
        <v>25.74</v>
      </c>
      <c r="M16" s="52">
        <v>89.54</v>
      </c>
      <c r="N16" s="52">
        <v>157.5</v>
      </c>
      <c r="O16" s="52">
        <v>0</v>
      </c>
      <c r="P16" s="52">
        <v>0.32</v>
      </c>
      <c r="Q16" s="52">
        <v>3.58</v>
      </c>
    </row>
    <row r="17" spans="1:17" customFormat="1">
      <c r="A17" s="51" t="s">
        <v>163</v>
      </c>
      <c r="B17" s="52">
        <v>14.93</v>
      </c>
      <c r="C17" s="52">
        <v>20.6</v>
      </c>
      <c r="D17" s="52">
        <v>21.69</v>
      </c>
      <c r="E17" s="52">
        <v>7.88</v>
      </c>
      <c r="F17" s="52">
        <v>3.16</v>
      </c>
      <c r="G17" s="52">
        <v>11.98</v>
      </c>
      <c r="H17" s="52">
        <v>3.06</v>
      </c>
      <c r="I17" s="52">
        <v>2.79</v>
      </c>
      <c r="J17" s="52">
        <v>1.04</v>
      </c>
      <c r="K17" s="52">
        <v>282.82</v>
      </c>
      <c r="L17" s="52">
        <v>27.58</v>
      </c>
      <c r="M17" s="52">
        <v>86.34</v>
      </c>
      <c r="N17" s="52">
        <v>293.7</v>
      </c>
      <c r="O17" s="52">
        <v>0</v>
      </c>
      <c r="P17" s="52">
        <v>0.32</v>
      </c>
      <c r="Q17" s="52">
        <v>3.54</v>
      </c>
    </row>
    <row r="18" spans="1:17" customFormat="1">
      <c r="A18" s="51" t="s">
        <v>164</v>
      </c>
      <c r="B18" s="52">
        <v>14.78</v>
      </c>
      <c r="C18" s="52">
        <v>20.54</v>
      </c>
      <c r="D18" s="52">
        <v>21.42</v>
      </c>
      <c r="E18" s="52">
        <v>8.5399999999999991</v>
      </c>
      <c r="F18" s="52">
        <v>3.27</v>
      </c>
      <c r="G18" s="52">
        <v>16.37</v>
      </c>
      <c r="H18" s="52">
        <v>4.1399999999999997</v>
      </c>
      <c r="I18" s="52">
        <v>2.83</v>
      </c>
      <c r="J18" s="52">
        <v>1.03</v>
      </c>
      <c r="K18" s="52">
        <v>276.39999999999998</v>
      </c>
      <c r="L18" s="52">
        <v>27.81</v>
      </c>
      <c r="M18" s="52">
        <v>81.22</v>
      </c>
      <c r="N18" s="52">
        <v>278</v>
      </c>
      <c r="O18" s="52">
        <v>0</v>
      </c>
      <c r="P18" s="52">
        <v>0.33</v>
      </c>
      <c r="Q18" s="52">
        <v>3.53</v>
      </c>
    </row>
    <row r="19" spans="1:17" customFormat="1">
      <c r="A19" s="51" t="s">
        <v>165</v>
      </c>
      <c r="B19" s="52">
        <v>14.15</v>
      </c>
      <c r="C19" s="52">
        <v>23.81</v>
      </c>
      <c r="D19" s="52">
        <v>22.33</v>
      </c>
      <c r="E19" s="52">
        <v>9.09</v>
      </c>
      <c r="F19" s="52">
        <v>4.4400000000000004</v>
      </c>
      <c r="G19" s="52">
        <v>22.67</v>
      </c>
      <c r="H19" s="52">
        <v>4.9800000000000004</v>
      </c>
      <c r="I19" s="52">
        <v>3.48</v>
      </c>
      <c r="J19" s="52">
        <v>1.18</v>
      </c>
      <c r="K19" s="52">
        <v>272.29000000000002</v>
      </c>
      <c r="L19" s="52">
        <v>28.82</v>
      </c>
      <c r="M19" s="52">
        <v>77.37</v>
      </c>
      <c r="N19" s="52">
        <v>353.2</v>
      </c>
      <c r="O19" s="52">
        <v>0</v>
      </c>
      <c r="P19" s="52">
        <v>0.46</v>
      </c>
      <c r="Q19" s="52">
        <v>3.61</v>
      </c>
    </row>
    <row r="20" spans="1:17" customFormat="1">
      <c r="A20" s="51" t="s">
        <v>166</v>
      </c>
      <c r="B20" s="52">
        <v>12.76</v>
      </c>
      <c r="C20" s="52">
        <v>20.53</v>
      </c>
      <c r="D20" s="52">
        <v>19.600000000000001</v>
      </c>
      <c r="E20" s="52">
        <v>9.43</v>
      </c>
      <c r="F20" s="52">
        <v>4.47</v>
      </c>
      <c r="G20" s="52">
        <v>27.85</v>
      </c>
      <c r="H20" s="52">
        <v>6.62</v>
      </c>
      <c r="I20" s="52">
        <v>3.68</v>
      </c>
      <c r="J20" s="52">
        <v>1.2</v>
      </c>
      <c r="K20" s="52">
        <v>264.70999999999998</v>
      </c>
      <c r="L20" s="52">
        <v>29.29</v>
      </c>
      <c r="M20" s="52">
        <v>75.28</v>
      </c>
      <c r="N20" s="52">
        <v>457.4</v>
      </c>
      <c r="O20" s="52">
        <v>0</v>
      </c>
      <c r="P20" s="52">
        <v>0.41</v>
      </c>
      <c r="Q20" s="52">
        <v>3.43</v>
      </c>
    </row>
    <row r="21" spans="1:17" customFormat="1">
      <c r="A21" s="51" t="s">
        <v>167</v>
      </c>
      <c r="B21" s="52">
        <v>11.24</v>
      </c>
      <c r="C21" s="52">
        <v>22.06</v>
      </c>
      <c r="D21" s="52">
        <v>19.489999999999998</v>
      </c>
      <c r="E21" s="52">
        <v>8.6300000000000008</v>
      </c>
      <c r="F21" s="52">
        <v>4.3600000000000003</v>
      </c>
      <c r="G21" s="52">
        <v>27.85</v>
      </c>
      <c r="H21" s="52">
        <v>6.64</v>
      </c>
      <c r="I21" s="52">
        <v>3.64</v>
      </c>
      <c r="J21" s="52">
        <v>1.51</v>
      </c>
      <c r="K21" s="52">
        <v>277.08</v>
      </c>
      <c r="L21" s="52">
        <v>30.81</v>
      </c>
      <c r="M21" s="52">
        <v>74.47</v>
      </c>
      <c r="N21" s="52">
        <v>786.6</v>
      </c>
      <c r="O21" s="52">
        <v>0</v>
      </c>
      <c r="P21" s="52">
        <v>0.43</v>
      </c>
      <c r="Q21" s="52">
        <v>3.44</v>
      </c>
    </row>
    <row r="22" spans="1:17" customFormat="1">
      <c r="A22" s="51" t="s">
        <v>168</v>
      </c>
      <c r="B22" s="52">
        <v>9.61</v>
      </c>
      <c r="C22" s="52">
        <v>18.71</v>
      </c>
      <c r="D22" s="52">
        <v>16.440000000000001</v>
      </c>
      <c r="E22" s="52">
        <v>8.26</v>
      </c>
      <c r="F22" s="52">
        <v>6.7</v>
      </c>
      <c r="G22" s="52">
        <v>23.52</v>
      </c>
      <c r="H22" s="52">
        <v>7.86</v>
      </c>
      <c r="I22" s="52">
        <v>3.66</v>
      </c>
      <c r="J22" s="52">
        <v>1.1100000000000001</v>
      </c>
      <c r="K22" s="52">
        <v>270.73</v>
      </c>
      <c r="L22" s="52">
        <v>30.09</v>
      </c>
      <c r="M22" s="52">
        <v>74.78</v>
      </c>
      <c r="N22" s="52">
        <v>337.4</v>
      </c>
      <c r="O22" s="52">
        <v>0</v>
      </c>
      <c r="P22" s="52">
        <v>0.41</v>
      </c>
      <c r="Q22" s="52">
        <v>3.24</v>
      </c>
    </row>
    <row r="23" spans="1:17" customFormat="1">
      <c r="A23" s="51" t="s">
        <v>169</v>
      </c>
      <c r="B23" s="52">
        <v>8.57</v>
      </c>
      <c r="C23" s="52">
        <v>19.309999999999999</v>
      </c>
      <c r="D23" s="52">
        <v>15.75</v>
      </c>
      <c r="E23" s="52">
        <v>8.32</v>
      </c>
      <c r="F23" s="52">
        <v>5.68</v>
      </c>
      <c r="G23" s="52">
        <v>23.72</v>
      </c>
      <c r="H23" s="52">
        <v>7.86</v>
      </c>
      <c r="I23" s="52">
        <v>3.55</v>
      </c>
      <c r="J23" s="52">
        <v>1.02</v>
      </c>
      <c r="K23" s="52">
        <v>266.31</v>
      </c>
      <c r="L23" s="52">
        <v>29.65</v>
      </c>
      <c r="M23" s="52">
        <v>77.02</v>
      </c>
      <c r="N23" s="52">
        <v>315.7</v>
      </c>
      <c r="O23" s="52">
        <v>0</v>
      </c>
      <c r="P23" s="52">
        <v>0.4</v>
      </c>
      <c r="Q23" s="52">
        <v>3.18</v>
      </c>
    </row>
    <row r="24" spans="1:17" customFormat="1">
      <c r="A24" s="51" t="s">
        <v>170</v>
      </c>
      <c r="B24" s="52">
        <v>8.25</v>
      </c>
      <c r="C24" s="52">
        <v>19.55</v>
      </c>
      <c r="D24" s="52">
        <v>15.12</v>
      </c>
      <c r="E24" s="52">
        <v>8</v>
      </c>
      <c r="F24" s="52">
        <v>5.97</v>
      </c>
      <c r="G24" s="52">
        <v>23.72</v>
      </c>
      <c r="H24" s="52">
        <v>6.69</v>
      </c>
      <c r="I24" s="52">
        <v>3.39</v>
      </c>
      <c r="J24" s="52">
        <v>1.04</v>
      </c>
      <c r="K24" s="52">
        <v>269.99</v>
      </c>
      <c r="L24" s="52">
        <v>30.29</v>
      </c>
      <c r="M24" s="52">
        <v>73.97</v>
      </c>
      <c r="N24" s="52">
        <v>384.7</v>
      </c>
      <c r="O24" s="52">
        <v>0</v>
      </c>
      <c r="P24" s="52">
        <v>0.42</v>
      </c>
      <c r="Q24" s="52">
        <v>3.14</v>
      </c>
    </row>
    <row r="25" spans="1:17" customFormat="1">
      <c r="A25" s="51" t="s">
        <v>171</v>
      </c>
      <c r="B25" s="52">
        <v>6.94</v>
      </c>
      <c r="C25" s="52">
        <v>16.59</v>
      </c>
      <c r="D25" s="52">
        <v>13.19</v>
      </c>
      <c r="E25" s="52">
        <v>7.3</v>
      </c>
      <c r="F25" s="52">
        <v>8.51</v>
      </c>
      <c r="G25" s="52">
        <v>21.54</v>
      </c>
      <c r="H25" s="52">
        <v>8.48</v>
      </c>
      <c r="I25" s="52">
        <v>3.19</v>
      </c>
      <c r="J25" s="52">
        <v>1.02</v>
      </c>
      <c r="K25" s="52">
        <v>266.22000000000003</v>
      </c>
      <c r="L25" s="52">
        <v>29.95</v>
      </c>
      <c r="M25" s="52">
        <v>74.069999999999993</v>
      </c>
      <c r="N25" s="52">
        <v>215.7</v>
      </c>
      <c r="O25" s="52">
        <v>0</v>
      </c>
      <c r="P25" s="52">
        <v>0.34</v>
      </c>
      <c r="Q25" s="52">
        <v>3.06</v>
      </c>
    </row>
    <row r="26" spans="1:17" customFormat="1">
      <c r="A26" s="51" t="s">
        <v>172</v>
      </c>
      <c r="B26" s="52">
        <v>6.66</v>
      </c>
      <c r="C26" s="52">
        <v>18.37</v>
      </c>
      <c r="D26" s="52">
        <v>13.9</v>
      </c>
      <c r="E26" s="52">
        <v>8.5500000000000007</v>
      </c>
      <c r="F26" s="52">
        <v>9.74</v>
      </c>
      <c r="G26" s="52">
        <v>20.440000000000001</v>
      </c>
      <c r="H26" s="52">
        <v>8.48</v>
      </c>
      <c r="I26" s="52">
        <v>2.89</v>
      </c>
      <c r="J26" s="52">
        <v>1.02</v>
      </c>
      <c r="K26" s="52">
        <v>265.77</v>
      </c>
      <c r="L26" s="52">
        <v>29.33</v>
      </c>
      <c r="M26" s="52">
        <v>75.12</v>
      </c>
      <c r="N26" s="52">
        <v>63.7</v>
      </c>
      <c r="O26" s="52">
        <v>0</v>
      </c>
      <c r="P26" s="52">
        <v>0.34</v>
      </c>
      <c r="Q26" s="52">
        <v>3.07</v>
      </c>
    </row>
    <row r="27" spans="1:17" customFormat="1">
      <c r="A27" s="51" t="s">
        <v>173</v>
      </c>
      <c r="B27" s="52">
        <v>9.7200000000000006</v>
      </c>
      <c r="C27" s="52">
        <v>21.3</v>
      </c>
      <c r="D27" s="52">
        <v>17.87</v>
      </c>
      <c r="E27" s="52">
        <v>8.23</v>
      </c>
      <c r="F27" s="52">
        <v>6.58</v>
      </c>
      <c r="G27" s="52">
        <v>20.73</v>
      </c>
      <c r="H27" s="52">
        <v>6.33</v>
      </c>
      <c r="I27" s="52">
        <v>2.97</v>
      </c>
      <c r="J27" s="52">
        <v>0.63</v>
      </c>
      <c r="K27" s="52">
        <v>326.77</v>
      </c>
      <c r="L27" s="52">
        <v>28.67</v>
      </c>
      <c r="M27" s="52">
        <v>80.08</v>
      </c>
      <c r="N27" s="52">
        <v>1.9</v>
      </c>
      <c r="O27" s="52">
        <v>0</v>
      </c>
      <c r="P27" s="52">
        <v>0.42</v>
      </c>
      <c r="Q27" s="52">
        <v>3.2</v>
      </c>
    </row>
    <row r="28" spans="1:17" customFormat="1">
      <c r="A28" s="51" t="s">
        <v>174</v>
      </c>
      <c r="B28" s="52">
        <v>10.49</v>
      </c>
      <c r="C28" s="52">
        <v>20.83</v>
      </c>
      <c r="D28" s="52">
        <v>18.03</v>
      </c>
      <c r="E28" s="52">
        <v>8.1999999999999993</v>
      </c>
      <c r="F28" s="52">
        <v>4.49</v>
      </c>
      <c r="G28" s="52">
        <v>30.3</v>
      </c>
      <c r="H28" s="52">
        <v>6.27</v>
      </c>
      <c r="I28" s="52">
        <v>3.5</v>
      </c>
      <c r="J28" s="52">
        <v>1.31</v>
      </c>
      <c r="K28" s="52">
        <v>318.25</v>
      </c>
      <c r="L28" s="52">
        <v>27.07</v>
      </c>
      <c r="M28" s="52">
        <v>97.11</v>
      </c>
      <c r="N28" s="52">
        <v>0</v>
      </c>
      <c r="O28" s="52">
        <v>2.6</v>
      </c>
      <c r="P28" s="52">
        <v>0.42</v>
      </c>
      <c r="Q28" s="52">
        <v>3.3</v>
      </c>
    </row>
    <row r="29" spans="1:17" customFormat="1">
      <c r="A29" s="51" t="s">
        <v>175</v>
      </c>
      <c r="B29" s="52">
        <v>11.26</v>
      </c>
      <c r="C29" s="52">
        <v>25.18</v>
      </c>
      <c r="D29" s="52">
        <v>21.14</v>
      </c>
      <c r="E29" s="52">
        <v>7.63</v>
      </c>
      <c r="F29" s="52">
        <v>4.07</v>
      </c>
      <c r="G29" s="52">
        <v>30.3</v>
      </c>
      <c r="H29" s="52">
        <v>6.27</v>
      </c>
      <c r="I29" s="52">
        <v>3.38</v>
      </c>
      <c r="J29" s="52">
        <v>0.86</v>
      </c>
      <c r="K29" s="52">
        <v>359.86</v>
      </c>
      <c r="L29" s="52">
        <v>24.79</v>
      </c>
      <c r="M29" s="52">
        <v>98.25</v>
      </c>
      <c r="N29" s="52">
        <v>0</v>
      </c>
      <c r="O29" s="52">
        <v>3.2</v>
      </c>
      <c r="P29" s="52">
        <v>0.47</v>
      </c>
      <c r="Q29" s="52">
        <v>3.52</v>
      </c>
    </row>
    <row r="30" spans="1:17" customFormat="1">
      <c r="A30" s="51" t="s">
        <v>176</v>
      </c>
      <c r="B30" s="52">
        <v>15.57</v>
      </c>
      <c r="C30" s="52">
        <v>25.47</v>
      </c>
      <c r="D30" s="52">
        <v>24.67</v>
      </c>
      <c r="E30" s="52">
        <v>6.64</v>
      </c>
      <c r="F30" s="52">
        <v>3.25</v>
      </c>
      <c r="G30" s="52">
        <v>21.44</v>
      </c>
      <c r="H30" s="52">
        <v>6.44</v>
      </c>
      <c r="I30" s="52">
        <v>3.46</v>
      </c>
      <c r="J30" s="52">
        <v>0.17</v>
      </c>
      <c r="K30" s="52">
        <v>264.32</v>
      </c>
      <c r="L30" s="52">
        <v>25.29</v>
      </c>
      <c r="M30" s="52">
        <v>98.67</v>
      </c>
      <c r="N30" s="52">
        <v>0</v>
      </c>
      <c r="O30" s="52">
        <v>0.2</v>
      </c>
      <c r="P30" s="52">
        <v>0.48</v>
      </c>
      <c r="Q30" s="52">
        <v>3.65</v>
      </c>
    </row>
    <row r="31" spans="1:17" customFormat="1">
      <c r="A31" s="51" t="s">
        <v>177</v>
      </c>
      <c r="B31" s="52">
        <v>16.75</v>
      </c>
      <c r="C31" s="52">
        <v>24.79</v>
      </c>
      <c r="D31" s="52">
        <v>24.87</v>
      </c>
      <c r="E31" s="52">
        <v>7</v>
      </c>
      <c r="F31" s="52">
        <v>3.13</v>
      </c>
      <c r="G31" s="52">
        <v>21.44</v>
      </c>
      <c r="H31" s="52">
        <v>9.0399999999999991</v>
      </c>
      <c r="I31" s="52">
        <v>3.73</v>
      </c>
      <c r="J31" s="52">
        <v>0.15</v>
      </c>
      <c r="K31" s="52">
        <v>230.09</v>
      </c>
      <c r="L31" s="52">
        <v>25.36</v>
      </c>
      <c r="M31" s="52">
        <v>98.89</v>
      </c>
      <c r="N31" s="52">
        <v>0</v>
      </c>
      <c r="O31" s="52">
        <v>0</v>
      </c>
      <c r="P31" s="52">
        <v>0.51</v>
      </c>
      <c r="Q31" s="52">
        <v>3.71</v>
      </c>
    </row>
    <row r="32" spans="1:17" customFormat="1">
      <c r="A32" s="51" t="s">
        <v>178</v>
      </c>
      <c r="B32" s="52">
        <v>16.899999999999999</v>
      </c>
      <c r="C32" s="52">
        <v>22.48</v>
      </c>
      <c r="D32" s="52">
        <v>24.25</v>
      </c>
      <c r="E32" s="52">
        <v>7.2</v>
      </c>
      <c r="F32" s="52">
        <v>3.34</v>
      </c>
      <c r="G32" s="52">
        <v>21.02</v>
      </c>
      <c r="H32" s="52">
        <v>9.0399999999999991</v>
      </c>
      <c r="I32" s="52">
        <v>3.93</v>
      </c>
      <c r="J32" s="52">
        <v>0.35</v>
      </c>
      <c r="K32" s="52">
        <v>257.08999999999997</v>
      </c>
      <c r="L32" s="52">
        <v>25.47</v>
      </c>
      <c r="M32" s="52">
        <v>99.02</v>
      </c>
      <c r="N32" s="52">
        <v>0</v>
      </c>
      <c r="O32" s="52">
        <v>0</v>
      </c>
      <c r="P32" s="52">
        <v>0.51</v>
      </c>
      <c r="Q32" s="52">
        <v>3.75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6.66</v>
      </c>
      <c r="C34" s="41">
        <f t="shared" si="0"/>
        <v>16.59</v>
      </c>
      <c r="D34" s="41">
        <f t="shared" si="0"/>
        <v>13.19</v>
      </c>
      <c r="E34" s="41">
        <f t="shared" si="0"/>
        <v>6.64</v>
      </c>
      <c r="F34" s="41">
        <f t="shared" si="0"/>
        <v>2.65</v>
      </c>
      <c r="G34" s="41">
        <f t="shared" si="0"/>
        <v>7.94</v>
      </c>
      <c r="H34" s="41">
        <f t="shared" si="0"/>
        <v>3.06</v>
      </c>
      <c r="I34" s="41">
        <f t="shared" si="0"/>
        <v>2.79</v>
      </c>
      <c r="J34" s="41">
        <f t="shared" si="0"/>
        <v>0.15</v>
      </c>
      <c r="K34" s="41">
        <f t="shared" si="0"/>
        <v>230.09</v>
      </c>
      <c r="L34" s="41">
        <f t="shared" si="0"/>
        <v>24.79</v>
      </c>
      <c r="M34" s="41">
        <f t="shared" si="0"/>
        <v>73.97</v>
      </c>
      <c r="N34" s="41">
        <f t="shared" si="0"/>
        <v>0</v>
      </c>
      <c r="O34" s="41">
        <f t="shared" si="0"/>
        <v>0</v>
      </c>
      <c r="P34" s="41">
        <f t="shared" si="0"/>
        <v>0.32</v>
      </c>
      <c r="Q34" s="41">
        <f t="shared" si="0"/>
        <v>3.06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16.899999999999999</v>
      </c>
      <c r="C35" s="33">
        <f t="shared" si="1"/>
        <v>25.47</v>
      </c>
      <c r="D35" s="33">
        <f t="shared" si="1"/>
        <v>24.87</v>
      </c>
      <c r="E35" s="33">
        <f t="shared" si="1"/>
        <v>9.43</v>
      </c>
      <c r="F35" s="33">
        <f t="shared" si="1"/>
        <v>9.74</v>
      </c>
      <c r="G35" s="33">
        <f t="shared" si="1"/>
        <v>30.3</v>
      </c>
      <c r="H35" s="33">
        <f t="shared" si="1"/>
        <v>9.0399999999999991</v>
      </c>
      <c r="I35" s="33">
        <f t="shared" si="1"/>
        <v>3.93</v>
      </c>
      <c r="J35" s="33">
        <f t="shared" si="1"/>
        <v>1.51</v>
      </c>
      <c r="K35" s="33">
        <f t="shared" si="1"/>
        <v>359.86</v>
      </c>
      <c r="L35" s="33">
        <f t="shared" si="1"/>
        <v>30.81</v>
      </c>
      <c r="M35" s="33">
        <f t="shared" si="1"/>
        <v>99.02</v>
      </c>
      <c r="N35" s="33">
        <f t="shared" si="1"/>
        <v>786.6</v>
      </c>
      <c r="O35" s="33">
        <f t="shared" si="1"/>
        <v>3.2</v>
      </c>
      <c r="P35" s="33">
        <f t="shared" si="1"/>
        <v>0.51</v>
      </c>
      <c r="Q35" s="33">
        <f t="shared" si="1"/>
        <v>3.75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12.918749999999998</v>
      </c>
      <c r="C36" s="41">
        <f t="shared" si="2"/>
        <v>21.16375</v>
      </c>
      <c r="D36" s="41">
        <f t="shared" si="2"/>
        <v>20.243749999999999</v>
      </c>
      <c r="E36" s="41">
        <f t="shared" si="2"/>
        <v>7.890416666666666</v>
      </c>
      <c r="F36" s="41">
        <f t="shared" si="2"/>
        <v>4.3841666666666663</v>
      </c>
      <c r="G36" s="41">
        <f t="shared" si="2"/>
        <v>18.411666666666665</v>
      </c>
      <c r="H36" s="41">
        <f t="shared" si="2"/>
        <v>6.0079166666666666</v>
      </c>
      <c r="I36" s="41">
        <f t="shared" si="2"/>
        <v>3.3274999999999992</v>
      </c>
      <c r="J36" s="41">
        <f t="shared" si="2"/>
        <v>0.88208333333333311</v>
      </c>
      <c r="K36" s="41">
        <f t="shared" si="2"/>
        <v>274.54041666666666</v>
      </c>
      <c r="L36" s="41">
        <f t="shared" si="2"/>
        <v>27.141249999999999</v>
      </c>
      <c r="M36" s="41">
        <f t="shared" si="2"/>
        <v>86.545833333333334</v>
      </c>
      <c r="N36" s="41">
        <f t="shared" si="2"/>
        <v>154.6333333333333</v>
      </c>
      <c r="O36" s="41">
        <f t="shared" si="2"/>
        <v>0.25000000000000006</v>
      </c>
      <c r="P36" s="41">
        <f t="shared" si="2"/>
        <v>0.40125000000000005</v>
      </c>
      <c r="Q36" s="41">
        <f t="shared" si="2"/>
        <v>3.4558333333333331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3.2069860054466188</v>
      </c>
      <c r="C37" s="41">
        <f t="shared" ref="C37:Q37" si="3">STDEV(C9:C32)</f>
        <v>2.0939598694298405</v>
      </c>
      <c r="D37" s="41">
        <f t="shared" si="3"/>
        <v>3.3214098793970965</v>
      </c>
      <c r="E37" s="41">
        <f t="shared" si="3"/>
        <v>0.68006699904377654</v>
      </c>
      <c r="F37" s="41">
        <f t="shared" si="3"/>
        <v>1.8960047621171772</v>
      </c>
      <c r="G37" s="41">
        <f t="shared" si="3"/>
        <v>7.4742169382872268</v>
      </c>
      <c r="H37" s="41">
        <f t="shared" si="3"/>
        <v>1.8668037766674122</v>
      </c>
      <c r="I37" s="41">
        <f t="shared" si="3"/>
        <v>0.34927564796428756</v>
      </c>
      <c r="J37" s="41">
        <f t="shared" si="3"/>
        <v>0.33437780203349937</v>
      </c>
      <c r="K37" s="41">
        <f t="shared" si="3"/>
        <v>25.938968247250319</v>
      </c>
      <c r="L37" s="41">
        <f t="shared" si="3"/>
        <v>2.1765835065233738</v>
      </c>
      <c r="M37" s="41">
        <f t="shared" si="3"/>
        <v>9.4405254628381279</v>
      </c>
      <c r="N37" s="41">
        <f t="shared" si="3"/>
        <v>206.76506867260829</v>
      </c>
      <c r="O37" s="41">
        <f t="shared" si="3"/>
        <v>0.82198064083836153</v>
      </c>
      <c r="P37" s="41">
        <f t="shared" si="3"/>
        <v>5.8926077492869405E-2</v>
      </c>
      <c r="Q37" s="41">
        <f t="shared" si="3"/>
        <v>0.20391636535101648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179</v>
      </c>
      <c r="B9" s="52">
        <v>17.420000000000002</v>
      </c>
      <c r="C9" s="52">
        <v>21.84</v>
      </c>
      <c r="D9" s="52">
        <v>24.34</v>
      </c>
      <c r="E9" s="52">
        <v>7.08</v>
      </c>
      <c r="F9" s="52">
        <v>4.17</v>
      </c>
      <c r="G9" s="52">
        <v>21.02</v>
      </c>
      <c r="H9" s="52">
        <v>9.25</v>
      </c>
      <c r="I9" s="52">
        <v>4</v>
      </c>
      <c r="J9" s="52">
        <v>0.53</v>
      </c>
      <c r="K9" s="52">
        <v>262.68</v>
      </c>
      <c r="L9" s="52">
        <v>25.51</v>
      </c>
      <c r="M9" s="52">
        <v>99.02</v>
      </c>
      <c r="N9" s="52">
        <v>0</v>
      </c>
      <c r="O9" s="52">
        <v>0</v>
      </c>
      <c r="P9" s="52">
        <v>0.5</v>
      </c>
      <c r="Q9" s="52">
        <v>3.74</v>
      </c>
    </row>
    <row r="10" spans="1:21" customFormat="1">
      <c r="A10" s="51" t="s">
        <v>180</v>
      </c>
      <c r="B10" s="52">
        <v>17.61</v>
      </c>
      <c r="C10" s="52">
        <v>22.1</v>
      </c>
      <c r="D10" s="52">
        <v>24.58</v>
      </c>
      <c r="E10" s="52">
        <v>7.44</v>
      </c>
      <c r="F10" s="52">
        <v>3.07</v>
      </c>
      <c r="G10" s="52">
        <v>17.95</v>
      </c>
      <c r="H10" s="52">
        <v>9.25</v>
      </c>
      <c r="I10" s="52">
        <v>3.9</v>
      </c>
      <c r="J10" s="52">
        <v>0.66</v>
      </c>
      <c r="K10" s="52">
        <v>263.99</v>
      </c>
      <c r="L10" s="52">
        <v>25.74</v>
      </c>
      <c r="M10" s="52">
        <v>98.26</v>
      </c>
      <c r="N10" s="52">
        <v>0</v>
      </c>
      <c r="O10" s="52">
        <v>0</v>
      </c>
      <c r="P10" s="52">
        <v>0.5</v>
      </c>
      <c r="Q10" s="52">
        <v>3.74</v>
      </c>
    </row>
    <row r="11" spans="1:21" customFormat="1">
      <c r="A11" s="51" t="s">
        <v>181</v>
      </c>
      <c r="B11" s="52">
        <v>16.579999999999998</v>
      </c>
      <c r="C11" s="52">
        <v>21.51</v>
      </c>
      <c r="D11" s="52">
        <v>23.49</v>
      </c>
      <c r="E11" s="52">
        <v>6.88</v>
      </c>
      <c r="F11" s="52">
        <v>3.77</v>
      </c>
      <c r="G11" s="52">
        <v>15.01</v>
      </c>
      <c r="H11" s="52">
        <v>6.69</v>
      </c>
      <c r="I11" s="52">
        <v>3.77</v>
      </c>
      <c r="J11" s="52">
        <v>0.63</v>
      </c>
      <c r="K11" s="52">
        <v>265.13</v>
      </c>
      <c r="L11" s="52">
        <v>25.67</v>
      </c>
      <c r="M11" s="52">
        <v>93.45</v>
      </c>
      <c r="N11" s="52">
        <v>0</v>
      </c>
      <c r="O11" s="52">
        <v>0</v>
      </c>
      <c r="P11" s="52">
        <v>0.49</v>
      </c>
      <c r="Q11" s="52">
        <v>3.65</v>
      </c>
    </row>
    <row r="12" spans="1:21" customFormat="1">
      <c r="A12" s="51" t="s">
        <v>182</v>
      </c>
      <c r="B12" s="52">
        <v>16.3</v>
      </c>
      <c r="C12" s="52">
        <v>21.66</v>
      </c>
      <c r="D12" s="52">
        <v>23.13</v>
      </c>
      <c r="E12" s="52">
        <v>7.63</v>
      </c>
      <c r="F12" s="52">
        <v>3.01</v>
      </c>
      <c r="G12" s="52">
        <v>14.05</v>
      </c>
      <c r="H12" s="52">
        <v>4.8600000000000003</v>
      </c>
      <c r="I12" s="52">
        <v>3.43</v>
      </c>
      <c r="J12" s="52">
        <v>0.9</v>
      </c>
      <c r="K12" s="52">
        <v>268.35000000000002</v>
      </c>
      <c r="L12" s="52">
        <v>25.78</v>
      </c>
      <c r="M12" s="52">
        <v>92.09</v>
      </c>
      <c r="N12" s="52">
        <v>0</v>
      </c>
      <c r="O12" s="52">
        <v>0</v>
      </c>
      <c r="P12" s="52">
        <v>0.45</v>
      </c>
      <c r="Q12" s="52">
        <v>3.62</v>
      </c>
    </row>
    <row r="13" spans="1:21" customFormat="1">
      <c r="A13" s="51" t="s">
        <v>183</v>
      </c>
      <c r="B13" s="52">
        <v>16.39</v>
      </c>
      <c r="C13" s="52">
        <v>21.53</v>
      </c>
      <c r="D13" s="52">
        <v>23.02</v>
      </c>
      <c r="E13" s="52">
        <v>8.2899999999999991</v>
      </c>
      <c r="F13" s="52">
        <v>2.93</v>
      </c>
      <c r="G13" s="52">
        <v>13.13</v>
      </c>
      <c r="H13" s="52">
        <v>3.77</v>
      </c>
      <c r="I13" s="52">
        <v>3.37</v>
      </c>
      <c r="J13" s="52">
        <v>1.05</v>
      </c>
      <c r="K13" s="52">
        <v>265.54000000000002</v>
      </c>
      <c r="L13" s="52">
        <v>25.87</v>
      </c>
      <c r="M13" s="52">
        <v>89.48</v>
      </c>
      <c r="N13" s="52">
        <v>0</v>
      </c>
      <c r="O13" s="52">
        <v>0</v>
      </c>
      <c r="P13" s="52">
        <v>0.46</v>
      </c>
      <c r="Q13" s="52">
        <v>3.59</v>
      </c>
    </row>
    <row r="14" spans="1:21" customFormat="1">
      <c r="A14" s="51" t="s">
        <v>184</v>
      </c>
      <c r="B14" s="52">
        <v>16.2</v>
      </c>
      <c r="C14" s="52">
        <v>21.04</v>
      </c>
      <c r="D14" s="52">
        <v>22.94</v>
      </c>
      <c r="E14" s="52">
        <v>8.2799999999999994</v>
      </c>
      <c r="F14" s="52">
        <v>3.29</v>
      </c>
      <c r="G14" s="52">
        <v>13.13</v>
      </c>
      <c r="H14" s="52">
        <v>3.31</v>
      </c>
      <c r="I14" s="52">
        <v>3.5</v>
      </c>
      <c r="J14" s="52">
        <v>0.8</v>
      </c>
      <c r="K14" s="52">
        <v>265.44</v>
      </c>
      <c r="L14" s="52">
        <v>25.79</v>
      </c>
      <c r="M14" s="52">
        <v>90.21</v>
      </c>
      <c r="N14" s="52">
        <v>0.5</v>
      </c>
      <c r="O14" s="52">
        <v>0</v>
      </c>
      <c r="P14" s="52">
        <v>0.46</v>
      </c>
      <c r="Q14" s="52">
        <v>3.58</v>
      </c>
    </row>
    <row r="15" spans="1:21" customFormat="1">
      <c r="A15" s="51" t="s">
        <v>185</v>
      </c>
      <c r="B15" s="52">
        <v>16.32</v>
      </c>
      <c r="C15" s="52">
        <v>20.87</v>
      </c>
      <c r="D15" s="52">
        <v>22.94</v>
      </c>
      <c r="E15" s="52">
        <v>8.35</v>
      </c>
      <c r="F15" s="52">
        <v>3.15</v>
      </c>
      <c r="G15" s="52">
        <v>12.2</v>
      </c>
      <c r="H15" s="52">
        <v>2.95</v>
      </c>
      <c r="I15" s="52">
        <v>3.43</v>
      </c>
      <c r="J15" s="52">
        <v>0.73</v>
      </c>
      <c r="K15" s="52">
        <v>266.92</v>
      </c>
      <c r="L15" s="52">
        <v>25.94</v>
      </c>
      <c r="M15" s="52">
        <v>90.58</v>
      </c>
      <c r="N15" s="52">
        <v>51.7</v>
      </c>
      <c r="O15" s="52">
        <v>0</v>
      </c>
      <c r="P15" s="52">
        <v>0.46</v>
      </c>
      <c r="Q15" s="52">
        <v>3.57</v>
      </c>
    </row>
    <row r="16" spans="1:21" customFormat="1">
      <c r="A16" s="51" t="s">
        <v>186</v>
      </c>
      <c r="B16" s="52">
        <v>15.2</v>
      </c>
      <c r="C16" s="52">
        <v>22.13</v>
      </c>
      <c r="D16" s="52">
        <v>22.71</v>
      </c>
      <c r="E16" s="52">
        <v>7.83</v>
      </c>
      <c r="F16" s="52">
        <v>3.47</v>
      </c>
      <c r="G16" s="52">
        <v>8.8000000000000007</v>
      </c>
      <c r="H16" s="52">
        <v>2.95</v>
      </c>
      <c r="I16" s="52">
        <v>3.34</v>
      </c>
      <c r="J16" s="52">
        <v>0.84</v>
      </c>
      <c r="K16" s="52">
        <v>264.08999999999997</v>
      </c>
      <c r="L16" s="52">
        <v>26.33</v>
      </c>
      <c r="M16" s="52">
        <v>90.08</v>
      </c>
      <c r="N16" s="52">
        <v>106.9</v>
      </c>
      <c r="O16" s="52">
        <v>0</v>
      </c>
      <c r="P16" s="52">
        <v>0.48</v>
      </c>
      <c r="Q16" s="52">
        <v>3.47</v>
      </c>
    </row>
    <row r="17" spans="1:17" customFormat="1">
      <c r="A17" s="51" t="s">
        <v>187</v>
      </c>
      <c r="B17" s="52">
        <v>14.71</v>
      </c>
      <c r="C17" s="52">
        <v>20.86</v>
      </c>
      <c r="D17" s="52">
        <v>21.65</v>
      </c>
      <c r="E17" s="52">
        <v>7.76</v>
      </c>
      <c r="F17" s="52">
        <v>3.27</v>
      </c>
      <c r="G17" s="52">
        <v>11.65</v>
      </c>
      <c r="H17" s="52">
        <v>2.21</v>
      </c>
      <c r="I17" s="52">
        <v>3.12</v>
      </c>
      <c r="J17" s="52">
        <v>1.01</v>
      </c>
      <c r="K17" s="52">
        <v>263.22000000000003</v>
      </c>
      <c r="L17" s="52">
        <v>26.88</v>
      </c>
      <c r="M17" s="52">
        <v>88.51</v>
      </c>
      <c r="N17" s="52">
        <v>212.1</v>
      </c>
      <c r="O17" s="52">
        <v>0</v>
      </c>
      <c r="P17" s="52">
        <v>0.43</v>
      </c>
      <c r="Q17" s="52">
        <v>3.45</v>
      </c>
    </row>
    <row r="18" spans="1:17" customFormat="1">
      <c r="A18" s="51" t="s">
        <v>188</v>
      </c>
      <c r="B18" s="52">
        <v>14.29</v>
      </c>
      <c r="C18" s="52">
        <v>21.1</v>
      </c>
      <c r="D18" s="52">
        <v>21.41</v>
      </c>
      <c r="E18" s="52">
        <v>8.0399999999999991</v>
      </c>
      <c r="F18" s="52">
        <v>3.19</v>
      </c>
      <c r="G18" s="52">
        <v>12.47</v>
      </c>
      <c r="H18" s="52">
        <v>4.79</v>
      </c>
      <c r="I18" s="52">
        <v>3.11</v>
      </c>
      <c r="J18" s="52">
        <v>1.18</v>
      </c>
      <c r="K18" s="52">
        <v>272.54000000000002</v>
      </c>
      <c r="L18" s="52">
        <v>27.61</v>
      </c>
      <c r="M18" s="52">
        <v>84.18</v>
      </c>
      <c r="N18" s="52">
        <v>248.1</v>
      </c>
      <c r="O18" s="52">
        <v>0</v>
      </c>
      <c r="P18" s="52">
        <v>0.43</v>
      </c>
      <c r="Q18" s="52">
        <v>3.42</v>
      </c>
    </row>
    <row r="19" spans="1:17" customFormat="1">
      <c r="A19" s="51" t="s">
        <v>189</v>
      </c>
      <c r="B19" s="52">
        <v>13.85</v>
      </c>
      <c r="C19" s="52">
        <v>21.24</v>
      </c>
      <c r="D19" s="52">
        <v>21.05</v>
      </c>
      <c r="E19" s="52">
        <v>8.73</v>
      </c>
      <c r="F19" s="52">
        <v>3.67</v>
      </c>
      <c r="G19" s="52">
        <v>17.78</v>
      </c>
      <c r="H19" s="52">
        <v>7.23</v>
      </c>
      <c r="I19" s="52">
        <v>3.34</v>
      </c>
      <c r="J19" s="52">
        <v>1.1200000000000001</v>
      </c>
      <c r="K19" s="52">
        <v>268.82</v>
      </c>
      <c r="L19" s="52">
        <v>27.46</v>
      </c>
      <c r="M19" s="52">
        <v>83.54</v>
      </c>
      <c r="N19" s="52">
        <v>178.5</v>
      </c>
      <c r="O19" s="52">
        <v>0</v>
      </c>
      <c r="P19" s="52">
        <v>0.45</v>
      </c>
      <c r="Q19" s="52">
        <v>3.38</v>
      </c>
    </row>
    <row r="20" spans="1:17" customFormat="1">
      <c r="A20" s="51" t="s">
        <v>190</v>
      </c>
      <c r="B20" s="52">
        <v>12.93</v>
      </c>
      <c r="C20" s="52">
        <v>21.05</v>
      </c>
      <c r="D20" s="52">
        <v>20.010000000000002</v>
      </c>
      <c r="E20" s="52">
        <v>9.0399999999999991</v>
      </c>
      <c r="F20" s="52">
        <v>3.8</v>
      </c>
      <c r="G20" s="52">
        <v>22.28</v>
      </c>
      <c r="H20" s="52">
        <v>7.23</v>
      </c>
      <c r="I20" s="52">
        <v>3.31</v>
      </c>
      <c r="J20" s="52">
        <v>1.18</v>
      </c>
      <c r="K20" s="52">
        <v>271.79000000000002</v>
      </c>
      <c r="L20" s="52">
        <v>29.27</v>
      </c>
      <c r="M20" s="52">
        <v>81.349999999999994</v>
      </c>
      <c r="N20" s="52">
        <v>571.9</v>
      </c>
      <c r="O20" s="52">
        <v>0</v>
      </c>
      <c r="P20" s="52">
        <v>0.49</v>
      </c>
      <c r="Q20" s="52">
        <v>3.31</v>
      </c>
    </row>
    <row r="21" spans="1:17" customFormat="1">
      <c r="A21" s="51" t="s">
        <v>191</v>
      </c>
      <c r="B21" s="52">
        <v>11.53</v>
      </c>
      <c r="C21" s="52">
        <v>22.97</v>
      </c>
      <c r="D21" s="52">
        <v>19.52</v>
      </c>
      <c r="E21" s="52">
        <v>8.68</v>
      </c>
      <c r="F21" s="52">
        <v>5.58</v>
      </c>
      <c r="G21" s="52">
        <v>24.74</v>
      </c>
      <c r="H21" s="52">
        <v>6.94</v>
      </c>
      <c r="I21" s="52">
        <v>3.45</v>
      </c>
      <c r="J21" s="52">
        <v>0.99</v>
      </c>
      <c r="K21" s="52">
        <v>283.29000000000002</v>
      </c>
      <c r="L21" s="52">
        <v>29.5</v>
      </c>
      <c r="M21" s="52">
        <v>77.58</v>
      </c>
      <c r="N21" s="52">
        <v>529</v>
      </c>
      <c r="O21" s="52">
        <v>0</v>
      </c>
      <c r="P21" s="52">
        <v>0.53</v>
      </c>
      <c r="Q21" s="52">
        <v>3.21</v>
      </c>
    </row>
    <row r="22" spans="1:17" customFormat="1">
      <c r="A22" s="51" t="s">
        <v>192</v>
      </c>
      <c r="B22" s="52">
        <v>9.67</v>
      </c>
      <c r="C22" s="52">
        <v>21.22</v>
      </c>
      <c r="D22" s="52">
        <v>17.12</v>
      </c>
      <c r="E22" s="52">
        <v>7.83</v>
      </c>
      <c r="F22" s="52">
        <v>4.5</v>
      </c>
      <c r="G22" s="52">
        <v>25.49</v>
      </c>
      <c r="H22" s="52">
        <v>9.2799999999999994</v>
      </c>
      <c r="I22" s="52">
        <v>3.29</v>
      </c>
      <c r="J22" s="52">
        <v>1.1100000000000001</v>
      </c>
      <c r="K22" s="52">
        <v>271.73</v>
      </c>
      <c r="L22" s="52">
        <v>30.14</v>
      </c>
      <c r="M22" s="52">
        <v>76.89</v>
      </c>
      <c r="N22" s="52">
        <v>543.6</v>
      </c>
      <c r="O22" s="52">
        <v>0</v>
      </c>
      <c r="P22" s="52">
        <v>0.46</v>
      </c>
      <c r="Q22" s="52">
        <v>3.13</v>
      </c>
    </row>
    <row r="23" spans="1:17" customFormat="1">
      <c r="A23" s="51" t="s">
        <v>193</v>
      </c>
      <c r="B23" s="52">
        <v>8.68</v>
      </c>
      <c r="C23" s="52">
        <v>20.83</v>
      </c>
      <c r="D23" s="52">
        <v>16.8</v>
      </c>
      <c r="E23" s="52">
        <v>8.25</v>
      </c>
      <c r="F23" s="52">
        <v>4.8099999999999996</v>
      </c>
      <c r="G23" s="52">
        <v>25.49</v>
      </c>
      <c r="H23" s="52">
        <v>9.2799999999999994</v>
      </c>
      <c r="I23" s="52">
        <v>3.39</v>
      </c>
      <c r="J23" s="52">
        <v>1.08</v>
      </c>
      <c r="K23" s="52">
        <v>267.89999999999998</v>
      </c>
      <c r="L23" s="52">
        <v>30.17</v>
      </c>
      <c r="M23" s="52">
        <v>76.16</v>
      </c>
      <c r="N23" s="52">
        <v>466.9</v>
      </c>
      <c r="O23" s="52">
        <v>0</v>
      </c>
      <c r="P23" s="52">
        <v>0.37</v>
      </c>
      <c r="Q23" s="52">
        <v>3.09</v>
      </c>
    </row>
    <row r="24" spans="1:17" customFormat="1">
      <c r="A24" s="51" t="s">
        <v>194</v>
      </c>
      <c r="B24" s="52">
        <v>7.45</v>
      </c>
      <c r="C24" s="52">
        <v>18.989999999999998</v>
      </c>
      <c r="D24" s="52">
        <v>14.85</v>
      </c>
      <c r="E24" s="52">
        <v>7.95</v>
      </c>
      <c r="F24" s="52">
        <v>5.37</v>
      </c>
      <c r="G24" s="52">
        <v>27.5</v>
      </c>
      <c r="H24" s="52">
        <v>8.4</v>
      </c>
      <c r="I24" s="52">
        <v>3.34</v>
      </c>
      <c r="J24" s="52">
        <v>1.02</v>
      </c>
      <c r="K24" s="52">
        <v>282.08</v>
      </c>
      <c r="L24" s="52">
        <v>29.99</v>
      </c>
      <c r="M24" s="52">
        <v>75.19</v>
      </c>
      <c r="N24" s="52">
        <v>310.2</v>
      </c>
      <c r="O24" s="52">
        <v>0</v>
      </c>
      <c r="P24" s="52">
        <v>0.36</v>
      </c>
      <c r="Q24" s="52">
        <v>2.97</v>
      </c>
    </row>
    <row r="25" spans="1:17" customFormat="1">
      <c r="A25" s="51" t="s">
        <v>195</v>
      </c>
      <c r="B25" s="52">
        <v>7.29</v>
      </c>
      <c r="C25" s="52">
        <v>20.48</v>
      </c>
      <c r="D25" s="52">
        <v>15.5</v>
      </c>
      <c r="E25" s="52">
        <v>8.82</v>
      </c>
      <c r="F25" s="52">
        <v>7.16</v>
      </c>
      <c r="G25" s="52">
        <v>28.29</v>
      </c>
      <c r="H25" s="52">
        <v>10.53</v>
      </c>
      <c r="I25" s="52">
        <v>3.48</v>
      </c>
      <c r="J25" s="52">
        <v>0.94</v>
      </c>
      <c r="K25" s="52">
        <v>270.89</v>
      </c>
      <c r="L25" s="52">
        <v>30.33</v>
      </c>
      <c r="M25" s="52">
        <v>76.349999999999994</v>
      </c>
      <c r="N25" s="52">
        <v>182.4</v>
      </c>
      <c r="O25" s="52">
        <v>0</v>
      </c>
      <c r="P25" s="52">
        <v>0.39</v>
      </c>
      <c r="Q25" s="52">
        <v>3</v>
      </c>
    </row>
    <row r="26" spans="1:17" customFormat="1">
      <c r="A26" s="51" t="s">
        <v>196</v>
      </c>
      <c r="B26" s="52">
        <v>7.1</v>
      </c>
      <c r="C26" s="52">
        <v>20.68</v>
      </c>
      <c r="D26" s="52">
        <v>15.07</v>
      </c>
      <c r="E26" s="52">
        <v>7.8</v>
      </c>
      <c r="F26" s="52">
        <v>10.3</v>
      </c>
      <c r="G26" s="52">
        <v>28.29</v>
      </c>
      <c r="H26" s="52">
        <v>10.53</v>
      </c>
      <c r="I26" s="52">
        <v>3.5</v>
      </c>
      <c r="J26" s="52">
        <v>0.82</v>
      </c>
      <c r="K26" s="52">
        <v>268.05</v>
      </c>
      <c r="L26" s="52">
        <v>29.71</v>
      </c>
      <c r="M26" s="52">
        <v>77.94</v>
      </c>
      <c r="N26" s="52">
        <v>77.400000000000006</v>
      </c>
      <c r="O26" s="52">
        <v>0</v>
      </c>
      <c r="P26" s="52">
        <v>0.41</v>
      </c>
      <c r="Q26" s="52">
        <v>2.93</v>
      </c>
    </row>
    <row r="27" spans="1:17" customFormat="1">
      <c r="A27" s="51" t="s">
        <v>197</v>
      </c>
      <c r="B27" s="52">
        <v>5.73</v>
      </c>
      <c r="C27" s="52">
        <v>16.13</v>
      </c>
      <c r="D27" s="52">
        <v>11.84</v>
      </c>
      <c r="E27" s="52">
        <v>7.34</v>
      </c>
      <c r="F27" s="52">
        <v>8.39</v>
      </c>
      <c r="G27" s="52">
        <v>25.67</v>
      </c>
      <c r="H27" s="52">
        <v>7.71</v>
      </c>
      <c r="I27" s="52">
        <v>3.06</v>
      </c>
      <c r="J27" s="52">
        <v>0.48</v>
      </c>
      <c r="K27" s="52">
        <v>349.02</v>
      </c>
      <c r="L27" s="52">
        <v>28.58</v>
      </c>
      <c r="M27" s="52">
        <v>92.2</v>
      </c>
      <c r="N27" s="52">
        <v>0.6</v>
      </c>
      <c r="O27" s="52">
        <v>0.4</v>
      </c>
      <c r="P27" s="52">
        <v>0.32</v>
      </c>
      <c r="Q27" s="52">
        <v>2.91</v>
      </c>
    </row>
    <row r="28" spans="1:17" customFormat="1">
      <c r="A28" s="51" t="s">
        <v>198</v>
      </c>
      <c r="B28" s="52">
        <v>7.93</v>
      </c>
      <c r="C28" s="52">
        <v>21.83</v>
      </c>
      <c r="D28" s="52">
        <v>16.72</v>
      </c>
      <c r="E28" s="52">
        <v>8.16</v>
      </c>
      <c r="F28" s="52">
        <v>4.41</v>
      </c>
      <c r="G28" s="52">
        <v>23.67</v>
      </c>
      <c r="H28" s="52">
        <v>5.67</v>
      </c>
      <c r="I28" s="52">
        <v>3.26</v>
      </c>
      <c r="J28" s="52">
        <v>0.97</v>
      </c>
      <c r="K28" s="52">
        <v>318.01</v>
      </c>
      <c r="L28" s="52">
        <v>25.53</v>
      </c>
      <c r="M28" s="52">
        <v>98.01</v>
      </c>
      <c r="N28" s="52">
        <v>0</v>
      </c>
      <c r="O28" s="52">
        <v>4.2</v>
      </c>
      <c r="P28" s="52">
        <v>0.39</v>
      </c>
      <c r="Q28" s="52">
        <v>3.03</v>
      </c>
    </row>
    <row r="29" spans="1:17" customFormat="1">
      <c r="A29" s="51" t="s">
        <v>199</v>
      </c>
      <c r="B29" s="52">
        <v>9.42</v>
      </c>
      <c r="C29" s="52">
        <v>22.39</v>
      </c>
      <c r="D29" s="52">
        <v>18.14</v>
      </c>
      <c r="E29" s="52">
        <v>8.1</v>
      </c>
      <c r="F29" s="52">
        <v>3.22</v>
      </c>
      <c r="G29" s="52">
        <v>22.16</v>
      </c>
      <c r="H29" s="52">
        <v>6.84</v>
      </c>
      <c r="I29" s="52">
        <v>3.37</v>
      </c>
      <c r="J29" s="52">
        <v>0.59</v>
      </c>
      <c r="K29" s="52">
        <v>276.26</v>
      </c>
      <c r="L29" s="52">
        <v>25.49</v>
      </c>
      <c r="M29" s="52">
        <v>98.45</v>
      </c>
      <c r="N29" s="52">
        <v>0</v>
      </c>
      <c r="O29" s="52">
        <v>0</v>
      </c>
      <c r="P29" s="52">
        <v>0.41</v>
      </c>
      <c r="Q29" s="52">
        <v>3.12</v>
      </c>
    </row>
    <row r="30" spans="1:17" customFormat="1">
      <c r="A30" s="51" t="s">
        <v>200</v>
      </c>
      <c r="B30" s="52">
        <v>10.01</v>
      </c>
      <c r="C30" s="52">
        <v>22.23</v>
      </c>
      <c r="D30" s="52">
        <v>18.52</v>
      </c>
      <c r="E30" s="52">
        <v>8.34</v>
      </c>
      <c r="F30" s="52">
        <v>5.01</v>
      </c>
      <c r="G30" s="52">
        <v>18.559999999999999</v>
      </c>
      <c r="H30" s="52">
        <v>6.84</v>
      </c>
      <c r="I30" s="52">
        <v>3.61</v>
      </c>
      <c r="J30" s="52">
        <v>0.72</v>
      </c>
      <c r="K30" s="52">
        <v>264.18</v>
      </c>
      <c r="L30" s="52">
        <v>25.69</v>
      </c>
      <c r="M30" s="52">
        <v>98.5</v>
      </c>
      <c r="N30" s="52">
        <v>0</v>
      </c>
      <c r="O30" s="52">
        <v>0</v>
      </c>
      <c r="P30" s="52">
        <v>0.42</v>
      </c>
      <c r="Q30" s="52">
        <v>3.14</v>
      </c>
    </row>
    <row r="31" spans="1:17" customFormat="1">
      <c r="A31" s="51" t="s">
        <v>201</v>
      </c>
      <c r="B31" s="52">
        <v>10.14</v>
      </c>
      <c r="C31" s="52">
        <v>24.48</v>
      </c>
      <c r="D31" s="52">
        <v>19.239999999999998</v>
      </c>
      <c r="E31" s="52">
        <v>8.84</v>
      </c>
      <c r="F31" s="52">
        <v>3.36</v>
      </c>
      <c r="G31" s="52">
        <v>17.2</v>
      </c>
      <c r="H31" s="52">
        <v>6.63</v>
      </c>
      <c r="I31" s="52">
        <v>3.53</v>
      </c>
      <c r="J31" s="52">
        <v>0.85</v>
      </c>
      <c r="K31" s="52">
        <v>265.18</v>
      </c>
      <c r="L31" s="52">
        <v>25.77</v>
      </c>
      <c r="M31" s="52">
        <v>91.56</v>
      </c>
      <c r="N31" s="52">
        <v>0</v>
      </c>
      <c r="O31" s="52">
        <v>0</v>
      </c>
      <c r="P31" s="52">
        <v>0.45</v>
      </c>
      <c r="Q31" s="52">
        <v>3.16</v>
      </c>
    </row>
    <row r="32" spans="1:17" customFormat="1">
      <c r="A32" s="51" t="s">
        <v>202</v>
      </c>
      <c r="B32" s="52">
        <v>9.73</v>
      </c>
      <c r="C32" s="52">
        <v>22.38</v>
      </c>
      <c r="D32" s="52">
        <v>18.45</v>
      </c>
      <c r="E32" s="52">
        <v>8.31</v>
      </c>
      <c r="F32" s="52">
        <v>4.0199999999999996</v>
      </c>
      <c r="G32" s="52">
        <v>15.07</v>
      </c>
      <c r="H32" s="52">
        <v>6.37</v>
      </c>
      <c r="I32" s="52">
        <v>3.43</v>
      </c>
      <c r="J32" s="52">
        <v>0.69</v>
      </c>
      <c r="K32" s="52">
        <v>267.12</v>
      </c>
      <c r="L32" s="52">
        <v>25.9</v>
      </c>
      <c r="M32" s="52">
        <v>91.39</v>
      </c>
      <c r="N32" s="52">
        <v>0</v>
      </c>
      <c r="O32" s="52">
        <v>0</v>
      </c>
      <c r="P32" s="52">
        <v>0.38</v>
      </c>
      <c r="Q32" s="52">
        <v>3.15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5.73</v>
      </c>
      <c r="C34" s="41">
        <f t="shared" si="0"/>
        <v>16.13</v>
      </c>
      <c r="D34" s="41">
        <f t="shared" si="0"/>
        <v>11.84</v>
      </c>
      <c r="E34" s="41">
        <f t="shared" si="0"/>
        <v>6.88</v>
      </c>
      <c r="F34" s="41">
        <f t="shared" si="0"/>
        <v>2.93</v>
      </c>
      <c r="G34" s="41">
        <f t="shared" si="0"/>
        <v>8.8000000000000007</v>
      </c>
      <c r="H34" s="41">
        <f t="shared" si="0"/>
        <v>2.21</v>
      </c>
      <c r="I34" s="41">
        <f t="shared" si="0"/>
        <v>3.06</v>
      </c>
      <c r="J34" s="41">
        <f t="shared" si="0"/>
        <v>0.48</v>
      </c>
      <c r="K34" s="41">
        <f t="shared" si="0"/>
        <v>262.68</v>
      </c>
      <c r="L34" s="41">
        <f t="shared" si="0"/>
        <v>25.49</v>
      </c>
      <c r="M34" s="41">
        <f t="shared" si="0"/>
        <v>75.19</v>
      </c>
      <c r="N34" s="41">
        <f t="shared" si="0"/>
        <v>0</v>
      </c>
      <c r="O34" s="41">
        <f t="shared" si="0"/>
        <v>0</v>
      </c>
      <c r="P34" s="41">
        <f t="shared" si="0"/>
        <v>0.32</v>
      </c>
      <c r="Q34" s="41">
        <f t="shared" si="0"/>
        <v>2.91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17.61</v>
      </c>
      <c r="C35" s="33">
        <f t="shared" si="1"/>
        <v>24.48</v>
      </c>
      <c r="D35" s="33">
        <f t="shared" si="1"/>
        <v>24.58</v>
      </c>
      <c r="E35" s="33">
        <f t="shared" si="1"/>
        <v>9.0399999999999991</v>
      </c>
      <c r="F35" s="33">
        <f t="shared" si="1"/>
        <v>10.3</v>
      </c>
      <c r="G35" s="33">
        <f t="shared" si="1"/>
        <v>28.29</v>
      </c>
      <c r="H35" s="33">
        <f t="shared" si="1"/>
        <v>10.53</v>
      </c>
      <c r="I35" s="33">
        <f t="shared" si="1"/>
        <v>4</v>
      </c>
      <c r="J35" s="33">
        <f t="shared" si="1"/>
        <v>1.18</v>
      </c>
      <c r="K35" s="33">
        <f t="shared" si="1"/>
        <v>349.02</v>
      </c>
      <c r="L35" s="33">
        <f t="shared" si="1"/>
        <v>30.33</v>
      </c>
      <c r="M35" s="33">
        <f t="shared" si="1"/>
        <v>99.02</v>
      </c>
      <c r="N35" s="33">
        <f t="shared" si="1"/>
        <v>571.9</v>
      </c>
      <c r="O35" s="33">
        <f t="shared" si="1"/>
        <v>4.2</v>
      </c>
      <c r="P35" s="33">
        <f t="shared" si="1"/>
        <v>0.53</v>
      </c>
      <c r="Q35" s="33">
        <f t="shared" si="1"/>
        <v>3.74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12.186666666666666</v>
      </c>
      <c r="C36" s="41">
        <f t="shared" si="2"/>
        <v>21.314166666666669</v>
      </c>
      <c r="D36" s="41">
        <f t="shared" si="2"/>
        <v>19.71</v>
      </c>
      <c r="E36" s="41">
        <f t="shared" si="2"/>
        <v>8.0737500000000004</v>
      </c>
      <c r="F36" s="41">
        <f t="shared" si="2"/>
        <v>4.4549999999999992</v>
      </c>
      <c r="G36" s="41">
        <f t="shared" si="2"/>
        <v>19.233333333333338</v>
      </c>
      <c r="H36" s="41">
        <f t="shared" si="2"/>
        <v>6.6462500000000011</v>
      </c>
      <c r="I36" s="41">
        <f t="shared" si="2"/>
        <v>3.4304166666666673</v>
      </c>
      <c r="J36" s="41">
        <f t="shared" si="2"/>
        <v>0.87041666666666651</v>
      </c>
      <c r="K36" s="41">
        <f t="shared" si="2"/>
        <v>274.25916666666677</v>
      </c>
      <c r="L36" s="41">
        <f t="shared" si="2"/>
        <v>27.277083333333334</v>
      </c>
      <c r="M36" s="41">
        <f t="shared" si="2"/>
        <v>87.957083333333344</v>
      </c>
      <c r="N36" s="41">
        <f t="shared" si="2"/>
        <v>144.99166666666667</v>
      </c>
      <c r="O36" s="41">
        <f t="shared" si="2"/>
        <v>0.19166666666666668</v>
      </c>
      <c r="P36" s="41">
        <f t="shared" si="2"/>
        <v>0.43708333333333332</v>
      </c>
      <c r="Q36" s="41">
        <f t="shared" si="2"/>
        <v>3.306666666666668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3.8495868402439988</v>
      </c>
      <c r="C37" s="41">
        <f t="shared" ref="C37:Q37" si="3">STDEV(C9:C32)</f>
        <v>1.5057164022676781</v>
      </c>
      <c r="D37" s="41">
        <f t="shared" si="3"/>
        <v>3.4587746007987192</v>
      </c>
      <c r="E37" s="41">
        <f t="shared" si="3"/>
        <v>0.55425478758888946</v>
      </c>
      <c r="F37" s="41">
        <f t="shared" si="3"/>
        <v>1.834241935585619</v>
      </c>
      <c r="G37" s="41">
        <f t="shared" si="3"/>
        <v>6.0058331548635051</v>
      </c>
      <c r="H37" s="41">
        <f t="shared" si="3"/>
        <v>2.438152922585664</v>
      </c>
      <c r="I37" s="41">
        <f t="shared" si="3"/>
        <v>0.22340213627614744</v>
      </c>
      <c r="J37" s="41">
        <f t="shared" si="3"/>
        <v>0.20768871285959559</v>
      </c>
      <c r="K37" s="41">
        <f t="shared" si="3"/>
        <v>19.572764332692998</v>
      </c>
      <c r="L37" s="41">
        <f t="shared" si="3"/>
        <v>1.8672800008165114</v>
      </c>
      <c r="M37" s="41">
        <f t="shared" si="3"/>
        <v>8.0886202828237099</v>
      </c>
      <c r="N37" s="41">
        <f t="shared" si="3"/>
        <v>198.2371349335605</v>
      </c>
      <c r="O37" s="41">
        <f t="shared" si="3"/>
        <v>0.85765943715727133</v>
      </c>
      <c r="P37" s="41">
        <f t="shared" si="3"/>
        <v>5.120115204772719E-2</v>
      </c>
      <c r="Q37" s="41">
        <f t="shared" si="3"/>
        <v>0.2687113639231537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1" activePane="bottomRight" state="frozen"/>
      <selection activeCell="G19" sqref="G19"/>
      <selection pane="topRight" activeCell="G19" sqref="G19"/>
      <selection pane="bottomLeft" activeCell="G19" sqref="G19"/>
      <selection pane="bottomRight" activeCell="Q30" sqref="Q30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203</v>
      </c>
      <c r="B9" s="52">
        <v>12.03</v>
      </c>
      <c r="C9" s="52">
        <v>21.95</v>
      </c>
      <c r="D9" s="52">
        <v>19.78</v>
      </c>
      <c r="E9" s="52">
        <v>8.68</v>
      </c>
      <c r="F9" s="52">
        <v>3.89</v>
      </c>
      <c r="G9" s="52">
        <v>12.73</v>
      </c>
      <c r="H9" s="52">
        <v>4.57</v>
      </c>
      <c r="I9" s="52">
        <v>3.2</v>
      </c>
      <c r="J9" s="52">
        <v>0.76</v>
      </c>
      <c r="K9" s="52">
        <v>265.13</v>
      </c>
      <c r="L9" s="52">
        <v>25.89</v>
      </c>
      <c r="M9" s="52">
        <v>91.28</v>
      </c>
      <c r="N9" s="52">
        <v>0</v>
      </c>
      <c r="O9" s="52">
        <v>0</v>
      </c>
      <c r="P9" s="52">
        <v>0.37</v>
      </c>
      <c r="Q9" s="52">
        <v>3.15</v>
      </c>
    </row>
    <row r="10" spans="1:21" customFormat="1">
      <c r="A10" s="51" t="s">
        <v>204</v>
      </c>
      <c r="B10" s="52">
        <v>12.08</v>
      </c>
      <c r="C10" s="52">
        <v>21.66</v>
      </c>
      <c r="D10" s="52">
        <v>19.95</v>
      </c>
      <c r="E10" s="52">
        <v>8.4499999999999993</v>
      </c>
      <c r="F10" s="52">
        <v>3.56</v>
      </c>
      <c r="G10" s="52">
        <v>12.04</v>
      </c>
      <c r="H10" s="52">
        <v>3.4</v>
      </c>
      <c r="I10" s="52">
        <v>3.11</v>
      </c>
      <c r="J10" s="52">
        <v>0.85</v>
      </c>
      <c r="K10" s="52">
        <v>268.43</v>
      </c>
      <c r="L10" s="52">
        <v>25.67</v>
      </c>
      <c r="M10" s="52">
        <v>90.48</v>
      </c>
      <c r="N10" s="52">
        <v>0</v>
      </c>
      <c r="O10" s="52">
        <v>0</v>
      </c>
      <c r="P10" s="52">
        <v>0.36</v>
      </c>
      <c r="Q10" s="52">
        <v>3.16</v>
      </c>
    </row>
    <row r="11" spans="1:21" customFormat="1">
      <c r="A11" s="51" t="s">
        <v>205</v>
      </c>
      <c r="B11" s="52">
        <v>12.41</v>
      </c>
      <c r="C11" s="52">
        <v>21.54</v>
      </c>
      <c r="D11" s="52">
        <v>20.16</v>
      </c>
      <c r="E11" s="52">
        <v>7.88</v>
      </c>
      <c r="F11" s="52">
        <v>3.12</v>
      </c>
      <c r="G11" s="52">
        <v>9.74</v>
      </c>
      <c r="H11" s="52">
        <v>2.7</v>
      </c>
      <c r="I11" s="52">
        <v>2.96</v>
      </c>
      <c r="J11" s="52">
        <v>0.83</v>
      </c>
      <c r="K11" s="52">
        <v>266.45999999999998</v>
      </c>
      <c r="L11" s="52">
        <v>25.62</v>
      </c>
      <c r="M11" s="52">
        <v>89.13</v>
      </c>
      <c r="N11" s="52">
        <v>0</v>
      </c>
      <c r="O11" s="52">
        <v>0</v>
      </c>
      <c r="P11" s="52">
        <v>0.35</v>
      </c>
      <c r="Q11" s="52">
        <v>3.16</v>
      </c>
    </row>
    <row r="12" spans="1:21" customFormat="1">
      <c r="A12" s="51" t="s">
        <v>206</v>
      </c>
      <c r="B12" s="52">
        <v>13.07</v>
      </c>
      <c r="C12" s="52">
        <v>22.53</v>
      </c>
      <c r="D12" s="52">
        <v>20.88</v>
      </c>
      <c r="E12" s="52">
        <v>8.43</v>
      </c>
      <c r="F12" s="52">
        <v>2.76</v>
      </c>
      <c r="G12" s="52">
        <v>17.809999999999999</v>
      </c>
      <c r="H12" s="52">
        <v>2.1</v>
      </c>
      <c r="I12" s="52">
        <v>3.67</v>
      </c>
      <c r="J12" s="52">
        <v>0.87</v>
      </c>
      <c r="K12" s="52">
        <v>266.67</v>
      </c>
      <c r="L12" s="52">
        <v>25.65</v>
      </c>
      <c r="M12" s="52">
        <v>86.85</v>
      </c>
      <c r="N12" s="52">
        <v>0</v>
      </c>
      <c r="O12" s="52">
        <v>0</v>
      </c>
      <c r="P12" s="52">
        <v>0.47</v>
      </c>
      <c r="Q12" s="52">
        <v>3.18</v>
      </c>
    </row>
    <row r="13" spans="1:21" customFormat="1">
      <c r="A13" s="51" t="s">
        <v>207</v>
      </c>
      <c r="B13" s="52">
        <v>13.23</v>
      </c>
      <c r="C13" s="52">
        <v>23.06</v>
      </c>
      <c r="D13" s="52">
        <v>21.61</v>
      </c>
      <c r="E13" s="52">
        <v>7.38</v>
      </c>
      <c r="F13" s="52">
        <v>2.95</v>
      </c>
      <c r="G13" s="52">
        <v>18.37</v>
      </c>
      <c r="H13" s="52">
        <v>2.7</v>
      </c>
      <c r="I13" s="52">
        <v>4.0199999999999996</v>
      </c>
      <c r="J13" s="52">
        <v>0.9</v>
      </c>
      <c r="K13" s="52">
        <v>273.94</v>
      </c>
      <c r="L13" s="52">
        <v>25.57</v>
      </c>
      <c r="M13" s="52">
        <v>86.27</v>
      </c>
      <c r="N13" s="52">
        <v>0</v>
      </c>
      <c r="O13" s="52">
        <v>0</v>
      </c>
      <c r="P13" s="52">
        <v>0.46</v>
      </c>
      <c r="Q13" s="52">
        <v>3.23</v>
      </c>
    </row>
    <row r="14" spans="1:21" customFormat="1">
      <c r="A14" s="51" t="s">
        <v>208</v>
      </c>
      <c r="B14" s="52">
        <v>14.15</v>
      </c>
      <c r="C14" s="52">
        <v>22.46</v>
      </c>
      <c r="D14" s="52">
        <v>21.73</v>
      </c>
      <c r="E14" s="52">
        <v>7.86</v>
      </c>
      <c r="F14" s="52">
        <v>2.75</v>
      </c>
      <c r="G14" s="52">
        <v>20</v>
      </c>
      <c r="H14" s="52">
        <v>4.32</v>
      </c>
      <c r="I14" s="52">
        <v>4.04</v>
      </c>
      <c r="J14" s="52">
        <v>0.52</v>
      </c>
      <c r="K14" s="52">
        <v>265.91000000000003</v>
      </c>
      <c r="L14" s="52">
        <v>25.17</v>
      </c>
      <c r="M14" s="52">
        <v>89.93</v>
      </c>
      <c r="N14" s="52">
        <v>4.9000000000000004</v>
      </c>
      <c r="O14" s="52">
        <v>0</v>
      </c>
      <c r="P14" s="52">
        <v>0.45</v>
      </c>
      <c r="Q14" s="52">
        <v>3.3</v>
      </c>
    </row>
    <row r="15" spans="1:21" customFormat="1">
      <c r="A15" s="51" t="s">
        <v>209</v>
      </c>
      <c r="B15" s="52">
        <v>14.92</v>
      </c>
      <c r="C15" s="52">
        <v>22.71</v>
      </c>
      <c r="D15" s="52">
        <v>22.63</v>
      </c>
      <c r="E15" s="52">
        <v>8.24</v>
      </c>
      <c r="F15" s="52">
        <v>2.8</v>
      </c>
      <c r="G15" s="52">
        <v>20</v>
      </c>
      <c r="H15" s="52">
        <v>4.32</v>
      </c>
      <c r="I15" s="52">
        <v>4.09</v>
      </c>
      <c r="J15" s="52">
        <v>0.86</v>
      </c>
      <c r="K15" s="52">
        <v>267.41000000000003</v>
      </c>
      <c r="L15" s="52">
        <v>25.73</v>
      </c>
      <c r="M15" s="52">
        <v>90.31</v>
      </c>
      <c r="N15" s="52">
        <v>66.599999999999994</v>
      </c>
      <c r="O15" s="52">
        <v>0</v>
      </c>
      <c r="P15" s="52">
        <v>0.46</v>
      </c>
      <c r="Q15" s="52">
        <v>3.28</v>
      </c>
    </row>
    <row r="16" spans="1:21" customFormat="1">
      <c r="A16" s="51" t="s">
        <v>210</v>
      </c>
      <c r="B16" s="52">
        <v>15.26</v>
      </c>
      <c r="C16" s="52">
        <v>22.59</v>
      </c>
      <c r="D16" s="52">
        <v>22.92</v>
      </c>
      <c r="E16" s="52">
        <v>8.25</v>
      </c>
      <c r="F16" s="52">
        <v>2.91</v>
      </c>
      <c r="G16" s="52">
        <v>16.7</v>
      </c>
      <c r="H16" s="52">
        <v>4.3</v>
      </c>
      <c r="I16" s="52">
        <v>4.04</v>
      </c>
      <c r="J16" s="52">
        <v>1.08</v>
      </c>
      <c r="K16" s="52">
        <v>266.68</v>
      </c>
      <c r="L16" s="52">
        <v>26.58</v>
      </c>
      <c r="M16" s="52">
        <v>89.04</v>
      </c>
      <c r="N16" s="52">
        <v>157.6</v>
      </c>
      <c r="O16" s="52">
        <v>0</v>
      </c>
      <c r="P16" s="52">
        <v>0.46</v>
      </c>
      <c r="Q16" s="52">
        <v>3.36</v>
      </c>
    </row>
    <row r="17" spans="1:17" customFormat="1">
      <c r="A17" s="51" t="s">
        <v>211</v>
      </c>
      <c r="B17" s="52">
        <v>15.4</v>
      </c>
      <c r="C17" s="52">
        <v>21.29</v>
      </c>
      <c r="D17" s="52">
        <v>22.43</v>
      </c>
      <c r="E17" s="52">
        <v>8.25</v>
      </c>
      <c r="F17" s="52">
        <v>3.12</v>
      </c>
      <c r="G17" s="52">
        <v>18.53</v>
      </c>
      <c r="H17" s="52">
        <v>4.95</v>
      </c>
      <c r="I17" s="52">
        <v>4.03</v>
      </c>
      <c r="J17" s="52">
        <v>1.1000000000000001</v>
      </c>
      <c r="K17" s="52">
        <v>269.29000000000002</v>
      </c>
      <c r="L17" s="52">
        <v>27.62</v>
      </c>
      <c r="M17" s="52">
        <v>84.47</v>
      </c>
      <c r="N17" s="52">
        <v>234.9</v>
      </c>
      <c r="O17" s="52">
        <v>0</v>
      </c>
      <c r="P17" s="52">
        <v>0.47</v>
      </c>
      <c r="Q17" s="52">
        <v>3.31</v>
      </c>
    </row>
    <row r="18" spans="1:17" customFormat="1">
      <c r="A18" s="51" t="s">
        <v>212</v>
      </c>
      <c r="B18" s="52">
        <v>13.76</v>
      </c>
      <c r="C18" s="52">
        <v>22.65</v>
      </c>
      <c r="D18" s="52">
        <v>21.83</v>
      </c>
      <c r="E18" s="52">
        <v>8.01</v>
      </c>
      <c r="F18" s="52">
        <v>3.57</v>
      </c>
      <c r="G18" s="52">
        <v>26.59</v>
      </c>
      <c r="H18" s="52">
        <v>7.52</v>
      </c>
      <c r="I18" s="52">
        <v>4</v>
      </c>
      <c r="J18" s="52">
        <v>1.22</v>
      </c>
      <c r="K18" s="52">
        <v>279.58999999999997</v>
      </c>
      <c r="L18" s="52">
        <v>28.83</v>
      </c>
      <c r="M18" s="52">
        <v>79.36</v>
      </c>
      <c r="N18" s="52">
        <v>343.1</v>
      </c>
      <c r="O18" s="52">
        <v>0</v>
      </c>
      <c r="P18" s="52">
        <v>0.49</v>
      </c>
      <c r="Q18" s="52">
        <v>3.26</v>
      </c>
    </row>
    <row r="19" spans="1:17" customFormat="1">
      <c r="A19" s="51" t="s">
        <v>213</v>
      </c>
      <c r="B19" s="52">
        <v>13.4</v>
      </c>
      <c r="C19" s="52">
        <v>21.02</v>
      </c>
      <c r="D19" s="52">
        <v>20.32</v>
      </c>
      <c r="E19" s="52">
        <v>8.2200000000000006</v>
      </c>
      <c r="F19" s="52">
        <v>3.55</v>
      </c>
      <c r="G19" s="52">
        <v>29.01</v>
      </c>
      <c r="H19" s="52">
        <v>7.52</v>
      </c>
      <c r="I19" s="52">
        <v>4.05</v>
      </c>
      <c r="J19" s="52">
        <v>1.1000000000000001</v>
      </c>
      <c r="K19" s="52">
        <v>271.75</v>
      </c>
      <c r="L19" s="52">
        <v>29.07</v>
      </c>
      <c r="M19" s="52">
        <v>76.319999999999993</v>
      </c>
      <c r="N19" s="52">
        <v>392.9</v>
      </c>
      <c r="O19" s="52">
        <v>0</v>
      </c>
      <c r="P19" s="52">
        <v>0.47</v>
      </c>
      <c r="Q19" s="52">
        <v>3.21</v>
      </c>
    </row>
    <row r="20" spans="1:17" customFormat="1">
      <c r="A20" s="51" t="s">
        <v>214</v>
      </c>
      <c r="B20" s="52">
        <v>9.14</v>
      </c>
      <c r="C20" s="52">
        <v>20.32</v>
      </c>
      <c r="D20" s="52">
        <v>16.899999999999999</v>
      </c>
      <c r="E20" s="52">
        <v>9.57</v>
      </c>
      <c r="F20" s="52">
        <v>12.27</v>
      </c>
      <c r="G20" s="52">
        <v>34</v>
      </c>
      <c r="H20" s="52">
        <v>8.44</v>
      </c>
      <c r="I20" s="52">
        <v>4.05</v>
      </c>
      <c r="J20" s="52">
        <v>1.1499999999999999</v>
      </c>
      <c r="K20" s="52">
        <v>270.01</v>
      </c>
      <c r="L20" s="52">
        <v>28.84</v>
      </c>
      <c r="M20" s="52">
        <v>76.150000000000006</v>
      </c>
      <c r="N20" s="52">
        <v>265.39999999999998</v>
      </c>
      <c r="O20" s="52">
        <v>0</v>
      </c>
      <c r="P20" s="52">
        <v>0.52</v>
      </c>
      <c r="Q20" s="30" t="s">
        <v>8</v>
      </c>
    </row>
    <row r="21" spans="1:17" customFormat="1">
      <c r="A21" s="51" t="s">
        <v>215</v>
      </c>
      <c r="B21" s="52">
        <v>1.39</v>
      </c>
      <c r="C21" s="52">
        <v>13.04</v>
      </c>
      <c r="D21" s="52">
        <v>5.83</v>
      </c>
      <c r="E21" s="52">
        <v>7.98</v>
      </c>
      <c r="F21" s="52">
        <v>14.49</v>
      </c>
      <c r="G21" s="52">
        <v>34</v>
      </c>
      <c r="H21" s="52">
        <v>8.44</v>
      </c>
      <c r="I21" s="52">
        <v>48.76</v>
      </c>
      <c r="J21" s="52">
        <v>0.94</v>
      </c>
      <c r="K21" s="52">
        <v>268.69</v>
      </c>
      <c r="L21" s="52">
        <v>29.33</v>
      </c>
      <c r="M21" s="52">
        <v>75.31</v>
      </c>
      <c r="N21" s="52">
        <v>477.6</v>
      </c>
      <c r="O21" s="52">
        <v>0</v>
      </c>
      <c r="P21" s="52">
        <v>0.43</v>
      </c>
      <c r="Q21" s="30" t="s">
        <v>8</v>
      </c>
    </row>
    <row r="22" spans="1:17" customFormat="1">
      <c r="A22" s="51" t="s">
        <v>216</v>
      </c>
      <c r="B22" s="52">
        <v>2.5299999999999998</v>
      </c>
      <c r="C22" s="52">
        <v>10.74</v>
      </c>
      <c r="D22" s="52">
        <v>6.6</v>
      </c>
      <c r="E22" s="52">
        <v>6.84</v>
      </c>
      <c r="F22" s="52">
        <v>12.35</v>
      </c>
      <c r="G22" s="52">
        <v>33.17</v>
      </c>
      <c r="H22" s="52">
        <v>7.88</v>
      </c>
      <c r="I22" s="52">
        <v>234.02</v>
      </c>
      <c r="J22" s="52">
        <v>0.89</v>
      </c>
      <c r="K22" s="52">
        <v>264.95999999999998</v>
      </c>
      <c r="L22" s="52">
        <v>28.47</v>
      </c>
      <c r="M22" s="52">
        <v>88.11</v>
      </c>
      <c r="N22" s="52">
        <v>308.2</v>
      </c>
      <c r="O22" s="52">
        <v>0.4</v>
      </c>
      <c r="P22" s="52">
        <v>0.4</v>
      </c>
      <c r="Q22" s="30" t="s">
        <v>8</v>
      </c>
    </row>
    <row r="23" spans="1:17" customFormat="1">
      <c r="A23" s="51" t="s">
        <v>217</v>
      </c>
      <c r="B23" s="52">
        <v>4.84</v>
      </c>
      <c r="C23" s="52">
        <v>13.24</v>
      </c>
      <c r="D23" s="52">
        <v>9.08</v>
      </c>
      <c r="E23" s="52">
        <v>5.43</v>
      </c>
      <c r="F23" s="52">
        <v>4.97</v>
      </c>
      <c r="G23" s="52">
        <v>33</v>
      </c>
      <c r="H23" s="52">
        <v>9</v>
      </c>
      <c r="I23" s="52">
        <v>122.78</v>
      </c>
      <c r="J23" s="52">
        <v>1.17</v>
      </c>
      <c r="K23" s="52">
        <v>267.76</v>
      </c>
      <c r="L23" s="52">
        <v>28.95</v>
      </c>
      <c r="M23" s="52">
        <v>84.66</v>
      </c>
      <c r="N23" s="52">
        <v>574</v>
      </c>
      <c r="O23" s="52">
        <v>0</v>
      </c>
      <c r="P23" s="52">
        <v>0.38</v>
      </c>
      <c r="Q23" s="30" t="s">
        <v>8</v>
      </c>
    </row>
    <row r="24" spans="1:17" customFormat="1">
      <c r="A24" s="51" t="s">
        <v>218</v>
      </c>
      <c r="B24" s="52">
        <v>6.35</v>
      </c>
      <c r="C24" s="52">
        <v>12.98</v>
      </c>
      <c r="D24" s="52">
        <v>10.83</v>
      </c>
      <c r="E24" s="52">
        <v>6.74</v>
      </c>
      <c r="F24" s="52">
        <v>4.67</v>
      </c>
      <c r="G24" s="52">
        <v>30.44</v>
      </c>
      <c r="H24" s="52">
        <v>9.69</v>
      </c>
      <c r="I24" s="52">
        <v>99.98</v>
      </c>
      <c r="J24" s="52">
        <v>1.24</v>
      </c>
      <c r="K24" s="52">
        <v>265.22000000000003</v>
      </c>
      <c r="L24" s="52">
        <v>29.31</v>
      </c>
      <c r="M24" s="52">
        <v>75.92</v>
      </c>
      <c r="N24" s="52">
        <v>360.5</v>
      </c>
      <c r="O24" s="52">
        <v>0</v>
      </c>
      <c r="P24" s="52">
        <v>0.38</v>
      </c>
      <c r="Q24" s="30" t="s">
        <v>8</v>
      </c>
    </row>
    <row r="25" spans="1:17" customFormat="1">
      <c r="A25" s="51" t="s">
        <v>219</v>
      </c>
      <c r="B25" s="52">
        <v>7.38</v>
      </c>
      <c r="C25" s="52">
        <v>13.14</v>
      </c>
      <c r="D25" s="52">
        <v>11.38</v>
      </c>
      <c r="E25" s="52">
        <v>7.21</v>
      </c>
      <c r="F25" s="52">
        <v>5.38</v>
      </c>
      <c r="G25" s="52">
        <v>30.86</v>
      </c>
      <c r="H25" s="52">
        <v>9.69</v>
      </c>
      <c r="I25" s="52">
        <v>85.12</v>
      </c>
      <c r="J25" s="52">
        <v>1.07</v>
      </c>
      <c r="K25" s="52">
        <v>274.81</v>
      </c>
      <c r="L25" s="52">
        <v>29.42</v>
      </c>
      <c r="M25" s="52">
        <v>73.760000000000005</v>
      </c>
      <c r="N25" s="52">
        <v>291.60000000000002</v>
      </c>
      <c r="O25" s="52">
        <v>0</v>
      </c>
      <c r="P25" s="52">
        <v>0.38</v>
      </c>
      <c r="Q25" s="30" t="s">
        <v>8</v>
      </c>
    </row>
    <row r="26" spans="1:17" customFormat="1">
      <c r="A26" s="51" t="s">
        <v>220</v>
      </c>
      <c r="B26" s="52">
        <v>7.61</v>
      </c>
      <c r="C26" s="52">
        <v>12.16</v>
      </c>
      <c r="D26" s="52">
        <v>11.34</v>
      </c>
      <c r="E26" s="52">
        <v>7.31</v>
      </c>
      <c r="F26" s="52">
        <v>7.65</v>
      </c>
      <c r="G26" s="52">
        <v>34.75</v>
      </c>
      <c r="H26" s="52">
        <v>8.58</v>
      </c>
      <c r="I26" s="52">
        <v>72.41</v>
      </c>
      <c r="J26" s="52">
        <v>0.81</v>
      </c>
      <c r="K26" s="52">
        <v>267.29000000000002</v>
      </c>
      <c r="L26" s="52">
        <v>28.59</v>
      </c>
      <c r="M26" s="52">
        <v>77.5</v>
      </c>
      <c r="N26" s="52">
        <v>58.5</v>
      </c>
      <c r="O26" s="52">
        <v>0</v>
      </c>
      <c r="P26" s="52">
        <v>0.37</v>
      </c>
      <c r="Q26" s="30" t="s">
        <v>8</v>
      </c>
    </row>
    <row r="27" spans="1:17" customFormat="1">
      <c r="A27" s="51" t="s">
        <v>221</v>
      </c>
      <c r="B27" s="52">
        <v>8.34</v>
      </c>
      <c r="C27" s="52">
        <v>14.14</v>
      </c>
      <c r="D27" s="52">
        <v>12.81</v>
      </c>
      <c r="E27" s="52">
        <v>6.03</v>
      </c>
      <c r="F27" s="52">
        <v>7.79</v>
      </c>
      <c r="G27" s="52">
        <v>35.299999999999997</v>
      </c>
      <c r="H27" s="52">
        <v>8.2899999999999991</v>
      </c>
      <c r="I27" s="52">
        <v>59.35</v>
      </c>
      <c r="J27" s="52">
        <v>0.7</v>
      </c>
      <c r="K27" s="52">
        <v>264.48</v>
      </c>
      <c r="L27" s="52">
        <v>27.87</v>
      </c>
      <c r="M27" s="52">
        <v>80.77</v>
      </c>
      <c r="N27" s="52">
        <v>12.4</v>
      </c>
      <c r="O27" s="52">
        <v>0</v>
      </c>
      <c r="P27" s="52">
        <v>0.39</v>
      </c>
      <c r="Q27" s="30" t="s">
        <v>8</v>
      </c>
    </row>
    <row r="28" spans="1:17" customFormat="1">
      <c r="A28" s="51" t="s">
        <v>222</v>
      </c>
      <c r="B28" s="52">
        <v>8.56</v>
      </c>
      <c r="C28" s="52">
        <v>15.13</v>
      </c>
      <c r="D28" s="52">
        <v>13.51</v>
      </c>
      <c r="E28" s="52">
        <v>5.92</v>
      </c>
      <c r="F28" s="52">
        <v>6.63</v>
      </c>
      <c r="G28" s="52">
        <v>35.299999999999997</v>
      </c>
      <c r="H28" s="52">
        <v>6.69</v>
      </c>
      <c r="I28" s="52">
        <v>52.7</v>
      </c>
      <c r="J28" s="52">
        <v>0.62</v>
      </c>
      <c r="K28" s="52">
        <v>260.55</v>
      </c>
      <c r="L28" s="52">
        <v>27.19</v>
      </c>
      <c r="M28" s="52">
        <v>84.73</v>
      </c>
      <c r="N28" s="52">
        <v>0</v>
      </c>
      <c r="O28" s="52">
        <v>0</v>
      </c>
      <c r="P28" s="52">
        <v>0.4</v>
      </c>
      <c r="Q28" s="30" t="s">
        <v>8</v>
      </c>
    </row>
    <row r="29" spans="1:17" customFormat="1">
      <c r="A29" s="51" t="s">
        <v>223</v>
      </c>
      <c r="B29" s="52">
        <v>9.02</v>
      </c>
      <c r="C29" s="52">
        <v>14.95</v>
      </c>
      <c r="D29" s="52">
        <v>13.86</v>
      </c>
      <c r="E29" s="52">
        <v>6.46</v>
      </c>
      <c r="F29" s="52">
        <v>6.98</v>
      </c>
      <c r="G29" s="52">
        <v>32.04</v>
      </c>
      <c r="H29" s="52">
        <v>9.24</v>
      </c>
      <c r="I29" s="52">
        <v>46.06</v>
      </c>
      <c r="J29" s="52">
        <v>0.16</v>
      </c>
      <c r="K29" s="52">
        <v>241.85</v>
      </c>
      <c r="L29" s="52">
        <v>26.55</v>
      </c>
      <c r="M29" s="52">
        <v>89.14</v>
      </c>
      <c r="N29" s="52">
        <v>0</v>
      </c>
      <c r="O29" s="52">
        <v>0</v>
      </c>
      <c r="P29" s="52">
        <v>0.39</v>
      </c>
      <c r="Q29" s="30" t="s">
        <v>8</v>
      </c>
    </row>
    <row r="30" spans="1:17" customFormat="1">
      <c r="A30" s="51" t="s">
        <v>224</v>
      </c>
      <c r="B30" s="52">
        <v>10.32</v>
      </c>
      <c r="C30" s="52">
        <v>15.7</v>
      </c>
      <c r="D30" s="52">
        <v>15.19</v>
      </c>
      <c r="E30" s="52">
        <v>6.6</v>
      </c>
      <c r="F30" s="52">
        <v>6.61</v>
      </c>
      <c r="G30" s="52">
        <v>33.770000000000003</v>
      </c>
      <c r="H30" s="52">
        <v>10.210000000000001</v>
      </c>
      <c r="I30" s="52">
        <v>42.95</v>
      </c>
      <c r="J30" s="52">
        <v>0.57999999999999996</v>
      </c>
      <c r="K30" s="52">
        <v>264.91000000000003</v>
      </c>
      <c r="L30" s="52">
        <v>26.35</v>
      </c>
      <c r="M30" s="52">
        <v>89.71</v>
      </c>
      <c r="N30" s="52">
        <v>0</v>
      </c>
      <c r="O30" s="52">
        <v>0</v>
      </c>
      <c r="P30" s="52">
        <v>0.4</v>
      </c>
      <c r="Q30" s="30" t="s">
        <v>8</v>
      </c>
    </row>
    <row r="31" spans="1:17" customFormat="1">
      <c r="A31" s="51" t="s">
        <v>225</v>
      </c>
      <c r="B31" s="52">
        <v>11.04</v>
      </c>
      <c r="C31" s="52">
        <v>16.600000000000001</v>
      </c>
      <c r="D31" s="52">
        <v>16.2</v>
      </c>
      <c r="E31" s="52">
        <v>7.37</v>
      </c>
      <c r="F31" s="52">
        <v>4.93</v>
      </c>
      <c r="G31" s="52">
        <v>33.770000000000003</v>
      </c>
      <c r="H31" s="52">
        <v>10.210000000000001</v>
      </c>
      <c r="I31" s="52">
        <v>39.4</v>
      </c>
      <c r="J31" s="52">
        <v>0.77</v>
      </c>
      <c r="K31" s="52">
        <v>263.79000000000002</v>
      </c>
      <c r="L31" s="52">
        <v>26.35</v>
      </c>
      <c r="M31" s="52">
        <v>86.55</v>
      </c>
      <c r="N31" s="52">
        <v>0</v>
      </c>
      <c r="O31" s="52">
        <v>0</v>
      </c>
      <c r="P31" s="52">
        <v>0.41</v>
      </c>
      <c r="Q31" s="30" t="s">
        <v>8</v>
      </c>
    </row>
    <row r="32" spans="1:17" customFormat="1">
      <c r="A32" s="51" t="s">
        <v>226</v>
      </c>
      <c r="B32" s="52">
        <v>11.57</v>
      </c>
      <c r="C32" s="52">
        <v>16.34</v>
      </c>
      <c r="D32" s="52">
        <v>16.68</v>
      </c>
      <c r="E32" s="52">
        <v>7.01</v>
      </c>
      <c r="F32" s="52">
        <v>4.18</v>
      </c>
      <c r="G32" s="52">
        <v>30.44</v>
      </c>
      <c r="H32" s="52">
        <v>7.72</v>
      </c>
      <c r="I32" s="52">
        <v>35.590000000000003</v>
      </c>
      <c r="J32" s="52">
        <v>0.73</v>
      </c>
      <c r="K32" s="52">
        <v>262.01</v>
      </c>
      <c r="L32" s="52">
        <v>25.9</v>
      </c>
      <c r="M32" s="52">
        <v>88.1</v>
      </c>
      <c r="N32" s="52">
        <v>0</v>
      </c>
      <c r="O32" s="52">
        <v>0</v>
      </c>
      <c r="P32" s="52">
        <v>0.41</v>
      </c>
      <c r="Q32" s="30" t="s">
        <v>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1.39</v>
      </c>
      <c r="C34" s="41">
        <f t="shared" si="0"/>
        <v>10.74</v>
      </c>
      <c r="D34" s="41">
        <f t="shared" si="0"/>
        <v>5.83</v>
      </c>
      <c r="E34" s="41">
        <f t="shared" si="0"/>
        <v>5.43</v>
      </c>
      <c r="F34" s="41">
        <f t="shared" si="0"/>
        <v>2.75</v>
      </c>
      <c r="G34" s="41">
        <f t="shared" si="0"/>
        <v>9.74</v>
      </c>
      <c r="H34" s="41">
        <f t="shared" si="0"/>
        <v>2.1</v>
      </c>
      <c r="I34" s="41">
        <f t="shared" si="0"/>
        <v>2.96</v>
      </c>
      <c r="J34" s="41">
        <f t="shared" si="0"/>
        <v>0.16</v>
      </c>
      <c r="K34" s="41">
        <f t="shared" si="0"/>
        <v>241.85</v>
      </c>
      <c r="L34" s="41">
        <f t="shared" si="0"/>
        <v>25.17</v>
      </c>
      <c r="M34" s="41">
        <f t="shared" si="0"/>
        <v>73.760000000000005</v>
      </c>
      <c r="N34" s="41">
        <f t="shared" si="0"/>
        <v>0</v>
      </c>
      <c r="O34" s="41">
        <f t="shared" si="0"/>
        <v>0</v>
      </c>
      <c r="P34" s="41">
        <f t="shared" si="0"/>
        <v>0.35</v>
      </c>
      <c r="Q34" s="41">
        <f t="shared" si="0"/>
        <v>3.15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15.4</v>
      </c>
      <c r="C35" s="33">
        <f t="shared" si="1"/>
        <v>23.06</v>
      </c>
      <c r="D35" s="33">
        <f t="shared" si="1"/>
        <v>22.92</v>
      </c>
      <c r="E35" s="33">
        <f t="shared" si="1"/>
        <v>9.57</v>
      </c>
      <c r="F35" s="33">
        <f t="shared" si="1"/>
        <v>14.49</v>
      </c>
      <c r="G35" s="33">
        <f t="shared" si="1"/>
        <v>35.299999999999997</v>
      </c>
      <c r="H35" s="33">
        <f t="shared" si="1"/>
        <v>10.210000000000001</v>
      </c>
      <c r="I35" s="33">
        <f t="shared" si="1"/>
        <v>234.02</v>
      </c>
      <c r="J35" s="33">
        <f t="shared" si="1"/>
        <v>1.24</v>
      </c>
      <c r="K35" s="33">
        <f t="shared" si="1"/>
        <v>279.58999999999997</v>
      </c>
      <c r="L35" s="33">
        <f t="shared" si="1"/>
        <v>29.42</v>
      </c>
      <c r="M35" s="33">
        <f t="shared" si="1"/>
        <v>91.28</v>
      </c>
      <c r="N35" s="33">
        <f t="shared" si="1"/>
        <v>574</v>
      </c>
      <c r="O35" s="33">
        <f t="shared" si="1"/>
        <v>0.4</v>
      </c>
      <c r="P35" s="33">
        <f t="shared" si="1"/>
        <v>0.52</v>
      </c>
      <c r="Q35" s="33">
        <f t="shared" si="1"/>
        <v>3.36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10.325000000000001</v>
      </c>
      <c r="C36" s="41">
        <f t="shared" si="2"/>
        <v>17.997500000000002</v>
      </c>
      <c r="D36" s="41">
        <f t="shared" si="2"/>
        <v>16.435416666666665</v>
      </c>
      <c r="E36" s="41">
        <f t="shared" si="2"/>
        <v>7.504999999999999</v>
      </c>
      <c r="F36" s="41">
        <f t="shared" si="2"/>
        <v>5.578333333333334</v>
      </c>
      <c r="G36" s="41">
        <f t="shared" si="2"/>
        <v>26.348333333333333</v>
      </c>
      <c r="H36" s="41">
        <f t="shared" si="2"/>
        <v>6.7700000000000005</v>
      </c>
      <c r="I36" s="41">
        <f t="shared" si="2"/>
        <v>41.01583333333334</v>
      </c>
      <c r="J36" s="41">
        <f t="shared" si="2"/>
        <v>0.87166666666666659</v>
      </c>
      <c r="K36" s="41">
        <f t="shared" si="2"/>
        <v>266.56625000000008</v>
      </c>
      <c r="L36" s="41">
        <f t="shared" si="2"/>
        <v>27.271666666666665</v>
      </c>
      <c r="M36" s="41">
        <f t="shared" si="2"/>
        <v>84.327083333333334</v>
      </c>
      <c r="N36" s="41">
        <f t="shared" si="2"/>
        <v>147.84166666666667</v>
      </c>
      <c r="O36" s="41">
        <f t="shared" si="2"/>
        <v>1.6666666666666666E-2</v>
      </c>
      <c r="P36" s="41">
        <f t="shared" si="2"/>
        <v>0.41958333333333342</v>
      </c>
      <c r="Q36" s="41">
        <f t="shared" si="2"/>
        <v>3.2363636363636363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3.8907247564476708</v>
      </c>
      <c r="C37" s="41">
        <f t="shared" ref="C37:Q37" si="3">STDEV(C9:C32)</f>
        <v>4.2889354613125414</v>
      </c>
      <c r="D37" s="41">
        <f t="shared" si="3"/>
        <v>5.3119790622677465</v>
      </c>
      <c r="E37" s="41">
        <f t="shared" si="3"/>
        <v>0.99210360609030923</v>
      </c>
      <c r="F37" s="41">
        <f t="shared" si="3"/>
        <v>3.3089360784116817</v>
      </c>
      <c r="G37" s="41">
        <f t="shared" si="3"/>
        <v>8.5457025389407217</v>
      </c>
      <c r="H37" s="41">
        <f t="shared" si="3"/>
        <v>2.6274305517649439</v>
      </c>
      <c r="I37" s="41">
        <f t="shared" si="3"/>
        <v>54.207712504103476</v>
      </c>
      <c r="J37" s="41">
        <f t="shared" si="3"/>
        <v>0.2530967621572684</v>
      </c>
      <c r="K37" s="41">
        <f t="shared" si="3"/>
        <v>6.7189400124766978</v>
      </c>
      <c r="L37" s="41">
        <f t="shared" si="3"/>
        <v>1.4993757155002696</v>
      </c>
      <c r="M37" s="41">
        <f t="shared" si="3"/>
        <v>5.7983929401518859</v>
      </c>
      <c r="N37" s="41">
        <f t="shared" si="3"/>
        <v>183.39320293854396</v>
      </c>
      <c r="O37" s="41">
        <f t="shared" si="3"/>
        <v>8.1649658092772623E-2</v>
      </c>
      <c r="P37" s="41">
        <f t="shared" si="3"/>
        <v>4.6483205631679514E-2</v>
      </c>
      <c r="Q37" s="41">
        <f t="shared" si="3"/>
        <v>7.0890440437717389E-2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Q39" sqref="Q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227</v>
      </c>
      <c r="B9" s="52">
        <v>9.49</v>
      </c>
      <c r="C9" s="52">
        <v>20.22</v>
      </c>
      <c r="D9" s="52">
        <v>16.78</v>
      </c>
      <c r="E9" s="52">
        <v>7.61</v>
      </c>
      <c r="F9" s="52">
        <v>2.92</v>
      </c>
      <c r="G9" s="52">
        <v>23.99</v>
      </c>
      <c r="H9" s="52">
        <v>7.72</v>
      </c>
      <c r="I9" s="52">
        <v>31.96</v>
      </c>
      <c r="J9" s="52">
        <v>0.59</v>
      </c>
      <c r="K9" s="52">
        <v>263.64999999999998</v>
      </c>
      <c r="L9" s="52">
        <v>25.54</v>
      </c>
      <c r="M9" s="52">
        <v>89.39</v>
      </c>
      <c r="N9" s="52">
        <v>0</v>
      </c>
      <c r="O9" s="52">
        <v>0</v>
      </c>
      <c r="P9" s="52">
        <v>0.45</v>
      </c>
      <c r="Q9" s="30" t="s">
        <v>8</v>
      </c>
    </row>
    <row r="10" spans="1:21" customFormat="1">
      <c r="A10" s="51" t="s">
        <v>228</v>
      </c>
      <c r="B10" s="52">
        <v>10.15</v>
      </c>
      <c r="C10" s="52">
        <v>18.59</v>
      </c>
      <c r="D10" s="52">
        <v>16.809999999999999</v>
      </c>
      <c r="E10" s="52">
        <v>7.28</v>
      </c>
      <c r="F10" s="52">
        <v>3.31</v>
      </c>
      <c r="G10" s="52">
        <v>18.41</v>
      </c>
      <c r="H10" s="52">
        <v>5.73</v>
      </c>
      <c r="I10" s="52">
        <v>27.24</v>
      </c>
      <c r="J10" s="52">
        <v>0.77</v>
      </c>
      <c r="K10" s="52">
        <v>263.52</v>
      </c>
      <c r="L10" s="52">
        <v>25.23</v>
      </c>
      <c r="M10" s="52">
        <v>89.76</v>
      </c>
      <c r="N10" s="52">
        <v>0</v>
      </c>
      <c r="O10" s="52">
        <v>0</v>
      </c>
      <c r="P10" s="52">
        <v>0.37</v>
      </c>
      <c r="Q10" s="30" t="s">
        <v>8</v>
      </c>
    </row>
    <row r="11" spans="1:21" customFormat="1">
      <c r="A11" s="51" t="s">
        <v>229</v>
      </c>
      <c r="B11" s="52">
        <v>10.91</v>
      </c>
      <c r="C11" s="52">
        <v>17.98</v>
      </c>
      <c r="D11" s="52">
        <v>16.899999999999999</v>
      </c>
      <c r="E11" s="52">
        <v>6.68</v>
      </c>
      <c r="F11" s="52">
        <v>3</v>
      </c>
      <c r="G11" s="52">
        <v>16.190000000000001</v>
      </c>
      <c r="H11" s="52">
        <v>4.21</v>
      </c>
      <c r="I11" s="52">
        <v>24.42</v>
      </c>
      <c r="J11" s="52">
        <v>0.63</v>
      </c>
      <c r="K11" s="52">
        <v>264.97000000000003</v>
      </c>
      <c r="L11" s="52">
        <v>25.3</v>
      </c>
      <c r="M11" s="52">
        <v>90.11</v>
      </c>
      <c r="N11" s="52">
        <v>0</v>
      </c>
      <c r="O11" s="52">
        <v>0</v>
      </c>
      <c r="P11" s="52">
        <v>0.37</v>
      </c>
      <c r="Q11" s="30" t="s">
        <v>8</v>
      </c>
    </row>
    <row r="12" spans="1:21" customFormat="1">
      <c r="A12" s="51" t="s">
        <v>230</v>
      </c>
      <c r="B12" s="52">
        <v>11.34</v>
      </c>
      <c r="C12" s="52">
        <v>17.66</v>
      </c>
      <c r="D12" s="52">
        <v>17.09</v>
      </c>
      <c r="E12" s="52">
        <v>6.91</v>
      </c>
      <c r="F12" s="52">
        <v>3.22</v>
      </c>
      <c r="G12" s="52">
        <v>16.57</v>
      </c>
      <c r="H12" s="52">
        <v>4.21</v>
      </c>
      <c r="I12" s="52">
        <v>22.31</v>
      </c>
      <c r="J12" s="52">
        <v>0.56000000000000005</v>
      </c>
      <c r="K12" s="52">
        <v>267.22000000000003</v>
      </c>
      <c r="L12" s="52">
        <v>25.22</v>
      </c>
      <c r="M12" s="52">
        <v>90.34</v>
      </c>
      <c r="N12" s="52">
        <v>0</v>
      </c>
      <c r="O12" s="52">
        <v>0</v>
      </c>
      <c r="P12" s="52">
        <v>0.36</v>
      </c>
      <c r="Q12" s="30" t="s">
        <v>8</v>
      </c>
    </row>
    <row r="13" spans="1:21" customFormat="1">
      <c r="A13" s="51" t="s">
        <v>231</v>
      </c>
      <c r="B13" s="52">
        <v>12.08</v>
      </c>
      <c r="C13" s="52">
        <v>18.010000000000002</v>
      </c>
      <c r="D13" s="52">
        <v>17.899999999999999</v>
      </c>
      <c r="E13" s="52">
        <v>6.87</v>
      </c>
      <c r="F13" s="52">
        <v>3.2</v>
      </c>
      <c r="G13" s="52">
        <v>16.57</v>
      </c>
      <c r="H13" s="52">
        <v>5.21</v>
      </c>
      <c r="I13" s="52">
        <v>20.99</v>
      </c>
      <c r="J13" s="52">
        <v>0.41</v>
      </c>
      <c r="K13" s="52">
        <v>261.85000000000002</v>
      </c>
      <c r="L13" s="52">
        <v>25.16</v>
      </c>
      <c r="M13" s="52">
        <v>91.07</v>
      </c>
      <c r="N13" s="52">
        <v>0</v>
      </c>
      <c r="O13" s="52">
        <v>0</v>
      </c>
      <c r="P13" s="52">
        <v>0.36</v>
      </c>
      <c r="Q13" s="30" t="s">
        <v>8</v>
      </c>
    </row>
    <row r="14" spans="1:21" customFormat="1">
      <c r="A14" s="51" t="s">
        <v>232</v>
      </c>
      <c r="B14" s="52">
        <v>12.72</v>
      </c>
      <c r="C14" s="52">
        <v>18.45</v>
      </c>
      <c r="D14" s="52">
        <v>18.47</v>
      </c>
      <c r="E14" s="52">
        <v>7.05</v>
      </c>
      <c r="F14" s="52">
        <v>2.75</v>
      </c>
      <c r="G14" s="52">
        <v>16.3</v>
      </c>
      <c r="H14" s="52">
        <v>5.21</v>
      </c>
      <c r="I14" s="52">
        <v>19.32</v>
      </c>
      <c r="J14" s="52">
        <v>0.68</v>
      </c>
      <c r="K14" s="52">
        <v>264.33999999999997</v>
      </c>
      <c r="L14" s="52">
        <v>25.37</v>
      </c>
      <c r="M14" s="52">
        <v>90.38</v>
      </c>
      <c r="N14" s="52">
        <v>4.3</v>
      </c>
      <c r="O14" s="52">
        <v>0</v>
      </c>
      <c r="P14" s="52">
        <v>0.39</v>
      </c>
      <c r="Q14" s="30" t="s">
        <v>8</v>
      </c>
    </row>
    <row r="15" spans="1:21" customFormat="1">
      <c r="A15" s="51" t="s">
        <v>233</v>
      </c>
      <c r="B15" s="52">
        <v>12.05</v>
      </c>
      <c r="C15" s="52">
        <v>17.170000000000002</v>
      </c>
      <c r="D15" s="52">
        <v>17.47</v>
      </c>
      <c r="E15" s="52">
        <v>6.56</v>
      </c>
      <c r="F15" s="52">
        <v>3.06</v>
      </c>
      <c r="G15" s="52">
        <v>15.35</v>
      </c>
      <c r="H15" s="52">
        <v>3.87</v>
      </c>
      <c r="I15" s="52">
        <v>17.52</v>
      </c>
      <c r="J15" s="52">
        <v>0.97</v>
      </c>
      <c r="K15" s="52">
        <v>268.44</v>
      </c>
      <c r="L15" s="52">
        <v>25.8</v>
      </c>
      <c r="M15" s="52">
        <v>87.37</v>
      </c>
      <c r="N15" s="52">
        <v>42.4</v>
      </c>
      <c r="O15" s="52">
        <v>0</v>
      </c>
      <c r="P15" s="52">
        <v>0.35</v>
      </c>
      <c r="Q15" s="30" t="s">
        <v>8</v>
      </c>
    </row>
    <row r="16" spans="1:21" customFormat="1">
      <c r="A16" s="51" t="s">
        <v>234</v>
      </c>
      <c r="B16" s="52">
        <v>12.31</v>
      </c>
      <c r="C16" s="52">
        <v>18.89</v>
      </c>
      <c r="D16" s="52">
        <v>18.489999999999998</v>
      </c>
      <c r="E16" s="52">
        <v>7.15</v>
      </c>
      <c r="F16" s="52">
        <v>3.06</v>
      </c>
      <c r="G16" s="52">
        <v>15.83</v>
      </c>
      <c r="H16" s="52">
        <v>3.12</v>
      </c>
      <c r="I16" s="52">
        <v>15.46</v>
      </c>
      <c r="J16" s="52">
        <v>0.85</v>
      </c>
      <c r="K16" s="52">
        <v>266.7</v>
      </c>
      <c r="L16" s="52">
        <v>26.33</v>
      </c>
      <c r="M16" s="52">
        <v>84.65</v>
      </c>
      <c r="N16" s="52">
        <v>147</v>
      </c>
      <c r="O16" s="52">
        <v>0</v>
      </c>
      <c r="P16" s="52">
        <v>0.36</v>
      </c>
      <c r="Q16" s="30" t="s">
        <v>8</v>
      </c>
    </row>
    <row r="17" spans="1:17" customFormat="1">
      <c r="A17" s="51" t="s">
        <v>235</v>
      </c>
      <c r="B17" s="52">
        <v>12.78</v>
      </c>
      <c r="C17" s="52">
        <v>18.22</v>
      </c>
      <c r="D17" s="52">
        <v>18.61</v>
      </c>
      <c r="E17" s="52">
        <v>7.63</v>
      </c>
      <c r="F17" s="52">
        <v>3.04</v>
      </c>
      <c r="G17" s="52">
        <v>19.41</v>
      </c>
      <c r="H17" s="52">
        <v>4.96</v>
      </c>
      <c r="I17" s="52">
        <v>14.15</v>
      </c>
      <c r="J17" s="52">
        <v>1.01</v>
      </c>
      <c r="K17" s="52">
        <v>267.18</v>
      </c>
      <c r="L17" s="52">
        <v>27.56</v>
      </c>
      <c r="M17" s="52">
        <v>81.75</v>
      </c>
      <c r="N17" s="52">
        <v>295.7</v>
      </c>
      <c r="O17" s="52">
        <v>0</v>
      </c>
      <c r="P17" s="52">
        <v>0.36</v>
      </c>
      <c r="Q17" s="30" t="s">
        <v>8</v>
      </c>
    </row>
    <row r="18" spans="1:17" customFormat="1">
      <c r="A18" s="51" t="s">
        <v>236</v>
      </c>
      <c r="B18" s="52">
        <v>12.7</v>
      </c>
      <c r="C18" s="52">
        <v>18.72</v>
      </c>
      <c r="D18" s="52">
        <v>18.91</v>
      </c>
      <c r="E18" s="52">
        <v>7.89</v>
      </c>
      <c r="F18" s="52">
        <v>3.23</v>
      </c>
      <c r="G18" s="52">
        <v>25.84</v>
      </c>
      <c r="H18" s="52">
        <v>4.96</v>
      </c>
      <c r="I18" s="52">
        <v>13.19</v>
      </c>
      <c r="J18" s="52">
        <v>1.39</v>
      </c>
      <c r="K18" s="52">
        <v>272.14999999999998</v>
      </c>
      <c r="L18" s="52">
        <v>27.98</v>
      </c>
      <c r="M18" s="52">
        <v>76.540000000000006</v>
      </c>
      <c r="N18" s="52">
        <v>315.2</v>
      </c>
      <c r="O18" s="52">
        <v>0</v>
      </c>
      <c r="P18" s="52">
        <v>0.39</v>
      </c>
      <c r="Q18" s="30" t="s">
        <v>8</v>
      </c>
    </row>
    <row r="19" spans="1:17" customFormat="1">
      <c r="A19" s="51" t="s">
        <v>237</v>
      </c>
      <c r="B19" s="52">
        <v>12.22</v>
      </c>
      <c r="C19" s="52">
        <v>18.78</v>
      </c>
      <c r="D19" s="52">
        <v>17.8</v>
      </c>
      <c r="E19" s="52">
        <v>7.82</v>
      </c>
      <c r="F19" s="52">
        <v>3.14</v>
      </c>
      <c r="G19" s="52">
        <v>34.549999999999997</v>
      </c>
      <c r="H19" s="52">
        <v>5.98</v>
      </c>
      <c r="I19" s="52">
        <v>12.43</v>
      </c>
      <c r="J19" s="52">
        <v>1.1000000000000001</v>
      </c>
      <c r="K19" s="52">
        <v>272.60000000000002</v>
      </c>
      <c r="L19" s="52">
        <v>28.22</v>
      </c>
      <c r="M19" s="52">
        <v>75.75</v>
      </c>
      <c r="N19" s="52">
        <v>266.60000000000002</v>
      </c>
      <c r="O19" s="52">
        <v>0</v>
      </c>
      <c r="P19" s="52">
        <v>0.46</v>
      </c>
      <c r="Q19" s="52">
        <v>1.62</v>
      </c>
    </row>
    <row r="20" spans="1:17" customFormat="1">
      <c r="A20" s="51" t="s">
        <v>238</v>
      </c>
      <c r="B20" s="52">
        <v>10.64</v>
      </c>
      <c r="C20" s="52">
        <v>19.22</v>
      </c>
      <c r="D20" s="52">
        <v>17.53</v>
      </c>
      <c r="E20" s="52">
        <v>7.55</v>
      </c>
      <c r="F20" s="52">
        <v>4.4800000000000004</v>
      </c>
      <c r="G20" s="52">
        <v>38.74</v>
      </c>
      <c r="H20" s="52">
        <v>7.14</v>
      </c>
      <c r="I20" s="52">
        <v>11.69</v>
      </c>
      <c r="J20" s="52">
        <v>1.04</v>
      </c>
      <c r="K20" s="52">
        <v>279.02</v>
      </c>
      <c r="L20" s="52">
        <v>30</v>
      </c>
      <c r="M20" s="52">
        <v>72.239999999999995</v>
      </c>
      <c r="N20" s="52">
        <v>538.20000000000005</v>
      </c>
      <c r="O20" s="52">
        <v>0</v>
      </c>
      <c r="P20" s="52">
        <v>0.47</v>
      </c>
      <c r="Q20" s="52">
        <v>1.63</v>
      </c>
    </row>
    <row r="21" spans="1:17" customFormat="1">
      <c r="A21" s="51" t="s">
        <v>239</v>
      </c>
      <c r="B21" s="52">
        <v>9.75</v>
      </c>
      <c r="C21" s="52">
        <v>19.079999999999998</v>
      </c>
      <c r="D21" s="52">
        <v>16.28</v>
      </c>
      <c r="E21" s="52">
        <v>7.67</v>
      </c>
      <c r="F21" s="52">
        <v>3.82</v>
      </c>
      <c r="G21" s="52">
        <v>39.1</v>
      </c>
      <c r="H21" s="52">
        <v>9.82</v>
      </c>
      <c r="I21" s="52">
        <v>10.199999999999999</v>
      </c>
      <c r="J21" s="52">
        <v>1.08</v>
      </c>
      <c r="K21" s="52">
        <v>295.14999999999998</v>
      </c>
      <c r="L21" s="52">
        <v>30.45</v>
      </c>
      <c r="M21" s="52">
        <v>68.23</v>
      </c>
      <c r="N21" s="52">
        <v>624.79999999999995</v>
      </c>
      <c r="O21" s="52">
        <v>0</v>
      </c>
      <c r="P21" s="52">
        <v>0.44</v>
      </c>
      <c r="Q21" s="52">
        <v>1.51</v>
      </c>
    </row>
    <row r="22" spans="1:17" customFormat="1">
      <c r="A22" s="51" t="s">
        <v>240</v>
      </c>
      <c r="B22" s="52">
        <v>9.15</v>
      </c>
      <c r="C22" s="52">
        <v>18.91</v>
      </c>
      <c r="D22" s="52">
        <v>16.170000000000002</v>
      </c>
      <c r="E22" s="52">
        <v>7.77</v>
      </c>
      <c r="F22" s="52">
        <v>5.35</v>
      </c>
      <c r="G22" s="52">
        <v>40.76</v>
      </c>
      <c r="H22" s="52">
        <v>10.130000000000001</v>
      </c>
      <c r="I22" s="52">
        <v>9.4600000000000009</v>
      </c>
      <c r="J22" s="52">
        <v>1.06</v>
      </c>
      <c r="K22" s="52">
        <v>297.06</v>
      </c>
      <c r="L22" s="52">
        <v>30.86</v>
      </c>
      <c r="M22" s="52">
        <v>65.3</v>
      </c>
      <c r="N22" s="52">
        <v>608.4</v>
      </c>
      <c r="O22" s="52">
        <v>0</v>
      </c>
      <c r="P22" s="52">
        <v>0.43</v>
      </c>
      <c r="Q22" s="52">
        <v>1.47</v>
      </c>
    </row>
    <row r="23" spans="1:17" customFormat="1">
      <c r="A23" s="51" t="s">
        <v>241</v>
      </c>
      <c r="B23" s="52">
        <v>8.27</v>
      </c>
      <c r="C23" s="52">
        <v>18.440000000000001</v>
      </c>
      <c r="D23" s="52">
        <v>15.21</v>
      </c>
      <c r="E23" s="52">
        <v>7.73</v>
      </c>
      <c r="F23" s="52">
        <v>5.1100000000000003</v>
      </c>
      <c r="G23" s="52">
        <v>40.76</v>
      </c>
      <c r="H23" s="52">
        <v>10.130000000000001</v>
      </c>
      <c r="I23" s="52">
        <v>8.69</v>
      </c>
      <c r="J23" s="52">
        <v>0.91</v>
      </c>
      <c r="K23" s="52">
        <v>281.17</v>
      </c>
      <c r="L23" s="52">
        <v>30.74</v>
      </c>
      <c r="M23" s="52">
        <v>66.459999999999994</v>
      </c>
      <c r="N23" s="52">
        <v>376.8</v>
      </c>
      <c r="O23" s="52">
        <v>0</v>
      </c>
      <c r="P23" s="52">
        <v>0.42</v>
      </c>
      <c r="Q23" s="52">
        <v>1.4</v>
      </c>
    </row>
    <row r="24" spans="1:17" customFormat="1">
      <c r="A24" s="51" t="s">
        <v>242</v>
      </c>
      <c r="B24" s="52">
        <v>7.18</v>
      </c>
      <c r="C24" s="52">
        <v>18.8</v>
      </c>
      <c r="D24" s="52">
        <v>14.24</v>
      </c>
      <c r="E24" s="52">
        <v>8.0299999999999994</v>
      </c>
      <c r="F24" s="52">
        <v>5.57</v>
      </c>
      <c r="G24" s="52">
        <v>39.4</v>
      </c>
      <c r="H24" s="52">
        <v>10.69</v>
      </c>
      <c r="I24" s="52">
        <v>7.99</v>
      </c>
      <c r="J24" s="52">
        <v>0.81</v>
      </c>
      <c r="K24" s="52">
        <v>271.75</v>
      </c>
      <c r="L24" s="52">
        <v>30.04</v>
      </c>
      <c r="M24" s="52">
        <v>69.41</v>
      </c>
      <c r="N24" s="52">
        <v>173.6</v>
      </c>
      <c r="O24" s="52">
        <v>0</v>
      </c>
      <c r="P24" s="52">
        <v>0.47</v>
      </c>
      <c r="Q24" s="52">
        <v>1.33</v>
      </c>
    </row>
    <row r="25" spans="1:17" customFormat="1">
      <c r="A25" s="51" t="s">
        <v>243</v>
      </c>
      <c r="B25" s="52">
        <v>5.55</v>
      </c>
      <c r="C25" s="52">
        <v>20.66</v>
      </c>
      <c r="D25" s="52">
        <v>14.21</v>
      </c>
      <c r="E25" s="52">
        <v>7.25</v>
      </c>
      <c r="F25" s="52">
        <v>7.02</v>
      </c>
      <c r="G25" s="52">
        <v>40.479999999999997</v>
      </c>
      <c r="H25" s="52">
        <v>11.14</v>
      </c>
      <c r="I25" s="52">
        <v>7.65</v>
      </c>
      <c r="J25" s="52">
        <v>0.98</v>
      </c>
      <c r="K25" s="52">
        <v>265.01</v>
      </c>
      <c r="L25" s="52">
        <v>29.52</v>
      </c>
      <c r="M25" s="52">
        <v>71.53</v>
      </c>
      <c r="N25" s="52">
        <v>100.7</v>
      </c>
      <c r="O25" s="52">
        <v>0</v>
      </c>
      <c r="P25" s="52">
        <v>0.5</v>
      </c>
      <c r="Q25" s="52">
        <v>1.28</v>
      </c>
    </row>
    <row r="26" spans="1:17" customFormat="1">
      <c r="A26" s="51" t="s">
        <v>244</v>
      </c>
      <c r="B26" s="52">
        <v>4.92</v>
      </c>
      <c r="C26" s="52">
        <v>17.55</v>
      </c>
      <c r="D26" s="52">
        <v>11.98</v>
      </c>
      <c r="E26" s="52">
        <v>7.08</v>
      </c>
      <c r="F26" s="52">
        <v>6.59</v>
      </c>
      <c r="G26" s="52">
        <v>40.479999999999997</v>
      </c>
      <c r="H26" s="52">
        <v>11.14</v>
      </c>
      <c r="I26" s="52">
        <v>6.7</v>
      </c>
      <c r="J26" s="52">
        <v>0.94</v>
      </c>
      <c r="K26" s="52">
        <v>270.05</v>
      </c>
      <c r="L26" s="52">
        <v>29.11</v>
      </c>
      <c r="M26" s="52">
        <v>73.77</v>
      </c>
      <c r="N26" s="52">
        <v>80.2</v>
      </c>
      <c r="O26" s="52">
        <v>0</v>
      </c>
      <c r="P26" s="52">
        <v>0.43</v>
      </c>
      <c r="Q26" s="52">
        <v>1.19</v>
      </c>
    </row>
    <row r="27" spans="1:17" customFormat="1">
      <c r="A27" s="51" t="s">
        <v>245</v>
      </c>
      <c r="B27" s="52">
        <v>5.0999999999999996</v>
      </c>
      <c r="C27" s="52">
        <v>18.45</v>
      </c>
      <c r="D27" s="52">
        <v>12.57</v>
      </c>
      <c r="E27" s="52">
        <v>6.43</v>
      </c>
      <c r="F27" s="52">
        <v>9.48</v>
      </c>
      <c r="G27" s="52">
        <v>36.81</v>
      </c>
      <c r="H27" s="52">
        <v>9.43</v>
      </c>
      <c r="I27" s="52">
        <v>6.39</v>
      </c>
      <c r="J27" s="52">
        <v>0.67</v>
      </c>
      <c r="K27" s="52">
        <v>263.79000000000002</v>
      </c>
      <c r="L27" s="52">
        <v>28.38</v>
      </c>
      <c r="M27" s="52">
        <v>77.180000000000007</v>
      </c>
      <c r="N27" s="52">
        <v>7.2</v>
      </c>
      <c r="O27" s="52">
        <v>0</v>
      </c>
      <c r="P27" s="52">
        <v>0.43</v>
      </c>
      <c r="Q27" s="52">
        <v>1.28</v>
      </c>
    </row>
    <row r="28" spans="1:17" customFormat="1">
      <c r="A28" s="51" t="s">
        <v>246</v>
      </c>
      <c r="B28" s="52">
        <v>5.4</v>
      </c>
      <c r="C28" s="52">
        <v>19.14</v>
      </c>
      <c r="D28" s="52">
        <v>13.23</v>
      </c>
      <c r="E28" s="52">
        <v>6.98</v>
      </c>
      <c r="F28" s="52">
        <v>6.39</v>
      </c>
      <c r="G28" s="52">
        <v>39.369999999999997</v>
      </c>
      <c r="H28" s="52">
        <v>8.75</v>
      </c>
      <c r="I28" s="52">
        <v>6.06</v>
      </c>
      <c r="J28" s="52">
        <v>0.8</v>
      </c>
      <c r="K28" s="52">
        <v>264.36</v>
      </c>
      <c r="L28" s="52">
        <v>27.52</v>
      </c>
      <c r="M28" s="52">
        <v>80.52</v>
      </c>
      <c r="N28" s="52">
        <v>0</v>
      </c>
      <c r="O28" s="52">
        <v>0</v>
      </c>
      <c r="P28" s="52">
        <v>0.45</v>
      </c>
      <c r="Q28" s="52">
        <v>1.29</v>
      </c>
    </row>
    <row r="29" spans="1:17" customFormat="1">
      <c r="A29" s="51" t="s">
        <v>247</v>
      </c>
      <c r="B29" s="52">
        <v>5.93</v>
      </c>
      <c r="C29" s="52">
        <v>19.22</v>
      </c>
      <c r="D29" s="52">
        <v>13.75</v>
      </c>
      <c r="E29" s="52">
        <v>7.09</v>
      </c>
      <c r="F29" s="52">
        <v>6.68</v>
      </c>
      <c r="G29" s="52">
        <v>39.369999999999997</v>
      </c>
      <c r="H29" s="52">
        <v>13.26</v>
      </c>
      <c r="I29" s="52">
        <v>5.93</v>
      </c>
      <c r="J29" s="52">
        <v>0.54</v>
      </c>
      <c r="K29" s="52">
        <v>259.86</v>
      </c>
      <c r="L29" s="52">
        <v>27.36</v>
      </c>
      <c r="M29" s="52">
        <v>84.47</v>
      </c>
      <c r="N29" s="52">
        <v>0</v>
      </c>
      <c r="O29" s="52">
        <v>0</v>
      </c>
      <c r="P29" s="52">
        <v>0.46</v>
      </c>
      <c r="Q29" s="52">
        <v>1.34</v>
      </c>
    </row>
    <row r="30" spans="1:17" customFormat="1">
      <c r="A30" s="51" t="s">
        <v>248</v>
      </c>
      <c r="B30" s="52">
        <v>6.22</v>
      </c>
      <c r="C30" s="52">
        <v>19.91</v>
      </c>
      <c r="D30" s="52">
        <v>14.16</v>
      </c>
      <c r="E30" s="52">
        <v>6.69</v>
      </c>
      <c r="F30" s="52">
        <v>5.72</v>
      </c>
      <c r="G30" s="52">
        <v>36.15</v>
      </c>
      <c r="H30" s="52">
        <v>13.26</v>
      </c>
      <c r="I30" s="52">
        <v>5.89</v>
      </c>
      <c r="J30" s="52">
        <v>0.42</v>
      </c>
      <c r="K30" s="52">
        <v>265.8</v>
      </c>
      <c r="L30" s="52">
        <v>26.85</v>
      </c>
      <c r="M30" s="52">
        <v>85.1</v>
      </c>
      <c r="N30" s="52">
        <v>0</v>
      </c>
      <c r="O30" s="52">
        <v>0</v>
      </c>
      <c r="P30" s="52">
        <v>0.5</v>
      </c>
      <c r="Q30" s="52">
        <v>1.33</v>
      </c>
    </row>
    <row r="31" spans="1:17" customFormat="1">
      <c r="A31" s="51" t="s">
        <v>249</v>
      </c>
      <c r="B31" s="52">
        <v>6.7</v>
      </c>
      <c r="C31" s="52">
        <v>19.32</v>
      </c>
      <c r="D31" s="52">
        <v>14.42</v>
      </c>
      <c r="E31" s="52">
        <v>6.29</v>
      </c>
      <c r="F31" s="52">
        <v>5.48</v>
      </c>
      <c r="G31" s="52">
        <v>33.090000000000003</v>
      </c>
      <c r="H31" s="52">
        <v>9.56</v>
      </c>
      <c r="I31" s="52">
        <v>5.42</v>
      </c>
      <c r="J31" s="52">
        <v>0.42</v>
      </c>
      <c r="K31" s="52">
        <v>261.45999999999998</v>
      </c>
      <c r="L31" s="52">
        <v>26.64</v>
      </c>
      <c r="M31" s="52">
        <v>86.48</v>
      </c>
      <c r="N31" s="52">
        <v>0</v>
      </c>
      <c r="O31" s="52">
        <v>0</v>
      </c>
      <c r="P31" s="52">
        <v>0.45</v>
      </c>
      <c r="Q31" s="52">
        <v>1.37</v>
      </c>
    </row>
    <row r="32" spans="1:17" customFormat="1">
      <c r="A32" s="51" t="s">
        <v>250</v>
      </c>
      <c r="B32" s="52">
        <v>7.41</v>
      </c>
      <c r="C32" s="52">
        <v>19.28</v>
      </c>
      <c r="D32" s="52">
        <v>14.97</v>
      </c>
      <c r="E32" s="52">
        <v>6.97</v>
      </c>
      <c r="F32" s="52">
        <v>5.66</v>
      </c>
      <c r="G32" s="52">
        <v>32.33</v>
      </c>
      <c r="H32" s="52">
        <v>9.51</v>
      </c>
      <c r="I32" s="52">
        <v>5.37</v>
      </c>
      <c r="J32" s="52">
        <v>0.42</v>
      </c>
      <c r="K32" s="52">
        <v>264.35000000000002</v>
      </c>
      <c r="L32" s="52">
        <v>26.45</v>
      </c>
      <c r="M32" s="52">
        <v>86.52</v>
      </c>
      <c r="N32" s="52">
        <v>0</v>
      </c>
      <c r="O32" s="52">
        <v>0</v>
      </c>
      <c r="P32" s="52">
        <v>0.44</v>
      </c>
      <c r="Q32" s="52">
        <v>1.4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4.92</v>
      </c>
      <c r="C34" s="41">
        <f t="shared" si="0"/>
        <v>17.170000000000002</v>
      </c>
      <c r="D34" s="41">
        <f t="shared" si="0"/>
        <v>11.98</v>
      </c>
      <c r="E34" s="41">
        <f t="shared" si="0"/>
        <v>6.29</v>
      </c>
      <c r="F34" s="41">
        <f t="shared" si="0"/>
        <v>2.75</v>
      </c>
      <c r="G34" s="41">
        <f t="shared" si="0"/>
        <v>15.35</v>
      </c>
      <c r="H34" s="41">
        <f t="shared" si="0"/>
        <v>3.12</v>
      </c>
      <c r="I34" s="41">
        <f t="shared" si="0"/>
        <v>5.37</v>
      </c>
      <c r="J34" s="41">
        <f t="shared" si="0"/>
        <v>0.41</v>
      </c>
      <c r="K34" s="41">
        <f t="shared" si="0"/>
        <v>259.86</v>
      </c>
      <c r="L34" s="41">
        <f t="shared" si="0"/>
        <v>25.16</v>
      </c>
      <c r="M34" s="41">
        <f t="shared" si="0"/>
        <v>65.3</v>
      </c>
      <c r="N34" s="41">
        <f t="shared" si="0"/>
        <v>0</v>
      </c>
      <c r="O34" s="41">
        <f t="shared" si="0"/>
        <v>0</v>
      </c>
      <c r="P34" s="41">
        <f t="shared" si="0"/>
        <v>0.35</v>
      </c>
      <c r="Q34" s="41">
        <f t="shared" si="0"/>
        <v>1.19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12.78</v>
      </c>
      <c r="C35" s="33">
        <f t="shared" si="1"/>
        <v>20.66</v>
      </c>
      <c r="D35" s="33">
        <f t="shared" si="1"/>
        <v>18.91</v>
      </c>
      <c r="E35" s="33">
        <f t="shared" si="1"/>
        <v>8.0299999999999994</v>
      </c>
      <c r="F35" s="33">
        <f t="shared" si="1"/>
        <v>9.48</v>
      </c>
      <c r="G35" s="33">
        <f t="shared" si="1"/>
        <v>40.76</v>
      </c>
      <c r="H35" s="33">
        <f t="shared" si="1"/>
        <v>13.26</v>
      </c>
      <c r="I35" s="33">
        <f t="shared" si="1"/>
        <v>31.96</v>
      </c>
      <c r="J35" s="33">
        <f t="shared" si="1"/>
        <v>1.39</v>
      </c>
      <c r="K35" s="33">
        <f t="shared" si="1"/>
        <v>297.06</v>
      </c>
      <c r="L35" s="33">
        <f t="shared" si="1"/>
        <v>30.86</v>
      </c>
      <c r="M35" s="33">
        <f t="shared" si="1"/>
        <v>91.07</v>
      </c>
      <c r="N35" s="33">
        <f t="shared" si="1"/>
        <v>624.79999999999995</v>
      </c>
      <c r="O35" s="33">
        <f t="shared" si="1"/>
        <v>0</v>
      </c>
      <c r="P35" s="33">
        <f t="shared" si="1"/>
        <v>0.5</v>
      </c>
      <c r="Q35" s="33">
        <f t="shared" si="1"/>
        <v>1.63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9.2070833333333333</v>
      </c>
      <c r="C36" s="41">
        <f t="shared" si="2"/>
        <v>18.77791666666667</v>
      </c>
      <c r="D36" s="41">
        <f t="shared" si="2"/>
        <v>15.997916666666669</v>
      </c>
      <c r="E36" s="41">
        <f t="shared" si="2"/>
        <v>7.2074999999999996</v>
      </c>
      <c r="F36" s="41">
        <f t="shared" si="2"/>
        <v>4.6366666666666676</v>
      </c>
      <c r="G36" s="41">
        <f t="shared" si="2"/>
        <v>29.827083333333334</v>
      </c>
      <c r="H36" s="41">
        <f t="shared" si="2"/>
        <v>7.8808333333333316</v>
      </c>
      <c r="I36" s="41">
        <f t="shared" si="2"/>
        <v>13.184583333333334</v>
      </c>
      <c r="J36" s="41">
        <f t="shared" si="2"/>
        <v>0.79375000000000029</v>
      </c>
      <c r="K36" s="41">
        <f t="shared" si="2"/>
        <v>269.64375000000001</v>
      </c>
      <c r="L36" s="41">
        <f t="shared" si="2"/>
        <v>27.567916666666672</v>
      </c>
      <c r="M36" s="41">
        <f t="shared" si="2"/>
        <v>80.596666666666664</v>
      </c>
      <c r="N36" s="41">
        <f t="shared" si="2"/>
        <v>149.21249999999998</v>
      </c>
      <c r="O36" s="41">
        <f t="shared" si="2"/>
        <v>0</v>
      </c>
      <c r="P36" s="41">
        <f t="shared" si="2"/>
        <v>0.4212499999999999</v>
      </c>
      <c r="Q36" s="41">
        <f t="shared" si="2"/>
        <v>1.3885714285714281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2.8006016110932275</v>
      </c>
      <c r="C37" s="41">
        <f t="shared" ref="C37:Q37" si="3">STDEV(C9:C32)</f>
        <v>0.81671653944128608</v>
      </c>
      <c r="D37" s="41">
        <f t="shared" si="3"/>
        <v>2.0518517175991309</v>
      </c>
      <c r="E37" s="41">
        <f t="shared" si="3"/>
        <v>0.49193716459834491</v>
      </c>
      <c r="F37" s="41">
        <f t="shared" si="3"/>
        <v>1.7715938946429637</v>
      </c>
      <c r="G37" s="41">
        <f t="shared" si="3"/>
        <v>10.316675180277903</v>
      </c>
      <c r="H37" s="41">
        <f t="shared" si="3"/>
        <v>3.0599743060397149</v>
      </c>
      <c r="I37" s="41">
        <f t="shared" si="3"/>
        <v>7.6687519415208465</v>
      </c>
      <c r="J37" s="41">
        <f t="shared" si="3"/>
        <v>0.26343570290531443</v>
      </c>
      <c r="K37" s="41">
        <f t="shared" si="3"/>
        <v>9.641307782704688</v>
      </c>
      <c r="L37" s="41">
        <f t="shared" si="3"/>
        <v>1.9434258840167529</v>
      </c>
      <c r="M37" s="41">
        <f t="shared" si="3"/>
        <v>8.5539894921541091</v>
      </c>
      <c r="N37" s="41">
        <f t="shared" si="3"/>
        <v>207.03600466648518</v>
      </c>
      <c r="O37" s="41">
        <f t="shared" si="3"/>
        <v>0</v>
      </c>
      <c r="P37" s="41">
        <f t="shared" si="3"/>
        <v>4.7025663668664362E-2</v>
      </c>
      <c r="Q37" s="41">
        <f t="shared" si="3"/>
        <v>0.12883245785827269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251</v>
      </c>
      <c r="B9" s="52">
        <v>11.04</v>
      </c>
      <c r="C9" s="52">
        <v>20.170000000000002</v>
      </c>
      <c r="D9" s="52">
        <v>18.260000000000002</v>
      </c>
      <c r="E9" s="52">
        <v>7.7</v>
      </c>
      <c r="F9" s="52">
        <v>4.1399999999999997</v>
      </c>
      <c r="G9" s="52">
        <v>31.15</v>
      </c>
      <c r="H9" s="52">
        <v>8.64</v>
      </c>
      <c r="I9" s="52">
        <v>5.21</v>
      </c>
      <c r="J9" s="52">
        <v>0.52</v>
      </c>
      <c r="K9" s="52">
        <v>261.63</v>
      </c>
      <c r="L9" s="52">
        <v>26.34</v>
      </c>
      <c r="M9" s="52">
        <v>87.9</v>
      </c>
      <c r="N9" s="52">
        <v>0</v>
      </c>
      <c r="O9" s="52">
        <v>0</v>
      </c>
      <c r="P9" s="52">
        <v>0.45</v>
      </c>
      <c r="Q9" s="52">
        <v>1.49</v>
      </c>
      <c r="R9" s="50"/>
      <c r="S9" s="50"/>
      <c r="T9" s="50"/>
      <c r="U9" s="50"/>
    </row>
    <row r="10" spans="1:21" customFormat="1">
      <c r="A10" s="51" t="s">
        <v>252</v>
      </c>
      <c r="B10" s="52">
        <v>12.08</v>
      </c>
      <c r="C10" s="52">
        <v>19.850000000000001</v>
      </c>
      <c r="D10" s="52">
        <v>18.690000000000001</v>
      </c>
      <c r="E10" s="52">
        <v>7.59</v>
      </c>
      <c r="F10" s="52">
        <v>4.75</v>
      </c>
      <c r="G10" s="52">
        <v>25.64</v>
      </c>
      <c r="H10" s="52">
        <v>7.76</v>
      </c>
      <c r="I10" s="52">
        <v>5.14</v>
      </c>
      <c r="J10" s="52">
        <v>0.4</v>
      </c>
      <c r="K10" s="52">
        <v>261.67</v>
      </c>
      <c r="L10" s="52">
        <v>25.99</v>
      </c>
      <c r="M10" s="52">
        <v>88.38</v>
      </c>
      <c r="N10" s="52">
        <v>0</v>
      </c>
      <c r="O10" s="52">
        <v>0</v>
      </c>
      <c r="P10" s="52">
        <v>0.45</v>
      </c>
      <c r="Q10" s="52">
        <v>1.52</v>
      </c>
      <c r="R10" s="50"/>
      <c r="S10" s="50"/>
      <c r="T10" s="50"/>
      <c r="U10" s="50"/>
    </row>
    <row r="11" spans="1:21" customFormat="1">
      <c r="A11" s="51" t="s">
        <v>253</v>
      </c>
      <c r="B11" s="52">
        <v>12.36</v>
      </c>
      <c r="C11" s="52">
        <v>21.17</v>
      </c>
      <c r="D11" s="52">
        <v>19.739999999999998</v>
      </c>
      <c r="E11" s="52">
        <v>7.53</v>
      </c>
      <c r="F11" s="52">
        <v>3.69</v>
      </c>
      <c r="G11" s="52">
        <v>23.79</v>
      </c>
      <c r="H11" s="52">
        <v>7.02</v>
      </c>
      <c r="I11" s="52">
        <v>5.03</v>
      </c>
      <c r="J11" s="52">
        <v>0.61</v>
      </c>
      <c r="K11" s="52">
        <v>262.95</v>
      </c>
      <c r="L11" s="52">
        <v>25.85</v>
      </c>
      <c r="M11" s="52">
        <v>87.39</v>
      </c>
      <c r="N11" s="52">
        <v>0</v>
      </c>
      <c r="O11" s="52">
        <v>0</v>
      </c>
      <c r="P11" s="52">
        <v>0.48</v>
      </c>
      <c r="Q11" s="52">
        <v>1.58</v>
      </c>
      <c r="R11" s="50"/>
      <c r="S11" s="50"/>
      <c r="T11" s="50"/>
      <c r="U11" s="50"/>
    </row>
    <row r="12" spans="1:21" customFormat="1">
      <c r="A12" s="53">
        <v>45147.166666666664</v>
      </c>
      <c r="B12" s="52">
        <v>12.55</v>
      </c>
      <c r="C12" s="52">
        <v>20.190000000000001</v>
      </c>
      <c r="D12" s="52">
        <v>19.559999999999999</v>
      </c>
      <c r="E12" s="52">
        <v>7.39</v>
      </c>
      <c r="F12" s="52">
        <v>3.37</v>
      </c>
      <c r="G12" s="52">
        <v>23.74</v>
      </c>
      <c r="H12" s="52">
        <v>5.0199999999999996</v>
      </c>
      <c r="I12" s="52">
        <v>4.76</v>
      </c>
      <c r="J12" s="52">
        <v>0.64</v>
      </c>
      <c r="K12" s="52">
        <v>265.39999999999998</v>
      </c>
      <c r="L12" s="52">
        <v>25.72</v>
      </c>
      <c r="M12" s="52">
        <v>87.4</v>
      </c>
      <c r="N12" s="52">
        <v>0</v>
      </c>
      <c r="O12" s="52">
        <v>0</v>
      </c>
      <c r="P12" s="52">
        <v>0.42</v>
      </c>
      <c r="Q12" s="52">
        <v>1.59</v>
      </c>
      <c r="R12" s="50"/>
      <c r="S12" s="50"/>
      <c r="T12" s="50"/>
      <c r="U12" s="50"/>
    </row>
    <row r="13" spans="1:21" customFormat="1">
      <c r="A13" s="51" t="s">
        <v>254</v>
      </c>
      <c r="B13" s="52">
        <v>13.35</v>
      </c>
      <c r="C13" s="52">
        <v>20.54</v>
      </c>
      <c r="D13" s="52">
        <v>20.170000000000002</v>
      </c>
      <c r="E13" s="52">
        <v>7.5</v>
      </c>
      <c r="F13" s="52">
        <v>2.87</v>
      </c>
      <c r="G13" s="52">
        <v>23.72</v>
      </c>
      <c r="H13" s="52">
        <v>6.21</v>
      </c>
      <c r="I13" s="52">
        <v>4.5599999999999996</v>
      </c>
      <c r="J13" s="52">
        <v>0.78</v>
      </c>
      <c r="K13" s="52">
        <v>265.66000000000003</v>
      </c>
      <c r="L13" s="52">
        <v>25.61</v>
      </c>
      <c r="M13" s="52">
        <v>87.63</v>
      </c>
      <c r="N13" s="52">
        <v>0</v>
      </c>
      <c r="O13" s="52">
        <v>0</v>
      </c>
      <c r="P13" s="52">
        <v>0.44</v>
      </c>
      <c r="Q13" s="52">
        <v>1.6</v>
      </c>
      <c r="R13" s="50"/>
      <c r="S13" s="50"/>
      <c r="T13" s="50"/>
      <c r="U13" s="50"/>
    </row>
    <row r="14" spans="1:21" customFormat="1">
      <c r="A14" s="51" t="s">
        <v>255</v>
      </c>
      <c r="B14" s="52">
        <v>13.89</v>
      </c>
      <c r="C14" s="52">
        <v>20.54</v>
      </c>
      <c r="D14" s="52">
        <v>20.59</v>
      </c>
      <c r="E14" s="52">
        <v>7.53</v>
      </c>
      <c r="F14" s="52">
        <v>3.19</v>
      </c>
      <c r="G14" s="52">
        <v>23.72</v>
      </c>
      <c r="H14" s="52">
        <v>8.4600000000000009</v>
      </c>
      <c r="I14" s="52">
        <v>4.57</v>
      </c>
      <c r="J14" s="52">
        <v>0.72</v>
      </c>
      <c r="K14" s="52">
        <v>265.3</v>
      </c>
      <c r="L14" s="52">
        <v>25.58</v>
      </c>
      <c r="M14" s="52">
        <v>87.37</v>
      </c>
      <c r="N14" s="52">
        <v>1.2</v>
      </c>
      <c r="O14" s="52">
        <v>0</v>
      </c>
      <c r="P14" s="52">
        <v>0.45</v>
      </c>
      <c r="Q14" s="52">
        <v>1.64</v>
      </c>
      <c r="R14" s="50"/>
      <c r="S14" s="50"/>
      <c r="T14" s="50"/>
      <c r="U14" s="50"/>
    </row>
    <row r="15" spans="1:21" customFormat="1">
      <c r="A15" s="51" t="s">
        <v>256</v>
      </c>
      <c r="B15" s="52">
        <v>14.83</v>
      </c>
      <c r="C15" s="52">
        <v>20.69</v>
      </c>
      <c r="D15" s="52">
        <v>21.49</v>
      </c>
      <c r="E15" s="52">
        <v>7.72</v>
      </c>
      <c r="F15" s="52">
        <v>2.73</v>
      </c>
      <c r="G15" s="52">
        <v>26.03</v>
      </c>
      <c r="H15" s="52">
        <v>8.4600000000000009</v>
      </c>
      <c r="I15" s="52">
        <v>4.5599999999999996</v>
      </c>
      <c r="J15" s="52">
        <v>0.6</v>
      </c>
      <c r="K15" s="52">
        <v>264.99</v>
      </c>
      <c r="L15" s="52">
        <v>25.82</v>
      </c>
      <c r="M15" s="52">
        <v>87.13</v>
      </c>
      <c r="N15" s="52">
        <v>57.3</v>
      </c>
      <c r="O15" s="52">
        <v>0</v>
      </c>
      <c r="P15" s="52">
        <v>0.46</v>
      </c>
      <c r="Q15" s="52">
        <v>1.71</v>
      </c>
      <c r="R15" s="50"/>
      <c r="S15" s="50"/>
      <c r="T15" s="50"/>
      <c r="U15" s="50"/>
    </row>
    <row r="16" spans="1:21" customFormat="1">
      <c r="A16" s="51" t="s">
        <v>257</v>
      </c>
      <c r="B16" s="52">
        <v>15.21</v>
      </c>
      <c r="C16" s="52">
        <v>19.829999999999998</v>
      </c>
      <c r="D16" s="52">
        <v>21.25</v>
      </c>
      <c r="E16" s="52">
        <v>7.59</v>
      </c>
      <c r="F16" s="52">
        <v>2.8</v>
      </c>
      <c r="G16" s="52">
        <v>26.25</v>
      </c>
      <c r="H16" s="52">
        <v>8.0299999999999994</v>
      </c>
      <c r="I16" s="52">
        <v>4.6900000000000004</v>
      </c>
      <c r="J16" s="52">
        <v>0.65</v>
      </c>
      <c r="K16" s="52">
        <v>269.64</v>
      </c>
      <c r="L16" s="52">
        <v>26.69</v>
      </c>
      <c r="M16" s="52">
        <v>86.4</v>
      </c>
      <c r="N16" s="52">
        <v>155.19999999999999</v>
      </c>
      <c r="O16" s="52">
        <v>0</v>
      </c>
      <c r="P16" s="52">
        <v>0.53</v>
      </c>
      <c r="Q16" s="52">
        <v>1.73</v>
      </c>
      <c r="R16" s="50"/>
      <c r="S16" s="50"/>
      <c r="T16" s="50"/>
      <c r="U16" s="50"/>
    </row>
    <row r="17" spans="1:21" customFormat="1">
      <c r="A17" s="51" t="s">
        <v>258</v>
      </c>
      <c r="B17" s="52">
        <v>15.12</v>
      </c>
      <c r="C17" s="52">
        <v>18.25</v>
      </c>
      <c r="D17" s="52">
        <v>20.58</v>
      </c>
      <c r="E17" s="52">
        <v>6.78</v>
      </c>
      <c r="F17" s="52">
        <v>3.02</v>
      </c>
      <c r="G17" s="52">
        <v>27.76</v>
      </c>
      <c r="H17" s="52">
        <v>8.8800000000000008</v>
      </c>
      <c r="I17" s="52">
        <v>5.12</v>
      </c>
      <c r="J17" s="52">
        <v>1.1000000000000001</v>
      </c>
      <c r="K17" s="52">
        <v>279.92</v>
      </c>
      <c r="L17" s="52">
        <v>28.38</v>
      </c>
      <c r="M17" s="52">
        <v>79.97</v>
      </c>
      <c r="N17" s="52">
        <v>259.89999999999998</v>
      </c>
      <c r="O17" s="52">
        <v>0</v>
      </c>
      <c r="P17" s="52">
        <v>0.51</v>
      </c>
      <c r="Q17" s="52">
        <v>1.68</v>
      </c>
      <c r="R17" s="50"/>
      <c r="S17" s="50"/>
      <c r="T17" s="50"/>
      <c r="U17" s="50"/>
    </row>
    <row r="18" spans="1:21" customFormat="1">
      <c r="A18" s="51" t="s">
        <v>259</v>
      </c>
      <c r="B18" s="52">
        <v>15.09</v>
      </c>
      <c r="C18" s="52">
        <v>20.49</v>
      </c>
      <c r="D18" s="52">
        <v>21.52</v>
      </c>
      <c r="E18" s="52">
        <v>7.41</v>
      </c>
      <c r="F18" s="52">
        <v>2.99</v>
      </c>
      <c r="G18" s="52">
        <v>33.42</v>
      </c>
      <c r="H18" s="52">
        <v>10.8</v>
      </c>
      <c r="I18" s="52">
        <v>5.82</v>
      </c>
      <c r="J18" s="52">
        <v>1.08</v>
      </c>
      <c r="K18" s="52">
        <v>275.39999999999998</v>
      </c>
      <c r="L18" s="52">
        <v>29.46</v>
      </c>
      <c r="M18" s="52">
        <v>75.17</v>
      </c>
      <c r="N18" s="52">
        <v>384.8</v>
      </c>
      <c r="O18" s="52">
        <v>0</v>
      </c>
      <c r="P18" s="52">
        <v>0.54</v>
      </c>
      <c r="Q18" s="52">
        <v>1.7</v>
      </c>
      <c r="R18" s="50"/>
      <c r="S18" s="50"/>
      <c r="T18" s="50"/>
      <c r="U18" s="50"/>
    </row>
    <row r="19" spans="1:21" customFormat="1">
      <c r="A19" s="51" t="s">
        <v>260</v>
      </c>
      <c r="B19" s="52">
        <v>14.45</v>
      </c>
      <c r="C19" s="52">
        <v>18.899999999999999</v>
      </c>
      <c r="D19" s="52">
        <v>20.41</v>
      </c>
      <c r="E19" s="52">
        <v>7.61</v>
      </c>
      <c r="F19" s="52">
        <v>4.6100000000000003</v>
      </c>
      <c r="G19" s="52">
        <v>36.450000000000003</v>
      </c>
      <c r="H19" s="52">
        <v>10.8</v>
      </c>
      <c r="I19" s="52">
        <v>5.89</v>
      </c>
      <c r="J19" s="52">
        <v>1.03</v>
      </c>
      <c r="K19" s="52">
        <v>304.92</v>
      </c>
      <c r="L19" s="52">
        <v>29.77</v>
      </c>
      <c r="M19" s="52">
        <v>71.06</v>
      </c>
      <c r="N19" s="52">
        <v>440.6</v>
      </c>
      <c r="O19" s="52">
        <v>0</v>
      </c>
      <c r="P19" s="52">
        <v>0.52</v>
      </c>
      <c r="Q19" s="52">
        <v>1.64</v>
      </c>
      <c r="R19" s="50"/>
      <c r="S19" s="50"/>
      <c r="T19" s="50"/>
      <c r="U19" s="50"/>
    </row>
    <row r="20" spans="1:21" customFormat="1">
      <c r="A20" s="51" t="s">
        <v>261</v>
      </c>
      <c r="B20" s="52">
        <v>11.34</v>
      </c>
      <c r="C20" s="52">
        <v>18.68</v>
      </c>
      <c r="D20" s="52">
        <v>17.809999999999999</v>
      </c>
      <c r="E20" s="52">
        <v>7.75</v>
      </c>
      <c r="F20" s="52">
        <v>22.99</v>
      </c>
      <c r="G20" s="52">
        <v>39.86</v>
      </c>
      <c r="H20" s="52">
        <v>10.97</v>
      </c>
      <c r="I20" s="52">
        <v>5.55</v>
      </c>
      <c r="J20" s="52">
        <v>1.17</v>
      </c>
      <c r="K20" s="52">
        <v>279.07</v>
      </c>
      <c r="L20" s="52">
        <v>31.36</v>
      </c>
      <c r="M20" s="52">
        <v>67.819999999999993</v>
      </c>
      <c r="N20" s="52">
        <v>776.3</v>
      </c>
      <c r="O20" s="52">
        <v>0</v>
      </c>
      <c r="P20" s="52">
        <v>0.45</v>
      </c>
      <c r="Q20" s="52">
        <v>1.53</v>
      </c>
      <c r="R20" s="50"/>
      <c r="S20" s="50"/>
      <c r="T20" s="50"/>
      <c r="U20" s="50"/>
    </row>
    <row r="21" spans="1:21" customFormat="1">
      <c r="A21" s="51" t="s">
        <v>262</v>
      </c>
      <c r="B21" s="52">
        <v>3.01</v>
      </c>
      <c r="C21" s="52">
        <v>17.96</v>
      </c>
      <c r="D21" s="52">
        <v>9.82</v>
      </c>
      <c r="E21" s="52">
        <v>7.44</v>
      </c>
      <c r="F21" s="52">
        <v>18.73</v>
      </c>
      <c r="G21" s="52">
        <v>40.840000000000003</v>
      </c>
      <c r="H21" s="52">
        <v>12.26</v>
      </c>
      <c r="I21" s="52">
        <v>2.02</v>
      </c>
      <c r="J21" s="52">
        <v>0.9</v>
      </c>
      <c r="K21" s="52">
        <v>289.11</v>
      </c>
      <c r="L21" s="52">
        <v>31.04</v>
      </c>
      <c r="M21" s="52">
        <v>66.680000000000007</v>
      </c>
      <c r="N21" s="52">
        <v>433.2</v>
      </c>
      <c r="O21" s="52">
        <v>0</v>
      </c>
      <c r="P21" s="52">
        <v>0.38</v>
      </c>
      <c r="Q21" s="52">
        <v>0.9</v>
      </c>
      <c r="R21" s="50"/>
      <c r="S21" s="50"/>
      <c r="T21" s="50"/>
      <c r="U21" s="50"/>
    </row>
    <row r="22" spans="1:21" customFormat="1">
      <c r="A22" s="51" t="s">
        <v>263</v>
      </c>
      <c r="B22" s="52">
        <v>3.1</v>
      </c>
      <c r="C22" s="52">
        <v>17.88</v>
      </c>
      <c r="D22" s="52">
        <v>9.92</v>
      </c>
      <c r="E22" s="52">
        <v>7.32</v>
      </c>
      <c r="F22" s="52">
        <v>11.48</v>
      </c>
      <c r="G22" s="52">
        <v>40.840000000000003</v>
      </c>
      <c r="H22" s="52">
        <v>12.26</v>
      </c>
      <c r="I22" s="52">
        <v>2.37</v>
      </c>
      <c r="J22" s="52">
        <v>0.76</v>
      </c>
      <c r="K22" s="52">
        <v>261.73</v>
      </c>
      <c r="L22" s="52">
        <v>30.49</v>
      </c>
      <c r="M22" s="52">
        <v>70.94</v>
      </c>
      <c r="N22" s="52">
        <v>371.9</v>
      </c>
      <c r="O22" s="52">
        <v>0</v>
      </c>
      <c r="P22" s="52">
        <v>0.37</v>
      </c>
      <c r="Q22" s="52">
        <v>3.25</v>
      </c>
      <c r="R22" s="50"/>
      <c r="S22" s="50"/>
      <c r="T22" s="50"/>
      <c r="U22" s="50"/>
    </row>
    <row r="23" spans="1:21" customFormat="1">
      <c r="A23" s="51" t="s">
        <v>264</v>
      </c>
      <c r="B23" s="52">
        <v>3.51</v>
      </c>
      <c r="C23" s="52">
        <v>15.98</v>
      </c>
      <c r="D23" s="52">
        <v>10.07</v>
      </c>
      <c r="E23" s="52">
        <v>6.93</v>
      </c>
      <c r="F23" s="52">
        <v>6.78</v>
      </c>
      <c r="G23" s="11" t="s">
        <v>12</v>
      </c>
      <c r="H23" s="11" t="s">
        <v>12</v>
      </c>
      <c r="I23" s="52">
        <v>2.54</v>
      </c>
      <c r="J23" s="52">
        <v>0.8</v>
      </c>
      <c r="K23" s="52">
        <v>262.01</v>
      </c>
      <c r="L23" s="52">
        <v>31.45</v>
      </c>
      <c r="M23" s="52">
        <v>67.66</v>
      </c>
      <c r="N23" s="52">
        <v>476.3</v>
      </c>
      <c r="O23" s="52">
        <v>0</v>
      </c>
      <c r="P23" s="52">
        <v>0.4</v>
      </c>
      <c r="Q23" s="52">
        <v>4.03</v>
      </c>
      <c r="R23" s="50"/>
      <c r="S23" s="50"/>
      <c r="T23" s="50"/>
      <c r="U23" s="50"/>
    </row>
    <row r="24" spans="1:21" customFormat="1">
      <c r="A24" s="51" t="s">
        <v>265</v>
      </c>
      <c r="B24" s="52">
        <v>5.67</v>
      </c>
      <c r="C24" s="52">
        <v>18.5</v>
      </c>
      <c r="D24" s="52">
        <v>13.17</v>
      </c>
      <c r="E24" s="52">
        <v>6.24</v>
      </c>
      <c r="F24" s="52">
        <v>7.35</v>
      </c>
      <c r="G24" s="52">
        <v>41.63</v>
      </c>
      <c r="H24" s="52">
        <v>36.6</v>
      </c>
      <c r="I24" s="52">
        <v>2.95</v>
      </c>
      <c r="J24" s="52">
        <v>1.1200000000000001</v>
      </c>
      <c r="K24" s="52">
        <v>265.48</v>
      </c>
      <c r="L24" s="52">
        <v>30.62</v>
      </c>
      <c r="M24" s="52">
        <v>73.25</v>
      </c>
      <c r="N24" s="52">
        <v>255.2</v>
      </c>
      <c r="O24" s="52">
        <v>1.2</v>
      </c>
      <c r="P24" s="52">
        <v>0.42</v>
      </c>
      <c r="Q24" s="52">
        <v>3.89</v>
      </c>
      <c r="R24" s="50"/>
      <c r="S24" s="50"/>
      <c r="T24" s="50"/>
      <c r="U24" s="50"/>
    </row>
    <row r="25" spans="1:21" customFormat="1">
      <c r="A25" s="51" t="s">
        <v>266</v>
      </c>
      <c r="B25" s="52">
        <v>8.93</v>
      </c>
      <c r="C25" s="52">
        <v>19.32</v>
      </c>
      <c r="D25" s="52">
        <v>16.21</v>
      </c>
      <c r="E25" s="52">
        <v>5.99</v>
      </c>
      <c r="F25" s="52">
        <v>5.2</v>
      </c>
      <c r="G25" s="52">
        <v>42.55</v>
      </c>
      <c r="H25" s="52">
        <v>27.58</v>
      </c>
      <c r="I25" s="52">
        <v>3.03</v>
      </c>
      <c r="J25" s="52">
        <v>0.88</v>
      </c>
      <c r="K25" s="52">
        <v>340.28</v>
      </c>
      <c r="L25" s="52">
        <v>26.36</v>
      </c>
      <c r="M25" s="52">
        <v>92.99</v>
      </c>
      <c r="N25" s="52">
        <v>46.8</v>
      </c>
      <c r="O25" s="52">
        <v>1.4</v>
      </c>
      <c r="P25" s="52">
        <v>0.46</v>
      </c>
      <c r="Q25" s="52">
        <v>4.17</v>
      </c>
      <c r="R25" s="50"/>
      <c r="S25" s="50"/>
      <c r="T25" s="50"/>
      <c r="U25" s="50"/>
    </row>
    <row r="26" spans="1:21" customFormat="1">
      <c r="A26" s="51" t="s">
        <v>267</v>
      </c>
      <c r="B26" s="52">
        <v>9.5500000000000007</v>
      </c>
      <c r="C26" s="52">
        <v>20.61</v>
      </c>
      <c r="D26" s="52">
        <v>17.38</v>
      </c>
      <c r="E26" s="52">
        <v>6.34</v>
      </c>
      <c r="F26" s="52">
        <v>4.5199999999999996</v>
      </c>
      <c r="G26" s="52">
        <v>45.35</v>
      </c>
      <c r="H26" s="52">
        <v>17.04</v>
      </c>
      <c r="I26" s="52">
        <v>3.42</v>
      </c>
      <c r="J26" s="52">
        <v>0.22</v>
      </c>
      <c r="K26" s="52">
        <v>198.98</v>
      </c>
      <c r="L26" s="52">
        <v>26.47</v>
      </c>
      <c r="M26" s="52">
        <v>93.77</v>
      </c>
      <c r="N26" s="52">
        <v>29.6</v>
      </c>
      <c r="O26" s="52">
        <v>0.2</v>
      </c>
      <c r="P26" s="52">
        <v>0.52</v>
      </c>
      <c r="Q26" s="52">
        <v>4.37</v>
      </c>
      <c r="R26" s="50"/>
      <c r="S26" s="50"/>
      <c r="T26" s="50"/>
      <c r="U26" s="50"/>
    </row>
    <row r="27" spans="1:21" customFormat="1">
      <c r="A27" s="51" t="s">
        <v>268</v>
      </c>
      <c r="B27" s="52">
        <v>11.57</v>
      </c>
      <c r="C27" s="52">
        <v>21.91</v>
      </c>
      <c r="D27" s="52">
        <v>18.8</v>
      </c>
      <c r="E27" s="52">
        <v>4.9400000000000004</v>
      </c>
      <c r="F27" s="52">
        <v>4.57</v>
      </c>
      <c r="G27" s="52">
        <v>42.36</v>
      </c>
      <c r="H27" s="52">
        <v>20.66</v>
      </c>
      <c r="I27" s="52">
        <v>3.73</v>
      </c>
      <c r="J27" s="52">
        <v>0.39</v>
      </c>
      <c r="K27" s="52">
        <v>351.68</v>
      </c>
      <c r="L27" s="52">
        <v>26.52</v>
      </c>
      <c r="M27" s="52">
        <v>97.72</v>
      </c>
      <c r="N27" s="52">
        <v>1</v>
      </c>
      <c r="O27" s="52">
        <v>10</v>
      </c>
      <c r="P27" s="52">
        <v>0.56000000000000005</v>
      </c>
      <c r="Q27" s="52">
        <v>4.5199999999999996</v>
      </c>
      <c r="R27" s="50"/>
      <c r="S27" s="50"/>
      <c r="T27" s="50"/>
      <c r="U27" s="50"/>
    </row>
    <row r="28" spans="1:21" customFormat="1">
      <c r="A28" s="51" t="s">
        <v>269</v>
      </c>
      <c r="B28" s="52">
        <v>12.25</v>
      </c>
      <c r="C28" s="52">
        <v>21.6</v>
      </c>
      <c r="D28" s="52">
        <v>19.78</v>
      </c>
      <c r="E28" s="52">
        <v>5.78</v>
      </c>
      <c r="F28" s="52">
        <v>3.09</v>
      </c>
      <c r="G28" s="52">
        <v>39.869999999999997</v>
      </c>
      <c r="H28" s="52">
        <v>13.22</v>
      </c>
      <c r="I28" s="52">
        <v>3.8</v>
      </c>
      <c r="J28" s="52">
        <v>0.23</v>
      </c>
      <c r="K28" s="52">
        <v>230.33</v>
      </c>
      <c r="L28" s="52">
        <v>24.13</v>
      </c>
      <c r="M28" s="52">
        <v>99.13</v>
      </c>
      <c r="N28" s="52">
        <v>0</v>
      </c>
      <c r="O28" s="52">
        <v>0</v>
      </c>
      <c r="P28" s="52">
        <v>0.52</v>
      </c>
      <c r="Q28" s="52">
        <v>4.62</v>
      </c>
      <c r="R28" s="50"/>
      <c r="S28" s="50"/>
      <c r="T28" s="50"/>
      <c r="U28" s="50"/>
    </row>
    <row r="29" spans="1:21" customFormat="1">
      <c r="A29" s="51" t="s">
        <v>270</v>
      </c>
      <c r="B29" s="52">
        <v>13.23</v>
      </c>
      <c r="C29" s="52">
        <v>21.74</v>
      </c>
      <c r="D29" s="52">
        <v>20.92</v>
      </c>
      <c r="E29" s="52">
        <v>6.65</v>
      </c>
      <c r="F29" s="52">
        <v>3.01</v>
      </c>
      <c r="G29" s="52">
        <v>33.5</v>
      </c>
      <c r="H29" s="52">
        <v>9.0500000000000007</v>
      </c>
      <c r="I29" s="52">
        <v>3.87</v>
      </c>
      <c r="J29" s="52">
        <v>0.12</v>
      </c>
      <c r="K29" s="52">
        <v>206.43</v>
      </c>
      <c r="L29" s="52">
        <v>24.68</v>
      </c>
      <c r="M29" s="52">
        <v>99.22</v>
      </c>
      <c r="N29" s="52">
        <v>0</v>
      </c>
      <c r="O29" s="52">
        <v>0</v>
      </c>
      <c r="P29" s="52">
        <v>0.56000000000000005</v>
      </c>
      <c r="Q29" s="52">
        <v>4.7</v>
      </c>
      <c r="R29" s="50"/>
      <c r="S29" s="50"/>
      <c r="T29" s="50"/>
      <c r="U29" s="50"/>
    </row>
    <row r="30" spans="1:21" customFormat="1">
      <c r="A30" s="51" t="s">
        <v>271</v>
      </c>
      <c r="B30" s="52">
        <v>14.16</v>
      </c>
      <c r="C30" s="52">
        <v>21.27</v>
      </c>
      <c r="D30" s="52">
        <v>21.17</v>
      </c>
      <c r="E30" s="52">
        <v>6.69</v>
      </c>
      <c r="F30" s="52">
        <v>3.85</v>
      </c>
      <c r="G30" s="52">
        <v>27.71</v>
      </c>
      <c r="H30" s="52">
        <v>6.6</v>
      </c>
      <c r="I30" s="52">
        <v>4.08</v>
      </c>
      <c r="J30" s="52">
        <v>0.14000000000000001</v>
      </c>
      <c r="K30" s="52">
        <v>228.86</v>
      </c>
      <c r="L30" s="52">
        <v>24.82</v>
      </c>
      <c r="M30" s="52">
        <v>99.23</v>
      </c>
      <c r="N30" s="52">
        <v>0</v>
      </c>
      <c r="O30" s="52">
        <v>0</v>
      </c>
      <c r="P30" s="52">
        <v>0.56999999999999995</v>
      </c>
      <c r="Q30" s="52">
        <v>4.71</v>
      </c>
      <c r="R30" s="50"/>
      <c r="S30" s="50"/>
      <c r="T30" s="50"/>
      <c r="U30" s="50"/>
    </row>
    <row r="31" spans="1:21" customFormat="1">
      <c r="A31" s="51" t="s">
        <v>272</v>
      </c>
      <c r="B31" s="52">
        <v>14.81</v>
      </c>
      <c r="C31" s="52">
        <v>20.81</v>
      </c>
      <c r="D31" s="52">
        <v>21.59</v>
      </c>
      <c r="E31" s="52">
        <v>6.73</v>
      </c>
      <c r="F31" s="52">
        <v>4.29</v>
      </c>
      <c r="G31" s="52">
        <v>26.06</v>
      </c>
      <c r="H31" s="52">
        <v>6.05</v>
      </c>
      <c r="I31" s="52">
        <v>4.1500000000000004</v>
      </c>
      <c r="J31" s="52">
        <v>0.32</v>
      </c>
      <c r="K31" s="52">
        <v>260.47000000000003</v>
      </c>
      <c r="L31" s="52">
        <v>25.16</v>
      </c>
      <c r="M31" s="52">
        <v>99.23</v>
      </c>
      <c r="N31" s="52">
        <v>0</v>
      </c>
      <c r="O31" s="52">
        <v>0</v>
      </c>
      <c r="P31" s="52">
        <v>0.56000000000000005</v>
      </c>
      <c r="Q31" s="52">
        <v>4.75</v>
      </c>
      <c r="R31" s="50"/>
      <c r="S31" s="50"/>
      <c r="T31" s="50"/>
      <c r="U31" s="50"/>
    </row>
    <row r="32" spans="1:21" customFormat="1">
      <c r="A32" s="51" t="s">
        <v>273</v>
      </c>
      <c r="B32" s="52">
        <v>14.43</v>
      </c>
      <c r="C32" s="52">
        <v>20.78</v>
      </c>
      <c r="D32" s="52">
        <v>21.38</v>
      </c>
      <c r="E32" s="52">
        <v>6.45</v>
      </c>
      <c r="F32" s="52">
        <v>3.7</v>
      </c>
      <c r="G32" s="52">
        <v>23.43</v>
      </c>
      <c r="H32" s="52">
        <v>7.28</v>
      </c>
      <c r="I32" s="52">
        <v>4.08</v>
      </c>
      <c r="J32" s="52">
        <v>0.46</v>
      </c>
      <c r="K32" s="52">
        <v>262.94</v>
      </c>
      <c r="L32" s="52">
        <v>25.08</v>
      </c>
      <c r="M32" s="52">
        <v>99.24</v>
      </c>
      <c r="N32" s="52">
        <v>0</v>
      </c>
      <c r="O32" s="52">
        <v>0</v>
      </c>
      <c r="P32" s="52">
        <v>0.57999999999999996</v>
      </c>
      <c r="Q32" s="52">
        <v>4.6900000000000004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3.01</v>
      </c>
      <c r="C34" s="41">
        <f t="shared" si="0"/>
        <v>15.98</v>
      </c>
      <c r="D34" s="41">
        <f t="shared" si="0"/>
        <v>9.82</v>
      </c>
      <c r="E34" s="41">
        <f t="shared" si="0"/>
        <v>4.9400000000000004</v>
      </c>
      <c r="F34" s="41">
        <f t="shared" si="0"/>
        <v>2.73</v>
      </c>
      <c r="G34" s="41">
        <f t="shared" si="0"/>
        <v>23.43</v>
      </c>
      <c r="H34" s="41">
        <f t="shared" si="0"/>
        <v>5.0199999999999996</v>
      </c>
      <c r="I34" s="41">
        <f t="shared" si="0"/>
        <v>2.02</v>
      </c>
      <c r="J34" s="41">
        <f t="shared" si="0"/>
        <v>0.12</v>
      </c>
      <c r="K34" s="41">
        <f t="shared" si="0"/>
        <v>198.98</v>
      </c>
      <c r="L34" s="41">
        <f t="shared" si="0"/>
        <v>24.13</v>
      </c>
      <c r="M34" s="41">
        <f t="shared" si="0"/>
        <v>66.680000000000007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0.9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15.21</v>
      </c>
      <c r="C35" s="33">
        <f t="shared" si="1"/>
        <v>21.91</v>
      </c>
      <c r="D35" s="33">
        <f t="shared" si="1"/>
        <v>21.59</v>
      </c>
      <c r="E35" s="33">
        <f t="shared" si="1"/>
        <v>7.75</v>
      </c>
      <c r="F35" s="33">
        <f t="shared" si="1"/>
        <v>22.99</v>
      </c>
      <c r="G35" s="33">
        <f t="shared" si="1"/>
        <v>45.35</v>
      </c>
      <c r="H35" s="33">
        <f t="shared" si="1"/>
        <v>36.6</v>
      </c>
      <c r="I35" s="33">
        <f t="shared" si="1"/>
        <v>5.89</v>
      </c>
      <c r="J35" s="33">
        <f t="shared" si="1"/>
        <v>1.17</v>
      </c>
      <c r="K35" s="33">
        <f t="shared" si="1"/>
        <v>351.68</v>
      </c>
      <c r="L35" s="33">
        <f t="shared" si="1"/>
        <v>31.45</v>
      </c>
      <c r="M35" s="33">
        <f t="shared" si="1"/>
        <v>99.24</v>
      </c>
      <c r="N35" s="33">
        <f t="shared" si="1"/>
        <v>776.3</v>
      </c>
      <c r="O35" s="33">
        <f t="shared" si="1"/>
        <v>10</v>
      </c>
      <c r="P35" s="33">
        <f t="shared" si="1"/>
        <v>0.57999999999999996</v>
      </c>
      <c r="Q35" s="33">
        <f t="shared" si="1"/>
        <v>4.75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11.480416666666665</v>
      </c>
      <c r="C36" s="41">
        <f t="shared" si="2"/>
        <v>19.902500000000003</v>
      </c>
      <c r="D36" s="41">
        <f t="shared" si="2"/>
        <v>18.345000000000002</v>
      </c>
      <c r="E36" s="41">
        <f t="shared" si="2"/>
        <v>6.9833333333333316</v>
      </c>
      <c r="F36" s="41">
        <f t="shared" si="2"/>
        <v>5.7383333333333333</v>
      </c>
      <c r="G36" s="41">
        <f t="shared" si="2"/>
        <v>32.420434782608694</v>
      </c>
      <c r="H36" s="41">
        <f t="shared" si="2"/>
        <v>11.723913043478261</v>
      </c>
      <c r="I36" s="41">
        <f t="shared" si="2"/>
        <v>4.2058333333333335</v>
      </c>
      <c r="J36" s="41">
        <f t="shared" si="2"/>
        <v>0.65166666666666673</v>
      </c>
      <c r="K36" s="41">
        <f t="shared" si="2"/>
        <v>267.28541666666666</v>
      </c>
      <c r="L36" s="41">
        <f t="shared" si="2"/>
        <v>27.224583333333332</v>
      </c>
      <c r="M36" s="41">
        <f t="shared" si="2"/>
        <v>85.52833333333335</v>
      </c>
      <c r="N36" s="41">
        <f t="shared" si="2"/>
        <v>153.72083333333333</v>
      </c>
      <c r="O36" s="41">
        <f t="shared" si="2"/>
        <v>0.53333333333333333</v>
      </c>
      <c r="P36" s="41">
        <f t="shared" si="2"/>
        <v>0.48333333333333339</v>
      </c>
      <c r="Q36" s="41">
        <f t="shared" si="2"/>
        <v>2.8337499999999998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3.9128689343116902</v>
      </c>
      <c r="C37" s="41">
        <f t="shared" ref="C37:Q37" si="3">STDEV(C9:C32)</f>
        <v>1.4534135232497183</v>
      </c>
      <c r="D37" s="41">
        <f t="shared" si="3"/>
        <v>3.7929923944489778</v>
      </c>
      <c r="E37" s="41">
        <f t="shared" si="3"/>
        <v>0.73641709983375536</v>
      </c>
      <c r="F37" s="41">
        <f t="shared" si="3"/>
        <v>5.0751942919901367</v>
      </c>
      <c r="G37" s="41">
        <f t="shared" si="3"/>
        <v>7.7381484032979424</v>
      </c>
      <c r="H37" s="41">
        <f t="shared" si="3"/>
        <v>7.4909610617369111</v>
      </c>
      <c r="I37" s="41">
        <f t="shared" si="3"/>
        <v>1.0755945440491965</v>
      </c>
      <c r="J37" s="41">
        <f t="shared" si="3"/>
        <v>0.32258017765277008</v>
      </c>
      <c r="K37" s="41">
        <f t="shared" si="3"/>
        <v>33.71843825089897</v>
      </c>
      <c r="L37" s="41">
        <f t="shared" si="3"/>
        <v>2.3870556343430982</v>
      </c>
      <c r="M37" s="41">
        <f t="shared" si="3"/>
        <v>11.304612243284218</v>
      </c>
      <c r="N37" s="41">
        <f t="shared" si="3"/>
        <v>218.06127774423695</v>
      </c>
      <c r="O37" s="41">
        <f t="shared" si="3"/>
        <v>2.0495315831050096</v>
      </c>
      <c r="P37" s="41">
        <f t="shared" si="3"/>
        <v>6.2739396586657753E-2</v>
      </c>
      <c r="Q37" s="41">
        <f t="shared" si="3"/>
        <v>1.4533314427922832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274</v>
      </c>
      <c r="B9" s="52">
        <v>15.29</v>
      </c>
      <c r="C9" s="52">
        <v>20.99</v>
      </c>
      <c r="D9" s="52">
        <v>21.87</v>
      </c>
      <c r="E9" s="52">
        <v>6.86</v>
      </c>
      <c r="F9" s="52">
        <v>4.08</v>
      </c>
      <c r="G9" s="52">
        <v>23.07</v>
      </c>
      <c r="H9" s="52">
        <v>5.85</v>
      </c>
      <c r="I9" s="52">
        <v>3.79</v>
      </c>
      <c r="J9" s="52">
        <v>0.44</v>
      </c>
      <c r="K9" s="52">
        <v>262.36</v>
      </c>
      <c r="L9" s="52">
        <v>25.07</v>
      </c>
      <c r="M9" s="52">
        <v>99.25</v>
      </c>
      <c r="N9" s="52">
        <v>0</v>
      </c>
      <c r="O9" s="52">
        <v>0</v>
      </c>
      <c r="P9" s="52">
        <v>0.53</v>
      </c>
      <c r="Q9" s="52">
        <v>4.7300000000000004</v>
      </c>
    </row>
    <row r="10" spans="1:21" customFormat="1">
      <c r="A10" s="51" t="s">
        <v>275</v>
      </c>
      <c r="B10" s="52">
        <v>15.93</v>
      </c>
      <c r="C10" s="52">
        <v>21</v>
      </c>
      <c r="D10" s="52">
        <v>22.66</v>
      </c>
      <c r="E10" s="52">
        <v>7.04</v>
      </c>
      <c r="F10" s="52">
        <v>3.13</v>
      </c>
      <c r="G10" s="52">
        <v>21.34</v>
      </c>
      <c r="H10" s="52">
        <v>4.87</v>
      </c>
      <c r="I10" s="52">
        <v>3.76</v>
      </c>
      <c r="J10" s="52">
        <v>0.33</v>
      </c>
      <c r="K10" s="52">
        <v>261.02</v>
      </c>
      <c r="L10" s="52">
        <v>25.01</v>
      </c>
      <c r="M10" s="52">
        <v>99.25</v>
      </c>
      <c r="N10" s="52">
        <v>0</v>
      </c>
      <c r="O10" s="52">
        <v>0</v>
      </c>
      <c r="P10" s="52">
        <v>0.52</v>
      </c>
      <c r="Q10" s="52">
        <v>4.76</v>
      </c>
    </row>
    <row r="11" spans="1:21" customFormat="1">
      <c r="A11" s="51" t="s">
        <v>276</v>
      </c>
      <c r="B11" s="52">
        <v>16.559999999999999</v>
      </c>
      <c r="C11" s="52">
        <v>21.57</v>
      </c>
      <c r="D11" s="52">
        <v>23.5</v>
      </c>
      <c r="E11" s="52">
        <v>7.16</v>
      </c>
      <c r="F11" s="52">
        <v>3.44</v>
      </c>
      <c r="G11" s="52">
        <v>23.09</v>
      </c>
      <c r="H11" s="52">
        <v>4.6500000000000004</v>
      </c>
      <c r="I11" s="52">
        <v>3.66</v>
      </c>
      <c r="J11" s="52">
        <v>0.4</v>
      </c>
      <c r="K11" s="52">
        <v>264.04000000000002</v>
      </c>
      <c r="L11" s="52">
        <v>24.84</v>
      </c>
      <c r="M11" s="52">
        <v>99.23</v>
      </c>
      <c r="N11" s="52">
        <v>0</v>
      </c>
      <c r="O11" s="52">
        <v>0</v>
      </c>
      <c r="P11" s="52">
        <v>0.51</v>
      </c>
      <c r="Q11" s="52">
        <v>4.8099999999999996</v>
      </c>
    </row>
    <row r="12" spans="1:21" customFormat="1">
      <c r="A12" s="51" t="s">
        <v>277</v>
      </c>
      <c r="B12" s="52">
        <v>17.3</v>
      </c>
      <c r="C12" s="52">
        <v>21.02</v>
      </c>
      <c r="D12" s="52">
        <v>23.81</v>
      </c>
      <c r="E12" s="52">
        <v>7.72</v>
      </c>
      <c r="F12" s="52">
        <v>3.24</v>
      </c>
      <c r="G12" s="52">
        <v>20.46</v>
      </c>
      <c r="H12" s="52">
        <v>3.98</v>
      </c>
      <c r="I12" s="52">
        <v>3.63</v>
      </c>
      <c r="J12" s="52">
        <v>0.47</v>
      </c>
      <c r="K12" s="52">
        <v>263.27</v>
      </c>
      <c r="L12" s="52">
        <v>24.79</v>
      </c>
      <c r="M12" s="52">
        <v>96.61</v>
      </c>
      <c r="N12" s="52">
        <v>0</v>
      </c>
      <c r="O12" s="52">
        <v>0</v>
      </c>
      <c r="P12" s="52">
        <v>0.49</v>
      </c>
      <c r="Q12" s="52">
        <v>4.83</v>
      </c>
    </row>
    <row r="13" spans="1:21" customFormat="1">
      <c r="A13" s="51" t="s">
        <v>278</v>
      </c>
      <c r="B13" s="52">
        <v>17.14</v>
      </c>
      <c r="C13" s="52">
        <v>21.65</v>
      </c>
      <c r="D13" s="52">
        <v>23.66</v>
      </c>
      <c r="E13" s="52">
        <v>7.31</v>
      </c>
      <c r="F13" s="52">
        <v>2.9</v>
      </c>
      <c r="G13" s="52">
        <v>19.23</v>
      </c>
      <c r="H13" s="52">
        <v>4.7300000000000004</v>
      </c>
      <c r="I13" s="52">
        <v>3.6</v>
      </c>
      <c r="J13" s="52">
        <v>0.32</v>
      </c>
      <c r="K13" s="52">
        <v>261.75</v>
      </c>
      <c r="L13" s="52">
        <v>24.76</v>
      </c>
      <c r="M13" s="52">
        <v>96.61</v>
      </c>
      <c r="N13" s="52">
        <v>0</v>
      </c>
      <c r="O13" s="52">
        <v>0</v>
      </c>
      <c r="P13" s="52">
        <v>0.51</v>
      </c>
      <c r="Q13" s="52">
        <v>4.8</v>
      </c>
    </row>
    <row r="14" spans="1:21" customFormat="1">
      <c r="A14" s="51" t="s">
        <v>279</v>
      </c>
      <c r="B14" s="52">
        <v>17.32</v>
      </c>
      <c r="C14" s="52">
        <v>21.69</v>
      </c>
      <c r="D14" s="52">
        <v>23.85</v>
      </c>
      <c r="E14" s="52">
        <v>7.43</v>
      </c>
      <c r="F14" s="52">
        <v>2.77</v>
      </c>
      <c r="G14" s="52">
        <v>19</v>
      </c>
      <c r="H14" s="52">
        <v>3.61</v>
      </c>
      <c r="I14" s="52">
        <v>3.39</v>
      </c>
      <c r="J14" s="52">
        <v>0.3</v>
      </c>
      <c r="K14" s="52">
        <v>262.73</v>
      </c>
      <c r="L14" s="52">
        <v>24.59</v>
      </c>
      <c r="M14" s="52">
        <v>97.14</v>
      </c>
      <c r="N14" s="52">
        <v>7.8</v>
      </c>
      <c r="O14" s="52">
        <v>0</v>
      </c>
      <c r="P14" s="52">
        <v>0.46</v>
      </c>
      <c r="Q14" s="52">
        <v>4.82</v>
      </c>
    </row>
    <row r="15" spans="1:21" customFormat="1">
      <c r="A15" s="51" t="s">
        <v>280</v>
      </c>
      <c r="B15" s="52">
        <v>17.93</v>
      </c>
      <c r="C15" s="52">
        <v>21.58</v>
      </c>
      <c r="D15" s="52">
        <v>24.27</v>
      </c>
      <c r="E15" s="52">
        <v>7.5</v>
      </c>
      <c r="F15" s="52">
        <v>2.91</v>
      </c>
      <c r="G15" s="52">
        <v>18.27</v>
      </c>
      <c r="H15" s="52">
        <v>3.64</v>
      </c>
      <c r="I15" s="52">
        <v>3.37</v>
      </c>
      <c r="J15" s="52">
        <v>0.5</v>
      </c>
      <c r="K15" s="52">
        <v>265.95</v>
      </c>
      <c r="L15" s="52">
        <v>25.19</v>
      </c>
      <c r="M15" s="52">
        <v>97.32</v>
      </c>
      <c r="N15" s="52">
        <v>45</v>
      </c>
      <c r="O15" s="52">
        <v>0</v>
      </c>
      <c r="P15" s="52">
        <v>0.46</v>
      </c>
      <c r="Q15" s="52">
        <v>4.8499999999999996</v>
      </c>
    </row>
    <row r="16" spans="1:21" customFormat="1">
      <c r="A16" s="51" t="s">
        <v>281</v>
      </c>
      <c r="B16" s="52">
        <v>18.18</v>
      </c>
      <c r="C16" s="52">
        <v>21.5</v>
      </c>
      <c r="D16" s="52">
        <v>24.76</v>
      </c>
      <c r="E16" s="52">
        <v>7.93</v>
      </c>
      <c r="F16" s="52">
        <v>2.94</v>
      </c>
      <c r="G16" s="52">
        <v>22.21</v>
      </c>
      <c r="H16" s="52">
        <v>3.69</v>
      </c>
      <c r="I16" s="52">
        <v>3.38</v>
      </c>
      <c r="J16" s="52">
        <v>0.71</v>
      </c>
      <c r="K16" s="52">
        <v>265.77999999999997</v>
      </c>
      <c r="L16" s="52">
        <v>26.66</v>
      </c>
      <c r="M16" s="52">
        <v>93.41</v>
      </c>
      <c r="N16" s="52">
        <v>154.30000000000001</v>
      </c>
      <c r="O16" s="52">
        <v>0</v>
      </c>
      <c r="P16" s="52">
        <v>0.47</v>
      </c>
      <c r="Q16" s="52">
        <v>4.9000000000000004</v>
      </c>
    </row>
    <row r="17" spans="1:17" customFormat="1">
      <c r="A17" s="51" t="s">
        <v>282</v>
      </c>
      <c r="B17" s="52">
        <v>18.59</v>
      </c>
      <c r="C17" s="52">
        <v>19.559999999999999</v>
      </c>
      <c r="D17" s="52">
        <v>24.02</v>
      </c>
      <c r="E17" s="52">
        <v>7.99</v>
      </c>
      <c r="F17" s="52">
        <v>3.49</v>
      </c>
      <c r="G17" s="52">
        <v>24.34</v>
      </c>
      <c r="H17" s="52">
        <v>6.4</v>
      </c>
      <c r="I17" s="52">
        <v>3.63</v>
      </c>
      <c r="J17" s="52">
        <v>0.6</v>
      </c>
      <c r="K17" s="52">
        <v>295.17</v>
      </c>
      <c r="L17" s="52">
        <v>29.08</v>
      </c>
      <c r="M17" s="52">
        <v>86.35</v>
      </c>
      <c r="N17" s="52">
        <v>246.1</v>
      </c>
      <c r="O17" s="52">
        <v>0.2</v>
      </c>
      <c r="P17" s="52">
        <v>0.47</v>
      </c>
      <c r="Q17" s="52">
        <v>4.8600000000000003</v>
      </c>
    </row>
    <row r="18" spans="1:17" customFormat="1">
      <c r="A18" s="51" t="s">
        <v>283</v>
      </c>
      <c r="B18" s="52">
        <v>18.27</v>
      </c>
      <c r="C18" s="52">
        <v>25.7</v>
      </c>
      <c r="D18" s="52">
        <v>26.55</v>
      </c>
      <c r="E18" s="52">
        <v>8.06</v>
      </c>
      <c r="F18" s="52">
        <v>4.7300000000000004</v>
      </c>
      <c r="G18" s="52">
        <v>30.14</v>
      </c>
      <c r="H18" s="52">
        <v>7.63</v>
      </c>
      <c r="I18" s="52">
        <v>4.08</v>
      </c>
      <c r="J18" s="52">
        <v>0.65</v>
      </c>
      <c r="K18" s="52">
        <v>323.60000000000002</v>
      </c>
      <c r="L18" s="52">
        <v>30.6</v>
      </c>
      <c r="M18" s="52">
        <v>75.23</v>
      </c>
      <c r="N18" s="52">
        <v>319.5</v>
      </c>
      <c r="O18" s="52">
        <v>0</v>
      </c>
      <c r="P18" s="52">
        <v>0.57999999999999996</v>
      </c>
      <c r="Q18" s="52">
        <v>5.01</v>
      </c>
    </row>
    <row r="19" spans="1:17" customFormat="1">
      <c r="A19" s="51" t="s">
        <v>284</v>
      </c>
      <c r="B19" s="52">
        <v>17.63</v>
      </c>
      <c r="C19" s="52">
        <v>21.37</v>
      </c>
      <c r="D19" s="52">
        <v>23.66</v>
      </c>
      <c r="E19" s="52">
        <v>9.7799999999999994</v>
      </c>
      <c r="F19" s="52">
        <v>7.29</v>
      </c>
      <c r="G19" s="52">
        <v>38.65</v>
      </c>
      <c r="H19" s="52">
        <v>9.0500000000000007</v>
      </c>
      <c r="I19" s="52">
        <v>4.08</v>
      </c>
      <c r="J19" s="52">
        <v>0.67</v>
      </c>
      <c r="K19" s="52">
        <v>347.51</v>
      </c>
      <c r="L19" s="52">
        <v>31.1</v>
      </c>
      <c r="M19" s="52">
        <v>69.17</v>
      </c>
      <c r="N19" s="52">
        <v>576.29999999999995</v>
      </c>
      <c r="O19" s="52">
        <v>0</v>
      </c>
      <c r="P19" s="52">
        <v>0.51</v>
      </c>
      <c r="Q19" s="52">
        <v>4.91</v>
      </c>
    </row>
    <row r="20" spans="1:17" customFormat="1">
      <c r="A20" s="51" t="s">
        <v>285</v>
      </c>
      <c r="B20" s="52">
        <v>19.23</v>
      </c>
      <c r="C20" s="52">
        <v>23.17</v>
      </c>
      <c r="D20" s="52">
        <v>26.48</v>
      </c>
      <c r="E20" s="52">
        <v>9.58</v>
      </c>
      <c r="F20" s="52">
        <v>6.34</v>
      </c>
      <c r="G20" s="52">
        <v>43.98</v>
      </c>
      <c r="H20" s="52">
        <v>8.3000000000000007</v>
      </c>
      <c r="I20" s="52">
        <v>3.86</v>
      </c>
      <c r="J20" s="52">
        <v>0.57999999999999996</v>
      </c>
      <c r="K20" s="52">
        <v>332.33</v>
      </c>
      <c r="L20" s="52">
        <v>31.03</v>
      </c>
      <c r="M20" s="52">
        <v>68.349999999999994</v>
      </c>
      <c r="N20" s="52">
        <v>566.70000000000005</v>
      </c>
      <c r="O20" s="52">
        <v>0</v>
      </c>
      <c r="P20" s="52">
        <v>0.52</v>
      </c>
      <c r="Q20" s="52">
        <v>4.83</v>
      </c>
    </row>
    <row r="21" spans="1:17" customFormat="1">
      <c r="A21" s="51" t="s">
        <v>286</v>
      </c>
      <c r="B21" s="52">
        <v>16.23</v>
      </c>
      <c r="C21" s="52">
        <v>22.27</v>
      </c>
      <c r="D21" s="52">
        <v>23.41</v>
      </c>
      <c r="E21" s="52">
        <v>10.1</v>
      </c>
      <c r="F21" s="52">
        <v>6.44</v>
      </c>
      <c r="G21" s="52">
        <v>47.78</v>
      </c>
      <c r="H21" s="52">
        <v>11.49</v>
      </c>
      <c r="I21" s="52">
        <v>3.89</v>
      </c>
      <c r="J21" s="52">
        <v>0.75</v>
      </c>
      <c r="K21" s="52">
        <v>294.39</v>
      </c>
      <c r="L21" s="52">
        <v>32.11</v>
      </c>
      <c r="M21" s="52">
        <v>73</v>
      </c>
      <c r="N21" s="52">
        <v>876.9</v>
      </c>
      <c r="O21" s="52">
        <v>0</v>
      </c>
      <c r="P21" s="52">
        <v>0.53</v>
      </c>
      <c r="Q21" s="52">
        <v>4.82</v>
      </c>
    </row>
    <row r="22" spans="1:17" customFormat="1">
      <c r="A22" s="51" t="s">
        <v>287</v>
      </c>
      <c r="B22" s="52">
        <v>13.46</v>
      </c>
      <c r="C22" s="52">
        <v>21.69</v>
      </c>
      <c r="D22" s="52">
        <v>20.83</v>
      </c>
      <c r="E22" s="52">
        <v>9.83</v>
      </c>
      <c r="F22" s="52">
        <v>8.35</v>
      </c>
      <c r="G22" s="52">
        <v>48.78</v>
      </c>
      <c r="H22" s="52">
        <v>12.56</v>
      </c>
      <c r="I22" s="52">
        <v>3.91</v>
      </c>
      <c r="J22" s="52">
        <v>0.56000000000000005</v>
      </c>
      <c r="K22" s="52">
        <v>281.45</v>
      </c>
      <c r="L22" s="52">
        <v>32.11</v>
      </c>
      <c r="M22" s="52">
        <v>65.2</v>
      </c>
      <c r="N22" s="52">
        <v>489.3</v>
      </c>
      <c r="O22" s="52">
        <v>0</v>
      </c>
      <c r="P22" s="52">
        <v>0.53</v>
      </c>
      <c r="Q22" s="52">
        <v>4.66</v>
      </c>
    </row>
    <row r="23" spans="1:17" customFormat="1">
      <c r="A23" s="51" t="s">
        <v>288</v>
      </c>
      <c r="B23" s="52">
        <v>11.56</v>
      </c>
      <c r="C23" s="52">
        <v>24.16</v>
      </c>
      <c r="D23" s="52">
        <v>20.170000000000002</v>
      </c>
      <c r="E23" s="52">
        <v>9.42</v>
      </c>
      <c r="F23" s="52">
        <v>9.92</v>
      </c>
      <c r="G23" s="52">
        <v>53.3</v>
      </c>
      <c r="H23" s="52">
        <v>14.55</v>
      </c>
      <c r="I23" s="52">
        <v>4.0999999999999996</v>
      </c>
      <c r="J23" s="52">
        <v>0.71</v>
      </c>
      <c r="K23" s="52">
        <v>332.87</v>
      </c>
      <c r="L23" s="52">
        <v>32.28</v>
      </c>
      <c r="M23" s="52">
        <v>63.16</v>
      </c>
      <c r="N23" s="52">
        <v>529.1</v>
      </c>
      <c r="O23" s="52">
        <v>0</v>
      </c>
      <c r="P23" s="52">
        <v>0.45</v>
      </c>
      <c r="Q23" s="52">
        <v>4.5599999999999996</v>
      </c>
    </row>
    <row r="24" spans="1:17" customFormat="1">
      <c r="A24" s="51" t="s">
        <v>289</v>
      </c>
      <c r="B24" s="52">
        <v>11.41</v>
      </c>
      <c r="C24" s="52">
        <v>22.58</v>
      </c>
      <c r="D24" s="52">
        <v>19.899999999999999</v>
      </c>
      <c r="E24" s="52">
        <v>10.57</v>
      </c>
      <c r="F24" s="52">
        <v>9.5500000000000007</v>
      </c>
      <c r="G24" s="52">
        <v>52.12</v>
      </c>
      <c r="H24" s="52">
        <v>12.53</v>
      </c>
      <c r="I24" s="52">
        <v>4.09</v>
      </c>
      <c r="J24" s="52">
        <v>0.35</v>
      </c>
      <c r="K24" s="52">
        <v>334.22</v>
      </c>
      <c r="L24" s="52">
        <v>31.34</v>
      </c>
      <c r="M24" s="52">
        <v>68.14</v>
      </c>
      <c r="N24" s="52">
        <v>219.3</v>
      </c>
      <c r="O24" s="52">
        <v>0</v>
      </c>
      <c r="P24" s="52">
        <v>0.39</v>
      </c>
      <c r="Q24" s="52">
        <v>4.47</v>
      </c>
    </row>
    <row r="25" spans="1:17" customFormat="1">
      <c r="A25" s="51" t="s">
        <v>290</v>
      </c>
      <c r="B25" s="52">
        <v>12.16</v>
      </c>
      <c r="C25" s="52">
        <v>23.46</v>
      </c>
      <c r="D25" s="52">
        <v>20.96</v>
      </c>
      <c r="E25" s="52">
        <v>10.83</v>
      </c>
      <c r="F25" s="52">
        <v>9.1199999999999992</v>
      </c>
      <c r="G25" s="52">
        <v>53.71</v>
      </c>
      <c r="H25" s="52">
        <v>13.41</v>
      </c>
      <c r="I25" s="52">
        <v>3.76</v>
      </c>
      <c r="J25" s="52">
        <v>0.63</v>
      </c>
      <c r="K25" s="52">
        <v>316.45</v>
      </c>
      <c r="L25" s="52">
        <v>31.99</v>
      </c>
      <c r="M25" s="52">
        <v>65.03</v>
      </c>
      <c r="N25" s="52">
        <v>239</v>
      </c>
      <c r="O25" s="52">
        <v>0</v>
      </c>
      <c r="P25" s="52">
        <v>0.42</v>
      </c>
      <c r="Q25" s="52">
        <v>4.57</v>
      </c>
    </row>
    <row r="26" spans="1:17" customFormat="1">
      <c r="A26" s="51" t="s">
        <v>291</v>
      </c>
      <c r="B26" s="52">
        <v>11.05</v>
      </c>
      <c r="C26" s="52">
        <v>21.16</v>
      </c>
      <c r="D26" s="52">
        <v>18.88</v>
      </c>
      <c r="E26" s="52">
        <v>10.77</v>
      </c>
      <c r="F26" s="52">
        <v>10.75</v>
      </c>
      <c r="G26" s="52">
        <v>54.83</v>
      </c>
      <c r="H26" s="52">
        <v>14.62</v>
      </c>
      <c r="I26" s="52">
        <v>3.8</v>
      </c>
      <c r="J26" s="52">
        <v>0.76</v>
      </c>
      <c r="K26" s="52">
        <v>268.27999999999997</v>
      </c>
      <c r="L26" s="52">
        <v>31.06</v>
      </c>
      <c r="M26" s="52">
        <v>64.650000000000006</v>
      </c>
      <c r="N26" s="52">
        <v>75</v>
      </c>
      <c r="O26" s="52">
        <v>0</v>
      </c>
      <c r="P26" s="52">
        <v>0.39</v>
      </c>
      <c r="Q26" s="52">
        <v>4.53</v>
      </c>
    </row>
    <row r="27" spans="1:17" customFormat="1">
      <c r="A27" s="51" t="s">
        <v>292</v>
      </c>
      <c r="B27" s="52">
        <v>8.9700000000000006</v>
      </c>
      <c r="C27" s="52">
        <v>17.64</v>
      </c>
      <c r="D27" s="52">
        <v>15.37</v>
      </c>
      <c r="E27" s="52">
        <v>7.94</v>
      </c>
      <c r="F27" s="52">
        <v>17.52</v>
      </c>
      <c r="G27" s="52">
        <v>55.81</v>
      </c>
      <c r="H27" s="52">
        <v>14.29</v>
      </c>
      <c r="I27" s="52">
        <v>3.52</v>
      </c>
      <c r="J27" s="52">
        <v>0.64</v>
      </c>
      <c r="K27" s="52">
        <v>268.06</v>
      </c>
      <c r="L27" s="52">
        <v>30</v>
      </c>
      <c r="M27" s="52">
        <v>75.8</v>
      </c>
      <c r="N27" s="52">
        <v>7.5</v>
      </c>
      <c r="O27" s="52">
        <v>0</v>
      </c>
      <c r="P27" s="52">
        <v>0.36</v>
      </c>
      <c r="Q27" s="52">
        <v>4.4000000000000004</v>
      </c>
    </row>
    <row r="28" spans="1:17" customFormat="1">
      <c r="A28" s="51" t="s">
        <v>293</v>
      </c>
      <c r="B28" s="52">
        <v>9.17</v>
      </c>
      <c r="C28" s="52">
        <v>23.83</v>
      </c>
      <c r="D28" s="52">
        <v>18.46</v>
      </c>
      <c r="E28" s="52">
        <v>7.93</v>
      </c>
      <c r="F28" s="52">
        <v>8.39</v>
      </c>
      <c r="G28" s="52">
        <v>49.44</v>
      </c>
      <c r="H28" s="52">
        <v>13.62</v>
      </c>
      <c r="I28" s="52">
        <v>3.59</v>
      </c>
      <c r="J28" s="52">
        <v>0.48</v>
      </c>
      <c r="K28" s="52">
        <v>259.04000000000002</v>
      </c>
      <c r="L28" s="52">
        <v>28.87</v>
      </c>
      <c r="M28" s="52">
        <v>75.42</v>
      </c>
      <c r="N28" s="52">
        <v>0</v>
      </c>
      <c r="O28" s="52">
        <v>0</v>
      </c>
      <c r="P28" s="52">
        <v>0.45</v>
      </c>
      <c r="Q28" s="52">
        <v>4.41</v>
      </c>
    </row>
    <row r="29" spans="1:17" customFormat="1">
      <c r="A29" s="51" t="s">
        <v>294</v>
      </c>
      <c r="B29" s="52">
        <v>7.6</v>
      </c>
      <c r="C29" s="52">
        <v>20.260000000000002</v>
      </c>
      <c r="D29" s="52">
        <v>15.64</v>
      </c>
      <c r="E29" s="52">
        <v>7.6</v>
      </c>
      <c r="F29" s="52">
        <v>13.62</v>
      </c>
      <c r="G29" s="52">
        <v>51.47</v>
      </c>
      <c r="H29" s="52">
        <v>13.4</v>
      </c>
      <c r="I29" s="52">
        <v>3.85</v>
      </c>
      <c r="J29" s="52">
        <v>0.14000000000000001</v>
      </c>
      <c r="K29" s="52">
        <v>232.93</v>
      </c>
      <c r="L29" s="52">
        <v>28.15</v>
      </c>
      <c r="M29" s="52">
        <v>79.28</v>
      </c>
      <c r="N29" s="52">
        <v>0</v>
      </c>
      <c r="O29" s="52">
        <v>0</v>
      </c>
      <c r="P29" s="52">
        <v>0.43</v>
      </c>
      <c r="Q29" s="52">
        <v>4.3899999999999997</v>
      </c>
    </row>
    <row r="30" spans="1:17" customFormat="1">
      <c r="A30" s="51" t="s">
        <v>295</v>
      </c>
      <c r="B30" s="52">
        <v>8.92</v>
      </c>
      <c r="C30" s="52">
        <v>22.08</v>
      </c>
      <c r="D30" s="52">
        <v>17.64</v>
      </c>
      <c r="E30" s="52">
        <v>8.3699999999999992</v>
      </c>
      <c r="F30" s="52">
        <v>9.76</v>
      </c>
      <c r="G30" s="52">
        <v>49.53</v>
      </c>
      <c r="H30" s="52">
        <v>13.91</v>
      </c>
      <c r="I30" s="52">
        <v>3.93</v>
      </c>
      <c r="J30" s="52">
        <v>0.31</v>
      </c>
      <c r="K30" s="52">
        <v>254.94</v>
      </c>
      <c r="L30" s="52">
        <v>27.62</v>
      </c>
      <c r="M30" s="52">
        <v>82.96</v>
      </c>
      <c r="N30" s="52">
        <v>0</v>
      </c>
      <c r="O30" s="52">
        <v>0</v>
      </c>
      <c r="P30" s="52">
        <v>0.44</v>
      </c>
      <c r="Q30" s="52">
        <v>4.4000000000000004</v>
      </c>
    </row>
    <row r="31" spans="1:17" customFormat="1">
      <c r="A31" s="51" t="s">
        <v>296</v>
      </c>
      <c r="B31" s="52">
        <v>9.5</v>
      </c>
      <c r="C31" s="52">
        <v>21.57</v>
      </c>
      <c r="D31" s="52">
        <v>17.850000000000001</v>
      </c>
      <c r="E31" s="52">
        <v>8.2799999999999994</v>
      </c>
      <c r="F31" s="52">
        <v>9.4700000000000006</v>
      </c>
      <c r="G31" s="52">
        <v>47.95</v>
      </c>
      <c r="H31" s="52">
        <v>14.38</v>
      </c>
      <c r="I31" s="52">
        <v>4.05</v>
      </c>
      <c r="J31" s="52">
        <v>0.35</v>
      </c>
      <c r="K31" s="52">
        <v>264.07</v>
      </c>
      <c r="L31" s="52">
        <v>27.65</v>
      </c>
      <c r="M31" s="52">
        <v>82.95</v>
      </c>
      <c r="N31" s="52">
        <v>0</v>
      </c>
      <c r="O31" s="52">
        <v>0</v>
      </c>
      <c r="P31" s="52">
        <v>0.45</v>
      </c>
      <c r="Q31" s="52">
        <v>4.42</v>
      </c>
    </row>
    <row r="32" spans="1:17" customFormat="1">
      <c r="A32" s="51" t="s">
        <v>297</v>
      </c>
      <c r="B32" s="52">
        <v>10.11</v>
      </c>
      <c r="C32" s="52">
        <v>21.63</v>
      </c>
      <c r="D32" s="52">
        <v>18.36</v>
      </c>
      <c r="E32" s="52">
        <v>8.42</v>
      </c>
      <c r="F32" s="52">
        <v>9.6199999999999992</v>
      </c>
      <c r="G32" s="52">
        <v>47.98</v>
      </c>
      <c r="H32" s="52">
        <v>15.32</v>
      </c>
      <c r="I32" s="52">
        <v>4.0199999999999996</v>
      </c>
      <c r="J32" s="52">
        <v>0.37</v>
      </c>
      <c r="K32" s="52">
        <v>258.89999999999998</v>
      </c>
      <c r="L32" s="52">
        <v>27.56</v>
      </c>
      <c r="M32" s="52">
        <v>81.28</v>
      </c>
      <c r="N32" s="52">
        <v>0</v>
      </c>
      <c r="O32" s="52">
        <v>0</v>
      </c>
      <c r="P32" s="52">
        <v>0.45</v>
      </c>
      <c r="Q32" s="52">
        <v>4.4400000000000004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7.6</v>
      </c>
      <c r="C34" s="41">
        <f t="shared" si="0"/>
        <v>17.64</v>
      </c>
      <c r="D34" s="41">
        <f t="shared" si="0"/>
        <v>15.37</v>
      </c>
      <c r="E34" s="41">
        <f t="shared" si="0"/>
        <v>6.86</v>
      </c>
      <c r="F34" s="41">
        <f t="shared" si="0"/>
        <v>2.77</v>
      </c>
      <c r="G34" s="41">
        <f t="shared" si="0"/>
        <v>18.27</v>
      </c>
      <c r="H34" s="41">
        <f t="shared" si="0"/>
        <v>3.61</v>
      </c>
      <c r="I34" s="41">
        <f t="shared" si="0"/>
        <v>3.37</v>
      </c>
      <c r="J34" s="41">
        <f t="shared" si="0"/>
        <v>0.14000000000000001</v>
      </c>
      <c r="K34" s="41">
        <f t="shared" si="0"/>
        <v>232.93</v>
      </c>
      <c r="L34" s="41">
        <f t="shared" si="0"/>
        <v>24.59</v>
      </c>
      <c r="M34" s="41">
        <f t="shared" si="0"/>
        <v>63.16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4.3899999999999997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19.23</v>
      </c>
      <c r="C35" s="33">
        <f t="shared" si="1"/>
        <v>25.7</v>
      </c>
      <c r="D35" s="33">
        <f t="shared" si="1"/>
        <v>26.55</v>
      </c>
      <c r="E35" s="33">
        <f t="shared" si="1"/>
        <v>10.83</v>
      </c>
      <c r="F35" s="33">
        <f t="shared" si="1"/>
        <v>17.52</v>
      </c>
      <c r="G35" s="33">
        <f t="shared" si="1"/>
        <v>55.81</v>
      </c>
      <c r="H35" s="33">
        <f t="shared" si="1"/>
        <v>15.32</v>
      </c>
      <c r="I35" s="33">
        <f t="shared" si="1"/>
        <v>4.0999999999999996</v>
      </c>
      <c r="J35" s="33">
        <f t="shared" si="1"/>
        <v>0.76</v>
      </c>
      <c r="K35" s="33">
        <f t="shared" si="1"/>
        <v>347.51</v>
      </c>
      <c r="L35" s="33">
        <f t="shared" si="1"/>
        <v>32.28</v>
      </c>
      <c r="M35" s="33">
        <f t="shared" si="1"/>
        <v>99.25</v>
      </c>
      <c r="N35" s="33">
        <f t="shared" si="1"/>
        <v>876.9</v>
      </c>
      <c r="O35" s="33">
        <f t="shared" si="1"/>
        <v>0.2</v>
      </c>
      <c r="P35" s="33">
        <f t="shared" si="1"/>
        <v>0.57999999999999996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14.146250000000007</v>
      </c>
      <c r="C36" s="41">
        <f t="shared" si="2"/>
        <v>21.797083333333333</v>
      </c>
      <c r="D36" s="41">
        <f t="shared" si="2"/>
        <v>21.52333333333333</v>
      </c>
      <c r="E36" s="41">
        <f t="shared" si="2"/>
        <v>8.5175000000000001</v>
      </c>
      <c r="F36" s="41">
        <f t="shared" si="2"/>
        <v>7.0737499999999995</v>
      </c>
      <c r="G36" s="41">
        <f t="shared" si="2"/>
        <v>38.186666666666675</v>
      </c>
      <c r="H36" s="41">
        <f t="shared" si="2"/>
        <v>9.6033333333333335</v>
      </c>
      <c r="I36" s="41">
        <f t="shared" si="2"/>
        <v>3.7808333333333333</v>
      </c>
      <c r="J36" s="41">
        <f t="shared" si="2"/>
        <v>0.50083333333333335</v>
      </c>
      <c r="K36" s="41">
        <f t="shared" si="2"/>
        <v>282.1295833333333</v>
      </c>
      <c r="L36" s="41">
        <f t="shared" si="2"/>
        <v>28.477499999999996</v>
      </c>
      <c r="M36" s="41">
        <f t="shared" si="2"/>
        <v>81.449583333333351</v>
      </c>
      <c r="N36" s="41">
        <f t="shared" si="2"/>
        <v>181.32500000000002</v>
      </c>
      <c r="O36" s="41">
        <f t="shared" si="2"/>
        <v>8.3333333333333332E-3</v>
      </c>
      <c r="P36" s="41">
        <f t="shared" si="2"/>
        <v>0.47166666666666651</v>
      </c>
      <c r="Q36" s="41">
        <f t="shared" si="2"/>
        <v>4.6741666666666672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3.8263500743272458</v>
      </c>
      <c r="C37" s="41">
        <f t="shared" ref="C37:Q37" si="3">STDEV(C9:C32)</f>
        <v>1.5873699307664559</v>
      </c>
      <c r="D37" s="41">
        <f t="shared" si="3"/>
        <v>3.1994206903161944</v>
      </c>
      <c r="E37" s="41">
        <f t="shared" si="3"/>
        <v>1.2497730228708097</v>
      </c>
      <c r="F37" s="41">
        <f t="shared" si="3"/>
        <v>3.8943825904589264</v>
      </c>
      <c r="G37" s="41">
        <f t="shared" si="3"/>
        <v>14.450034652182493</v>
      </c>
      <c r="H37" s="41">
        <f t="shared" si="3"/>
        <v>4.4260058219835043</v>
      </c>
      <c r="I37" s="41">
        <f t="shared" si="3"/>
        <v>0.23301271968764806</v>
      </c>
      <c r="J37" s="41">
        <f t="shared" si="3"/>
        <v>0.17067428085369932</v>
      </c>
      <c r="K37" s="41">
        <f t="shared" si="3"/>
        <v>31.684487423613476</v>
      </c>
      <c r="L37" s="41">
        <f t="shared" si="3"/>
        <v>2.8334880179429338</v>
      </c>
      <c r="M37" s="41">
        <f t="shared" si="3"/>
        <v>13.042062213291311</v>
      </c>
      <c r="N37" s="41">
        <f t="shared" si="3"/>
        <v>251.25163940628889</v>
      </c>
      <c r="O37" s="41">
        <f t="shared" si="3"/>
        <v>4.0824829046386311E-2</v>
      </c>
      <c r="P37" s="41">
        <f t="shared" si="3"/>
        <v>5.3051793123543391E-2</v>
      </c>
      <c r="Q37" s="41">
        <f t="shared" si="3"/>
        <v>0.20082258375224801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298</v>
      </c>
      <c r="B9" s="52">
        <v>9.61</v>
      </c>
      <c r="C9" s="52">
        <v>21.63</v>
      </c>
      <c r="D9" s="52">
        <v>17.88</v>
      </c>
      <c r="E9" s="52">
        <v>8.51</v>
      </c>
      <c r="F9" s="52">
        <v>7.01</v>
      </c>
      <c r="G9" s="52">
        <v>49.17</v>
      </c>
      <c r="H9" s="52">
        <v>14.07</v>
      </c>
      <c r="I9" s="52">
        <v>3.96</v>
      </c>
      <c r="J9" s="52">
        <v>0.31</v>
      </c>
      <c r="K9" s="52">
        <v>258</v>
      </c>
      <c r="L9" s="52">
        <v>27.27</v>
      </c>
      <c r="M9" s="52">
        <v>85.24</v>
      </c>
      <c r="N9" s="52">
        <v>0</v>
      </c>
      <c r="O9" s="52">
        <v>0</v>
      </c>
      <c r="P9" s="52">
        <v>0.45</v>
      </c>
      <c r="Q9" s="52">
        <v>4.47</v>
      </c>
    </row>
    <row r="10" spans="1:21" customFormat="1">
      <c r="A10" s="51" t="s">
        <v>299</v>
      </c>
      <c r="B10" s="52">
        <v>9.3699999999999992</v>
      </c>
      <c r="C10" s="52">
        <v>22.58</v>
      </c>
      <c r="D10" s="52">
        <v>18.260000000000002</v>
      </c>
      <c r="E10" s="52">
        <v>7.78</v>
      </c>
      <c r="F10" s="52">
        <v>6.49</v>
      </c>
      <c r="G10" s="52">
        <v>44.37</v>
      </c>
      <c r="H10" s="52">
        <v>12.67</v>
      </c>
      <c r="I10" s="52">
        <v>3.95</v>
      </c>
      <c r="J10" s="52">
        <v>0.21</v>
      </c>
      <c r="K10" s="52">
        <v>249.11</v>
      </c>
      <c r="L10" s="52">
        <v>26.67</v>
      </c>
      <c r="M10" s="52">
        <v>87.78</v>
      </c>
      <c r="N10" s="52">
        <v>0</v>
      </c>
      <c r="O10" s="52">
        <v>0</v>
      </c>
      <c r="P10" s="52">
        <v>0.46</v>
      </c>
      <c r="Q10" s="52">
        <v>4.4400000000000004</v>
      </c>
    </row>
    <row r="11" spans="1:21" customFormat="1">
      <c r="A11" s="51" t="s">
        <v>300</v>
      </c>
      <c r="B11" s="52">
        <v>9.91</v>
      </c>
      <c r="C11" s="52">
        <v>21.5</v>
      </c>
      <c r="D11" s="52">
        <v>18.14</v>
      </c>
      <c r="E11" s="52">
        <v>8.43</v>
      </c>
      <c r="F11" s="52">
        <v>5.96</v>
      </c>
      <c r="G11" s="52">
        <v>40.28</v>
      </c>
      <c r="H11" s="52">
        <v>10.49</v>
      </c>
      <c r="I11" s="52">
        <v>3.59</v>
      </c>
      <c r="J11" s="52">
        <v>0.34</v>
      </c>
      <c r="K11" s="52">
        <v>258.13</v>
      </c>
      <c r="L11" s="52">
        <v>26.39</v>
      </c>
      <c r="M11" s="52">
        <v>88.64</v>
      </c>
      <c r="N11" s="52">
        <v>0</v>
      </c>
      <c r="O11" s="52">
        <v>0</v>
      </c>
      <c r="P11" s="52">
        <v>0.4</v>
      </c>
      <c r="Q11" s="52">
        <v>4.4800000000000004</v>
      </c>
    </row>
    <row r="12" spans="1:21" customFormat="1">
      <c r="A12" s="51" t="s">
        <v>301</v>
      </c>
      <c r="B12" s="52">
        <v>10.87</v>
      </c>
      <c r="C12" s="52">
        <v>21.76</v>
      </c>
      <c r="D12" s="52">
        <v>19.04</v>
      </c>
      <c r="E12" s="52">
        <v>8.91</v>
      </c>
      <c r="F12" s="52">
        <v>5.85</v>
      </c>
      <c r="G12" s="52">
        <v>32.729999999999997</v>
      </c>
      <c r="H12" s="52">
        <v>8.89</v>
      </c>
      <c r="I12" s="52">
        <v>3.54</v>
      </c>
      <c r="J12" s="52">
        <v>0.36</v>
      </c>
      <c r="K12" s="52">
        <v>264.41000000000003</v>
      </c>
      <c r="L12" s="52">
        <v>26.48</v>
      </c>
      <c r="M12" s="52">
        <v>88.01</v>
      </c>
      <c r="N12" s="52">
        <v>0</v>
      </c>
      <c r="O12" s="52">
        <v>0</v>
      </c>
      <c r="P12" s="52">
        <v>0.4</v>
      </c>
      <c r="Q12" s="52">
        <v>4.5199999999999996</v>
      </c>
    </row>
    <row r="13" spans="1:21" customFormat="1">
      <c r="A13" s="51" t="s">
        <v>302</v>
      </c>
      <c r="B13" s="52">
        <v>11.62</v>
      </c>
      <c r="C13" s="52">
        <v>21.59</v>
      </c>
      <c r="D13" s="52">
        <v>19.55</v>
      </c>
      <c r="E13" s="52">
        <v>9.06</v>
      </c>
      <c r="F13" s="52">
        <v>5.74</v>
      </c>
      <c r="G13" s="52">
        <v>27.15</v>
      </c>
      <c r="H13" s="52">
        <v>7</v>
      </c>
      <c r="I13" s="52">
        <v>3.47</v>
      </c>
      <c r="J13" s="52">
        <v>0.21</v>
      </c>
      <c r="K13" s="52">
        <v>253.86</v>
      </c>
      <c r="L13" s="52">
        <v>26.27</v>
      </c>
      <c r="M13" s="52">
        <v>88.15</v>
      </c>
      <c r="N13" s="52">
        <v>0</v>
      </c>
      <c r="O13" s="52">
        <v>0</v>
      </c>
      <c r="P13" s="52">
        <v>0.39</v>
      </c>
      <c r="Q13" s="52">
        <v>4.5599999999999996</v>
      </c>
    </row>
    <row r="14" spans="1:21" customFormat="1">
      <c r="A14" s="51" t="s">
        <v>303</v>
      </c>
      <c r="B14" s="52">
        <v>12.86</v>
      </c>
      <c r="C14" s="52">
        <v>21.95</v>
      </c>
      <c r="D14" s="52">
        <v>20.56</v>
      </c>
      <c r="E14" s="52">
        <v>9.2200000000000006</v>
      </c>
      <c r="F14" s="52">
        <v>4.5199999999999996</v>
      </c>
      <c r="G14" s="52">
        <v>27.17</v>
      </c>
      <c r="H14" s="52">
        <v>8.32</v>
      </c>
      <c r="I14" s="52">
        <v>3.53</v>
      </c>
      <c r="J14" s="52">
        <v>0.14000000000000001</v>
      </c>
      <c r="K14" s="52">
        <v>196.63</v>
      </c>
      <c r="L14" s="52">
        <v>26.04</v>
      </c>
      <c r="M14" s="52">
        <v>90.8</v>
      </c>
      <c r="N14" s="52">
        <v>1.8</v>
      </c>
      <c r="O14" s="52">
        <v>0</v>
      </c>
      <c r="P14" s="52">
        <v>0.4</v>
      </c>
      <c r="Q14" s="52">
        <v>4.6100000000000003</v>
      </c>
    </row>
    <row r="15" spans="1:21" customFormat="1">
      <c r="A15" s="51" t="s">
        <v>304</v>
      </c>
      <c r="B15" s="52">
        <v>13.23</v>
      </c>
      <c r="C15" s="52">
        <v>20.96</v>
      </c>
      <c r="D15" s="52">
        <v>20.350000000000001</v>
      </c>
      <c r="E15" s="52">
        <v>8.32</v>
      </c>
      <c r="F15" s="52">
        <v>3.28</v>
      </c>
      <c r="G15" s="52">
        <v>25.54</v>
      </c>
      <c r="H15" s="52">
        <v>7.04</v>
      </c>
      <c r="I15" s="52">
        <v>3.54</v>
      </c>
      <c r="J15" s="52">
        <v>0.33</v>
      </c>
      <c r="K15" s="52">
        <v>257.95</v>
      </c>
      <c r="L15" s="52">
        <v>26.42</v>
      </c>
      <c r="M15" s="52">
        <v>91.32</v>
      </c>
      <c r="N15" s="52">
        <v>55.2</v>
      </c>
      <c r="O15" s="52">
        <v>0</v>
      </c>
      <c r="P15" s="52">
        <v>0.4</v>
      </c>
      <c r="Q15" s="52">
        <v>4.58</v>
      </c>
    </row>
    <row r="16" spans="1:21" customFormat="1">
      <c r="A16" s="51" t="s">
        <v>305</v>
      </c>
      <c r="B16" s="52">
        <v>13.74</v>
      </c>
      <c r="C16" s="52">
        <v>21.5</v>
      </c>
      <c r="D16" s="52">
        <v>20.95</v>
      </c>
      <c r="E16" s="52">
        <v>9.0500000000000007</v>
      </c>
      <c r="F16" s="52">
        <v>4.08</v>
      </c>
      <c r="G16" s="52">
        <v>28.64</v>
      </c>
      <c r="H16" s="52">
        <v>7.7</v>
      </c>
      <c r="I16" s="52">
        <v>3.59</v>
      </c>
      <c r="J16" s="52">
        <v>0.47</v>
      </c>
      <c r="K16" s="52">
        <v>272.66000000000003</v>
      </c>
      <c r="L16" s="52">
        <v>28.58</v>
      </c>
      <c r="M16" s="52">
        <v>85.98</v>
      </c>
      <c r="N16" s="52">
        <v>156.4</v>
      </c>
      <c r="O16" s="52">
        <v>0</v>
      </c>
      <c r="P16" s="52">
        <v>0.41</v>
      </c>
      <c r="Q16" s="52">
        <v>4.67</v>
      </c>
    </row>
    <row r="17" spans="1:17" customFormat="1">
      <c r="A17" s="51" t="s">
        <v>306</v>
      </c>
      <c r="B17" s="52">
        <v>13.64</v>
      </c>
      <c r="C17" s="52">
        <v>19.43</v>
      </c>
      <c r="D17" s="52">
        <v>20.010000000000002</v>
      </c>
      <c r="E17" s="52">
        <v>9.9</v>
      </c>
      <c r="F17" s="52">
        <v>5.37</v>
      </c>
      <c r="G17" s="52">
        <v>32.08</v>
      </c>
      <c r="H17" s="52">
        <v>10.36</v>
      </c>
      <c r="I17" s="52">
        <v>4.17</v>
      </c>
      <c r="J17" s="52">
        <v>0.45</v>
      </c>
      <c r="K17" s="52">
        <v>341.51</v>
      </c>
      <c r="L17" s="52">
        <v>30.19</v>
      </c>
      <c r="M17" s="52">
        <v>78.540000000000006</v>
      </c>
      <c r="N17" s="52">
        <v>251</v>
      </c>
      <c r="O17" s="52">
        <v>0</v>
      </c>
      <c r="P17" s="52">
        <v>0.45</v>
      </c>
      <c r="Q17" s="52">
        <v>4.66</v>
      </c>
    </row>
    <row r="18" spans="1:17" customFormat="1">
      <c r="A18" s="51" t="s">
        <v>307</v>
      </c>
      <c r="B18" s="52">
        <v>13.78</v>
      </c>
      <c r="C18" s="52">
        <v>22.68</v>
      </c>
      <c r="D18" s="52">
        <v>21.86</v>
      </c>
      <c r="E18" s="52">
        <v>10.32</v>
      </c>
      <c r="F18" s="52">
        <v>6.68</v>
      </c>
      <c r="G18" s="52">
        <v>37.75</v>
      </c>
      <c r="H18" s="52">
        <v>10.199999999999999</v>
      </c>
      <c r="I18" s="52">
        <v>4.2300000000000004</v>
      </c>
      <c r="J18" s="52">
        <v>0.6</v>
      </c>
      <c r="K18" s="52">
        <v>321.76</v>
      </c>
      <c r="L18" s="52">
        <v>31.62</v>
      </c>
      <c r="M18" s="52">
        <v>69.83</v>
      </c>
      <c r="N18" s="52">
        <v>310.2</v>
      </c>
      <c r="O18" s="52">
        <v>0</v>
      </c>
      <c r="P18" s="52">
        <v>0.46</v>
      </c>
      <c r="Q18" s="52">
        <v>4.74</v>
      </c>
    </row>
    <row r="19" spans="1:17" customFormat="1">
      <c r="A19" s="51" t="s">
        <v>308</v>
      </c>
      <c r="B19" s="52">
        <v>13.3</v>
      </c>
      <c r="C19" s="52">
        <v>21.99</v>
      </c>
      <c r="D19" s="52">
        <v>20.71</v>
      </c>
      <c r="E19" s="52">
        <v>8.8800000000000008</v>
      </c>
      <c r="F19" s="52">
        <v>6.21</v>
      </c>
      <c r="G19" s="52">
        <v>42.54</v>
      </c>
      <c r="H19" s="52">
        <v>13.73</v>
      </c>
      <c r="I19" s="52">
        <v>4.1900000000000004</v>
      </c>
      <c r="J19" s="52">
        <v>0.68</v>
      </c>
      <c r="K19" s="52">
        <v>309.07</v>
      </c>
      <c r="L19" s="52">
        <v>32.619999999999997</v>
      </c>
      <c r="M19" s="52">
        <v>63.55</v>
      </c>
      <c r="N19" s="52">
        <v>767.9</v>
      </c>
      <c r="O19" s="52">
        <v>0</v>
      </c>
      <c r="P19" s="52">
        <v>0.47</v>
      </c>
      <c r="Q19" s="52">
        <v>4.67</v>
      </c>
    </row>
    <row r="20" spans="1:17" customFormat="1">
      <c r="A20" s="51" t="s">
        <v>309</v>
      </c>
      <c r="B20" s="52">
        <v>12.28</v>
      </c>
      <c r="C20" s="52">
        <v>25.47</v>
      </c>
      <c r="D20" s="52">
        <v>21.44</v>
      </c>
      <c r="E20" s="52">
        <v>8.1199999999999992</v>
      </c>
      <c r="F20" s="52">
        <v>5.74</v>
      </c>
      <c r="G20" s="52">
        <v>43</v>
      </c>
      <c r="H20" s="52">
        <v>12.89</v>
      </c>
      <c r="I20" s="52">
        <v>4.2699999999999996</v>
      </c>
      <c r="J20" s="52">
        <v>0.68</v>
      </c>
      <c r="K20" s="52">
        <v>308.2</v>
      </c>
      <c r="L20" s="52">
        <v>33.51</v>
      </c>
      <c r="M20" s="52">
        <v>57.82</v>
      </c>
      <c r="N20" s="52">
        <v>834.1</v>
      </c>
      <c r="O20" s="52">
        <v>0</v>
      </c>
      <c r="P20" s="52">
        <v>0.52</v>
      </c>
      <c r="Q20" s="52">
        <v>4.63</v>
      </c>
    </row>
    <row r="21" spans="1:17" customFormat="1">
      <c r="A21" s="51" t="s">
        <v>310</v>
      </c>
      <c r="B21" s="52">
        <v>11.17</v>
      </c>
      <c r="C21" s="52">
        <v>23.55</v>
      </c>
      <c r="D21" s="52">
        <v>20.22</v>
      </c>
      <c r="E21" s="52">
        <v>8.51</v>
      </c>
      <c r="F21" s="52">
        <v>10.48</v>
      </c>
      <c r="G21" s="52">
        <v>46.24</v>
      </c>
      <c r="H21" s="52">
        <v>10.5</v>
      </c>
      <c r="I21" s="52">
        <v>4.0599999999999996</v>
      </c>
      <c r="J21" s="52">
        <v>0.82</v>
      </c>
      <c r="K21" s="52">
        <v>322.85000000000002</v>
      </c>
      <c r="L21" s="52">
        <v>33.35</v>
      </c>
      <c r="M21" s="52">
        <v>63.75</v>
      </c>
      <c r="N21" s="52">
        <v>815</v>
      </c>
      <c r="O21" s="52">
        <v>0</v>
      </c>
      <c r="P21" s="52">
        <v>0.45</v>
      </c>
      <c r="Q21" s="52">
        <v>4.53</v>
      </c>
    </row>
    <row r="22" spans="1:17" customFormat="1">
      <c r="A22" s="51" t="s">
        <v>311</v>
      </c>
      <c r="B22" s="52">
        <v>8.1</v>
      </c>
      <c r="C22" s="52">
        <v>21.46</v>
      </c>
      <c r="D22" s="52">
        <v>16.59</v>
      </c>
      <c r="E22" s="52">
        <v>9.7799999999999994</v>
      </c>
      <c r="F22" s="52">
        <v>8.49</v>
      </c>
      <c r="G22" s="52">
        <v>49.35</v>
      </c>
      <c r="H22" s="52">
        <v>13.34</v>
      </c>
      <c r="I22" s="52">
        <v>4.05</v>
      </c>
      <c r="J22" s="52">
        <v>0.98</v>
      </c>
      <c r="K22" s="52">
        <v>274.94</v>
      </c>
      <c r="L22" s="52">
        <v>33.29</v>
      </c>
      <c r="M22" s="52">
        <v>60.29</v>
      </c>
      <c r="N22" s="52">
        <v>725.8</v>
      </c>
      <c r="O22" s="52">
        <v>0</v>
      </c>
      <c r="P22" s="52">
        <v>0.44</v>
      </c>
      <c r="Q22" s="52">
        <v>4.3600000000000003</v>
      </c>
    </row>
    <row r="23" spans="1:17" customFormat="1">
      <c r="A23" s="51" t="s">
        <v>312</v>
      </c>
      <c r="B23" s="52">
        <v>6.76</v>
      </c>
      <c r="C23" s="52">
        <v>20.09</v>
      </c>
      <c r="D23" s="52">
        <v>14.84</v>
      </c>
      <c r="E23" s="52">
        <v>8.7799999999999994</v>
      </c>
      <c r="F23" s="52">
        <v>9.8000000000000007</v>
      </c>
      <c r="G23" s="52">
        <v>45.78</v>
      </c>
      <c r="H23" s="52">
        <v>11.34</v>
      </c>
      <c r="I23" s="52">
        <v>3.88</v>
      </c>
      <c r="J23" s="52">
        <v>0.96</v>
      </c>
      <c r="K23" s="52">
        <v>267.11</v>
      </c>
      <c r="L23" s="52">
        <v>33.14</v>
      </c>
      <c r="M23" s="52">
        <v>69.959999999999994</v>
      </c>
      <c r="N23" s="52">
        <v>451.2</v>
      </c>
      <c r="O23" s="52">
        <v>0</v>
      </c>
      <c r="P23" s="52">
        <v>0.42</v>
      </c>
      <c r="Q23" s="52">
        <v>4.2300000000000004</v>
      </c>
    </row>
    <row r="24" spans="1:17" customFormat="1">
      <c r="A24" s="51" t="s">
        <v>313</v>
      </c>
      <c r="B24" s="52">
        <v>5.72</v>
      </c>
      <c r="C24" s="52">
        <v>19.22</v>
      </c>
      <c r="D24" s="52">
        <v>13.43</v>
      </c>
      <c r="E24" s="52">
        <v>9.44</v>
      </c>
      <c r="F24" s="52">
        <v>8.9</v>
      </c>
      <c r="G24" s="52">
        <v>42.82</v>
      </c>
      <c r="H24" s="52">
        <v>8.24</v>
      </c>
      <c r="I24" s="52">
        <v>3.62</v>
      </c>
      <c r="J24" s="52">
        <v>1.33</v>
      </c>
      <c r="K24" s="52">
        <v>271.51</v>
      </c>
      <c r="L24" s="52">
        <v>32.19</v>
      </c>
      <c r="M24" s="52">
        <v>63.79</v>
      </c>
      <c r="N24" s="52">
        <v>443.2</v>
      </c>
      <c r="O24" s="52">
        <v>0</v>
      </c>
      <c r="P24" s="52">
        <v>0.41</v>
      </c>
      <c r="Q24" s="52">
        <v>4.1500000000000004</v>
      </c>
    </row>
    <row r="25" spans="1:17" customFormat="1">
      <c r="A25" s="51" t="s">
        <v>314</v>
      </c>
      <c r="B25" s="52">
        <v>4.99</v>
      </c>
      <c r="C25" s="52">
        <v>23.75</v>
      </c>
      <c r="D25" s="52">
        <v>14.84</v>
      </c>
      <c r="E25" s="52">
        <v>9.61</v>
      </c>
      <c r="F25" s="52">
        <v>7.25</v>
      </c>
      <c r="G25" s="52">
        <v>38.28</v>
      </c>
      <c r="H25" s="52">
        <v>6.58</v>
      </c>
      <c r="I25" s="52">
        <v>3.71</v>
      </c>
      <c r="J25" s="52">
        <v>1.06</v>
      </c>
      <c r="K25" s="52">
        <v>270.85000000000002</v>
      </c>
      <c r="L25" s="52">
        <v>32.03</v>
      </c>
      <c r="M25" s="52">
        <v>62.68</v>
      </c>
      <c r="N25" s="52">
        <v>359.3</v>
      </c>
      <c r="O25" s="52">
        <v>0</v>
      </c>
      <c r="P25" s="52">
        <v>0.48</v>
      </c>
      <c r="Q25" s="52">
        <v>4.1399999999999997</v>
      </c>
    </row>
    <row r="26" spans="1:17" customFormat="1">
      <c r="A26" s="51" t="s">
        <v>315</v>
      </c>
      <c r="B26" s="52">
        <v>4.2300000000000004</v>
      </c>
      <c r="C26" s="52">
        <v>19.2</v>
      </c>
      <c r="D26" s="52">
        <v>12.38</v>
      </c>
      <c r="E26" s="52">
        <v>9.3000000000000007</v>
      </c>
      <c r="F26" s="52">
        <v>15.27</v>
      </c>
      <c r="G26" s="52">
        <v>35.979999999999997</v>
      </c>
      <c r="H26" s="52">
        <v>11</v>
      </c>
      <c r="I26" s="52">
        <v>3.66</v>
      </c>
      <c r="J26" s="52">
        <v>0.83</v>
      </c>
      <c r="K26" s="52">
        <v>267.82</v>
      </c>
      <c r="L26" s="52">
        <v>31.26</v>
      </c>
      <c r="M26" s="52">
        <v>67.349999999999994</v>
      </c>
      <c r="N26" s="52">
        <v>71.7</v>
      </c>
      <c r="O26" s="52">
        <v>0</v>
      </c>
      <c r="P26" s="52">
        <v>0.4</v>
      </c>
      <c r="Q26" s="52">
        <v>4.07</v>
      </c>
    </row>
    <row r="27" spans="1:17" customFormat="1">
      <c r="A27" s="51" t="s">
        <v>316</v>
      </c>
      <c r="B27" s="52">
        <v>4.05</v>
      </c>
      <c r="C27" s="52">
        <v>19.989999999999998</v>
      </c>
      <c r="D27" s="52">
        <v>12.64</v>
      </c>
      <c r="E27" s="52">
        <v>7.64</v>
      </c>
      <c r="F27" s="52">
        <v>16.77</v>
      </c>
      <c r="G27" s="52">
        <v>35.270000000000003</v>
      </c>
      <c r="H27" s="52">
        <v>10.01</v>
      </c>
      <c r="I27" s="52">
        <v>3.06</v>
      </c>
      <c r="J27" s="52">
        <v>0.56999999999999995</v>
      </c>
      <c r="K27" s="52">
        <v>265.22000000000003</v>
      </c>
      <c r="L27" s="52">
        <v>30.17</v>
      </c>
      <c r="M27" s="52">
        <v>71.88</v>
      </c>
      <c r="N27" s="52">
        <v>7.6</v>
      </c>
      <c r="O27" s="52">
        <v>0</v>
      </c>
      <c r="P27" s="52">
        <v>0.4</v>
      </c>
      <c r="Q27" s="52">
        <v>4.1100000000000003</v>
      </c>
    </row>
    <row r="28" spans="1:17" customFormat="1">
      <c r="A28" s="51" t="s">
        <v>317</v>
      </c>
      <c r="B28" s="52">
        <v>4.22</v>
      </c>
      <c r="C28" s="52">
        <v>17.079999999999998</v>
      </c>
      <c r="D28" s="52">
        <v>11.16</v>
      </c>
      <c r="E28" s="52">
        <v>7.34</v>
      </c>
      <c r="F28" s="52">
        <v>14.09</v>
      </c>
      <c r="G28" s="52">
        <v>33.17</v>
      </c>
      <c r="H28" s="52">
        <v>9.26</v>
      </c>
      <c r="I28" s="52">
        <v>3.07</v>
      </c>
      <c r="J28" s="52">
        <v>0.55000000000000004</v>
      </c>
      <c r="K28" s="52">
        <v>268.48</v>
      </c>
      <c r="L28" s="52">
        <v>29.48</v>
      </c>
      <c r="M28" s="52">
        <v>70.900000000000006</v>
      </c>
      <c r="N28" s="52">
        <v>0</v>
      </c>
      <c r="O28" s="52">
        <v>0</v>
      </c>
      <c r="P28" s="52">
        <v>0.39</v>
      </c>
      <c r="Q28" s="52">
        <v>4.0999999999999996</v>
      </c>
    </row>
    <row r="29" spans="1:17" customFormat="1">
      <c r="A29" s="51" t="s">
        <v>318</v>
      </c>
      <c r="B29" s="52">
        <v>5.2</v>
      </c>
      <c r="C29" s="52">
        <v>20.68</v>
      </c>
      <c r="D29" s="52">
        <v>13.93</v>
      </c>
      <c r="E29" s="52">
        <v>8</v>
      </c>
      <c r="F29" s="52">
        <v>9.25</v>
      </c>
      <c r="G29" s="52">
        <v>33.880000000000003</v>
      </c>
      <c r="H29" s="52">
        <v>7.96</v>
      </c>
      <c r="I29" s="52">
        <v>3.35</v>
      </c>
      <c r="J29" s="52">
        <v>0.46</v>
      </c>
      <c r="K29" s="52">
        <v>266.91000000000003</v>
      </c>
      <c r="L29" s="52">
        <v>29.18</v>
      </c>
      <c r="M29" s="52">
        <v>71.34</v>
      </c>
      <c r="N29" s="52">
        <v>0</v>
      </c>
      <c r="O29" s="52">
        <v>0</v>
      </c>
      <c r="P29" s="52">
        <v>0.44</v>
      </c>
      <c r="Q29" s="52">
        <v>4.2</v>
      </c>
    </row>
    <row r="30" spans="1:17" customFormat="1">
      <c r="A30" s="51" t="s">
        <v>319</v>
      </c>
      <c r="B30" s="52">
        <v>6.08</v>
      </c>
      <c r="C30" s="52">
        <v>21.57</v>
      </c>
      <c r="D30" s="52">
        <v>14.93</v>
      </c>
      <c r="E30" s="52">
        <v>8.69</v>
      </c>
      <c r="F30" s="52">
        <v>10.06</v>
      </c>
      <c r="G30" s="52">
        <v>35.29</v>
      </c>
      <c r="H30" s="52">
        <v>6.85</v>
      </c>
      <c r="I30" s="52">
        <v>3.89</v>
      </c>
      <c r="J30" s="52">
        <v>0.46</v>
      </c>
      <c r="K30" s="52">
        <v>269.37</v>
      </c>
      <c r="L30" s="52">
        <v>28.85</v>
      </c>
      <c r="M30" s="52">
        <v>72.89</v>
      </c>
      <c r="N30" s="52">
        <v>0</v>
      </c>
      <c r="O30" s="52">
        <v>0</v>
      </c>
      <c r="P30" s="52">
        <v>0.51</v>
      </c>
      <c r="Q30" s="52">
        <v>4.18</v>
      </c>
    </row>
    <row r="31" spans="1:17" customFormat="1">
      <c r="A31" s="51" t="s">
        <v>320</v>
      </c>
      <c r="B31" s="52">
        <v>5.67</v>
      </c>
      <c r="C31" s="52">
        <v>19</v>
      </c>
      <c r="D31" s="52">
        <v>13.39</v>
      </c>
      <c r="E31" s="52">
        <v>8.81</v>
      </c>
      <c r="F31" s="52">
        <v>11.99</v>
      </c>
      <c r="G31" s="52">
        <v>34.54</v>
      </c>
      <c r="H31" s="52">
        <v>8.74</v>
      </c>
      <c r="I31" s="52">
        <v>3.89</v>
      </c>
      <c r="J31" s="52">
        <v>0.39</v>
      </c>
      <c r="K31" s="52">
        <v>265.72000000000003</v>
      </c>
      <c r="L31" s="52">
        <v>28.51</v>
      </c>
      <c r="M31" s="52">
        <v>77.33</v>
      </c>
      <c r="N31" s="52">
        <v>0</v>
      </c>
      <c r="O31" s="52">
        <v>0</v>
      </c>
      <c r="P31" s="52">
        <v>0.47</v>
      </c>
      <c r="Q31" s="52">
        <v>4.2</v>
      </c>
    </row>
    <row r="32" spans="1:17" customFormat="1">
      <c r="A32" s="51" t="s">
        <v>321</v>
      </c>
      <c r="B32" s="52">
        <v>6.42</v>
      </c>
      <c r="C32" s="52">
        <v>21.7</v>
      </c>
      <c r="D32" s="52">
        <v>15.44</v>
      </c>
      <c r="E32" s="52">
        <v>8.43</v>
      </c>
      <c r="F32" s="52">
        <v>10.25</v>
      </c>
      <c r="G32" s="52">
        <v>36.479999999999997</v>
      </c>
      <c r="H32" s="52">
        <v>9.81</v>
      </c>
      <c r="I32" s="52">
        <v>3.83</v>
      </c>
      <c r="J32" s="52">
        <v>0.44</v>
      </c>
      <c r="K32" s="52">
        <v>256.92</v>
      </c>
      <c r="L32" s="52">
        <v>28.19</v>
      </c>
      <c r="M32" s="52">
        <v>79.38</v>
      </c>
      <c r="N32" s="52">
        <v>0</v>
      </c>
      <c r="O32" s="52">
        <v>0</v>
      </c>
      <c r="P32" s="52">
        <v>0.49</v>
      </c>
      <c r="Q32" s="52">
        <v>4.25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4.05</v>
      </c>
      <c r="C34" s="41">
        <f t="shared" si="0"/>
        <v>17.079999999999998</v>
      </c>
      <c r="D34" s="41">
        <f t="shared" si="0"/>
        <v>11.16</v>
      </c>
      <c r="E34" s="41">
        <f t="shared" si="0"/>
        <v>7.34</v>
      </c>
      <c r="F34" s="41">
        <f t="shared" si="0"/>
        <v>3.28</v>
      </c>
      <c r="G34" s="41">
        <f t="shared" si="0"/>
        <v>25.54</v>
      </c>
      <c r="H34" s="41">
        <f t="shared" si="0"/>
        <v>6.58</v>
      </c>
      <c r="I34" s="41">
        <f t="shared" si="0"/>
        <v>3.06</v>
      </c>
      <c r="J34" s="41">
        <f t="shared" si="0"/>
        <v>0.14000000000000001</v>
      </c>
      <c r="K34" s="41">
        <f t="shared" si="0"/>
        <v>196.63</v>
      </c>
      <c r="L34" s="41">
        <f t="shared" si="0"/>
        <v>26.04</v>
      </c>
      <c r="M34" s="41">
        <f t="shared" si="0"/>
        <v>57.82</v>
      </c>
      <c r="N34" s="41">
        <f t="shared" si="0"/>
        <v>0</v>
      </c>
      <c r="O34" s="41">
        <f t="shared" si="0"/>
        <v>0</v>
      </c>
      <c r="P34" s="41">
        <f t="shared" si="0"/>
        <v>0.39</v>
      </c>
      <c r="Q34" s="41">
        <f t="shared" si="0"/>
        <v>4.07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13.78</v>
      </c>
      <c r="C35" s="33">
        <f t="shared" si="1"/>
        <v>25.47</v>
      </c>
      <c r="D35" s="33">
        <f t="shared" si="1"/>
        <v>21.86</v>
      </c>
      <c r="E35" s="33">
        <f t="shared" si="1"/>
        <v>10.32</v>
      </c>
      <c r="F35" s="33">
        <f t="shared" si="1"/>
        <v>16.77</v>
      </c>
      <c r="G35" s="33">
        <f t="shared" si="1"/>
        <v>49.35</v>
      </c>
      <c r="H35" s="33">
        <f t="shared" si="1"/>
        <v>14.07</v>
      </c>
      <c r="I35" s="33">
        <f t="shared" si="1"/>
        <v>4.2699999999999996</v>
      </c>
      <c r="J35" s="33">
        <f t="shared" si="1"/>
        <v>1.33</v>
      </c>
      <c r="K35" s="33">
        <f t="shared" si="1"/>
        <v>341.51</v>
      </c>
      <c r="L35" s="33">
        <f t="shared" si="1"/>
        <v>33.51</v>
      </c>
      <c r="M35" s="33">
        <f t="shared" si="1"/>
        <v>91.32</v>
      </c>
      <c r="N35" s="33">
        <f t="shared" si="1"/>
        <v>834.1</v>
      </c>
      <c r="O35" s="33">
        <f t="shared" si="1"/>
        <v>0</v>
      </c>
      <c r="P35" s="33">
        <f t="shared" si="1"/>
        <v>0.52</v>
      </c>
      <c r="Q35" s="33">
        <f t="shared" si="1"/>
        <v>4.74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9.0341666666666658</v>
      </c>
      <c r="C36" s="41">
        <f t="shared" si="2"/>
        <v>21.263749999999998</v>
      </c>
      <c r="D36" s="41">
        <f t="shared" si="2"/>
        <v>17.189166666666662</v>
      </c>
      <c r="E36" s="41">
        <f t="shared" si="2"/>
        <v>8.7845833333333339</v>
      </c>
      <c r="F36" s="41">
        <f t="shared" si="2"/>
        <v>8.3137500000000006</v>
      </c>
      <c r="G36" s="41">
        <f t="shared" si="2"/>
        <v>37.395833333333329</v>
      </c>
      <c r="H36" s="41">
        <f t="shared" si="2"/>
        <v>9.8745833333333355</v>
      </c>
      <c r="I36" s="41">
        <f t="shared" si="2"/>
        <v>3.7541666666666651</v>
      </c>
      <c r="J36" s="41">
        <f t="shared" si="2"/>
        <v>0.56791666666666685</v>
      </c>
      <c r="K36" s="41">
        <f t="shared" si="2"/>
        <v>273.29125000000005</v>
      </c>
      <c r="L36" s="41">
        <f t="shared" si="2"/>
        <v>29.654166666666669</v>
      </c>
      <c r="M36" s="41">
        <f t="shared" si="2"/>
        <v>75.3</v>
      </c>
      <c r="N36" s="41">
        <f t="shared" si="2"/>
        <v>218.76666666666665</v>
      </c>
      <c r="O36" s="41">
        <f t="shared" si="2"/>
        <v>0</v>
      </c>
      <c r="P36" s="41">
        <f t="shared" si="2"/>
        <v>0.43791666666666679</v>
      </c>
      <c r="Q36" s="41">
        <f t="shared" si="2"/>
        <v>4.397916666666668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3.5431954586179697</v>
      </c>
      <c r="C37" s="41">
        <f t="shared" ref="C37:Q37" si="3">STDEV(C9:C32)</f>
        <v>1.7768898390164571</v>
      </c>
      <c r="D37" s="41">
        <f t="shared" si="3"/>
        <v>3.3321267743859608</v>
      </c>
      <c r="E37" s="41">
        <f t="shared" si="3"/>
        <v>0.73487046576201276</v>
      </c>
      <c r="F37" s="41">
        <f t="shared" si="3"/>
        <v>3.5272921163284754</v>
      </c>
      <c r="G37" s="41">
        <f t="shared" si="3"/>
        <v>6.9224643241291473</v>
      </c>
      <c r="H37" s="41">
        <f t="shared" si="3"/>
        <v>2.268381877149372</v>
      </c>
      <c r="I37" s="41">
        <f t="shared" si="3"/>
        <v>0.33585603368456612</v>
      </c>
      <c r="J37" s="41">
        <f t="shared" si="3"/>
        <v>0.29909979673312553</v>
      </c>
      <c r="K37" s="41">
        <f t="shared" si="3"/>
        <v>29.580487298290116</v>
      </c>
      <c r="L37" s="41">
        <f t="shared" si="3"/>
        <v>2.6173948492921735</v>
      </c>
      <c r="M37" s="41">
        <f t="shared" si="3"/>
        <v>10.773637309171171</v>
      </c>
      <c r="N37" s="41">
        <f t="shared" si="3"/>
        <v>298.46203263989241</v>
      </c>
      <c r="O37" s="41">
        <f t="shared" si="3"/>
        <v>0</v>
      </c>
      <c r="P37" s="41">
        <f t="shared" si="3"/>
        <v>3.900715281861028E-2</v>
      </c>
      <c r="Q37" s="41">
        <f t="shared" si="3"/>
        <v>0.22092649115201918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322</v>
      </c>
      <c r="B9" s="52">
        <v>7.79</v>
      </c>
      <c r="C9" s="52">
        <v>21.98</v>
      </c>
      <c r="D9" s="52">
        <v>16.559999999999999</v>
      </c>
      <c r="E9" s="52">
        <v>8.89</v>
      </c>
      <c r="F9" s="52">
        <v>14.19</v>
      </c>
      <c r="G9" s="52">
        <v>33.99</v>
      </c>
      <c r="H9" s="52">
        <v>11.78</v>
      </c>
      <c r="I9" s="52">
        <v>3.57</v>
      </c>
      <c r="J9" s="52">
        <v>0.48</v>
      </c>
      <c r="K9" s="52">
        <v>261.45</v>
      </c>
      <c r="L9" s="52">
        <v>27.94</v>
      </c>
      <c r="M9" s="52">
        <v>80.48</v>
      </c>
      <c r="N9" s="52">
        <v>0</v>
      </c>
      <c r="O9" s="52">
        <v>0</v>
      </c>
      <c r="P9" s="52">
        <v>0.47</v>
      </c>
      <c r="Q9" s="52">
        <v>4.29</v>
      </c>
    </row>
    <row r="10" spans="1:21" customFormat="1">
      <c r="A10" s="51" t="s">
        <v>323</v>
      </c>
      <c r="B10" s="52">
        <v>8.09</v>
      </c>
      <c r="C10" s="52">
        <v>21.76</v>
      </c>
      <c r="D10" s="52">
        <v>16.809999999999999</v>
      </c>
      <c r="E10" s="52">
        <v>8.24</v>
      </c>
      <c r="F10" s="52">
        <v>9.74</v>
      </c>
      <c r="G10" s="52">
        <v>32.880000000000003</v>
      </c>
      <c r="H10" s="52">
        <v>9.1</v>
      </c>
      <c r="I10" s="52">
        <v>3.69</v>
      </c>
      <c r="J10" s="52">
        <v>0.63</v>
      </c>
      <c r="K10" s="52">
        <v>261.97000000000003</v>
      </c>
      <c r="L10" s="52">
        <v>27.91</v>
      </c>
      <c r="M10" s="52">
        <v>81.08</v>
      </c>
      <c r="N10" s="52">
        <v>0</v>
      </c>
      <c r="O10" s="52">
        <v>0</v>
      </c>
      <c r="P10" s="52">
        <v>0.46</v>
      </c>
      <c r="Q10" s="52">
        <v>4.2699999999999996</v>
      </c>
    </row>
    <row r="11" spans="1:21" customFormat="1">
      <c r="A11" s="51" t="s">
        <v>324</v>
      </c>
      <c r="B11" s="52">
        <v>8.23</v>
      </c>
      <c r="C11" s="52">
        <v>20.81</v>
      </c>
      <c r="D11" s="52">
        <v>16.399999999999999</v>
      </c>
      <c r="E11" s="52">
        <v>7.11</v>
      </c>
      <c r="F11" s="52">
        <v>7.95</v>
      </c>
      <c r="G11" s="52">
        <v>32.65</v>
      </c>
      <c r="H11" s="52">
        <v>11.3</v>
      </c>
      <c r="I11" s="52">
        <v>3.51</v>
      </c>
      <c r="J11" s="52">
        <v>0.65</v>
      </c>
      <c r="K11" s="52">
        <v>265.93</v>
      </c>
      <c r="L11" s="52">
        <v>27.67</v>
      </c>
      <c r="M11" s="52">
        <v>81.349999999999994</v>
      </c>
      <c r="N11" s="52">
        <v>0</v>
      </c>
      <c r="O11" s="52">
        <v>0</v>
      </c>
      <c r="P11" s="52">
        <v>0.47</v>
      </c>
      <c r="Q11" s="52">
        <v>4.3</v>
      </c>
    </row>
    <row r="12" spans="1:21" customFormat="1">
      <c r="A12" s="51" t="s">
        <v>325</v>
      </c>
      <c r="B12" s="52">
        <v>8.01</v>
      </c>
      <c r="C12" s="52">
        <v>20.97</v>
      </c>
      <c r="D12" s="52">
        <v>16.34</v>
      </c>
      <c r="E12" s="52">
        <v>6.2</v>
      </c>
      <c r="F12" s="52">
        <v>5.46</v>
      </c>
      <c r="G12" s="52">
        <v>30.33</v>
      </c>
      <c r="H12" s="52">
        <v>11.23</v>
      </c>
      <c r="I12" s="52">
        <v>3.43</v>
      </c>
      <c r="J12" s="52">
        <v>0.54</v>
      </c>
      <c r="K12" s="52">
        <v>269.52999999999997</v>
      </c>
      <c r="L12" s="52">
        <v>27.42</v>
      </c>
      <c r="M12" s="52">
        <v>83.2</v>
      </c>
      <c r="N12" s="52">
        <v>0</v>
      </c>
      <c r="O12" s="52">
        <v>0</v>
      </c>
      <c r="P12" s="52">
        <v>0.46</v>
      </c>
      <c r="Q12" s="52">
        <v>4.24</v>
      </c>
    </row>
    <row r="13" spans="1:21" customFormat="1">
      <c r="A13" s="51" t="s">
        <v>326</v>
      </c>
      <c r="B13" s="52">
        <v>8.9499999999999993</v>
      </c>
      <c r="C13" s="52">
        <v>22.5</v>
      </c>
      <c r="D13" s="52">
        <v>17.89</v>
      </c>
      <c r="E13" s="52">
        <v>7.55</v>
      </c>
      <c r="F13" s="52">
        <v>6.49</v>
      </c>
      <c r="G13" s="52">
        <v>29.49</v>
      </c>
      <c r="H13" s="52">
        <v>8.25</v>
      </c>
      <c r="I13" s="52">
        <v>3.47</v>
      </c>
      <c r="J13" s="52">
        <v>0.52</v>
      </c>
      <c r="K13" s="52">
        <v>267.51</v>
      </c>
      <c r="L13" s="52">
        <v>27.11</v>
      </c>
      <c r="M13" s="52">
        <v>84.87</v>
      </c>
      <c r="N13" s="52">
        <v>0</v>
      </c>
      <c r="O13" s="52">
        <v>0</v>
      </c>
      <c r="P13" s="52">
        <v>0.47</v>
      </c>
      <c r="Q13" s="52">
        <v>4.3499999999999996</v>
      </c>
    </row>
    <row r="14" spans="1:21" customFormat="1">
      <c r="A14" s="51" t="s">
        <v>327</v>
      </c>
      <c r="B14" s="52">
        <v>10.18</v>
      </c>
      <c r="C14" s="52">
        <v>22.66</v>
      </c>
      <c r="D14" s="52">
        <v>18.690000000000001</v>
      </c>
      <c r="E14" s="52">
        <v>7.26</v>
      </c>
      <c r="F14" s="52">
        <v>5.44</v>
      </c>
      <c r="G14" s="52">
        <v>29.76</v>
      </c>
      <c r="H14" s="52">
        <v>8.5</v>
      </c>
      <c r="I14" s="52">
        <v>3.53</v>
      </c>
      <c r="J14" s="52">
        <v>0.3</v>
      </c>
      <c r="K14" s="52">
        <v>258.08999999999997</v>
      </c>
      <c r="L14" s="52">
        <v>26.74</v>
      </c>
      <c r="M14" s="52">
        <v>89.79</v>
      </c>
      <c r="N14" s="52">
        <v>6.4</v>
      </c>
      <c r="O14" s="52">
        <v>0</v>
      </c>
      <c r="P14" s="52">
        <v>0.48</v>
      </c>
      <c r="Q14" s="52">
        <v>4.42</v>
      </c>
    </row>
    <row r="15" spans="1:21" customFormat="1">
      <c r="A15" s="51" t="s">
        <v>328</v>
      </c>
      <c r="B15" s="52">
        <v>11.84</v>
      </c>
      <c r="C15" s="52">
        <v>22.97</v>
      </c>
      <c r="D15" s="52">
        <v>20.059999999999999</v>
      </c>
      <c r="E15" s="52">
        <v>7.41</v>
      </c>
      <c r="F15" s="52">
        <v>4.45</v>
      </c>
      <c r="G15" s="52">
        <v>29.77</v>
      </c>
      <c r="H15" s="52">
        <v>8.16</v>
      </c>
      <c r="I15" s="52">
        <v>3.89</v>
      </c>
      <c r="J15" s="52">
        <v>0.52</v>
      </c>
      <c r="K15" s="52">
        <v>260.04000000000002</v>
      </c>
      <c r="L15" s="52">
        <v>27.36</v>
      </c>
      <c r="M15" s="52">
        <v>90.05</v>
      </c>
      <c r="N15" s="52">
        <v>69.8</v>
      </c>
      <c r="O15" s="52">
        <v>0</v>
      </c>
      <c r="P15" s="52">
        <v>0.51</v>
      </c>
      <c r="Q15" s="52">
        <v>4.5</v>
      </c>
    </row>
    <row r="16" spans="1:21" customFormat="1">
      <c r="A16" s="51" t="s">
        <v>329</v>
      </c>
      <c r="B16" s="52">
        <v>12.47</v>
      </c>
      <c r="C16" s="52">
        <v>20.32</v>
      </c>
      <c r="D16" s="52">
        <v>19.57</v>
      </c>
      <c r="E16" s="52">
        <v>7.3</v>
      </c>
      <c r="F16" s="52">
        <v>4.45</v>
      </c>
      <c r="G16" s="52">
        <v>30.64</v>
      </c>
      <c r="H16" s="52">
        <v>11.64</v>
      </c>
      <c r="I16" s="52">
        <v>4.0199999999999996</v>
      </c>
      <c r="J16" s="52">
        <v>0.56999999999999995</v>
      </c>
      <c r="K16" s="52">
        <v>287.51</v>
      </c>
      <c r="L16" s="52">
        <v>28.77</v>
      </c>
      <c r="M16" s="52">
        <v>85.17</v>
      </c>
      <c r="N16" s="52">
        <v>111.2</v>
      </c>
      <c r="O16" s="52">
        <v>0</v>
      </c>
      <c r="P16" s="52">
        <v>0.5</v>
      </c>
      <c r="Q16" s="52">
        <v>4.51</v>
      </c>
    </row>
    <row r="17" spans="1:17" customFormat="1">
      <c r="A17" s="51" t="s">
        <v>330</v>
      </c>
      <c r="B17" s="52">
        <v>12.2</v>
      </c>
      <c r="C17" s="52">
        <v>22.12</v>
      </c>
      <c r="D17" s="52">
        <v>20.260000000000002</v>
      </c>
      <c r="E17" s="52">
        <v>6.63</v>
      </c>
      <c r="F17" s="52">
        <v>4.45</v>
      </c>
      <c r="G17" s="52">
        <v>33.270000000000003</v>
      </c>
      <c r="H17" s="52">
        <v>12.15</v>
      </c>
      <c r="I17" s="52">
        <v>4.26</v>
      </c>
      <c r="J17" s="52">
        <v>0.8</v>
      </c>
      <c r="K17" s="52">
        <v>307.13</v>
      </c>
      <c r="L17" s="52">
        <v>30.22</v>
      </c>
      <c r="M17" s="52">
        <v>78.09</v>
      </c>
      <c r="N17" s="52">
        <v>273.2</v>
      </c>
      <c r="O17" s="52">
        <v>0</v>
      </c>
      <c r="P17" s="52">
        <v>0.54</v>
      </c>
      <c r="Q17" s="52">
        <v>4.55</v>
      </c>
    </row>
    <row r="18" spans="1:17" customFormat="1">
      <c r="A18" s="51" t="s">
        <v>331</v>
      </c>
      <c r="B18" s="52">
        <v>12.28</v>
      </c>
      <c r="C18" s="52">
        <v>21.44</v>
      </c>
      <c r="D18" s="52">
        <v>19.95</v>
      </c>
      <c r="E18" s="52">
        <v>6.61</v>
      </c>
      <c r="F18" s="52">
        <v>5.21</v>
      </c>
      <c r="G18" s="52">
        <v>32.299999999999997</v>
      </c>
      <c r="H18" s="52">
        <v>11.47</v>
      </c>
      <c r="I18" s="52">
        <v>4.26</v>
      </c>
      <c r="J18" s="52">
        <v>0.88</v>
      </c>
      <c r="K18" s="52">
        <v>317.24</v>
      </c>
      <c r="L18" s="52">
        <v>30.79</v>
      </c>
      <c r="M18" s="52">
        <v>64.010000000000005</v>
      </c>
      <c r="N18" s="52">
        <v>357.3</v>
      </c>
      <c r="O18" s="52">
        <v>0</v>
      </c>
      <c r="P18" s="52">
        <v>0.51</v>
      </c>
      <c r="Q18" s="52">
        <v>4.53</v>
      </c>
    </row>
    <row r="19" spans="1:17" customFormat="1">
      <c r="A19" s="51" t="s">
        <v>332</v>
      </c>
      <c r="B19" s="52">
        <v>12.11</v>
      </c>
      <c r="C19" s="52">
        <v>21.62</v>
      </c>
      <c r="D19" s="52">
        <v>19.57</v>
      </c>
      <c r="E19" s="52">
        <v>8.77</v>
      </c>
      <c r="F19" s="52">
        <v>5.69</v>
      </c>
      <c r="G19" s="52">
        <v>33.64</v>
      </c>
      <c r="H19" s="52">
        <v>10.41</v>
      </c>
      <c r="I19" s="52">
        <v>4.1100000000000003</v>
      </c>
      <c r="J19" s="52">
        <v>0.91</v>
      </c>
      <c r="K19" s="52">
        <v>302.67</v>
      </c>
      <c r="L19" s="52">
        <v>32.17</v>
      </c>
      <c r="M19" s="52">
        <v>64.540000000000006</v>
      </c>
      <c r="N19" s="52">
        <v>765.8</v>
      </c>
      <c r="O19" s="52">
        <v>0</v>
      </c>
      <c r="P19" s="52">
        <v>0.5</v>
      </c>
      <c r="Q19" s="52">
        <v>4.4800000000000004</v>
      </c>
    </row>
    <row r="20" spans="1:17" customFormat="1">
      <c r="A20" s="51" t="s">
        <v>333</v>
      </c>
      <c r="B20" s="52">
        <v>10.73</v>
      </c>
      <c r="C20" s="52">
        <v>21.84</v>
      </c>
      <c r="D20" s="52">
        <v>18.89</v>
      </c>
      <c r="E20" s="52">
        <v>9.43</v>
      </c>
      <c r="F20" s="52">
        <v>6.67</v>
      </c>
      <c r="G20" s="52">
        <v>40.24</v>
      </c>
      <c r="H20" s="52">
        <v>11</v>
      </c>
      <c r="I20" s="52">
        <v>3.95</v>
      </c>
      <c r="J20" s="52">
        <v>0.95</v>
      </c>
      <c r="K20" s="52">
        <v>308.62</v>
      </c>
      <c r="L20" s="52">
        <v>32.659999999999997</v>
      </c>
      <c r="M20" s="52">
        <v>58.78</v>
      </c>
      <c r="N20" s="52">
        <v>840.7</v>
      </c>
      <c r="O20" s="52">
        <v>0</v>
      </c>
      <c r="P20" s="52">
        <v>0.49</v>
      </c>
      <c r="Q20" s="52">
        <v>4.45</v>
      </c>
    </row>
    <row r="21" spans="1:17" customFormat="1">
      <c r="A21" s="51" t="s">
        <v>334</v>
      </c>
      <c r="B21" s="52">
        <v>10.76</v>
      </c>
      <c r="C21" s="52">
        <v>22.32</v>
      </c>
      <c r="D21" s="52">
        <v>19.239999999999998</v>
      </c>
      <c r="E21" s="52">
        <v>8.5399999999999991</v>
      </c>
      <c r="F21" s="52">
        <v>6.38</v>
      </c>
      <c r="G21" s="52">
        <v>39.159999999999997</v>
      </c>
      <c r="H21" s="52">
        <v>10.77</v>
      </c>
      <c r="I21" s="52">
        <v>3.71</v>
      </c>
      <c r="J21" s="52">
        <v>1.01</v>
      </c>
      <c r="K21" s="52">
        <v>308</v>
      </c>
      <c r="L21" s="52">
        <v>33.229999999999997</v>
      </c>
      <c r="M21" s="52">
        <v>55.13</v>
      </c>
      <c r="N21" s="52">
        <v>892.1</v>
      </c>
      <c r="O21" s="52">
        <v>0</v>
      </c>
      <c r="P21" s="52">
        <v>0.47</v>
      </c>
      <c r="Q21" s="52">
        <v>4.3899999999999997</v>
      </c>
    </row>
    <row r="22" spans="1:17" customFormat="1">
      <c r="A22" s="51" t="s">
        <v>335</v>
      </c>
      <c r="B22" s="52">
        <v>9.64</v>
      </c>
      <c r="C22" s="52">
        <v>24.84</v>
      </c>
      <c r="D22" s="52">
        <v>19.39</v>
      </c>
      <c r="E22" s="52">
        <v>7.86</v>
      </c>
      <c r="F22" s="52">
        <v>5.88</v>
      </c>
      <c r="G22" s="52">
        <v>39.880000000000003</v>
      </c>
      <c r="H22" s="52">
        <v>11.84</v>
      </c>
      <c r="I22" s="52">
        <v>3.79</v>
      </c>
      <c r="J22" s="52">
        <v>1.06</v>
      </c>
      <c r="K22" s="52">
        <v>302.08</v>
      </c>
      <c r="L22" s="52">
        <v>33.36</v>
      </c>
      <c r="M22" s="52">
        <v>54.12</v>
      </c>
      <c r="N22" s="52">
        <v>850.5</v>
      </c>
      <c r="O22" s="52">
        <v>0</v>
      </c>
      <c r="P22" s="52">
        <v>0.51</v>
      </c>
      <c r="Q22" s="52">
        <v>4.41</v>
      </c>
    </row>
    <row r="23" spans="1:17" customFormat="1">
      <c r="A23" s="51" t="s">
        <v>336</v>
      </c>
      <c r="B23" s="52">
        <v>9.25</v>
      </c>
      <c r="C23" s="52">
        <v>21.69</v>
      </c>
      <c r="D23" s="52">
        <v>17.7</v>
      </c>
      <c r="E23" s="52">
        <v>7.23</v>
      </c>
      <c r="F23" s="52">
        <v>7.43</v>
      </c>
      <c r="G23" s="52">
        <v>43.14</v>
      </c>
      <c r="H23" s="52">
        <v>9.52</v>
      </c>
      <c r="I23" s="52">
        <v>3.56</v>
      </c>
      <c r="J23" s="52">
        <v>1.1399999999999999</v>
      </c>
      <c r="K23" s="52">
        <v>288.27999999999997</v>
      </c>
      <c r="L23" s="52">
        <v>33.590000000000003</v>
      </c>
      <c r="M23" s="52">
        <v>53.56</v>
      </c>
      <c r="N23" s="52">
        <v>744.4</v>
      </c>
      <c r="O23" s="52">
        <v>0</v>
      </c>
      <c r="P23" s="52">
        <v>0.35</v>
      </c>
      <c r="Q23" s="52">
        <v>4.3600000000000003</v>
      </c>
    </row>
    <row r="24" spans="1:17" customFormat="1">
      <c r="A24" s="51" t="s">
        <v>337</v>
      </c>
      <c r="B24" s="52">
        <v>8.06</v>
      </c>
      <c r="C24" s="52">
        <v>21.77</v>
      </c>
      <c r="D24" s="52">
        <v>16.79</v>
      </c>
      <c r="E24" s="52">
        <v>9.1</v>
      </c>
      <c r="F24" s="52">
        <v>8.24</v>
      </c>
      <c r="G24" s="52">
        <v>42.69</v>
      </c>
      <c r="H24" s="52">
        <v>9.01</v>
      </c>
      <c r="I24" s="52">
        <v>3.21</v>
      </c>
      <c r="J24" s="52">
        <v>1.03</v>
      </c>
      <c r="K24" s="52">
        <v>275.01</v>
      </c>
      <c r="L24" s="52">
        <v>33.01</v>
      </c>
      <c r="M24" s="52">
        <v>59.31</v>
      </c>
      <c r="N24" s="52">
        <v>464.8</v>
      </c>
      <c r="O24" s="52">
        <v>0</v>
      </c>
      <c r="P24" s="52">
        <v>0.36</v>
      </c>
      <c r="Q24" s="52">
        <v>4.26</v>
      </c>
    </row>
    <row r="25" spans="1:17" customFormat="1">
      <c r="A25" s="51" t="s">
        <v>338</v>
      </c>
      <c r="B25" s="52">
        <v>6.88</v>
      </c>
      <c r="C25" s="52">
        <v>20.41</v>
      </c>
      <c r="D25" s="52">
        <v>15.14</v>
      </c>
      <c r="E25" s="52">
        <v>9.17</v>
      </c>
      <c r="F25" s="52">
        <v>9.3800000000000008</v>
      </c>
      <c r="G25" s="52">
        <v>39.56</v>
      </c>
      <c r="H25" s="52">
        <v>7.61</v>
      </c>
      <c r="I25" s="52">
        <v>3.24</v>
      </c>
      <c r="J25" s="52">
        <v>0.96</v>
      </c>
      <c r="K25" s="52">
        <v>265.58999999999997</v>
      </c>
      <c r="L25" s="52">
        <v>31.78</v>
      </c>
      <c r="M25" s="52">
        <v>63.85</v>
      </c>
      <c r="N25" s="52">
        <v>167</v>
      </c>
      <c r="O25" s="52">
        <v>0</v>
      </c>
      <c r="P25" s="52">
        <v>0.35</v>
      </c>
      <c r="Q25" s="52">
        <v>4.21</v>
      </c>
    </row>
    <row r="26" spans="1:17" customFormat="1">
      <c r="A26" s="51" t="s">
        <v>339</v>
      </c>
      <c r="B26" s="52">
        <v>5.72</v>
      </c>
      <c r="C26" s="52">
        <v>19.309999999999999</v>
      </c>
      <c r="D26" s="52">
        <v>13.63</v>
      </c>
      <c r="E26" s="52">
        <v>8.16</v>
      </c>
      <c r="F26" s="52">
        <v>10.06</v>
      </c>
      <c r="G26" s="52">
        <v>37.47</v>
      </c>
      <c r="H26" s="52">
        <v>7.99</v>
      </c>
      <c r="I26" s="52">
        <v>2.98</v>
      </c>
      <c r="J26" s="52">
        <v>0.98</v>
      </c>
      <c r="K26" s="52">
        <v>265.55</v>
      </c>
      <c r="L26" s="52">
        <v>30.79</v>
      </c>
      <c r="M26" s="52">
        <v>64.45</v>
      </c>
      <c r="N26" s="52">
        <v>59.8</v>
      </c>
      <c r="O26" s="52">
        <v>0</v>
      </c>
      <c r="P26" s="52">
        <v>0.33</v>
      </c>
      <c r="Q26" s="52">
        <v>4.12</v>
      </c>
    </row>
    <row r="27" spans="1:17" customFormat="1">
      <c r="A27" s="51" t="s">
        <v>340</v>
      </c>
      <c r="B27" s="52">
        <v>5.82</v>
      </c>
      <c r="C27" s="52">
        <v>23.55</v>
      </c>
      <c r="D27" s="52">
        <v>15.93</v>
      </c>
      <c r="E27" s="52">
        <v>7.26</v>
      </c>
      <c r="F27" s="52">
        <v>9.4</v>
      </c>
      <c r="G27" s="52">
        <v>32.85</v>
      </c>
      <c r="H27" s="52">
        <v>10.26</v>
      </c>
      <c r="I27" s="52">
        <v>3.15</v>
      </c>
      <c r="J27" s="52">
        <v>0.96</v>
      </c>
      <c r="K27" s="52">
        <v>269.75</v>
      </c>
      <c r="L27" s="52">
        <v>30.3</v>
      </c>
      <c r="M27" s="52">
        <v>64.349999999999994</v>
      </c>
      <c r="N27" s="52">
        <v>9.8000000000000007</v>
      </c>
      <c r="O27" s="52">
        <v>0</v>
      </c>
      <c r="P27" s="52">
        <v>0.4</v>
      </c>
      <c r="Q27" s="52">
        <v>4.18</v>
      </c>
    </row>
    <row r="28" spans="1:17" customFormat="1">
      <c r="A28" s="51" t="s">
        <v>341</v>
      </c>
      <c r="B28" s="52">
        <v>5.41</v>
      </c>
      <c r="C28" s="52">
        <v>20.04</v>
      </c>
      <c r="D28" s="52">
        <v>13.76</v>
      </c>
      <c r="E28" s="52">
        <v>8.0500000000000007</v>
      </c>
      <c r="F28" s="52">
        <v>12.81</v>
      </c>
      <c r="G28" s="52">
        <v>30.93</v>
      </c>
      <c r="H28" s="52">
        <v>8.1999999999999993</v>
      </c>
      <c r="I28" s="52">
        <v>2.99</v>
      </c>
      <c r="J28" s="52">
        <v>0.73</v>
      </c>
      <c r="K28" s="52">
        <v>270.52</v>
      </c>
      <c r="L28" s="52">
        <v>29.71</v>
      </c>
      <c r="M28" s="52">
        <v>66.61</v>
      </c>
      <c r="N28" s="52">
        <v>0</v>
      </c>
      <c r="O28" s="52">
        <v>0</v>
      </c>
      <c r="P28" s="52">
        <v>0.36</v>
      </c>
      <c r="Q28" s="52">
        <v>4.13</v>
      </c>
    </row>
    <row r="29" spans="1:17" customFormat="1">
      <c r="A29" s="51" t="s">
        <v>342</v>
      </c>
      <c r="B29" s="52">
        <v>5.98</v>
      </c>
      <c r="C29" s="52">
        <v>23.57</v>
      </c>
      <c r="D29" s="52">
        <v>16.059999999999999</v>
      </c>
      <c r="E29" s="52">
        <v>9.85</v>
      </c>
      <c r="F29" s="52">
        <v>12.51</v>
      </c>
      <c r="G29" s="52">
        <v>34.82</v>
      </c>
      <c r="H29" s="52">
        <v>11.56</v>
      </c>
      <c r="I29" s="52">
        <v>3.41</v>
      </c>
      <c r="J29" s="52">
        <v>0.76</v>
      </c>
      <c r="K29" s="52">
        <v>265.19</v>
      </c>
      <c r="L29" s="52">
        <v>29.42</v>
      </c>
      <c r="M29" s="52">
        <v>71.98</v>
      </c>
      <c r="N29" s="52">
        <v>0</v>
      </c>
      <c r="O29" s="52">
        <v>0</v>
      </c>
      <c r="P29" s="52">
        <v>0.46</v>
      </c>
      <c r="Q29" s="52">
        <v>4.2300000000000004</v>
      </c>
    </row>
    <row r="30" spans="1:17" customFormat="1">
      <c r="A30" s="51" t="s">
        <v>343</v>
      </c>
      <c r="B30" s="52">
        <v>6.43</v>
      </c>
      <c r="C30" s="52">
        <v>22.64</v>
      </c>
      <c r="D30" s="52">
        <v>15.94</v>
      </c>
      <c r="E30" s="52">
        <v>9.08</v>
      </c>
      <c r="F30" s="52">
        <v>14.51</v>
      </c>
      <c r="G30" s="52">
        <v>40.619999999999997</v>
      </c>
      <c r="H30" s="52">
        <v>12.67</v>
      </c>
      <c r="I30" s="52">
        <v>4.3099999999999996</v>
      </c>
      <c r="J30" s="52">
        <v>0.43</v>
      </c>
      <c r="K30" s="52">
        <v>260.77999999999997</v>
      </c>
      <c r="L30" s="52">
        <v>28.56</v>
      </c>
      <c r="M30" s="52">
        <v>78.86</v>
      </c>
      <c r="N30" s="52">
        <v>0</v>
      </c>
      <c r="O30" s="52">
        <v>0</v>
      </c>
      <c r="P30" s="52">
        <v>0.42</v>
      </c>
      <c r="Q30" s="52">
        <v>4.24</v>
      </c>
    </row>
    <row r="31" spans="1:17" customFormat="1">
      <c r="A31" s="51" t="s">
        <v>344</v>
      </c>
      <c r="B31" s="52">
        <v>7.23</v>
      </c>
      <c r="C31" s="52">
        <v>22.95</v>
      </c>
      <c r="D31" s="52">
        <v>16.739999999999998</v>
      </c>
      <c r="E31" s="52">
        <v>8.48</v>
      </c>
      <c r="F31" s="52">
        <v>12.02</v>
      </c>
      <c r="G31" s="52">
        <v>40.32</v>
      </c>
      <c r="H31" s="52">
        <v>14.27</v>
      </c>
      <c r="I31" s="52">
        <v>3.6</v>
      </c>
      <c r="J31" s="52">
        <v>0.49</v>
      </c>
      <c r="K31" s="52">
        <v>262.56</v>
      </c>
      <c r="L31" s="52">
        <v>28.03</v>
      </c>
      <c r="M31" s="52">
        <v>79.41</v>
      </c>
      <c r="N31" s="52">
        <v>0</v>
      </c>
      <c r="O31" s="52">
        <v>0</v>
      </c>
      <c r="P31" s="52">
        <v>0.42</v>
      </c>
      <c r="Q31" s="52">
        <v>4.25</v>
      </c>
    </row>
    <row r="32" spans="1:17" customFormat="1">
      <c r="A32" s="51" t="s">
        <v>345</v>
      </c>
      <c r="B32" s="52">
        <v>7.7</v>
      </c>
      <c r="C32" s="52">
        <v>22.61</v>
      </c>
      <c r="D32" s="52">
        <v>16.91</v>
      </c>
      <c r="E32" s="52">
        <v>8.25</v>
      </c>
      <c r="F32" s="52">
        <v>7.39</v>
      </c>
      <c r="G32" s="52">
        <v>36.79</v>
      </c>
      <c r="H32" s="52">
        <v>10.61</v>
      </c>
      <c r="I32" s="52">
        <v>3.67</v>
      </c>
      <c r="J32" s="52">
        <v>0.48</v>
      </c>
      <c r="K32" s="52">
        <v>260.19</v>
      </c>
      <c r="L32" s="52">
        <v>27.94</v>
      </c>
      <c r="M32" s="52">
        <v>79.64</v>
      </c>
      <c r="N32" s="52">
        <v>0</v>
      </c>
      <c r="O32" s="52">
        <v>0</v>
      </c>
      <c r="P32" s="52">
        <v>0.45</v>
      </c>
      <c r="Q32" s="52">
        <v>4.25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5.41</v>
      </c>
      <c r="C34" s="41">
        <f t="shared" si="0"/>
        <v>19.309999999999999</v>
      </c>
      <c r="D34" s="41">
        <f t="shared" si="0"/>
        <v>13.63</v>
      </c>
      <c r="E34" s="41">
        <f t="shared" si="0"/>
        <v>6.2</v>
      </c>
      <c r="F34" s="41">
        <f t="shared" si="0"/>
        <v>4.45</v>
      </c>
      <c r="G34" s="41">
        <f t="shared" si="0"/>
        <v>29.49</v>
      </c>
      <c r="H34" s="41">
        <f t="shared" si="0"/>
        <v>7.61</v>
      </c>
      <c r="I34" s="41">
        <f t="shared" si="0"/>
        <v>2.98</v>
      </c>
      <c r="J34" s="41">
        <f t="shared" si="0"/>
        <v>0.3</v>
      </c>
      <c r="K34" s="41">
        <f t="shared" si="0"/>
        <v>258.08999999999997</v>
      </c>
      <c r="L34" s="41">
        <f t="shared" si="0"/>
        <v>26.74</v>
      </c>
      <c r="M34" s="41">
        <f t="shared" si="0"/>
        <v>53.56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4.12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12.47</v>
      </c>
      <c r="C35" s="33">
        <f t="shared" si="1"/>
        <v>24.84</v>
      </c>
      <c r="D35" s="33">
        <f t="shared" si="1"/>
        <v>20.260000000000002</v>
      </c>
      <c r="E35" s="33">
        <f t="shared" si="1"/>
        <v>9.85</v>
      </c>
      <c r="F35" s="33">
        <f t="shared" si="1"/>
        <v>14.51</v>
      </c>
      <c r="G35" s="33">
        <f t="shared" si="1"/>
        <v>43.14</v>
      </c>
      <c r="H35" s="33">
        <f t="shared" si="1"/>
        <v>14.27</v>
      </c>
      <c r="I35" s="33">
        <f t="shared" si="1"/>
        <v>4.3099999999999996</v>
      </c>
      <c r="J35" s="33">
        <f t="shared" si="1"/>
        <v>1.1399999999999999</v>
      </c>
      <c r="K35" s="33">
        <f t="shared" si="1"/>
        <v>317.24</v>
      </c>
      <c r="L35" s="33">
        <f t="shared" si="1"/>
        <v>33.590000000000003</v>
      </c>
      <c r="M35" s="33">
        <f t="shared" si="1"/>
        <v>90.05</v>
      </c>
      <c r="N35" s="33">
        <f t="shared" si="1"/>
        <v>892.1</v>
      </c>
      <c r="O35" s="33">
        <f t="shared" si="1"/>
        <v>0</v>
      </c>
      <c r="P35" s="33">
        <f t="shared" si="1"/>
        <v>0.54</v>
      </c>
      <c r="Q35" s="33">
        <f t="shared" si="1"/>
        <v>4.55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8.8233333333333306</v>
      </c>
      <c r="C36" s="41">
        <f t="shared" si="2"/>
        <v>21.945416666666663</v>
      </c>
      <c r="D36" s="41">
        <f t="shared" si="2"/>
        <v>17.425833333333333</v>
      </c>
      <c r="E36" s="41">
        <f t="shared" si="2"/>
        <v>8.0179166666666646</v>
      </c>
      <c r="F36" s="41">
        <f t="shared" si="2"/>
        <v>8.1749999999999989</v>
      </c>
      <c r="G36" s="41">
        <f t="shared" si="2"/>
        <v>35.299583333333331</v>
      </c>
      <c r="H36" s="41">
        <f t="shared" si="2"/>
        <v>10.387500000000001</v>
      </c>
      <c r="I36" s="41">
        <f t="shared" si="2"/>
        <v>3.6379166666666669</v>
      </c>
      <c r="J36" s="41">
        <f t="shared" si="2"/>
        <v>0.74083333333333334</v>
      </c>
      <c r="K36" s="41">
        <f t="shared" si="2"/>
        <v>277.54958333333326</v>
      </c>
      <c r="L36" s="41">
        <f t="shared" si="2"/>
        <v>29.853333333333335</v>
      </c>
      <c r="M36" s="41">
        <f t="shared" si="2"/>
        <v>72.194999999999979</v>
      </c>
      <c r="N36" s="41">
        <f t="shared" si="2"/>
        <v>233.86666666666667</v>
      </c>
      <c r="O36" s="41">
        <f t="shared" si="2"/>
        <v>0</v>
      </c>
      <c r="P36" s="41">
        <f t="shared" si="2"/>
        <v>0.44749999999999995</v>
      </c>
      <c r="Q36" s="41">
        <f t="shared" si="2"/>
        <v>4.3299999999999992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2.2987305885728806</v>
      </c>
      <c r="C37" s="41">
        <f t="shared" ref="C37:Q37" si="3">STDEV(C9:C32)</f>
        <v>1.2490830694925781</v>
      </c>
      <c r="D37" s="41">
        <f t="shared" si="3"/>
        <v>1.9292123120402052</v>
      </c>
      <c r="E37" s="41">
        <f t="shared" si="3"/>
        <v>0.97467041995552517</v>
      </c>
      <c r="F37" s="41">
        <f t="shared" si="3"/>
        <v>3.1387563308335737</v>
      </c>
      <c r="G37" s="41">
        <f t="shared" si="3"/>
        <v>4.433975033922696</v>
      </c>
      <c r="H37" s="41">
        <f t="shared" si="3"/>
        <v>1.7362259169769865</v>
      </c>
      <c r="I37" s="41">
        <f t="shared" si="3"/>
        <v>0.38353027392175337</v>
      </c>
      <c r="J37" s="41">
        <f t="shared" si="3"/>
        <v>0.24171338878688636</v>
      </c>
      <c r="K37" s="41">
        <f t="shared" si="3"/>
        <v>19.382982782791604</v>
      </c>
      <c r="L37" s="41">
        <f t="shared" si="3"/>
        <v>2.267652811909687</v>
      </c>
      <c r="M37" s="41">
        <f t="shared" si="3"/>
        <v>11.713473475855372</v>
      </c>
      <c r="N37" s="41">
        <f t="shared" si="3"/>
        <v>331.07751708450479</v>
      </c>
      <c r="O37" s="41">
        <f t="shared" si="3"/>
        <v>0</v>
      </c>
      <c r="P37" s="41">
        <f t="shared" si="3"/>
        <v>6.0090511440804302E-2</v>
      </c>
      <c r="Q37" s="41">
        <f t="shared" si="3"/>
        <v>0.12802852942930903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346</v>
      </c>
      <c r="B9" s="52">
        <v>7.01</v>
      </c>
      <c r="C9" s="52">
        <v>18.37</v>
      </c>
      <c r="D9" s="52">
        <v>14.17</v>
      </c>
      <c r="E9" s="52">
        <v>7.33</v>
      </c>
      <c r="F9" s="52">
        <v>8.36</v>
      </c>
      <c r="G9" s="52">
        <v>34.08</v>
      </c>
      <c r="H9" s="52">
        <v>8.68</v>
      </c>
      <c r="I9" s="52">
        <v>3.64</v>
      </c>
      <c r="J9" s="52">
        <v>0.32</v>
      </c>
      <c r="K9" s="52">
        <v>256.64</v>
      </c>
      <c r="L9" s="52">
        <v>27.5</v>
      </c>
      <c r="M9" s="52">
        <v>82.38</v>
      </c>
      <c r="N9" s="52">
        <v>0</v>
      </c>
      <c r="O9" s="52">
        <v>0</v>
      </c>
      <c r="P9" s="52">
        <v>0.38</v>
      </c>
      <c r="Q9" s="52">
        <v>4.2300000000000004</v>
      </c>
    </row>
    <row r="10" spans="1:21" customFormat="1">
      <c r="A10" s="51" t="s">
        <v>347</v>
      </c>
      <c r="B10" s="52">
        <v>8.3699999999999992</v>
      </c>
      <c r="C10" s="52">
        <v>23.11</v>
      </c>
      <c r="D10" s="52">
        <v>17.670000000000002</v>
      </c>
      <c r="E10" s="52">
        <v>8.58</v>
      </c>
      <c r="F10" s="52">
        <v>7.54</v>
      </c>
      <c r="G10" s="52">
        <v>33.11</v>
      </c>
      <c r="H10" s="52">
        <v>9.93</v>
      </c>
      <c r="I10" s="52">
        <v>3.52</v>
      </c>
      <c r="J10" s="52">
        <v>0.31</v>
      </c>
      <c r="K10" s="52">
        <v>260.17</v>
      </c>
      <c r="L10" s="52">
        <v>27.08</v>
      </c>
      <c r="M10" s="52">
        <v>84.68</v>
      </c>
      <c r="N10" s="52">
        <v>0</v>
      </c>
      <c r="O10" s="52">
        <v>0</v>
      </c>
      <c r="P10" s="52">
        <v>0.42</v>
      </c>
      <c r="Q10" s="52">
        <v>4.33</v>
      </c>
    </row>
    <row r="11" spans="1:21" customFormat="1">
      <c r="A11" s="51" t="s">
        <v>348</v>
      </c>
      <c r="B11" s="52">
        <v>9.77</v>
      </c>
      <c r="C11" s="52">
        <v>23.08</v>
      </c>
      <c r="D11" s="52">
        <v>18.489999999999998</v>
      </c>
      <c r="E11" s="52">
        <v>8.8000000000000007</v>
      </c>
      <c r="F11" s="52">
        <v>6.6</v>
      </c>
      <c r="G11" s="52">
        <v>31.36</v>
      </c>
      <c r="H11" s="52">
        <v>10.92</v>
      </c>
      <c r="I11" s="52">
        <v>3.68</v>
      </c>
      <c r="J11" s="52">
        <v>0.31</v>
      </c>
      <c r="K11" s="52">
        <v>265</v>
      </c>
      <c r="L11" s="52">
        <v>26.83</v>
      </c>
      <c r="M11" s="52">
        <v>87.05</v>
      </c>
      <c r="N11" s="52">
        <v>0</v>
      </c>
      <c r="O11" s="52">
        <v>0</v>
      </c>
      <c r="P11" s="52">
        <v>0.43</v>
      </c>
      <c r="Q11" s="52">
        <v>4.42</v>
      </c>
    </row>
    <row r="12" spans="1:21" customFormat="1">
      <c r="A12" s="51" t="s">
        <v>349</v>
      </c>
      <c r="B12" s="52">
        <v>10.89</v>
      </c>
      <c r="C12" s="52">
        <v>23.26</v>
      </c>
      <c r="D12" s="52">
        <v>19.57</v>
      </c>
      <c r="E12" s="52">
        <v>8.7799999999999994</v>
      </c>
      <c r="F12" s="52">
        <v>5.34</v>
      </c>
      <c r="G12" s="52">
        <v>33.39</v>
      </c>
      <c r="H12" s="52">
        <v>8.14</v>
      </c>
      <c r="I12" s="52">
        <v>3.75</v>
      </c>
      <c r="J12" s="52">
        <v>0.19</v>
      </c>
      <c r="K12" s="52">
        <v>242.73</v>
      </c>
      <c r="L12" s="52">
        <v>26.37</v>
      </c>
      <c r="M12" s="52">
        <v>88.58</v>
      </c>
      <c r="N12" s="52">
        <v>0</v>
      </c>
      <c r="O12" s="52">
        <v>0</v>
      </c>
      <c r="P12" s="52">
        <v>0.45</v>
      </c>
      <c r="Q12" s="52">
        <v>4.47</v>
      </c>
    </row>
    <row r="13" spans="1:21" customFormat="1">
      <c r="A13" s="51" t="s">
        <v>350</v>
      </c>
      <c r="B13" s="52">
        <v>11.97</v>
      </c>
      <c r="C13" s="52">
        <v>24.35</v>
      </c>
      <c r="D13" s="52">
        <v>21.2</v>
      </c>
      <c r="E13" s="52">
        <v>8.6999999999999993</v>
      </c>
      <c r="F13" s="52">
        <v>4.97</v>
      </c>
      <c r="G13" s="52">
        <v>29.52</v>
      </c>
      <c r="H13" s="52">
        <v>7.61</v>
      </c>
      <c r="I13" s="52">
        <v>3.78</v>
      </c>
      <c r="J13" s="52">
        <v>0.27</v>
      </c>
      <c r="K13" s="52">
        <v>254.12</v>
      </c>
      <c r="L13" s="52">
        <v>26.11</v>
      </c>
      <c r="M13" s="52">
        <v>89.99</v>
      </c>
      <c r="N13" s="52">
        <v>0</v>
      </c>
      <c r="O13" s="52">
        <v>0</v>
      </c>
      <c r="P13" s="52">
        <v>0.48</v>
      </c>
      <c r="Q13" s="52">
        <v>4.5599999999999996</v>
      </c>
    </row>
    <row r="14" spans="1:21" customFormat="1">
      <c r="A14" s="51" t="s">
        <v>351</v>
      </c>
      <c r="B14" s="52">
        <v>12.16</v>
      </c>
      <c r="C14" s="52">
        <v>22.61</v>
      </c>
      <c r="D14" s="52">
        <v>20.420000000000002</v>
      </c>
      <c r="E14" s="52">
        <v>7.8</v>
      </c>
      <c r="F14" s="52">
        <v>4.3499999999999996</v>
      </c>
      <c r="G14" s="52">
        <v>26.68</v>
      </c>
      <c r="H14" s="52">
        <v>8.5299999999999994</v>
      </c>
      <c r="I14" s="52">
        <v>3.8</v>
      </c>
      <c r="J14" s="52">
        <v>0.31</v>
      </c>
      <c r="K14" s="52">
        <v>262.52999999999997</v>
      </c>
      <c r="L14" s="52">
        <v>25.97</v>
      </c>
      <c r="M14" s="52">
        <v>89.78</v>
      </c>
      <c r="N14" s="52">
        <v>2.9</v>
      </c>
      <c r="O14" s="52">
        <v>0</v>
      </c>
      <c r="P14" s="52">
        <v>0.44</v>
      </c>
      <c r="Q14" s="52">
        <v>4.55</v>
      </c>
    </row>
    <row r="15" spans="1:21" customFormat="1">
      <c r="A15" s="51" t="s">
        <v>352</v>
      </c>
      <c r="B15" s="52">
        <v>12.76</v>
      </c>
      <c r="C15" s="52">
        <v>23.05</v>
      </c>
      <c r="D15" s="52">
        <v>21.02</v>
      </c>
      <c r="E15" s="52">
        <v>8.44</v>
      </c>
      <c r="F15" s="52">
        <v>3.9</v>
      </c>
      <c r="G15" s="52">
        <v>24.96</v>
      </c>
      <c r="H15" s="52">
        <v>6.17</v>
      </c>
      <c r="I15" s="52">
        <v>3.56</v>
      </c>
      <c r="J15" s="52">
        <v>0.54</v>
      </c>
      <c r="K15" s="52">
        <v>264.68</v>
      </c>
      <c r="L15" s="52">
        <v>26.64</v>
      </c>
      <c r="M15" s="52">
        <v>88.01</v>
      </c>
      <c r="N15" s="52">
        <v>51.2</v>
      </c>
      <c r="O15" s="52">
        <v>0</v>
      </c>
      <c r="P15" s="52">
        <v>0.42</v>
      </c>
      <c r="Q15" s="52">
        <v>4.58</v>
      </c>
    </row>
    <row r="16" spans="1:21" customFormat="1">
      <c r="A16" s="51" t="s">
        <v>353</v>
      </c>
      <c r="B16" s="52">
        <v>13.02</v>
      </c>
      <c r="C16" s="52">
        <v>23.67</v>
      </c>
      <c r="D16" s="52">
        <v>21.75</v>
      </c>
      <c r="E16" s="52">
        <v>8.5500000000000007</v>
      </c>
      <c r="F16" s="52">
        <v>3.91</v>
      </c>
      <c r="G16" s="52">
        <v>24.12</v>
      </c>
      <c r="H16" s="52">
        <v>6.28</v>
      </c>
      <c r="I16" s="52">
        <v>3.54</v>
      </c>
      <c r="J16" s="52">
        <v>0.79</v>
      </c>
      <c r="K16" s="52">
        <v>265.58999999999997</v>
      </c>
      <c r="L16" s="52">
        <v>28.05</v>
      </c>
      <c r="M16" s="52">
        <v>83.5</v>
      </c>
      <c r="N16" s="52">
        <v>119.2</v>
      </c>
      <c r="O16" s="52">
        <v>0</v>
      </c>
      <c r="P16" s="52">
        <v>0.42</v>
      </c>
      <c r="Q16" s="52">
        <v>4.63</v>
      </c>
    </row>
    <row r="17" spans="1:17" customFormat="1">
      <c r="A17" s="51" t="s">
        <v>354</v>
      </c>
      <c r="B17" s="52">
        <v>13.24</v>
      </c>
      <c r="C17" s="52">
        <v>23.18</v>
      </c>
      <c r="D17" s="52">
        <v>21.54</v>
      </c>
      <c r="E17" s="52">
        <v>9</v>
      </c>
      <c r="F17" s="52">
        <v>4.4000000000000004</v>
      </c>
      <c r="G17" s="52">
        <v>24.89</v>
      </c>
      <c r="H17" s="52">
        <v>9.4</v>
      </c>
      <c r="I17" s="52">
        <v>4.32</v>
      </c>
      <c r="J17" s="52">
        <v>0.81</v>
      </c>
      <c r="K17" s="52">
        <v>276.45999999999998</v>
      </c>
      <c r="L17" s="52">
        <v>30.14</v>
      </c>
      <c r="M17" s="52">
        <v>76.42</v>
      </c>
      <c r="N17" s="52">
        <v>280.3</v>
      </c>
      <c r="O17" s="52">
        <v>0</v>
      </c>
      <c r="P17" s="52">
        <v>0.55000000000000004</v>
      </c>
      <c r="Q17" s="52">
        <v>4.6100000000000003</v>
      </c>
    </row>
    <row r="18" spans="1:17" customFormat="1">
      <c r="A18" s="51" t="s">
        <v>355</v>
      </c>
      <c r="B18" s="52">
        <v>13.09</v>
      </c>
      <c r="C18" s="52">
        <v>23.09</v>
      </c>
      <c r="D18" s="52">
        <v>20.78</v>
      </c>
      <c r="E18" s="52">
        <v>9.11</v>
      </c>
      <c r="F18" s="52">
        <v>4.2300000000000004</v>
      </c>
      <c r="G18" s="52">
        <v>35.94</v>
      </c>
      <c r="H18" s="52">
        <v>13.58</v>
      </c>
      <c r="I18" s="52">
        <v>5.49</v>
      </c>
      <c r="J18" s="52">
        <v>0.89</v>
      </c>
      <c r="K18" s="52">
        <v>290.76</v>
      </c>
      <c r="L18" s="52">
        <v>30.82</v>
      </c>
      <c r="M18" s="52">
        <v>69.53</v>
      </c>
      <c r="N18" s="52">
        <v>333.5</v>
      </c>
      <c r="O18" s="52">
        <v>0</v>
      </c>
      <c r="P18" s="52">
        <v>0.6</v>
      </c>
      <c r="Q18" s="52">
        <v>4.5999999999999996</v>
      </c>
    </row>
    <row r="19" spans="1:17" customFormat="1">
      <c r="A19" s="51" t="s">
        <v>356</v>
      </c>
      <c r="B19" s="52">
        <v>11.42</v>
      </c>
      <c r="C19" s="52">
        <v>25.36</v>
      </c>
      <c r="D19" s="52">
        <v>21.36</v>
      </c>
      <c r="E19" s="52">
        <v>10.53</v>
      </c>
      <c r="F19" s="52">
        <v>6.56</v>
      </c>
      <c r="G19" s="52">
        <v>40.19</v>
      </c>
      <c r="H19" s="52">
        <v>11.2</v>
      </c>
      <c r="I19" s="52">
        <v>5.54</v>
      </c>
      <c r="J19" s="52">
        <v>0.91</v>
      </c>
      <c r="K19" s="52">
        <v>272.70999999999998</v>
      </c>
      <c r="L19" s="52">
        <v>31.57</v>
      </c>
      <c r="M19" s="52">
        <v>69.709999999999994</v>
      </c>
      <c r="N19" s="52">
        <v>658</v>
      </c>
      <c r="O19" s="52">
        <v>0</v>
      </c>
      <c r="P19" s="52">
        <v>0.64</v>
      </c>
      <c r="Q19" s="52">
        <v>4.5599999999999996</v>
      </c>
    </row>
    <row r="20" spans="1:17" customFormat="1">
      <c r="A20" s="51" t="s">
        <v>357</v>
      </c>
      <c r="B20" s="52">
        <v>9.76</v>
      </c>
      <c r="C20" s="52">
        <v>22.91</v>
      </c>
      <c r="D20" s="52">
        <v>18.34</v>
      </c>
      <c r="E20" s="52">
        <v>10.66</v>
      </c>
      <c r="F20" s="52">
        <v>6.59</v>
      </c>
      <c r="G20" s="52">
        <v>41.53</v>
      </c>
      <c r="H20" s="52">
        <v>12.67</v>
      </c>
      <c r="I20" s="52">
        <v>5.43</v>
      </c>
      <c r="J20" s="52">
        <v>1.01</v>
      </c>
      <c r="K20" s="52">
        <v>266.64</v>
      </c>
      <c r="L20" s="52">
        <v>32.32</v>
      </c>
      <c r="M20" s="52">
        <v>61.16</v>
      </c>
      <c r="N20" s="52">
        <v>774.3</v>
      </c>
      <c r="O20" s="52">
        <v>0</v>
      </c>
      <c r="P20" s="52">
        <v>0.57999999999999996</v>
      </c>
      <c r="Q20" s="52">
        <v>4.4400000000000004</v>
      </c>
    </row>
    <row r="21" spans="1:17" customFormat="1">
      <c r="A21" s="51" t="s">
        <v>358</v>
      </c>
      <c r="B21" s="52">
        <v>7.82</v>
      </c>
      <c r="C21" s="52">
        <v>22.17</v>
      </c>
      <c r="D21" s="52">
        <v>16.739999999999998</v>
      </c>
      <c r="E21" s="52">
        <v>7.56</v>
      </c>
      <c r="F21" s="52">
        <v>7.41</v>
      </c>
      <c r="G21" s="52">
        <v>38.299999999999997</v>
      </c>
      <c r="H21" s="52">
        <v>12.32</v>
      </c>
      <c r="I21" s="52">
        <v>5.28</v>
      </c>
      <c r="J21" s="52">
        <v>1.04</v>
      </c>
      <c r="K21" s="52">
        <v>265.83999999999997</v>
      </c>
      <c r="L21" s="52">
        <v>32.33</v>
      </c>
      <c r="M21" s="52">
        <v>62.03</v>
      </c>
      <c r="N21" s="52">
        <v>659.4</v>
      </c>
      <c r="O21" s="52">
        <v>0</v>
      </c>
      <c r="P21" s="52">
        <v>0.56000000000000005</v>
      </c>
      <c r="Q21" s="52">
        <v>4.32</v>
      </c>
    </row>
    <row r="22" spans="1:17" customFormat="1">
      <c r="A22" s="51" t="s">
        <v>359</v>
      </c>
      <c r="B22" s="52">
        <v>6.12</v>
      </c>
      <c r="C22" s="52">
        <v>21.3</v>
      </c>
      <c r="D22" s="52">
        <v>14.78</v>
      </c>
      <c r="E22" s="52">
        <v>7.6</v>
      </c>
      <c r="F22" s="52">
        <v>8.01</v>
      </c>
      <c r="G22" s="52">
        <v>38.71</v>
      </c>
      <c r="H22" s="52">
        <v>12.5</v>
      </c>
      <c r="I22" s="52">
        <v>4.93</v>
      </c>
      <c r="J22" s="52">
        <v>0.91</v>
      </c>
      <c r="K22" s="52">
        <v>267.02</v>
      </c>
      <c r="L22" s="52">
        <v>32.89</v>
      </c>
      <c r="M22" s="52">
        <v>60.47</v>
      </c>
      <c r="N22" s="52">
        <v>794.3</v>
      </c>
      <c r="O22" s="52">
        <v>0</v>
      </c>
      <c r="P22" s="52">
        <v>0.52</v>
      </c>
      <c r="Q22" s="52">
        <v>4.1900000000000004</v>
      </c>
    </row>
    <row r="23" spans="1:17" customFormat="1">
      <c r="A23" s="51" t="s">
        <v>360</v>
      </c>
      <c r="B23" s="52">
        <v>5.21</v>
      </c>
      <c r="C23" s="52">
        <v>20.65</v>
      </c>
      <c r="D23" s="52">
        <v>13.89</v>
      </c>
      <c r="E23" s="52">
        <v>7.06</v>
      </c>
      <c r="F23" s="52">
        <v>7.79</v>
      </c>
      <c r="G23" s="52">
        <v>36.159999999999997</v>
      </c>
      <c r="H23" s="52">
        <v>10.33</v>
      </c>
      <c r="I23" s="52">
        <v>4.5599999999999996</v>
      </c>
      <c r="J23" s="52">
        <v>1.26</v>
      </c>
      <c r="K23" s="52">
        <v>267.69</v>
      </c>
      <c r="L23" s="52">
        <v>32.28</v>
      </c>
      <c r="M23" s="52">
        <v>59.91</v>
      </c>
      <c r="N23" s="52">
        <v>501.6</v>
      </c>
      <c r="O23" s="52">
        <v>0</v>
      </c>
      <c r="P23" s="52">
        <v>0.47</v>
      </c>
      <c r="Q23" s="52">
        <v>4.1100000000000003</v>
      </c>
    </row>
    <row r="24" spans="1:17" customFormat="1">
      <c r="A24" s="51" t="s">
        <v>361</v>
      </c>
      <c r="B24" s="52">
        <v>4.82</v>
      </c>
      <c r="C24" s="52">
        <v>23.53</v>
      </c>
      <c r="D24" s="52">
        <v>14.92</v>
      </c>
      <c r="E24" s="52">
        <v>6.39</v>
      </c>
      <c r="F24" s="52">
        <v>7.86</v>
      </c>
      <c r="G24" s="52">
        <v>31</v>
      </c>
      <c r="H24" s="52">
        <v>9.07</v>
      </c>
      <c r="I24" s="52">
        <v>4.38</v>
      </c>
      <c r="J24" s="52">
        <v>0.79</v>
      </c>
      <c r="K24" s="52">
        <v>271.48</v>
      </c>
      <c r="L24" s="52">
        <v>32.14</v>
      </c>
      <c r="M24" s="52">
        <v>62.75</v>
      </c>
      <c r="N24" s="52">
        <v>257.39999999999998</v>
      </c>
      <c r="O24" s="52">
        <v>0</v>
      </c>
      <c r="P24" s="52">
        <v>0.52</v>
      </c>
      <c r="Q24" s="52">
        <v>4.0999999999999996</v>
      </c>
    </row>
    <row r="25" spans="1:17" customFormat="1">
      <c r="A25" s="51" t="s">
        <v>362</v>
      </c>
      <c r="B25" s="52">
        <v>4.46</v>
      </c>
      <c r="C25" s="52">
        <v>18.73</v>
      </c>
      <c r="D25" s="52">
        <v>12.28</v>
      </c>
      <c r="E25" s="52">
        <v>6.5</v>
      </c>
      <c r="F25" s="52">
        <v>12.89</v>
      </c>
      <c r="G25" s="52">
        <v>29.63</v>
      </c>
      <c r="H25" s="52">
        <v>7.46</v>
      </c>
      <c r="I25" s="52">
        <v>3.95</v>
      </c>
      <c r="J25" s="52">
        <v>0.82</v>
      </c>
      <c r="K25" s="52">
        <v>266.14</v>
      </c>
      <c r="L25" s="52">
        <v>30.9</v>
      </c>
      <c r="M25" s="52">
        <v>62.57</v>
      </c>
      <c r="N25" s="52">
        <v>110</v>
      </c>
      <c r="O25" s="52">
        <v>0</v>
      </c>
      <c r="P25" s="52">
        <v>0.37</v>
      </c>
      <c r="Q25" s="52">
        <v>4.0599999999999996</v>
      </c>
    </row>
    <row r="26" spans="1:17" customFormat="1">
      <c r="A26" s="51" t="s">
        <v>363</v>
      </c>
      <c r="B26" s="52">
        <v>5</v>
      </c>
      <c r="C26" s="52">
        <v>21.01</v>
      </c>
      <c r="D26" s="52">
        <v>13.86</v>
      </c>
      <c r="E26" s="52">
        <v>7</v>
      </c>
      <c r="F26" s="52">
        <v>8.93</v>
      </c>
      <c r="G26" s="52">
        <v>27.58</v>
      </c>
      <c r="H26" s="52">
        <v>9</v>
      </c>
      <c r="I26" s="52">
        <v>3.36</v>
      </c>
      <c r="J26" s="52">
        <v>0.52</v>
      </c>
      <c r="K26" s="52">
        <v>262.8</v>
      </c>
      <c r="L26" s="52">
        <v>30.56</v>
      </c>
      <c r="M26" s="52">
        <v>66.36</v>
      </c>
      <c r="N26" s="52">
        <v>44.1</v>
      </c>
      <c r="O26" s="52">
        <v>0</v>
      </c>
      <c r="P26" s="52">
        <v>0.4</v>
      </c>
      <c r="Q26" s="52">
        <v>4.1100000000000003</v>
      </c>
    </row>
    <row r="27" spans="1:17" customFormat="1">
      <c r="A27" s="51" t="s">
        <v>364</v>
      </c>
      <c r="B27" s="52">
        <v>5.07</v>
      </c>
      <c r="C27" s="52">
        <v>17.190000000000001</v>
      </c>
      <c r="D27" s="52">
        <v>11.79</v>
      </c>
      <c r="E27" s="52">
        <v>7.33</v>
      </c>
      <c r="F27" s="52">
        <v>11.09</v>
      </c>
      <c r="G27" s="52">
        <v>26.19</v>
      </c>
      <c r="H27" s="52">
        <v>7.94</v>
      </c>
      <c r="I27" s="52">
        <v>3.14</v>
      </c>
      <c r="J27" s="52">
        <v>0.38</v>
      </c>
      <c r="K27" s="52">
        <v>257.92</v>
      </c>
      <c r="L27" s="52">
        <v>29.88</v>
      </c>
      <c r="M27" s="52">
        <v>69.83</v>
      </c>
      <c r="N27" s="52">
        <v>1.5</v>
      </c>
      <c r="O27" s="52">
        <v>0</v>
      </c>
      <c r="P27" s="52">
        <v>0.36</v>
      </c>
      <c r="Q27" s="52">
        <v>4.1100000000000003</v>
      </c>
    </row>
    <row r="28" spans="1:17" customFormat="1">
      <c r="A28" s="51" t="s">
        <v>365</v>
      </c>
      <c r="B28" s="52">
        <v>6.27</v>
      </c>
      <c r="C28" s="52">
        <v>20.51</v>
      </c>
      <c r="D28" s="52">
        <v>14.7</v>
      </c>
      <c r="E28" s="52">
        <v>7.71</v>
      </c>
      <c r="F28" s="52">
        <v>12.01</v>
      </c>
      <c r="G28" s="52">
        <v>27.3</v>
      </c>
      <c r="H28" s="52">
        <v>5.81</v>
      </c>
      <c r="I28" s="52">
        <v>3.14</v>
      </c>
      <c r="J28" s="52">
        <v>0.47</v>
      </c>
      <c r="K28" s="52">
        <v>264.81</v>
      </c>
      <c r="L28" s="52">
        <v>29.4</v>
      </c>
      <c r="M28" s="52">
        <v>71.63</v>
      </c>
      <c r="N28" s="52">
        <v>0</v>
      </c>
      <c r="O28" s="52">
        <v>0</v>
      </c>
      <c r="P28" s="52">
        <v>0.39</v>
      </c>
      <c r="Q28" s="52">
        <v>4.2</v>
      </c>
    </row>
    <row r="29" spans="1:17" customFormat="1">
      <c r="A29" s="51" t="s">
        <v>366</v>
      </c>
      <c r="B29" s="52">
        <v>7.1</v>
      </c>
      <c r="C29" s="52">
        <v>21.6</v>
      </c>
      <c r="D29" s="52">
        <v>15.93</v>
      </c>
      <c r="E29" s="52">
        <v>7.76</v>
      </c>
      <c r="F29" s="52">
        <v>8.5299999999999994</v>
      </c>
      <c r="G29" s="52">
        <v>29.43</v>
      </c>
      <c r="H29" s="52">
        <v>6.43</v>
      </c>
      <c r="I29" s="52">
        <v>3.41</v>
      </c>
      <c r="J29" s="52">
        <v>0.53</v>
      </c>
      <c r="K29" s="52">
        <v>263.77</v>
      </c>
      <c r="L29" s="52">
        <v>29.17</v>
      </c>
      <c r="M29" s="52">
        <v>74.52</v>
      </c>
      <c r="N29" s="52">
        <v>0</v>
      </c>
      <c r="O29" s="52">
        <v>0</v>
      </c>
      <c r="P29" s="52">
        <v>0.42</v>
      </c>
      <c r="Q29" s="52">
        <v>4.21</v>
      </c>
    </row>
    <row r="30" spans="1:17" customFormat="1">
      <c r="A30" s="51" t="s">
        <v>367</v>
      </c>
      <c r="B30" s="52">
        <v>6.43</v>
      </c>
      <c r="C30" s="52">
        <v>16.8</v>
      </c>
      <c r="D30" s="52">
        <v>12.83</v>
      </c>
      <c r="E30" s="52">
        <v>7.53</v>
      </c>
      <c r="F30" s="52">
        <v>10.09</v>
      </c>
      <c r="G30" s="52">
        <v>22.29</v>
      </c>
      <c r="H30" s="52">
        <v>4.95</v>
      </c>
      <c r="I30" s="52">
        <v>3.12</v>
      </c>
      <c r="J30" s="52">
        <v>0.21</v>
      </c>
      <c r="K30" s="52">
        <v>240.69</v>
      </c>
      <c r="L30" s="52">
        <v>28.43</v>
      </c>
      <c r="M30" s="52">
        <v>77.8</v>
      </c>
      <c r="N30" s="52">
        <v>0</v>
      </c>
      <c r="O30" s="52">
        <v>0</v>
      </c>
      <c r="P30" s="52">
        <v>0.35</v>
      </c>
      <c r="Q30" s="52">
        <v>4.22</v>
      </c>
    </row>
    <row r="31" spans="1:17" customFormat="1">
      <c r="A31" s="51" t="s">
        <v>368</v>
      </c>
      <c r="B31" s="52">
        <v>9.11</v>
      </c>
      <c r="C31" s="52">
        <v>21.17</v>
      </c>
      <c r="D31" s="52">
        <v>16.309999999999999</v>
      </c>
      <c r="E31" s="52">
        <v>8.41</v>
      </c>
      <c r="F31" s="52">
        <v>6.96</v>
      </c>
      <c r="G31" s="52">
        <v>25.26</v>
      </c>
      <c r="H31" s="52">
        <v>5.73</v>
      </c>
      <c r="I31" s="52">
        <v>3.19</v>
      </c>
      <c r="J31" s="52">
        <v>0.36</v>
      </c>
      <c r="K31" s="52">
        <v>270.57</v>
      </c>
      <c r="L31" s="52">
        <v>28.29</v>
      </c>
      <c r="M31" s="52">
        <v>77.819999999999993</v>
      </c>
      <c r="N31" s="52">
        <v>0</v>
      </c>
      <c r="O31" s="52">
        <v>0</v>
      </c>
      <c r="P31" s="52">
        <v>0.39</v>
      </c>
      <c r="Q31" s="52">
        <v>4.3499999999999996</v>
      </c>
    </row>
    <row r="32" spans="1:17" customFormat="1">
      <c r="A32" s="51" t="s">
        <v>369</v>
      </c>
      <c r="B32" s="52">
        <v>11.53</v>
      </c>
      <c r="C32" s="52">
        <v>23.96</v>
      </c>
      <c r="D32" s="52">
        <v>20.07</v>
      </c>
      <c r="E32" s="52">
        <v>9.15</v>
      </c>
      <c r="F32" s="52">
        <v>5.6</v>
      </c>
      <c r="G32" s="52">
        <v>28.29</v>
      </c>
      <c r="H32" s="52">
        <v>6.83</v>
      </c>
      <c r="I32" s="52">
        <v>3.46</v>
      </c>
      <c r="J32" s="52">
        <v>0.39</v>
      </c>
      <c r="K32" s="52">
        <v>321.33</v>
      </c>
      <c r="L32" s="52">
        <v>28.2</v>
      </c>
      <c r="M32" s="52">
        <v>76.58</v>
      </c>
      <c r="N32" s="52">
        <v>0</v>
      </c>
      <c r="O32" s="52">
        <v>0</v>
      </c>
      <c r="P32" s="52">
        <v>0.42</v>
      </c>
      <c r="Q32" s="52">
        <v>4.51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4.46</v>
      </c>
      <c r="C34" s="41">
        <f t="shared" si="0"/>
        <v>16.8</v>
      </c>
      <c r="D34" s="41">
        <f t="shared" si="0"/>
        <v>11.79</v>
      </c>
      <c r="E34" s="41">
        <f t="shared" si="0"/>
        <v>6.39</v>
      </c>
      <c r="F34" s="41">
        <f t="shared" si="0"/>
        <v>3.9</v>
      </c>
      <c r="G34" s="41">
        <f t="shared" si="0"/>
        <v>22.29</v>
      </c>
      <c r="H34" s="41">
        <f t="shared" si="0"/>
        <v>4.95</v>
      </c>
      <c r="I34" s="41">
        <f t="shared" si="0"/>
        <v>3.12</v>
      </c>
      <c r="J34" s="41">
        <f t="shared" si="0"/>
        <v>0.19</v>
      </c>
      <c r="K34" s="41">
        <f t="shared" si="0"/>
        <v>240.69</v>
      </c>
      <c r="L34" s="41">
        <f t="shared" si="0"/>
        <v>25.97</v>
      </c>
      <c r="M34" s="41">
        <f t="shared" si="0"/>
        <v>59.91</v>
      </c>
      <c r="N34" s="41">
        <f t="shared" si="0"/>
        <v>0</v>
      </c>
      <c r="O34" s="41">
        <f t="shared" si="0"/>
        <v>0</v>
      </c>
      <c r="P34" s="41">
        <f t="shared" si="0"/>
        <v>0.35</v>
      </c>
      <c r="Q34" s="41">
        <f t="shared" si="0"/>
        <v>4.0599999999999996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13.24</v>
      </c>
      <c r="C35" s="33">
        <f t="shared" si="1"/>
        <v>25.36</v>
      </c>
      <c r="D35" s="33">
        <f t="shared" si="1"/>
        <v>21.75</v>
      </c>
      <c r="E35" s="33">
        <f t="shared" si="1"/>
        <v>10.66</v>
      </c>
      <c r="F35" s="33">
        <f t="shared" si="1"/>
        <v>12.89</v>
      </c>
      <c r="G35" s="33">
        <f t="shared" si="1"/>
        <v>41.53</v>
      </c>
      <c r="H35" s="33">
        <f t="shared" si="1"/>
        <v>13.58</v>
      </c>
      <c r="I35" s="33">
        <f t="shared" si="1"/>
        <v>5.54</v>
      </c>
      <c r="J35" s="33">
        <f t="shared" si="1"/>
        <v>1.26</v>
      </c>
      <c r="K35" s="33">
        <f t="shared" si="1"/>
        <v>321.33</v>
      </c>
      <c r="L35" s="33">
        <f t="shared" si="1"/>
        <v>32.89</v>
      </c>
      <c r="M35" s="33">
        <f t="shared" si="1"/>
        <v>89.99</v>
      </c>
      <c r="N35" s="33">
        <f t="shared" si="1"/>
        <v>794.3</v>
      </c>
      <c r="O35" s="33">
        <f t="shared" si="1"/>
        <v>0</v>
      </c>
      <c r="P35" s="33">
        <f t="shared" si="1"/>
        <v>0.64</v>
      </c>
      <c r="Q35" s="33">
        <f t="shared" si="1"/>
        <v>4.63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8.85</v>
      </c>
      <c r="C36" s="41">
        <f t="shared" si="2"/>
        <v>21.860833333333336</v>
      </c>
      <c r="D36" s="41">
        <f t="shared" si="2"/>
        <v>17.267083333333336</v>
      </c>
      <c r="E36" s="41">
        <f t="shared" si="2"/>
        <v>8.1783333333333328</v>
      </c>
      <c r="F36" s="41">
        <f t="shared" si="2"/>
        <v>7.246666666666667</v>
      </c>
      <c r="G36" s="41">
        <f t="shared" si="2"/>
        <v>30.829583333333328</v>
      </c>
      <c r="H36" s="41">
        <f t="shared" si="2"/>
        <v>8.8116666666666674</v>
      </c>
      <c r="I36" s="41">
        <f t="shared" si="2"/>
        <v>3.9987499999999998</v>
      </c>
      <c r="J36" s="41">
        <f t="shared" si="2"/>
        <v>0.59750000000000003</v>
      </c>
      <c r="K36" s="41">
        <f t="shared" si="2"/>
        <v>266.5870833333334</v>
      </c>
      <c r="L36" s="41">
        <f t="shared" si="2"/>
        <v>29.327916666666656</v>
      </c>
      <c r="M36" s="41">
        <f t="shared" si="2"/>
        <v>74.710833333333312</v>
      </c>
      <c r="N36" s="41">
        <f t="shared" si="2"/>
        <v>191.15416666666667</v>
      </c>
      <c r="O36" s="41">
        <f t="shared" si="2"/>
        <v>0</v>
      </c>
      <c r="P36" s="41">
        <f t="shared" si="2"/>
        <v>0.45749999999999996</v>
      </c>
      <c r="Q36" s="41">
        <f t="shared" si="2"/>
        <v>4.3529166666666663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3.0637203868329159</v>
      </c>
      <c r="C37" s="41">
        <f t="shared" ref="C37:Q37" si="3">STDEV(C9:C32)</f>
        <v>2.2324132324862016</v>
      </c>
      <c r="D37" s="41">
        <f t="shared" si="3"/>
        <v>3.3057045281658497</v>
      </c>
      <c r="E37" s="41">
        <f t="shared" si="3"/>
        <v>1.0912006417610554</v>
      </c>
      <c r="F37" s="41">
        <f t="shared" si="3"/>
        <v>2.5137909474608708</v>
      </c>
      <c r="G37" s="41">
        <f t="shared" si="3"/>
        <v>5.4740673052419702</v>
      </c>
      <c r="H37" s="41">
        <f t="shared" si="3"/>
        <v>2.4554671328648858</v>
      </c>
      <c r="I37" s="41">
        <f t="shared" si="3"/>
        <v>0.79891944688353711</v>
      </c>
      <c r="J37" s="41">
        <f t="shared" si="3"/>
        <v>0.30785725094030469</v>
      </c>
      <c r="K37" s="41">
        <f t="shared" si="3"/>
        <v>15.347546887727139</v>
      </c>
      <c r="L37" s="41">
        <f t="shared" si="3"/>
        <v>2.2509978061271503</v>
      </c>
      <c r="M37" s="41">
        <f t="shared" si="3"/>
        <v>10.33099259369671</v>
      </c>
      <c r="N37" s="41">
        <f t="shared" si="3"/>
        <v>276.60995766157117</v>
      </c>
      <c r="O37" s="41">
        <f t="shared" si="3"/>
        <v>0</v>
      </c>
      <c r="P37" s="41">
        <f t="shared" si="3"/>
        <v>8.1146673429634039E-2</v>
      </c>
      <c r="Q37" s="41">
        <f t="shared" si="3"/>
        <v>0.19360379008748047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370</v>
      </c>
      <c r="B9" s="52">
        <v>12.98</v>
      </c>
      <c r="C9" s="52">
        <v>25.06</v>
      </c>
      <c r="D9" s="52">
        <v>22.46</v>
      </c>
      <c r="E9" s="52">
        <v>11</v>
      </c>
      <c r="F9" s="52">
        <v>6.2</v>
      </c>
      <c r="G9" s="52">
        <v>28.05</v>
      </c>
      <c r="H9" s="52">
        <v>7.52</v>
      </c>
      <c r="I9" s="52">
        <v>3.51</v>
      </c>
      <c r="J9" s="52">
        <v>0.15</v>
      </c>
      <c r="K9" s="52">
        <v>310.86</v>
      </c>
      <c r="L9" s="52">
        <v>27.46</v>
      </c>
      <c r="M9" s="52">
        <v>77.959999999999994</v>
      </c>
      <c r="N9" s="52">
        <v>0</v>
      </c>
      <c r="O9" s="52">
        <v>0</v>
      </c>
      <c r="P9" s="52">
        <v>0.43</v>
      </c>
      <c r="Q9" s="52">
        <v>4.62</v>
      </c>
    </row>
    <row r="10" spans="1:21" customFormat="1">
      <c r="A10" s="51" t="s">
        <v>371</v>
      </c>
      <c r="B10" s="52">
        <v>13.51</v>
      </c>
      <c r="C10" s="52">
        <v>24.16</v>
      </c>
      <c r="D10" s="52">
        <v>22.42</v>
      </c>
      <c r="E10" s="52">
        <v>9.6</v>
      </c>
      <c r="F10" s="52">
        <v>4.42</v>
      </c>
      <c r="G10" s="52">
        <v>31.3</v>
      </c>
      <c r="H10" s="52">
        <v>8.25</v>
      </c>
      <c r="I10" s="52">
        <v>3.48</v>
      </c>
      <c r="J10" s="52">
        <v>0.17</v>
      </c>
      <c r="K10" s="52">
        <v>177.85</v>
      </c>
      <c r="L10" s="52">
        <v>26.94</v>
      </c>
      <c r="M10" s="52">
        <v>81.98</v>
      </c>
      <c r="N10" s="52">
        <v>0</v>
      </c>
      <c r="O10" s="52">
        <v>0</v>
      </c>
      <c r="P10" s="52">
        <v>0.46</v>
      </c>
      <c r="Q10" s="52">
        <v>4.6900000000000004</v>
      </c>
    </row>
    <row r="11" spans="1:21" customFormat="1">
      <c r="A11" s="51" t="s">
        <v>372</v>
      </c>
      <c r="B11" s="52">
        <v>13.75</v>
      </c>
      <c r="C11" s="52">
        <v>24.02</v>
      </c>
      <c r="D11" s="52">
        <v>22.53</v>
      </c>
      <c r="E11" s="52">
        <v>7.14</v>
      </c>
      <c r="F11" s="52">
        <v>5.91</v>
      </c>
      <c r="G11" s="52">
        <v>29.66</v>
      </c>
      <c r="H11" s="52">
        <v>9.4499999999999993</v>
      </c>
      <c r="I11" s="52">
        <v>3.41</v>
      </c>
      <c r="J11" s="52">
        <v>0.23</v>
      </c>
      <c r="K11" s="52">
        <v>193.65</v>
      </c>
      <c r="L11" s="52">
        <v>26.74</v>
      </c>
      <c r="M11" s="52">
        <v>84.7</v>
      </c>
      <c r="N11" s="52">
        <v>0</v>
      </c>
      <c r="O11" s="52">
        <v>0</v>
      </c>
      <c r="P11" s="52">
        <v>0.43</v>
      </c>
      <c r="Q11" s="52">
        <v>4.72</v>
      </c>
    </row>
    <row r="12" spans="1:21" customFormat="1">
      <c r="A12" s="51" t="s">
        <v>373</v>
      </c>
      <c r="B12" s="52">
        <v>13.68</v>
      </c>
      <c r="C12" s="52">
        <v>22.01</v>
      </c>
      <c r="D12" s="52">
        <v>20.99</v>
      </c>
      <c r="E12" s="52">
        <v>7.02</v>
      </c>
      <c r="F12" s="52">
        <v>5.81</v>
      </c>
      <c r="G12" s="52">
        <v>27.69</v>
      </c>
      <c r="H12" s="52">
        <v>8.61</v>
      </c>
      <c r="I12" s="52">
        <v>3.3</v>
      </c>
      <c r="J12" s="52">
        <v>0.21</v>
      </c>
      <c r="K12" s="52">
        <v>185.21</v>
      </c>
      <c r="L12" s="52">
        <v>26.44</v>
      </c>
      <c r="M12" s="52">
        <v>87.7</v>
      </c>
      <c r="N12" s="52">
        <v>0</v>
      </c>
      <c r="O12" s="52">
        <v>0</v>
      </c>
      <c r="P12" s="52">
        <v>0.4</v>
      </c>
      <c r="Q12" s="52">
        <v>4.72</v>
      </c>
    </row>
    <row r="13" spans="1:21" customFormat="1">
      <c r="A13" s="51" t="s">
        <v>374</v>
      </c>
      <c r="B13" s="52">
        <v>14.05</v>
      </c>
      <c r="C13" s="52">
        <v>23.57</v>
      </c>
      <c r="D13" s="52">
        <v>22.53</v>
      </c>
      <c r="E13" s="52">
        <v>7.34</v>
      </c>
      <c r="F13" s="52">
        <v>4.84</v>
      </c>
      <c r="G13" s="52">
        <v>23.62</v>
      </c>
      <c r="H13" s="52">
        <v>8.6300000000000008</v>
      </c>
      <c r="I13" s="52">
        <v>3.24</v>
      </c>
      <c r="J13" s="52">
        <v>0.18</v>
      </c>
      <c r="K13" s="52">
        <v>203.19</v>
      </c>
      <c r="L13" s="52">
        <v>26.35</v>
      </c>
      <c r="M13" s="52">
        <v>88.14</v>
      </c>
      <c r="N13" s="52">
        <v>0</v>
      </c>
      <c r="O13" s="52">
        <v>0</v>
      </c>
      <c r="P13" s="52">
        <v>0.42</v>
      </c>
      <c r="Q13" s="52">
        <v>4.71</v>
      </c>
    </row>
    <row r="14" spans="1:21" customFormat="1">
      <c r="A14" s="51" t="s">
        <v>375</v>
      </c>
      <c r="B14" s="52">
        <v>14.87</v>
      </c>
      <c r="C14" s="52">
        <v>23.36</v>
      </c>
      <c r="D14" s="52">
        <v>22.95</v>
      </c>
      <c r="E14" s="52">
        <v>7.45</v>
      </c>
      <c r="F14" s="52">
        <v>4.72</v>
      </c>
      <c r="G14" s="52">
        <v>25.77</v>
      </c>
      <c r="H14" s="52">
        <v>9.3800000000000008</v>
      </c>
      <c r="I14" s="52">
        <v>3.35</v>
      </c>
      <c r="J14" s="52">
        <v>0.15</v>
      </c>
      <c r="K14" s="52">
        <v>215.12</v>
      </c>
      <c r="L14" s="52">
        <v>26.19</v>
      </c>
      <c r="M14" s="52">
        <v>88.84</v>
      </c>
      <c r="N14" s="52">
        <v>8.3000000000000007</v>
      </c>
      <c r="O14" s="52">
        <v>0</v>
      </c>
      <c r="P14" s="52">
        <v>0.42</v>
      </c>
      <c r="Q14" s="52">
        <v>4.72</v>
      </c>
    </row>
    <row r="15" spans="1:21" customFormat="1">
      <c r="A15" s="51" t="s">
        <v>376</v>
      </c>
      <c r="B15" s="52">
        <v>15.99</v>
      </c>
      <c r="C15" s="52">
        <v>23.27</v>
      </c>
      <c r="D15" s="52">
        <v>23.61</v>
      </c>
      <c r="E15" s="52">
        <v>7.41</v>
      </c>
      <c r="F15" s="52">
        <v>3.4</v>
      </c>
      <c r="G15" s="52">
        <v>24.51</v>
      </c>
      <c r="H15" s="52">
        <v>7.49</v>
      </c>
      <c r="I15" s="52">
        <v>3.39</v>
      </c>
      <c r="J15" s="52">
        <v>0.19</v>
      </c>
      <c r="K15" s="52">
        <v>262.17</v>
      </c>
      <c r="L15" s="52">
        <v>27.12</v>
      </c>
      <c r="M15" s="52">
        <v>89.48</v>
      </c>
      <c r="N15" s="52">
        <v>60</v>
      </c>
      <c r="O15" s="52">
        <v>0</v>
      </c>
      <c r="P15" s="52">
        <v>0.45</v>
      </c>
      <c r="Q15" s="52">
        <v>4.75</v>
      </c>
    </row>
    <row r="16" spans="1:21" customFormat="1">
      <c r="A16" s="51" t="s">
        <v>377</v>
      </c>
      <c r="B16" s="52">
        <v>14.96</v>
      </c>
      <c r="C16" s="52">
        <v>20</v>
      </c>
      <c r="D16" s="52">
        <v>21.3</v>
      </c>
      <c r="E16" s="52">
        <v>7.32</v>
      </c>
      <c r="F16" s="52">
        <v>4.5199999999999996</v>
      </c>
      <c r="G16" s="52">
        <v>23.87</v>
      </c>
      <c r="H16" s="52">
        <v>8.86</v>
      </c>
      <c r="I16" s="52">
        <v>3.5</v>
      </c>
      <c r="J16" s="52">
        <v>0.31</v>
      </c>
      <c r="K16" s="52">
        <v>260.49</v>
      </c>
      <c r="L16" s="52">
        <v>28.12</v>
      </c>
      <c r="M16" s="52">
        <v>85.65</v>
      </c>
      <c r="N16" s="52">
        <v>143.30000000000001</v>
      </c>
      <c r="O16" s="52">
        <v>0</v>
      </c>
      <c r="P16" s="52">
        <v>0.41</v>
      </c>
      <c r="Q16" s="52">
        <v>4.76</v>
      </c>
    </row>
    <row r="17" spans="1:17" customFormat="1">
      <c r="A17" s="51" t="s">
        <v>378</v>
      </c>
      <c r="B17" s="52">
        <v>14.77</v>
      </c>
      <c r="C17" s="52">
        <v>23.87</v>
      </c>
      <c r="D17" s="52">
        <v>23.27</v>
      </c>
      <c r="E17" s="52">
        <v>7.36</v>
      </c>
      <c r="F17" s="52">
        <v>5.0199999999999996</v>
      </c>
      <c r="G17" s="52">
        <v>23.25</v>
      </c>
      <c r="H17" s="52">
        <v>7.05</v>
      </c>
      <c r="I17" s="52">
        <v>3.38</v>
      </c>
      <c r="J17" s="52">
        <v>0.43</v>
      </c>
      <c r="K17" s="52">
        <v>261.81</v>
      </c>
      <c r="L17" s="52">
        <v>29.44</v>
      </c>
      <c r="M17" s="52">
        <v>79.650000000000006</v>
      </c>
      <c r="N17" s="52">
        <v>228.3</v>
      </c>
      <c r="O17" s="52">
        <v>0</v>
      </c>
      <c r="P17" s="52">
        <v>0.4</v>
      </c>
      <c r="Q17" s="52">
        <v>4.7</v>
      </c>
    </row>
    <row r="18" spans="1:17" customFormat="1">
      <c r="A18" s="51" t="s">
        <v>379</v>
      </c>
      <c r="B18" s="52">
        <v>13.89</v>
      </c>
      <c r="C18" s="52">
        <v>20.63</v>
      </c>
      <c r="D18" s="52">
        <v>20.81</v>
      </c>
      <c r="E18" s="52">
        <v>7.85</v>
      </c>
      <c r="F18" s="52">
        <v>6.27</v>
      </c>
      <c r="G18" s="52">
        <v>19.579999999999998</v>
      </c>
      <c r="H18" s="52">
        <v>5.23</v>
      </c>
      <c r="I18" s="52">
        <v>3.63</v>
      </c>
      <c r="J18" s="52">
        <v>0.36</v>
      </c>
      <c r="K18" s="52">
        <v>260.89</v>
      </c>
      <c r="L18" s="52">
        <v>30.5</v>
      </c>
      <c r="M18" s="52">
        <v>76.430000000000007</v>
      </c>
      <c r="N18" s="52">
        <v>350.9</v>
      </c>
      <c r="O18" s="52">
        <v>0</v>
      </c>
      <c r="P18" s="52">
        <v>0.4</v>
      </c>
      <c r="Q18" s="52">
        <v>4.6399999999999997</v>
      </c>
    </row>
    <row r="19" spans="1:17" customFormat="1">
      <c r="A19" s="51" t="s">
        <v>380</v>
      </c>
      <c r="B19" s="52">
        <v>13.39</v>
      </c>
      <c r="C19" s="52">
        <v>23.64</v>
      </c>
      <c r="D19" s="52">
        <v>22.04</v>
      </c>
      <c r="E19" s="52">
        <v>7.81</v>
      </c>
      <c r="F19" s="52">
        <v>4.54</v>
      </c>
      <c r="G19" s="52">
        <v>23.89</v>
      </c>
      <c r="H19" s="52">
        <v>6.26</v>
      </c>
      <c r="I19" s="52">
        <v>4.3600000000000003</v>
      </c>
      <c r="J19" s="52">
        <v>0.66</v>
      </c>
      <c r="K19" s="52">
        <v>268.92</v>
      </c>
      <c r="L19" s="52">
        <v>31.63</v>
      </c>
      <c r="M19" s="52">
        <v>71.44</v>
      </c>
      <c r="N19" s="52">
        <v>574.5</v>
      </c>
      <c r="O19" s="52">
        <v>0</v>
      </c>
      <c r="P19" s="52">
        <v>0.47</v>
      </c>
      <c r="Q19" s="52">
        <v>4.6100000000000003</v>
      </c>
    </row>
    <row r="20" spans="1:17" customFormat="1">
      <c r="A20" s="51" t="s">
        <v>381</v>
      </c>
      <c r="B20" s="52">
        <v>12.93</v>
      </c>
      <c r="C20" s="52">
        <v>24.85</v>
      </c>
      <c r="D20" s="52">
        <v>22.31</v>
      </c>
      <c r="E20" s="52">
        <v>8.1999999999999993</v>
      </c>
      <c r="F20" s="52">
        <v>4.54</v>
      </c>
      <c r="G20" s="52">
        <v>32.35</v>
      </c>
      <c r="H20" s="52">
        <v>7.65</v>
      </c>
      <c r="I20" s="52">
        <v>4.6399999999999997</v>
      </c>
      <c r="J20" s="52">
        <v>0.7</v>
      </c>
      <c r="K20" s="52">
        <v>245.08</v>
      </c>
      <c r="L20" s="52">
        <v>31.79</v>
      </c>
      <c r="M20" s="52">
        <v>77.22</v>
      </c>
      <c r="N20" s="52">
        <v>347.5</v>
      </c>
      <c r="O20" s="52">
        <v>0</v>
      </c>
      <c r="P20" s="52">
        <v>0.53</v>
      </c>
      <c r="Q20" s="52">
        <v>4.59</v>
      </c>
    </row>
    <row r="21" spans="1:17" customFormat="1">
      <c r="A21" s="51" t="s">
        <v>382</v>
      </c>
      <c r="B21" s="52">
        <v>13.63</v>
      </c>
      <c r="C21" s="52">
        <v>26.47</v>
      </c>
      <c r="D21" s="52">
        <v>23.45</v>
      </c>
      <c r="E21" s="52">
        <v>6.7</v>
      </c>
      <c r="F21" s="52">
        <v>4.67</v>
      </c>
      <c r="G21" s="52">
        <v>42.14</v>
      </c>
      <c r="H21" s="52">
        <v>8.16</v>
      </c>
      <c r="I21" s="52">
        <v>4.74</v>
      </c>
      <c r="J21" s="52">
        <v>1.42</v>
      </c>
      <c r="K21" s="52">
        <v>266.62</v>
      </c>
      <c r="L21" s="52">
        <v>27.11</v>
      </c>
      <c r="M21" s="52">
        <v>88.65</v>
      </c>
      <c r="N21" s="52">
        <v>66.900000000000006</v>
      </c>
      <c r="O21" s="52">
        <v>4.4000000000000004</v>
      </c>
      <c r="P21" s="52">
        <v>0.54</v>
      </c>
      <c r="Q21" s="52">
        <v>4.67</v>
      </c>
    </row>
    <row r="22" spans="1:17" customFormat="1">
      <c r="A22" s="51" t="s">
        <v>383</v>
      </c>
      <c r="B22" s="52">
        <v>14.97</v>
      </c>
      <c r="C22" s="52">
        <v>25.97</v>
      </c>
      <c r="D22" s="52">
        <v>23.82</v>
      </c>
      <c r="E22" s="52">
        <v>6.73</v>
      </c>
      <c r="F22" s="52">
        <v>3.83</v>
      </c>
      <c r="G22" s="52">
        <v>37.409999999999997</v>
      </c>
      <c r="H22" s="52">
        <v>8.81</v>
      </c>
      <c r="I22" s="52">
        <v>4.66</v>
      </c>
      <c r="J22" s="52">
        <v>0.47</v>
      </c>
      <c r="K22" s="52">
        <v>309.35000000000002</v>
      </c>
      <c r="L22" s="52">
        <v>25.18</v>
      </c>
      <c r="M22" s="52">
        <v>98.72</v>
      </c>
      <c r="N22" s="52">
        <v>165.2</v>
      </c>
      <c r="O22" s="52">
        <v>2</v>
      </c>
      <c r="P22" s="52">
        <v>0.5</v>
      </c>
      <c r="Q22" s="52">
        <v>4.71</v>
      </c>
    </row>
    <row r="23" spans="1:17" customFormat="1">
      <c r="A23" s="51" t="s">
        <v>384</v>
      </c>
      <c r="B23" s="52">
        <v>16.79</v>
      </c>
      <c r="C23" s="52">
        <v>27.3</v>
      </c>
      <c r="D23" s="52">
        <v>26.35</v>
      </c>
      <c r="E23" s="52">
        <v>7.41</v>
      </c>
      <c r="F23" s="52">
        <v>4.4800000000000004</v>
      </c>
      <c r="G23" s="52">
        <v>32.56</v>
      </c>
      <c r="H23" s="52">
        <v>9.8699999999999992</v>
      </c>
      <c r="I23" s="52">
        <v>4.75</v>
      </c>
      <c r="J23" s="52">
        <v>0.35</v>
      </c>
      <c r="K23" s="52">
        <v>282.94</v>
      </c>
      <c r="L23" s="52">
        <v>29.48</v>
      </c>
      <c r="M23" s="52">
        <v>99.05</v>
      </c>
      <c r="N23" s="52">
        <v>568.4</v>
      </c>
      <c r="O23" s="52">
        <v>0</v>
      </c>
      <c r="P23" s="52">
        <v>0.55000000000000004</v>
      </c>
      <c r="Q23" s="52">
        <v>4.92</v>
      </c>
    </row>
    <row r="24" spans="1:17" customFormat="1">
      <c r="A24" s="51" t="s">
        <v>385</v>
      </c>
      <c r="B24" s="52">
        <v>15.19</v>
      </c>
      <c r="C24" s="52">
        <v>24.16</v>
      </c>
      <c r="D24" s="52">
        <v>23.75</v>
      </c>
      <c r="E24" s="52">
        <v>9.34</v>
      </c>
      <c r="F24" s="52">
        <v>8.6199999999999992</v>
      </c>
      <c r="G24" s="52">
        <v>45.55</v>
      </c>
      <c r="H24" s="52">
        <v>13.29</v>
      </c>
      <c r="I24" s="52">
        <v>5.28</v>
      </c>
      <c r="J24" s="52">
        <v>0.62</v>
      </c>
      <c r="K24" s="52">
        <v>268.32</v>
      </c>
      <c r="L24" s="52">
        <v>30.15</v>
      </c>
      <c r="M24" s="52">
        <v>76.45</v>
      </c>
      <c r="N24" s="52">
        <v>327.3</v>
      </c>
      <c r="O24" s="52">
        <v>0</v>
      </c>
      <c r="P24" s="52">
        <v>0.53</v>
      </c>
      <c r="Q24" s="52">
        <v>4.8499999999999996</v>
      </c>
    </row>
    <row r="25" spans="1:17" customFormat="1">
      <c r="A25" s="51" t="s">
        <v>386</v>
      </c>
      <c r="B25" s="52">
        <v>12.57</v>
      </c>
      <c r="C25" s="52">
        <v>25.55</v>
      </c>
      <c r="D25" s="52">
        <v>22.38</v>
      </c>
      <c r="E25" s="52">
        <v>9.75</v>
      </c>
      <c r="F25" s="52">
        <v>10.130000000000001</v>
      </c>
      <c r="G25" s="52">
        <v>41.66</v>
      </c>
      <c r="H25" s="52">
        <v>12.82</v>
      </c>
      <c r="I25" s="52">
        <v>5.58</v>
      </c>
      <c r="J25" s="52">
        <v>0.43</v>
      </c>
      <c r="K25" s="52">
        <v>266.64</v>
      </c>
      <c r="L25" s="52">
        <v>29.64</v>
      </c>
      <c r="M25" s="52">
        <v>77.14</v>
      </c>
      <c r="N25" s="52">
        <v>124.3</v>
      </c>
      <c r="O25" s="52">
        <v>0</v>
      </c>
      <c r="P25" s="52">
        <v>0.56000000000000005</v>
      </c>
      <c r="Q25" s="52">
        <v>4.67</v>
      </c>
    </row>
    <row r="26" spans="1:17" customFormat="1">
      <c r="A26" s="51" t="s">
        <v>387</v>
      </c>
      <c r="B26" s="52">
        <v>12.34</v>
      </c>
      <c r="C26" s="52">
        <v>26.95</v>
      </c>
      <c r="D26" s="52">
        <v>22.93</v>
      </c>
      <c r="E26" s="52">
        <v>7.32</v>
      </c>
      <c r="F26" s="52">
        <v>13.07</v>
      </c>
      <c r="G26" s="52">
        <v>39.840000000000003</v>
      </c>
      <c r="H26" s="52">
        <v>11.49</v>
      </c>
      <c r="I26" s="52">
        <v>5.37</v>
      </c>
      <c r="J26" s="52">
        <v>0.5</v>
      </c>
      <c r="K26" s="52">
        <v>263.27</v>
      </c>
      <c r="L26" s="52">
        <v>29.45</v>
      </c>
      <c r="M26" s="52">
        <v>76.63</v>
      </c>
      <c r="N26" s="52">
        <v>86.2</v>
      </c>
      <c r="O26" s="52">
        <v>0</v>
      </c>
      <c r="P26" s="52">
        <v>0.57999999999999996</v>
      </c>
      <c r="Q26" s="52">
        <v>4.63</v>
      </c>
    </row>
    <row r="27" spans="1:17" customFormat="1">
      <c r="A27" s="51" t="s">
        <v>388</v>
      </c>
      <c r="B27" s="52">
        <v>9.26</v>
      </c>
      <c r="C27" s="52">
        <v>21.95</v>
      </c>
      <c r="D27" s="52">
        <v>17.850000000000001</v>
      </c>
      <c r="E27" s="52">
        <v>8.2799999999999994</v>
      </c>
      <c r="F27" s="52">
        <v>13.58</v>
      </c>
      <c r="G27" s="52">
        <v>36.18</v>
      </c>
      <c r="H27" s="52">
        <v>10.36</v>
      </c>
      <c r="I27" s="52">
        <v>4.45</v>
      </c>
      <c r="J27" s="52">
        <v>0.64</v>
      </c>
      <c r="K27" s="52">
        <v>263.02</v>
      </c>
      <c r="L27" s="52">
        <v>29</v>
      </c>
      <c r="M27" s="52">
        <v>78.13</v>
      </c>
      <c r="N27" s="52">
        <v>6.4</v>
      </c>
      <c r="O27" s="52">
        <v>0</v>
      </c>
      <c r="P27" s="52">
        <v>0.45</v>
      </c>
      <c r="Q27" s="52">
        <v>4.47</v>
      </c>
    </row>
    <row r="28" spans="1:17" customFormat="1">
      <c r="A28" s="51" t="s">
        <v>389</v>
      </c>
      <c r="B28" s="52">
        <v>8.9499999999999993</v>
      </c>
      <c r="C28" s="52">
        <v>22.23</v>
      </c>
      <c r="D28" s="52">
        <v>17.75</v>
      </c>
      <c r="E28" s="52">
        <v>8.4499999999999993</v>
      </c>
      <c r="F28" s="52">
        <v>12.39</v>
      </c>
      <c r="G28" s="52">
        <v>33.64</v>
      </c>
      <c r="H28" s="52">
        <v>9.7100000000000009</v>
      </c>
      <c r="I28" s="52">
        <v>4.2300000000000004</v>
      </c>
      <c r="J28" s="52">
        <v>0.3</v>
      </c>
      <c r="K28" s="52">
        <v>256.57</v>
      </c>
      <c r="L28" s="52">
        <v>28.17</v>
      </c>
      <c r="M28" s="52">
        <v>82.65</v>
      </c>
      <c r="N28" s="52">
        <v>0</v>
      </c>
      <c r="O28" s="52">
        <v>0</v>
      </c>
      <c r="P28" s="52">
        <v>0.44</v>
      </c>
      <c r="Q28" s="52">
        <v>4.4800000000000004</v>
      </c>
    </row>
    <row r="29" spans="1:17" customFormat="1">
      <c r="A29" s="51" t="s">
        <v>390</v>
      </c>
      <c r="B29" s="52">
        <v>9.35</v>
      </c>
      <c r="C29" s="52">
        <v>23.74</v>
      </c>
      <c r="D29" s="52">
        <v>18.850000000000001</v>
      </c>
      <c r="E29" s="52">
        <v>8.2899999999999991</v>
      </c>
      <c r="F29" s="52">
        <v>9.2899999999999991</v>
      </c>
      <c r="G29" s="52">
        <v>35.39</v>
      </c>
      <c r="H29" s="52">
        <v>10.5</v>
      </c>
      <c r="I29" s="52">
        <v>4.25</v>
      </c>
      <c r="J29" s="52">
        <v>0.21</v>
      </c>
      <c r="K29" s="52">
        <v>250.42</v>
      </c>
      <c r="L29" s="52">
        <v>27.81</v>
      </c>
      <c r="M29" s="52">
        <v>84.38</v>
      </c>
      <c r="N29" s="52">
        <v>0</v>
      </c>
      <c r="O29" s="52">
        <v>0</v>
      </c>
      <c r="P29" s="52">
        <v>0.46</v>
      </c>
      <c r="Q29" s="52">
        <v>4.46</v>
      </c>
    </row>
    <row r="30" spans="1:17" customFormat="1">
      <c r="A30" s="51" t="s">
        <v>391</v>
      </c>
      <c r="B30" s="52">
        <v>10.15</v>
      </c>
      <c r="C30" s="52">
        <v>22.88</v>
      </c>
      <c r="D30" s="52">
        <v>19.05</v>
      </c>
      <c r="E30" s="52">
        <v>8.35</v>
      </c>
      <c r="F30" s="52">
        <v>11.34</v>
      </c>
      <c r="G30" s="52">
        <v>34.869999999999997</v>
      </c>
      <c r="H30" s="52">
        <v>9.39</v>
      </c>
      <c r="I30" s="52">
        <v>3.82</v>
      </c>
      <c r="J30" s="52">
        <v>0.24</v>
      </c>
      <c r="K30" s="52">
        <v>250.46</v>
      </c>
      <c r="L30" s="52">
        <v>27.56</v>
      </c>
      <c r="M30" s="52">
        <v>86.8</v>
      </c>
      <c r="N30" s="52">
        <v>0</v>
      </c>
      <c r="O30" s="52">
        <v>0</v>
      </c>
      <c r="P30" s="52">
        <v>0.45</v>
      </c>
      <c r="Q30" s="52">
        <v>4.49</v>
      </c>
    </row>
    <row r="31" spans="1:17" customFormat="1">
      <c r="A31" s="51" t="s">
        <v>392</v>
      </c>
      <c r="B31" s="52">
        <v>10.88</v>
      </c>
      <c r="C31" s="52">
        <v>24.08</v>
      </c>
      <c r="D31" s="52">
        <v>20.190000000000001</v>
      </c>
      <c r="E31" s="52">
        <v>8.3800000000000008</v>
      </c>
      <c r="F31" s="52">
        <v>5.94</v>
      </c>
      <c r="G31" s="52">
        <v>31.38</v>
      </c>
      <c r="H31" s="52">
        <v>6.91</v>
      </c>
      <c r="I31" s="52">
        <v>4.1500000000000004</v>
      </c>
      <c r="J31" s="52">
        <v>0.45</v>
      </c>
      <c r="K31" s="52">
        <v>265.79000000000002</v>
      </c>
      <c r="L31" s="52">
        <v>27.35</v>
      </c>
      <c r="M31" s="52">
        <v>86.46</v>
      </c>
      <c r="N31" s="52">
        <v>0</v>
      </c>
      <c r="O31" s="52">
        <v>0</v>
      </c>
      <c r="P31" s="52">
        <v>0.49</v>
      </c>
      <c r="Q31" s="52">
        <v>4.46</v>
      </c>
    </row>
    <row r="32" spans="1:17" customFormat="1">
      <c r="A32" s="51" t="s">
        <v>393</v>
      </c>
      <c r="B32" s="52">
        <v>10.45</v>
      </c>
      <c r="C32" s="52">
        <v>20.91</v>
      </c>
      <c r="D32" s="52">
        <v>18.260000000000002</v>
      </c>
      <c r="E32" s="52">
        <v>8.0500000000000007</v>
      </c>
      <c r="F32" s="52">
        <v>6.71</v>
      </c>
      <c r="G32" s="52">
        <v>25.4</v>
      </c>
      <c r="H32" s="52">
        <v>6.61</v>
      </c>
      <c r="I32" s="52">
        <v>3.68</v>
      </c>
      <c r="J32" s="52">
        <v>0.38</v>
      </c>
      <c r="K32" s="52">
        <v>265.04000000000002</v>
      </c>
      <c r="L32" s="52">
        <v>27.09</v>
      </c>
      <c r="M32" s="52">
        <v>85.9</v>
      </c>
      <c r="N32" s="52">
        <v>0</v>
      </c>
      <c r="O32" s="52">
        <v>0</v>
      </c>
      <c r="P32" s="52">
        <v>0.39</v>
      </c>
      <c r="Q32" s="52">
        <v>4.3899999999999997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8.9499999999999993</v>
      </c>
      <c r="C34" s="41">
        <f t="shared" si="0"/>
        <v>20</v>
      </c>
      <c r="D34" s="41">
        <f t="shared" si="0"/>
        <v>17.75</v>
      </c>
      <c r="E34" s="41">
        <f t="shared" si="0"/>
        <v>6.7</v>
      </c>
      <c r="F34" s="41">
        <f t="shared" si="0"/>
        <v>3.4</v>
      </c>
      <c r="G34" s="41">
        <f t="shared" si="0"/>
        <v>19.579999999999998</v>
      </c>
      <c r="H34" s="41">
        <f t="shared" si="0"/>
        <v>5.23</v>
      </c>
      <c r="I34" s="41">
        <f t="shared" si="0"/>
        <v>3.24</v>
      </c>
      <c r="J34" s="41">
        <f t="shared" si="0"/>
        <v>0.15</v>
      </c>
      <c r="K34" s="41">
        <f t="shared" si="0"/>
        <v>177.85</v>
      </c>
      <c r="L34" s="41">
        <f t="shared" si="0"/>
        <v>25.18</v>
      </c>
      <c r="M34" s="41">
        <f t="shared" si="0"/>
        <v>71.44</v>
      </c>
      <c r="N34" s="41">
        <f t="shared" si="0"/>
        <v>0</v>
      </c>
      <c r="O34" s="41">
        <f t="shared" si="0"/>
        <v>0</v>
      </c>
      <c r="P34" s="41">
        <f t="shared" si="0"/>
        <v>0.39</v>
      </c>
      <c r="Q34" s="41">
        <f t="shared" si="0"/>
        <v>4.3899999999999997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16.79</v>
      </c>
      <c r="C35" s="33">
        <f t="shared" si="1"/>
        <v>27.3</v>
      </c>
      <c r="D35" s="33">
        <f t="shared" si="1"/>
        <v>26.35</v>
      </c>
      <c r="E35" s="33">
        <f t="shared" si="1"/>
        <v>11</v>
      </c>
      <c r="F35" s="33">
        <f t="shared" si="1"/>
        <v>13.58</v>
      </c>
      <c r="G35" s="33">
        <f t="shared" si="1"/>
        <v>45.55</v>
      </c>
      <c r="H35" s="33">
        <f t="shared" si="1"/>
        <v>13.29</v>
      </c>
      <c r="I35" s="33">
        <f t="shared" si="1"/>
        <v>5.58</v>
      </c>
      <c r="J35" s="33">
        <f t="shared" si="1"/>
        <v>1.42</v>
      </c>
      <c r="K35" s="33">
        <f t="shared" si="1"/>
        <v>310.86</v>
      </c>
      <c r="L35" s="33">
        <f t="shared" si="1"/>
        <v>31.79</v>
      </c>
      <c r="M35" s="33">
        <f t="shared" si="1"/>
        <v>99.05</v>
      </c>
      <c r="N35" s="33">
        <f t="shared" si="1"/>
        <v>574.5</v>
      </c>
      <c r="O35" s="33">
        <f t="shared" si="1"/>
        <v>4.4000000000000004</v>
      </c>
      <c r="P35" s="33">
        <f t="shared" si="1"/>
        <v>0.57999999999999996</v>
      </c>
      <c r="Q35" s="33">
        <f t="shared" si="1"/>
        <v>4.92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13.054166666666665</v>
      </c>
      <c r="C36" s="41">
        <f t="shared" si="2"/>
        <v>23.776250000000008</v>
      </c>
      <c r="D36" s="41">
        <f t="shared" si="2"/>
        <v>21.743750000000006</v>
      </c>
      <c r="E36" s="41">
        <f t="shared" si="2"/>
        <v>8.0229166666666654</v>
      </c>
      <c r="F36" s="41">
        <f t="shared" si="2"/>
        <v>6.8433333333333328</v>
      </c>
      <c r="G36" s="41">
        <f t="shared" si="2"/>
        <v>31.231666666666666</v>
      </c>
      <c r="H36" s="41">
        <f t="shared" si="2"/>
        <v>8.845833333333335</v>
      </c>
      <c r="I36" s="41">
        <f t="shared" si="2"/>
        <v>4.0895833333333345</v>
      </c>
      <c r="J36" s="41">
        <f t="shared" si="2"/>
        <v>0.40625000000000006</v>
      </c>
      <c r="K36" s="41">
        <f t="shared" si="2"/>
        <v>252.23666666666671</v>
      </c>
      <c r="L36" s="41">
        <f t="shared" si="2"/>
        <v>28.196249999999996</v>
      </c>
      <c r="M36" s="41">
        <f t="shared" si="2"/>
        <v>83.756250000000037</v>
      </c>
      <c r="N36" s="41">
        <f t="shared" si="2"/>
        <v>127.39583333333336</v>
      </c>
      <c r="O36" s="41">
        <f t="shared" si="2"/>
        <v>0.26666666666666666</v>
      </c>
      <c r="P36" s="41">
        <f t="shared" si="2"/>
        <v>0.46500000000000002</v>
      </c>
      <c r="Q36" s="41">
        <f t="shared" si="2"/>
        <v>4.6429166666666655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2.182624898894777</v>
      </c>
      <c r="C37" s="41">
        <f t="shared" ref="C37:Q37" si="3">STDEV(C9:C32)</f>
        <v>1.9050934303231439</v>
      </c>
      <c r="D37" s="41">
        <f t="shared" si="3"/>
        <v>2.1577782706332833</v>
      </c>
      <c r="E37" s="41">
        <f t="shared" si="3"/>
        <v>1.0406957504129324</v>
      </c>
      <c r="F37" s="41">
        <f t="shared" si="3"/>
        <v>3.1177802397199885</v>
      </c>
      <c r="G37" s="41">
        <f t="shared" si="3"/>
        <v>6.9424476742821053</v>
      </c>
      <c r="H37" s="41">
        <f t="shared" si="3"/>
        <v>1.9559806095479337</v>
      </c>
      <c r="I37" s="41">
        <f t="shared" si="3"/>
        <v>0.71843113594932717</v>
      </c>
      <c r="J37" s="41">
        <f t="shared" si="3"/>
        <v>0.27520446944045063</v>
      </c>
      <c r="K37" s="41">
        <f t="shared" si="3"/>
        <v>34.154151401710969</v>
      </c>
      <c r="L37" s="41">
        <f t="shared" si="3"/>
        <v>1.7448403751583685</v>
      </c>
      <c r="M37" s="41">
        <f t="shared" si="3"/>
        <v>6.8641835465598291</v>
      </c>
      <c r="N37" s="41">
        <f t="shared" si="3"/>
        <v>180.05332659150361</v>
      </c>
      <c r="O37" s="41">
        <f t="shared" si="3"/>
        <v>0.97028309032071614</v>
      </c>
      <c r="P37" s="41">
        <f t="shared" si="3"/>
        <v>5.6951543094718129E-2</v>
      </c>
      <c r="Q37" s="41">
        <f t="shared" si="3"/>
        <v>0.13086598411010292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394</v>
      </c>
      <c r="B9" s="52">
        <v>10.130000000000001</v>
      </c>
      <c r="C9" s="52">
        <v>22.48</v>
      </c>
      <c r="D9" s="52">
        <v>18.82</v>
      </c>
      <c r="E9" s="52">
        <v>8.15</v>
      </c>
      <c r="F9" s="52">
        <v>5.56</v>
      </c>
      <c r="G9" s="52">
        <v>25.32</v>
      </c>
      <c r="H9" s="52">
        <v>7.53</v>
      </c>
      <c r="I9" s="52">
        <v>3.61</v>
      </c>
      <c r="J9" s="52">
        <v>0.41</v>
      </c>
      <c r="K9" s="52">
        <v>262.44</v>
      </c>
      <c r="L9" s="52">
        <v>26.82</v>
      </c>
      <c r="M9" s="52">
        <v>87.69</v>
      </c>
      <c r="N9" s="52">
        <v>0</v>
      </c>
      <c r="O9" s="52">
        <v>0</v>
      </c>
      <c r="P9" s="52">
        <v>0.4</v>
      </c>
      <c r="Q9" s="52">
        <v>4.47</v>
      </c>
    </row>
    <row r="10" spans="1:21" customFormat="1">
      <c r="A10" s="51" t="s">
        <v>395</v>
      </c>
      <c r="B10" s="52">
        <v>11.32</v>
      </c>
      <c r="C10" s="52">
        <v>23.04</v>
      </c>
      <c r="D10" s="52">
        <v>20.02</v>
      </c>
      <c r="E10" s="52">
        <v>8.59</v>
      </c>
      <c r="F10" s="52">
        <v>4.5999999999999996</v>
      </c>
      <c r="G10" s="52">
        <v>22.12</v>
      </c>
      <c r="H10" s="52">
        <v>6.52</v>
      </c>
      <c r="I10" s="52">
        <v>3.81</v>
      </c>
      <c r="J10" s="52">
        <v>0.53</v>
      </c>
      <c r="K10" s="52">
        <v>264.24</v>
      </c>
      <c r="L10" s="52">
        <v>26.61</v>
      </c>
      <c r="M10" s="52">
        <v>87.17</v>
      </c>
      <c r="N10" s="52">
        <v>0</v>
      </c>
      <c r="O10" s="52">
        <v>0</v>
      </c>
      <c r="P10" s="52">
        <v>0.42</v>
      </c>
      <c r="Q10" s="52">
        <v>4.5</v>
      </c>
    </row>
    <row r="11" spans="1:21" customFormat="1">
      <c r="A11" s="51" t="s">
        <v>396</v>
      </c>
      <c r="B11" s="52">
        <v>12.08</v>
      </c>
      <c r="C11" s="52">
        <v>23.67</v>
      </c>
      <c r="D11" s="52">
        <v>20.82</v>
      </c>
      <c r="E11" s="52">
        <v>9.25</v>
      </c>
      <c r="F11" s="52">
        <v>4</v>
      </c>
      <c r="G11" s="52">
        <v>20.53</v>
      </c>
      <c r="H11" s="52">
        <v>7.25</v>
      </c>
      <c r="I11" s="52">
        <v>3.52</v>
      </c>
      <c r="J11" s="52">
        <v>0.63</v>
      </c>
      <c r="K11" s="52">
        <v>264.60000000000002</v>
      </c>
      <c r="L11" s="52">
        <v>26.43</v>
      </c>
      <c r="M11" s="52">
        <v>85.97</v>
      </c>
      <c r="N11" s="52">
        <v>0</v>
      </c>
      <c r="O11" s="52">
        <v>0</v>
      </c>
      <c r="P11" s="52">
        <v>0.4</v>
      </c>
      <c r="Q11" s="52">
        <v>4.5599999999999996</v>
      </c>
    </row>
    <row r="12" spans="1:21" customFormat="1">
      <c r="A12" s="51" t="s">
        <v>397</v>
      </c>
      <c r="B12" s="52">
        <v>12.02</v>
      </c>
      <c r="C12" s="52">
        <v>23.45</v>
      </c>
      <c r="D12" s="52">
        <v>20.73</v>
      </c>
      <c r="E12" s="52">
        <v>8.76</v>
      </c>
      <c r="F12" s="52">
        <v>4.01</v>
      </c>
      <c r="G12" s="52">
        <v>16.34</v>
      </c>
      <c r="H12" s="52">
        <v>6.11</v>
      </c>
      <c r="I12" s="52">
        <v>3.39</v>
      </c>
      <c r="J12" s="52">
        <v>0.56000000000000005</v>
      </c>
      <c r="K12" s="52">
        <v>263.33</v>
      </c>
      <c r="L12" s="52">
        <v>26.07</v>
      </c>
      <c r="M12" s="52">
        <v>88.48</v>
      </c>
      <c r="N12" s="52">
        <v>0</v>
      </c>
      <c r="O12" s="52">
        <v>0</v>
      </c>
      <c r="P12" s="52">
        <v>0.41</v>
      </c>
      <c r="Q12" s="52">
        <v>4.49</v>
      </c>
    </row>
    <row r="13" spans="1:21" customFormat="1">
      <c r="A13" s="51" t="s">
        <v>398</v>
      </c>
      <c r="B13" s="52">
        <v>12.18</v>
      </c>
      <c r="C13" s="52">
        <v>23.71</v>
      </c>
      <c r="D13" s="52">
        <v>21.11</v>
      </c>
      <c r="E13" s="52">
        <v>8.65</v>
      </c>
      <c r="F13" s="52">
        <v>4.34</v>
      </c>
      <c r="G13" s="52">
        <v>14.76</v>
      </c>
      <c r="H13" s="52">
        <v>5.89</v>
      </c>
      <c r="I13" s="52">
        <v>3.25</v>
      </c>
      <c r="J13" s="52">
        <v>0.52</v>
      </c>
      <c r="K13" s="52">
        <v>266.32</v>
      </c>
      <c r="L13" s="52">
        <v>25.99</v>
      </c>
      <c r="M13" s="52">
        <v>88.6</v>
      </c>
      <c r="N13" s="52">
        <v>0</v>
      </c>
      <c r="O13" s="52">
        <v>0</v>
      </c>
      <c r="P13" s="52">
        <v>0.37</v>
      </c>
      <c r="Q13" s="52">
        <v>4.54</v>
      </c>
    </row>
    <row r="14" spans="1:21" customFormat="1">
      <c r="A14" s="51" t="s">
        <v>399</v>
      </c>
      <c r="B14" s="52">
        <v>12.77</v>
      </c>
      <c r="C14" s="52">
        <v>23.38</v>
      </c>
      <c r="D14" s="52">
        <v>21.41</v>
      </c>
      <c r="E14" s="52">
        <v>8.75</v>
      </c>
      <c r="F14" s="52">
        <v>4.42</v>
      </c>
      <c r="G14" s="52">
        <v>14.72</v>
      </c>
      <c r="H14" s="52">
        <v>4.37</v>
      </c>
      <c r="I14" s="52">
        <v>3.12</v>
      </c>
      <c r="J14" s="52">
        <v>0.38</v>
      </c>
      <c r="K14" s="52">
        <v>264.94</v>
      </c>
      <c r="L14" s="52">
        <v>25.88</v>
      </c>
      <c r="M14" s="52">
        <v>89.79</v>
      </c>
      <c r="N14" s="52">
        <v>3.8</v>
      </c>
      <c r="O14" s="52">
        <v>0</v>
      </c>
      <c r="P14" s="52">
        <v>0.37</v>
      </c>
      <c r="Q14" s="52">
        <v>4.55</v>
      </c>
    </row>
    <row r="15" spans="1:21" customFormat="1">
      <c r="A15" s="51" t="s">
        <v>400</v>
      </c>
      <c r="B15" s="52">
        <v>13.47</v>
      </c>
      <c r="C15" s="52">
        <v>23.36</v>
      </c>
      <c r="D15" s="52">
        <v>21.76</v>
      </c>
      <c r="E15" s="52">
        <v>8.73</v>
      </c>
      <c r="F15" s="52">
        <v>3.52</v>
      </c>
      <c r="G15" s="52">
        <v>14.53</v>
      </c>
      <c r="H15" s="52">
        <v>5.44</v>
      </c>
      <c r="I15" s="52">
        <v>3.09</v>
      </c>
      <c r="J15" s="52">
        <v>0.45</v>
      </c>
      <c r="K15" s="52">
        <v>265.19</v>
      </c>
      <c r="L15" s="52">
        <v>26</v>
      </c>
      <c r="M15" s="52">
        <v>90.8</v>
      </c>
      <c r="N15" s="52">
        <v>52.6</v>
      </c>
      <c r="O15" s="52">
        <v>0</v>
      </c>
      <c r="P15" s="52">
        <v>0.37</v>
      </c>
      <c r="Q15" s="52">
        <v>4.62</v>
      </c>
    </row>
    <row r="16" spans="1:21" customFormat="1">
      <c r="A16" s="51" t="s">
        <v>401</v>
      </c>
      <c r="B16" s="52">
        <v>13.97</v>
      </c>
      <c r="C16" s="52">
        <v>23.29</v>
      </c>
      <c r="D16" s="52">
        <v>22.08</v>
      </c>
      <c r="E16" s="52">
        <v>8.83</v>
      </c>
      <c r="F16" s="52">
        <v>3.64</v>
      </c>
      <c r="G16" s="52">
        <v>18.39</v>
      </c>
      <c r="H16" s="52">
        <v>4.58</v>
      </c>
      <c r="I16" s="52">
        <v>3.17</v>
      </c>
      <c r="J16" s="52">
        <v>0.6</v>
      </c>
      <c r="K16" s="52">
        <v>262.97000000000003</v>
      </c>
      <c r="L16" s="52">
        <v>27.43</v>
      </c>
      <c r="M16" s="52">
        <v>88.82</v>
      </c>
      <c r="N16" s="52">
        <v>172.8</v>
      </c>
      <c r="O16" s="52">
        <v>0</v>
      </c>
      <c r="P16" s="52">
        <v>0.37</v>
      </c>
      <c r="Q16" s="52">
        <v>4.6399999999999997</v>
      </c>
    </row>
    <row r="17" spans="1:17" customFormat="1">
      <c r="A17" s="51" t="s">
        <v>402</v>
      </c>
      <c r="B17" s="52">
        <v>13.83</v>
      </c>
      <c r="C17" s="52">
        <v>25.04</v>
      </c>
      <c r="D17" s="52">
        <v>22.57</v>
      </c>
      <c r="E17" s="52">
        <v>9.23</v>
      </c>
      <c r="F17" s="52">
        <v>3.56</v>
      </c>
      <c r="G17" s="52">
        <v>19.16</v>
      </c>
      <c r="H17" s="52">
        <v>4.82</v>
      </c>
      <c r="I17" s="52">
        <v>3.41</v>
      </c>
      <c r="J17" s="52">
        <v>0.75</v>
      </c>
      <c r="K17" s="52">
        <v>268.23</v>
      </c>
      <c r="L17" s="52">
        <v>28.28</v>
      </c>
      <c r="M17" s="52">
        <v>82.65</v>
      </c>
      <c r="N17" s="52">
        <v>334.5</v>
      </c>
      <c r="O17" s="52">
        <v>0</v>
      </c>
      <c r="P17" s="52">
        <v>0.46</v>
      </c>
      <c r="Q17" s="52">
        <v>4.63</v>
      </c>
    </row>
    <row r="18" spans="1:17" customFormat="1">
      <c r="A18" s="51" t="s">
        <v>403</v>
      </c>
      <c r="B18" s="52">
        <v>13.17</v>
      </c>
      <c r="C18" s="52">
        <v>21.91</v>
      </c>
      <c r="D18" s="52">
        <v>20.96</v>
      </c>
      <c r="E18" s="52">
        <v>9.3699999999999992</v>
      </c>
      <c r="F18" s="52">
        <v>3.88</v>
      </c>
      <c r="G18" s="52">
        <v>23.54</v>
      </c>
      <c r="H18" s="52">
        <v>5.28</v>
      </c>
      <c r="I18" s="52">
        <v>3.81</v>
      </c>
      <c r="J18" s="52">
        <v>0.74</v>
      </c>
      <c r="K18" s="52">
        <v>289.01</v>
      </c>
      <c r="L18" s="52">
        <v>29.94</v>
      </c>
      <c r="M18" s="52">
        <v>76.290000000000006</v>
      </c>
      <c r="N18" s="52">
        <v>401.1</v>
      </c>
      <c r="O18" s="52">
        <v>0</v>
      </c>
      <c r="P18" s="52">
        <v>0.44</v>
      </c>
      <c r="Q18" s="52">
        <v>4.59</v>
      </c>
    </row>
    <row r="19" spans="1:17" customFormat="1">
      <c r="A19" s="51" t="s">
        <v>404</v>
      </c>
      <c r="B19" s="52">
        <v>12.54</v>
      </c>
      <c r="C19" s="52">
        <v>22.04</v>
      </c>
      <c r="D19" s="52">
        <v>20.350000000000001</v>
      </c>
      <c r="E19" s="52">
        <v>7.92</v>
      </c>
      <c r="F19" s="52">
        <v>5.5</v>
      </c>
      <c r="G19" s="52">
        <v>29.11</v>
      </c>
      <c r="H19" s="52">
        <v>6.44</v>
      </c>
      <c r="I19" s="52">
        <v>4.0999999999999996</v>
      </c>
      <c r="J19" s="52">
        <v>0.6</v>
      </c>
      <c r="K19" s="52">
        <v>280.12</v>
      </c>
      <c r="L19" s="52">
        <v>30.6</v>
      </c>
      <c r="M19" s="52">
        <v>75.459999999999994</v>
      </c>
      <c r="N19" s="52">
        <v>482.7</v>
      </c>
      <c r="O19" s="52">
        <v>0</v>
      </c>
      <c r="P19" s="52">
        <v>0.47</v>
      </c>
      <c r="Q19" s="52">
        <v>4.5599999999999996</v>
      </c>
    </row>
    <row r="20" spans="1:17" customFormat="1">
      <c r="A20" s="51" t="s">
        <v>405</v>
      </c>
      <c r="B20" s="52">
        <v>10.57</v>
      </c>
      <c r="C20" s="52">
        <v>23.73</v>
      </c>
      <c r="D20" s="52">
        <v>19.5</v>
      </c>
      <c r="E20" s="52">
        <v>8.6199999999999992</v>
      </c>
      <c r="F20" s="52">
        <v>8.0299999999999994</v>
      </c>
      <c r="G20" s="52">
        <v>32.61</v>
      </c>
      <c r="H20" s="52">
        <v>7.17</v>
      </c>
      <c r="I20" s="52">
        <v>4.34</v>
      </c>
      <c r="J20" s="52">
        <v>0.68</v>
      </c>
      <c r="K20" s="52">
        <v>293.11</v>
      </c>
      <c r="L20" s="52">
        <v>31.42</v>
      </c>
      <c r="M20" s="52">
        <v>71.489999999999995</v>
      </c>
      <c r="N20" s="52">
        <v>626.29999999999995</v>
      </c>
      <c r="O20" s="52">
        <v>0</v>
      </c>
      <c r="P20" s="52">
        <v>0.49</v>
      </c>
      <c r="Q20" s="52">
        <v>4.4400000000000004</v>
      </c>
    </row>
    <row r="21" spans="1:17" customFormat="1">
      <c r="A21" s="51" t="s">
        <v>406</v>
      </c>
      <c r="B21" s="52">
        <v>9.2899999999999991</v>
      </c>
      <c r="C21" s="52">
        <v>22.96</v>
      </c>
      <c r="D21" s="52">
        <v>18.149999999999999</v>
      </c>
      <c r="E21" s="52">
        <v>8.86</v>
      </c>
      <c r="F21" s="52">
        <v>9.17</v>
      </c>
      <c r="G21" s="52">
        <v>36.96</v>
      </c>
      <c r="H21" s="52">
        <v>10.37</v>
      </c>
      <c r="I21" s="52">
        <v>4.3600000000000003</v>
      </c>
      <c r="J21" s="52">
        <v>0.75</v>
      </c>
      <c r="K21" s="52">
        <v>294.63</v>
      </c>
      <c r="L21" s="52">
        <v>32.200000000000003</v>
      </c>
      <c r="M21" s="52">
        <v>66.67</v>
      </c>
      <c r="N21" s="52">
        <v>721.1</v>
      </c>
      <c r="O21" s="52">
        <v>0</v>
      </c>
      <c r="P21" s="52">
        <v>0.5</v>
      </c>
      <c r="Q21" s="52">
        <v>4.37</v>
      </c>
    </row>
    <row r="22" spans="1:17" customFormat="1">
      <c r="A22" s="51" t="s">
        <v>407</v>
      </c>
      <c r="B22" s="52">
        <v>7.26</v>
      </c>
      <c r="C22" s="52">
        <v>24.77</v>
      </c>
      <c r="D22" s="52">
        <v>16.920000000000002</v>
      </c>
      <c r="E22" s="52">
        <v>7.84</v>
      </c>
      <c r="F22" s="52">
        <v>8.98</v>
      </c>
      <c r="G22" s="52">
        <v>38.630000000000003</v>
      </c>
      <c r="H22" s="52">
        <v>12.34</v>
      </c>
      <c r="I22" s="52">
        <v>4.28</v>
      </c>
      <c r="J22" s="52">
        <v>0.78</v>
      </c>
      <c r="K22" s="52">
        <v>279.04000000000002</v>
      </c>
      <c r="L22" s="52">
        <v>32.64</v>
      </c>
      <c r="M22" s="52">
        <v>65.83</v>
      </c>
      <c r="N22" s="52">
        <v>728.3</v>
      </c>
      <c r="O22" s="52">
        <v>0</v>
      </c>
      <c r="P22" s="52">
        <v>0.54</v>
      </c>
      <c r="Q22" s="52">
        <v>4.26</v>
      </c>
    </row>
    <row r="23" spans="1:17" customFormat="1">
      <c r="A23" s="51" t="s">
        <v>408</v>
      </c>
      <c r="B23" s="52">
        <v>6.34</v>
      </c>
      <c r="C23" s="52">
        <v>25.3</v>
      </c>
      <c r="D23" s="52">
        <v>16.97</v>
      </c>
      <c r="E23" s="52">
        <v>7.45</v>
      </c>
      <c r="F23" s="52">
        <v>8.73</v>
      </c>
      <c r="G23" s="52">
        <v>35.020000000000003</v>
      </c>
      <c r="H23" s="52">
        <v>10.6</v>
      </c>
      <c r="I23" s="52">
        <v>4.3099999999999996</v>
      </c>
      <c r="J23" s="52">
        <v>0.7</v>
      </c>
      <c r="K23" s="52">
        <v>322.76</v>
      </c>
      <c r="L23" s="52">
        <v>32.74</v>
      </c>
      <c r="M23" s="52">
        <v>60.3</v>
      </c>
      <c r="N23" s="52">
        <v>678.3</v>
      </c>
      <c r="O23" s="52">
        <v>0</v>
      </c>
      <c r="P23" s="52">
        <v>0.43</v>
      </c>
      <c r="Q23" s="52">
        <v>4.25</v>
      </c>
    </row>
    <row r="24" spans="1:17" customFormat="1">
      <c r="A24" s="51" t="s">
        <v>409</v>
      </c>
      <c r="B24" s="52">
        <v>5.69</v>
      </c>
      <c r="C24" s="52">
        <v>22.51</v>
      </c>
      <c r="D24" s="52">
        <v>14.82</v>
      </c>
      <c r="E24" s="52">
        <v>8.81</v>
      </c>
      <c r="F24" s="52">
        <v>11.92</v>
      </c>
      <c r="G24" s="52">
        <v>34.700000000000003</v>
      </c>
      <c r="H24" s="52">
        <v>8.48</v>
      </c>
      <c r="I24" s="52">
        <v>4.07</v>
      </c>
      <c r="J24" s="52">
        <v>0.67</v>
      </c>
      <c r="K24" s="52">
        <v>291.77999999999997</v>
      </c>
      <c r="L24" s="52">
        <v>32.74</v>
      </c>
      <c r="M24" s="52">
        <v>60.42</v>
      </c>
      <c r="N24" s="52">
        <v>464.5</v>
      </c>
      <c r="O24" s="52">
        <v>0</v>
      </c>
      <c r="P24" s="52">
        <v>0.44</v>
      </c>
      <c r="Q24" s="52">
        <v>4.16</v>
      </c>
    </row>
    <row r="25" spans="1:17" customFormat="1">
      <c r="A25" s="51" t="s">
        <v>410</v>
      </c>
      <c r="B25" s="52">
        <v>4.83</v>
      </c>
      <c r="C25" s="52">
        <v>21.6</v>
      </c>
      <c r="D25" s="52">
        <v>14.11</v>
      </c>
      <c r="E25" s="52">
        <v>11.69</v>
      </c>
      <c r="F25" s="52">
        <v>13.59</v>
      </c>
      <c r="G25" s="52">
        <v>36.229999999999997</v>
      </c>
      <c r="H25" s="52">
        <v>8.83</v>
      </c>
      <c r="I25" s="52">
        <v>4</v>
      </c>
      <c r="J25" s="52">
        <v>0.78</v>
      </c>
      <c r="K25" s="52">
        <v>284.13</v>
      </c>
      <c r="L25" s="52">
        <v>32.39</v>
      </c>
      <c r="M25" s="52">
        <v>61.79</v>
      </c>
      <c r="N25" s="52">
        <v>339.6</v>
      </c>
      <c r="O25" s="52">
        <v>0</v>
      </c>
      <c r="P25" s="52">
        <v>0.43</v>
      </c>
      <c r="Q25" s="52">
        <v>4.13</v>
      </c>
    </row>
    <row r="26" spans="1:17" customFormat="1">
      <c r="A26" s="51" t="s">
        <v>411</v>
      </c>
      <c r="B26" s="52">
        <v>4.49</v>
      </c>
      <c r="C26" s="52">
        <v>19.329999999999998</v>
      </c>
      <c r="D26" s="52">
        <v>12.65</v>
      </c>
      <c r="E26" s="52">
        <v>11.95</v>
      </c>
      <c r="F26" s="52">
        <v>16.79</v>
      </c>
      <c r="G26" s="52">
        <v>37.51</v>
      </c>
      <c r="H26" s="52">
        <v>11.69</v>
      </c>
      <c r="I26" s="52">
        <v>3.7</v>
      </c>
      <c r="J26" s="52">
        <v>0.49</v>
      </c>
      <c r="K26" s="52">
        <v>264.52999999999997</v>
      </c>
      <c r="L26" s="52">
        <v>31.4</v>
      </c>
      <c r="M26" s="52">
        <v>66.48</v>
      </c>
      <c r="N26" s="52">
        <v>86.9</v>
      </c>
      <c r="O26" s="52">
        <v>0</v>
      </c>
      <c r="P26" s="52">
        <v>0.38</v>
      </c>
      <c r="Q26" s="52">
        <v>4.08</v>
      </c>
    </row>
    <row r="27" spans="1:17" customFormat="1">
      <c r="A27" s="51" t="s">
        <v>412</v>
      </c>
      <c r="B27" s="52">
        <v>5.47</v>
      </c>
      <c r="C27" s="52">
        <v>21.61</v>
      </c>
      <c r="D27" s="52">
        <v>14.63</v>
      </c>
      <c r="E27" s="52">
        <v>8.43</v>
      </c>
      <c r="F27" s="52">
        <v>10.46</v>
      </c>
      <c r="G27" s="52">
        <v>34.22</v>
      </c>
      <c r="H27" s="52">
        <v>12.35</v>
      </c>
      <c r="I27" s="52">
        <v>3.38</v>
      </c>
      <c r="J27" s="52">
        <v>0.39</v>
      </c>
      <c r="K27" s="52">
        <v>261</v>
      </c>
      <c r="L27" s="52">
        <v>30.43</v>
      </c>
      <c r="M27" s="52">
        <v>71.599999999999994</v>
      </c>
      <c r="N27" s="52">
        <v>4.0999999999999996</v>
      </c>
      <c r="O27" s="52">
        <v>0</v>
      </c>
      <c r="P27" s="52">
        <v>0.42</v>
      </c>
      <c r="Q27" s="52">
        <v>4.13</v>
      </c>
    </row>
    <row r="28" spans="1:17" customFormat="1">
      <c r="A28" s="51" t="s">
        <v>413</v>
      </c>
      <c r="B28" s="52">
        <v>5.51</v>
      </c>
      <c r="C28" s="52">
        <v>23.39</v>
      </c>
      <c r="D28" s="52">
        <v>15.59</v>
      </c>
      <c r="E28" s="52">
        <v>9.11</v>
      </c>
      <c r="F28" s="52">
        <v>18.059999999999999</v>
      </c>
      <c r="G28" s="52">
        <v>33.520000000000003</v>
      </c>
      <c r="H28" s="52">
        <v>9.36</v>
      </c>
      <c r="I28" s="52">
        <v>3.75</v>
      </c>
      <c r="J28" s="52">
        <v>0.31</v>
      </c>
      <c r="K28" s="52">
        <v>257.14</v>
      </c>
      <c r="L28" s="52">
        <v>29.42</v>
      </c>
      <c r="M28" s="52">
        <v>74.72</v>
      </c>
      <c r="N28" s="52">
        <v>0</v>
      </c>
      <c r="O28" s="52">
        <v>0</v>
      </c>
      <c r="P28" s="52">
        <v>0.43</v>
      </c>
      <c r="Q28" s="52">
        <v>4.1399999999999997</v>
      </c>
    </row>
    <row r="29" spans="1:17" customFormat="1">
      <c r="A29" s="51" t="s">
        <v>414</v>
      </c>
      <c r="B29" s="52">
        <v>7.61</v>
      </c>
      <c r="C29" s="52">
        <v>23.7</v>
      </c>
      <c r="D29" s="52">
        <v>17.440000000000001</v>
      </c>
      <c r="E29" s="52">
        <v>15.49</v>
      </c>
      <c r="F29" s="52">
        <v>12.07</v>
      </c>
      <c r="G29" s="52">
        <v>32.03</v>
      </c>
      <c r="H29" s="52">
        <v>10.02</v>
      </c>
      <c r="I29" s="52">
        <v>3.35</v>
      </c>
      <c r="J29" s="52">
        <v>0.62</v>
      </c>
      <c r="K29" s="52">
        <v>357.56</v>
      </c>
      <c r="L29" s="52">
        <v>28.9</v>
      </c>
      <c r="M29" s="52">
        <v>74.7</v>
      </c>
      <c r="N29" s="52">
        <v>0</v>
      </c>
      <c r="O29" s="52">
        <v>0</v>
      </c>
      <c r="P29" s="52">
        <v>0.38</v>
      </c>
      <c r="Q29" s="52">
        <v>4.24</v>
      </c>
    </row>
    <row r="30" spans="1:17" customFormat="1">
      <c r="A30" s="51" t="s">
        <v>415</v>
      </c>
      <c r="B30" s="52">
        <v>9.0299999999999994</v>
      </c>
      <c r="C30" s="52">
        <v>25.65</v>
      </c>
      <c r="D30" s="52">
        <v>19.38</v>
      </c>
      <c r="E30" s="52">
        <v>12.18</v>
      </c>
      <c r="F30" s="52">
        <v>6.28</v>
      </c>
      <c r="G30" s="52">
        <v>37.21</v>
      </c>
      <c r="H30" s="52">
        <v>10.62</v>
      </c>
      <c r="I30" s="52">
        <v>3.73</v>
      </c>
      <c r="J30" s="52">
        <v>0.14000000000000001</v>
      </c>
      <c r="K30" s="52">
        <v>298.55</v>
      </c>
      <c r="L30" s="52">
        <v>27.53</v>
      </c>
      <c r="M30" s="52">
        <v>82.81</v>
      </c>
      <c r="N30" s="52">
        <v>0</v>
      </c>
      <c r="O30" s="52">
        <v>0</v>
      </c>
      <c r="P30" s="52">
        <v>0.43</v>
      </c>
      <c r="Q30" s="52">
        <v>4.3899999999999997</v>
      </c>
    </row>
    <row r="31" spans="1:17" customFormat="1">
      <c r="A31" s="51" t="s">
        <v>416</v>
      </c>
      <c r="B31" s="52">
        <v>9.91</v>
      </c>
      <c r="C31" s="52">
        <v>25.11</v>
      </c>
      <c r="D31" s="52">
        <v>19.87</v>
      </c>
      <c r="E31" s="52">
        <v>9.94</v>
      </c>
      <c r="F31" s="52">
        <v>6.34</v>
      </c>
      <c r="G31" s="52">
        <v>45.34</v>
      </c>
      <c r="H31" s="52">
        <v>12.42</v>
      </c>
      <c r="I31" s="52">
        <v>3.85</v>
      </c>
      <c r="J31" s="52">
        <v>0.77</v>
      </c>
      <c r="K31" s="52">
        <v>265.51</v>
      </c>
      <c r="L31" s="52">
        <v>27.75</v>
      </c>
      <c r="M31" s="52">
        <v>83.45</v>
      </c>
      <c r="N31" s="52">
        <v>0</v>
      </c>
      <c r="O31" s="52">
        <v>0</v>
      </c>
      <c r="P31" s="52">
        <v>0.43</v>
      </c>
      <c r="Q31" s="52">
        <v>4.4800000000000004</v>
      </c>
    </row>
    <row r="32" spans="1:17" customFormat="1">
      <c r="A32" s="51" t="s">
        <v>417</v>
      </c>
      <c r="B32" s="52">
        <v>10.029999999999999</v>
      </c>
      <c r="C32" s="52">
        <v>23.92</v>
      </c>
      <c r="D32" s="52">
        <v>19.48</v>
      </c>
      <c r="E32" s="52">
        <v>9.3699999999999992</v>
      </c>
      <c r="F32" s="52">
        <v>7.21</v>
      </c>
      <c r="G32" s="52">
        <v>37.44</v>
      </c>
      <c r="H32" s="52">
        <v>10.84</v>
      </c>
      <c r="I32" s="52">
        <v>3.71</v>
      </c>
      <c r="J32" s="52">
        <v>0.67</v>
      </c>
      <c r="K32" s="52">
        <v>264.37</v>
      </c>
      <c r="L32" s="52">
        <v>27.59</v>
      </c>
      <c r="M32" s="52">
        <v>79.17</v>
      </c>
      <c r="N32" s="52">
        <v>0</v>
      </c>
      <c r="O32" s="52">
        <v>0</v>
      </c>
      <c r="P32" s="52">
        <v>0.4</v>
      </c>
      <c r="Q32" s="52">
        <v>4.46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4.49</v>
      </c>
      <c r="C34" s="41">
        <f t="shared" si="0"/>
        <v>19.329999999999998</v>
      </c>
      <c r="D34" s="41">
        <f t="shared" si="0"/>
        <v>12.65</v>
      </c>
      <c r="E34" s="41">
        <f t="shared" si="0"/>
        <v>7.45</v>
      </c>
      <c r="F34" s="41">
        <f t="shared" si="0"/>
        <v>3.52</v>
      </c>
      <c r="G34" s="41">
        <f t="shared" si="0"/>
        <v>14.53</v>
      </c>
      <c r="H34" s="41">
        <f t="shared" si="0"/>
        <v>4.37</v>
      </c>
      <c r="I34" s="41">
        <f t="shared" si="0"/>
        <v>3.09</v>
      </c>
      <c r="J34" s="41">
        <f t="shared" si="0"/>
        <v>0.14000000000000001</v>
      </c>
      <c r="K34" s="41">
        <f t="shared" si="0"/>
        <v>257.14</v>
      </c>
      <c r="L34" s="41">
        <f t="shared" si="0"/>
        <v>25.88</v>
      </c>
      <c r="M34" s="41">
        <f t="shared" si="0"/>
        <v>60.3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4.08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13.97</v>
      </c>
      <c r="C35" s="33">
        <f t="shared" si="1"/>
        <v>25.65</v>
      </c>
      <c r="D35" s="33">
        <f t="shared" si="1"/>
        <v>22.57</v>
      </c>
      <c r="E35" s="33">
        <f t="shared" si="1"/>
        <v>15.49</v>
      </c>
      <c r="F35" s="33">
        <f t="shared" si="1"/>
        <v>18.059999999999999</v>
      </c>
      <c r="G35" s="33">
        <f t="shared" si="1"/>
        <v>45.34</v>
      </c>
      <c r="H35" s="33">
        <f t="shared" si="1"/>
        <v>12.42</v>
      </c>
      <c r="I35" s="33">
        <f t="shared" si="1"/>
        <v>4.3600000000000003</v>
      </c>
      <c r="J35" s="33">
        <f t="shared" si="1"/>
        <v>0.78</v>
      </c>
      <c r="K35" s="33">
        <f t="shared" si="1"/>
        <v>357.56</v>
      </c>
      <c r="L35" s="33">
        <f t="shared" si="1"/>
        <v>32.74</v>
      </c>
      <c r="M35" s="33">
        <f t="shared" si="1"/>
        <v>90.8</v>
      </c>
      <c r="N35" s="33">
        <f t="shared" si="1"/>
        <v>728.3</v>
      </c>
      <c r="O35" s="33">
        <f t="shared" si="1"/>
        <v>0</v>
      </c>
      <c r="P35" s="33">
        <f t="shared" si="1"/>
        <v>0.54</v>
      </c>
      <c r="Q35" s="33">
        <f t="shared" si="1"/>
        <v>4.6399999999999997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9.7295833333333324</v>
      </c>
      <c r="C36" s="41">
        <f t="shared" si="2"/>
        <v>23.289583333333326</v>
      </c>
      <c r="D36" s="41">
        <f t="shared" si="2"/>
        <v>18.755833333333332</v>
      </c>
      <c r="E36" s="41">
        <f t="shared" si="2"/>
        <v>9.4154166666666672</v>
      </c>
      <c r="F36" s="41">
        <f t="shared" si="2"/>
        <v>7.6941666666666677</v>
      </c>
      <c r="G36" s="41">
        <f t="shared" si="2"/>
        <v>28.747500000000002</v>
      </c>
      <c r="H36" s="41">
        <f t="shared" si="2"/>
        <v>8.3050000000000015</v>
      </c>
      <c r="I36" s="41">
        <f t="shared" si="2"/>
        <v>3.7129166666666662</v>
      </c>
      <c r="J36" s="41">
        <f t="shared" si="2"/>
        <v>0.57999999999999996</v>
      </c>
      <c r="K36" s="41">
        <f t="shared" si="2"/>
        <v>278.56250000000006</v>
      </c>
      <c r="L36" s="41">
        <f t="shared" si="2"/>
        <v>29.049999999999997</v>
      </c>
      <c r="M36" s="41">
        <f t="shared" si="2"/>
        <v>77.547916666666666</v>
      </c>
      <c r="N36" s="41">
        <f t="shared" si="2"/>
        <v>212.35833333333335</v>
      </c>
      <c r="O36" s="41">
        <f t="shared" si="2"/>
        <v>0</v>
      </c>
      <c r="P36" s="41">
        <f t="shared" si="2"/>
        <v>0.42416666666666675</v>
      </c>
      <c r="Q36" s="41">
        <f t="shared" si="2"/>
        <v>4.4033333333333324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3.1245722895707857</v>
      </c>
      <c r="C37" s="41">
        <f t="shared" ref="C37:Q37" si="3">STDEV(C9:C32)</f>
        <v>1.4075247442931218</v>
      </c>
      <c r="D37" s="41">
        <f t="shared" si="3"/>
        <v>2.7751818062914522</v>
      </c>
      <c r="E37" s="41">
        <f t="shared" si="3"/>
        <v>1.7691658048152292</v>
      </c>
      <c r="F37" s="41">
        <f t="shared" si="3"/>
        <v>4.2340174330283959</v>
      </c>
      <c r="G37" s="41">
        <f t="shared" si="3"/>
        <v>9.2588581557244947</v>
      </c>
      <c r="H37" s="41">
        <f t="shared" si="3"/>
        <v>2.6856494639990229</v>
      </c>
      <c r="I37" s="41">
        <f t="shared" si="3"/>
        <v>0.39696105565930279</v>
      </c>
      <c r="J37" s="41">
        <f t="shared" si="3"/>
        <v>0.16785086548325667</v>
      </c>
      <c r="K37" s="41">
        <f t="shared" si="3"/>
        <v>23.287525910741163</v>
      </c>
      <c r="L37" s="41">
        <f t="shared" si="3"/>
        <v>2.4876372586120623</v>
      </c>
      <c r="M37" s="41">
        <f t="shared" si="3"/>
        <v>10.136461512419093</v>
      </c>
      <c r="N37" s="41">
        <f t="shared" si="3"/>
        <v>271.67050201791631</v>
      </c>
      <c r="O37" s="41">
        <f t="shared" si="3"/>
        <v>0</v>
      </c>
      <c r="P37" s="41">
        <f t="shared" si="3"/>
        <v>4.4322598678587663E-2</v>
      </c>
      <c r="Q37" s="41">
        <f t="shared" si="3"/>
        <v>0.18234383828998119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418</v>
      </c>
      <c r="B9" s="52">
        <v>9.67</v>
      </c>
      <c r="C9" s="52">
        <v>24.64</v>
      </c>
      <c r="D9" s="52">
        <v>19.37</v>
      </c>
      <c r="E9" s="52">
        <v>8.7799999999999994</v>
      </c>
      <c r="F9" s="52">
        <v>5.44</v>
      </c>
      <c r="G9" s="52">
        <v>28.49</v>
      </c>
      <c r="H9" s="52">
        <v>10.119999999999999</v>
      </c>
      <c r="I9" s="52">
        <v>3.72</v>
      </c>
      <c r="J9" s="52">
        <v>0.53</v>
      </c>
      <c r="K9" s="52">
        <v>264.25</v>
      </c>
      <c r="L9" s="52">
        <v>27.31</v>
      </c>
      <c r="M9" s="52">
        <v>82.62</v>
      </c>
      <c r="N9" s="52">
        <v>0</v>
      </c>
      <c r="O9" s="52">
        <v>0</v>
      </c>
      <c r="P9" s="52">
        <v>0.42</v>
      </c>
      <c r="Q9" s="52">
        <v>4.41</v>
      </c>
    </row>
    <row r="10" spans="1:21" customFormat="1">
      <c r="A10" s="51" t="s">
        <v>419</v>
      </c>
      <c r="B10" s="52">
        <v>9.5500000000000007</v>
      </c>
      <c r="C10" s="52">
        <v>24.08</v>
      </c>
      <c r="D10" s="52">
        <v>19.149999999999999</v>
      </c>
      <c r="E10" s="52">
        <v>8.66</v>
      </c>
      <c r="F10" s="52">
        <v>6.24</v>
      </c>
      <c r="G10" s="52">
        <v>24.1</v>
      </c>
      <c r="H10" s="52">
        <v>8.26</v>
      </c>
      <c r="I10" s="52">
        <v>3.25</v>
      </c>
      <c r="J10" s="52">
        <v>0.6</v>
      </c>
      <c r="K10" s="52">
        <v>264.7</v>
      </c>
      <c r="L10" s="52">
        <v>26.95</v>
      </c>
      <c r="M10" s="52">
        <v>84.93</v>
      </c>
      <c r="N10" s="52">
        <v>0</v>
      </c>
      <c r="O10" s="52">
        <v>0</v>
      </c>
      <c r="P10" s="52">
        <v>0.37</v>
      </c>
      <c r="Q10" s="52">
        <v>4.4000000000000004</v>
      </c>
    </row>
    <row r="11" spans="1:21" customFormat="1">
      <c r="A11" s="51" t="s">
        <v>420</v>
      </c>
      <c r="B11" s="52">
        <v>10.4</v>
      </c>
      <c r="C11" s="52">
        <v>23.34</v>
      </c>
      <c r="D11" s="52">
        <v>19.41</v>
      </c>
      <c r="E11" s="52">
        <v>6.56</v>
      </c>
      <c r="F11" s="52">
        <v>7.18</v>
      </c>
      <c r="G11" s="52">
        <v>21.05</v>
      </c>
      <c r="H11" s="52">
        <v>7.11</v>
      </c>
      <c r="I11" s="52">
        <v>3.34</v>
      </c>
      <c r="J11" s="52">
        <v>0.35</v>
      </c>
      <c r="K11" s="52">
        <v>259.52</v>
      </c>
      <c r="L11" s="52">
        <v>26.54</v>
      </c>
      <c r="M11" s="52">
        <v>91.2</v>
      </c>
      <c r="N11" s="52">
        <v>0</v>
      </c>
      <c r="O11" s="52">
        <v>0</v>
      </c>
      <c r="P11" s="52">
        <v>0.35</v>
      </c>
      <c r="Q11" s="52">
        <v>4.4800000000000004</v>
      </c>
    </row>
    <row r="12" spans="1:21" customFormat="1">
      <c r="A12" s="51" t="s">
        <v>421</v>
      </c>
      <c r="B12" s="52">
        <v>11.18</v>
      </c>
      <c r="C12" s="52">
        <v>23.51</v>
      </c>
      <c r="D12" s="52">
        <v>20.21</v>
      </c>
      <c r="E12" s="52">
        <v>6.36</v>
      </c>
      <c r="F12" s="52">
        <v>5.22</v>
      </c>
      <c r="G12" s="52">
        <v>19.2</v>
      </c>
      <c r="H12" s="52">
        <v>5.28</v>
      </c>
      <c r="I12" s="52">
        <v>3.28</v>
      </c>
      <c r="J12" s="52">
        <v>0.46</v>
      </c>
      <c r="K12" s="52">
        <v>265.83</v>
      </c>
      <c r="L12" s="52">
        <v>26.16</v>
      </c>
      <c r="M12" s="52">
        <v>91.93</v>
      </c>
      <c r="N12" s="52">
        <v>0</v>
      </c>
      <c r="O12" s="52">
        <v>0</v>
      </c>
      <c r="P12" s="52">
        <v>0.33</v>
      </c>
      <c r="Q12" s="52">
        <v>4.51</v>
      </c>
    </row>
    <row r="13" spans="1:21" customFormat="1">
      <c r="A13" s="51" t="s">
        <v>422</v>
      </c>
      <c r="B13" s="52">
        <v>11.7</v>
      </c>
      <c r="C13" s="52">
        <v>22.98</v>
      </c>
      <c r="D13" s="52">
        <v>20.190000000000001</v>
      </c>
      <c r="E13" s="52">
        <v>6.45</v>
      </c>
      <c r="F13" s="52">
        <v>4.6500000000000004</v>
      </c>
      <c r="G13" s="52">
        <v>15.8</v>
      </c>
      <c r="H13" s="52">
        <v>4.07</v>
      </c>
      <c r="I13" s="52">
        <v>3.14</v>
      </c>
      <c r="J13" s="52">
        <v>0.59</v>
      </c>
      <c r="K13" s="52">
        <v>266.92</v>
      </c>
      <c r="L13" s="52">
        <v>26.15</v>
      </c>
      <c r="M13" s="52">
        <v>90.6</v>
      </c>
      <c r="N13" s="52">
        <v>0</v>
      </c>
      <c r="O13" s="52">
        <v>0</v>
      </c>
      <c r="P13" s="52">
        <v>0.33</v>
      </c>
      <c r="Q13" s="52">
        <v>4.5</v>
      </c>
    </row>
    <row r="14" spans="1:21" customFormat="1">
      <c r="A14" s="51" t="s">
        <v>423</v>
      </c>
      <c r="B14" s="52">
        <v>11.76</v>
      </c>
      <c r="C14" s="52">
        <v>22.47</v>
      </c>
      <c r="D14" s="52">
        <v>19.73</v>
      </c>
      <c r="E14" s="52">
        <v>6.32</v>
      </c>
      <c r="F14" s="52">
        <v>3.94</v>
      </c>
      <c r="G14" s="52">
        <v>17.95</v>
      </c>
      <c r="H14" s="52">
        <v>4.33</v>
      </c>
      <c r="I14" s="52">
        <v>3.14</v>
      </c>
      <c r="J14" s="52">
        <v>0.73</v>
      </c>
      <c r="K14" s="52">
        <v>268.5</v>
      </c>
      <c r="L14" s="52">
        <v>26.1</v>
      </c>
      <c r="M14" s="52">
        <v>91.13</v>
      </c>
      <c r="N14" s="52">
        <v>4.5</v>
      </c>
      <c r="O14" s="52">
        <v>0</v>
      </c>
      <c r="P14" s="52">
        <v>0.34</v>
      </c>
      <c r="Q14" s="52">
        <v>4.46</v>
      </c>
    </row>
    <row r="15" spans="1:21" customFormat="1">
      <c r="A15" s="51" t="s">
        <v>424</v>
      </c>
      <c r="B15" s="52">
        <v>11.5</v>
      </c>
      <c r="C15" s="52">
        <v>22.97</v>
      </c>
      <c r="D15" s="52">
        <v>20.170000000000002</v>
      </c>
      <c r="E15" s="52">
        <v>6.28</v>
      </c>
      <c r="F15" s="52">
        <v>3.79</v>
      </c>
      <c r="G15" s="52">
        <v>17.86</v>
      </c>
      <c r="H15" s="52">
        <v>4.08</v>
      </c>
      <c r="I15" s="52">
        <v>2.94</v>
      </c>
      <c r="J15" s="52">
        <v>0.69</v>
      </c>
      <c r="K15" s="52">
        <v>266.83999999999997</v>
      </c>
      <c r="L15" s="52">
        <v>26.74</v>
      </c>
      <c r="M15" s="52">
        <v>87.67</v>
      </c>
      <c r="N15" s="52">
        <v>63.7</v>
      </c>
      <c r="O15" s="52">
        <v>0</v>
      </c>
      <c r="P15" s="52">
        <v>0.31</v>
      </c>
      <c r="Q15" s="52">
        <v>4.49</v>
      </c>
    </row>
    <row r="16" spans="1:21" customFormat="1">
      <c r="A16" s="51" t="s">
        <v>425</v>
      </c>
      <c r="B16" s="52">
        <v>11.76</v>
      </c>
      <c r="C16" s="52">
        <v>22.31</v>
      </c>
      <c r="D16" s="52">
        <v>20.04</v>
      </c>
      <c r="E16" s="52">
        <v>6.34</v>
      </c>
      <c r="F16" s="52">
        <v>3.35</v>
      </c>
      <c r="G16" s="52">
        <v>14.65</v>
      </c>
      <c r="H16" s="52">
        <v>7.15</v>
      </c>
      <c r="I16" s="52">
        <v>3.08</v>
      </c>
      <c r="J16" s="52">
        <v>0.76</v>
      </c>
      <c r="K16" s="52">
        <v>275.36</v>
      </c>
      <c r="L16" s="52">
        <v>28.16</v>
      </c>
      <c r="M16" s="52">
        <v>83.98</v>
      </c>
      <c r="N16" s="52">
        <v>121.1</v>
      </c>
      <c r="O16" s="52">
        <v>0</v>
      </c>
      <c r="P16" s="52">
        <v>0.35</v>
      </c>
      <c r="Q16" s="52">
        <v>4.5199999999999996</v>
      </c>
    </row>
    <row r="17" spans="1:17" customFormat="1">
      <c r="A17" s="51" t="s">
        <v>426</v>
      </c>
      <c r="B17" s="52">
        <v>12.58</v>
      </c>
      <c r="C17" s="52">
        <v>23.61</v>
      </c>
      <c r="D17" s="52">
        <v>20.84</v>
      </c>
      <c r="E17" s="52">
        <v>7.2</v>
      </c>
      <c r="F17" s="52">
        <v>3.7</v>
      </c>
      <c r="G17" s="52">
        <v>25.38</v>
      </c>
      <c r="H17" s="52">
        <v>5.44</v>
      </c>
      <c r="I17" s="52">
        <v>3.55</v>
      </c>
      <c r="J17" s="52">
        <v>0.8</v>
      </c>
      <c r="K17" s="52">
        <v>287.85000000000002</v>
      </c>
      <c r="L17" s="52">
        <v>29.49</v>
      </c>
      <c r="M17" s="52">
        <v>77.739999999999995</v>
      </c>
      <c r="N17" s="52">
        <v>326.60000000000002</v>
      </c>
      <c r="O17" s="52">
        <v>0</v>
      </c>
      <c r="P17" s="52">
        <v>0.38</v>
      </c>
      <c r="Q17" s="52">
        <v>4.6100000000000003</v>
      </c>
    </row>
    <row r="18" spans="1:17" customFormat="1">
      <c r="A18" s="51" t="s">
        <v>427</v>
      </c>
      <c r="B18" s="52">
        <v>12.57</v>
      </c>
      <c r="C18" s="52">
        <v>21.37</v>
      </c>
      <c r="D18" s="52">
        <v>20.2</v>
      </c>
      <c r="E18" s="52">
        <v>6.14</v>
      </c>
      <c r="F18" s="52">
        <v>4.43</v>
      </c>
      <c r="G18" s="52">
        <v>29.48</v>
      </c>
      <c r="H18" s="52">
        <v>6.57</v>
      </c>
      <c r="I18" s="52">
        <v>3.61</v>
      </c>
      <c r="J18" s="52">
        <v>0.75</v>
      </c>
      <c r="K18" s="52">
        <v>313.63</v>
      </c>
      <c r="L18" s="52">
        <v>30.84</v>
      </c>
      <c r="M18" s="52">
        <v>71.92</v>
      </c>
      <c r="N18" s="52">
        <v>378.2</v>
      </c>
      <c r="O18" s="52">
        <v>0</v>
      </c>
      <c r="P18" s="52">
        <v>0.38</v>
      </c>
      <c r="Q18" s="52">
        <v>4.53</v>
      </c>
    </row>
    <row r="19" spans="1:17" customFormat="1">
      <c r="A19" s="51" t="s">
        <v>428</v>
      </c>
      <c r="B19" s="52">
        <v>12.39</v>
      </c>
      <c r="C19" s="52">
        <v>25.05</v>
      </c>
      <c r="D19" s="52">
        <v>20.89</v>
      </c>
      <c r="E19" s="52">
        <v>7.52</v>
      </c>
      <c r="F19" s="52">
        <v>5.25</v>
      </c>
      <c r="G19" s="52">
        <v>27.28</v>
      </c>
      <c r="H19" s="52">
        <v>6.83</v>
      </c>
      <c r="I19" s="52">
        <v>3.77</v>
      </c>
      <c r="J19" s="52">
        <v>0.79</v>
      </c>
      <c r="K19" s="52">
        <v>297.93</v>
      </c>
      <c r="L19" s="52">
        <v>31.76</v>
      </c>
      <c r="M19" s="52">
        <v>66.63</v>
      </c>
      <c r="N19" s="52">
        <v>549</v>
      </c>
      <c r="O19" s="52">
        <v>0</v>
      </c>
      <c r="P19" s="52">
        <v>0.43</v>
      </c>
      <c r="Q19" s="52">
        <v>4.54</v>
      </c>
    </row>
    <row r="20" spans="1:17" customFormat="1">
      <c r="A20" s="51" t="s">
        <v>429</v>
      </c>
      <c r="B20" s="52">
        <v>10.71</v>
      </c>
      <c r="C20" s="52">
        <v>23.19</v>
      </c>
      <c r="D20" s="52">
        <v>19.66</v>
      </c>
      <c r="E20" s="52">
        <v>7.17</v>
      </c>
      <c r="F20" s="52">
        <v>7.88</v>
      </c>
      <c r="G20" s="52">
        <v>32.049999999999997</v>
      </c>
      <c r="H20" s="52">
        <v>5.82</v>
      </c>
      <c r="I20" s="52">
        <v>3.77</v>
      </c>
      <c r="J20" s="52">
        <v>0.62</v>
      </c>
      <c r="K20" s="52">
        <v>322.2</v>
      </c>
      <c r="L20" s="52">
        <v>32.75</v>
      </c>
      <c r="M20" s="52">
        <v>63.72</v>
      </c>
      <c r="N20" s="52">
        <v>856.3</v>
      </c>
      <c r="O20" s="52">
        <v>0</v>
      </c>
      <c r="P20" s="52">
        <v>0.4</v>
      </c>
      <c r="Q20" s="52">
        <v>4.51</v>
      </c>
    </row>
    <row r="21" spans="1:17" customFormat="1">
      <c r="A21" s="51" t="s">
        <v>430</v>
      </c>
      <c r="B21" s="52">
        <v>9.4600000000000009</v>
      </c>
      <c r="C21" s="52">
        <v>22.29</v>
      </c>
      <c r="D21" s="52">
        <v>17.690000000000001</v>
      </c>
      <c r="E21" s="52">
        <v>7.39</v>
      </c>
      <c r="F21" s="52">
        <v>10.84</v>
      </c>
      <c r="G21" s="52">
        <v>31.51</v>
      </c>
      <c r="H21" s="52">
        <v>7.54</v>
      </c>
      <c r="I21" s="52">
        <v>3.44</v>
      </c>
      <c r="J21" s="52">
        <v>0.45</v>
      </c>
      <c r="K21" s="52">
        <v>300.58</v>
      </c>
      <c r="L21" s="52">
        <v>33.700000000000003</v>
      </c>
      <c r="M21" s="52">
        <v>60.67</v>
      </c>
      <c r="N21" s="52">
        <v>755.6</v>
      </c>
      <c r="O21" s="52">
        <v>0</v>
      </c>
      <c r="P21" s="52">
        <v>0.36</v>
      </c>
      <c r="Q21" s="52">
        <v>4.43</v>
      </c>
    </row>
    <row r="22" spans="1:17" customFormat="1">
      <c r="A22" s="51" t="s">
        <v>431</v>
      </c>
      <c r="B22" s="52">
        <v>8.51</v>
      </c>
      <c r="C22" s="52">
        <v>22.41</v>
      </c>
      <c r="D22" s="52">
        <v>17.45</v>
      </c>
      <c r="E22" s="52">
        <v>7.89</v>
      </c>
      <c r="F22" s="52">
        <v>10.24</v>
      </c>
      <c r="G22" s="52">
        <v>30.37</v>
      </c>
      <c r="H22" s="52">
        <v>10.42</v>
      </c>
      <c r="I22" s="52">
        <v>3.48</v>
      </c>
      <c r="J22" s="52">
        <v>0.48</v>
      </c>
      <c r="K22" s="52">
        <v>344.88</v>
      </c>
      <c r="L22" s="52">
        <v>34.049999999999997</v>
      </c>
      <c r="M22" s="52">
        <v>61.49</v>
      </c>
      <c r="N22" s="52">
        <v>759.2</v>
      </c>
      <c r="O22" s="52">
        <v>0</v>
      </c>
      <c r="P22" s="52">
        <v>0.37</v>
      </c>
      <c r="Q22" s="52">
        <v>4.3600000000000003</v>
      </c>
    </row>
    <row r="23" spans="1:17" customFormat="1">
      <c r="A23" s="51" t="s">
        <v>432</v>
      </c>
      <c r="B23" s="52">
        <v>10.36</v>
      </c>
      <c r="C23" s="52">
        <v>22.5</v>
      </c>
      <c r="D23" s="52">
        <v>19.02</v>
      </c>
      <c r="E23" s="52">
        <v>7.82</v>
      </c>
      <c r="F23" s="52">
        <v>12.29</v>
      </c>
      <c r="G23" s="52">
        <v>30.82</v>
      </c>
      <c r="H23" s="52">
        <v>7.7</v>
      </c>
      <c r="I23" s="52">
        <v>3.39</v>
      </c>
      <c r="J23" s="52">
        <v>0.41</v>
      </c>
      <c r="K23" s="52">
        <v>358.84</v>
      </c>
      <c r="L23" s="52">
        <v>33.29</v>
      </c>
      <c r="M23" s="52">
        <v>59.41</v>
      </c>
      <c r="N23" s="52">
        <v>378.2</v>
      </c>
      <c r="O23" s="52">
        <v>0</v>
      </c>
      <c r="P23" s="52">
        <v>0.43</v>
      </c>
      <c r="Q23" s="52">
        <v>4.34</v>
      </c>
    </row>
    <row r="24" spans="1:17" customFormat="1">
      <c r="A24" s="51" t="s">
        <v>433</v>
      </c>
      <c r="B24" s="52">
        <v>8.41</v>
      </c>
      <c r="C24" s="52">
        <v>25.56</v>
      </c>
      <c r="D24" s="52">
        <v>18.22</v>
      </c>
      <c r="E24" s="52">
        <v>7.77</v>
      </c>
      <c r="F24" s="52">
        <v>14.02</v>
      </c>
      <c r="G24" s="52">
        <v>31.55</v>
      </c>
      <c r="H24" s="52">
        <v>7.43</v>
      </c>
      <c r="I24" s="52">
        <v>3.42</v>
      </c>
      <c r="J24" s="52">
        <v>0.57999999999999996</v>
      </c>
      <c r="K24" s="52">
        <v>295.82</v>
      </c>
      <c r="L24" s="52">
        <v>33.15</v>
      </c>
      <c r="M24" s="52">
        <v>63.45</v>
      </c>
      <c r="N24" s="52">
        <v>341.6</v>
      </c>
      <c r="O24" s="52">
        <v>0</v>
      </c>
      <c r="P24" s="52">
        <v>0.49</v>
      </c>
      <c r="Q24" s="52">
        <v>4.3499999999999996</v>
      </c>
    </row>
    <row r="25" spans="1:17" customFormat="1">
      <c r="A25" s="51" t="s">
        <v>434</v>
      </c>
      <c r="B25" s="52">
        <v>6.86</v>
      </c>
      <c r="C25" s="52">
        <v>23.25</v>
      </c>
      <c r="D25" s="52">
        <v>16.600000000000001</v>
      </c>
      <c r="E25" s="52">
        <v>8.66</v>
      </c>
      <c r="F25" s="52">
        <v>12.71</v>
      </c>
      <c r="G25" s="52">
        <v>30.86</v>
      </c>
      <c r="H25" s="52">
        <v>8.11</v>
      </c>
      <c r="I25" s="52">
        <v>3.68</v>
      </c>
      <c r="J25" s="52">
        <v>0.79</v>
      </c>
      <c r="K25" s="52">
        <v>266.01</v>
      </c>
      <c r="L25" s="52">
        <v>32.630000000000003</v>
      </c>
      <c r="M25" s="52">
        <v>65.55</v>
      </c>
      <c r="N25" s="52">
        <v>255</v>
      </c>
      <c r="O25" s="52">
        <v>0</v>
      </c>
      <c r="P25" s="52">
        <v>0.45</v>
      </c>
      <c r="Q25" s="52">
        <v>4.32</v>
      </c>
    </row>
    <row r="26" spans="1:17" customFormat="1">
      <c r="A26" s="51" t="s">
        <v>435</v>
      </c>
      <c r="B26" s="52">
        <v>5.98</v>
      </c>
      <c r="C26" s="52">
        <v>18.21</v>
      </c>
      <c r="D26" s="52">
        <v>13.2</v>
      </c>
      <c r="E26" s="52">
        <v>8.7799999999999994</v>
      </c>
      <c r="F26" s="52">
        <v>15.48</v>
      </c>
      <c r="G26" s="52">
        <v>30.65</v>
      </c>
      <c r="H26" s="52">
        <v>7.53</v>
      </c>
      <c r="I26" s="52">
        <v>3.25</v>
      </c>
      <c r="J26" s="52">
        <v>0.76</v>
      </c>
      <c r="K26" s="52">
        <v>264.83999999999997</v>
      </c>
      <c r="L26" s="52">
        <v>31.73</v>
      </c>
      <c r="M26" s="52">
        <v>67.760000000000005</v>
      </c>
      <c r="N26" s="52">
        <v>87.2</v>
      </c>
      <c r="O26" s="52">
        <v>0</v>
      </c>
      <c r="P26" s="52">
        <v>0.38</v>
      </c>
      <c r="Q26" s="52">
        <v>4.1900000000000004</v>
      </c>
    </row>
    <row r="27" spans="1:17" customFormat="1">
      <c r="A27" s="51" t="s">
        <v>436</v>
      </c>
      <c r="B27" s="52">
        <v>6.67</v>
      </c>
      <c r="C27" s="52">
        <v>20.58</v>
      </c>
      <c r="D27" s="52">
        <v>15.05</v>
      </c>
      <c r="E27" s="52">
        <v>7.62</v>
      </c>
      <c r="F27" s="52">
        <v>10.74</v>
      </c>
      <c r="G27" s="52">
        <v>29.58</v>
      </c>
      <c r="H27" s="52">
        <v>7.04</v>
      </c>
      <c r="I27" s="52">
        <v>3.09</v>
      </c>
      <c r="J27" s="52">
        <v>0.92</v>
      </c>
      <c r="K27" s="52">
        <v>276.87</v>
      </c>
      <c r="L27" s="52">
        <v>30.88</v>
      </c>
      <c r="M27" s="52">
        <v>70.72</v>
      </c>
      <c r="N27" s="52">
        <v>4.2</v>
      </c>
      <c r="O27" s="52">
        <v>0</v>
      </c>
      <c r="P27" s="52">
        <v>0.42</v>
      </c>
      <c r="Q27" s="52">
        <v>4.16</v>
      </c>
    </row>
    <row r="28" spans="1:17" customFormat="1">
      <c r="A28" s="51" t="s">
        <v>437</v>
      </c>
      <c r="B28" s="52">
        <v>10.9</v>
      </c>
      <c r="C28" s="52">
        <v>24.65</v>
      </c>
      <c r="D28" s="52">
        <v>20.58</v>
      </c>
      <c r="E28" s="52">
        <v>7.09</v>
      </c>
      <c r="F28" s="52">
        <v>6.19</v>
      </c>
      <c r="G28" s="52">
        <v>29.36</v>
      </c>
      <c r="H28" s="52">
        <v>5.01</v>
      </c>
      <c r="I28" s="52">
        <v>3.39</v>
      </c>
      <c r="J28" s="52">
        <v>0.51</v>
      </c>
      <c r="K28" s="52">
        <v>293.75</v>
      </c>
      <c r="L28" s="52">
        <v>29.16</v>
      </c>
      <c r="M28" s="52">
        <v>69.22</v>
      </c>
      <c r="N28" s="52">
        <v>0</v>
      </c>
      <c r="O28" s="52">
        <v>0</v>
      </c>
      <c r="P28" s="52">
        <v>0.47</v>
      </c>
      <c r="Q28" s="52">
        <v>4.29</v>
      </c>
    </row>
    <row r="29" spans="1:17" customFormat="1">
      <c r="A29" s="51" t="s">
        <v>438</v>
      </c>
      <c r="B29" s="52">
        <v>10.92</v>
      </c>
      <c r="C29" s="52">
        <v>27.99</v>
      </c>
      <c r="D29" s="52">
        <v>22.15</v>
      </c>
      <c r="E29" s="52">
        <v>8.09</v>
      </c>
      <c r="F29" s="52">
        <v>4.29</v>
      </c>
      <c r="G29" s="52">
        <v>28.41</v>
      </c>
      <c r="H29" s="52">
        <v>7.58</v>
      </c>
      <c r="I29" s="52">
        <v>4.24</v>
      </c>
      <c r="J29" s="52">
        <v>0.63</v>
      </c>
      <c r="K29" s="52">
        <v>276.76</v>
      </c>
      <c r="L29" s="52">
        <v>29.11</v>
      </c>
      <c r="M29" s="52">
        <v>72.760000000000005</v>
      </c>
      <c r="N29" s="52">
        <v>0</v>
      </c>
      <c r="O29" s="52">
        <v>0</v>
      </c>
      <c r="P29" s="52">
        <v>0.55000000000000004</v>
      </c>
      <c r="Q29" s="52">
        <v>4.58</v>
      </c>
    </row>
    <row r="30" spans="1:17" customFormat="1">
      <c r="A30" s="51" t="s">
        <v>439</v>
      </c>
      <c r="B30" s="52">
        <v>10.31</v>
      </c>
      <c r="C30" s="52">
        <v>27.79</v>
      </c>
      <c r="D30" s="52">
        <v>21.74</v>
      </c>
      <c r="E30" s="52">
        <v>9.99</v>
      </c>
      <c r="F30" s="52">
        <v>7.31</v>
      </c>
      <c r="G30" s="52">
        <v>32.380000000000003</v>
      </c>
      <c r="H30" s="52">
        <v>5.59</v>
      </c>
      <c r="I30" s="52">
        <v>5.86</v>
      </c>
      <c r="J30" s="52">
        <v>0.66</v>
      </c>
      <c r="K30" s="52">
        <v>263.88</v>
      </c>
      <c r="L30" s="52">
        <v>28.7</v>
      </c>
      <c r="M30" s="52">
        <v>80.349999999999994</v>
      </c>
      <c r="N30" s="52">
        <v>0</v>
      </c>
      <c r="O30" s="52">
        <v>0</v>
      </c>
      <c r="P30" s="52">
        <v>0.69</v>
      </c>
      <c r="Q30" s="52">
        <v>4.5999999999999996</v>
      </c>
    </row>
    <row r="31" spans="1:17" customFormat="1">
      <c r="A31" s="51" t="s">
        <v>440</v>
      </c>
      <c r="B31" s="52">
        <v>10.82</v>
      </c>
      <c r="C31" s="52">
        <v>24.5</v>
      </c>
      <c r="D31" s="52">
        <v>20.43</v>
      </c>
      <c r="E31" s="52">
        <v>8.1</v>
      </c>
      <c r="F31" s="52">
        <v>7.42</v>
      </c>
      <c r="G31" s="52">
        <v>35.340000000000003</v>
      </c>
      <c r="H31" s="52">
        <v>10.35</v>
      </c>
      <c r="I31" s="52">
        <v>7</v>
      </c>
      <c r="J31" s="52">
        <v>0.77</v>
      </c>
      <c r="K31" s="52">
        <v>265.33</v>
      </c>
      <c r="L31" s="52">
        <v>28.09</v>
      </c>
      <c r="M31" s="52">
        <v>79.86</v>
      </c>
      <c r="N31" s="52">
        <v>0</v>
      </c>
      <c r="O31" s="52">
        <v>0</v>
      </c>
      <c r="P31" s="52">
        <v>0.55000000000000004</v>
      </c>
      <c r="Q31" s="52">
        <v>4.55</v>
      </c>
    </row>
    <row r="32" spans="1:17" customFormat="1">
      <c r="A32" s="51" t="s">
        <v>441</v>
      </c>
      <c r="B32" s="52">
        <v>10.88</v>
      </c>
      <c r="C32" s="52">
        <v>23.94</v>
      </c>
      <c r="D32" s="52">
        <v>20.190000000000001</v>
      </c>
      <c r="E32" s="52">
        <v>7.68</v>
      </c>
      <c r="F32" s="52">
        <v>10.71</v>
      </c>
      <c r="G32" s="52">
        <v>31.09</v>
      </c>
      <c r="H32" s="52">
        <v>8.57</v>
      </c>
      <c r="I32" s="52">
        <v>5.05</v>
      </c>
      <c r="J32" s="52">
        <v>0.46</v>
      </c>
      <c r="K32" s="52">
        <v>260.14</v>
      </c>
      <c r="L32" s="52">
        <v>27.31</v>
      </c>
      <c r="M32" s="52">
        <v>85.37</v>
      </c>
      <c r="N32" s="52">
        <v>0</v>
      </c>
      <c r="O32" s="52">
        <v>0</v>
      </c>
      <c r="P32" s="52">
        <v>0.53</v>
      </c>
      <c r="Q32" s="52">
        <v>4.47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5.98</v>
      </c>
      <c r="C34" s="41">
        <f t="shared" si="0"/>
        <v>18.21</v>
      </c>
      <c r="D34" s="41">
        <f t="shared" si="0"/>
        <v>13.2</v>
      </c>
      <c r="E34" s="41">
        <f t="shared" si="0"/>
        <v>6.14</v>
      </c>
      <c r="F34" s="41">
        <f t="shared" si="0"/>
        <v>3.35</v>
      </c>
      <c r="G34" s="41">
        <f t="shared" si="0"/>
        <v>14.65</v>
      </c>
      <c r="H34" s="41">
        <f t="shared" si="0"/>
        <v>4.07</v>
      </c>
      <c r="I34" s="41">
        <f t="shared" si="0"/>
        <v>2.94</v>
      </c>
      <c r="J34" s="41">
        <f t="shared" si="0"/>
        <v>0.35</v>
      </c>
      <c r="K34" s="41">
        <f t="shared" si="0"/>
        <v>259.52</v>
      </c>
      <c r="L34" s="41">
        <f t="shared" si="0"/>
        <v>26.1</v>
      </c>
      <c r="M34" s="41">
        <f t="shared" si="0"/>
        <v>59.41</v>
      </c>
      <c r="N34" s="41">
        <f t="shared" si="0"/>
        <v>0</v>
      </c>
      <c r="O34" s="41">
        <f t="shared" si="0"/>
        <v>0</v>
      </c>
      <c r="P34" s="41">
        <f t="shared" si="0"/>
        <v>0.31</v>
      </c>
      <c r="Q34" s="41">
        <f t="shared" si="0"/>
        <v>4.16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12.58</v>
      </c>
      <c r="C35" s="33">
        <f t="shared" si="1"/>
        <v>27.99</v>
      </c>
      <c r="D35" s="33">
        <f t="shared" si="1"/>
        <v>22.15</v>
      </c>
      <c r="E35" s="33">
        <f t="shared" si="1"/>
        <v>9.99</v>
      </c>
      <c r="F35" s="33">
        <f t="shared" si="1"/>
        <v>15.48</v>
      </c>
      <c r="G35" s="33">
        <f t="shared" si="1"/>
        <v>35.340000000000003</v>
      </c>
      <c r="H35" s="33">
        <f t="shared" si="1"/>
        <v>10.42</v>
      </c>
      <c r="I35" s="33">
        <f t="shared" si="1"/>
        <v>7</v>
      </c>
      <c r="J35" s="33">
        <f t="shared" si="1"/>
        <v>0.92</v>
      </c>
      <c r="K35" s="33">
        <f t="shared" si="1"/>
        <v>358.84</v>
      </c>
      <c r="L35" s="33">
        <f t="shared" si="1"/>
        <v>34.049999999999997</v>
      </c>
      <c r="M35" s="33">
        <f t="shared" si="1"/>
        <v>91.93</v>
      </c>
      <c r="N35" s="33">
        <f t="shared" si="1"/>
        <v>856.3</v>
      </c>
      <c r="O35" s="33">
        <f t="shared" si="1"/>
        <v>0</v>
      </c>
      <c r="P35" s="33">
        <f t="shared" si="1"/>
        <v>0.69</v>
      </c>
      <c r="Q35" s="33">
        <f t="shared" si="1"/>
        <v>4.6100000000000003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10.24375</v>
      </c>
      <c r="C36" s="41">
        <f t="shared" si="2"/>
        <v>23.466250000000002</v>
      </c>
      <c r="D36" s="41">
        <f t="shared" si="2"/>
        <v>19.2575</v>
      </c>
      <c r="E36" s="41">
        <f t="shared" si="2"/>
        <v>7.5274999999999999</v>
      </c>
      <c r="F36" s="41">
        <f t="shared" si="2"/>
        <v>7.6379166666666656</v>
      </c>
      <c r="G36" s="41">
        <f t="shared" si="2"/>
        <v>26.883749999999996</v>
      </c>
      <c r="H36" s="41">
        <f t="shared" si="2"/>
        <v>6.9970833333333333</v>
      </c>
      <c r="I36" s="41">
        <f t="shared" si="2"/>
        <v>3.7449999999999997</v>
      </c>
      <c r="J36" s="41">
        <f t="shared" si="2"/>
        <v>0.62875000000000003</v>
      </c>
      <c r="K36" s="41">
        <f t="shared" si="2"/>
        <v>284.21791666666667</v>
      </c>
      <c r="L36" s="41">
        <f t="shared" si="2"/>
        <v>29.614583333333332</v>
      </c>
      <c r="M36" s="41">
        <f t="shared" si="2"/>
        <v>75.861666666666665</v>
      </c>
      <c r="N36" s="41">
        <f t="shared" si="2"/>
        <v>203.35</v>
      </c>
      <c r="O36" s="41">
        <f t="shared" si="2"/>
        <v>0</v>
      </c>
      <c r="P36" s="41">
        <f t="shared" si="2"/>
        <v>0.42</v>
      </c>
      <c r="Q36" s="41">
        <f t="shared" si="2"/>
        <v>4.4416666666666655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1.8264739432078996</v>
      </c>
      <c r="C37" s="41">
        <f t="shared" ref="C37:Q37" si="3">STDEV(C9:C32)</f>
        <v>2.0563725184855217</v>
      </c>
      <c r="D37" s="41">
        <f t="shared" si="3"/>
        <v>2.0488644787232224</v>
      </c>
      <c r="E37" s="41">
        <f t="shared" si="3"/>
        <v>0.99942265942588637</v>
      </c>
      <c r="F37" s="41">
        <f t="shared" si="3"/>
        <v>3.607580158700467</v>
      </c>
      <c r="G37" s="41">
        <f t="shared" si="3"/>
        <v>5.9306307403396117</v>
      </c>
      <c r="H37" s="41">
        <f t="shared" si="3"/>
        <v>1.8266659559133258</v>
      </c>
      <c r="I37" s="41">
        <f t="shared" si="3"/>
        <v>0.94916897290758262</v>
      </c>
      <c r="J37" s="41">
        <f t="shared" si="3"/>
        <v>0.14970441891767394</v>
      </c>
      <c r="K37" s="41">
        <f t="shared" si="3"/>
        <v>27.244243425333565</v>
      </c>
      <c r="L37" s="41">
        <f t="shared" si="3"/>
        <v>2.7263400839996277</v>
      </c>
      <c r="M37" s="41">
        <f t="shared" si="3"/>
        <v>10.973235291090072</v>
      </c>
      <c r="N37" s="41">
        <f t="shared" si="3"/>
        <v>279.00098020709845</v>
      </c>
      <c r="O37" s="41">
        <f t="shared" si="3"/>
        <v>0</v>
      </c>
      <c r="P37" s="41">
        <f t="shared" si="3"/>
        <v>8.9830758748834491E-2</v>
      </c>
      <c r="Q37" s="41">
        <f t="shared" si="3"/>
        <v>0.12056629663411747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442</v>
      </c>
      <c r="B9" s="52">
        <v>8.5399999999999991</v>
      </c>
      <c r="C9" s="52">
        <v>19.68</v>
      </c>
      <c r="D9" s="52">
        <v>16.079999999999998</v>
      </c>
      <c r="E9" s="52">
        <v>7.75</v>
      </c>
      <c r="F9" s="52">
        <v>6.11</v>
      </c>
      <c r="G9" s="52">
        <v>26.57</v>
      </c>
      <c r="H9" s="52">
        <v>6.33</v>
      </c>
      <c r="I9" s="52">
        <v>4.7300000000000004</v>
      </c>
      <c r="J9" s="52">
        <v>0.57999999999999996</v>
      </c>
      <c r="K9" s="52">
        <v>262.57</v>
      </c>
      <c r="L9" s="52">
        <v>26.66</v>
      </c>
      <c r="M9" s="52">
        <v>85.51</v>
      </c>
      <c r="N9" s="52">
        <v>0</v>
      </c>
      <c r="O9" s="52">
        <v>0</v>
      </c>
      <c r="P9" s="52">
        <v>0.51</v>
      </c>
      <c r="Q9" s="52">
        <v>4.46</v>
      </c>
    </row>
    <row r="10" spans="1:21" customFormat="1">
      <c r="A10" s="51" t="s">
        <v>443</v>
      </c>
      <c r="B10" s="52">
        <v>9.0299999999999994</v>
      </c>
      <c r="C10" s="52">
        <v>23.05</v>
      </c>
      <c r="D10" s="52">
        <v>18.18</v>
      </c>
      <c r="E10" s="52">
        <v>7.9</v>
      </c>
      <c r="F10" s="52">
        <v>5.0199999999999996</v>
      </c>
      <c r="G10" s="52">
        <v>23.59</v>
      </c>
      <c r="H10" s="52">
        <v>7.67</v>
      </c>
      <c r="I10" s="52">
        <v>4.45</v>
      </c>
      <c r="J10" s="52">
        <v>0.53</v>
      </c>
      <c r="K10" s="52">
        <v>265.08</v>
      </c>
      <c r="L10" s="52">
        <v>26.63</v>
      </c>
      <c r="M10" s="52">
        <v>86.48</v>
      </c>
      <c r="N10" s="52">
        <v>0</v>
      </c>
      <c r="O10" s="52">
        <v>0</v>
      </c>
      <c r="P10" s="52">
        <v>0.5</v>
      </c>
      <c r="Q10" s="52">
        <v>4.46</v>
      </c>
    </row>
    <row r="11" spans="1:21" customFormat="1">
      <c r="A11" s="51" t="s">
        <v>444</v>
      </c>
      <c r="B11" s="52">
        <v>8.5500000000000007</v>
      </c>
      <c r="C11" s="52">
        <v>22.34</v>
      </c>
      <c r="D11" s="52">
        <v>17.18</v>
      </c>
      <c r="E11" s="52">
        <v>6.43</v>
      </c>
      <c r="F11" s="52">
        <v>4.01</v>
      </c>
      <c r="G11" s="52">
        <v>22.84</v>
      </c>
      <c r="H11" s="52">
        <v>6.22</v>
      </c>
      <c r="I11" s="52">
        <v>4.2</v>
      </c>
      <c r="J11" s="52">
        <v>0.51</v>
      </c>
      <c r="K11" s="52">
        <v>264.26</v>
      </c>
      <c r="L11" s="52">
        <v>26.51</v>
      </c>
      <c r="M11" s="52">
        <v>88.84</v>
      </c>
      <c r="N11" s="52">
        <v>0</v>
      </c>
      <c r="O11" s="52">
        <v>0</v>
      </c>
      <c r="P11" s="52">
        <v>0.5</v>
      </c>
      <c r="Q11" s="52">
        <v>4.3899999999999997</v>
      </c>
    </row>
    <row r="12" spans="1:21" customFormat="1">
      <c r="A12" s="51" t="s">
        <v>445</v>
      </c>
      <c r="B12" s="52">
        <v>9.32</v>
      </c>
      <c r="C12" s="52">
        <v>22.41</v>
      </c>
      <c r="D12" s="52">
        <v>18.100000000000001</v>
      </c>
      <c r="E12" s="52">
        <v>7.32</v>
      </c>
      <c r="F12" s="52">
        <v>5.28</v>
      </c>
      <c r="G12" s="52">
        <v>20.61</v>
      </c>
      <c r="H12" s="52">
        <v>7.62</v>
      </c>
      <c r="I12" s="52">
        <v>3.92</v>
      </c>
      <c r="J12" s="52">
        <v>0.56000000000000005</v>
      </c>
      <c r="K12" s="52">
        <v>265.10000000000002</v>
      </c>
      <c r="L12" s="52">
        <v>26.29</v>
      </c>
      <c r="M12" s="52">
        <v>90.2</v>
      </c>
      <c r="N12" s="52">
        <v>0</v>
      </c>
      <c r="O12" s="52">
        <v>0</v>
      </c>
      <c r="P12" s="52">
        <v>0.46</v>
      </c>
      <c r="Q12" s="52">
        <v>4.45</v>
      </c>
    </row>
    <row r="13" spans="1:21" customFormat="1">
      <c r="A13" s="51" t="s">
        <v>446</v>
      </c>
      <c r="B13" s="52">
        <v>10.19</v>
      </c>
      <c r="C13" s="52">
        <v>22.77</v>
      </c>
      <c r="D13" s="52">
        <v>19.03</v>
      </c>
      <c r="E13" s="52">
        <v>7.19</v>
      </c>
      <c r="F13" s="52">
        <v>4.1900000000000004</v>
      </c>
      <c r="G13" s="52">
        <v>21.58</v>
      </c>
      <c r="H13" s="52">
        <v>6.45</v>
      </c>
      <c r="I13" s="52">
        <v>3.96</v>
      </c>
      <c r="J13" s="52">
        <v>0.54</v>
      </c>
      <c r="K13" s="52">
        <v>269.07</v>
      </c>
      <c r="L13" s="52">
        <v>26.37</v>
      </c>
      <c r="M13" s="52">
        <v>89.97</v>
      </c>
      <c r="N13" s="52">
        <v>0</v>
      </c>
      <c r="O13" s="52">
        <v>0</v>
      </c>
      <c r="P13" s="52">
        <v>0.47</v>
      </c>
      <c r="Q13" s="52">
        <v>4.4800000000000004</v>
      </c>
    </row>
    <row r="14" spans="1:21" customFormat="1">
      <c r="A14" s="51" t="s">
        <v>447</v>
      </c>
      <c r="B14" s="52">
        <v>11.59</v>
      </c>
      <c r="C14" s="52">
        <v>21.3</v>
      </c>
      <c r="D14" s="52">
        <v>19.23</v>
      </c>
      <c r="E14" s="52">
        <v>7.2</v>
      </c>
      <c r="F14" s="52">
        <v>3.2</v>
      </c>
      <c r="G14" s="52">
        <v>21.81</v>
      </c>
      <c r="H14" s="52">
        <v>6.4</v>
      </c>
      <c r="I14" s="52">
        <v>4</v>
      </c>
      <c r="J14" s="52">
        <v>0.63</v>
      </c>
      <c r="K14" s="52">
        <v>286.91000000000003</v>
      </c>
      <c r="L14" s="52">
        <v>26.55</v>
      </c>
      <c r="M14" s="52">
        <v>90.2</v>
      </c>
      <c r="N14" s="52">
        <v>11.8</v>
      </c>
      <c r="O14" s="52">
        <v>0</v>
      </c>
      <c r="P14" s="52">
        <v>0.45</v>
      </c>
      <c r="Q14" s="52">
        <v>4.51</v>
      </c>
    </row>
    <row r="15" spans="1:21" customFormat="1">
      <c r="A15" s="51" t="s">
        <v>448</v>
      </c>
      <c r="B15" s="52">
        <v>12.34</v>
      </c>
      <c r="C15" s="52">
        <v>23.2</v>
      </c>
      <c r="D15" s="52">
        <v>20.55</v>
      </c>
      <c r="E15" s="52">
        <v>7.44</v>
      </c>
      <c r="F15" s="52">
        <v>3.77</v>
      </c>
      <c r="G15" s="52">
        <v>21.68</v>
      </c>
      <c r="H15" s="52">
        <v>7.65</v>
      </c>
      <c r="I15" s="52">
        <v>4.1399999999999997</v>
      </c>
      <c r="J15" s="52">
        <v>0.55000000000000004</v>
      </c>
      <c r="K15" s="52">
        <v>290.60000000000002</v>
      </c>
      <c r="L15" s="52">
        <v>27.04</v>
      </c>
      <c r="M15" s="52">
        <v>87.12</v>
      </c>
      <c r="N15" s="52">
        <v>58.3</v>
      </c>
      <c r="O15" s="52">
        <v>0</v>
      </c>
      <c r="P15" s="52">
        <v>0.46</v>
      </c>
      <c r="Q15" s="52">
        <v>4.63</v>
      </c>
    </row>
    <row r="16" spans="1:21" customFormat="1">
      <c r="A16" s="51" t="s">
        <v>449</v>
      </c>
      <c r="B16" s="52">
        <v>12.6</v>
      </c>
      <c r="C16" s="52">
        <v>24.37</v>
      </c>
      <c r="D16" s="52">
        <v>21.43</v>
      </c>
      <c r="E16" s="52">
        <v>6.8</v>
      </c>
      <c r="F16" s="52">
        <v>4.4400000000000004</v>
      </c>
      <c r="G16" s="52">
        <v>25.64</v>
      </c>
      <c r="H16" s="52">
        <v>8.18</v>
      </c>
      <c r="I16" s="52">
        <v>4.0999999999999996</v>
      </c>
      <c r="J16" s="52">
        <v>0.75</v>
      </c>
      <c r="K16" s="52">
        <v>292.68</v>
      </c>
      <c r="L16" s="52">
        <v>28.99</v>
      </c>
      <c r="M16" s="52">
        <v>84.9</v>
      </c>
      <c r="N16" s="52">
        <v>131.30000000000001</v>
      </c>
      <c r="O16" s="52">
        <v>0</v>
      </c>
      <c r="P16" s="52">
        <v>0.5</v>
      </c>
      <c r="Q16" s="52">
        <v>4.6399999999999997</v>
      </c>
    </row>
    <row r="17" spans="1:17" customFormat="1">
      <c r="A17" s="51" t="s">
        <v>450</v>
      </c>
      <c r="B17" s="52">
        <v>13.01</v>
      </c>
      <c r="C17" s="52">
        <v>20.51</v>
      </c>
      <c r="D17" s="52">
        <v>20.100000000000001</v>
      </c>
      <c r="E17" s="52">
        <v>7</v>
      </c>
      <c r="F17" s="52">
        <v>6.12</v>
      </c>
      <c r="G17" s="52">
        <v>29.52</v>
      </c>
      <c r="H17" s="52">
        <v>9.15</v>
      </c>
      <c r="I17" s="52">
        <v>3.94</v>
      </c>
      <c r="J17" s="52">
        <v>0.54</v>
      </c>
      <c r="K17" s="52">
        <v>318.72000000000003</v>
      </c>
      <c r="L17" s="52">
        <v>29.41</v>
      </c>
      <c r="M17" s="52">
        <v>75.900000000000006</v>
      </c>
      <c r="N17" s="52">
        <v>240.2</v>
      </c>
      <c r="O17" s="52">
        <v>0</v>
      </c>
      <c r="P17" s="52">
        <v>0.44</v>
      </c>
      <c r="Q17" s="52">
        <v>4.6500000000000004</v>
      </c>
    </row>
    <row r="18" spans="1:17" customFormat="1">
      <c r="A18" s="51" t="s">
        <v>451</v>
      </c>
      <c r="B18" s="52">
        <v>13.99</v>
      </c>
      <c r="C18" s="52">
        <v>23.87</v>
      </c>
      <c r="D18" s="52">
        <v>22.12</v>
      </c>
      <c r="E18" s="52">
        <v>7.81</v>
      </c>
      <c r="F18" s="52">
        <v>4.51</v>
      </c>
      <c r="G18" s="52">
        <v>35.409999999999997</v>
      </c>
      <c r="H18" s="52">
        <v>10.19</v>
      </c>
      <c r="I18" s="52">
        <v>4</v>
      </c>
      <c r="J18" s="52">
        <v>0.64</v>
      </c>
      <c r="K18" s="52">
        <v>325.41000000000003</v>
      </c>
      <c r="L18" s="52">
        <v>30.42</v>
      </c>
      <c r="M18" s="52">
        <v>72.42</v>
      </c>
      <c r="N18" s="52">
        <v>319.3</v>
      </c>
      <c r="O18" s="52">
        <v>0</v>
      </c>
      <c r="P18" s="52">
        <v>0.49</v>
      </c>
      <c r="Q18" s="52">
        <v>4.75</v>
      </c>
    </row>
    <row r="19" spans="1:17" customFormat="1">
      <c r="A19" s="51" t="s">
        <v>452</v>
      </c>
      <c r="B19" s="52">
        <v>13.65</v>
      </c>
      <c r="C19" s="52">
        <v>22.26</v>
      </c>
      <c r="D19" s="52">
        <v>21.54</v>
      </c>
      <c r="E19" s="52">
        <v>8.9700000000000006</v>
      </c>
      <c r="F19" s="52">
        <v>6.5</v>
      </c>
      <c r="G19" s="52">
        <v>44.3</v>
      </c>
      <c r="H19" s="52">
        <v>13.35</v>
      </c>
      <c r="I19" s="52">
        <v>4.03</v>
      </c>
      <c r="J19" s="52">
        <v>0.63</v>
      </c>
      <c r="K19" s="52">
        <v>340.56</v>
      </c>
      <c r="L19" s="52">
        <v>31.53</v>
      </c>
      <c r="M19" s="52">
        <v>70.36</v>
      </c>
      <c r="N19" s="52">
        <v>510.1</v>
      </c>
      <c r="O19" s="52">
        <v>0</v>
      </c>
      <c r="P19" s="52">
        <v>0.51</v>
      </c>
      <c r="Q19" s="52">
        <v>4.74</v>
      </c>
    </row>
    <row r="20" spans="1:17" customFormat="1">
      <c r="A20" s="51" t="s">
        <v>453</v>
      </c>
      <c r="B20" s="52">
        <v>12.53</v>
      </c>
      <c r="C20" s="52">
        <v>22.59</v>
      </c>
      <c r="D20" s="52">
        <v>20.75</v>
      </c>
      <c r="E20" s="52">
        <v>9.2899999999999991</v>
      </c>
      <c r="F20" s="52">
        <v>6.92</v>
      </c>
      <c r="G20" s="52">
        <v>48.42</v>
      </c>
      <c r="H20" s="52">
        <v>13.57</v>
      </c>
      <c r="I20" s="52">
        <v>4.03</v>
      </c>
      <c r="J20" s="52">
        <v>0.55000000000000004</v>
      </c>
      <c r="K20" s="52">
        <v>340.69</v>
      </c>
      <c r="L20" s="52">
        <v>31.51</v>
      </c>
      <c r="M20" s="52">
        <v>67.94</v>
      </c>
      <c r="N20" s="52">
        <v>420.9</v>
      </c>
      <c r="O20" s="52">
        <v>0</v>
      </c>
      <c r="P20" s="52">
        <v>0.51</v>
      </c>
      <c r="Q20" s="52">
        <v>4.6900000000000004</v>
      </c>
    </row>
    <row r="21" spans="1:17" customFormat="1">
      <c r="A21" s="51" t="s">
        <v>454</v>
      </c>
      <c r="B21" s="52">
        <v>12.19</v>
      </c>
      <c r="C21" s="52">
        <v>26.48</v>
      </c>
      <c r="D21" s="52">
        <v>21.43</v>
      </c>
      <c r="E21" s="52">
        <v>8.84</v>
      </c>
      <c r="F21" s="52">
        <v>6.59</v>
      </c>
      <c r="G21" s="52">
        <v>51.56</v>
      </c>
      <c r="H21" s="52">
        <v>13.82</v>
      </c>
      <c r="I21" s="52">
        <v>4.25</v>
      </c>
      <c r="J21" s="52">
        <v>0.59</v>
      </c>
      <c r="K21" s="52">
        <v>342.87</v>
      </c>
      <c r="L21" s="52">
        <v>31.57</v>
      </c>
      <c r="M21" s="52">
        <v>68.180000000000007</v>
      </c>
      <c r="N21" s="52">
        <v>400.2</v>
      </c>
      <c r="O21" s="52">
        <v>0</v>
      </c>
      <c r="P21" s="52">
        <v>0.56999999999999995</v>
      </c>
      <c r="Q21" s="52">
        <v>4.66</v>
      </c>
    </row>
    <row r="22" spans="1:17" customFormat="1">
      <c r="A22" s="51" t="s">
        <v>455</v>
      </c>
      <c r="B22" s="52">
        <v>10.7</v>
      </c>
      <c r="C22" s="52">
        <v>23.3</v>
      </c>
      <c r="D22" s="52">
        <v>19.63</v>
      </c>
      <c r="E22" s="52">
        <v>8.9600000000000009</v>
      </c>
      <c r="F22" s="52">
        <v>11.88</v>
      </c>
      <c r="G22" s="52">
        <v>62.45</v>
      </c>
      <c r="H22" s="52">
        <v>14.89</v>
      </c>
      <c r="I22" s="52">
        <v>4.1500000000000004</v>
      </c>
      <c r="J22" s="52">
        <v>0.45</v>
      </c>
      <c r="K22" s="52">
        <v>332.21</v>
      </c>
      <c r="L22" s="52">
        <v>32.090000000000003</v>
      </c>
      <c r="M22" s="52">
        <v>67.48</v>
      </c>
      <c r="N22" s="52">
        <v>425.6</v>
      </c>
      <c r="O22" s="52">
        <v>0</v>
      </c>
      <c r="P22" s="52">
        <v>0.51</v>
      </c>
      <c r="Q22" s="52">
        <v>4.59</v>
      </c>
    </row>
    <row r="23" spans="1:17" customFormat="1">
      <c r="A23" s="51" t="s">
        <v>456</v>
      </c>
      <c r="B23" s="52">
        <v>11.41</v>
      </c>
      <c r="C23" s="52">
        <v>23.69</v>
      </c>
      <c r="D23" s="52">
        <v>20.48</v>
      </c>
      <c r="E23" s="52">
        <v>9.4</v>
      </c>
      <c r="F23" s="52">
        <v>9.9700000000000006</v>
      </c>
      <c r="G23" s="52">
        <v>59.81</v>
      </c>
      <c r="H23" s="52">
        <v>14.48</v>
      </c>
      <c r="I23" s="52">
        <v>3.61</v>
      </c>
      <c r="J23" s="52">
        <v>0.42</v>
      </c>
      <c r="K23" s="52">
        <v>338.53</v>
      </c>
      <c r="L23" s="52">
        <v>31.22</v>
      </c>
      <c r="M23" s="52">
        <v>69.64</v>
      </c>
      <c r="N23" s="52">
        <v>205.4</v>
      </c>
      <c r="O23" s="52">
        <v>0</v>
      </c>
      <c r="P23" s="52">
        <v>0.51</v>
      </c>
      <c r="Q23" s="52">
        <v>4.5999999999999996</v>
      </c>
    </row>
    <row r="24" spans="1:17" customFormat="1">
      <c r="A24" s="51" t="s">
        <v>457</v>
      </c>
      <c r="B24" s="52">
        <v>11.41</v>
      </c>
      <c r="C24" s="52">
        <v>22.78</v>
      </c>
      <c r="D24" s="52">
        <v>19.97</v>
      </c>
      <c r="E24" s="52">
        <v>10.35</v>
      </c>
      <c r="F24" s="52">
        <v>9.73</v>
      </c>
      <c r="G24" s="52">
        <v>61.12</v>
      </c>
      <c r="H24" s="52">
        <v>14.67</v>
      </c>
      <c r="I24" s="52">
        <v>3.8</v>
      </c>
      <c r="J24" s="52">
        <v>0.26</v>
      </c>
      <c r="K24" s="52">
        <v>357.37</v>
      </c>
      <c r="L24" s="52">
        <v>31.58</v>
      </c>
      <c r="M24" s="52">
        <v>69.13</v>
      </c>
      <c r="N24" s="52">
        <v>250.7</v>
      </c>
      <c r="O24" s="52">
        <v>0</v>
      </c>
      <c r="P24" s="52">
        <v>0.52</v>
      </c>
      <c r="Q24" s="52">
        <v>4.62</v>
      </c>
    </row>
    <row r="25" spans="1:17" customFormat="1">
      <c r="A25" s="51" t="s">
        <v>458</v>
      </c>
      <c r="B25" s="52">
        <v>10.89</v>
      </c>
      <c r="C25" s="52">
        <v>20.71</v>
      </c>
      <c r="D25" s="52">
        <v>18.47</v>
      </c>
      <c r="E25" s="52">
        <v>8.17</v>
      </c>
      <c r="F25" s="52">
        <v>8.7899999999999991</v>
      </c>
      <c r="G25" s="52">
        <v>62.08</v>
      </c>
      <c r="H25" s="52">
        <v>14.3</v>
      </c>
      <c r="I25" s="52">
        <v>3.63</v>
      </c>
      <c r="J25" s="52">
        <v>0.98</v>
      </c>
      <c r="K25" s="52">
        <v>264.72000000000003</v>
      </c>
      <c r="L25" s="52">
        <v>30.06</v>
      </c>
      <c r="M25" s="52">
        <v>90.69</v>
      </c>
      <c r="N25" s="52">
        <v>86.4</v>
      </c>
      <c r="O25" s="52">
        <v>8</v>
      </c>
      <c r="P25" s="52">
        <v>0.48</v>
      </c>
      <c r="Q25" s="52">
        <v>4.6100000000000003</v>
      </c>
    </row>
    <row r="26" spans="1:17" customFormat="1">
      <c r="A26" s="51" t="s">
        <v>459</v>
      </c>
      <c r="B26" s="52">
        <v>10.61</v>
      </c>
      <c r="C26" s="52">
        <v>22.93</v>
      </c>
      <c r="D26" s="52">
        <v>18.64</v>
      </c>
      <c r="E26" s="52">
        <v>7.5</v>
      </c>
      <c r="F26" s="52">
        <v>6.74</v>
      </c>
      <c r="G26" s="52">
        <v>50.39</v>
      </c>
      <c r="H26" s="52">
        <v>14.31</v>
      </c>
      <c r="I26" s="52">
        <v>3.67</v>
      </c>
      <c r="J26" s="52">
        <v>1.4</v>
      </c>
      <c r="K26" s="52">
        <v>308.18</v>
      </c>
      <c r="L26" s="52">
        <v>25.02</v>
      </c>
      <c r="M26" s="52">
        <v>99</v>
      </c>
      <c r="N26" s="52">
        <v>5</v>
      </c>
      <c r="O26" s="52">
        <v>23.4</v>
      </c>
      <c r="P26" s="52">
        <v>0.51</v>
      </c>
      <c r="Q26" s="52">
        <v>4.4800000000000004</v>
      </c>
    </row>
    <row r="27" spans="1:17" customFormat="1">
      <c r="A27" s="51" t="s">
        <v>460</v>
      </c>
      <c r="B27" s="52">
        <v>10.84</v>
      </c>
      <c r="C27" s="52">
        <v>23.93</v>
      </c>
      <c r="D27" s="52">
        <v>20.149999999999999</v>
      </c>
      <c r="E27" s="52">
        <v>7.65</v>
      </c>
      <c r="F27" s="52">
        <v>3.45</v>
      </c>
      <c r="G27" s="52">
        <v>35.51</v>
      </c>
      <c r="H27" s="52">
        <v>10.210000000000001</v>
      </c>
      <c r="I27" s="52">
        <v>3.71</v>
      </c>
      <c r="J27" s="52">
        <v>0.67</v>
      </c>
      <c r="K27" s="52">
        <v>288.16000000000003</v>
      </c>
      <c r="L27" s="52">
        <v>23.84</v>
      </c>
      <c r="M27" s="52">
        <v>99.57</v>
      </c>
      <c r="N27" s="52">
        <v>0</v>
      </c>
      <c r="O27" s="52">
        <v>8.6</v>
      </c>
      <c r="P27" s="52">
        <v>0.49</v>
      </c>
      <c r="Q27" s="52">
        <v>4.51</v>
      </c>
    </row>
    <row r="28" spans="1:17" customFormat="1">
      <c r="A28" s="51" t="s">
        <v>461</v>
      </c>
      <c r="B28" s="52">
        <v>12.78</v>
      </c>
      <c r="C28" s="52">
        <v>23.91</v>
      </c>
      <c r="D28" s="52">
        <v>21.63</v>
      </c>
      <c r="E28" s="52">
        <v>8.5399999999999991</v>
      </c>
      <c r="F28" s="52">
        <v>3.21</v>
      </c>
      <c r="G28" s="52">
        <v>21.48</v>
      </c>
      <c r="H28" s="52">
        <v>7.15</v>
      </c>
      <c r="I28" s="52">
        <v>3.58</v>
      </c>
      <c r="J28" s="52">
        <v>0.56999999999999995</v>
      </c>
      <c r="K28" s="52">
        <v>322.52999999999997</v>
      </c>
      <c r="L28" s="52">
        <v>24.24</v>
      </c>
      <c r="M28" s="52">
        <v>99.91</v>
      </c>
      <c r="N28" s="52">
        <v>0</v>
      </c>
      <c r="O28" s="52">
        <v>1</v>
      </c>
      <c r="P28" s="52">
        <v>0.52</v>
      </c>
      <c r="Q28" s="52">
        <v>4.6500000000000004</v>
      </c>
    </row>
    <row r="29" spans="1:17" customFormat="1">
      <c r="A29" s="51" t="s">
        <v>462</v>
      </c>
      <c r="B29" s="52">
        <v>13.87</v>
      </c>
      <c r="C29" s="52">
        <v>24.07</v>
      </c>
      <c r="D29" s="52">
        <v>22.36</v>
      </c>
      <c r="E29" s="52">
        <v>8.7100000000000009</v>
      </c>
      <c r="F29" s="52">
        <v>3.57</v>
      </c>
      <c r="G29" s="52">
        <v>12.22</v>
      </c>
      <c r="H29" s="52">
        <v>5.54</v>
      </c>
      <c r="I29" s="52">
        <v>3.93</v>
      </c>
      <c r="J29" s="52">
        <v>0.47</v>
      </c>
      <c r="K29" s="52">
        <v>282.57</v>
      </c>
      <c r="L29" s="52">
        <v>24.41</v>
      </c>
      <c r="M29" s="52">
        <v>100.07</v>
      </c>
      <c r="N29" s="52">
        <v>0</v>
      </c>
      <c r="O29" s="52">
        <v>0.8</v>
      </c>
      <c r="P29" s="52">
        <v>0.55000000000000004</v>
      </c>
      <c r="Q29" s="52">
        <v>4.71</v>
      </c>
    </row>
    <row r="30" spans="1:17" customFormat="1">
      <c r="A30" s="51" t="s">
        <v>463</v>
      </c>
      <c r="B30" s="52">
        <v>16.05</v>
      </c>
      <c r="C30" s="52">
        <v>25</v>
      </c>
      <c r="D30" s="52">
        <v>24.23</v>
      </c>
      <c r="E30" s="52">
        <v>8.76</v>
      </c>
      <c r="F30" s="52">
        <v>2.97</v>
      </c>
      <c r="G30" s="52">
        <v>7.18</v>
      </c>
      <c r="H30" s="52">
        <v>5.05</v>
      </c>
      <c r="I30" s="52">
        <v>4.01</v>
      </c>
      <c r="J30" s="52">
        <v>0.5</v>
      </c>
      <c r="K30" s="52">
        <v>292.92</v>
      </c>
      <c r="L30" s="52">
        <v>24.41</v>
      </c>
      <c r="M30" s="52">
        <v>100.12</v>
      </c>
      <c r="N30" s="52">
        <v>0</v>
      </c>
      <c r="O30" s="52">
        <v>0</v>
      </c>
      <c r="P30" s="52">
        <v>0.56000000000000005</v>
      </c>
      <c r="Q30" s="52">
        <v>4.8600000000000003</v>
      </c>
    </row>
    <row r="31" spans="1:17" customFormat="1">
      <c r="A31" s="51" t="s">
        <v>464</v>
      </c>
      <c r="B31" s="52">
        <v>16.440000000000001</v>
      </c>
      <c r="C31" s="52">
        <v>25.89</v>
      </c>
      <c r="D31" s="52">
        <v>25.63</v>
      </c>
      <c r="E31" s="52">
        <v>8.9600000000000009</v>
      </c>
      <c r="F31" s="52">
        <v>2.5299999999999998</v>
      </c>
      <c r="G31" s="52">
        <v>5.43</v>
      </c>
      <c r="H31" s="52">
        <v>3.82</v>
      </c>
      <c r="I31" s="52">
        <v>4.03</v>
      </c>
      <c r="J31" s="52">
        <v>0.52</v>
      </c>
      <c r="K31" s="52">
        <v>294.26</v>
      </c>
      <c r="L31" s="52">
        <v>24.23</v>
      </c>
      <c r="M31" s="52">
        <v>100.15</v>
      </c>
      <c r="N31" s="52">
        <v>0</v>
      </c>
      <c r="O31" s="52">
        <v>0.2</v>
      </c>
      <c r="P31" s="52">
        <v>0.57999999999999996</v>
      </c>
      <c r="Q31" s="52">
        <v>4.97</v>
      </c>
    </row>
    <row r="32" spans="1:17" customFormat="1">
      <c r="A32" s="51" t="s">
        <v>465</v>
      </c>
      <c r="B32" s="52">
        <v>15.52</v>
      </c>
      <c r="C32" s="52">
        <v>26.29</v>
      </c>
      <c r="D32" s="52">
        <v>24.69</v>
      </c>
      <c r="E32" s="52">
        <v>8.6</v>
      </c>
      <c r="F32" s="52">
        <v>3.4</v>
      </c>
      <c r="G32" s="52">
        <v>8.41</v>
      </c>
      <c r="H32" s="52">
        <v>4.17</v>
      </c>
      <c r="I32" s="52">
        <v>4.08</v>
      </c>
      <c r="J32" s="52">
        <v>0.56999999999999995</v>
      </c>
      <c r="K32" s="52">
        <v>284.06</v>
      </c>
      <c r="L32" s="52">
        <v>24.34</v>
      </c>
      <c r="M32" s="52">
        <v>100.18</v>
      </c>
      <c r="N32" s="52">
        <v>0</v>
      </c>
      <c r="O32" s="52">
        <v>0</v>
      </c>
      <c r="P32" s="52">
        <v>0.59</v>
      </c>
      <c r="Q32" s="52">
        <v>4.91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8.5399999999999991</v>
      </c>
      <c r="C34" s="41">
        <f t="shared" si="0"/>
        <v>19.68</v>
      </c>
      <c r="D34" s="41">
        <f t="shared" si="0"/>
        <v>16.079999999999998</v>
      </c>
      <c r="E34" s="41">
        <f t="shared" si="0"/>
        <v>6.43</v>
      </c>
      <c r="F34" s="41">
        <f t="shared" si="0"/>
        <v>2.5299999999999998</v>
      </c>
      <c r="G34" s="41">
        <f t="shared" si="0"/>
        <v>5.43</v>
      </c>
      <c r="H34" s="41">
        <f t="shared" si="0"/>
        <v>3.82</v>
      </c>
      <c r="I34" s="41">
        <f t="shared" si="0"/>
        <v>3.58</v>
      </c>
      <c r="J34" s="41">
        <f t="shared" si="0"/>
        <v>0.26</v>
      </c>
      <c r="K34" s="41">
        <f t="shared" si="0"/>
        <v>262.57</v>
      </c>
      <c r="L34" s="41">
        <f t="shared" si="0"/>
        <v>23.84</v>
      </c>
      <c r="M34" s="41">
        <f t="shared" si="0"/>
        <v>67.48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4.3899999999999997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16.440000000000001</v>
      </c>
      <c r="C35" s="33">
        <f t="shared" si="1"/>
        <v>26.48</v>
      </c>
      <c r="D35" s="33">
        <f t="shared" si="1"/>
        <v>25.63</v>
      </c>
      <c r="E35" s="33">
        <f t="shared" si="1"/>
        <v>10.35</v>
      </c>
      <c r="F35" s="33">
        <f t="shared" si="1"/>
        <v>11.88</v>
      </c>
      <c r="G35" s="33">
        <f t="shared" si="1"/>
        <v>62.45</v>
      </c>
      <c r="H35" s="33">
        <f t="shared" si="1"/>
        <v>14.89</v>
      </c>
      <c r="I35" s="33">
        <f t="shared" si="1"/>
        <v>4.7300000000000004</v>
      </c>
      <c r="J35" s="33">
        <f t="shared" si="1"/>
        <v>1.4</v>
      </c>
      <c r="K35" s="33">
        <f t="shared" si="1"/>
        <v>357.37</v>
      </c>
      <c r="L35" s="33">
        <f t="shared" si="1"/>
        <v>32.090000000000003</v>
      </c>
      <c r="M35" s="33">
        <f t="shared" si="1"/>
        <v>100.18</v>
      </c>
      <c r="N35" s="33">
        <f t="shared" si="1"/>
        <v>510.1</v>
      </c>
      <c r="O35" s="33">
        <f t="shared" si="1"/>
        <v>23.4</v>
      </c>
      <c r="P35" s="33">
        <f t="shared" si="1"/>
        <v>0.59</v>
      </c>
      <c r="Q35" s="33">
        <f t="shared" si="1"/>
        <v>4.97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12.002083333333333</v>
      </c>
      <c r="C36" s="41">
        <f t="shared" si="2"/>
        <v>23.222083333333334</v>
      </c>
      <c r="D36" s="41">
        <f t="shared" si="2"/>
        <v>20.483333333333338</v>
      </c>
      <c r="E36" s="41">
        <f t="shared" si="2"/>
        <v>8.1474999999999991</v>
      </c>
      <c r="F36" s="41">
        <f t="shared" si="2"/>
        <v>5.5374999999999988</v>
      </c>
      <c r="G36" s="41">
        <f t="shared" si="2"/>
        <v>32.483749999999993</v>
      </c>
      <c r="H36" s="41">
        <f t="shared" si="2"/>
        <v>9.3829166666666666</v>
      </c>
      <c r="I36" s="41">
        <f t="shared" si="2"/>
        <v>3.9979166666666668</v>
      </c>
      <c r="J36" s="41">
        <f t="shared" si="2"/>
        <v>0.60041666666666671</v>
      </c>
      <c r="K36" s="41">
        <f t="shared" si="2"/>
        <v>301.25124999999997</v>
      </c>
      <c r="L36" s="41">
        <f t="shared" si="2"/>
        <v>27.704999999999998</v>
      </c>
      <c r="M36" s="41">
        <f t="shared" si="2"/>
        <v>85.581666666666663</v>
      </c>
      <c r="N36" s="41">
        <f t="shared" si="2"/>
        <v>127.71666666666665</v>
      </c>
      <c r="O36" s="41">
        <f t="shared" si="2"/>
        <v>1.75</v>
      </c>
      <c r="P36" s="41">
        <f t="shared" si="2"/>
        <v>0.50791666666666668</v>
      </c>
      <c r="Q36" s="41">
        <f t="shared" si="2"/>
        <v>4.6258333333333335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2.2000454129041414</v>
      </c>
      <c r="C37" s="41">
        <f t="shared" ref="C37:Q37" si="3">STDEV(C9:C32)</f>
        <v>1.7086149467425003</v>
      </c>
      <c r="D37" s="41">
        <f t="shared" si="3"/>
        <v>2.3068210135174487</v>
      </c>
      <c r="E37" s="41">
        <f t="shared" si="3"/>
        <v>0.96311203014431723</v>
      </c>
      <c r="F37" s="41">
        <f t="shared" si="3"/>
        <v>2.4958404526766937</v>
      </c>
      <c r="G37" s="41">
        <f t="shared" si="3"/>
        <v>18.265164232946891</v>
      </c>
      <c r="H37" s="41">
        <f t="shared" si="3"/>
        <v>3.7937413896948815</v>
      </c>
      <c r="I37" s="41">
        <f t="shared" si="3"/>
        <v>0.26490325004435084</v>
      </c>
      <c r="J37" s="41">
        <f t="shared" si="3"/>
        <v>0.21346986686174468</v>
      </c>
      <c r="K37" s="41">
        <f t="shared" si="3"/>
        <v>30.142115605116221</v>
      </c>
      <c r="L37" s="41">
        <f t="shared" si="3"/>
        <v>2.9238479708291818</v>
      </c>
      <c r="M37" s="41">
        <f t="shared" si="3"/>
        <v>12.32722955111157</v>
      </c>
      <c r="N37" s="41">
        <f t="shared" si="3"/>
        <v>171.96221189214964</v>
      </c>
      <c r="O37" s="41">
        <f t="shared" si="3"/>
        <v>5.1655211446331499</v>
      </c>
      <c r="P37" s="41">
        <f t="shared" si="3"/>
        <v>3.967028968961489E-2</v>
      </c>
      <c r="Q37" s="41">
        <f t="shared" si="3"/>
        <v>0.14881902247118275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G3" sqref="G3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466</v>
      </c>
      <c r="B9" s="52">
        <v>13.23</v>
      </c>
      <c r="C9" s="52">
        <v>27.02</v>
      </c>
      <c r="D9" s="52">
        <v>23.45</v>
      </c>
      <c r="E9" s="52">
        <v>8.61</v>
      </c>
      <c r="F9" s="52">
        <v>2.94</v>
      </c>
      <c r="G9" s="52">
        <v>16.82</v>
      </c>
      <c r="H9" s="52">
        <v>5.8</v>
      </c>
      <c r="I9" s="52">
        <v>3.85</v>
      </c>
      <c r="J9" s="52">
        <v>0.51</v>
      </c>
      <c r="K9" s="52">
        <v>281.3</v>
      </c>
      <c r="L9" s="52">
        <v>24.39</v>
      </c>
      <c r="M9" s="52">
        <v>100.18</v>
      </c>
      <c r="N9" s="52">
        <v>0</v>
      </c>
      <c r="O9" s="52">
        <v>0</v>
      </c>
      <c r="P9" s="52">
        <v>0.53</v>
      </c>
      <c r="Q9" s="52">
        <v>4.9000000000000004</v>
      </c>
    </row>
    <row r="10" spans="1:21" customFormat="1">
      <c r="A10" s="51" t="s">
        <v>467</v>
      </c>
      <c r="B10" s="52">
        <v>13.33</v>
      </c>
      <c r="C10" s="52">
        <v>24.98</v>
      </c>
      <c r="D10" s="52">
        <v>22.57</v>
      </c>
      <c r="E10" s="52">
        <v>8.7200000000000006</v>
      </c>
      <c r="F10" s="52">
        <v>3.02</v>
      </c>
      <c r="G10" s="52">
        <v>15.18</v>
      </c>
      <c r="H10" s="52">
        <v>5.19</v>
      </c>
      <c r="I10" s="52">
        <v>3.82</v>
      </c>
      <c r="J10" s="52">
        <v>0.53</v>
      </c>
      <c r="K10" s="52">
        <v>262.81</v>
      </c>
      <c r="L10" s="52">
        <v>24.38</v>
      </c>
      <c r="M10" s="52">
        <v>100.11</v>
      </c>
      <c r="N10" s="52">
        <v>0</v>
      </c>
      <c r="O10" s="52">
        <v>0</v>
      </c>
      <c r="P10" s="52">
        <v>0.53</v>
      </c>
      <c r="Q10" s="52">
        <v>4.87</v>
      </c>
    </row>
    <row r="11" spans="1:21" customFormat="1">
      <c r="A11" s="51" t="s">
        <v>468</v>
      </c>
      <c r="B11" s="52">
        <v>13.52</v>
      </c>
      <c r="C11" s="52">
        <v>24.02</v>
      </c>
      <c r="D11" s="52">
        <v>22.15</v>
      </c>
      <c r="E11" s="52">
        <v>8.7799999999999994</v>
      </c>
      <c r="F11" s="52">
        <v>2.97</v>
      </c>
      <c r="G11" s="52">
        <v>13.71</v>
      </c>
      <c r="H11" s="52">
        <v>3.85</v>
      </c>
      <c r="I11" s="52">
        <v>3.75</v>
      </c>
      <c r="J11" s="52">
        <v>0.46</v>
      </c>
      <c r="K11" s="52">
        <v>264.60000000000002</v>
      </c>
      <c r="L11" s="52">
        <v>24.44</v>
      </c>
      <c r="M11" s="52">
        <v>98.64</v>
      </c>
      <c r="N11" s="52">
        <v>0</v>
      </c>
      <c r="O11" s="52">
        <v>0</v>
      </c>
      <c r="P11" s="52">
        <v>0.51</v>
      </c>
      <c r="Q11" s="52">
        <v>4.8499999999999996</v>
      </c>
    </row>
    <row r="12" spans="1:21" customFormat="1">
      <c r="A12" s="51" t="s">
        <v>469</v>
      </c>
      <c r="B12" s="52">
        <v>13.71</v>
      </c>
      <c r="C12" s="52">
        <v>23.66</v>
      </c>
      <c r="D12" s="52">
        <v>22.23</v>
      </c>
      <c r="E12" s="52">
        <v>8.92</v>
      </c>
      <c r="F12" s="52">
        <v>2.98</v>
      </c>
      <c r="G12" s="52">
        <v>12.99</v>
      </c>
      <c r="H12" s="52">
        <v>4.21</v>
      </c>
      <c r="I12" s="52">
        <v>4.18</v>
      </c>
      <c r="J12" s="52">
        <v>0.66</v>
      </c>
      <c r="K12" s="52">
        <v>268.06</v>
      </c>
      <c r="L12" s="52">
        <v>24.44</v>
      </c>
      <c r="M12" s="52">
        <v>97.53</v>
      </c>
      <c r="N12" s="52">
        <v>0</v>
      </c>
      <c r="O12" s="52">
        <v>0</v>
      </c>
      <c r="P12" s="52">
        <v>0.54</v>
      </c>
      <c r="Q12" s="52">
        <v>4.87</v>
      </c>
    </row>
    <row r="13" spans="1:21" customFormat="1">
      <c r="A13" s="51" t="s">
        <v>470</v>
      </c>
      <c r="B13" s="52">
        <v>12.23</v>
      </c>
      <c r="C13" s="52">
        <v>23.74</v>
      </c>
      <c r="D13" s="52">
        <v>21.13</v>
      </c>
      <c r="E13" s="52">
        <v>8.07</v>
      </c>
      <c r="F13" s="52">
        <v>3.14</v>
      </c>
      <c r="G13" s="52">
        <v>12.24</v>
      </c>
      <c r="H13" s="52">
        <v>3.18</v>
      </c>
      <c r="I13" s="52">
        <v>4.3600000000000003</v>
      </c>
      <c r="J13" s="52">
        <v>0.51</v>
      </c>
      <c r="K13" s="52">
        <v>269.83999999999997</v>
      </c>
      <c r="L13" s="52">
        <v>24.61</v>
      </c>
      <c r="M13" s="52">
        <v>97.54</v>
      </c>
      <c r="N13" s="52">
        <v>0</v>
      </c>
      <c r="O13" s="52">
        <v>0</v>
      </c>
      <c r="P13" s="52">
        <v>0.56999999999999995</v>
      </c>
      <c r="Q13" s="52">
        <v>4.8</v>
      </c>
    </row>
    <row r="14" spans="1:21" customFormat="1">
      <c r="A14" s="51" t="s">
        <v>471</v>
      </c>
      <c r="B14" s="52">
        <v>12.44</v>
      </c>
      <c r="C14" s="52">
        <v>23.91</v>
      </c>
      <c r="D14" s="52">
        <v>21.22</v>
      </c>
      <c r="E14" s="52">
        <v>8.1999999999999993</v>
      </c>
      <c r="F14" s="52">
        <v>2.9</v>
      </c>
      <c r="G14" s="52">
        <v>15.55</v>
      </c>
      <c r="H14" s="52">
        <v>3.95</v>
      </c>
      <c r="I14" s="52">
        <v>4.49</v>
      </c>
      <c r="J14" s="52">
        <v>0.53</v>
      </c>
      <c r="K14" s="52">
        <v>263.07</v>
      </c>
      <c r="L14" s="52">
        <v>24.69</v>
      </c>
      <c r="M14" s="52">
        <v>97.35</v>
      </c>
      <c r="N14" s="52">
        <v>0</v>
      </c>
      <c r="O14" s="52">
        <v>0</v>
      </c>
      <c r="P14" s="52">
        <v>0.54</v>
      </c>
      <c r="Q14" s="52">
        <v>4.76</v>
      </c>
    </row>
    <row r="15" spans="1:21" customFormat="1">
      <c r="A15" s="51" t="s">
        <v>472</v>
      </c>
      <c r="B15" s="52">
        <v>12.68</v>
      </c>
      <c r="C15" s="52">
        <v>23.22</v>
      </c>
      <c r="D15" s="52">
        <v>21.1</v>
      </c>
      <c r="E15" s="52">
        <v>8.51</v>
      </c>
      <c r="F15" s="52">
        <v>2.82</v>
      </c>
      <c r="G15" s="52">
        <v>15.44</v>
      </c>
      <c r="H15" s="52">
        <v>4.3</v>
      </c>
      <c r="I15" s="52">
        <v>4.42</v>
      </c>
      <c r="J15" s="52">
        <v>0.45</v>
      </c>
      <c r="K15" s="52">
        <v>266.11</v>
      </c>
      <c r="L15" s="52">
        <v>24.93</v>
      </c>
      <c r="M15" s="52">
        <v>96.71</v>
      </c>
      <c r="N15" s="52">
        <v>27.2</v>
      </c>
      <c r="O15" s="52">
        <v>0</v>
      </c>
      <c r="P15" s="52">
        <v>0.54</v>
      </c>
      <c r="Q15" s="52">
        <v>4.79</v>
      </c>
    </row>
    <row r="16" spans="1:21" customFormat="1">
      <c r="A16" s="51" t="s">
        <v>473</v>
      </c>
      <c r="B16" s="52">
        <v>12.94</v>
      </c>
      <c r="C16" s="52">
        <v>22.47</v>
      </c>
      <c r="D16" s="52">
        <v>20.97</v>
      </c>
      <c r="E16" s="52">
        <v>8.5399999999999991</v>
      </c>
      <c r="F16" s="52">
        <v>3.28</v>
      </c>
      <c r="G16" s="52">
        <v>13.53</v>
      </c>
      <c r="H16" s="52">
        <v>5.53</v>
      </c>
      <c r="I16" s="52">
        <v>4.3600000000000003</v>
      </c>
      <c r="J16" s="52">
        <v>0.44</v>
      </c>
      <c r="K16" s="52">
        <v>264.08</v>
      </c>
      <c r="L16" s="52">
        <v>25.6</v>
      </c>
      <c r="M16" s="52">
        <v>96.13</v>
      </c>
      <c r="N16" s="52">
        <v>138.4</v>
      </c>
      <c r="O16" s="52">
        <v>0</v>
      </c>
      <c r="P16" s="52">
        <v>0.53</v>
      </c>
      <c r="Q16" s="52">
        <v>4.79</v>
      </c>
    </row>
    <row r="17" spans="1:17" customFormat="1">
      <c r="A17" s="51" t="s">
        <v>474</v>
      </c>
      <c r="B17" s="52">
        <v>13.07</v>
      </c>
      <c r="C17" s="52">
        <v>22.91</v>
      </c>
      <c r="D17" s="52">
        <v>21.21</v>
      </c>
      <c r="E17" s="52">
        <v>8.9700000000000006</v>
      </c>
      <c r="F17" s="52">
        <v>3.4</v>
      </c>
      <c r="G17" s="52">
        <v>16.850000000000001</v>
      </c>
      <c r="H17" s="52">
        <v>5.61</v>
      </c>
      <c r="I17" s="52">
        <v>4.43</v>
      </c>
      <c r="J17" s="52">
        <v>0.48</v>
      </c>
      <c r="K17" s="52">
        <v>281.44</v>
      </c>
      <c r="L17" s="52">
        <v>27.15</v>
      </c>
      <c r="M17" s="52">
        <v>92.65</v>
      </c>
      <c r="N17" s="52">
        <v>299.60000000000002</v>
      </c>
      <c r="O17" s="52">
        <v>0</v>
      </c>
      <c r="P17" s="52">
        <v>0.54</v>
      </c>
      <c r="Q17" s="52">
        <v>4.82</v>
      </c>
    </row>
    <row r="18" spans="1:17" customFormat="1">
      <c r="A18" s="51" t="s">
        <v>475</v>
      </c>
      <c r="B18" s="52">
        <v>12.63</v>
      </c>
      <c r="C18" s="52">
        <v>23.61</v>
      </c>
      <c r="D18" s="52">
        <v>20.71</v>
      </c>
      <c r="E18" s="52">
        <v>8.09</v>
      </c>
      <c r="F18" s="52">
        <v>3.58</v>
      </c>
      <c r="G18" s="52">
        <v>14.12</v>
      </c>
      <c r="H18" s="52">
        <v>5.52</v>
      </c>
      <c r="I18" s="52">
        <v>4.5999999999999996</v>
      </c>
      <c r="J18" s="52">
        <v>0.42</v>
      </c>
      <c r="K18" s="52">
        <v>274.3</v>
      </c>
      <c r="L18" s="52">
        <v>27.09</v>
      </c>
      <c r="M18" s="52">
        <v>88.74</v>
      </c>
      <c r="N18" s="52">
        <v>135.30000000000001</v>
      </c>
      <c r="O18" s="52">
        <v>0</v>
      </c>
      <c r="P18" s="52">
        <v>0.6</v>
      </c>
      <c r="Q18" s="52">
        <v>4.7300000000000004</v>
      </c>
    </row>
    <row r="19" spans="1:17" customFormat="1">
      <c r="A19" s="51" t="s">
        <v>476</v>
      </c>
      <c r="B19" s="52">
        <v>11.6</v>
      </c>
      <c r="C19" s="52">
        <v>23.27</v>
      </c>
      <c r="D19" s="52">
        <v>19.02</v>
      </c>
      <c r="E19" s="52">
        <v>9.08</v>
      </c>
      <c r="F19" s="52">
        <v>6.85</v>
      </c>
      <c r="G19" s="52">
        <v>16.52</v>
      </c>
      <c r="H19" s="52">
        <v>6.31</v>
      </c>
      <c r="I19" s="52">
        <v>4.6100000000000003</v>
      </c>
      <c r="J19" s="52">
        <v>0.49</v>
      </c>
      <c r="K19" s="52">
        <v>276.94</v>
      </c>
      <c r="L19" s="52">
        <v>27.93</v>
      </c>
      <c r="M19" s="52">
        <v>87.21</v>
      </c>
      <c r="N19" s="52">
        <v>160.30000000000001</v>
      </c>
      <c r="O19" s="52">
        <v>0</v>
      </c>
      <c r="P19" s="52">
        <v>0.6</v>
      </c>
      <c r="Q19" s="52">
        <v>4.6900000000000004</v>
      </c>
    </row>
    <row r="20" spans="1:17" customFormat="1">
      <c r="A20" s="51" t="s">
        <v>477</v>
      </c>
      <c r="B20" s="52">
        <v>15.15</v>
      </c>
      <c r="C20" s="52">
        <v>22</v>
      </c>
      <c r="D20" s="52">
        <v>22.55</v>
      </c>
      <c r="E20" s="52">
        <v>9.2799999999999994</v>
      </c>
      <c r="F20" s="52">
        <v>9.99</v>
      </c>
      <c r="G20" s="52">
        <v>25.85</v>
      </c>
      <c r="H20" s="52">
        <v>7.09</v>
      </c>
      <c r="I20" s="52">
        <v>9.49</v>
      </c>
      <c r="J20" s="52">
        <v>0.34</v>
      </c>
      <c r="K20" s="52">
        <v>320.52999999999997</v>
      </c>
      <c r="L20" s="52">
        <v>28.59</v>
      </c>
      <c r="M20" s="52">
        <v>82.86</v>
      </c>
      <c r="N20" s="52">
        <v>313.7</v>
      </c>
      <c r="O20" s="52">
        <v>0</v>
      </c>
      <c r="P20" s="52">
        <v>0.61</v>
      </c>
      <c r="Q20" s="52">
        <v>4.59</v>
      </c>
    </row>
    <row r="21" spans="1:17" customFormat="1">
      <c r="A21" s="51" t="s">
        <v>478</v>
      </c>
      <c r="B21" s="52">
        <v>7.2</v>
      </c>
      <c r="C21" s="52">
        <v>23.04</v>
      </c>
      <c r="D21" s="52">
        <v>19.16</v>
      </c>
      <c r="E21" s="52">
        <v>4.3499999999999996</v>
      </c>
      <c r="F21" s="52">
        <v>13.46</v>
      </c>
      <c r="G21" s="52">
        <v>31.38</v>
      </c>
      <c r="H21" s="52">
        <v>8.34</v>
      </c>
      <c r="I21" s="52">
        <v>46</v>
      </c>
      <c r="J21" s="52">
        <v>0.24</v>
      </c>
      <c r="K21" s="52">
        <v>296.02999999999997</v>
      </c>
      <c r="L21" s="52">
        <v>29.27</v>
      </c>
      <c r="M21" s="52">
        <v>81.83</v>
      </c>
      <c r="N21" s="52">
        <v>394.9</v>
      </c>
      <c r="O21" s="52">
        <v>0</v>
      </c>
      <c r="P21" s="52">
        <v>0.57999999999999996</v>
      </c>
      <c r="Q21" s="52">
        <v>4.46</v>
      </c>
    </row>
    <row r="22" spans="1:17" customFormat="1">
      <c r="A22" s="51" t="s">
        <v>479</v>
      </c>
      <c r="B22" s="52">
        <v>5.76</v>
      </c>
      <c r="C22" s="52">
        <v>19.96</v>
      </c>
      <c r="D22" s="52">
        <v>16.14</v>
      </c>
      <c r="E22" s="52">
        <v>3.72</v>
      </c>
      <c r="F22" s="52">
        <v>7.61</v>
      </c>
      <c r="G22" s="52">
        <v>31.94</v>
      </c>
      <c r="H22" s="52">
        <v>10.61</v>
      </c>
      <c r="I22" s="52">
        <v>45.43</v>
      </c>
      <c r="J22" s="52">
        <v>0.45</v>
      </c>
      <c r="K22" s="52">
        <v>312.39999999999998</v>
      </c>
      <c r="L22" s="52">
        <v>29.72</v>
      </c>
      <c r="M22" s="52">
        <v>80.849999999999994</v>
      </c>
      <c r="N22" s="52">
        <v>413.2</v>
      </c>
      <c r="O22" s="52">
        <v>0</v>
      </c>
      <c r="P22" s="52">
        <v>0.52</v>
      </c>
      <c r="Q22" s="52">
        <v>4.1900000000000004</v>
      </c>
    </row>
    <row r="23" spans="1:17" customFormat="1">
      <c r="A23" s="51" t="s">
        <v>480</v>
      </c>
      <c r="B23" s="52">
        <v>6.08</v>
      </c>
      <c r="C23" s="52">
        <v>21.96</v>
      </c>
      <c r="D23" s="52">
        <v>17.38</v>
      </c>
      <c r="E23" s="52">
        <v>4.6100000000000003</v>
      </c>
      <c r="F23" s="52">
        <v>8.57</v>
      </c>
      <c r="G23" s="52">
        <v>36.43</v>
      </c>
      <c r="H23" s="52">
        <v>24.96</v>
      </c>
      <c r="I23" s="52">
        <v>33.93</v>
      </c>
      <c r="J23" s="52">
        <v>0.28000000000000003</v>
      </c>
      <c r="K23" s="52">
        <v>355.73</v>
      </c>
      <c r="L23" s="52">
        <v>29.98</v>
      </c>
      <c r="M23" s="52">
        <v>82.15</v>
      </c>
      <c r="N23" s="52">
        <v>335.7</v>
      </c>
      <c r="O23" s="52">
        <v>0</v>
      </c>
      <c r="P23" s="52">
        <v>0.56999999999999995</v>
      </c>
      <c r="Q23" s="52">
        <v>4.28</v>
      </c>
    </row>
    <row r="24" spans="1:17" customFormat="1">
      <c r="A24" s="51" t="s">
        <v>481</v>
      </c>
      <c r="B24" s="52">
        <v>5.78</v>
      </c>
      <c r="C24" s="52">
        <v>20.04</v>
      </c>
      <c r="D24" s="52">
        <v>16.46</v>
      </c>
      <c r="E24" s="52">
        <v>11.87</v>
      </c>
      <c r="F24" s="52">
        <v>14.46</v>
      </c>
      <c r="G24" s="52">
        <v>36.9</v>
      </c>
      <c r="H24" s="52">
        <v>19.78</v>
      </c>
      <c r="I24" s="52">
        <v>27.12</v>
      </c>
      <c r="J24" s="52">
        <v>0.72</v>
      </c>
      <c r="K24" s="52">
        <v>323.89999999999998</v>
      </c>
      <c r="L24" s="52">
        <v>30.27</v>
      </c>
      <c r="M24" s="52">
        <v>78.52</v>
      </c>
      <c r="N24" s="52">
        <v>338</v>
      </c>
      <c r="O24" s="52">
        <v>0</v>
      </c>
      <c r="P24" s="52">
        <v>0.51</v>
      </c>
      <c r="Q24" s="52">
        <v>4.2</v>
      </c>
    </row>
    <row r="25" spans="1:17" customFormat="1">
      <c r="A25" s="51" t="s">
        <v>482</v>
      </c>
      <c r="B25" s="52">
        <v>7.75</v>
      </c>
      <c r="C25" s="52">
        <v>21.21</v>
      </c>
      <c r="D25" s="52">
        <v>17.690000000000001</v>
      </c>
      <c r="E25" s="52">
        <v>4.7300000000000004</v>
      </c>
      <c r="F25" s="52">
        <v>7.05</v>
      </c>
      <c r="G25" s="52">
        <v>42.02</v>
      </c>
      <c r="H25" s="52">
        <v>18.48</v>
      </c>
      <c r="I25" s="52">
        <v>18.670000000000002</v>
      </c>
      <c r="J25" s="52">
        <v>0.71</v>
      </c>
      <c r="K25" s="52">
        <v>320.14</v>
      </c>
      <c r="L25" s="52">
        <v>29.5</v>
      </c>
      <c r="M25" s="52">
        <v>78.2</v>
      </c>
      <c r="N25" s="52">
        <v>199.6</v>
      </c>
      <c r="O25" s="52">
        <v>0</v>
      </c>
      <c r="P25" s="52">
        <v>0.5</v>
      </c>
      <c r="Q25" s="52">
        <v>4.29</v>
      </c>
    </row>
    <row r="26" spans="1:17" customFormat="1">
      <c r="A26" s="51" t="s">
        <v>483</v>
      </c>
      <c r="B26" s="52">
        <v>11.27</v>
      </c>
      <c r="C26" s="52">
        <v>21.86</v>
      </c>
      <c r="D26" s="52">
        <v>21.8</v>
      </c>
      <c r="E26" s="52">
        <v>5.64</v>
      </c>
      <c r="F26" s="52">
        <v>7.8</v>
      </c>
      <c r="G26" s="52">
        <v>38.49</v>
      </c>
      <c r="H26" s="52">
        <v>17.14</v>
      </c>
      <c r="I26" s="52">
        <v>16.05</v>
      </c>
      <c r="J26" s="52">
        <v>0.46</v>
      </c>
      <c r="K26" s="52">
        <v>353.78</v>
      </c>
      <c r="L26" s="52">
        <v>29.06</v>
      </c>
      <c r="M26" s="52">
        <v>82.09</v>
      </c>
      <c r="N26" s="52">
        <v>85.9</v>
      </c>
      <c r="O26" s="52">
        <v>0</v>
      </c>
      <c r="P26" s="52">
        <v>0.56000000000000005</v>
      </c>
      <c r="Q26" s="52">
        <v>4.29</v>
      </c>
    </row>
    <row r="27" spans="1:17" customFormat="1">
      <c r="A27" s="51" t="s">
        <v>484</v>
      </c>
      <c r="B27" s="52">
        <v>11.19</v>
      </c>
      <c r="C27" s="52">
        <v>20.63</v>
      </c>
      <c r="D27" s="52">
        <v>21.1</v>
      </c>
      <c r="E27" s="52">
        <v>3.25</v>
      </c>
      <c r="F27" s="52">
        <v>10.36</v>
      </c>
      <c r="G27" s="52">
        <v>42.5</v>
      </c>
      <c r="H27" s="52">
        <v>16.760000000000002</v>
      </c>
      <c r="I27" s="52">
        <v>13.48</v>
      </c>
      <c r="J27" s="52">
        <v>0.52</v>
      </c>
      <c r="K27" s="52">
        <v>350.07</v>
      </c>
      <c r="L27" s="52">
        <v>28.3</v>
      </c>
      <c r="M27" s="52">
        <v>97.49</v>
      </c>
      <c r="N27" s="52">
        <v>0</v>
      </c>
      <c r="O27" s="52">
        <v>6.2</v>
      </c>
      <c r="P27" s="52">
        <v>0.52</v>
      </c>
      <c r="Q27" s="52">
        <v>4.34</v>
      </c>
    </row>
    <row r="28" spans="1:17" customFormat="1">
      <c r="A28" s="51" t="s">
        <v>485</v>
      </c>
      <c r="B28" s="52">
        <v>10.73</v>
      </c>
      <c r="C28" s="52">
        <v>21.1</v>
      </c>
      <c r="D28" s="52">
        <v>20.64</v>
      </c>
      <c r="E28" s="52">
        <v>2.96</v>
      </c>
      <c r="F28" s="52">
        <v>3.37</v>
      </c>
      <c r="G28" s="52">
        <v>37.51</v>
      </c>
      <c r="H28" s="52">
        <v>18.920000000000002</v>
      </c>
      <c r="I28" s="52">
        <v>13.39</v>
      </c>
      <c r="J28" s="52">
        <v>1.1100000000000001</v>
      </c>
      <c r="K28" s="52">
        <v>342.42</v>
      </c>
      <c r="L28" s="52">
        <v>25.99</v>
      </c>
      <c r="M28" s="52">
        <v>99.29</v>
      </c>
      <c r="N28" s="52">
        <v>0</v>
      </c>
      <c r="O28" s="52">
        <v>18.600000000000001</v>
      </c>
      <c r="P28" s="52">
        <v>0.57999999999999996</v>
      </c>
      <c r="Q28" s="52">
        <v>4.47</v>
      </c>
    </row>
    <row r="29" spans="1:17" customFormat="1">
      <c r="A29" s="51" t="s">
        <v>486</v>
      </c>
      <c r="B29" s="52">
        <v>11.14</v>
      </c>
      <c r="C29" s="52">
        <v>19.809999999999999</v>
      </c>
      <c r="D29" s="52">
        <v>20.63</v>
      </c>
      <c r="E29" s="52">
        <v>1.82</v>
      </c>
      <c r="F29" s="52">
        <v>4.24</v>
      </c>
      <c r="G29" s="52">
        <v>25.92</v>
      </c>
      <c r="H29" s="52">
        <v>14.08</v>
      </c>
      <c r="I29" s="52">
        <v>12.75</v>
      </c>
      <c r="J29" s="52">
        <v>0.5</v>
      </c>
      <c r="K29" s="52">
        <v>315.81</v>
      </c>
      <c r="L29" s="52">
        <v>24.85</v>
      </c>
      <c r="M29" s="52">
        <v>99.9</v>
      </c>
      <c r="N29" s="52">
        <v>0</v>
      </c>
      <c r="O29" s="52">
        <v>4.2</v>
      </c>
      <c r="P29" s="52">
        <v>0.52</v>
      </c>
      <c r="Q29" s="52">
        <v>4.45</v>
      </c>
    </row>
    <row r="30" spans="1:17" customFormat="1">
      <c r="A30" s="51" t="s">
        <v>487</v>
      </c>
      <c r="B30" s="52">
        <v>11.67</v>
      </c>
      <c r="C30" s="52">
        <v>20.75</v>
      </c>
      <c r="D30" s="52">
        <v>21.22</v>
      </c>
      <c r="E30" s="52">
        <v>2.54</v>
      </c>
      <c r="F30" s="52">
        <v>5.79</v>
      </c>
      <c r="G30" s="52">
        <v>21.32</v>
      </c>
      <c r="H30" s="52">
        <v>10.86</v>
      </c>
      <c r="I30" s="52">
        <v>10.96</v>
      </c>
      <c r="J30" s="52">
        <v>0.25</v>
      </c>
      <c r="K30" s="52">
        <v>267.76</v>
      </c>
      <c r="L30" s="52">
        <v>25.01</v>
      </c>
      <c r="M30" s="52">
        <v>100.21</v>
      </c>
      <c r="N30" s="52">
        <v>0</v>
      </c>
      <c r="O30" s="52">
        <v>3.2</v>
      </c>
      <c r="P30" s="52">
        <v>0.54</v>
      </c>
      <c r="Q30" s="52">
        <v>4.53</v>
      </c>
    </row>
    <row r="31" spans="1:17" customFormat="1">
      <c r="A31" s="51" t="s">
        <v>488</v>
      </c>
      <c r="B31" s="52">
        <v>13.83</v>
      </c>
      <c r="C31" s="52">
        <v>21.36</v>
      </c>
      <c r="D31" s="52">
        <v>22.89</v>
      </c>
      <c r="E31" s="52">
        <v>4.6100000000000003</v>
      </c>
      <c r="F31" s="52">
        <v>3.68</v>
      </c>
      <c r="G31" s="52">
        <v>18.670000000000002</v>
      </c>
      <c r="H31" s="52">
        <v>10.99</v>
      </c>
      <c r="I31" s="52">
        <v>10.06</v>
      </c>
      <c r="J31" s="52">
        <v>0.38</v>
      </c>
      <c r="K31" s="52">
        <v>286.72000000000003</v>
      </c>
      <c r="L31" s="52">
        <v>25.15</v>
      </c>
      <c r="M31" s="52">
        <v>100.32</v>
      </c>
      <c r="N31" s="52">
        <v>0</v>
      </c>
      <c r="O31" s="52">
        <v>1.6</v>
      </c>
      <c r="P31" s="52">
        <v>0.54</v>
      </c>
      <c r="Q31" s="52">
        <v>4.63</v>
      </c>
    </row>
    <row r="32" spans="1:17" customFormat="1">
      <c r="A32" s="51" t="s">
        <v>489</v>
      </c>
      <c r="B32" s="52">
        <v>14.47</v>
      </c>
      <c r="C32" s="52">
        <v>21.85</v>
      </c>
      <c r="D32" s="52">
        <v>24.35</v>
      </c>
      <c r="E32" s="52">
        <v>2.99</v>
      </c>
      <c r="F32" s="52">
        <v>2.93</v>
      </c>
      <c r="G32" s="52">
        <v>20.96</v>
      </c>
      <c r="H32" s="52">
        <v>10.61</v>
      </c>
      <c r="I32" s="52">
        <v>9.64</v>
      </c>
      <c r="J32" s="52">
        <v>0.44</v>
      </c>
      <c r="K32" s="52">
        <v>265.13</v>
      </c>
      <c r="L32" s="52">
        <v>24.31</v>
      </c>
      <c r="M32" s="52">
        <v>100.39</v>
      </c>
      <c r="N32" s="52">
        <v>0</v>
      </c>
      <c r="O32" s="52">
        <v>0</v>
      </c>
      <c r="P32" s="52">
        <v>0.56999999999999995</v>
      </c>
      <c r="Q32" s="52">
        <v>4.75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5.76</v>
      </c>
      <c r="C34" s="41">
        <f t="shared" si="0"/>
        <v>19.809999999999999</v>
      </c>
      <c r="D34" s="41">
        <f t="shared" si="0"/>
        <v>16.14</v>
      </c>
      <c r="E34" s="41">
        <f t="shared" si="0"/>
        <v>1.82</v>
      </c>
      <c r="F34" s="41">
        <f t="shared" si="0"/>
        <v>2.82</v>
      </c>
      <c r="G34" s="41">
        <f t="shared" si="0"/>
        <v>12.24</v>
      </c>
      <c r="H34" s="41">
        <f t="shared" si="0"/>
        <v>3.18</v>
      </c>
      <c r="I34" s="41">
        <f t="shared" si="0"/>
        <v>3.75</v>
      </c>
      <c r="J34" s="41">
        <f t="shared" si="0"/>
        <v>0.24</v>
      </c>
      <c r="K34" s="41">
        <f t="shared" si="0"/>
        <v>262.81</v>
      </c>
      <c r="L34" s="41">
        <f t="shared" si="0"/>
        <v>24.31</v>
      </c>
      <c r="M34" s="41">
        <f t="shared" si="0"/>
        <v>78.2</v>
      </c>
      <c r="N34" s="41">
        <f t="shared" si="0"/>
        <v>0</v>
      </c>
      <c r="O34" s="41">
        <f t="shared" si="0"/>
        <v>0</v>
      </c>
      <c r="P34" s="41">
        <f t="shared" si="0"/>
        <v>0.5</v>
      </c>
      <c r="Q34" s="41">
        <f t="shared" si="0"/>
        <v>4.1900000000000004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15.15</v>
      </c>
      <c r="C35" s="33">
        <f t="shared" si="1"/>
        <v>27.02</v>
      </c>
      <c r="D35" s="33">
        <f t="shared" si="1"/>
        <v>24.35</v>
      </c>
      <c r="E35" s="33">
        <f t="shared" si="1"/>
        <v>11.87</v>
      </c>
      <c r="F35" s="33">
        <f t="shared" si="1"/>
        <v>14.46</v>
      </c>
      <c r="G35" s="33">
        <f t="shared" si="1"/>
        <v>42.5</v>
      </c>
      <c r="H35" s="33">
        <f t="shared" si="1"/>
        <v>24.96</v>
      </c>
      <c r="I35" s="33">
        <f t="shared" si="1"/>
        <v>46</v>
      </c>
      <c r="J35" s="33">
        <f t="shared" si="1"/>
        <v>1.1100000000000001</v>
      </c>
      <c r="K35" s="33">
        <f t="shared" si="1"/>
        <v>355.73</v>
      </c>
      <c r="L35" s="33">
        <f t="shared" si="1"/>
        <v>30.27</v>
      </c>
      <c r="M35" s="33">
        <f t="shared" si="1"/>
        <v>100.39</v>
      </c>
      <c r="N35" s="33">
        <f t="shared" si="1"/>
        <v>413.2</v>
      </c>
      <c r="O35" s="33">
        <f t="shared" si="1"/>
        <v>18.600000000000001</v>
      </c>
      <c r="P35" s="33">
        <f t="shared" si="1"/>
        <v>0.61</v>
      </c>
      <c r="Q35" s="33">
        <f t="shared" si="1"/>
        <v>4.9000000000000004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11.391666666666666</v>
      </c>
      <c r="C36" s="41">
        <f t="shared" si="2"/>
        <v>22.432500000000001</v>
      </c>
      <c r="D36" s="41">
        <f t="shared" si="2"/>
        <v>20.740416666666665</v>
      </c>
      <c r="E36" s="41">
        <f t="shared" si="2"/>
        <v>6.5358333333333327</v>
      </c>
      <c r="F36" s="41">
        <f t="shared" si="2"/>
        <v>5.7162500000000014</v>
      </c>
      <c r="G36" s="41">
        <f t="shared" si="2"/>
        <v>23.868333333333336</v>
      </c>
      <c r="H36" s="41">
        <f t="shared" si="2"/>
        <v>10.086250000000001</v>
      </c>
      <c r="I36" s="41">
        <f t="shared" si="2"/>
        <v>13.076666666666668</v>
      </c>
      <c r="J36" s="41">
        <f t="shared" si="2"/>
        <v>0.49500000000000005</v>
      </c>
      <c r="K36" s="41">
        <f t="shared" si="2"/>
        <v>295.12375000000003</v>
      </c>
      <c r="L36" s="41">
        <f t="shared" si="2"/>
        <v>26.652083333333326</v>
      </c>
      <c r="M36" s="41">
        <f t="shared" si="2"/>
        <v>92.370416666666657</v>
      </c>
      <c r="N36" s="41">
        <f t="shared" si="2"/>
        <v>118.40833333333335</v>
      </c>
      <c r="O36" s="41">
        <f t="shared" si="2"/>
        <v>1.4083333333333334</v>
      </c>
      <c r="P36" s="41">
        <f t="shared" si="2"/>
        <v>0.54791666666666661</v>
      </c>
      <c r="Q36" s="41">
        <f t="shared" si="2"/>
        <v>4.597500000000001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2.7953885421259996</v>
      </c>
      <c r="C37" s="41">
        <f t="shared" ref="C37:Q37" si="3">STDEV(C9:C32)</f>
        <v>1.7327190243635409</v>
      </c>
      <c r="D37" s="41">
        <f t="shared" si="3"/>
        <v>2.1228538608422314</v>
      </c>
      <c r="E37" s="41">
        <f t="shared" si="3"/>
        <v>2.8143852779521223</v>
      </c>
      <c r="F37" s="41">
        <f t="shared" si="3"/>
        <v>3.512775209704293</v>
      </c>
      <c r="G37" s="41">
        <f t="shared" si="3"/>
        <v>10.43224544034199</v>
      </c>
      <c r="H37" s="41">
        <f t="shared" si="3"/>
        <v>6.2499619564059516</v>
      </c>
      <c r="I37" s="41">
        <f t="shared" si="3"/>
        <v>12.678974264734393</v>
      </c>
      <c r="J37" s="41">
        <f t="shared" si="3"/>
        <v>0.17849613319402008</v>
      </c>
      <c r="K37" s="41">
        <f t="shared" si="3"/>
        <v>32.462996568333942</v>
      </c>
      <c r="L37" s="41">
        <f t="shared" si="3"/>
        <v>2.1785994287648864</v>
      </c>
      <c r="M37" s="41">
        <f t="shared" si="3"/>
        <v>8.256739265418231</v>
      </c>
      <c r="N37" s="41">
        <f t="shared" si="3"/>
        <v>149.84184972008399</v>
      </c>
      <c r="O37" s="41">
        <f t="shared" si="3"/>
        <v>3.9958583631018523</v>
      </c>
      <c r="P37" s="41">
        <f t="shared" si="3"/>
        <v>3.0783841987905503E-2</v>
      </c>
      <c r="Q37" s="41">
        <f t="shared" si="3"/>
        <v>0.23655590386241682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490</v>
      </c>
      <c r="B9" s="52">
        <v>12.82</v>
      </c>
      <c r="C9" s="52">
        <v>22.71</v>
      </c>
      <c r="D9" s="52">
        <v>22.86</v>
      </c>
      <c r="E9" s="52">
        <v>3.37</v>
      </c>
      <c r="F9" s="52">
        <v>4.1900000000000004</v>
      </c>
      <c r="G9" s="52">
        <v>20.34</v>
      </c>
      <c r="H9" s="52">
        <v>12.02</v>
      </c>
      <c r="I9" s="52">
        <v>9.32</v>
      </c>
      <c r="J9" s="52">
        <v>0.14000000000000001</v>
      </c>
      <c r="K9" s="52">
        <v>240.64</v>
      </c>
      <c r="L9" s="52">
        <v>24.71</v>
      </c>
      <c r="M9" s="52">
        <v>100.43</v>
      </c>
      <c r="N9" s="52">
        <v>0</v>
      </c>
      <c r="O9" s="52">
        <v>0.4</v>
      </c>
      <c r="P9" s="52">
        <v>0.61</v>
      </c>
      <c r="Q9" s="52">
        <v>4.84</v>
      </c>
    </row>
    <row r="10" spans="1:21" customFormat="1">
      <c r="A10" s="51" t="s">
        <v>491</v>
      </c>
      <c r="B10" s="52">
        <v>12.06</v>
      </c>
      <c r="C10" s="52">
        <v>22.63</v>
      </c>
      <c r="D10" s="52">
        <v>22.54</v>
      </c>
      <c r="E10" s="52">
        <v>2.94</v>
      </c>
      <c r="F10" s="52">
        <v>3.94</v>
      </c>
      <c r="G10" s="52">
        <v>17.25</v>
      </c>
      <c r="H10" s="52">
        <v>12.63</v>
      </c>
      <c r="I10" s="52">
        <v>9.0299999999999994</v>
      </c>
      <c r="J10" s="52">
        <v>0.2</v>
      </c>
      <c r="K10" s="52">
        <v>266.79000000000002</v>
      </c>
      <c r="L10" s="52">
        <v>24.74</v>
      </c>
      <c r="M10" s="52">
        <v>100.48</v>
      </c>
      <c r="N10" s="52">
        <v>0</v>
      </c>
      <c r="O10" s="52">
        <v>0.2</v>
      </c>
      <c r="P10" s="52">
        <v>0.59</v>
      </c>
      <c r="Q10" s="52">
        <v>4.8</v>
      </c>
    </row>
    <row r="11" spans="1:21" customFormat="1">
      <c r="A11" s="51" t="s">
        <v>492</v>
      </c>
      <c r="B11" s="52">
        <v>12.32</v>
      </c>
      <c r="C11" s="52">
        <v>20.91</v>
      </c>
      <c r="D11" s="52">
        <v>22.06</v>
      </c>
      <c r="E11" s="52">
        <v>4.18</v>
      </c>
      <c r="F11" s="52">
        <v>4.41</v>
      </c>
      <c r="G11" s="52">
        <v>15.8</v>
      </c>
      <c r="H11" s="52">
        <v>11.56</v>
      </c>
      <c r="I11" s="52">
        <v>8.17</v>
      </c>
      <c r="J11" s="52">
        <v>0.19</v>
      </c>
      <c r="K11" s="52">
        <v>262.12</v>
      </c>
      <c r="L11" s="52">
        <v>24.69</v>
      </c>
      <c r="M11" s="52">
        <v>100.5</v>
      </c>
      <c r="N11" s="52">
        <v>0</v>
      </c>
      <c r="O11" s="52">
        <v>0</v>
      </c>
      <c r="P11" s="52">
        <v>0.53</v>
      </c>
      <c r="Q11" s="52">
        <v>4.7</v>
      </c>
    </row>
    <row r="12" spans="1:21" customFormat="1">
      <c r="A12" s="51" t="s">
        <v>493</v>
      </c>
      <c r="B12" s="52">
        <v>12.71</v>
      </c>
      <c r="C12" s="52">
        <v>20.96</v>
      </c>
      <c r="D12" s="52">
        <v>22.49</v>
      </c>
      <c r="E12" s="52">
        <v>4.3</v>
      </c>
      <c r="F12" s="52">
        <v>3.49</v>
      </c>
      <c r="G12" s="52">
        <v>12.23</v>
      </c>
      <c r="H12" s="52">
        <v>9.7899999999999991</v>
      </c>
      <c r="I12" s="52">
        <v>7.82</v>
      </c>
      <c r="J12" s="52">
        <v>0.15</v>
      </c>
      <c r="K12" s="52">
        <v>236.55</v>
      </c>
      <c r="L12" s="52">
        <v>24.95</v>
      </c>
      <c r="M12" s="52">
        <v>100.53</v>
      </c>
      <c r="N12" s="52">
        <v>0</v>
      </c>
      <c r="O12" s="52">
        <v>0</v>
      </c>
      <c r="P12" s="52">
        <v>0.56999999999999995</v>
      </c>
      <c r="Q12" s="52">
        <v>4.74</v>
      </c>
    </row>
    <row r="13" spans="1:21" customFormat="1">
      <c r="A13" s="51" t="s">
        <v>494</v>
      </c>
      <c r="B13" s="52">
        <v>13.12</v>
      </c>
      <c r="C13" s="52">
        <v>20.6</v>
      </c>
      <c r="D13" s="52">
        <v>22.61</v>
      </c>
      <c r="E13" s="52">
        <v>4.59</v>
      </c>
      <c r="F13" s="52">
        <v>3.97</v>
      </c>
      <c r="G13" s="52">
        <v>16.600000000000001</v>
      </c>
      <c r="H13" s="52">
        <v>10.19</v>
      </c>
      <c r="I13" s="52">
        <v>8.02</v>
      </c>
      <c r="J13" s="52">
        <v>0.33</v>
      </c>
      <c r="K13" s="52">
        <v>260.45</v>
      </c>
      <c r="L13" s="52">
        <v>24.9</v>
      </c>
      <c r="M13" s="52">
        <v>100.58</v>
      </c>
      <c r="N13" s="52">
        <v>0</v>
      </c>
      <c r="O13" s="52">
        <v>0</v>
      </c>
      <c r="P13" s="52">
        <v>0.6</v>
      </c>
      <c r="Q13" s="52">
        <v>4.79</v>
      </c>
    </row>
    <row r="14" spans="1:21" customFormat="1">
      <c r="A14" s="51" t="s">
        <v>495</v>
      </c>
      <c r="B14" s="52">
        <v>13.47</v>
      </c>
      <c r="C14" s="52">
        <v>21.12</v>
      </c>
      <c r="D14" s="52">
        <v>23.08</v>
      </c>
      <c r="E14" s="52">
        <v>4.93</v>
      </c>
      <c r="F14" s="52">
        <v>3.02</v>
      </c>
      <c r="G14" s="52">
        <v>17.2</v>
      </c>
      <c r="H14" s="52">
        <v>11.19</v>
      </c>
      <c r="I14" s="52">
        <v>7.82</v>
      </c>
      <c r="J14" s="52">
        <v>0.12</v>
      </c>
      <c r="K14" s="52">
        <v>260.98</v>
      </c>
      <c r="L14" s="52">
        <v>24.91</v>
      </c>
      <c r="M14" s="52">
        <v>100.6</v>
      </c>
      <c r="N14" s="52">
        <v>0.8</v>
      </c>
      <c r="O14" s="52">
        <v>0</v>
      </c>
      <c r="P14" s="52">
        <v>0.61</v>
      </c>
      <c r="Q14" s="52">
        <v>4.82</v>
      </c>
    </row>
    <row r="15" spans="1:21" customFormat="1">
      <c r="A15" s="51" t="s">
        <v>496</v>
      </c>
      <c r="B15" s="52">
        <v>12.5</v>
      </c>
      <c r="C15" s="52">
        <v>20.149999999999999</v>
      </c>
      <c r="D15" s="52">
        <v>21.9</v>
      </c>
      <c r="E15" s="52">
        <v>4.3499999999999996</v>
      </c>
      <c r="F15" s="52">
        <v>4.32</v>
      </c>
      <c r="G15" s="52">
        <v>17</v>
      </c>
      <c r="H15" s="52">
        <v>9.5299999999999994</v>
      </c>
      <c r="I15" s="52">
        <v>7.59</v>
      </c>
      <c r="J15" s="52">
        <v>0.14000000000000001</v>
      </c>
      <c r="K15" s="52">
        <v>261.25</v>
      </c>
      <c r="L15" s="52">
        <v>25.14</v>
      </c>
      <c r="M15" s="52">
        <v>100.4</v>
      </c>
      <c r="N15" s="52">
        <v>20</v>
      </c>
      <c r="O15" s="52">
        <v>0</v>
      </c>
      <c r="P15" s="52">
        <v>0.63</v>
      </c>
      <c r="Q15" s="52">
        <v>4.75</v>
      </c>
    </row>
    <row r="16" spans="1:21" customFormat="1">
      <c r="A16" s="51" t="s">
        <v>497</v>
      </c>
      <c r="B16" s="52">
        <v>12.72</v>
      </c>
      <c r="C16" s="52">
        <v>20.71</v>
      </c>
      <c r="D16" s="52">
        <v>22.33</v>
      </c>
      <c r="E16" s="52">
        <v>4.29</v>
      </c>
      <c r="F16" s="52">
        <v>4.76</v>
      </c>
      <c r="G16" s="52">
        <v>17.96</v>
      </c>
      <c r="H16" s="52">
        <v>18</v>
      </c>
      <c r="I16" s="52">
        <v>7.64</v>
      </c>
      <c r="J16" s="52">
        <v>0.21</v>
      </c>
      <c r="K16" s="52">
        <v>266.64</v>
      </c>
      <c r="L16" s="52">
        <v>25.57</v>
      </c>
      <c r="M16" s="52">
        <v>100.43</v>
      </c>
      <c r="N16" s="52">
        <v>62.9</v>
      </c>
      <c r="O16" s="52">
        <v>0</v>
      </c>
      <c r="P16" s="52">
        <v>0.61</v>
      </c>
      <c r="Q16" s="52">
        <v>4.75</v>
      </c>
    </row>
    <row r="17" spans="1:17" customFormat="1">
      <c r="A17" s="51" t="s">
        <v>498</v>
      </c>
      <c r="B17" s="52">
        <v>12.83</v>
      </c>
      <c r="C17" s="52">
        <v>20.62</v>
      </c>
      <c r="D17" s="52">
        <v>22.41</v>
      </c>
      <c r="E17" s="52">
        <v>4.68</v>
      </c>
      <c r="F17" s="52">
        <v>5.13</v>
      </c>
      <c r="G17" s="52">
        <v>18.829999999999998</v>
      </c>
      <c r="H17" s="52">
        <v>14.04</v>
      </c>
      <c r="I17" s="52">
        <v>7.5</v>
      </c>
      <c r="J17" s="52">
        <v>0.2</v>
      </c>
      <c r="K17" s="52">
        <v>287.91000000000003</v>
      </c>
      <c r="L17" s="52">
        <v>25.89</v>
      </c>
      <c r="M17" s="52">
        <v>100.52</v>
      </c>
      <c r="N17" s="52">
        <v>168.3</v>
      </c>
      <c r="O17" s="52">
        <v>0.4</v>
      </c>
      <c r="P17" s="52">
        <v>0.6</v>
      </c>
      <c r="Q17" s="52">
        <v>4.74</v>
      </c>
    </row>
    <row r="18" spans="1:17" customFormat="1">
      <c r="A18" s="51" t="s">
        <v>499</v>
      </c>
      <c r="B18" s="52">
        <v>12.78</v>
      </c>
      <c r="C18" s="52">
        <v>20.65</v>
      </c>
      <c r="D18" s="52">
        <v>22.35</v>
      </c>
      <c r="E18" s="52">
        <v>5.23</v>
      </c>
      <c r="F18" s="52">
        <v>4.37</v>
      </c>
      <c r="G18" s="52">
        <v>13.84</v>
      </c>
      <c r="H18" s="52">
        <v>9.9499999999999993</v>
      </c>
      <c r="I18" s="52">
        <v>7.16</v>
      </c>
      <c r="J18" s="52">
        <v>0.28000000000000003</v>
      </c>
      <c r="K18" s="52">
        <v>288.73</v>
      </c>
      <c r="L18" s="52">
        <v>28.62</v>
      </c>
      <c r="M18" s="52">
        <v>100.52</v>
      </c>
      <c r="N18" s="52">
        <v>492.3</v>
      </c>
      <c r="O18" s="52">
        <v>0</v>
      </c>
      <c r="P18" s="52">
        <v>0.59</v>
      </c>
      <c r="Q18" s="52">
        <v>4.74</v>
      </c>
    </row>
    <row r="19" spans="1:17" customFormat="1">
      <c r="A19" s="51" t="s">
        <v>500</v>
      </c>
      <c r="B19" s="52">
        <v>12.27</v>
      </c>
      <c r="C19" s="52">
        <v>17.61</v>
      </c>
      <c r="D19" s="52">
        <v>20.39</v>
      </c>
      <c r="E19" s="52">
        <v>3.31</v>
      </c>
      <c r="F19" s="52">
        <v>5.89</v>
      </c>
      <c r="G19" s="52">
        <v>15.55</v>
      </c>
      <c r="H19" s="52">
        <v>7.29</v>
      </c>
      <c r="I19" s="52">
        <v>6.93</v>
      </c>
      <c r="J19" s="52">
        <v>0.34</v>
      </c>
      <c r="K19" s="52">
        <v>262.58999999999997</v>
      </c>
      <c r="L19" s="52">
        <v>29.43</v>
      </c>
      <c r="M19" s="52">
        <v>86.88</v>
      </c>
      <c r="N19" s="52">
        <v>493.5</v>
      </c>
      <c r="O19" s="52">
        <v>0</v>
      </c>
      <c r="P19" s="52">
        <v>0.55000000000000004</v>
      </c>
      <c r="Q19" s="52">
        <v>4.6399999999999997</v>
      </c>
    </row>
    <row r="20" spans="1:17" customFormat="1">
      <c r="A20" s="51" t="s">
        <v>501</v>
      </c>
      <c r="B20" s="52">
        <v>10.199999999999999</v>
      </c>
      <c r="C20" s="52">
        <v>19.47</v>
      </c>
      <c r="D20" s="52">
        <v>18.829999999999998</v>
      </c>
      <c r="E20" s="52">
        <v>3.28</v>
      </c>
      <c r="F20" s="52">
        <v>5.66</v>
      </c>
      <c r="G20" s="52">
        <v>13.51</v>
      </c>
      <c r="H20" s="52">
        <v>5.0999999999999996</v>
      </c>
      <c r="I20" s="52">
        <v>6.3</v>
      </c>
      <c r="J20" s="52">
        <v>0.22</v>
      </c>
      <c r="K20" s="52">
        <v>263.07</v>
      </c>
      <c r="L20" s="52">
        <v>30.14</v>
      </c>
      <c r="M20" s="52">
        <v>83.19</v>
      </c>
      <c r="N20" s="52">
        <v>649.6</v>
      </c>
      <c r="O20" s="52">
        <v>0</v>
      </c>
      <c r="P20" s="52">
        <v>0.57999999999999996</v>
      </c>
      <c r="Q20" s="52">
        <v>4.53</v>
      </c>
    </row>
    <row r="21" spans="1:17" customFormat="1">
      <c r="A21" s="51" t="s">
        <v>502</v>
      </c>
      <c r="B21" s="52">
        <v>8.09</v>
      </c>
      <c r="C21" s="52">
        <v>15.8</v>
      </c>
      <c r="D21" s="52">
        <v>16.079999999999998</v>
      </c>
      <c r="E21" s="52">
        <v>2.64</v>
      </c>
      <c r="F21" s="52">
        <v>6.6</v>
      </c>
      <c r="G21" s="52">
        <v>11.82</v>
      </c>
      <c r="H21" s="52">
        <v>3.67</v>
      </c>
      <c r="I21" s="52">
        <v>5.78</v>
      </c>
      <c r="J21" s="52">
        <v>0.38</v>
      </c>
      <c r="K21" s="52">
        <v>247.01</v>
      </c>
      <c r="L21" s="52">
        <v>31.17</v>
      </c>
      <c r="M21" s="52">
        <v>78.5</v>
      </c>
      <c r="N21" s="52">
        <v>721</v>
      </c>
      <c r="O21" s="52">
        <v>0.2</v>
      </c>
      <c r="P21" s="52">
        <v>0.48</v>
      </c>
      <c r="Q21" s="52">
        <v>4.38</v>
      </c>
    </row>
    <row r="22" spans="1:17" customFormat="1">
      <c r="A22" s="51" t="s">
        <v>503</v>
      </c>
      <c r="B22" s="52">
        <v>7.89</v>
      </c>
      <c r="C22" s="52">
        <v>15.46</v>
      </c>
      <c r="D22" s="52">
        <v>15.74</v>
      </c>
      <c r="E22" s="52">
        <v>2.74</v>
      </c>
      <c r="F22" s="52">
        <v>5.56</v>
      </c>
      <c r="G22" s="52">
        <v>8.57</v>
      </c>
      <c r="H22" s="52">
        <v>2.95</v>
      </c>
      <c r="I22" s="52">
        <v>5.25</v>
      </c>
      <c r="J22" s="52">
        <v>0.35</v>
      </c>
      <c r="K22" s="52">
        <v>241.74</v>
      </c>
      <c r="L22" s="52">
        <v>31.63</v>
      </c>
      <c r="M22" s="52">
        <v>79.900000000000006</v>
      </c>
      <c r="N22" s="52">
        <v>824.7</v>
      </c>
      <c r="O22" s="52">
        <v>0</v>
      </c>
      <c r="P22" s="52">
        <v>0.45</v>
      </c>
      <c r="Q22" s="52">
        <v>4.32</v>
      </c>
    </row>
    <row r="23" spans="1:17" customFormat="1">
      <c r="A23" s="51" t="s">
        <v>504</v>
      </c>
      <c r="B23" s="52">
        <v>7.97</v>
      </c>
      <c r="C23" s="52">
        <v>14.75</v>
      </c>
      <c r="D23" s="52">
        <v>15.42</v>
      </c>
      <c r="E23" s="52">
        <v>2.4</v>
      </c>
      <c r="F23" s="52">
        <v>5.61</v>
      </c>
      <c r="G23" s="52">
        <v>7.28</v>
      </c>
      <c r="H23" s="52">
        <v>2.44</v>
      </c>
      <c r="I23" s="52">
        <v>4.97</v>
      </c>
      <c r="J23" s="52">
        <v>0.48</v>
      </c>
      <c r="K23" s="52">
        <v>251.61</v>
      </c>
      <c r="L23" s="52">
        <v>31.95</v>
      </c>
      <c r="M23" s="52">
        <v>88.26</v>
      </c>
      <c r="N23" s="52">
        <v>714.4</v>
      </c>
      <c r="O23" s="52">
        <v>0.4</v>
      </c>
      <c r="P23" s="52">
        <v>0.42</v>
      </c>
      <c r="Q23" s="52">
        <v>4.24</v>
      </c>
    </row>
    <row r="24" spans="1:17" customFormat="1">
      <c r="A24" s="51" t="s">
        <v>505</v>
      </c>
      <c r="B24" s="52">
        <v>8.5</v>
      </c>
      <c r="C24" s="52">
        <v>15.59</v>
      </c>
      <c r="D24" s="52">
        <v>16.309999999999999</v>
      </c>
      <c r="E24" s="52">
        <v>3.05</v>
      </c>
      <c r="F24" s="52">
        <v>6.45</v>
      </c>
      <c r="G24" s="52">
        <v>5.46</v>
      </c>
      <c r="H24" s="52">
        <v>1.92</v>
      </c>
      <c r="I24" s="52">
        <v>4.66</v>
      </c>
      <c r="J24" s="52">
        <v>0.19</v>
      </c>
      <c r="K24" s="52">
        <v>179.78</v>
      </c>
      <c r="L24" s="52">
        <v>30.37</v>
      </c>
      <c r="M24" s="52">
        <v>90.01</v>
      </c>
      <c r="N24" s="52">
        <v>449.1</v>
      </c>
      <c r="O24" s="52">
        <v>0</v>
      </c>
      <c r="P24" s="52">
        <v>0.42</v>
      </c>
      <c r="Q24" s="52">
        <v>4.26</v>
      </c>
    </row>
    <row r="25" spans="1:17" customFormat="1">
      <c r="A25" s="51" t="s">
        <v>506</v>
      </c>
      <c r="B25" s="52">
        <v>8.56</v>
      </c>
      <c r="C25" s="52">
        <v>18.190000000000001</v>
      </c>
      <c r="D25" s="52">
        <v>17</v>
      </c>
      <c r="E25" s="52">
        <v>2.93</v>
      </c>
      <c r="F25" s="52">
        <v>5.12</v>
      </c>
      <c r="G25" s="52">
        <v>4.1500000000000004</v>
      </c>
      <c r="H25" s="52">
        <v>1.5</v>
      </c>
      <c r="I25" s="52">
        <v>4.62</v>
      </c>
      <c r="J25" s="52">
        <v>0.4</v>
      </c>
      <c r="K25" s="52">
        <v>250.85</v>
      </c>
      <c r="L25" s="52">
        <v>30.83</v>
      </c>
      <c r="M25" s="52">
        <v>92.61</v>
      </c>
      <c r="N25" s="52">
        <v>330.1</v>
      </c>
      <c r="O25" s="52">
        <v>0.2</v>
      </c>
      <c r="P25" s="52">
        <v>0.47</v>
      </c>
      <c r="Q25" s="52">
        <v>4.34</v>
      </c>
    </row>
    <row r="26" spans="1:17" customFormat="1">
      <c r="A26" s="51" t="s">
        <v>507</v>
      </c>
      <c r="B26" s="52">
        <v>8.35</v>
      </c>
      <c r="C26" s="52">
        <v>13.6</v>
      </c>
      <c r="D26" s="52">
        <v>14.79</v>
      </c>
      <c r="E26" s="52">
        <v>2.62</v>
      </c>
      <c r="F26" s="52">
        <v>8.16</v>
      </c>
      <c r="G26" s="52">
        <v>3.86</v>
      </c>
      <c r="H26" s="52">
        <v>1.3</v>
      </c>
      <c r="I26" s="52">
        <v>4.4400000000000004</v>
      </c>
      <c r="J26" s="52">
        <v>0.24</v>
      </c>
      <c r="K26" s="52">
        <v>228.67</v>
      </c>
      <c r="L26" s="52">
        <v>27.12</v>
      </c>
      <c r="M26" s="52">
        <v>95.34</v>
      </c>
      <c r="N26" s="52">
        <v>10.6</v>
      </c>
      <c r="O26" s="52">
        <v>0.4</v>
      </c>
      <c r="P26" s="52">
        <v>0.37</v>
      </c>
      <c r="Q26" s="52">
        <v>4.24</v>
      </c>
    </row>
    <row r="27" spans="1:17" customFormat="1">
      <c r="A27" s="51" t="s">
        <v>508</v>
      </c>
      <c r="B27" s="52">
        <v>9.36</v>
      </c>
      <c r="C27" s="52">
        <v>17.100000000000001</v>
      </c>
      <c r="D27" s="52">
        <v>17.79</v>
      </c>
      <c r="E27" s="52">
        <v>5.34</v>
      </c>
      <c r="F27" s="52">
        <v>6.41</v>
      </c>
      <c r="G27" s="52">
        <v>4.4400000000000004</v>
      </c>
      <c r="H27" s="52">
        <v>0.99</v>
      </c>
      <c r="I27" s="52">
        <v>4.1900000000000004</v>
      </c>
      <c r="J27" s="52">
        <v>0.23</v>
      </c>
      <c r="K27" s="52">
        <v>253.1</v>
      </c>
      <c r="L27" s="52">
        <v>26.44</v>
      </c>
      <c r="M27" s="52">
        <v>97.57</v>
      </c>
      <c r="N27" s="52">
        <v>0</v>
      </c>
      <c r="O27" s="52">
        <v>0.6</v>
      </c>
      <c r="P27" s="52">
        <v>0.4</v>
      </c>
      <c r="Q27" s="52">
        <v>4.3600000000000003</v>
      </c>
    </row>
    <row r="28" spans="1:17" customFormat="1">
      <c r="A28" s="51" t="s">
        <v>509</v>
      </c>
      <c r="B28" s="52">
        <v>10.19</v>
      </c>
      <c r="C28" s="52">
        <v>17.57</v>
      </c>
      <c r="D28" s="52">
        <v>18.489999999999998</v>
      </c>
      <c r="E28" s="52">
        <v>5.52</v>
      </c>
      <c r="F28" s="52">
        <v>6.94</v>
      </c>
      <c r="G28" s="52">
        <v>3.37</v>
      </c>
      <c r="H28" s="52">
        <v>1.1499999999999999</v>
      </c>
      <c r="I28" s="52">
        <v>4.1100000000000003</v>
      </c>
      <c r="J28" s="52">
        <v>0.1</v>
      </c>
      <c r="K28" s="52">
        <v>200.68</v>
      </c>
      <c r="L28" s="52">
        <v>26.14</v>
      </c>
      <c r="M28" s="52">
        <v>98.81</v>
      </c>
      <c r="N28" s="52">
        <v>0</v>
      </c>
      <c r="O28" s="52">
        <v>0</v>
      </c>
      <c r="P28" s="52">
        <v>0.41</v>
      </c>
      <c r="Q28" s="52">
        <v>4.38</v>
      </c>
    </row>
    <row r="29" spans="1:17" customFormat="1">
      <c r="A29" s="51" t="s">
        <v>510</v>
      </c>
      <c r="B29" s="52">
        <v>10.98</v>
      </c>
      <c r="C29" s="52">
        <v>17.309999999999999</v>
      </c>
      <c r="D29" s="52">
        <v>19.149999999999999</v>
      </c>
      <c r="E29" s="52">
        <v>5.81</v>
      </c>
      <c r="F29" s="52">
        <v>6.37</v>
      </c>
      <c r="G29" s="52">
        <v>2.73</v>
      </c>
      <c r="H29" s="52">
        <v>1.03</v>
      </c>
      <c r="I29" s="52">
        <v>3.96</v>
      </c>
      <c r="J29" s="52">
        <v>0.19</v>
      </c>
      <c r="K29" s="52">
        <v>277.39</v>
      </c>
      <c r="L29" s="52">
        <v>26.12</v>
      </c>
      <c r="M29" s="52">
        <v>98.97</v>
      </c>
      <c r="N29" s="52">
        <v>0</v>
      </c>
      <c r="O29" s="52">
        <v>0</v>
      </c>
      <c r="P29" s="52">
        <v>0.42</v>
      </c>
      <c r="Q29" s="52">
        <v>4.45</v>
      </c>
    </row>
    <row r="30" spans="1:17" customFormat="1">
      <c r="A30" s="51" t="s">
        <v>511</v>
      </c>
      <c r="B30" s="52">
        <v>11.16</v>
      </c>
      <c r="C30" s="52">
        <v>16.87</v>
      </c>
      <c r="D30" s="52">
        <v>18.61</v>
      </c>
      <c r="E30" s="52">
        <v>5.52</v>
      </c>
      <c r="F30" s="52">
        <v>4.76</v>
      </c>
      <c r="G30" s="52">
        <v>2.2400000000000002</v>
      </c>
      <c r="H30" s="52">
        <v>1.75</v>
      </c>
      <c r="I30" s="52">
        <v>4.0599999999999996</v>
      </c>
      <c r="J30" s="52">
        <v>0.13</v>
      </c>
      <c r="K30" s="52">
        <v>281.88</v>
      </c>
      <c r="L30" s="52">
        <v>25.62</v>
      </c>
      <c r="M30" s="52">
        <v>97.77</v>
      </c>
      <c r="N30" s="52">
        <v>0</v>
      </c>
      <c r="O30" s="52">
        <v>0</v>
      </c>
      <c r="P30" s="52">
        <v>0.42</v>
      </c>
      <c r="Q30" s="52">
        <v>4.4400000000000004</v>
      </c>
    </row>
    <row r="31" spans="1:17" customFormat="1">
      <c r="A31" s="51" t="s">
        <v>512</v>
      </c>
      <c r="B31" s="52">
        <v>11.58</v>
      </c>
      <c r="C31" s="52">
        <v>15.24</v>
      </c>
      <c r="D31" s="52">
        <v>18.420000000000002</v>
      </c>
      <c r="E31" s="52">
        <v>4.95</v>
      </c>
      <c r="F31" s="52">
        <v>3.39</v>
      </c>
      <c r="G31" s="52">
        <v>3.59</v>
      </c>
      <c r="H31" s="52">
        <v>1.69</v>
      </c>
      <c r="I31" s="52">
        <v>3.88</v>
      </c>
      <c r="J31" s="52">
        <v>0.17</v>
      </c>
      <c r="K31" s="52">
        <v>249.36</v>
      </c>
      <c r="L31" s="52">
        <v>25.37</v>
      </c>
      <c r="M31" s="52">
        <v>98.02</v>
      </c>
      <c r="N31" s="52">
        <v>0</v>
      </c>
      <c r="O31" s="52">
        <v>0</v>
      </c>
      <c r="P31" s="52">
        <v>0.39</v>
      </c>
      <c r="Q31" s="52">
        <v>4.4400000000000004</v>
      </c>
    </row>
    <row r="32" spans="1:17" customFormat="1">
      <c r="A32" s="51" t="s">
        <v>513</v>
      </c>
      <c r="B32" s="52">
        <v>12.59</v>
      </c>
      <c r="C32" s="52">
        <v>17.920000000000002</v>
      </c>
      <c r="D32" s="52">
        <v>20.48</v>
      </c>
      <c r="E32" s="52">
        <v>5.77</v>
      </c>
      <c r="F32" s="52">
        <v>3.77</v>
      </c>
      <c r="G32" s="52">
        <v>6.76</v>
      </c>
      <c r="H32" s="52">
        <v>1.56</v>
      </c>
      <c r="I32" s="52">
        <v>3.77</v>
      </c>
      <c r="J32" s="52">
        <v>0.15</v>
      </c>
      <c r="K32" s="52">
        <v>248.42</v>
      </c>
      <c r="L32" s="52">
        <v>25.06</v>
      </c>
      <c r="M32" s="52">
        <v>97.19</v>
      </c>
      <c r="N32" s="52">
        <v>0</v>
      </c>
      <c r="O32" s="52">
        <v>0</v>
      </c>
      <c r="P32" s="52">
        <v>0.4</v>
      </c>
      <c r="Q32" s="52">
        <v>4.54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7.89</v>
      </c>
      <c r="C34" s="41">
        <f t="shared" si="0"/>
        <v>13.6</v>
      </c>
      <c r="D34" s="41">
        <f t="shared" si="0"/>
        <v>14.79</v>
      </c>
      <c r="E34" s="41">
        <f t="shared" si="0"/>
        <v>2.4</v>
      </c>
      <c r="F34" s="41">
        <f t="shared" si="0"/>
        <v>3.02</v>
      </c>
      <c r="G34" s="41">
        <f t="shared" si="0"/>
        <v>2.2400000000000002</v>
      </c>
      <c r="H34" s="41">
        <f t="shared" si="0"/>
        <v>0.99</v>
      </c>
      <c r="I34" s="41">
        <f t="shared" si="0"/>
        <v>3.77</v>
      </c>
      <c r="J34" s="41">
        <f t="shared" si="0"/>
        <v>0.1</v>
      </c>
      <c r="K34" s="41">
        <f t="shared" si="0"/>
        <v>179.78</v>
      </c>
      <c r="L34" s="41">
        <f t="shared" si="0"/>
        <v>24.69</v>
      </c>
      <c r="M34" s="41">
        <f t="shared" si="0"/>
        <v>78.5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4.24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13.47</v>
      </c>
      <c r="C35" s="33">
        <f t="shared" si="1"/>
        <v>22.71</v>
      </c>
      <c r="D35" s="33">
        <f t="shared" si="1"/>
        <v>23.08</v>
      </c>
      <c r="E35" s="33">
        <f t="shared" si="1"/>
        <v>5.81</v>
      </c>
      <c r="F35" s="33">
        <f t="shared" si="1"/>
        <v>8.16</v>
      </c>
      <c r="G35" s="33">
        <f t="shared" si="1"/>
        <v>20.34</v>
      </c>
      <c r="H35" s="33">
        <f t="shared" si="1"/>
        <v>18</v>
      </c>
      <c r="I35" s="33">
        <f t="shared" si="1"/>
        <v>9.32</v>
      </c>
      <c r="J35" s="33">
        <f t="shared" si="1"/>
        <v>0.48</v>
      </c>
      <c r="K35" s="33">
        <f t="shared" si="1"/>
        <v>288.73</v>
      </c>
      <c r="L35" s="33">
        <f t="shared" si="1"/>
        <v>31.95</v>
      </c>
      <c r="M35" s="33">
        <f t="shared" si="1"/>
        <v>100.6</v>
      </c>
      <c r="N35" s="33">
        <f t="shared" si="1"/>
        <v>824.7</v>
      </c>
      <c r="O35" s="33">
        <f t="shared" si="1"/>
        <v>0.6</v>
      </c>
      <c r="P35" s="33">
        <f t="shared" si="1"/>
        <v>0.63</v>
      </c>
      <c r="Q35" s="33">
        <f t="shared" si="1"/>
        <v>4.84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11.042499999999999</v>
      </c>
      <c r="C36" s="41">
        <f t="shared" si="2"/>
        <v>18.480833333333333</v>
      </c>
      <c r="D36" s="41">
        <f t="shared" si="2"/>
        <v>19.672083333333337</v>
      </c>
      <c r="E36" s="41">
        <f t="shared" si="2"/>
        <v>4.1141666666666667</v>
      </c>
      <c r="F36" s="41">
        <f t="shared" si="2"/>
        <v>5.0954166666666669</v>
      </c>
      <c r="G36" s="41">
        <f t="shared" si="2"/>
        <v>10.849166666666667</v>
      </c>
      <c r="H36" s="41">
        <f t="shared" si="2"/>
        <v>6.3849999999999989</v>
      </c>
      <c r="I36" s="41">
        <f t="shared" si="2"/>
        <v>6.1245833333333337</v>
      </c>
      <c r="J36" s="41">
        <f t="shared" si="2"/>
        <v>0.23041666666666671</v>
      </c>
      <c r="K36" s="41">
        <f t="shared" si="2"/>
        <v>252.84208333333342</v>
      </c>
      <c r="L36" s="41">
        <f t="shared" si="2"/>
        <v>27.146249999999998</v>
      </c>
      <c r="M36" s="41">
        <f t="shared" si="2"/>
        <v>95.333749999999995</v>
      </c>
      <c r="N36" s="41">
        <f t="shared" si="2"/>
        <v>205.72083333333339</v>
      </c>
      <c r="O36" s="41">
        <f t="shared" si="2"/>
        <v>0.11666666666666668</v>
      </c>
      <c r="P36" s="41">
        <f t="shared" si="2"/>
        <v>0.505</v>
      </c>
      <c r="Q36" s="41">
        <f t="shared" si="2"/>
        <v>4.5512500000000005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1.9383593465922946</v>
      </c>
      <c r="C37" s="41">
        <f t="shared" ref="C37:Q37" si="3">STDEV(C9:C32)</f>
        <v>2.6159459452377436</v>
      </c>
      <c r="D37" s="41">
        <f t="shared" si="3"/>
        <v>2.7778580725109556</v>
      </c>
      <c r="E37" s="41">
        <f t="shared" si="3"/>
        <v>1.1305324511876711</v>
      </c>
      <c r="F37" s="41">
        <f t="shared" si="3"/>
        <v>1.2933205633987834</v>
      </c>
      <c r="G37" s="41">
        <f t="shared" si="3"/>
        <v>6.1474624787416374</v>
      </c>
      <c r="H37" s="41">
        <f t="shared" si="3"/>
        <v>5.1988962039196789</v>
      </c>
      <c r="I37" s="41">
        <f t="shared" si="3"/>
        <v>1.8304097406975792</v>
      </c>
      <c r="J37" s="41">
        <f t="shared" si="3"/>
        <v>0.10036798236518429</v>
      </c>
      <c r="K37" s="41">
        <f t="shared" si="3"/>
        <v>24.743032041393132</v>
      </c>
      <c r="L37" s="41">
        <f t="shared" si="3"/>
        <v>2.5775077489024558</v>
      </c>
      <c r="M37" s="41">
        <f t="shared" si="3"/>
        <v>7.0404179795015507</v>
      </c>
      <c r="N37" s="41">
        <f t="shared" si="3"/>
        <v>290.87318315296142</v>
      </c>
      <c r="O37" s="41">
        <f t="shared" si="3"/>
        <v>0.18572224859501463</v>
      </c>
      <c r="P37" s="41">
        <f t="shared" si="3"/>
        <v>9.0889325914638663E-2</v>
      </c>
      <c r="Q37" s="41">
        <f t="shared" si="3"/>
        <v>0.20829144506425101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514</v>
      </c>
      <c r="B9" s="52">
        <v>12.44</v>
      </c>
      <c r="C9" s="52">
        <v>19.05</v>
      </c>
      <c r="D9" s="52">
        <v>20.81</v>
      </c>
      <c r="E9" s="52">
        <v>5.86</v>
      </c>
      <c r="F9" s="52">
        <v>3.01</v>
      </c>
      <c r="G9" s="52">
        <v>5.1100000000000003</v>
      </c>
      <c r="H9" s="52">
        <v>1.48</v>
      </c>
      <c r="I9" s="52">
        <v>3.73</v>
      </c>
      <c r="J9" s="52">
        <v>0.28000000000000003</v>
      </c>
      <c r="K9" s="52">
        <v>125.73</v>
      </c>
      <c r="L9" s="52">
        <v>24.95</v>
      </c>
      <c r="M9" s="52">
        <v>96.92</v>
      </c>
      <c r="N9" s="52">
        <v>0</v>
      </c>
      <c r="O9" s="52">
        <v>0</v>
      </c>
      <c r="P9" s="52">
        <v>0.41</v>
      </c>
      <c r="Q9" s="52">
        <v>4.63</v>
      </c>
    </row>
    <row r="10" spans="1:21" customFormat="1">
      <c r="A10" s="51" t="s">
        <v>515</v>
      </c>
      <c r="B10" s="52">
        <v>12.89</v>
      </c>
      <c r="C10" s="52">
        <v>18.53</v>
      </c>
      <c r="D10" s="52">
        <v>21.36</v>
      </c>
      <c r="E10" s="52">
        <v>5.93</v>
      </c>
      <c r="F10" s="52">
        <v>3.31</v>
      </c>
      <c r="G10" s="52">
        <v>4.8499999999999996</v>
      </c>
      <c r="H10" s="52">
        <v>1.43</v>
      </c>
      <c r="I10" s="52">
        <v>3.71</v>
      </c>
      <c r="J10" s="52">
        <v>0.2</v>
      </c>
      <c r="K10" s="52">
        <v>143.52000000000001</v>
      </c>
      <c r="L10" s="52">
        <v>25.04</v>
      </c>
      <c r="M10" s="52">
        <v>97.02</v>
      </c>
      <c r="N10" s="52">
        <v>0</v>
      </c>
      <c r="O10" s="52">
        <v>0</v>
      </c>
      <c r="P10" s="52">
        <v>0.4</v>
      </c>
      <c r="Q10" s="52">
        <v>4.7</v>
      </c>
    </row>
    <row r="11" spans="1:21" customFormat="1">
      <c r="A11" s="51" t="s">
        <v>516</v>
      </c>
      <c r="B11" s="52">
        <v>13.21</v>
      </c>
      <c r="C11" s="52">
        <v>20.07</v>
      </c>
      <c r="D11" s="52">
        <v>21.81</v>
      </c>
      <c r="E11" s="52">
        <v>5.57</v>
      </c>
      <c r="F11" s="52">
        <v>3.36</v>
      </c>
      <c r="G11" s="52">
        <v>3.67</v>
      </c>
      <c r="H11" s="52">
        <v>1.42</v>
      </c>
      <c r="I11" s="52">
        <v>3.71</v>
      </c>
      <c r="J11" s="52">
        <v>0.16</v>
      </c>
      <c r="K11" s="52">
        <v>280</v>
      </c>
      <c r="L11" s="52">
        <v>24.98</v>
      </c>
      <c r="M11" s="52">
        <v>97.58</v>
      </c>
      <c r="N11" s="52">
        <v>0</v>
      </c>
      <c r="O11" s="52">
        <v>0</v>
      </c>
      <c r="P11" s="52">
        <v>0.45</v>
      </c>
      <c r="Q11" s="52">
        <v>4.75</v>
      </c>
    </row>
    <row r="12" spans="1:21" customFormat="1">
      <c r="A12" s="51" t="s">
        <v>517</v>
      </c>
      <c r="B12" s="52">
        <v>12.78</v>
      </c>
      <c r="C12" s="52">
        <v>19.13</v>
      </c>
      <c r="D12" s="52">
        <v>21.14</v>
      </c>
      <c r="E12" s="52">
        <v>4.7699999999999996</v>
      </c>
      <c r="F12" s="52">
        <v>3.3</v>
      </c>
      <c r="G12" s="52">
        <v>5.47</v>
      </c>
      <c r="H12" s="52">
        <v>1.45</v>
      </c>
      <c r="I12" s="52">
        <v>3.65</v>
      </c>
      <c r="J12" s="52">
        <v>0.15</v>
      </c>
      <c r="K12" s="52">
        <v>268.89</v>
      </c>
      <c r="L12" s="52">
        <v>24.94</v>
      </c>
      <c r="M12" s="52">
        <v>96.35</v>
      </c>
      <c r="N12" s="52">
        <v>0</v>
      </c>
      <c r="O12" s="52">
        <v>0</v>
      </c>
      <c r="P12" s="52">
        <v>0.41</v>
      </c>
      <c r="Q12" s="52">
        <v>4.75</v>
      </c>
    </row>
    <row r="13" spans="1:21" customFormat="1">
      <c r="A13" s="51" t="s">
        <v>518</v>
      </c>
      <c r="B13" s="52">
        <v>13.57</v>
      </c>
      <c r="C13" s="52">
        <v>19.13</v>
      </c>
      <c r="D13" s="52">
        <v>21.91</v>
      </c>
      <c r="E13" s="52">
        <v>4.74</v>
      </c>
      <c r="F13" s="52">
        <v>2.98</v>
      </c>
      <c r="G13" s="52">
        <v>4.4000000000000004</v>
      </c>
      <c r="H13" s="52">
        <v>1.36</v>
      </c>
      <c r="I13" s="52">
        <v>3.44</v>
      </c>
      <c r="J13" s="52">
        <v>0.18</v>
      </c>
      <c r="K13" s="52">
        <v>254.01</v>
      </c>
      <c r="L13" s="52">
        <v>24.85</v>
      </c>
      <c r="M13" s="52">
        <v>96.63</v>
      </c>
      <c r="N13" s="52">
        <v>0</v>
      </c>
      <c r="O13" s="52">
        <v>0</v>
      </c>
      <c r="P13" s="52">
        <v>0.39</v>
      </c>
      <c r="Q13" s="52">
        <v>4.76</v>
      </c>
    </row>
    <row r="14" spans="1:21" customFormat="1">
      <c r="A14" s="51" t="s">
        <v>519</v>
      </c>
      <c r="B14" s="52">
        <v>14.17</v>
      </c>
      <c r="C14" s="52">
        <v>19.46</v>
      </c>
      <c r="D14" s="52">
        <v>22.65</v>
      </c>
      <c r="E14" s="52">
        <v>5.62</v>
      </c>
      <c r="F14" s="52">
        <v>3.11</v>
      </c>
      <c r="G14" s="52">
        <v>3.18</v>
      </c>
      <c r="H14" s="52">
        <v>1.35</v>
      </c>
      <c r="I14" s="52">
        <v>3.43</v>
      </c>
      <c r="J14" s="52">
        <v>0.21</v>
      </c>
      <c r="K14" s="52">
        <v>135.66999999999999</v>
      </c>
      <c r="L14" s="52">
        <v>24.89</v>
      </c>
      <c r="M14" s="52">
        <v>98.15</v>
      </c>
      <c r="N14" s="52">
        <v>0.6</v>
      </c>
      <c r="O14" s="52">
        <v>0.4</v>
      </c>
      <c r="P14" s="52">
        <v>0.39</v>
      </c>
      <c r="Q14" s="52">
        <v>4.79</v>
      </c>
    </row>
    <row r="15" spans="1:21" customFormat="1">
      <c r="A15" s="51" t="s">
        <v>520</v>
      </c>
      <c r="B15" s="52">
        <v>14.74</v>
      </c>
      <c r="C15" s="52">
        <v>18.79</v>
      </c>
      <c r="D15" s="52">
        <v>22.88</v>
      </c>
      <c r="E15" s="52">
        <v>5.52</v>
      </c>
      <c r="F15" s="52">
        <v>3.07</v>
      </c>
      <c r="G15" s="52">
        <v>2.42</v>
      </c>
      <c r="H15" s="52">
        <v>1.33</v>
      </c>
      <c r="I15" s="52">
        <v>3.42</v>
      </c>
      <c r="J15" s="52">
        <v>0.18</v>
      </c>
      <c r="K15" s="52">
        <v>141.32</v>
      </c>
      <c r="L15" s="52">
        <v>25.11</v>
      </c>
      <c r="M15" s="52">
        <v>98.55</v>
      </c>
      <c r="N15" s="52">
        <v>31.6</v>
      </c>
      <c r="O15" s="52">
        <v>0</v>
      </c>
      <c r="P15" s="52">
        <v>0.38</v>
      </c>
      <c r="Q15" s="52">
        <v>4.8499999999999996</v>
      </c>
    </row>
    <row r="16" spans="1:21" customFormat="1">
      <c r="A16" s="51" t="s">
        <v>521</v>
      </c>
      <c r="B16" s="52">
        <v>14.9</v>
      </c>
      <c r="C16" s="52">
        <v>19.47</v>
      </c>
      <c r="D16" s="52">
        <v>23.38</v>
      </c>
      <c r="E16" s="52">
        <v>5.58</v>
      </c>
      <c r="F16" s="52">
        <v>3.09</v>
      </c>
      <c r="G16" s="52">
        <v>1.89</v>
      </c>
      <c r="H16" s="52">
        <v>1.3</v>
      </c>
      <c r="I16" s="52">
        <v>3.41</v>
      </c>
      <c r="J16" s="52">
        <v>0.37</v>
      </c>
      <c r="K16" s="52">
        <v>283.57</v>
      </c>
      <c r="L16" s="52">
        <v>25.76</v>
      </c>
      <c r="M16" s="52">
        <v>96.55</v>
      </c>
      <c r="N16" s="52">
        <v>138.19999999999999</v>
      </c>
      <c r="O16" s="52">
        <v>0</v>
      </c>
      <c r="P16" s="52">
        <v>0.42</v>
      </c>
      <c r="Q16" s="52">
        <v>4.87</v>
      </c>
    </row>
    <row r="17" spans="1:17" customFormat="1">
      <c r="A17" s="51" t="s">
        <v>522</v>
      </c>
      <c r="B17" s="52">
        <v>13.45</v>
      </c>
      <c r="C17" s="52">
        <v>20.84</v>
      </c>
      <c r="D17" s="52">
        <v>23.02</v>
      </c>
      <c r="E17" s="52">
        <v>5.25</v>
      </c>
      <c r="F17" s="52">
        <v>3.35</v>
      </c>
      <c r="G17" s="52">
        <v>1.9</v>
      </c>
      <c r="H17" s="52">
        <v>1.33</v>
      </c>
      <c r="I17" s="52">
        <v>3.43</v>
      </c>
      <c r="J17" s="52">
        <v>0.27</v>
      </c>
      <c r="K17" s="52">
        <v>279.26</v>
      </c>
      <c r="L17" s="52">
        <v>25.94</v>
      </c>
      <c r="M17" s="52">
        <v>92.41</v>
      </c>
      <c r="N17" s="52">
        <v>124.7</v>
      </c>
      <c r="O17" s="52">
        <v>0</v>
      </c>
      <c r="P17" s="52">
        <v>0.43</v>
      </c>
      <c r="Q17" s="52">
        <v>4.87</v>
      </c>
    </row>
    <row r="18" spans="1:17" customFormat="1">
      <c r="A18" s="51" t="s">
        <v>523</v>
      </c>
      <c r="B18" s="52">
        <v>13.95</v>
      </c>
      <c r="C18" s="52">
        <v>19.170000000000002</v>
      </c>
      <c r="D18" s="52">
        <v>22.45</v>
      </c>
      <c r="E18" s="52">
        <v>5.23</v>
      </c>
      <c r="F18" s="52">
        <v>3.5</v>
      </c>
      <c r="G18" s="52">
        <v>1.82</v>
      </c>
      <c r="H18" s="52">
        <v>1.3</v>
      </c>
      <c r="I18" s="52">
        <v>3.27</v>
      </c>
      <c r="J18" s="52">
        <v>0.16</v>
      </c>
      <c r="K18" s="52">
        <v>275.26</v>
      </c>
      <c r="L18" s="52">
        <v>26.86</v>
      </c>
      <c r="M18" s="52">
        <v>90.89</v>
      </c>
      <c r="N18" s="52">
        <v>205.1</v>
      </c>
      <c r="O18" s="52">
        <v>0</v>
      </c>
      <c r="P18" s="52">
        <v>0.38</v>
      </c>
      <c r="Q18" s="52">
        <v>4.7699999999999996</v>
      </c>
    </row>
    <row r="19" spans="1:17" customFormat="1">
      <c r="A19" s="51" t="s">
        <v>524</v>
      </c>
      <c r="B19" s="52">
        <v>13.59</v>
      </c>
      <c r="C19" s="52">
        <v>18.93</v>
      </c>
      <c r="D19" s="52">
        <v>21.84</v>
      </c>
      <c r="E19" s="52">
        <v>4.1500000000000004</v>
      </c>
      <c r="F19" s="52">
        <v>3.53</v>
      </c>
      <c r="G19" s="52">
        <v>4.4400000000000004</v>
      </c>
      <c r="H19" s="52">
        <v>1.27</v>
      </c>
      <c r="I19" s="52">
        <v>3.21</v>
      </c>
      <c r="J19" s="52">
        <v>0.19</v>
      </c>
      <c r="K19" s="52">
        <v>295.25</v>
      </c>
      <c r="L19" s="52">
        <v>27.54</v>
      </c>
      <c r="M19" s="52">
        <v>87.73</v>
      </c>
      <c r="N19" s="52">
        <v>303.5</v>
      </c>
      <c r="O19" s="52">
        <v>0</v>
      </c>
      <c r="P19" s="52">
        <v>0.38</v>
      </c>
      <c r="Q19" s="52">
        <v>4.7300000000000004</v>
      </c>
    </row>
    <row r="20" spans="1:17" customFormat="1">
      <c r="A20" s="51" t="s">
        <v>525</v>
      </c>
      <c r="B20" s="52">
        <v>13.19</v>
      </c>
      <c r="C20" s="52">
        <v>16.96</v>
      </c>
      <c r="D20" s="52">
        <v>20.78</v>
      </c>
      <c r="E20" s="52">
        <v>3.52</v>
      </c>
      <c r="F20" s="52">
        <v>3.73</v>
      </c>
      <c r="G20" s="52">
        <v>3.47</v>
      </c>
      <c r="H20" s="52">
        <v>1.26</v>
      </c>
      <c r="I20" s="52">
        <v>3.23</v>
      </c>
      <c r="J20" s="52">
        <v>0.45</v>
      </c>
      <c r="K20" s="52">
        <v>262.01</v>
      </c>
      <c r="L20" s="52">
        <v>28.22</v>
      </c>
      <c r="M20" s="52">
        <v>83.58</v>
      </c>
      <c r="N20" s="52">
        <v>305</v>
      </c>
      <c r="O20" s="52">
        <v>0</v>
      </c>
      <c r="P20" s="52">
        <v>0.36</v>
      </c>
      <c r="Q20" s="52">
        <v>4.7</v>
      </c>
    </row>
    <row r="21" spans="1:17" customFormat="1">
      <c r="A21" s="51" t="s">
        <v>526</v>
      </c>
      <c r="B21" s="52">
        <v>12.12</v>
      </c>
      <c r="C21" s="52">
        <v>18.75</v>
      </c>
      <c r="D21" s="52">
        <v>20.87</v>
      </c>
      <c r="E21" s="52">
        <v>4.03</v>
      </c>
      <c r="F21" s="52">
        <v>4.0199999999999996</v>
      </c>
      <c r="G21" s="52">
        <v>2.5099999999999998</v>
      </c>
      <c r="H21" s="52">
        <v>1.25</v>
      </c>
      <c r="I21" s="52">
        <v>3.15</v>
      </c>
      <c r="J21" s="52">
        <v>0.56000000000000005</v>
      </c>
      <c r="K21" s="52">
        <v>259.45</v>
      </c>
      <c r="L21" s="52">
        <v>27.64</v>
      </c>
      <c r="M21" s="52">
        <v>84.01</v>
      </c>
      <c r="N21" s="52">
        <v>246.9</v>
      </c>
      <c r="O21" s="52">
        <v>0</v>
      </c>
      <c r="P21" s="52">
        <v>0.38</v>
      </c>
      <c r="Q21" s="52">
        <v>4.6500000000000004</v>
      </c>
    </row>
    <row r="22" spans="1:17" customFormat="1">
      <c r="A22" s="51" t="s">
        <v>527</v>
      </c>
      <c r="B22" s="52">
        <v>11.34</v>
      </c>
      <c r="C22" s="52">
        <v>18.78</v>
      </c>
      <c r="D22" s="52">
        <v>19.670000000000002</v>
      </c>
      <c r="E22" s="52">
        <v>3.67</v>
      </c>
      <c r="F22" s="52">
        <v>4.45</v>
      </c>
      <c r="G22" s="52">
        <v>1.78</v>
      </c>
      <c r="H22" s="52">
        <v>1.34</v>
      </c>
      <c r="I22" s="52">
        <v>3.12</v>
      </c>
      <c r="J22" s="52">
        <v>0.56000000000000005</v>
      </c>
      <c r="K22" s="52">
        <v>253.91</v>
      </c>
      <c r="L22" s="52">
        <v>28.46</v>
      </c>
      <c r="M22" s="52">
        <v>83.27</v>
      </c>
      <c r="N22" s="52">
        <v>293.5</v>
      </c>
      <c r="O22" s="52">
        <v>0</v>
      </c>
      <c r="P22" s="52">
        <v>0.4</v>
      </c>
      <c r="Q22" s="52">
        <v>4.58</v>
      </c>
    </row>
    <row r="23" spans="1:17" customFormat="1">
      <c r="A23" s="51" t="s">
        <v>528</v>
      </c>
      <c r="B23" s="52">
        <v>10.31</v>
      </c>
      <c r="C23" s="52">
        <v>16.760000000000002</v>
      </c>
      <c r="D23" s="52">
        <v>18.29</v>
      </c>
      <c r="E23" s="52">
        <v>3.02</v>
      </c>
      <c r="F23" s="52">
        <v>3.81</v>
      </c>
      <c r="G23" s="52">
        <v>1.86</v>
      </c>
      <c r="H23" s="52">
        <v>1.3</v>
      </c>
      <c r="I23" s="52">
        <v>2.86</v>
      </c>
      <c r="J23" s="52">
        <v>0.55000000000000004</v>
      </c>
      <c r="K23" s="52">
        <v>266.23</v>
      </c>
      <c r="L23" s="52">
        <v>28.49</v>
      </c>
      <c r="M23" s="52">
        <v>84.82</v>
      </c>
      <c r="N23" s="52">
        <v>188.4</v>
      </c>
      <c r="O23" s="52">
        <v>0</v>
      </c>
      <c r="P23" s="52">
        <v>0.34</v>
      </c>
      <c r="Q23" s="52">
        <v>4.4400000000000004</v>
      </c>
    </row>
    <row r="24" spans="1:17" customFormat="1">
      <c r="A24" s="51" t="s">
        <v>529</v>
      </c>
      <c r="B24" s="52">
        <v>10.19</v>
      </c>
      <c r="C24" s="52">
        <v>18.27</v>
      </c>
      <c r="D24" s="52">
        <v>19.059999999999999</v>
      </c>
      <c r="E24" s="52">
        <v>3.15</v>
      </c>
      <c r="F24" s="52">
        <v>3.54</v>
      </c>
      <c r="G24" s="52">
        <v>3.37</v>
      </c>
      <c r="H24" s="52">
        <v>1.28</v>
      </c>
      <c r="I24" s="52">
        <v>2.93</v>
      </c>
      <c r="J24" s="52">
        <v>0.61</v>
      </c>
      <c r="K24" s="52">
        <v>258.06</v>
      </c>
      <c r="L24" s="52">
        <v>27.89</v>
      </c>
      <c r="M24" s="52">
        <v>84.08</v>
      </c>
      <c r="N24" s="52">
        <v>211.7</v>
      </c>
      <c r="O24" s="52">
        <v>0</v>
      </c>
      <c r="P24" s="52">
        <v>0.36</v>
      </c>
      <c r="Q24" s="52">
        <v>4.4800000000000004</v>
      </c>
    </row>
    <row r="25" spans="1:17" customFormat="1">
      <c r="A25" s="51" t="s">
        <v>530</v>
      </c>
      <c r="B25" s="52">
        <v>10.01</v>
      </c>
      <c r="C25" s="52">
        <v>17.47</v>
      </c>
      <c r="D25" s="52">
        <v>18.43</v>
      </c>
      <c r="E25" s="52">
        <v>3.28</v>
      </c>
      <c r="F25" s="52">
        <v>3.85</v>
      </c>
      <c r="G25" s="52">
        <v>4.7699999999999996</v>
      </c>
      <c r="H25" s="52">
        <v>1.27</v>
      </c>
      <c r="I25" s="52">
        <v>2.83</v>
      </c>
      <c r="J25" s="52">
        <v>0.53</v>
      </c>
      <c r="K25" s="52">
        <v>256.83999999999997</v>
      </c>
      <c r="L25" s="52">
        <v>27.6</v>
      </c>
      <c r="M25" s="52">
        <v>84.91</v>
      </c>
      <c r="N25" s="52">
        <v>113.5</v>
      </c>
      <c r="O25" s="52">
        <v>0</v>
      </c>
      <c r="P25" s="52">
        <v>0.35</v>
      </c>
      <c r="Q25" s="52">
        <v>4.42</v>
      </c>
    </row>
    <row r="26" spans="1:17" customFormat="1">
      <c r="A26" s="51" t="s">
        <v>531</v>
      </c>
      <c r="B26" s="52">
        <v>9.9</v>
      </c>
      <c r="C26" s="52">
        <v>16</v>
      </c>
      <c r="D26" s="52">
        <v>17.649999999999999</v>
      </c>
      <c r="E26" s="52">
        <v>3.5</v>
      </c>
      <c r="F26" s="52">
        <v>4.4800000000000004</v>
      </c>
      <c r="G26" s="52">
        <v>6.96</v>
      </c>
      <c r="H26" s="52">
        <v>1.25</v>
      </c>
      <c r="I26" s="52">
        <v>2.84</v>
      </c>
      <c r="J26" s="52">
        <v>0.63</v>
      </c>
      <c r="K26" s="52">
        <v>262.5</v>
      </c>
      <c r="L26" s="52">
        <v>26.92</v>
      </c>
      <c r="M26" s="52">
        <v>85.22</v>
      </c>
      <c r="N26" s="52">
        <v>42.8</v>
      </c>
      <c r="O26" s="52">
        <v>0</v>
      </c>
      <c r="P26" s="52">
        <v>0.34</v>
      </c>
      <c r="Q26" s="52">
        <v>4.4000000000000004</v>
      </c>
    </row>
    <row r="27" spans="1:17" customFormat="1">
      <c r="A27" s="51" t="s">
        <v>532</v>
      </c>
      <c r="B27" s="52">
        <v>9.64</v>
      </c>
      <c r="C27" s="52">
        <v>19.87</v>
      </c>
      <c r="D27" s="52">
        <v>18.84</v>
      </c>
      <c r="E27" s="52">
        <v>3.92</v>
      </c>
      <c r="F27" s="52">
        <v>4.22</v>
      </c>
      <c r="G27" s="52">
        <v>7.05</v>
      </c>
      <c r="H27" s="52">
        <v>1.25</v>
      </c>
      <c r="I27" s="52">
        <v>2.93</v>
      </c>
      <c r="J27" s="52">
        <v>0.69</v>
      </c>
      <c r="K27" s="52">
        <v>260.67</v>
      </c>
      <c r="L27" s="52">
        <v>26.57</v>
      </c>
      <c r="M27" s="52">
        <v>88.09</v>
      </c>
      <c r="N27" s="52">
        <v>2.8</v>
      </c>
      <c r="O27" s="52">
        <v>0</v>
      </c>
      <c r="P27" s="52">
        <v>0.4</v>
      </c>
      <c r="Q27" s="52">
        <v>4.45</v>
      </c>
    </row>
    <row r="28" spans="1:17" customFormat="1">
      <c r="A28" s="51" t="s">
        <v>533</v>
      </c>
      <c r="B28" s="52">
        <v>9.2200000000000006</v>
      </c>
      <c r="C28" s="52">
        <v>18.22</v>
      </c>
      <c r="D28" s="52">
        <v>18.260000000000002</v>
      </c>
      <c r="E28" s="52">
        <v>3.55</v>
      </c>
      <c r="F28" s="52">
        <v>4.7300000000000004</v>
      </c>
      <c r="G28" s="52">
        <v>7.26</v>
      </c>
      <c r="H28" s="52">
        <v>1.24</v>
      </c>
      <c r="I28" s="52">
        <v>2.8</v>
      </c>
      <c r="J28" s="52">
        <v>0.4</v>
      </c>
      <c r="K28" s="52">
        <v>259.66000000000003</v>
      </c>
      <c r="L28" s="52">
        <v>25.98</v>
      </c>
      <c r="M28" s="52">
        <v>89.22</v>
      </c>
      <c r="N28" s="52">
        <v>0</v>
      </c>
      <c r="O28" s="52">
        <v>0</v>
      </c>
      <c r="P28" s="52">
        <v>0.35</v>
      </c>
      <c r="Q28" s="52">
        <v>4.42</v>
      </c>
    </row>
    <row r="29" spans="1:17" customFormat="1">
      <c r="A29" s="51" t="s">
        <v>534</v>
      </c>
      <c r="B29" s="52">
        <v>9.83</v>
      </c>
      <c r="C29" s="52">
        <v>17.63</v>
      </c>
      <c r="D29" s="52">
        <v>18.37</v>
      </c>
      <c r="E29" s="52">
        <v>3.89</v>
      </c>
      <c r="F29" s="52">
        <v>3.96</v>
      </c>
      <c r="G29" s="52">
        <v>9.2899999999999991</v>
      </c>
      <c r="H29" s="52">
        <v>1.32</v>
      </c>
      <c r="I29" s="52">
        <v>2.91</v>
      </c>
      <c r="J29" s="52">
        <v>0.49</v>
      </c>
      <c r="K29" s="52">
        <v>259.85000000000002</v>
      </c>
      <c r="L29" s="52">
        <v>25.8</v>
      </c>
      <c r="M29" s="52">
        <v>90.49</v>
      </c>
      <c r="N29" s="52">
        <v>0</v>
      </c>
      <c r="O29" s="52">
        <v>0</v>
      </c>
      <c r="P29" s="52">
        <v>0.35</v>
      </c>
      <c r="Q29" s="52">
        <v>4.42</v>
      </c>
    </row>
    <row r="30" spans="1:17" customFormat="1">
      <c r="A30" s="51" t="s">
        <v>535</v>
      </c>
      <c r="B30" s="52">
        <v>10.32</v>
      </c>
      <c r="C30" s="52">
        <v>18.36</v>
      </c>
      <c r="D30" s="52">
        <v>18.829999999999998</v>
      </c>
      <c r="E30" s="52">
        <v>3.86</v>
      </c>
      <c r="F30" s="52">
        <v>4.08</v>
      </c>
      <c r="G30" s="52">
        <v>7.25</v>
      </c>
      <c r="H30" s="52">
        <v>1.4</v>
      </c>
      <c r="I30" s="52">
        <v>2.93</v>
      </c>
      <c r="J30" s="52">
        <v>0.42</v>
      </c>
      <c r="K30" s="52">
        <v>256.31</v>
      </c>
      <c r="L30" s="52">
        <v>25.37</v>
      </c>
      <c r="M30" s="52">
        <v>93.48</v>
      </c>
      <c r="N30" s="52">
        <v>0</v>
      </c>
      <c r="O30" s="52">
        <v>0</v>
      </c>
      <c r="P30" s="52">
        <v>0.36</v>
      </c>
      <c r="Q30" s="52">
        <v>4.45</v>
      </c>
    </row>
    <row r="31" spans="1:17" customFormat="1">
      <c r="A31" s="51" t="s">
        <v>536</v>
      </c>
      <c r="B31" s="52">
        <v>10.96</v>
      </c>
      <c r="C31" s="52">
        <v>18.46</v>
      </c>
      <c r="D31" s="52">
        <v>19.79</v>
      </c>
      <c r="E31" s="52">
        <v>3.92</v>
      </c>
      <c r="F31" s="52">
        <v>3.38</v>
      </c>
      <c r="G31" s="52">
        <v>9.6199999999999992</v>
      </c>
      <c r="H31" s="52">
        <v>2</v>
      </c>
      <c r="I31" s="52">
        <v>2.95</v>
      </c>
      <c r="J31" s="52">
        <v>0.2</v>
      </c>
      <c r="K31" s="52">
        <v>255.35</v>
      </c>
      <c r="L31" s="52">
        <v>24.89</v>
      </c>
      <c r="M31" s="52">
        <v>95.75</v>
      </c>
      <c r="N31" s="52">
        <v>0</v>
      </c>
      <c r="O31" s="52">
        <v>0</v>
      </c>
      <c r="P31" s="52">
        <v>0.38</v>
      </c>
      <c r="Q31" s="52">
        <v>4.5</v>
      </c>
    </row>
    <row r="32" spans="1:17" customFormat="1">
      <c r="A32" s="51" t="s">
        <v>537</v>
      </c>
      <c r="B32" s="52">
        <v>11.07</v>
      </c>
      <c r="C32" s="52">
        <v>17.71</v>
      </c>
      <c r="D32" s="52">
        <v>19.079999999999998</v>
      </c>
      <c r="E32" s="52">
        <v>3.6</v>
      </c>
      <c r="F32" s="52">
        <v>2.9</v>
      </c>
      <c r="G32" s="52">
        <v>12.16</v>
      </c>
      <c r="H32" s="52">
        <v>2.2999999999999998</v>
      </c>
      <c r="I32" s="52">
        <v>3</v>
      </c>
      <c r="J32" s="52">
        <v>0.11</v>
      </c>
      <c r="K32" s="52">
        <v>241.51</v>
      </c>
      <c r="L32" s="52">
        <v>24.58</v>
      </c>
      <c r="M32" s="52">
        <v>97.24</v>
      </c>
      <c r="N32" s="52">
        <v>0</v>
      </c>
      <c r="O32" s="52">
        <v>0</v>
      </c>
      <c r="P32" s="52">
        <v>0.4</v>
      </c>
      <c r="Q32" s="52">
        <v>4.4800000000000004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16</v>
      </c>
      <c r="D34" s="41">
        <f t="shared" si="0"/>
        <v>17.649999999999999</v>
      </c>
      <c r="E34" s="41">
        <f t="shared" si="0"/>
        <v>3.02</v>
      </c>
      <c r="F34" s="41">
        <f t="shared" si="0"/>
        <v>2.9</v>
      </c>
      <c r="G34" s="41">
        <f t="shared" si="0"/>
        <v>1.78</v>
      </c>
      <c r="H34" s="41">
        <f t="shared" si="0"/>
        <v>1.24</v>
      </c>
      <c r="I34" s="41">
        <f t="shared" si="0"/>
        <v>2.8</v>
      </c>
      <c r="J34" s="41">
        <f t="shared" si="0"/>
        <v>0.11</v>
      </c>
      <c r="K34" s="41">
        <f t="shared" si="0"/>
        <v>125.73</v>
      </c>
      <c r="L34" s="41">
        <f t="shared" si="0"/>
        <v>24.58</v>
      </c>
      <c r="M34" s="41">
        <f t="shared" si="0"/>
        <v>83.27</v>
      </c>
      <c r="N34" s="41">
        <f t="shared" si="0"/>
        <v>0</v>
      </c>
      <c r="O34" s="41">
        <f t="shared" si="0"/>
        <v>0</v>
      </c>
      <c r="P34" s="41">
        <f t="shared" si="0"/>
        <v>0.34</v>
      </c>
      <c r="Q34" s="41">
        <f t="shared" si="0"/>
        <v>4.4000000000000004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14.9</v>
      </c>
      <c r="C35" s="33">
        <f t="shared" si="1"/>
        <v>20.84</v>
      </c>
      <c r="D35" s="33">
        <f t="shared" si="1"/>
        <v>23.38</v>
      </c>
      <c r="E35" s="33">
        <f t="shared" si="1"/>
        <v>5.93</v>
      </c>
      <c r="F35" s="33">
        <f t="shared" si="1"/>
        <v>4.7300000000000004</v>
      </c>
      <c r="G35" s="33">
        <f t="shared" si="1"/>
        <v>12.16</v>
      </c>
      <c r="H35" s="33">
        <f t="shared" si="1"/>
        <v>2.2999999999999998</v>
      </c>
      <c r="I35" s="33">
        <f t="shared" si="1"/>
        <v>3.73</v>
      </c>
      <c r="J35" s="33">
        <f t="shared" si="1"/>
        <v>0.69</v>
      </c>
      <c r="K35" s="33">
        <f t="shared" si="1"/>
        <v>295.25</v>
      </c>
      <c r="L35" s="33">
        <f t="shared" si="1"/>
        <v>28.49</v>
      </c>
      <c r="M35" s="33">
        <f t="shared" si="1"/>
        <v>98.55</v>
      </c>
      <c r="N35" s="33">
        <f t="shared" si="1"/>
        <v>305</v>
      </c>
      <c r="O35" s="33">
        <f t="shared" si="1"/>
        <v>0.4</v>
      </c>
      <c r="P35" s="33">
        <f t="shared" si="1"/>
        <v>0.45</v>
      </c>
      <c r="Q35" s="33">
        <f t="shared" si="1"/>
        <v>4.87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11.991249999999999</v>
      </c>
      <c r="C36" s="41">
        <f t="shared" si="2"/>
        <v>18.575416666666666</v>
      </c>
      <c r="D36" s="41">
        <f t="shared" si="2"/>
        <v>20.465416666666666</v>
      </c>
      <c r="E36" s="41">
        <f t="shared" si="2"/>
        <v>4.3804166666666662</v>
      </c>
      <c r="F36" s="41">
        <f t="shared" si="2"/>
        <v>3.6150000000000002</v>
      </c>
      <c r="G36" s="41">
        <f t="shared" si="2"/>
        <v>4.854166666666667</v>
      </c>
      <c r="H36" s="41">
        <f t="shared" si="2"/>
        <v>1.3949999999999998</v>
      </c>
      <c r="I36" s="41">
        <f t="shared" si="2"/>
        <v>3.2037499999999999</v>
      </c>
      <c r="J36" s="41">
        <f t="shared" si="2"/>
        <v>0.35625000000000001</v>
      </c>
      <c r="K36" s="41">
        <f t="shared" si="2"/>
        <v>243.1179166666667</v>
      </c>
      <c r="L36" s="41">
        <f t="shared" si="2"/>
        <v>26.219583333333333</v>
      </c>
      <c r="M36" s="41">
        <f t="shared" si="2"/>
        <v>91.372499999999988</v>
      </c>
      <c r="N36" s="41">
        <f t="shared" si="2"/>
        <v>92.012500000000003</v>
      </c>
      <c r="O36" s="41">
        <f t="shared" si="2"/>
        <v>1.6666666666666666E-2</v>
      </c>
      <c r="P36" s="41">
        <f t="shared" si="2"/>
        <v>0.38375000000000004</v>
      </c>
      <c r="Q36" s="41">
        <f t="shared" si="2"/>
        <v>4.6191666666666675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1.7903735643714318</v>
      </c>
      <c r="C37" s="41">
        <f t="shared" ref="C37:Q37" si="3">STDEV(C9:C32)</f>
        <v>1.0982792040938596</v>
      </c>
      <c r="D37" s="41">
        <f t="shared" si="3"/>
        <v>1.7856845701461226</v>
      </c>
      <c r="E37" s="41">
        <f t="shared" si="3"/>
        <v>0.95654032014232149</v>
      </c>
      <c r="F37" s="41">
        <f t="shared" si="3"/>
        <v>0.51824956217603657</v>
      </c>
      <c r="G37" s="41">
        <f t="shared" si="3"/>
        <v>2.815006242431362</v>
      </c>
      <c r="H37" s="41">
        <f t="shared" si="3"/>
        <v>0.24622365230928211</v>
      </c>
      <c r="I37" s="41">
        <f t="shared" si="3"/>
        <v>0.31077480313061012</v>
      </c>
      <c r="J37" s="41">
        <f t="shared" si="3"/>
        <v>0.18506902355137897</v>
      </c>
      <c r="K37" s="41">
        <f t="shared" si="3"/>
        <v>50.084096319756533</v>
      </c>
      <c r="L37" s="41">
        <f t="shared" si="3"/>
        <v>1.325484256599371</v>
      </c>
      <c r="M37" s="41">
        <f t="shared" si="3"/>
        <v>5.6066143003640221</v>
      </c>
      <c r="N37" s="41">
        <f t="shared" si="3"/>
        <v>114.54931466023896</v>
      </c>
      <c r="O37" s="41">
        <f t="shared" si="3"/>
        <v>8.1649658092772623E-2</v>
      </c>
      <c r="P37" s="41">
        <f t="shared" si="3"/>
        <v>2.9014614008925983E-2</v>
      </c>
      <c r="Q37" s="41">
        <f t="shared" si="3"/>
        <v>0.16449968063047082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538</v>
      </c>
      <c r="B9" s="52">
        <v>11.34</v>
      </c>
      <c r="C9" s="52">
        <v>18.079999999999998</v>
      </c>
      <c r="D9" s="52">
        <v>19.89</v>
      </c>
      <c r="E9" s="52">
        <v>3.53</v>
      </c>
      <c r="F9" s="52">
        <v>3.41</v>
      </c>
      <c r="G9" s="52">
        <v>13.61</v>
      </c>
      <c r="H9" s="52">
        <v>4.8600000000000003</v>
      </c>
      <c r="I9" s="52">
        <v>2.89</v>
      </c>
      <c r="J9" s="52">
        <v>0.15</v>
      </c>
      <c r="K9" s="52">
        <v>254.28</v>
      </c>
      <c r="L9" s="52">
        <v>24.58</v>
      </c>
      <c r="M9" s="52">
        <v>97.91</v>
      </c>
      <c r="N9" s="52">
        <v>0</v>
      </c>
      <c r="O9" s="52">
        <v>0</v>
      </c>
      <c r="P9" s="52">
        <v>0.36</v>
      </c>
      <c r="Q9" s="52">
        <v>4.54</v>
      </c>
    </row>
    <row r="10" spans="1:21" customFormat="1">
      <c r="A10" s="51" t="s">
        <v>539</v>
      </c>
      <c r="B10" s="52">
        <v>11.78</v>
      </c>
      <c r="C10" s="52">
        <v>17.940000000000001</v>
      </c>
      <c r="D10" s="52">
        <v>20.170000000000002</v>
      </c>
      <c r="E10" s="52">
        <v>3.36</v>
      </c>
      <c r="F10" s="52">
        <v>3.4</v>
      </c>
      <c r="G10" s="52">
        <v>14.52</v>
      </c>
      <c r="H10" s="52">
        <v>4.1500000000000004</v>
      </c>
      <c r="I10" s="52">
        <v>2.92</v>
      </c>
      <c r="J10" s="52">
        <v>0.13</v>
      </c>
      <c r="K10" s="52">
        <v>267.57</v>
      </c>
      <c r="L10" s="52">
        <v>24.81</v>
      </c>
      <c r="M10" s="52">
        <v>97.52</v>
      </c>
      <c r="N10" s="52">
        <v>0</v>
      </c>
      <c r="O10" s="52">
        <v>0</v>
      </c>
      <c r="P10" s="52">
        <v>0.38</v>
      </c>
      <c r="Q10" s="52">
        <v>4.57</v>
      </c>
    </row>
    <row r="11" spans="1:21" customFormat="1">
      <c r="A11" s="51" t="s">
        <v>540</v>
      </c>
      <c r="B11" s="52">
        <v>12.13</v>
      </c>
      <c r="C11" s="52">
        <v>18.38</v>
      </c>
      <c r="D11" s="52">
        <v>20.68</v>
      </c>
      <c r="E11" s="52">
        <v>2.92</v>
      </c>
      <c r="F11" s="52">
        <v>3.32</v>
      </c>
      <c r="G11" s="52">
        <v>14.43</v>
      </c>
      <c r="H11" s="52">
        <v>6.19</v>
      </c>
      <c r="I11" s="52">
        <v>2.92</v>
      </c>
      <c r="J11" s="52">
        <v>0.13</v>
      </c>
      <c r="K11" s="52">
        <v>266.38</v>
      </c>
      <c r="L11" s="52">
        <v>24.84</v>
      </c>
      <c r="M11" s="52">
        <v>96.46</v>
      </c>
      <c r="N11" s="52">
        <v>0</v>
      </c>
      <c r="O11" s="52">
        <v>0</v>
      </c>
      <c r="P11" s="52">
        <v>0.38</v>
      </c>
      <c r="Q11" s="52">
        <v>4.62</v>
      </c>
    </row>
    <row r="12" spans="1:21" customFormat="1">
      <c r="A12" s="51" t="s">
        <v>541</v>
      </c>
      <c r="B12" s="52">
        <v>12.53</v>
      </c>
      <c r="C12" s="52">
        <v>19.04</v>
      </c>
      <c r="D12" s="52">
        <v>21.15</v>
      </c>
      <c r="E12" s="52">
        <v>3.13</v>
      </c>
      <c r="F12" s="52">
        <v>2.99</v>
      </c>
      <c r="G12" s="52">
        <v>12.77</v>
      </c>
      <c r="H12" s="52">
        <v>6.45</v>
      </c>
      <c r="I12" s="52">
        <v>2.95</v>
      </c>
      <c r="J12" s="52">
        <v>0.16</v>
      </c>
      <c r="K12" s="52">
        <v>256.68</v>
      </c>
      <c r="L12" s="52">
        <v>24.82</v>
      </c>
      <c r="M12" s="52">
        <v>96.38</v>
      </c>
      <c r="N12" s="52">
        <v>0</v>
      </c>
      <c r="O12" s="52">
        <v>0</v>
      </c>
      <c r="P12" s="52">
        <v>0.38</v>
      </c>
      <c r="Q12" s="52">
        <v>4.6399999999999997</v>
      </c>
    </row>
    <row r="13" spans="1:21" customFormat="1">
      <c r="A13" s="51" t="s">
        <v>542</v>
      </c>
      <c r="B13" s="52">
        <v>12.97</v>
      </c>
      <c r="C13" s="52">
        <v>19.36</v>
      </c>
      <c r="D13" s="52">
        <v>21.7</v>
      </c>
      <c r="E13" s="52">
        <v>3.26</v>
      </c>
      <c r="F13" s="52">
        <v>2.64</v>
      </c>
      <c r="G13" s="52">
        <v>11.94</v>
      </c>
      <c r="H13" s="52">
        <v>5.36</v>
      </c>
      <c r="I13" s="52">
        <v>2.96</v>
      </c>
      <c r="J13" s="52">
        <v>0.12</v>
      </c>
      <c r="K13" s="52">
        <v>252.85</v>
      </c>
      <c r="L13" s="52">
        <v>24.93</v>
      </c>
      <c r="M13" s="52">
        <v>95.62</v>
      </c>
      <c r="N13" s="52">
        <v>0</v>
      </c>
      <c r="O13" s="52">
        <v>0</v>
      </c>
      <c r="P13" s="52">
        <v>0.41</v>
      </c>
      <c r="Q13" s="52">
        <v>4.68</v>
      </c>
    </row>
    <row r="14" spans="1:21" customFormat="1">
      <c r="A14" s="51" t="s">
        <v>543</v>
      </c>
      <c r="B14" s="52">
        <v>12.16</v>
      </c>
      <c r="C14" s="52">
        <v>17.23</v>
      </c>
      <c r="D14" s="52">
        <v>19.71</v>
      </c>
      <c r="E14" s="52">
        <v>2.48</v>
      </c>
      <c r="F14" s="52">
        <v>3.08</v>
      </c>
      <c r="G14" s="52">
        <v>11.85</v>
      </c>
      <c r="H14" s="52">
        <v>6.33</v>
      </c>
      <c r="I14" s="52">
        <v>2.94</v>
      </c>
      <c r="J14" s="52">
        <v>0.09</v>
      </c>
      <c r="K14" s="52">
        <v>256.52</v>
      </c>
      <c r="L14" s="52">
        <v>25.01</v>
      </c>
      <c r="M14" s="52">
        <v>96.3</v>
      </c>
      <c r="N14" s="52">
        <v>0</v>
      </c>
      <c r="O14" s="52">
        <v>0</v>
      </c>
      <c r="P14" s="52">
        <v>0.37</v>
      </c>
      <c r="Q14" s="52">
        <v>4.63</v>
      </c>
    </row>
    <row r="15" spans="1:21" customFormat="1">
      <c r="A15" s="51" t="s">
        <v>544</v>
      </c>
      <c r="B15" s="52">
        <v>13.02</v>
      </c>
      <c r="C15" s="52">
        <v>19.46</v>
      </c>
      <c r="D15" s="52">
        <v>21.72</v>
      </c>
      <c r="E15" s="52">
        <v>3.29</v>
      </c>
      <c r="F15" s="52">
        <v>2.67</v>
      </c>
      <c r="G15" s="52">
        <v>17.05</v>
      </c>
      <c r="H15" s="52">
        <v>5.6</v>
      </c>
      <c r="I15" s="52">
        <v>2.89</v>
      </c>
      <c r="J15" s="52">
        <v>0.19</v>
      </c>
      <c r="K15" s="52">
        <v>294.49</v>
      </c>
      <c r="L15" s="52">
        <v>24.99</v>
      </c>
      <c r="M15" s="52">
        <v>98.25</v>
      </c>
      <c r="N15" s="52">
        <v>15.7</v>
      </c>
      <c r="O15" s="52">
        <v>0</v>
      </c>
      <c r="P15" s="52">
        <v>0.38</v>
      </c>
      <c r="Q15" s="52">
        <v>4.6900000000000004</v>
      </c>
    </row>
    <row r="16" spans="1:21" customFormat="1">
      <c r="A16" s="51" t="s">
        <v>545</v>
      </c>
      <c r="B16" s="52">
        <v>13.15</v>
      </c>
      <c r="C16" s="52">
        <v>18.98</v>
      </c>
      <c r="D16" s="52">
        <v>21.8</v>
      </c>
      <c r="E16" s="52">
        <v>3.62</v>
      </c>
      <c r="F16" s="52">
        <v>3.06</v>
      </c>
      <c r="G16" s="52">
        <v>12.72</v>
      </c>
      <c r="H16" s="52">
        <v>7.96</v>
      </c>
      <c r="I16" s="52">
        <v>2.92</v>
      </c>
      <c r="J16" s="52">
        <v>0.27</v>
      </c>
      <c r="K16" s="52">
        <v>271.81</v>
      </c>
      <c r="L16" s="52">
        <v>25.82</v>
      </c>
      <c r="M16" s="52">
        <v>98.31</v>
      </c>
      <c r="N16" s="52">
        <v>109.2</v>
      </c>
      <c r="O16" s="52">
        <v>0</v>
      </c>
      <c r="P16" s="52">
        <v>0.39</v>
      </c>
      <c r="Q16" s="52">
        <v>4.76</v>
      </c>
    </row>
    <row r="17" spans="1:17" customFormat="1">
      <c r="A17" s="51" t="s">
        <v>546</v>
      </c>
      <c r="B17" s="52">
        <v>13.41</v>
      </c>
      <c r="C17" s="52">
        <v>19</v>
      </c>
      <c r="D17" s="52">
        <v>22.03</v>
      </c>
      <c r="E17" s="52">
        <v>3.38</v>
      </c>
      <c r="F17" s="52">
        <v>3.5</v>
      </c>
      <c r="G17" s="52">
        <v>14.57</v>
      </c>
      <c r="H17" s="52">
        <v>6.49</v>
      </c>
      <c r="I17" s="52">
        <v>3</v>
      </c>
      <c r="J17" s="52">
        <v>0.38</v>
      </c>
      <c r="K17" s="52">
        <v>259.57</v>
      </c>
      <c r="L17" s="52">
        <v>26.52</v>
      </c>
      <c r="M17" s="52">
        <v>92.72</v>
      </c>
      <c r="N17" s="52">
        <v>128.30000000000001</v>
      </c>
      <c r="O17" s="52">
        <v>0.2</v>
      </c>
      <c r="P17" s="52">
        <v>0.39</v>
      </c>
      <c r="Q17" s="52">
        <v>4.75</v>
      </c>
    </row>
    <row r="18" spans="1:17" customFormat="1">
      <c r="A18" s="51" t="s">
        <v>547</v>
      </c>
      <c r="B18" s="52">
        <v>13.43</v>
      </c>
      <c r="C18" s="52">
        <v>17.54</v>
      </c>
      <c r="D18" s="52">
        <v>21.28</v>
      </c>
      <c r="E18" s="52">
        <v>3.55</v>
      </c>
      <c r="F18" s="52">
        <v>3.39</v>
      </c>
      <c r="G18" s="52">
        <v>11.13</v>
      </c>
      <c r="H18" s="52">
        <v>5.57</v>
      </c>
      <c r="I18" s="52">
        <v>3.06</v>
      </c>
      <c r="J18" s="52">
        <v>0.48</v>
      </c>
      <c r="K18" s="52">
        <v>262.14999999999998</v>
      </c>
      <c r="L18" s="52">
        <v>27.25</v>
      </c>
      <c r="M18" s="52">
        <v>91.24</v>
      </c>
      <c r="N18" s="52">
        <v>221.3</v>
      </c>
      <c r="O18" s="52">
        <v>0</v>
      </c>
      <c r="P18" s="52">
        <v>0.41</v>
      </c>
      <c r="Q18" s="52">
        <v>4.74</v>
      </c>
    </row>
    <row r="19" spans="1:17" customFormat="1">
      <c r="A19" s="51" t="s">
        <v>548</v>
      </c>
      <c r="B19" s="52">
        <v>11.83</v>
      </c>
      <c r="C19" s="52">
        <v>18.52</v>
      </c>
      <c r="D19" s="52">
        <v>20.51</v>
      </c>
      <c r="E19" s="52">
        <v>3.6</v>
      </c>
      <c r="F19" s="52">
        <v>2.97</v>
      </c>
      <c r="G19" s="52">
        <v>15.2</v>
      </c>
      <c r="H19" s="52">
        <v>6.03</v>
      </c>
      <c r="I19" s="52">
        <v>3.05</v>
      </c>
      <c r="J19" s="52">
        <v>0.59</v>
      </c>
      <c r="K19" s="52">
        <v>260.12</v>
      </c>
      <c r="L19" s="52">
        <v>27.7</v>
      </c>
      <c r="M19" s="52">
        <v>88.03</v>
      </c>
      <c r="N19" s="52">
        <v>198.5</v>
      </c>
      <c r="O19" s="52">
        <v>0</v>
      </c>
      <c r="P19" s="52">
        <v>0.42</v>
      </c>
      <c r="Q19" s="52">
        <v>4.66</v>
      </c>
    </row>
    <row r="20" spans="1:17" customFormat="1">
      <c r="A20" s="51" t="s">
        <v>549</v>
      </c>
      <c r="B20" s="52">
        <v>11.85</v>
      </c>
      <c r="C20" s="52">
        <v>16.34</v>
      </c>
      <c r="D20" s="52">
        <v>19.239999999999998</v>
      </c>
      <c r="E20" s="52">
        <v>4.2</v>
      </c>
      <c r="F20" s="52">
        <v>3.34</v>
      </c>
      <c r="G20" s="52">
        <v>14.35</v>
      </c>
      <c r="H20" s="52">
        <v>8.2899999999999991</v>
      </c>
      <c r="I20" s="52">
        <v>2.95</v>
      </c>
      <c r="J20" s="52">
        <v>0.57999999999999996</v>
      </c>
      <c r="K20" s="52">
        <v>260.02</v>
      </c>
      <c r="L20" s="52">
        <v>28.19</v>
      </c>
      <c r="M20" s="52">
        <v>87.14</v>
      </c>
      <c r="N20" s="52">
        <v>327.10000000000002</v>
      </c>
      <c r="O20" s="52">
        <v>0</v>
      </c>
      <c r="P20" s="52">
        <v>0.35</v>
      </c>
      <c r="Q20" s="52">
        <v>4.5599999999999996</v>
      </c>
    </row>
    <row r="21" spans="1:17" customFormat="1">
      <c r="A21" s="51" t="s">
        <v>550</v>
      </c>
      <c r="B21" s="52">
        <v>11.6</v>
      </c>
      <c r="C21" s="52">
        <v>18.48</v>
      </c>
      <c r="D21" s="52">
        <v>20.309999999999999</v>
      </c>
      <c r="E21" s="52">
        <v>4.78</v>
      </c>
      <c r="F21" s="52">
        <v>3.64</v>
      </c>
      <c r="G21" s="52">
        <v>18.43</v>
      </c>
      <c r="H21" s="52">
        <v>7.28</v>
      </c>
      <c r="I21" s="52">
        <v>3.02</v>
      </c>
      <c r="J21" s="52">
        <v>0.6</v>
      </c>
      <c r="K21" s="52">
        <v>263.56</v>
      </c>
      <c r="L21" s="52">
        <v>29.38</v>
      </c>
      <c r="M21" s="52">
        <v>84.12</v>
      </c>
      <c r="N21" s="52">
        <v>433</v>
      </c>
      <c r="O21" s="52">
        <v>0</v>
      </c>
      <c r="P21" s="52">
        <v>0.39</v>
      </c>
      <c r="Q21" s="52">
        <v>4.58</v>
      </c>
    </row>
    <row r="22" spans="1:17" customFormat="1">
      <c r="A22" s="51" t="s">
        <v>551</v>
      </c>
      <c r="B22" s="52">
        <v>10.96</v>
      </c>
      <c r="C22" s="52">
        <v>15.91</v>
      </c>
      <c r="D22" s="52">
        <v>18.45</v>
      </c>
      <c r="E22" s="52">
        <v>4.0199999999999996</v>
      </c>
      <c r="F22" s="52">
        <v>3.74</v>
      </c>
      <c r="G22" s="52">
        <v>17.66</v>
      </c>
      <c r="H22" s="52">
        <v>6.71</v>
      </c>
      <c r="I22" s="52">
        <v>2.94</v>
      </c>
      <c r="J22" s="52">
        <v>0.53</v>
      </c>
      <c r="K22" s="52">
        <v>291.14</v>
      </c>
      <c r="L22" s="52">
        <v>29.7</v>
      </c>
      <c r="M22" s="52">
        <v>82.01</v>
      </c>
      <c r="N22" s="52">
        <v>363.3</v>
      </c>
      <c r="O22" s="52">
        <v>0</v>
      </c>
      <c r="P22" s="52">
        <v>0.36</v>
      </c>
      <c r="Q22" s="52">
        <v>4.4800000000000004</v>
      </c>
    </row>
    <row r="23" spans="1:17" customFormat="1">
      <c r="A23" s="51" t="s">
        <v>552</v>
      </c>
      <c r="B23" s="52">
        <v>11.21</v>
      </c>
      <c r="C23" s="52">
        <v>17.649999999999999</v>
      </c>
      <c r="D23" s="52">
        <v>19.399999999999999</v>
      </c>
      <c r="E23" s="52">
        <v>4.13</v>
      </c>
      <c r="F23" s="52">
        <v>3.48</v>
      </c>
      <c r="G23" s="52">
        <v>17.91</v>
      </c>
      <c r="H23" s="52">
        <v>6.03</v>
      </c>
      <c r="I23" s="52">
        <v>3.01</v>
      </c>
      <c r="J23" s="52">
        <v>0.77</v>
      </c>
      <c r="K23" s="52">
        <v>268.14</v>
      </c>
      <c r="L23" s="52">
        <v>29.18</v>
      </c>
      <c r="M23" s="52">
        <v>84.19</v>
      </c>
      <c r="N23" s="52">
        <v>253</v>
      </c>
      <c r="O23" s="52">
        <v>0</v>
      </c>
      <c r="P23" s="52">
        <v>0.4</v>
      </c>
      <c r="Q23" s="52">
        <v>4.4800000000000004</v>
      </c>
    </row>
    <row r="24" spans="1:17" customFormat="1">
      <c r="A24" s="51" t="s">
        <v>553</v>
      </c>
      <c r="B24" s="52">
        <v>9.5</v>
      </c>
      <c r="C24" s="52">
        <v>18.350000000000001</v>
      </c>
      <c r="D24" s="52">
        <v>18.559999999999999</v>
      </c>
      <c r="E24" s="52">
        <v>3.38</v>
      </c>
      <c r="F24" s="52">
        <v>5.33</v>
      </c>
      <c r="G24" s="52">
        <v>18.21</v>
      </c>
      <c r="H24" s="52">
        <v>7.91</v>
      </c>
      <c r="I24" s="52">
        <v>3.07</v>
      </c>
      <c r="J24" s="52">
        <v>0.75</v>
      </c>
      <c r="K24" s="52">
        <v>266.74</v>
      </c>
      <c r="L24" s="52">
        <v>29.24</v>
      </c>
      <c r="M24" s="52">
        <v>81.45</v>
      </c>
      <c r="N24" s="52">
        <v>288.8</v>
      </c>
      <c r="O24" s="52">
        <v>0</v>
      </c>
      <c r="P24" s="52">
        <v>0.43</v>
      </c>
      <c r="Q24" s="52">
        <v>4.4400000000000004</v>
      </c>
    </row>
    <row r="25" spans="1:17" customFormat="1">
      <c r="A25" s="51" t="s">
        <v>554</v>
      </c>
      <c r="B25" s="52">
        <v>9.3800000000000008</v>
      </c>
      <c r="C25" s="52">
        <v>14.89</v>
      </c>
      <c r="D25" s="52">
        <v>16.649999999999999</v>
      </c>
      <c r="E25" s="52">
        <v>3.38</v>
      </c>
      <c r="F25" s="52">
        <v>6.42</v>
      </c>
      <c r="G25" s="52">
        <v>13.11</v>
      </c>
      <c r="H25" s="52">
        <v>7.76</v>
      </c>
      <c r="I25" s="52">
        <v>2.82</v>
      </c>
      <c r="J25" s="52">
        <v>0.78</v>
      </c>
      <c r="K25" s="52">
        <v>268.44</v>
      </c>
      <c r="L25" s="52">
        <v>29.51</v>
      </c>
      <c r="M25" s="52">
        <v>80.06</v>
      </c>
      <c r="N25" s="52">
        <v>255.2</v>
      </c>
      <c r="O25" s="52">
        <v>0</v>
      </c>
      <c r="P25" s="52">
        <v>0.35</v>
      </c>
      <c r="Q25" s="52">
        <v>4.32</v>
      </c>
    </row>
    <row r="26" spans="1:17" customFormat="1">
      <c r="A26" s="51" t="s">
        <v>555</v>
      </c>
      <c r="B26" s="52">
        <v>9.5500000000000007</v>
      </c>
      <c r="C26" s="52">
        <v>17.11</v>
      </c>
      <c r="D26" s="52">
        <v>17.93</v>
      </c>
      <c r="E26" s="52">
        <v>3.85</v>
      </c>
      <c r="F26" s="52">
        <v>5.86</v>
      </c>
      <c r="G26" s="52">
        <v>15.41</v>
      </c>
      <c r="H26" s="52">
        <v>6.29</v>
      </c>
      <c r="I26" s="52">
        <v>2.9</v>
      </c>
      <c r="J26" s="52">
        <v>0.73</v>
      </c>
      <c r="K26" s="52">
        <v>263.76</v>
      </c>
      <c r="L26" s="52">
        <v>28.38</v>
      </c>
      <c r="M26" s="52">
        <v>84.27</v>
      </c>
      <c r="N26" s="52">
        <v>56.2</v>
      </c>
      <c r="O26" s="52">
        <v>0</v>
      </c>
      <c r="P26" s="52">
        <v>0.38</v>
      </c>
      <c r="Q26" s="52">
        <v>4.37</v>
      </c>
    </row>
    <row r="27" spans="1:17" customFormat="1">
      <c r="A27" s="51" t="s">
        <v>556</v>
      </c>
      <c r="B27" s="52">
        <v>9.7200000000000006</v>
      </c>
      <c r="C27" s="52">
        <v>16</v>
      </c>
      <c r="D27" s="52">
        <v>17.5</v>
      </c>
      <c r="E27" s="52">
        <v>4.05</v>
      </c>
      <c r="F27" s="52">
        <v>7.69</v>
      </c>
      <c r="G27" s="52">
        <v>14.9</v>
      </c>
      <c r="H27" s="52">
        <v>7.36</v>
      </c>
      <c r="I27" s="52">
        <v>2.8</v>
      </c>
      <c r="J27" s="52">
        <v>0.41</v>
      </c>
      <c r="K27" s="52">
        <v>259.93</v>
      </c>
      <c r="L27" s="52">
        <v>27.64</v>
      </c>
      <c r="M27" s="52">
        <v>88.99</v>
      </c>
      <c r="N27" s="52">
        <v>3.1</v>
      </c>
      <c r="O27" s="52">
        <v>0</v>
      </c>
      <c r="P27" s="52">
        <v>0.37</v>
      </c>
      <c r="Q27" s="52">
        <v>4.33</v>
      </c>
    </row>
    <row r="28" spans="1:17" customFormat="1">
      <c r="A28" s="51" t="s">
        <v>557</v>
      </c>
      <c r="B28" s="52">
        <v>9.89</v>
      </c>
      <c r="C28" s="52">
        <v>16.38</v>
      </c>
      <c r="D28" s="52">
        <v>17.84</v>
      </c>
      <c r="E28" s="52">
        <v>4.51</v>
      </c>
      <c r="F28" s="52">
        <v>7.1</v>
      </c>
      <c r="G28" s="52">
        <v>14.44</v>
      </c>
      <c r="H28" s="52">
        <v>6.48</v>
      </c>
      <c r="I28" s="52">
        <v>2.9</v>
      </c>
      <c r="J28" s="52">
        <v>0.32</v>
      </c>
      <c r="K28" s="52">
        <v>259.08</v>
      </c>
      <c r="L28" s="52">
        <v>26.89</v>
      </c>
      <c r="M28" s="52">
        <v>90.64</v>
      </c>
      <c r="N28" s="52">
        <v>0</v>
      </c>
      <c r="O28" s="52">
        <v>0</v>
      </c>
      <c r="P28" s="52">
        <v>0.38</v>
      </c>
      <c r="Q28" s="52">
        <v>4.3899999999999997</v>
      </c>
    </row>
    <row r="29" spans="1:17" customFormat="1">
      <c r="A29" s="51" t="s">
        <v>558</v>
      </c>
      <c r="B29" s="52">
        <v>9.89</v>
      </c>
      <c r="C29" s="52">
        <v>16.54</v>
      </c>
      <c r="D29" s="52">
        <v>17.399999999999999</v>
      </c>
      <c r="E29" s="52">
        <v>3.65</v>
      </c>
      <c r="F29" s="52">
        <v>4.2699999999999996</v>
      </c>
      <c r="G29" s="52">
        <v>20.36</v>
      </c>
      <c r="H29" s="52">
        <v>8.4700000000000006</v>
      </c>
      <c r="I29" s="52">
        <v>2.96</v>
      </c>
      <c r="J29" s="52">
        <v>0.36</v>
      </c>
      <c r="K29" s="52">
        <v>261.25</v>
      </c>
      <c r="L29" s="52">
        <v>26.62</v>
      </c>
      <c r="M29" s="52">
        <v>91.36</v>
      </c>
      <c r="N29" s="52">
        <v>0</v>
      </c>
      <c r="O29" s="52">
        <v>0</v>
      </c>
      <c r="P29" s="52">
        <v>0.41</v>
      </c>
      <c r="Q29" s="52">
        <v>4.34</v>
      </c>
    </row>
    <row r="30" spans="1:17" customFormat="1">
      <c r="A30" s="51" t="s">
        <v>559</v>
      </c>
      <c r="B30" s="52">
        <v>10.01</v>
      </c>
      <c r="C30" s="52">
        <v>16.77</v>
      </c>
      <c r="D30" s="52">
        <v>18.14</v>
      </c>
      <c r="E30" s="52">
        <v>3.92</v>
      </c>
      <c r="F30" s="52">
        <v>5.33</v>
      </c>
      <c r="G30" s="52">
        <v>17.16</v>
      </c>
      <c r="H30" s="52">
        <v>8.86</v>
      </c>
      <c r="I30" s="52">
        <v>2.89</v>
      </c>
      <c r="J30" s="52">
        <v>0.34</v>
      </c>
      <c r="K30" s="52">
        <v>261.33</v>
      </c>
      <c r="L30" s="52">
        <v>26.22</v>
      </c>
      <c r="M30" s="52">
        <v>92.64</v>
      </c>
      <c r="N30" s="52">
        <v>0</v>
      </c>
      <c r="O30" s="52">
        <v>0</v>
      </c>
      <c r="P30" s="52">
        <v>0.4</v>
      </c>
      <c r="Q30" s="52">
        <v>4.3600000000000003</v>
      </c>
    </row>
    <row r="31" spans="1:17" customFormat="1">
      <c r="A31" s="51" t="s">
        <v>560</v>
      </c>
      <c r="B31" s="52">
        <v>10.44</v>
      </c>
      <c r="C31" s="52">
        <v>16.690000000000001</v>
      </c>
      <c r="D31" s="52">
        <v>18.440000000000001</v>
      </c>
      <c r="E31" s="52">
        <v>4</v>
      </c>
      <c r="F31" s="52">
        <v>4.42</v>
      </c>
      <c r="G31" s="52">
        <v>16.57</v>
      </c>
      <c r="H31" s="52">
        <v>6.82</v>
      </c>
      <c r="I31" s="52">
        <v>3</v>
      </c>
      <c r="J31" s="52">
        <v>0.37</v>
      </c>
      <c r="K31" s="52">
        <v>265.48</v>
      </c>
      <c r="L31" s="52">
        <v>26</v>
      </c>
      <c r="M31" s="52">
        <v>93.08</v>
      </c>
      <c r="N31" s="52">
        <v>0</v>
      </c>
      <c r="O31" s="52">
        <v>0</v>
      </c>
      <c r="P31" s="52">
        <v>0.39</v>
      </c>
      <c r="Q31" s="52">
        <v>4.3899999999999997</v>
      </c>
    </row>
    <row r="32" spans="1:17" customFormat="1">
      <c r="A32" s="51" t="s">
        <v>561</v>
      </c>
      <c r="B32" s="52">
        <v>11.08</v>
      </c>
      <c r="C32" s="52">
        <v>16.7</v>
      </c>
      <c r="D32" s="52">
        <v>18.96</v>
      </c>
      <c r="E32" s="52">
        <v>4</v>
      </c>
      <c r="F32" s="52">
        <v>4.33</v>
      </c>
      <c r="G32" s="52">
        <v>14.84</v>
      </c>
      <c r="H32" s="52">
        <v>8.06</v>
      </c>
      <c r="I32" s="52">
        <v>3.01</v>
      </c>
      <c r="J32" s="52">
        <v>0.35</v>
      </c>
      <c r="K32" s="52">
        <v>262.42</v>
      </c>
      <c r="L32" s="52">
        <v>25.93</v>
      </c>
      <c r="M32" s="52">
        <v>93.91</v>
      </c>
      <c r="N32" s="52">
        <v>0</v>
      </c>
      <c r="O32" s="52">
        <v>0</v>
      </c>
      <c r="P32" s="52">
        <v>0.4</v>
      </c>
      <c r="Q32" s="52">
        <v>4.46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9.3800000000000008</v>
      </c>
      <c r="C34" s="41">
        <f t="shared" si="0"/>
        <v>14.89</v>
      </c>
      <c r="D34" s="41">
        <f t="shared" si="0"/>
        <v>16.649999999999999</v>
      </c>
      <c r="E34" s="41">
        <f t="shared" si="0"/>
        <v>2.48</v>
      </c>
      <c r="F34" s="41">
        <f t="shared" si="0"/>
        <v>2.64</v>
      </c>
      <c r="G34" s="41">
        <f t="shared" si="0"/>
        <v>11.13</v>
      </c>
      <c r="H34" s="41">
        <f t="shared" si="0"/>
        <v>4.1500000000000004</v>
      </c>
      <c r="I34" s="41">
        <f t="shared" si="0"/>
        <v>2.8</v>
      </c>
      <c r="J34" s="41">
        <f t="shared" si="0"/>
        <v>0.09</v>
      </c>
      <c r="K34" s="41">
        <f t="shared" si="0"/>
        <v>252.85</v>
      </c>
      <c r="L34" s="41">
        <f t="shared" si="0"/>
        <v>24.58</v>
      </c>
      <c r="M34" s="41">
        <f t="shared" si="0"/>
        <v>80.06</v>
      </c>
      <c r="N34" s="41">
        <f t="shared" si="0"/>
        <v>0</v>
      </c>
      <c r="O34" s="41">
        <f t="shared" si="0"/>
        <v>0</v>
      </c>
      <c r="P34" s="41">
        <f t="shared" si="0"/>
        <v>0.35</v>
      </c>
      <c r="Q34" s="41">
        <f t="shared" si="0"/>
        <v>4.32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13.43</v>
      </c>
      <c r="C35" s="33">
        <f t="shared" si="1"/>
        <v>19.46</v>
      </c>
      <c r="D35" s="33">
        <f t="shared" si="1"/>
        <v>22.03</v>
      </c>
      <c r="E35" s="33">
        <f t="shared" si="1"/>
        <v>4.78</v>
      </c>
      <c r="F35" s="33">
        <f t="shared" si="1"/>
        <v>7.69</v>
      </c>
      <c r="G35" s="33">
        <f t="shared" si="1"/>
        <v>20.36</v>
      </c>
      <c r="H35" s="33">
        <f t="shared" si="1"/>
        <v>8.86</v>
      </c>
      <c r="I35" s="33">
        <f t="shared" si="1"/>
        <v>3.07</v>
      </c>
      <c r="J35" s="33">
        <f t="shared" si="1"/>
        <v>0.78</v>
      </c>
      <c r="K35" s="33">
        <f t="shared" si="1"/>
        <v>294.49</v>
      </c>
      <c r="L35" s="33">
        <f t="shared" si="1"/>
        <v>29.7</v>
      </c>
      <c r="M35" s="33">
        <f t="shared" si="1"/>
        <v>98.31</v>
      </c>
      <c r="N35" s="33">
        <f t="shared" si="1"/>
        <v>433</v>
      </c>
      <c r="O35" s="33">
        <f t="shared" si="1"/>
        <v>0.2</v>
      </c>
      <c r="P35" s="33">
        <f t="shared" si="1"/>
        <v>0.43</v>
      </c>
      <c r="Q35" s="33">
        <f t="shared" si="1"/>
        <v>4.76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11.367916666666666</v>
      </c>
      <c r="C36" s="41">
        <f t="shared" si="2"/>
        <v>17.555833333333332</v>
      </c>
      <c r="D36" s="41">
        <f t="shared" si="2"/>
        <v>19.560833333333328</v>
      </c>
      <c r="E36" s="41">
        <f t="shared" si="2"/>
        <v>3.6662500000000011</v>
      </c>
      <c r="F36" s="41">
        <f t="shared" si="2"/>
        <v>4.1408333333333331</v>
      </c>
      <c r="G36" s="41">
        <f t="shared" si="2"/>
        <v>15.130833333333333</v>
      </c>
      <c r="H36" s="41">
        <f t="shared" si="2"/>
        <v>6.7212500000000004</v>
      </c>
      <c r="I36" s="41">
        <f t="shared" si="2"/>
        <v>2.94875</v>
      </c>
      <c r="J36" s="41">
        <f t="shared" si="2"/>
        <v>0.39916666666666661</v>
      </c>
      <c r="K36" s="41">
        <f t="shared" si="2"/>
        <v>264.73791666666665</v>
      </c>
      <c r="L36" s="41">
        <f t="shared" si="2"/>
        <v>26.839583333333334</v>
      </c>
      <c r="M36" s="41">
        <f t="shared" si="2"/>
        <v>90.941666666666663</v>
      </c>
      <c r="N36" s="41">
        <f t="shared" si="2"/>
        <v>110.52916666666664</v>
      </c>
      <c r="O36" s="41">
        <f t="shared" si="2"/>
        <v>8.3333333333333332E-3</v>
      </c>
      <c r="P36" s="41">
        <f t="shared" si="2"/>
        <v>0.38666666666666671</v>
      </c>
      <c r="Q36" s="41">
        <f t="shared" si="2"/>
        <v>4.5325000000000006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1.3340392379558346</v>
      </c>
      <c r="C37" s="41">
        <f t="shared" ref="C37:Q37" si="3">STDEV(C9:C32)</f>
        <v>1.2380908046584287</v>
      </c>
      <c r="D37" s="41">
        <f t="shared" si="3"/>
        <v>1.588772883505551</v>
      </c>
      <c r="E37" s="41">
        <f t="shared" si="3"/>
        <v>0.51000266410215245</v>
      </c>
      <c r="F37" s="41">
        <f t="shared" si="3"/>
        <v>1.4155561717439256</v>
      </c>
      <c r="G37" s="41">
        <f t="shared" si="3"/>
        <v>2.3675614250636237</v>
      </c>
      <c r="H37" s="41">
        <f t="shared" si="3"/>
        <v>1.1962925064003191</v>
      </c>
      <c r="I37" s="41">
        <f t="shared" si="3"/>
        <v>6.9739421825270473E-2</v>
      </c>
      <c r="J37" s="41">
        <f t="shared" si="3"/>
        <v>0.22471076417526578</v>
      </c>
      <c r="K37" s="41">
        <f t="shared" si="3"/>
        <v>9.8236493613820155</v>
      </c>
      <c r="L37" s="41">
        <f t="shared" si="3"/>
        <v>1.7392864083137936</v>
      </c>
      <c r="M37" s="41">
        <f t="shared" si="3"/>
        <v>5.829443009164776</v>
      </c>
      <c r="N37" s="41">
        <f t="shared" si="3"/>
        <v>142.33870651789837</v>
      </c>
      <c r="O37" s="41">
        <f t="shared" si="3"/>
        <v>4.0824829046386311E-2</v>
      </c>
      <c r="P37" s="41">
        <f t="shared" si="3"/>
        <v>2.0989990713310928E-2</v>
      </c>
      <c r="Q37" s="41">
        <f t="shared" si="3"/>
        <v>0.1440787827966542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562</v>
      </c>
      <c r="B9" s="52">
        <v>9.86</v>
      </c>
      <c r="C9" s="52">
        <v>17.34</v>
      </c>
      <c r="D9" s="52">
        <v>18.32</v>
      </c>
      <c r="E9" s="52">
        <v>4.5999999999999996</v>
      </c>
      <c r="F9" s="52">
        <v>4.5</v>
      </c>
      <c r="G9" s="52">
        <v>16.63</v>
      </c>
      <c r="H9" s="52">
        <v>8.3000000000000007</v>
      </c>
      <c r="I9" s="52">
        <v>2.97</v>
      </c>
      <c r="J9" s="52">
        <v>0.47</v>
      </c>
      <c r="K9" s="52">
        <v>259.04000000000002</v>
      </c>
      <c r="L9" s="52">
        <v>25.98</v>
      </c>
      <c r="M9" s="52">
        <v>92.1</v>
      </c>
      <c r="N9" s="52">
        <v>0</v>
      </c>
      <c r="O9" s="52">
        <v>0</v>
      </c>
      <c r="P9" s="52">
        <v>0.4</v>
      </c>
      <c r="Q9" s="52">
        <v>4.49</v>
      </c>
    </row>
    <row r="10" spans="1:21" customFormat="1">
      <c r="A10" s="51" t="s">
        <v>563</v>
      </c>
      <c r="B10" s="52">
        <v>9.7899999999999991</v>
      </c>
      <c r="C10" s="52">
        <v>17.190000000000001</v>
      </c>
      <c r="D10" s="52">
        <v>17.420000000000002</v>
      </c>
      <c r="E10" s="52">
        <v>3.8</v>
      </c>
      <c r="F10" s="52">
        <v>4.25</v>
      </c>
      <c r="G10" s="52">
        <v>14.01</v>
      </c>
      <c r="H10" s="52">
        <v>6.3</v>
      </c>
      <c r="I10" s="52">
        <v>3.03</v>
      </c>
      <c r="J10" s="52">
        <v>0.56999999999999995</v>
      </c>
      <c r="K10" s="52">
        <v>263.27</v>
      </c>
      <c r="L10" s="52">
        <v>25.98</v>
      </c>
      <c r="M10" s="52">
        <v>92.91</v>
      </c>
      <c r="N10" s="52">
        <v>0</v>
      </c>
      <c r="O10" s="52">
        <v>0</v>
      </c>
      <c r="P10" s="52">
        <v>0.43</v>
      </c>
      <c r="Q10" s="52">
        <v>4.46</v>
      </c>
    </row>
    <row r="11" spans="1:21" customFormat="1">
      <c r="A11" s="51" t="s">
        <v>564</v>
      </c>
      <c r="B11" s="52">
        <v>9.48</v>
      </c>
      <c r="C11" s="52">
        <v>14.66</v>
      </c>
      <c r="D11" s="52">
        <v>16.41</v>
      </c>
      <c r="E11" s="52">
        <v>3.66</v>
      </c>
      <c r="F11" s="52">
        <v>4.13</v>
      </c>
      <c r="G11" s="52">
        <v>12.89</v>
      </c>
      <c r="H11" s="52">
        <v>7.96</v>
      </c>
      <c r="I11" s="52">
        <v>2.94</v>
      </c>
      <c r="J11" s="52">
        <v>0.54</v>
      </c>
      <c r="K11" s="52">
        <v>263.33999999999997</v>
      </c>
      <c r="L11" s="52">
        <v>26.04</v>
      </c>
      <c r="M11" s="52">
        <v>92.48</v>
      </c>
      <c r="N11" s="52">
        <v>0</v>
      </c>
      <c r="O11" s="52">
        <v>0</v>
      </c>
      <c r="P11" s="52">
        <v>0.37</v>
      </c>
      <c r="Q11" s="52">
        <v>4.42</v>
      </c>
    </row>
    <row r="12" spans="1:21" customFormat="1">
      <c r="A12" s="53">
        <v>45160.166666666664</v>
      </c>
      <c r="B12" s="52">
        <v>9.93</v>
      </c>
      <c r="C12" s="52">
        <v>17.37</v>
      </c>
      <c r="D12" s="52">
        <v>18.39</v>
      </c>
      <c r="E12" s="52">
        <v>4.6100000000000003</v>
      </c>
      <c r="F12" s="52">
        <v>4.55</v>
      </c>
      <c r="G12" s="52">
        <v>16.07</v>
      </c>
      <c r="H12" s="52">
        <v>6.7</v>
      </c>
      <c r="I12" s="52">
        <v>2.9</v>
      </c>
      <c r="J12" s="52">
        <v>0.62</v>
      </c>
      <c r="K12" s="52">
        <v>263.95</v>
      </c>
      <c r="L12" s="52">
        <v>25.93</v>
      </c>
      <c r="M12" s="52">
        <v>93.19</v>
      </c>
      <c r="N12" s="52">
        <v>0</v>
      </c>
      <c r="O12" s="52">
        <v>0</v>
      </c>
      <c r="P12" s="52">
        <v>0.39</v>
      </c>
      <c r="Q12" s="52">
        <v>4.49</v>
      </c>
    </row>
    <row r="13" spans="1:21" customFormat="1">
      <c r="A13" s="51" t="s">
        <v>565</v>
      </c>
      <c r="B13" s="52">
        <v>9.91</v>
      </c>
      <c r="C13" s="52">
        <v>17.37</v>
      </c>
      <c r="D13" s="52">
        <v>18.37</v>
      </c>
      <c r="E13" s="52">
        <v>4.55</v>
      </c>
      <c r="F13" s="52">
        <v>4.33</v>
      </c>
      <c r="G13" s="52">
        <v>16.38</v>
      </c>
      <c r="H13" s="52">
        <v>6.38</v>
      </c>
      <c r="I13" s="52">
        <v>2.85</v>
      </c>
      <c r="J13" s="52">
        <v>0.59</v>
      </c>
      <c r="K13" s="52">
        <v>263.47000000000003</v>
      </c>
      <c r="L13" s="52">
        <v>25.8</v>
      </c>
      <c r="M13" s="52">
        <v>93.12</v>
      </c>
      <c r="N13" s="52">
        <v>0</v>
      </c>
      <c r="O13" s="52">
        <v>0</v>
      </c>
      <c r="P13" s="52">
        <v>0.39</v>
      </c>
      <c r="Q13" s="52">
        <v>4.51</v>
      </c>
    </row>
    <row r="14" spans="1:21" customFormat="1">
      <c r="A14" s="51" t="s">
        <v>566</v>
      </c>
      <c r="B14" s="52">
        <v>10.1</v>
      </c>
      <c r="C14" s="52">
        <v>17.34</v>
      </c>
      <c r="D14" s="52">
        <v>18.5</v>
      </c>
      <c r="E14" s="52">
        <v>4.46</v>
      </c>
      <c r="F14" s="52">
        <v>3.8</v>
      </c>
      <c r="G14" s="52">
        <v>15.61</v>
      </c>
      <c r="H14" s="52">
        <v>5.27</v>
      </c>
      <c r="I14" s="52">
        <v>2.84</v>
      </c>
      <c r="J14" s="52">
        <v>0.56999999999999995</v>
      </c>
      <c r="K14" s="52">
        <v>262.39999999999998</v>
      </c>
      <c r="L14" s="52">
        <v>25.69</v>
      </c>
      <c r="M14" s="52">
        <v>93.99</v>
      </c>
      <c r="N14" s="52">
        <v>8.1999999999999993</v>
      </c>
      <c r="O14" s="52">
        <v>0</v>
      </c>
      <c r="P14" s="52">
        <v>0.39</v>
      </c>
      <c r="Q14" s="52">
        <v>4.51</v>
      </c>
    </row>
    <row r="15" spans="1:21" customFormat="1">
      <c r="A15" s="51" t="s">
        <v>567</v>
      </c>
      <c r="B15" s="52">
        <v>10.23</v>
      </c>
      <c r="C15" s="52">
        <v>19.63</v>
      </c>
      <c r="D15" s="52">
        <v>19.239999999999998</v>
      </c>
      <c r="E15" s="52">
        <v>4.6500000000000004</v>
      </c>
      <c r="F15" s="52">
        <v>2.54</v>
      </c>
      <c r="G15" s="52">
        <v>17.5</v>
      </c>
      <c r="H15" s="52">
        <v>9.17</v>
      </c>
      <c r="I15" s="52">
        <v>2.95</v>
      </c>
      <c r="J15" s="52">
        <v>0.6</v>
      </c>
      <c r="K15" s="52">
        <v>263.58</v>
      </c>
      <c r="L15" s="52">
        <v>26.17</v>
      </c>
      <c r="M15" s="52">
        <v>93.6</v>
      </c>
      <c r="N15" s="52">
        <v>90.3</v>
      </c>
      <c r="O15" s="52">
        <v>0</v>
      </c>
      <c r="P15" s="52">
        <v>0.44</v>
      </c>
      <c r="Q15" s="52">
        <v>4.58</v>
      </c>
    </row>
    <row r="16" spans="1:21" customFormat="1">
      <c r="A16" s="51" t="s">
        <v>568</v>
      </c>
      <c r="B16" s="52">
        <v>9.76</v>
      </c>
      <c r="C16" s="52">
        <v>16.57</v>
      </c>
      <c r="D16" s="52">
        <v>17.22</v>
      </c>
      <c r="E16" s="52">
        <v>3.79</v>
      </c>
      <c r="F16" s="52">
        <v>3.38</v>
      </c>
      <c r="G16" s="52">
        <v>21</v>
      </c>
      <c r="H16" s="52">
        <v>7.73</v>
      </c>
      <c r="I16" s="52">
        <v>2.96</v>
      </c>
      <c r="J16" s="52">
        <v>0.7</v>
      </c>
      <c r="K16" s="52">
        <v>264.27</v>
      </c>
      <c r="L16" s="52">
        <v>27.46</v>
      </c>
      <c r="M16" s="52">
        <v>90.18</v>
      </c>
      <c r="N16" s="52">
        <v>164.1</v>
      </c>
      <c r="O16" s="52">
        <v>0</v>
      </c>
      <c r="P16" s="52">
        <v>0.38</v>
      </c>
      <c r="Q16" s="52">
        <v>4.4800000000000004</v>
      </c>
    </row>
    <row r="17" spans="1:17" customFormat="1">
      <c r="A17" s="51" t="s">
        <v>569</v>
      </c>
      <c r="B17" s="52">
        <v>9.8699999999999992</v>
      </c>
      <c r="C17" s="52">
        <v>18.260000000000002</v>
      </c>
      <c r="D17" s="52">
        <v>18.78</v>
      </c>
      <c r="E17" s="52">
        <v>4.8600000000000003</v>
      </c>
      <c r="F17" s="52">
        <v>3.06</v>
      </c>
      <c r="G17" s="52">
        <v>19.45</v>
      </c>
      <c r="H17" s="52">
        <v>8.36</v>
      </c>
      <c r="I17" s="52">
        <v>2.97</v>
      </c>
      <c r="J17" s="52">
        <v>0.7</v>
      </c>
      <c r="K17" s="52">
        <v>271.52999999999997</v>
      </c>
      <c r="L17" s="52">
        <v>28.75</v>
      </c>
      <c r="M17" s="52">
        <v>84.5</v>
      </c>
      <c r="N17" s="52">
        <v>290.39999999999998</v>
      </c>
      <c r="O17" s="52">
        <v>0</v>
      </c>
      <c r="P17" s="52">
        <v>0.41</v>
      </c>
      <c r="Q17" s="52">
        <v>4.51</v>
      </c>
    </row>
    <row r="18" spans="1:17" customFormat="1">
      <c r="A18" s="51" t="s">
        <v>570</v>
      </c>
      <c r="B18" s="52">
        <v>10.16</v>
      </c>
      <c r="C18" s="52">
        <v>16.28</v>
      </c>
      <c r="D18" s="52">
        <v>17.95</v>
      </c>
      <c r="E18" s="52">
        <v>5.23</v>
      </c>
      <c r="F18" s="52">
        <v>3.25</v>
      </c>
      <c r="G18" s="52">
        <v>21.15</v>
      </c>
      <c r="H18" s="52">
        <v>10.64</v>
      </c>
      <c r="I18" s="52">
        <v>3.38</v>
      </c>
      <c r="J18" s="52">
        <v>0.62</v>
      </c>
      <c r="K18" s="52">
        <v>259.48</v>
      </c>
      <c r="L18" s="52">
        <v>30.2</v>
      </c>
      <c r="M18" s="52">
        <v>79.8</v>
      </c>
      <c r="N18" s="52">
        <v>343.4</v>
      </c>
      <c r="O18" s="52">
        <v>0</v>
      </c>
      <c r="P18" s="52">
        <v>0.43</v>
      </c>
      <c r="Q18" s="52">
        <v>4.4800000000000004</v>
      </c>
    </row>
    <row r="19" spans="1:17" customFormat="1">
      <c r="A19" s="51" t="s">
        <v>571</v>
      </c>
      <c r="B19" s="52">
        <v>10.02</v>
      </c>
      <c r="C19" s="52">
        <v>15.93</v>
      </c>
      <c r="D19" s="52">
        <v>17.71</v>
      </c>
      <c r="E19" s="52">
        <v>15.93</v>
      </c>
      <c r="F19" s="52">
        <v>12.42</v>
      </c>
      <c r="G19" s="52">
        <v>27.08</v>
      </c>
      <c r="H19" s="52">
        <v>11.22</v>
      </c>
      <c r="I19" s="52">
        <v>3.54</v>
      </c>
      <c r="J19" s="52">
        <v>0.74</v>
      </c>
      <c r="K19" s="52">
        <v>266.56</v>
      </c>
      <c r="L19" s="52">
        <v>31.16</v>
      </c>
      <c r="M19" s="52">
        <v>74.59</v>
      </c>
      <c r="N19" s="52">
        <v>681.7</v>
      </c>
      <c r="O19" s="52">
        <v>0</v>
      </c>
      <c r="P19" s="52">
        <v>0.49</v>
      </c>
      <c r="Q19" s="52">
        <v>4.4800000000000004</v>
      </c>
    </row>
    <row r="20" spans="1:17" customFormat="1">
      <c r="A20" s="51" t="s">
        <v>572</v>
      </c>
      <c r="B20" s="52">
        <v>3.75</v>
      </c>
      <c r="C20" s="52">
        <v>16.14</v>
      </c>
      <c r="D20" s="52">
        <v>11.81</v>
      </c>
      <c r="E20" s="52">
        <v>11.45</v>
      </c>
      <c r="F20" s="52">
        <v>7.57</v>
      </c>
      <c r="G20" s="52">
        <v>25.13</v>
      </c>
      <c r="H20" s="52">
        <v>12.35</v>
      </c>
      <c r="I20" s="52">
        <v>3.53</v>
      </c>
      <c r="J20" s="52">
        <v>0.79</v>
      </c>
      <c r="K20" s="52">
        <v>263.16000000000003</v>
      </c>
      <c r="L20" s="52">
        <v>31.35</v>
      </c>
      <c r="M20" s="52">
        <v>73.73</v>
      </c>
      <c r="N20" s="52">
        <v>688</v>
      </c>
      <c r="O20" s="52">
        <v>0</v>
      </c>
      <c r="P20" s="52">
        <v>0.56000000000000005</v>
      </c>
      <c r="Q20" s="52">
        <v>4.09</v>
      </c>
    </row>
    <row r="21" spans="1:17" customFormat="1">
      <c r="A21" s="51" t="s">
        <v>573</v>
      </c>
      <c r="B21" s="52">
        <v>2.14</v>
      </c>
      <c r="C21" s="52">
        <v>16.97</v>
      </c>
      <c r="D21" s="52">
        <v>11.93</v>
      </c>
      <c r="E21" s="52">
        <v>3.6</v>
      </c>
      <c r="F21" s="52">
        <v>4.6100000000000003</v>
      </c>
      <c r="G21" s="52">
        <v>31.03</v>
      </c>
      <c r="H21" s="52">
        <v>13.69</v>
      </c>
      <c r="I21" s="52">
        <v>3.83</v>
      </c>
      <c r="J21" s="52">
        <v>0.98</v>
      </c>
      <c r="K21" s="52">
        <v>264.52</v>
      </c>
      <c r="L21" s="52">
        <v>31.57</v>
      </c>
      <c r="M21" s="52">
        <v>70.98</v>
      </c>
      <c r="N21" s="52">
        <v>655.4</v>
      </c>
      <c r="O21" s="52">
        <v>0</v>
      </c>
      <c r="P21" s="52">
        <v>0.56000000000000005</v>
      </c>
      <c r="Q21" s="52">
        <v>4.1900000000000004</v>
      </c>
    </row>
    <row r="22" spans="1:17" customFormat="1">
      <c r="A22" s="51" t="s">
        <v>574</v>
      </c>
      <c r="B22" s="52">
        <v>2</v>
      </c>
      <c r="C22" s="52">
        <v>14.25</v>
      </c>
      <c r="D22" s="52">
        <v>10.4</v>
      </c>
      <c r="E22" s="52">
        <v>2.88</v>
      </c>
      <c r="F22" s="52">
        <v>7.24</v>
      </c>
      <c r="G22" s="52">
        <v>26.96</v>
      </c>
      <c r="H22" s="52">
        <v>9.6199999999999992</v>
      </c>
      <c r="I22" s="52">
        <v>3.74</v>
      </c>
      <c r="J22" s="52">
        <v>1.06</v>
      </c>
      <c r="K22" s="52">
        <v>269.64999999999998</v>
      </c>
      <c r="L22" s="52">
        <v>31.62</v>
      </c>
      <c r="M22" s="52">
        <v>71.16</v>
      </c>
      <c r="N22" s="52">
        <v>659</v>
      </c>
      <c r="O22" s="52">
        <v>0</v>
      </c>
      <c r="P22" s="52">
        <v>0.47</v>
      </c>
      <c r="Q22" s="52">
        <v>4.0599999999999996</v>
      </c>
    </row>
    <row r="23" spans="1:17" customFormat="1">
      <c r="A23" s="51" t="s">
        <v>575</v>
      </c>
      <c r="B23" s="52">
        <v>2.02</v>
      </c>
      <c r="C23" s="52">
        <v>12.58</v>
      </c>
      <c r="D23" s="52">
        <v>9.5399999999999991</v>
      </c>
      <c r="E23" s="52">
        <v>3.43</v>
      </c>
      <c r="F23" s="52">
        <v>8.44</v>
      </c>
      <c r="G23" s="52">
        <v>22.14</v>
      </c>
      <c r="H23" s="52">
        <v>8.99</v>
      </c>
      <c r="I23" s="52">
        <v>3.4</v>
      </c>
      <c r="J23" s="52">
        <v>1.1399999999999999</v>
      </c>
      <c r="K23" s="52">
        <v>272.56</v>
      </c>
      <c r="L23" s="52">
        <v>31.77</v>
      </c>
      <c r="M23" s="52">
        <v>69.23</v>
      </c>
      <c r="N23" s="52">
        <v>634.79999999999995</v>
      </c>
      <c r="O23" s="52">
        <v>0</v>
      </c>
      <c r="P23" s="52">
        <v>0.41</v>
      </c>
      <c r="Q23" s="52">
        <v>3.99</v>
      </c>
    </row>
    <row r="24" spans="1:17" customFormat="1">
      <c r="A24" s="51" t="s">
        <v>576</v>
      </c>
      <c r="B24" s="52">
        <v>2.04</v>
      </c>
      <c r="C24" s="52">
        <v>13.11</v>
      </c>
      <c r="D24" s="52">
        <v>9.83</v>
      </c>
      <c r="E24" s="52">
        <v>12.64</v>
      </c>
      <c r="F24" s="52">
        <v>18.399999999999999</v>
      </c>
      <c r="G24" s="52">
        <v>23.43</v>
      </c>
      <c r="H24" s="52">
        <v>8.4499999999999993</v>
      </c>
      <c r="I24" s="52">
        <v>3.61</v>
      </c>
      <c r="J24" s="52">
        <v>0.99</v>
      </c>
      <c r="K24" s="52">
        <v>281.17</v>
      </c>
      <c r="L24" s="52">
        <v>30.99</v>
      </c>
      <c r="M24" s="52">
        <v>70.14</v>
      </c>
      <c r="N24" s="52">
        <v>283.2</v>
      </c>
      <c r="O24" s="52">
        <v>0</v>
      </c>
      <c r="P24" s="52">
        <v>0.45</v>
      </c>
      <c r="Q24" s="52">
        <v>4.04</v>
      </c>
    </row>
    <row r="25" spans="1:17" customFormat="1">
      <c r="A25" s="51" t="s">
        <v>577</v>
      </c>
      <c r="B25" s="52">
        <v>2.09</v>
      </c>
      <c r="C25" s="52">
        <v>14.58</v>
      </c>
      <c r="D25" s="52">
        <v>10.64</v>
      </c>
      <c r="E25" s="52">
        <v>8.27</v>
      </c>
      <c r="F25" s="52">
        <v>10.27</v>
      </c>
      <c r="G25" s="52">
        <v>28.85</v>
      </c>
      <c r="H25" s="52">
        <v>14.02</v>
      </c>
      <c r="I25" s="52">
        <v>4.57</v>
      </c>
      <c r="J25" s="52">
        <v>1.02</v>
      </c>
      <c r="K25" s="52">
        <v>287.32</v>
      </c>
      <c r="L25" s="52">
        <v>30.72</v>
      </c>
      <c r="M25" s="52">
        <v>69.45</v>
      </c>
      <c r="N25" s="52">
        <v>269.10000000000002</v>
      </c>
      <c r="O25" s="52">
        <v>0</v>
      </c>
      <c r="P25" s="52">
        <v>0.47</v>
      </c>
      <c r="Q25" s="52">
        <v>4</v>
      </c>
    </row>
    <row r="26" spans="1:17" customFormat="1">
      <c r="A26" s="51" t="s">
        <v>578</v>
      </c>
      <c r="B26" s="52">
        <v>2.82</v>
      </c>
      <c r="C26" s="52">
        <v>16.32</v>
      </c>
      <c r="D26" s="52">
        <v>11.55</v>
      </c>
      <c r="E26" s="52">
        <v>5.43</v>
      </c>
      <c r="F26" s="52">
        <v>11.61</v>
      </c>
      <c r="G26" s="52">
        <v>29.42</v>
      </c>
      <c r="H26" s="52">
        <v>9.8699999999999992</v>
      </c>
      <c r="I26" s="52">
        <v>4.6399999999999997</v>
      </c>
      <c r="J26" s="52">
        <v>0.95</v>
      </c>
      <c r="K26" s="52">
        <v>270.83999999999997</v>
      </c>
      <c r="L26" s="52">
        <v>29.87</v>
      </c>
      <c r="M26" s="52">
        <v>72.63</v>
      </c>
      <c r="N26" s="52">
        <v>61.5</v>
      </c>
      <c r="O26" s="52">
        <v>0</v>
      </c>
      <c r="P26" s="52">
        <v>0.51</v>
      </c>
      <c r="Q26" s="52">
        <v>4.1100000000000003</v>
      </c>
    </row>
    <row r="27" spans="1:17" customFormat="1">
      <c r="A27" s="51" t="s">
        <v>579</v>
      </c>
      <c r="B27" s="52">
        <v>4.3099999999999996</v>
      </c>
      <c r="C27" s="52">
        <v>15.8</v>
      </c>
      <c r="D27" s="52">
        <v>12.72</v>
      </c>
      <c r="E27" s="52">
        <v>6.31</v>
      </c>
      <c r="F27" s="52">
        <v>9.65</v>
      </c>
      <c r="G27" s="52">
        <v>32.76</v>
      </c>
      <c r="H27" s="52">
        <v>10.3</v>
      </c>
      <c r="I27" s="52">
        <v>5.36</v>
      </c>
      <c r="J27" s="52">
        <v>0.57999999999999996</v>
      </c>
      <c r="K27" s="52">
        <v>264.35000000000002</v>
      </c>
      <c r="L27" s="52">
        <v>28.99</v>
      </c>
      <c r="M27" s="52">
        <v>77.69</v>
      </c>
      <c r="N27" s="52">
        <v>1.6</v>
      </c>
      <c r="O27" s="52">
        <v>0</v>
      </c>
      <c r="P27" s="52">
        <v>0.49</v>
      </c>
      <c r="Q27" s="52">
        <v>4.17</v>
      </c>
    </row>
    <row r="28" spans="1:17" customFormat="1">
      <c r="A28" s="51" t="s">
        <v>580</v>
      </c>
      <c r="B28" s="52">
        <v>5.17</v>
      </c>
      <c r="C28" s="52">
        <v>12.96</v>
      </c>
      <c r="D28" s="52">
        <v>12</v>
      </c>
      <c r="E28" s="52">
        <v>5.91</v>
      </c>
      <c r="F28" s="52">
        <v>13.52</v>
      </c>
      <c r="G28" s="52">
        <v>30.97</v>
      </c>
      <c r="H28" s="52">
        <v>8.99</v>
      </c>
      <c r="I28" s="52">
        <v>4.87</v>
      </c>
      <c r="J28" s="52">
        <v>0.42</v>
      </c>
      <c r="K28" s="52">
        <v>261.54000000000002</v>
      </c>
      <c r="L28" s="52">
        <v>28.04</v>
      </c>
      <c r="M28" s="52">
        <v>85.17</v>
      </c>
      <c r="N28" s="52">
        <v>0</v>
      </c>
      <c r="O28" s="52">
        <v>0</v>
      </c>
      <c r="P28" s="52">
        <v>0.44</v>
      </c>
      <c r="Q28" s="52">
        <v>4.1500000000000004</v>
      </c>
    </row>
    <row r="29" spans="1:17" customFormat="1">
      <c r="A29" s="51" t="s">
        <v>581</v>
      </c>
      <c r="B29" s="52">
        <v>6.35</v>
      </c>
      <c r="C29" s="52">
        <v>15.17</v>
      </c>
      <c r="D29" s="52">
        <v>14.08</v>
      </c>
      <c r="E29" s="52">
        <v>5.92</v>
      </c>
      <c r="F29" s="52">
        <v>9.85</v>
      </c>
      <c r="G29" s="52">
        <v>27.37</v>
      </c>
      <c r="H29" s="52">
        <v>10.52</v>
      </c>
      <c r="I29" s="52">
        <v>4.3600000000000003</v>
      </c>
      <c r="J29" s="52">
        <v>0.14000000000000001</v>
      </c>
      <c r="K29" s="52">
        <v>182.88</v>
      </c>
      <c r="L29" s="52">
        <v>27.36</v>
      </c>
      <c r="M29" s="52">
        <v>88.36</v>
      </c>
      <c r="N29" s="52">
        <v>0</v>
      </c>
      <c r="O29" s="52">
        <v>0</v>
      </c>
      <c r="P29" s="52">
        <v>0.47</v>
      </c>
      <c r="Q29" s="52">
        <v>4.25</v>
      </c>
    </row>
    <row r="30" spans="1:17" customFormat="1">
      <c r="A30" s="51" t="s">
        <v>582</v>
      </c>
      <c r="B30" s="52">
        <v>7.34</v>
      </c>
      <c r="C30" s="52">
        <v>15.52</v>
      </c>
      <c r="D30" s="52">
        <v>15.05</v>
      </c>
      <c r="E30" s="52">
        <v>6.45</v>
      </c>
      <c r="F30" s="52">
        <v>10.54</v>
      </c>
      <c r="G30" s="52">
        <v>22.39</v>
      </c>
      <c r="H30" s="52">
        <v>9.1300000000000008</v>
      </c>
      <c r="I30" s="52">
        <v>4.13</v>
      </c>
      <c r="J30" s="52">
        <v>0.28000000000000003</v>
      </c>
      <c r="K30" s="52">
        <v>269.31</v>
      </c>
      <c r="L30" s="52">
        <v>27.17</v>
      </c>
      <c r="M30" s="52">
        <v>87.4</v>
      </c>
      <c r="N30" s="52">
        <v>0</v>
      </c>
      <c r="O30" s="52">
        <v>0</v>
      </c>
      <c r="P30" s="52">
        <v>0.47</v>
      </c>
      <c r="Q30" s="52">
        <v>4.3</v>
      </c>
    </row>
    <row r="31" spans="1:17" customFormat="1">
      <c r="A31" s="51" t="s">
        <v>583</v>
      </c>
      <c r="B31" s="52">
        <v>7.35</v>
      </c>
      <c r="C31" s="52">
        <v>16.72</v>
      </c>
      <c r="D31" s="52">
        <v>15.63</v>
      </c>
      <c r="E31" s="52">
        <v>5.57</v>
      </c>
      <c r="F31" s="52">
        <v>8.4</v>
      </c>
      <c r="G31" s="52">
        <v>22.15</v>
      </c>
      <c r="H31" s="52">
        <v>8.49</v>
      </c>
      <c r="I31" s="52">
        <v>4.45</v>
      </c>
      <c r="J31" s="52">
        <v>0.35</v>
      </c>
      <c r="K31" s="52">
        <v>261.43</v>
      </c>
      <c r="L31" s="52">
        <v>27.26</v>
      </c>
      <c r="M31" s="52">
        <v>87.15</v>
      </c>
      <c r="N31" s="52">
        <v>0</v>
      </c>
      <c r="O31" s="52">
        <v>0</v>
      </c>
      <c r="P31" s="52">
        <v>0.51</v>
      </c>
      <c r="Q31" s="52">
        <v>4.3</v>
      </c>
    </row>
    <row r="32" spans="1:17" customFormat="1">
      <c r="A32" s="51" t="s">
        <v>584</v>
      </c>
      <c r="B32" s="52">
        <v>7.51</v>
      </c>
      <c r="C32" s="52">
        <v>12.04</v>
      </c>
      <c r="D32" s="52">
        <v>13.67</v>
      </c>
      <c r="E32" s="52">
        <v>5.83</v>
      </c>
      <c r="F32" s="52">
        <v>8.8699999999999992</v>
      </c>
      <c r="G32" s="52">
        <v>21.68</v>
      </c>
      <c r="H32" s="52">
        <v>9.8800000000000008</v>
      </c>
      <c r="I32" s="52">
        <v>3.92</v>
      </c>
      <c r="J32" s="52">
        <v>0.22</v>
      </c>
      <c r="K32" s="52">
        <v>258.52999999999997</v>
      </c>
      <c r="L32" s="52">
        <v>27.04</v>
      </c>
      <c r="M32" s="52">
        <v>90.7</v>
      </c>
      <c r="N32" s="52">
        <v>0</v>
      </c>
      <c r="O32" s="52">
        <v>0</v>
      </c>
      <c r="P32" s="52">
        <v>0.41</v>
      </c>
      <c r="Q32" s="52">
        <v>4.26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</v>
      </c>
      <c r="C34" s="41">
        <f t="shared" si="0"/>
        <v>12.04</v>
      </c>
      <c r="D34" s="41">
        <f t="shared" si="0"/>
        <v>9.5399999999999991</v>
      </c>
      <c r="E34" s="41">
        <f t="shared" si="0"/>
        <v>2.88</v>
      </c>
      <c r="F34" s="41">
        <f t="shared" si="0"/>
        <v>2.54</v>
      </c>
      <c r="G34" s="41">
        <f t="shared" si="0"/>
        <v>12.89</v>
      </c>
      <c r="H34" s="41">
        <f t="shared" si="0"/>
        <v>5.27</v>
      </c>
      <c r="I34" s="41">
        <f t="shared" si="0"/>
        <v>2.84</v>
      </c>
      <c r="J34" s="41">
        <f t="shared" si="0"/>
        <v>0.14000000000000001</v>
      </c>
      <c r="K34" s="41">
        <f t="shared" si="0"/>
        <v>182.88</v>
      </c>
      <c r="L34" s="41">
        <f t="shared" si="0"/>
        <v>25.69</v>
      </c>
      <c r="M34" s="41">
        <f t="shared" si="0"/>
        <v>69.23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3.99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10.23</v>
      </c>
      <c r="C35" s="33">
        <f t="shared" si="1"/>
        <v>19.63</v>
      </c>
      <c r="D35" s="33">
        <f t="shared" si="1"/>
        <v>19.239999999999998</v>
      </c>
      <c r="E35" s="33">
        <f t="shared" si="1"/>
        <v>15.93</v>
      </c>
      <c r="F35" s="33">
        <f t="shared" si="1"/>
        <v>18.399999999999999</v>
      </c>
      <c r="G35" s="33">
        <f t="shared" si="1"/>
        <v>32.76</v>
      </c>
      <c r="H35" s="33">
        <f t="shared" si="1"/>
        <v>14.02</v>
      </c>
      <c r="I35" s="33">
        <f t="shared" si="1"/>
        <v>5.36</v>
      </c>
      <c r="J35" s="33">
        <f t="shared" si="1"/>
        <v>1.1399999999999999</v>
      </c>
      <c r="K35" s="33">
        <f t="shared" si="1"/>
        <v>287.32</v>
      </c>
      <c r="L35" s="33">
        <f t="shared" si="1"/>
        <v>31.77</v>
      </c>
      <c r="M35" s="33">
        <f t="shared" si="1"/>
        <v>93.99</v>
      </c>
      <c r="N35" s="33">
        <f t="shared" si="1"/>
        <v>688</v>
      </c>
      <c r="O35" s="33">
        <f t="shared" si="1"/>
        <v>0</v>
      </c>
      <c r="P35" s="33">
        <f t="shared" si="1"/>
        <v>0.56000000000000005</v>
      </c>
      <c r="Q35" s="33">
        <f t="shared" si="1"/>
        <v>4.58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6.8333333333333321</v>
      </c>
      <c r="C36" s="41">
        <f t="shared" si="2"/>
        <v>15.837499999999999</v>
      </c>
      <c r="D36" s="41">
        <f t="shared" si="2"/>
        <v>14.881666666666669</v>
      </c>
      <c r="E36" s="41">
        <f t="shared" si="2"/>
        <v>5.992916666666666</v>
      </c>
      <c r="F36" s="41">
        <f t="shared" si="2"/>
        <v>7.4658333333333333</v>
      </c>
      <c r="G36" s="41">
        <f t="shared" si="2"/>
        <v>22.585416666666664</v>
      </c>
      <c r="H36" s="41">
        <f t="shared" si="2"/>
        <v>9.2637500000000017</v>
      </c>
      <c r="I36" s="41">
        <f t="shared" si="2"/>
        <v>3.6558333333333337</v>
      </c>
      <c r="J36" s="41">
        <f t="shared" si="2"/>
        <v>0.65166666666666673</v>
      </c>
      <c r="K36" s="41">
        <f t="shared" si="2"/>
        <v>262.83958333333334</v>
      </c>
      <c r="L36" s="41">
        <f t="shared" si="2"/>
        <v>28.454583333333332</v>
      </c>
      <c r="M36" s="41">
        <f t="shared" si="2"/>
        <v>83.093750000000014</v>
      </c>
      <c r="N36" s="41">
        <f t="shared" si="2"/>
        <v>201.2791666666667</v>
      </c>
      <c r="O36" s="41">
        <f t="shared" si="2"/>
        <v>0</v>
      </c>
      <c r="P36" s="41">
        <f t="shared" si="2"/>
        <v>0.44750000000000001</v>
      </c>
      <c r="Q36" s="41">
        <f t="shared" si="2"/>
        <v>4.3050000000000006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3.3308448682326692</v>
      </c>
      <c r="C37" s="41">
        <f t="shared" ref="C37:Q37" si="3">STDEV(C9:C32)</f>
        <v>1.8790243768231412</v>
      </c>
      <c r="D37" s="41">
        <f t="shared" si="3"/>
        <v>3.3120172057243931</v>
      </c>
      <c r="E37" s="41">
        <f t="shared" si="3"/>
        <v>3.1469840346739564</v>
      </c>
      <c r="F37" s="41">
        <f t="shared" si="3"/>
        <v>4.0533849693984054</v>
      </c>
      <c r="G37" s="41">
        <f t="shared" si="3"/>
        <v>5.8034547276051365</v>
      </c>
      <c r="H37" s="41">
        <f t="shared" si="3"/>
        <v>2.1653753816551555</v>
      </c>
      <c r="I37" s="41">
        <f t="shared" si="3"/>
        <v>0.73802272067455943</v>
      </c>
      <c r="J37" s="41">
        <f t="shared" si="3"/>
        <v>0.27083874019129134</v>
      </c>
      <c r="K37" s="41">
        <f t="shared" si="3"/>
        <v>18.324335797718248</v>
      </c>
      <c r="L37" s="41">
        <f t="shared" si="3"/>
        <v>2.2380309264029887</v>
      </c>
      <c r="M37" s="41">
        <f t="shared" si="3"/>
        <v>9.3694150030829135</v>
      </c>
      <c r="N37" s="41">
        <f t="shared" si="3"/>
        <v>265.91503543207284</v>
      </c>
      <c r="O37" s="41">
        <f t="shared" si="3"/>
        <v>0</v>
      </c>
      <c r="P37" s="41">
        <f t="shared" si="3"/>
        <v>5.3750631947751037E-2</v>
      </c>
      <c r="Q37" s="41">
        <f t="shared" si="3"/>
        <v>0.19410888920801109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585</v>
      </c>
      <c r="B9" s="52">
        <v>8.32</v>
      </c>
      <c r="C9" s="52">
        <v>16.329999999999998</v>
      </c>
      <c r="D9" s="52">
        <v>16.55</v>
      </c>
      <c r="E9" s="52">
        <v>6.22</v>
      </c>
      <c r="F9" s="52">
        <v>7.73</v>
      </c>
      <c r="G9" s="52">
        <v>22.76</v>
      </c>
      <c r="H9" s="52">
        <v>8.1999999999999993</v>
      </c>
      <c r="I9" s="52">
        <v>3.91</v>
      </c>
      <c r="J9" s="52">
        <v>0.24</v>
      </c>
      <c r="K9" s="52">
        <v>256.79000000000002</v>
      </c>
      <c r="L9" s="52">
        <v>26.9</v>
      </c>
      <c r="M9" s="52">
        <v>91.38</v>
      </c>
      <c r="N9" s="52">
        <v>0</v>
      </c>
      <c r="O9" s="52">
        <v>0</v>
      </c>
      <c r="P9" s="52">
        <v>0.45</v>
      </c>
      <c r="Q9" s="52">
        <v>4.38</v>
      </c>
    </row>
    <row r="10" spans="1:21" customFormat="1">
      <c r="A10" s="51" t="s">
        <v>586</v>
      </c>
      <c r="B10" s="52">
        <v>8.85</v>
      </c>
      <c r="C10" s="52">
        <v>15.5</v>
      </c>
      <c r="D10" s="52">
        <v>16.489999999999998</v>
      </c>
      <c r="E10" s="52">
        <v>6.47</v>
      </c>
      <c r="F10" s="52">
        <v>6.5</v>
      </c>
      <c r="G10" s="52">
        <v>16.350000000000001</v>
      </c>
      <c r="H10" s="52">
        <v>6.09</v>
      </c>
      <c r="I10" s="52">
        <v>3.81</v>
      </c>
      <c r="J10" s="52">
        <v>0.49</v>
      </c>
      <c r="K10" s="52">
        <v>260.83</v>
      </c>
      <c r="L10" s="52">
        <v>26.87</v>
      </c>
      <c r="M10" s="52">
        <v>89.49</v>
      </c>
      <c r="N10" s="52">
        <v>0</v>
      </c>
      <c r="O10" s="52">
        <v>0</v>
      </c>
      <c r="P10" s="52">
        <v>0.43</v>
      </c>
      <c r="Q10" s="52">
        <v>4.3899999999999997</v>
      </c>
    </row>
    <row r="11" spans="1:21" customFormat="1">
      <c r="A11" s="51" t="s">
        <v>587</v>
      </c>
      <c r="B11" s="52">
        <v>9.15</v>
      </c>
      <c r="C11" s="52">
        <v>15.05</v>
      </c>
      <c r="D11" s="52">
        <v>16.53</v>
      </c>
      <c r="E11" s="52">
        <v>5.07</v>
      </c>
      <c r="F11" s="52">
        <v>7.49</v>
      </c>
      <c r="G11" s="52">
        <v>15.45</v>
      </c>
      <c r="H11" s="52">
        <v>6.29</v>
      </c>
      <c r="I11" s="52">
        <v>3.63</v>
      </c>
      <c r="J11" s="52">
        <v>0.47</v>
      </c>
      <c r="K11" s="52">
        <v>262.41000000000003</v>
      </c>
      <c r="L11" s="52">
        <v>26.74</v>
      </c>
      <c r="M11" s="52">
        <v>90.27</v>
      </c>
      <c r="N11" s="52">
        <v>0</v>
      </c>
      <c r="O11" s="52">
        <v>0</v>
      </c>
      <c r="P11" s="52">
        <v>0.42</v>
      </c>
      <c r="Q11" s="52">
        <v>4.4000000000000004</v>
      </c>
    </row>
    <row r="12" spans="1:21" customFormat="1">
      <c r="A12" s="51" t="s">
        <v>588</v>
      </c>
      <c r="B12" s="52">
        <v>9.19</v>
      </c>
      <c r="C12" s="52">
        <v>15.67</v>
      </c>
      <c r="D12" s="52">
        <v>16.28</v>
      </c>
      <c r="E12" s="52">
        <v>4.8600000000000003</v>
      </c>
      <c r="F12" s="52">
        <v>5.19</v>
      </c>
      <c r="G12" s="52">
        <v>14.25</v>
      </c>
      <c r="H12" s="52">
        <v>7.47</v>
      </c>
      <c r="I12" s="52">
        <v>3.63</v>
      </c>
      <c r="J12" s="52">
        <v>0.53</v>
      </c>
      <c r="K12" s="52">
        <v>265.83</v>
      </c>
      <c r="L12" s="52">
        <v>26.63</v>
      </c>
      <c r="M12" s="52">
        <v>90.63</v>
      </c>
      <c r="N12" s="52">
        <v>0</v>
      </c>
      <c r="O12" s="52">
        <v>0</v>
      </c>
      <c r="P12" s="52">
        <v>0.45</v>
      </c>
      <c r="Q12" s="52">
        <v>4.38</v>
      </c>
    </row>
    <row r="13" spans="1:21" customFormat="1">
      <c r="A13" s="51" t="s">
        <v>589</v>
      </c>
      <c r="B13" s="52">
        <v>9.11</v>
      </c>
      <c r="C13" s="52">
        <v>13.25</v>
      </c>
      <c r="D13" s="52">
        <v>15.58</v>
      </c>
      <c r="E13" s="52">
        <v>4.4400000000000004</v>
      </c>
      <c r="F13" s="52">
        <v>5.45</v>
      </c>
      <c r="G13" s="52">
        <v>15.23</v>
      </c>
      <c r="H13" s="52">
        <v>6.95</v>
      </c>
      <c r="I13" s="52">
        <v>3.38</v>
      </c>
      <c r="J13" s="52">
        <v>0.52</v>
      </c>
      <c r="K13" s="52">
        <v>263.45</v>
      </c>
      <c r="L13" s="52">
        <v>26.43</v>
      </c>
      <c r="M13" s="52">
        <v>90.82</v>
      </c>
      <c r="N13" s="52">
        <v>0</v>
      </c>
      <c r="O13" s="52">
        <v>0</v>
      </c>
      <c r="P13" s="52">
        <v>0.37</v>
      </c>
      <c r="Q13" s="52">
        <v>4.32</v>
      </c>
    </row>
    <row r="14" spans="1:21" customFormat="1">
      <c r="A14" s="51" t="s">
        <v>590</v>
      </c>
      <c r="B14" s="52">
        <v>9.51</v>
      </c>
      <c r="C14" s="52">
        <v>15.61</v>
      </c>
      <c r="D14" s="52">
        <v>17.059999999999999</v>
      </c>
      <c r="E14" s="52">
        <v>5.3</v>
      </c>
      <c r="F14" s="52">
        <v>4.2300000000000004</v>
      </c>
      <c r="G14" s="52">
        <v>13.45</v>
      </c>
      <c r="H14" s="52">
        <v>5.16</v>
      </c>
      <c r="I14" s="52">
        <v>3.23</v>
      </c>
      <c r="J14" s="52">
        <v>0.55000000000000004</v>
      </c>
      <c r="K14" s="52">
        <v>262.14999999999998</v>
      </c>
      <c r="L14" s="52">
        <v>26.3</v>
      </c>
      <c r="M14" s="52">
        <v>91.61</v>
      </c>
      <c r="N14" s="52">
        <v>1</v>
      </c>
      <c r="O14" s="52">
        <v>0</v>
      </c>
      <c r="P14" s="52">
        <v>0.39</v>
      </c>
      <c r="Q14" s="52">
        <v>4.41</v>
      </c>
    </row>
    <row r="15" spans="1:21" customFormat="1">
      <c r="A15" s="51" t="s">
        <v>591</v>
      </c>
      <c r="B15" s="52">
        <v>9.9600000000000009</v>
      </c>
      <c r="C15" s="52">
        <v>15.65</v>
      </c>
      <c r="D15" s="52">
        <v>17.32</v>
      </c>
      <c r="E15" s="52">
        <v>5.5</v>
      </c>
      <c r="F15" s="52">
        <v>4.62</v>
      </c>
      <c r="G15" s="52">
        <v>13.1</v>
      </c>
      <c r="H15" s="52">
        <v>6.54</v>
      </c>
      <c r="I15" s="52">
        <v>3.18</v>
      </c>
      <c r="J15" s="52">
        <v>0.56000000000000005</v>
      </c>
      <c r="K15" s="52">
        <v>269.61</v>
      </c>
      <c r="L15" s="52">
        <v>26.51</v>
      </c>
      <c r="M15" s="52">
        <v>91.65</v>
      </c>
      <c r="N15" s="52">
        <v>36.299999999999997</v>
      </c>
      <c r="O15" s="52">
        <v>0</v>
      </c>
      <c r="P15" s="52">
        <v>0.39</v>
      </c>
      <c r="Q15" s="52">
        <v>4.4400000000000004</v>
      </c>
    </row>
    <row r="16" spans="1:21" customFormat="1">
      <c r="A16" s="51" t="s">
        <v>592</v>
      </c>
      <c r="B16" s="52">
        <v>10.28</v>
      </c>
      <c r="C16" s="52">
        <v>15.79</v>
      </c>
      <c r="D16" s="52">
        <v>17.8</v>
      </c>
      <c r="E16" s="52">
        <v>5.33</v>
      </c>
      <c r="F16" s="52">
        <v>3.7</v>
      </c>
      <c r="G16" s="52">
        <v>11.54</v>
      </c>
      <c r="H16" s="52">
        <v>5.49</v>
      </c>
      <c r="I16" s="52">
        <v>3.17</v>
      </c>
      <c r="J16" s="52">
        <v>0.65</v>
      </c>
      <c r="K16" s="52">
        <v>264.22000000000003</v>
      </c>
      <c r="L16" s="52">
        <v>27.79</v>
      </c>
      <c r="M16" s="52">
        <v>91.19</v>
      </c>
      <c r="N16" s="52">
        <v>170.8</v>
      </c>
      <c r="O16" s="52">
        <v>0</v>
      </c>
      <c r="P16" s="52">
        <v>0.4</v>
      </c>
      <c r="Q16" s="52">
        <v>4.46</v>
      </c>
    </row>
    <row r="17" spans="1:17" customFormat="1">
      <c r="A17" s="51" t="s">
        <v>593</v>
      </c>
      <c r="B17" s="52">
        <v>10.41</v>
      </c>
      <c r="C17" s="52">
        <v>15</v>
      </c>
      <c r="D17" s="52">
        <v>17.04</v>
      </c>
      <c r="E17" s="52">
        <v>5.0599999999999996</v>
      </c>
      <c r="F17" s="52">
        <v>3.54</v>
      </c>
      <c r="G17" s="52">
        <v>11.21</v>
      </c>
      <c r="H17" s="52">
        <v>5.64</v>
      </c>
      <c r="I17" s="52">
        <v>3.34</v>
      </c>
      <c r="J17" s="52">
        <v>0.73</v>
      </c>
      <c r="K17" s="52">
        <v>259.33999999999997</v>
      </c>
      <c r="L17" s="52">
        <v>28.12</v>
      </c>
      <c r="M17" s="52">
        <v>86.22</v>
      </c>
      <c r="N17" s="52">
        <v>181.8</v>
      </c>
      <c r="O17" s="52">
        <v>0</v>
      </c>
      <c r="P17" s="52">
        <v>0.44</v>
      </c>
      <c r="Q17" s="52">
        <v>4.43</v>
      </c>
    </row>
    <row r="18" spans="1:17" customFormat="1">
      <c r="A18" s="51" t="s">
        <v>594</v>
      </c>
      <c r="B18" s="52">
        <v>9.81</v>
      </c>
      <c r="C18" s="52">
        <v>13.45</v>
      </c>
      <c r="D18" s="52">
        <v>16.190000000000001</v>
      </c>
      <c r="E18" s="52">
        <v>4.82</v>
      </c>
      <c r="F18" s="52">
        <v>3.99</v>
      </c>
      <c r="G18" s="52">
        <v>13.34</v>
      </c>
      <c r="H18" s="52">
        <v>6.13</v>
      </c>
      <c r="I18" s="52">
        <v>3.45</v>
      </c>
      <c r="J18" s="52">
        <v>0.85</v>
      </c>
      <c r="K18" s="52">
        <v>262.08</v>
      </c>
      <c r="L18" s="52">
        <v>28.73</v>
      </c>
      <c r="M18" s="52">
        <v>84.25</v>
      </c>
      <c r="N18" s="52">
        <v>298.5</v>
      </c>
      <c r="O18" s="52">
        <v>0</v>
      </c>
      <c r="P18" s="52">
        <v>0.4</v>
      </c>
      <c r="Q18" s="52">
        <v>4.3600000000000003</v>
      </c>
    </row>
    <row r="19" spans="1:17" customFormat="1">
      <c r="A19" s="51" t="s">
        <v>595</v>
      </c>
      <c r="B19" s="52">
        <v>9.94</v>
      </c>
      <c r="C19" s="52">
        <v>15.13</v>
      </c>
      <c r="D19" s="52">
        <v>17.14</v>
      </c>
      <c r="E19" s="52">
        <v>4.8099999999999996</v>
      </c>
      <c r="F19" s="52">
        <v>3.76</v>
      </c>
      <c r="G19" s="52">
        <v>14.23</v>
      </c>
      <c r="H19" s="52">
        <v>7.48</v>
      </c>
      <c r="I19" s="52">
        <v>3.22</v>
      </c>
      <c r="J19" s="52">
        <v>0.92</v>
      </c>
      <c r="K19" s="52">
        <v>267.5</v>
      </c>
      <c r="L19" s="52">
        <v>29.95</v>
      </c>
      <c r="M19" s="52">
        <v>80.430000000000007</v>
      </c>
      <c r="N19" s="52">
        <v>477.4</v>
      </c>
      <c r="O19" s="52">
        <v>0</v>
      </c>
      <c r="P19" s="52">
        <v>0.41</v>
      </c>
      <c r="Q19" s="52">
        <v>4.37</v>
      </c>
    </row>
    <row r="20" spans="1:17" customFormat="1">
      <c r="A20" s="51" t="s">
        <v>596</v>
      </c>
      <c r="B20" s="52">
        <v>9.6</v>
      </c>
      <c r="C20" s="52">
        <v>13.82</v>
      </c>
      <c r="D20" s="52">
        <v>16.2</v>
      </c>
      <c r="E20" s="52">
        <v>5.1100000000000003</v>
      </c>
      <c r="F20" s="52">
        <v>4.67</v>
      </c>
      <c r="G20" s="52">
        <v>17.309999999999999</v>
      </c>
      <c r="H20" s="52">
        <v>8.44</v>
      </c>
      <c r="I20" s="52">
        <v>3.22</v>
      </c>
      <c r="J20" s="52">
        <v>0.86</v>
      </c>
      <c r="K20" s="52">
        <v>264.81</v>
      </c>
      <c r="L20" s="52">
        <v>30.87</v>
      </c>
      <c r="M20" s="52">
        <v>76.94</v>
      </c>
      <c r="N20" s="52">
        <v>552.6</v>
      </c>
      <c r="O20" s="52">
        <v>0</v>
      </c>
      <c r="P20" s="52">
        <v>0.39</v>
      </c>
      <c r="Q20" s="52">
        <v>4.34</v>
      </c>
    </row>
    <row r="21" spans="1:17" customFormat="1">
      <c r="A21" s="51" t="s">
        <v>597</v>
      </c>
      <c r="B21" s="52">
        <v>8.9700000000000006</v>
      </c>
      <c r="C21" s="52">
        <v>13.59</v>
      </c>
      <c r="D21" s="52">
        <v>15.64</v>
      </c>
      <c r="E21" s="52">
        <v>5.75</v>
      </c>
      <c r="F21" s="52">
        <v>5.92</v>
      </c>
      <c r="G21" s="52">
        <v>14.33</v>
      </c>
      <c r="H21" s="52">
        <v>10.46</v>
      </c>
      <c r="I21" s="52">
        <v>3.08</v>
      </c>
      <c r="J21" s="52">
        <v>1.21</v>
      </c>
      <c r="K21" s="52">
        <v>270.27</v>
      </c>
      <c r="L21" s="52">
        <v>30.92</v>
      </c>
      <c r="M21" s="52">
        <v>73.599999999999994</v>
      </c>
      <c r="N21" s="52">
        <v>493.3</v>
      </c>
      <c r="O21" s="52">
        <v>0</v>
      </c>
      <c r="P21" s="52">
        <v>0.37</v>
      </c>
      <c r="Q21" s="52">
        <v>4.29</v>
      </c>
    </row>
    <row r="22" spans="1:17" customFormat="1">
      <c r="A22" s="51" t="s">
        <v>598</v>
      </c>
      <c r="B22" s="52">
        <v>8.25</v>
      </c>
      <c r="C22" s="52">
        <v>15.05</v>
      </c>
      <c r="D22" s="52">
        <v>14.91</v>
      </c>
      <c r="E22" s="52">
        <v>4.68</v>
      </c>
      <c r="F22" s="52">
        <v>5.32</v>
      </c>
      <c r="G22" s="52">
        <v>14.02</v>
      </c>
      <c r="H22" s="52">
        <v>7.88</v>
      </c>
      <c r="I22" s="52">
        <v>2.98</v>
      </c>
      <c r="J22" s="52">
        <v>1.1299999999999999</v>
      </c>
      <c r="K22" s="52">
        <v>267.04000000000002</v>
      </c>
      <c r="L22" s="52">
        <v>31.77</v>
      </c>
      <c r="M22" s="52">
        <v>74.02</v>
      </c>
      <c r="N22" s="52">
        <v>785.7</v>
      </c>
      <c r="O22" s="52">
        <v>0</v>
      </c>
      <c r="P22" s="52">
        <v>0.43</v>
      </c>
      <c r="Q22" s="52">
        <v>4.22</v>
      </c>
    </row>
    <row r="23" spans="1:17" customFormat="1">
      <c r="A23" s="51" t="s">
        <v>599</v>
      </c>
      <c r="B23" s="52">
        <v>6.42</v>
      </c>
      <c r="C23" s="52">
        <v>15.42</v>
      </c>
      <c r="D23" s="52">
        <v>14.54</v>
      </c>
      <c r="E23" s="52">
        <v>3.74</v>
      </c>
      <c r="F23" s="52">
        <v>6.77</v>
      </c>
      <c r="G23" s="52">
        <v>14.6</v>
      </c>
      <c r="H23" s="52">
        <v>8.06</v>
      </c>
      <c r="I23" s="52">
        <v>3.04</v>
      </c>
      <c r="J23" s="52">
        <v>1.18</v>
      </c>
      <c r="K23" s="52">
        <v>270.22000000000003</v>
      </c>
      <c r="L23" s="52">
        <v>31.82</v>
      </c>
      <c r="M23" s="52">
        <v>70.34</v>
      </c>
      <c r="N23" s="52">
        <v>719.8</v>
      </c>
      <c r="O23" s="52">
        <v>0</v>
      </c>
      <c r="P23" s="52">
        <v>0.31</v>
      </c>
      <c r="Q23" s="52">
        <v>4.22</v>
      </c>
    </row>
    <row r="24" spans="1:17" customFormat="1">
      <c r="A24" s="51" t="s">
        <v>600</v>
      </c>
      <c r="B24" s="52">
        <v>7</v>
      </c>
      <c r="C24" s="52">
        <v>12.48</v>
      </c>
      <c r="D24" s="52">
        <v>13.46</v>
      </c>
      <c r="E24" s="52">
        <v>4.17</v>
      </c>
      <c r="F24" s="52">
        <v>6.85</v>
      </c>
      <c r="G24" s="52">
        <v>15.98</v>
      </c>
      <c r="H24" s="52">
        <v>8.9700000000000006</v>
      </c>
      <c r="I24" s="52">
        <v>2.8</v>
      </c>
      <c r="J24" s="52">
        <v>0.98</v>
      </c>
      <c r="K24" s="52">
        <v>271.85000000000002</v>
      </c>
      <c r="L24" s="52">
        <v>31.54</v>
      </c>
      <c r="M24" s="52">
        <v>70.239999999999995</v>
      </c>
      <c r="N24" s="52">
        <v>478.7</v>
      </c>
      <c r="O24" s="52">
        <v>0</v>
      </c>
      <c r="P24" s="52">
        <v>0.25</v>
      </c>
      <c r="Q24" s="52">
        <v>4.08</v>
      </c>
    </row>
    <row r="25" spans="1:17" customFormat="1">
      <c r="A25" s="51" t="s">
        <v>601</v>
      </c>
      <c r="B25" s="52">
        <v>7.13</v>
      </c>
      <c r="C25" s="52">
        <v>12.15</v>
      </c>
      <c r="D25" s="52">
        <v>13.32</v>
      </c>
      <c r="E25" s="52">
        <v>4.34</v>
      </c>
      <c r="F25" s="52">
        <v>8.2100000000000009</v>
      </c>
      <c r="G25" s="52">
        <v>17.62</v>
      </c>
      <c r="H25" s="52">
        <v>10.1</v>
      </c>
      <c r="I25" s="52">
        <v>2.72</v>
      </c>
      <c r="J25" s="52">
        <v>0.96</v>
      </c>
      <c r="K25" s="52">
        <v>268.36</v>
      </c>
      <c r="L25" s="52">
        <v>30.95</v>
      </c>
      <c r="M25" s="52">
        <v>73.12</v>
      </c>
      <c r="N25" s="52">
        <v>206.8</v>
      </c>
      <c r="O25" s="52">
        <v>0</v>
      </c>
      <c r="P25" s="52">
        <v>0.25</v>
      </c>
      <c r="Q25" s="52">
        <v>4.04</v>
      </c>
    </row>
    <row r="26" spans="1:17" customFormat="1">
      <c r="A26" s="51" t="s">
        <v>602</v>
      </c>
      <c r="B26" s="52">
        <v>7.36</v>
      </c>
      <c r="C26" s="52">
        <v>12.54</v>
      </c>
      <c r="D26" s="52">
        <v>13.81</v>
      </c>
      <c r="E26" s="52">
        <v>4.05</v>
      </c>
      <c r="F26" s="52">
        <v>7.82</v>
      </c>
      <c r="G26" s="52">
        <v>18.02</v>
      </c>
      <c r="H26" s="52">
        <v>9.24</v>
      </c>
      <c r="I26" s="52">
        <v>2.61</v>
      </c>
      <c r="J26" s="52">
        <v>0.74</v>
      </c>
      <c r="K26" s="52">
        <v>263.14999999999998</v>
      </c>
      <c r="L26" s="52">
        <v>30.07</v>
      </c>
      <c r="M26" s="52">
        <v>77.67</v>
      </c>
      <c r="N26" s="52">
        <v>82.1</v>
      </c>
      <c r="O26" s="52">
        <v>0</v>
      </c>
      <c r="P26" s="52">
        <v>0.26</v>
      </c>
      <c r="Q26" s="52">
        <v>4.04</v>
      </c>
    </row>
    <row r="27" spans="1:17" customFormat="1">
      <c r="A27" s="51" t="s">
        <v>603</v>
      </c>
      <c r="B27" s="52">
        <v>7.66</v>
      </c>
      <c r="C27" s="52">
        <v>13.11</v>
      </c>
      <c r="D27" s="52">
        <v>14.17</v>
      </c>
      <c r="E27" s="52">
        <v>4.33</v>
      </c>
      <c r="F27" s="52">
        <v>8.68</v>
      </c>
      <c r="G27" s="52">
        <v>21.82</v>
      </c>
      <c r="H27" s="52">
        <v>9.0399999999999991</v>
      </c>
      <c r="I27" s="52">
        <v>2.63</v>
      </c>
      <c r="J27" s="52">
        <v>0.82</v>
      </c>
      <c r="K27" s="52">
        <v>265.49</v>
      </c>
      <c r="L27" s="52">
        <v>29.1</v>
      </c>
      <c r="M27" s="52">
        <v>79.209999999999994</v>
      </c>
      <c r="N27" s="52">
        <v>0.3</v>
      </c>
      <c r="O27" s="52">
        <v>0</v>
      </c>
      <c r="P27" s="52">
        <v>0.28999999999999998</v>
      </c>
      <c r="Q27" s="52">
        <v>4.09</v>
      </c>
    </row>
    <row r="28" spans="1:17" customFormat="1">
      <c r="A28" s="51" t="s">
        <v>604</v>
      </c>
      <c r="B28" s="52">
        <v>6.95</v>
      </c>
      <c r="C28" s="52">
        <v>14.51</v>
      </c>
      <c r="D28" s="52">
        <v>14.26</v>
      </c>
      <c r="E28" s="52">
        <v>3.67</v>
      </c>
      <c r="F28" s="52">
        <v>8</v>
      </c>
      <c r="G28" s="52">
        <v>19.64</v>
      </c>
      <c r="H28" s="52">
        <v>7.28</v>
      </c>
      <c r="I28" s="52">
        <v>2.85</v>
      </c>
      <c r="J28" s="52">
        <v>0.74</v>
      </c>
      <c r="K28" s="52">
        <v>265.88</v>
      </c>
      <c r="L28" s="52">
        <v>28.48</v>
      </c>
      <c r="M28" s="52">
        <v>82.33</v>
      </c>
      <c r="N28" s="52">
        <v>0</v>
      </c>
      <c r="O28" s="52">
        <v>0</v>
      </c>
      <c r="P28" s="52">
        <v>0.31</v>
      </c>
      <c r="Q28" s="52">
        <v>4.1399999999999997</v>
      </c>
    </row>
    <row r="29" spans="1:17" customFormat="1">
      <c r="A29" s="51" t="s">
        <v>605</v>
      </c>
      <c r="B29" s="52">
        <v>7.83</v>
      </c>
      <c r="C29" s="52">
        <v>14.02</v>
      </c>
      <c r="D29" s="52">
        <v>14.95</v>
      </c>
      <c r="E29" s="52">
        <v>4.29</v>
      </c>
      <c r="F29" s="52">
        <v>7.66</v>
      </c>
      <c r="G29" s="52">
        <v>20.329999999999998</v>
      </c>
      <c r="H29" s="52">
        <v>9.42</v>
      </c>
      <c r="I29" s="52">
        <v>2.61</v>
      </c>
      <c r="J29" s="52">
        <v>0.69</v>
      </c>
      <c r="K29" s="52">
        <v>262.72000000000003</v>
      </c>
      <c r="L29" s="52">
        <v>28.17</v>
      </c>
      <c r="M29" s="52">
        <v>83.87</v>
      </c>
      <c r="N29" s="52">
        <v>0</v>
      </c>
      <c r="O29" s="52">
        <v>0</v>
      </c>
      <c r="P29" s="52">
        <v>0.28000000000000003</v>
      </c>
      <c r="Q29" s="52">
        <v>4.1399999999999997</v>
      </c>
    </row>
    <row r="30" spans="1:17" customFormat="1">
      <c r="A30" s="51" t="s">
        <v>606</v>
      </c>
      <c r="B30" s="52">
        <v>8.0399999999999991</v>
      </c>
      <c r="C30" s="52">
        <v>13.34</v>
      </c>
      <c r="D30" s="52">
        <v>14.59</v>
      </c>
      <c r="E30" s="52">
        <v>4.45</v>
      </c>
      <c r="F30" s="52">
        <v>7.09</v>
      </c>
      <c r="G30" s="52">
        <v>19.8</v>
      </c>
      <c r="H30" s="52">
        <v>8.51</v>
      </c>
      <c r="I30" s="52">
        <v>2.82</v>
      </c>
      <c r="J30" s="52">
        <v>0.86</v>
      </c>
      <c r="K30" s="52">
        <v>263.18</v>
      </c>
      <c r="L30" s="52">
        <v>27.77</v>
      </c>
      <c r="M30" s="52">
        <v>83.93</v>
      </c>
      <c r="N30" s="52">
        <v>0</v>
      </c>
      <c r="O30" s="52">
        <v>0</v>
      </c>
      <c r="P30" s="52">
        <v>0.28000000000000003</v>
      </c>
      <c r="Q30" s="52">
        <v>4.16</v>
      </c>
    </row>
    <row r="31" spans="1:17" customFormat="1">
      <c r="A31" s="51" t="s">
        <v>607</v>
      </c>
      <c r="B31" s="52">
        <v>8.2200000000000006</v>
      </c>
      <c r="C31" s="52">
        <v>14.34</v>
      </c>
      <c r="D31" s="52">
        <v>15.44</v>
      </c>
      <c r="E31" s="52">
        <v>4.93</v>
      </c>
      <c r="F31" s="52">
        <v>5.89</v>
      </c>
      <c r="G31" s="52">
        <v>21.21</v>
      </c>
      <c r="H31" s="52">
        <v>8.43</v>
      </c>
      <c r="I31" s="52">
        <v>2.78</v>
      </c>
      <c r="J31" s="52">
        <v>0.87</v>
      </c>
      <c r="K31" s="52">
        <v>266.07</v>
      </c>
      <c r="L31" s="52">
        <v>27.4</v>
      </c>
      <c r="M31" s="52">
        <v>86.12</v>
      </c>
      <c r="N31" s="52">
        <v>0</v>
      </c>
      <c r="O31" s="52">
        <v>0</v>
      </c>
      <c r="P31" s="52">
        <v>0.28999999999999998</v>
      </c>
      <c r="Q31" s="52">
        <v>4.1900000000000004</v>
      </c>
    </row>
    <row r="32" spans="1:17" customFormat="1">
      <c r="A32" s="51" t="s">
        <v>608</v>
      </c>
      <c r="B32" s="52">
        <v>8.6300000000000008</v>
      </c>
      <c r="C32" s="52">
        <v>15.18</v>
      </c>
      <c r="D32" s="52">
        <v>16.2</v>
      </c>
      <c r="E32" s="52">
        <v>4.8499999999999996</v>
      </c>
      <c r="F32" s="52">
        <v>6.05</v>
      </c>
      <c r="G32" s="52">
        <v>20.66</v>
      </c>
      <c r="H32" s="52">
        <v>9.27</v>
      </c>
      <c r="I32" s="52">
        <v>2.77</v>
      </c>
      <c r="J32" s="52">
        <v>0.77</v>
      </c>
      <c r="K32" s="52">
        <v>267.88</v>
      </c>
      <c r="L32" s="52">
        <v>27</v>
      </c>
      <c r="M32" s="52">
        <v>93.17</v>
      </c>
      <c r="N32" s="52">
        <v>0</v>
      </c>
      <c r="O32" s="52">
        <v>0.4</v>
      </c>
      <c r="P32" s="52">
        <v>0.3</v>
      </c>
      <c r="Q32" s="52">
        <v>4.21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6.42</v>
      </c>
      <c r="C34" s="41">
        <f t="shared" si="0"/>
        <v>12.15</v>
      </c>
      <c r="D34" s="41">
        <f t="shared" si="0"/>
        <v>13.32</v>
      </c>
      <c r="E34" s="41">
        <f t="shared" si="0"/>
        <v>3.67</v>
      </c>
      <c r="F34" s="41">
        <f t="shared" si="0"/>
        <v>3.54</v>
      </c>
      <c r="G34" s="41">
        <f t="shared" si="0"/>
        <v>11.21</v>
      </c>
      <c r="H34" s="41">
        <f t="shared" si="0"/>
        <v>5.16</v>
      </c>
      <c r="I34" s="41">
        <f t="shared" si="0"/>
        <v>2.61</v>
      </c>
      <c r="J34" s="41">
        <f t="shared" si="0"/>
        <v>0.24</v>
      </c>
      <c r="K34" s="41">
        <f t="shared" si="0"/>
        <v>256.79000000000002</v>
      </c>
      <c r="L34" s="41">
        <f t="shared" si="0"/>
        <v>26.3</v>
      </c>
      <c r="M34" s="41">
        <f t="shared" si="0"/>
        <v>70.239999999999995</v>
      </c>
      <c r="N34" s="41">
        <f t="shared" si="0"/>
        <v>0</v>
      </c>
      <c r="O34" s="41">
        <f t="shared" si="0"/>
        <v>0</v>
      </c>
      <c r="P34" s="41">
        <f t="shared" si="0"/>
        <v>0.25</v>
      </c>
      <c r="Q34" s="41">
        <f t="shared" si="0"/>
        <v>4.04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10.41</v>
      </c>
      <c r="C35" s="33">
        <f t="shared" si="1"/>
        <v>16.329999999999998</v>
      </c>
      <c r="D35" s="33">
        <f t="shared" si="1"/>
        <v>17.8</v>
      </c>
      <c r="E35" s="33">
        <f t="shared" si="1"/>
        <v>6.47</v>
      </c>
      <c r="F35" s="33">
        <f t="shared" si="1"/>
        <v>8.68</v>
      </c>
      <c r="G35" s="33">
        <f t="shared" si="1"/>
        <v>22.76</v>
      </c>
      <c r="H35" s="33">
        <f t="shared" si="1"/>
        <v>10.46</v>
      </c>
      <c r="I35" s="33">
        <f t="shared" si="1"/>
        <v>3.91</v>
      </c>
      <c r="J35" s="33">
        <f t="shared" si="1"/>
        <v>1.21</v>
      </c>
      <c r="K35" s="33">
        <f t="shared" si="1"/>
        <v>271.85000000000002</v>
      </c>
      <c r="L35" s="33">
        <f t="shared" si="1"/>
        <v>31.82</v>
      </c>
      <c r="M35" s="33">
        <f t="shared" si="1"/>
        <v>93.17</v>
      </c>
      <c r="N35" s="33">
        <f t="shared" si="1"/>
        <v>785.7</v>
      </c>
      <c r="O35" s="33">
        <f t="shared" si="1"/>
        <v>0.4</v>
      </c>
      <c r="P35" s="33">
        <f t="shared" si="1"/>
        <v>0.45</v>
      </c>
      <c r="Q35" s="33">
        <f t="shared" si="1"/>
        <v>4.46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8.6079166666666662</v>
      </c>
      <c r="C36" s="41">
        <f t="shared" si="2"/>
        <v>14.41583333333333</v>
      </c>
      <c r="D36" s="41">
        <f t="shared" si="2"/>
        <v>15.64458333333333</v>
      </c>
      <c r="E36" s="41">
        <f t="shared" si="2"/>
        <v>4.8433333333333337</v>
      </c>
      <c r="F36" s="41">
        <f t="shared" si="2"/>
        <v>6.0470833333333331</v>
      </c>
      <c r="G36" s="41">
        <f t="shared" si="2"/>
        <v>16.510416666666668</v>
      </c>
      <c r="H36" s="41">
        <f t="shared" si="2"/>
        <v>7.7725</v>
      </c>
      <c r="I36" s="41">
        <f t="shared" si="2"/>
        <v>3.1191666666666662</v>
      </c>
      <c r="J36" s="41">
        <f t="shared" si="2"/>
        <v>0.76333333333333353</v>
      </c>
      <c r="K36" s="41">
        <f t="shared" si="2"/>
        <v>265.04708333333332</v>
      </c>
      <c r="L36" s="41">
        <f t="shared" si="2"/>
        <v>28.617916666666662</v>
      </c>
      <c r="M36" s="41">
        <f t="shared" si="2"/>
        <v>83.4375</v>
      </c>
      <c r="N36" s="41">
        <f t="shared" si="2"/>
        <v>186.87916666666672</v>
      </c>
      <c r="O36" s="41">
        <f t="shared" si="2"/>
        <v>1.6666666666666666E-2</v>
      </c>
      <c r="P36" s="41">
        <f t="shared" si="2"/>
        <v>0.35666666666666669</v>
      </c>
      <c r="Q36" s="41">
        <f t="shared" si="2"/>
        <v>4.270833333333333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1.1423506625515236</v>
      </c>
      <c r="C37" s="41">
        <f t="shared" ref="C37:Q37" si="3">STDEV(C9:C32)</f>
        <v>1.2025513336839539</v>
      </c>
      <c r="D37" s="41">
        <f t="shared" si="3"/>
        <v>1.2906014073887171</v>
      </c>
      <c r="E37" s="41">
        <f t="shared" si="3"/>
        <v>0.69977429073309461</v>
      </c>
      <c r="F37" s="41">
        <f t="shared" si="3"/>
        <v>1.5974884613223275</v>
      </c>
      <c r="G37" s="41">
        <f t="shared" si="3"/>
        <v>3.3475707988962879</v>
      </c>
      <c r="H37" s="41">
        <f t="shared" si="3"/>
        <v>1.4951174157759481</v>
      </c>
      <c r="I37" s="41">
        <f t="shared" si="3"/>
        <v>0.38077628564571947</v>
      </c>
      <c r="J37" s="41">
        <f t="shared" si="3"/>
        <v>0.2390318637421748</v>
      </c>
      <c r="K37" s="41">
        <f t="shared" si="3"/>
        <v>3.678093172290287</v>
      </c>
      <c r="L37" s="41">
        <f t="shared" si="3"/>
        <v>1.8965230868198826</v>
      </c>
      <c r="M37" s="41">
        <f t="shared" si="3"/>
        <v>7.5151384898574438</v>
      </c>
      <c r="N37" s="41">
        <f t="shared" si="3"/>
        <v>255.81858718064535</v>
      </c>
      <c r="O37" s="41">
        <f t="shared" si="3"/>
        <v>8.1649658092772623E-2</v>
      </c>
      <c r="P37" s="41">
        <f t="shared" si="3"/>
        <v>6.907253066707171E-2</v>
      </c>
      <c r="Q37" s="41">
        <f t="shared" si="3"/>
        <v>0.13621966488524795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609</v>
      </c>
      <c r="B9" s="52">
        <v>6.57</v>
      </c>
      <c r="C9" s="52">
        <v>16.34</v>
      </c>
      <c r="D9" s="52">
        <v>14.54</v>
      </c>
      <c r="E9" s="52">
        <v>5</v>
      </c>
      <c r="F9" s="52">
        <v>4.32</v>
      </c>
      <c r="G9" s="52">
        <v>22.35</v>
      </c>
      <c r="H9" s="52">
        <v>11.29</v>
      </c>
      <c r="I9" s="52">
        <v>2.91</v>
      </c>
      <c r="J9" s="52">
        <v>1.08</v>
      </c>
      <c r="K9" s="52">
        <v>307.44</v>
      </c>
      <c r="L9" s="52">
        <v>26.2</v>
      </c>
      <c r="M9" s="52">
        <v>97.08</v>
      </c>
      <c r="N9" s="52">
        <v>0</v>
      </c>
      <c r="O9" s="52">
        <v>0.8</v>
      </c>
      <c r="P9" s="52">
        <v>0.35</v>
      </c>
      <c r="Q9" s="52">
        <v>4.33</v>
      </c>
    </row>
    <row r="10" spans="1:21" customFormat="1">
      <c r="A10" s="51" t="s">
        <v>610</v>
      </c>
      <c r="B10" s="52">
        <v>7.75</v>
      </c>
      <c r="C10" s="52">
        <v>15.93</v>
      </c>
      <c r="D10" s="52">
        <v>15.74</v>
      </c>
      <c r="E10" s="52">
        <v>4.72</v>
      </c>
      <c r="F10" s="52">
        <v>3.73</v>
      </c>
      <c r="G10" s="52">
        <v>21.85</v>
      </c>
      <c r="H10" s="52">
        <v>8.17</v>
      </c>
      <c r="I10" s="52">
        <v>2.67</v>
      </c>
      <c r="J10" s="52">
        <v>0.64</v>
      </c>
      <c r="K10" s="52">
        <v>275.95</v>
      </c>
      <c r="L10" s="52">
        <v>24.64</v>
      </c>
      <c r="M10" s="52">
        <v>98.03</v>
      </c>
      <c r="N10" s="52">
        <v>0</v>
      </c>
      <c r="O10" s="52">
        <v>0.4</v>
      </c>
      <c r="P10" s="52">
        <v>0.28999999999999998</v>
      </c>
      <c r="Q10" s="52">
        <v>4.3600000000000003</v>
      </c>
    </row>
    <row r="11" spans="1:21" customFormat="1">
      <c r="A11" s="51" t="s">
        <v>611</v>
      </c>
      <c r="B11" s="52">
        <v>8.6</v>
      </c>
      <c r="C11" s="52">
        <v>15.89</v>
      </c>
      <c r="D11" s="52">
        <v>16.350000000000001</v>
      </c>
      <c r="E11" s="52">
        <v>3.42</v>
      </c>
      <c r="F11" s="52">
        <v>3.07</v>
      </c>
      <c r="G11" s="52">
        <v>15.94</v>
      </c>
      <c r="H11" s="52">
        <v>6.08</v>
      </c>
      <c r="I11" s="52">
        <v>2.74</v>
      </c>
      <c r="J11" s="52">
        <v>0.59</v>
      </c>
      <c r="K11" s="52">
        <v>278.49</v>
      </c>
      <c r="L11" s="52">
        <v>24.65</v>
      </c>
      <c r="M11" s="52">
        <v>97.63</v>
      </c>
      <c r="N11" s="52">
        <v>0</v>
      </c>
      <c r="O11" s="52">
        <v>0</v>
      </c>
      <c r="P11" s="52">
        <v>0.28999999999999998</v>
      </c>
      <c r="Q11" s="52">
        <v>4.3899999999999997</v>
      </c>
    </row>
    <row r="12" spans="1:21" customFormat="1">
      <c r="A12" s="51" t="s">
        <v>612</v>
      </c>
      <c r="B12" s="52">
        <v>9.36</v>
      </c>
      <c r="C12" s="52">
        <v>15.46</v>
      </c>
      <c r="D12" s="52">
        <v>16.62</v>
      </c>
      <c r="E12" s="52">
        <v>3.34</v>
      </c>
      <c r="F12" s="52">
        <v>2.98</v>
      </c>
      <c r="G12" s="52">
        <v>12.33</v>
      </c>
      <c r="H12" s="52">
        <v>4.68</v>
      </c>
      <c r="I12" s="52">
        <v>2.92</v>
      </c>
      <c r="J12" s="52">
        <v>0.37</v>
      </c>
      <c r="K12" s="52">
        <v>264.95</v>
      </c>
      <c r="L12" s="52">
        <v>24.64</v>
      </c>
      <c r="M12" s="52">
        <v>97.53</v>
      </c>
      <c r="N12" s="52">
        <v>0</v>
      </c>
      <c r="O12" s="52">
        <v>0</v>
      </c>
      <c r="P12" s="52">
        <v>0.31</v>
      </c>
      <c r="Q12" s="52">
        <v>4.41</v>
      </c>
    </row>
    <row r="13" spans="1:21" customFormat="1">
      <c r="A13" s="51" t="s">
        <v>613</v>
      </c>
      <c r="B13" s="52">
        <v>10.130000000000001</v>
      </c>
      <c r="C13" s="52">
        <v>15.98</v>
      </c>
      <c r="D13" s="52">
        <v>17.61</v>
      </c>
      <c r="E13" s="52">
        <v>3.2</v>
      </c>
      <c r="F13" s="52">
        <v>3.19</v>
      </c>
      <c r="G13" s="52">
        <v>9.7899999999999991</v>
      </c>
      <c r="H13" s="52">
        <v>4.9800000000000004</v>
      </c>
      <c r="I13" s="52">
        <v>3.54</v>
      </c>
      <c r="J13" s="52">
        <v>0.67</v>
      </c>
      <c r="K13" s="52">
        <v>264.07</v>
      </c>
      <c r="L13" s="52">
        <v>24.85</v>
      </c>
      <c r="M13" s="52">
        <v>97.89</v>
      </c>
      <c r="N13" s="52">
        <v>0</v>
      </c>
      <c r="O13" s="52">
        <v>0</v>
      </c>
      <c r="P13" s="52">
        <v>0.35</v>
      </c>
      <c r="Q13" s="52">
        <v>4.51</v>
      </c>
    </row>
    <row r="14" spans="1:21" customFormat="1">
      <c r="A14" s="51" t="s">
        <v>614</v>
      </c>
      <c r="B14" s="52">
        <v>10.08</v>
      </c>
      <c r="C14" s="52">
        <v>15.32</v>
      </c>
      <c r="D14" s="52">
        <v>16.64</v>
      </c>
      <c r="E14" s="52">
        <v>3.25</v>
      </c>
      <c r="F14" s="52">
        <v>3.07</v>
      </c>
      <c r="G14" s="52">
        <v>10.17</v>
      </c>
      <c r="H14" s="52">
        <v>3.74</v>
      </c>
      <c r="I14" s="52">
        <v>3.56</v>
      </c>
      <c r="J14" s="52">
        <v>0.62</v>
      </c>
      <c r="K14" s="52">
        <v>266.63</v>
      </c>
      <c r="L14" s="52">
        <v>24.96</v>
      </c>
      <c r="M14" s="52">
        <v>97.14</v>
      </c>
      <c r="N14" s="52">
        <v>0</v>
      </c>
      <c r="O14" s="52">
        <v>0</v>
      </c>
      <c r="P14" s="52">
        <v>0.37</v>
      </c>
      <c r="Q14" s="52">
        <v>4.4800000000000004</v>
      </c>
    </row>
    <row r="15" spans="1:21" customFormat="1">
      <c r="A15" s="51" t="s">
        <v>615</v>
      </c>
      <c r="B15" s="52">
        <v>9.77</v>
      </c>
      <c r="C15" s="52">
        <v>15.58</v>
      </c>
      <c r="D15" s="52">
        <v>17.329999999999998</v>
      </c>
      <c r="E15" s="52">
        <v>3.04</v>
      </c>
      <c r="F15" s="52">
        <v>3.08</v>
      </c>
      <c r="G15" s="52">
        <v>11.59</v>
      </c>
      <c r="H15" s="52">
        <v>3.71</v>
      </c>
      <c r="I15" s="52">
        <v>3.4</v>
      </c>
      <c r="J15" s="52">
        <v>0.74</v>
      </c>
      <c r="K15" s="52">
        <v>266.01</v>
      </c>
      <c r="L15" s="52">
        <v>25.24</v>
      </c>
      <c r="M15" s="52">
        <v>96.29</v>
      </c>
      <c r="N15" s="52">
        <v>47.9</v>
      </c>
      <c r="O15" s="52">
        <v>0</v>
      </c>
      <c r="P15" s="52">
        <v>0.34</v>
      </c>
      <c r="Q15" s="52">
        <v>4.4800000000000004</v>
      </c>
    </row>
    <row r="16" spans="1:21" customFormat="1">
      <c r="A16" s="51" t="s">
        <v>616</v>
      </c>
      <c r="B16" s="52">
        <v>10</v>
      </c>
      <c r="C16" s="52">
        <v>15.2</v>
      </c>
      <c r="D16" s="52">
        <v>17.3</v>
      </c>
      <c r="E16" s="52">
        <v>3.62</v>
      </c>
      <c r="F16" s="52">
        <v>3.01</v>
      </c>
      <c r="G16" s="52">
        <v>8.64</v>
      </c>
      <c r="H16" s="52">
        <v>2.97</v>
      </c>
      <c r="I16" s="52">
        <v>3.36</v>
      </c>
      <c r="J16" s="52">
        <v>0.91</v>
      </c>
      <c r="K16" s="52">
        <v>267.24</v>
      </c>
      <c r="L16" s="52">
        <v>25.97</v>
      </c>
      <c r="M16" s="52">
        <v>94.43</v>
      </c>
      <c r="N16" s="52">
        <v>125.2</v>
      </c>
      <c r="O16" s="52">
        <v>0</v>
      </c>
      <c r="P16" s="52">
        <v>0.34</v>
      </c>
      <c r="Q16" s="52">
        <v>4.5</v>
      </c>
    </row>
    <row r="17" spans="1:17" customFormat="1">
      <c r="A17" s="51" t="s">
        <v>617</v>
      </c>
      <c r="B17" s="52">
        <v>10.18</v>
      </c>
      <c r="C17" s="52">
        <v>14.49</v>
      </c>
      <c r="D17" s="52">
        <v>17</v>
      </c>
      <c r="E17" s="52">
        <v>3.75</v>
      </c>
      <c r="F17" s="52">
        <v>3.22</v>
      </c>
      <c r="G17" s="52">
        <v>11.37</v>
      </c>
      <c r="H17" s="52">
        <v>2.57</v>
      </c>
      <c r="I17" s="52">
        <v>3.64</v>
      </c>
      <c r="J17" s="52">
        <v>0.9</v>
      </c>
      <c r="K17" s="52">
        <v>268.58999999999997</v>
      </c>
      <c r="L17" s="52">
        <v>27.15</v>
      </c>
      <c r="M17" s="52">
        <v>90.6</v>
      </c>
      <c r="N17" s="52">
        <v>229.1</v>
      </c>
      <c r="O17" s="52">
        <v>0</v>
      </c>
      <c r="P17" s="52">
        <v>0.37</v>
      </c>
      <c r="Q17" s="52">
        <v>4.51</v>
      </c>
    </row>
    <row r="18" spans="1:17" customFormat="1">
      <c r="A18" s="51" t="s">
        <v>618</v>
      </c>
      <c r="B18" s="52">
        <v>10.59</v>
      </c>
      <c r="C18" s="52">
        <v>15.64</v>
      </c>
      <c r="D18" s="52">
        <v>17.78</v>
      </c>
      <c r="E18" s="52">
        <v>3.8</v>
      </c>
      <c r="F18" s="52">
        <v>3.16</v>
      </c>
      <c r="G18" s="52">
        <v>14.77</v>
      </c>
      <c r="H18" s="52">
        <v>4.59</v>
      </c>
      <c r="I18" s="52">
        <v>4.12</v>
      </c>
      <c r="J18" s="52">
        <v>0.87</v>
      </c>
      <c r="K18" s="52">
        <v>275.73</v>
      </c>
      <c r="L18" s="52">
        <v>27.79</v>
      </c>
      <c r="M18" s="52">
        <v>86.81</v>
      </c>
      <c r="N18" s="52">
        <v>276.8</v>
      </c>
      <c r="O18" s="52">
        <v>0</v>
      </c>
      <c r="P18" s="52">
        <v>0.44</v>
      </c>
      <c r="Q18" s="52">
        <v>4.5599999999999996</v>
      </c>
    </row>
    <row r="19" spans="1:17" customFormat="1">
      <c r="A19" s="51" t="s">
        <v>619</v>
      </c>
      <c r="B19" s="52">
        <v>10.15</v>
      </c>
      <c r="C19" s="52">
        <v>14.53</v>
      </c>
      <c r="D19" s="52">
        <v>16.38</v>
      </c>
      <c r="E19" s="52">
        <v>7.19</v>
      </c>
      <c r="F19" s="52">
        <v>5.94</v>
      </c>
      <c r="G19" s="52">
        <v>19.399999999999999</v>
      </c>
      <c r="H19" s="52">
        <v>5.72</v>
      </c>
      <c r="I19" s="52">
        <v>4.5</v>
      </c>
      <c r="J19" s="52">
        <v>0.99</v>
      </c>
      <c r="K19" s="52">
        <v>278.14</v>
      </c>
      <c r="L19" s="52">
        <v>28.43</v>
      </c>
      <c r="M19" s="52">
        <v>83.89</v>
      </c>
      <c r="N19" s="52">
        <v>377.6</v>
      </c>
      <c r="O19" s="52">
        <v>0</v>
      </c>
      <c r="P19" s="52">
        <v>0.57999999999999996</v>
      </c>
      <c r="Q19" s="52">
        <v>4.45</v>
      </c>
    </row>
    <row r="20" spans="1:17" customFormat="1">
      <c r="A20" s="51" t="s">
        <v>620</v>
      </c>
      <c r="B20" s="52">
        <v>3.68</v>
      </c>
      <c r="C20" s="52">
        <v>13.82</v>
      </c>
      <c r="D20" s="52">
        <v>11.49</v>
      </c>
      <c r="E20" s="52">
        <v>7.11</v>
      </c>
      <c r="F20" s="52">
        <v>10.23</v>
      </c>
      <c r="G20" s="52">
        <v>24.31</v>
      </c>
      <c r="H20" s="52">
        <v>9.01</v>
      </c>
      <c r="I20" s="52">
        <v>4.6100000000000003</v>
      </c>
      <c r="J20" s="52">
        <v>1.03</v>
      </c>
      <c r="K20" s="52">
        <v>279.8</v>
      </c>
      <c r="L20" s="52">
        <v>29.24</v>
      </c>
      <c r="M20" s="52">
        <v>79.52</v>
      </c>
      <c r="N20" s="52">
        <v>451.6</v>
      </c>
      <c r="O20" s="52">
        <v>0</v>
      </c>
      <c r="P20" s="52">
        <v>0.57999999999999996</v>
      </c>
      <c r="Q20" s="52">
        <v>4.0599999999999996</v>
      </c>
    </row>
    <row r="21" spans="1:17" customFormat="1">
      <c r="A21" s="51" t="s">
        <v>621</v>
      </c>
      <c r="B21" s="52">
        <v>2.73</v>
      </c>
      <c r="C21" s="52">
        <v>12.21</v>
      </c>
      <c r="D21" s="52">
        <v>9.84</v>
      </c>
      <c r="E21" s="52">
        <v>3.86</v>
      </c>
      <c r="F21" s="52">
        <v>6.28</v>
      </c>
      <c r="G21" s="52">
        <v>26.4</v>
      </c>
      <c r="H21" s="52">
        <v>7.81</v>
      </c>
      <c r="I21" s="52">
        <v>4.88</v>
      </c>
      <c r="J21" s="52">
        <v>0.8</v>
      </c>
      <c r="K21" s="52">
        <v>276.26</v>
      </c>
      <c r="L21" s="52">
        <v>29.48</v>
      </c>
      <c r="M21" s="52">
        <v>77.22</v>
      </c>
      <c r="N21" s="52">
        <v>314.8</v>
      </c>
      <c r="O21" s="52">
        <v>0</v>
      </c>
      <c r="P21" s="52">
        <v>0.59</v>
      </c>
      <c r="Q21" s="52">
        <v>4.05</v>
      </c>
    </row>
    <row r="22" spans="1:17" customFormat="1">
      <c r="A22" s="51" t="s">
        <v>622</v>
      </c>
      <c r="B22" s="52">
        <v>3.08</v>
      </c>
      <c r="C22" s="52">
        <v>12.63</v>
      </c>
      <c r="D22" s="52">
        <v>10.119999999999999</v>
      </c>
      <c r="E22" s="52">
        <v>5.5</v>
      </c>
      <c r="F22" s="52">
        <v>12.22</v>
      </c>
      <c r="G22" s="52">
        <v>29.33</v>
      </c>
      <c r="H22" s="52">
        <v>9.5</v>
      </c>
      <c r="I22" s="52">
        <v>5.17</v>
      </c>
      <c r="J22" s="52">
        <v>0.84</v>
      </c>
      <c r="K22" s="52">
        <v>289.17</v>
      </c>
      <c r="L22" s="52">
        <v>30.42</v>
      </c>
      <c r="M22" s="52">
        <v>72.31</v>
      </c>
      <c r="N22" s="52">
        <v>457.9</v>
      </c>
      <c r="O22" s="52">
        <v>0</v>
      </c>
      <c r="P22" s="52">
        <v>0.62</v>
      </c>
      <c r="Q22" s="52">
        <v>4.03</v>
      </c>
    </row>
    <row r="23" spans="1:17" customFormat="1">
      <c r="A23" s="51" t="s">
        <v>623</v>
      </c>
      <c r="B23" s="52">
        <v>2.2599999999999998</v>
      </c>
      <c r="C23" s="52">
        <v>11.46</v>
      </c>
      <c r="D23" s="52">
        <v>9.15</v>
      </c>
      <c r="E23" s="52">
        <v>4.62</v>
      </c>
      <c r="F23" s="52">
        <v>9.2799999999999994</v>
      </c>
      <c r="G23" s="52">
        <v>32.67</v>
      </c>
      <c r="H23" s="52">
        <v>10.49</v>
      </c>
      <c r="I23" s="52">
        <v>5.15</v>
      </c>
      <c r="J23" s="52">
        <v>0.92</v>
      </c>
      <c r="K23" s="52">
        <v>279.23</v>
      </c>
      <c r="L23" s="52">
        <v>31.64</v>
      </c>
      <c r="M23" s="52">
        <v>72.25</v>
      </c>
      <c r="N23" s="52">
        <v>615.4</v>
      </c>
      <c r="O23" s="52">
        <v>0</v>
      </c>
      <c r="P23" s="52">
        <v>0.63</v>
      </c>
      <c r="Q23" s="52">
        <v>4.05</v>
      </c>
    </row>
    <row r="24" spans="1:17" customFormat="1">
      <c r="A24" s="51" t="s">
        <v>624</v>
      </c>
      <c r="B24" s="52">
        <v>2.91</v>
      </c>
      <c r="C24" s="52">
        <v>11.7</v>
      </c>
      <c r="D24" s="52">
        <v>9.7799999999999994</v>
      </c>
      <c r="E24" s="52">
        <v>3.88</v>
      </c>
      <c r="F24" s="52">
        <v>5.94</v>
      </c>
      <c r="G24" s="52">
        <v>33.47</v>
      </c>
      <c r="H24" s="52">
        <v>9.6999999999999993</v>
      </c>
      <c r="I24" s="52">
        <v>5.3</v>
      </c>
      <c r="J24" s="52">
        <v>0.85</v>
      </c>
      <c r="K24" s="52">
        <v>272.31</v>
      </c>
      <c r="L24" s="52">
        <v>30.44</v>
      </c>
      <c r="M24" s="52">
        <v>74.53</v>
      </c>
      <c r="N24" s="52">
        <v>199.1</v>
      </c>
      <c r="O24" s="52">
        <v>0</v>
      </c>
      <c r="P24" s="52">
        <v>0.61</v>
      </c>
      <c r="Q24" s="52">
        <v>4.01</v>
      </c>
    </row>
    <row r="25" spans="1:17" customFormat="1">
      <c r="A25" s="51" t="s">
        <v>625</v>
      </c>
      <c r="B25" s="52">
        <v>3.99</v>
      </c>
      <c r="C25" s="52">
        <v>11.44</v>
      </c>
      <c r="D25" s="52">
        <v>10.53</v>
      </c>
      <c r="E25" s="52">
        <v>2.66</v>
      </c>
      <c r="F25" s="52">
        <v>4.6500000000000004</v>
      </c>
      <c r="G25" s="52">
        <v>30.96</v>
      </c>
      <c r="H25" s="52">
        <v>10.130000000000001</v>
      </c>
      <c r="I25" s="52">
        <v>5.34</v>
      </c>
      <c r="J25" s="52">
        <v>0.98</v>
      </c>
      <c r="K25" s="52">
        <v>268.07</v>
      </c>
      <c r="L25" s="52">
        <v>28.72</v>
      </c>
      <c r="M25" s="52">
        <v>78.52</v>
      </c>
      <c r="N25" s="52">
        <v>148.30000000000001</v>
      </c>
      <c r="O25" s="52">
        <v>0</v>
      </c>
      <c r="P25" s="52">
        <v>0.59</v>
      </c>
      <c r="Q25" s="52">
        <v>4.03</v>
      </c>
    </row>
    <row r="26" spans="1:17" customFormat="1">
      <c r="A26" s="51" t="s">
        <v>626</v>
      </c>
      <c r="B26" s="52">
        <v>4.6100000000000003</v>
      </c>
      <c r="C26" s="52">
        <v>12.02</v>
      </c>
      <c r="D26" s="52">
        <v>11.3</v>
      </c>
      <c r="E26" s="52">
        <v>4.04</v>
      </c>
      <c r="F26" s="52">
        <v>4.5</v>
      </c>
      <c r="G26" s="52">
        <v>27.11</v>
      </c>
      <c r="H26" s="52">
        <v>8.09</v>
      </c>
      <c r="I26" s="52">
        <v>5.03</v>
      </c>
      <c r="J26" s="52">
        <v>0.9</v>
      </c>
      <c r="K26" s="52">
        <v>267.89</v>
      </c>
      <c r="L26" s="52">
        <v>27.78</v>
      </c>
      <c r="M26" s="52">
        <v>85.65</v>
      </c>
      <c r="N26" s="52">
        <v>41.9</v>
      </c>
      <c r="O26" s="52">
        <v>0</v>
      </c>
      <c r="P26" s="52">
        <v>0.63</v>
      </c>
      <c r="Q26" s="52">
        <v>4.09</v>
      </c>
    </row>
    <row r="27" spans="1:17" customFormat="1">
      <c r="A27" s="51" t="s">
        <v>627</v>
      </c>
      <c r="B27" s="52">
        <v>5.74</v>
      </c>
      <c r="C27" s="52">
        <v>14.78</v>
      </c>
      <c r="D27" s="52">
        <v>13.27</v>
      </c>
      <c r="E27" s="52">
        <v>3.16</v>
      </c>
      <c r="F27" s="52">
        <v>3.11</v>
      </c>
      <c r="G27" s="52">
        <v>29.11</v>
      </c>
      <c r="H27" s="52">
        <v>9.09</v>
      </c>
      <c r="I27" s="52">
        <v>5.8</v>
      </c>
      <c r="J27" s="52">
        <v>0.75</v>
      </c>
      <c r="K27" s="52">
        <v>289.81</v>
      </c>
      <c r="L27" s="52">
        <v>27.64</v>
      </c>
      <c r="M27" s="52">
        <v>85.94</v>
      </c>
      <c r="N27" s="52">
        <v>0.2</v>
      </c>
      <c r="O27" s="52">
        <v>0</v>
      </c>
      <c r="P27" s="52">
        <v>0.63</v>
      </c>
      <c r="Q27" s="52">
        <v>4.26</v>
      </c>
    </row>
    <row r="28" spans="1:17" customFormat="1">
      <c r="A28" s="51" t="s">
        <v>628</v>
      </c>
      <c r="B28" s="52">
        <v>9.68</v>
      </c>
      <c r="C28" s="52">
        <v>16.43</v>
      </c>
      <c r="D28" s="52">
        <v>17.329999999999998</v>
      </c>
      <c r="E28" s="52">
        <v>7.72</v>
      </c>
      <c r="F28" s="52">
        <v>2.59</v>
      </c>
      <c r="G28" s="52">
        <v>28.48</v>
      </c>
      <c r="H28" s="52">
        <v>8.11</v>
      </c>
      <c r="I28" s="52">
        <v>5.42</v>
      </c>
      <c r="J28" s="52">
        <v>0.44</v>
      </c>
      <c r="K28" s="52">
        <v>309.02</v>
      </c>
      <c r="L28" s="52">
        <v>27.21</v>
      </c>
      <c r="M28" s="52">
        <v>86.5</v>
      </c>
      <c r="N28" s="52">
        <v>0</v>
      </c>
      <c r="O28" s="52">
        <v>0</v>
      </c>
      <c r="P28" s="52">
        <v>0.63</v>
      </c>
      <c r="Q28" s="52">
        <v>4.55</v>
      </c>
    </row>
    <row r="29" spans="1:17" customFormat="1">
      <c r="A29" s="51" t="s">
        <v>629</v>
      </c>
      <c r="B29" s="52">
        <v>10.029999999999999</v>
      </c>
      <c r="C29" s="52">
        <v>15.99</v>
      </c>
      <c r="D29" s="52">
        <v>17.75</v>
      </c>
      <c r="E29" s="52">
        <v>3.82</v>
      </c>
      <c r="F29" s="52">
        <v>2.84</v>
      </c>
      <c r="G29" s="52">
        <v>33.75</v>
      </c>
      <c r="H29" s="52">
        <v>8.9600000000000009</v>
      </c>
      <c r="I29" s="52">
        <v>5.49</v>
      </c>
      <c r="J29" s="52">
        <v>0.45</v>
      </c>
      <c r="K29" s="52">
        <v>306.02999999999997</v>
      </c>
      <c r="L29" s="52">
        <v>27.4</v>
      </c>
      <c r="M29" s="52">
        <v>83.49</v>
      </c>
      <c r="N29" s="52">
        <v>0</v>
      </c>
      <c r="O29" s="52">
        <v>0</v>
      </c>
      <c r="P29" s="52">
        <v>0.63</v>
      </c>
      <c r="Q29" s="52">
        <v>4.66</v>
      </c>
    </row>
    <row r="30" spans="1:17" customFormat="1">
      <c r="A30" s="51" t="s">
        <v>630</v>
      </c>
      <c r="B30" s="52">
        <v>10.95</v>
      </c>
      <c r="C30" s="52">
        <v>16.62</v>
      </c>
      <c r="D30" s="52">
        <v>18.82</v>
      </c>
      <c r="E30" s="52">
        <v>3.6</v>
      </c>
      <c r="F30" s="52">
        <v>2.65</v>
      </c>
      <c r="G30" s="52">
        <v>33.15</v>
      </c>
      <c r="H30" s="52">
        <v>9.74</v>
      </c>
      <c r="I30" s="52">
        <v>5.48</v>
      </c>
      <c r="J30" s="52">
        <v>0.17</v>
      </c>
      <c r="K30" s="52">
        <v>206.81</v>
      </c>
      <c r="L30" s="52">
        <v>26.3</v>
      </c>
      <c r="M30" s="52">
        <v>97.44</v>
      </c>
      <c r="N30" s="52">
        <v>0</v>
      </c>
      <c r="O30" s="52">
        <v>0.4</v>
      </c>
      <c r="P30" s="52">
        <v>0.63</v>
      </c>
      <c r="Q30" s="52">
        <v>4.79</v>
      </c>
    </row>
    <row r="31" spans="1:17" customFormat="1">
      <c r="A31" s="51" t="s">
        <v>631</v>
      </c>
      <c r="B31" s="52">
        <v>11.16</v>
      </c>
      <c r="C31" s="52">
        <v>16.309999999999999</v>
      </c>
      <c r="D31" s="52">
        <v>18.78</v>
      </c>
      <c r="E31" s="52">
        <v>3.32</v>
      </c>
      <c r="F31" s="52">
        <v>3.35</v>
      </c>
      <c r="G31" s="52">
        <v>29.32</v>
      </c>
      <c r="H31" s="52">
        <v>8.32</v>
      </c>
      <c r="I31" s="52">
        <v>5.57</v>
      </c>
      <c r="J31" s="52">
        <v>0.35</v>
      </c>
      <c r="K31" s="52">
        <v>256.89999999999998</v>
      </c>
      <c r="L31" s="52">
        <v>25.63</v>
      </c>
      <c r="M31" s="52">
        <v>97.89</v>
      </c>
      <c r="N31" s="52">
        <v>0</v>
      </c>
      <c r="O31" s="52">
        <v>0.2</v>
      </c>
      <c r="P31" s="52">
        <v>0.61</v>
      </c>
      <c r="Q31" s="52">
        <v>4.79</v>
      </c>
    </row>
    <row r="32" spans="1:17" customFormat="1">
      <c r="A32" s="51" t="s">
        <v>632</v>
      </c>
      <c r="B32" s="52">
        <v>11.47</v>
      </c>
      <c r="C32" s="52">
        <v>15.38</v>
      </c>
      <c r="D32" s="52">
        <v>18.510000000000002</v>
      </c>
      <c r="E32" s="52">
        <v>3.02</v>
      </c>
      <c r="F32" s="52">
        <v>3.61</v>
      </c>
      <c r="G32" s="52">
        <v>25.8</v>
      </c>
      <c r="H32" s="52">
        <v>8.7899999999999991</v>
      </c>
      <c r="I32" s="52">
        <v>5.42</v>
      </c>
      <c r="J32" s="52">
        <v>0.28000000000000003</v>
      </c>
      <c r="K32" s="52">
        <v>250.14</v>
      </c>
      <c r="L32" s="52">
        <v>25.37</v>
      </c>
      <c r="M32" s="52">
        <v>97.67</v>
      </c>
      <c r="N32" s="52">
        <v>0</v>
      </c>
      <c r="O32" s="52">
        <v>0</v>
      </c>
      <c r="P32" s="52">
        <v>0.57999999999999996</v>
      </c>
      <c r="Q32" s="52">
        <v>4.75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2.2599999999999998</v>
      </c>
      <c r="C34" s="41">
        <f t="shared" si="0"/>
        <v>11.44</v>
      </c>
      <c r="D34" s="41">
        <f t="shared" si="0"/>
        <v>9.15</v>
      </c>
      <c r="E34" s="41">
        <f t="shared" si="0"/>
        <v>2.66</v>
      </c>
      <c r="F34" s="41">
        <f t="shared" si="0"/>
        <v>2.59</v>
      </c>
      <c r="G34" s="41">
        <f t="shared" si="0"/>
        <v>8.64</v>
      </c>
      <c r="H34" s="41">
        <f t="shared" si="0"/>
        <v>2.57</v>
      </c>
      <c r="I34" s="41">
        <f t="shared" si="0"/>
        <v>2.67</v>
      </c>
      <c r="J34" s="41">
        <f t="shared" si="0"/>
        <v>0.17</v>
      </c>
      <c r="K34" s="41">
        <f t="shared" si="0"/>
        <v>206.81</v>
      </c>
      <c r="L34" s="41">
        <f t="shared" si="0"/>
        <v>24.64</v>
      </c>
      <c r="M34" s="41">
        <f t="shared" si="0"/>
        <v>72.25</v>
      </c>
      <c r="N34" s="41">
        <f t="shared" si="0"/>
        <v>0</v>
      </c>
      <c r="O34" s="41">
        <f t="shared" si="0"/>
        <v>0</v>
      </c>
      <c r="P34" s="41">
        <f t="shared" si="0"/>
        <v>0.28999999999999998</v>
      </c>
      <c r="Q34" s="41">
        <f t="shared" si="0"/>
        <v>4.01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11.47</v>
      </c>
      <c r="C35" s="33">
        <f t="shared" si="1"/>
        <v>16.62</v>
      </c>
      <c r="D35" s="33">
        <f t="shared" si="1"/>
        <v>18.82</v>
      </c>
      <c r="E35" s="33">
        <f t="shared" si="1"/>
        <v>7.72</v>
      </c>
      <c r="F35" s="33">
        <f t="shared" si="1"/>
        <v>12.22</v>
      </c>
      <c r="G35" s="33">
        <f t="shared" si="1"/>
        <v>33.75</v>
      </c>
      <c r="H35" s="33">
        <f t="shared" si="1"/>
        <v>11.29</v>
      </c>
      <c r="I35" s="33">
        <f t="shared" si="1"/>
        <v>5.8</v>
      </c>
      <c r="J35" s="33">
        <f t="shared" si="1"/>
        <v>1.08</v>
      </c>
      <c r="K35" s="33">
        <f t="shared" si="1"/>
        <v>309.02</v>
      </c>
      <c r="L35" s="33">
        <f t="shared" si="1"/>
        <v>31.64</v>
      </c>
      <c r="M35" s="33">
        <f t="shared" si="1"/>
        <v>98.03</v>
      </c>
      <c r="N35" s="33">
        <f t="shared" si="1"/>
        <v>615.4</v>
      </c>
      <c r="O35" s="33">
        <f t="shared" si="1"/>
        <v>0.8</v>
      </c>
      <c r="P35" s="33">
        <f t="shared" si="1"/>
        <v>0.63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7.7279166666666663</v>
      </c>
      <c r="C36" s="41">
        <f t="shared" si="2"/>
        <v>14.63125</v>
      </c>
      <c r="D36" s="41">
        <f t="shared" si="2"/>
        <v>14.998333333333335</v>
      </c>
      <c r="E36" s="41">
        <f t="shared" si="2"/>
        <v>4.1933333333333316</v>
      </c>
      <c r="F36" s="41">
        <f t="shared" si="2"/>
        <v>4.5841666666666674</v>
      </c>
      <c r="G36" s="41">
        <f t="shared" si="2"/>
        <v>22.58583333333333</v>
      </c>
      <c r="H36" s="41">
        <f t="shared" si="2"/>
        <v>7.3433333333333337</v>
      </c>
      <c r="I36" s="41">
        <f t="shared" si="2"/>
        <v>4.4174999999999995</v>
      </c>
      <c r="J36" s="41">
        <f t="shared" si="2"/>
        <v>0.71416666666666684</v>
      </c>
      <c r="K36" s="41">
        <f t="shared" si="2"/>
        <v>273.52833333333336</v>
      </c>
      <c r="L36" s="41">
        <f t="shared" si="2"/>
        <v>27.157916666666665</v>
      </c>
      <c r="M36" s="41">
        <f t="shared" si="2"/>
        <v>88.593750000000014</v>
      </c>
      <c r="N36" s="41">
        <f t="shared" si="2"/>
        <v>136.90833333333333</v>
      </c>
      <c r="O36" s="41">
        <f t="shared" si="2"/>
        <v>7.4999999999999997E-2</v>
      </c>
      <c r="P36" s="41">
        <f t="shared" si="2"/>
        <v>0.49958333333333343</v>
      </c>
      <c r="Q36" s="41">
        <f t="shared" si="2"/>
        <v>4.3791666666666673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3.192852042714577</v>
      </c>
      <c r="C37" s="41">
        <f t="shared" ref="C37:Q37" si="3">STDEV(C9:C32)</f>
        <v>1.745277634572552</v>
      </c>
      <c r="D37" s="41">
        <f t="shared" si="3"/>
        <v>3.3241313565144033</v>
      </c>
      <c r="E37" s="41">
        <f t="shared" si="3"/>
        <v>1.3868533876515539</v>
      </c>
      <c r="F37" s="41">
        <f t="shared" si="3"/>
        <v>2.5769275886414507</v>
      </c>
      <c r="G37" s="41">
        <f t="shared" si="3"/>
        <v>8.6558338792358747</v>
      </c>
      <c r="H37" s="41">
        <f t="shared" si="3"/>
        <v>2.5986144580235968</v>
      </c>
      <c r="I37" s="41">
        <f t="shared" si="3"/>
        <v>1.0556071815496204</v>
      </c>
      <c r="J37" s="41">
        <f t="shared" si="3"/>
        <v>0.25625932291276737</v>
      </c>
      <c r="K37" s="41">
        <f t="shared" si="3"/>
        <v>20.62152224522001</v>
      </c>
      <c r="L37" s="41">
        <f t="shared" si="3"/>
        <v>2.0617552234562959</v>
      </c>
      <c r="M37" s="41">
        <f t="shared" si="3"/>
        <v>9.1866930287423436</v>
      </c>
      <c r="N37" s="41">
        <f t="shared" si="3"/>
        <v>185.87318939597472</v>
      </c>
      <c r="O37" s="41">
        <f t="shared" si="3"/>
        <v>0.19392961520142799</v>
      </c>
      <c r="P37" s="41">
        <f t="shared" si="3"/>
        <v>0.13725505191198725</v>
      </c>
      <c r="Q37" s="41">
        <f t="shared" si="3"/>
        <v>0.25455701790032587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633</v>
      </c>
      <c r="B9" s="52">
        <v>13.39</v>
      </c>
      <c r="C9" s="52">
        <v>15.67</v>
      </c>
      <c r="D9" s="52">
        <v>20.28</v>
      </c>
      <c r="E9" s="52">
        <v>3.03</v>
      </c>
      <c r="F9" s="52">
        <v>3.47</v>
      </c>
      <c r="G9" s="52">
        <v>21.21</v>
      </c>
      <c r="H9" s="52">
        <v>6.25</v>
      </c>
      <c r="I9" s="52">
        <v>5.04</v>
      </c>
      <c r="J9" s="52">
        <v>0.36</v>
      </c>
      <c r="K9" s="52">
        <v>257.10000000000002</v>
      </c>
      <c r="L9" s="52">
        <v>25.31</v>
      </c>
      <c r="M9" s="52">
        <v>96.21</v>
      </c>
      <c r="N9" s="52">
        <v>0</v>
      </c>
      <c r="O9" s="52">
        <v>0</v>
      </c>
      <c r="P9" s="52">
        <v>0.55000000000000004</v>
      </c>
      <c r="Q9" s="52">
        <v>4.75</v>
      </c>
    </row>
    <row r="10" spans="1:21" customFormat="1">
      <c r="A10" s="51" t="s">
        <v>634</v>
      </c>
      <c r="B10" s="52">
        <v>13.2</v>
      </c>
      <c r="C10" s="52">
        <v>15.36</v>
      </c>
      <c r="D10" s="52">
        <v>19.89</v>
      </c>
      <c r="E10" s="52">
        <v>3.41</v>
      </c>
      <c r="F10" s="52">
        <v>3.35</v>
      </c>
      <c r="G10" s="52">
        <v>15.38</v>
      </c>
      <c r="H10" s="52">
        <v>5.72</v>
      </c>
      <c r="I10" s="52">
        <v>4.7300000000000004</v>
      </c>
      <c r="J10" s="52">
        <v>0.51</v>
      </c>
      <c r="K10" s="52">
        <v>259.24</v>
      </c>
      <c r="L10" s="52">
        <v>25.31</v>
      </c>
      <c r="M10" s="52">
        <v>96.24</v>
      </c>
      <c r="N10" s="52">
        <v>0</v>
      </c>
      <c r="O10" s="52">
        <v>0.2</v>
      </c>
      <c r="P10" s="52">
        <v>0.52</v>
      </c>
      <c r="Q10" s="52">
        <v>4.71</v>
      </c>
    </row>
    <row r="11" spans="1:21" customFormat="1">
      <c r="A11" s="51" t="s">
        <v>635</v>
      </c>
      <c r="B11" s="52">
        <v>13.22</v>
      </c>
      <c r="C11" s="52">
        <v>15.31</v>
      </c>
      <c r="D11" s="52">
        <v>19.89</v>
      </c>
      <c r="E11" s="52">
        <v>4.8899999999999997</v>
      </c>
      <c r="F11" s="52">
        <v>3.13</v>
      </c>
      <c r="G11" s="52">
        <v>10.94</v>
      </c>
      <c r="H11" s="52">
        <v>5.16</v>
      </c>
      <c r="I11" s="52">
        <v>4.5</v>
      </c>
      <c r="J11" s="52">
        <v>0.59</v>
      </c>
      <c r="K11" s="52">
        <v>261.58999999999997</v>
      </c>
      <c r="L11" s="52">
        <v>25.21</v>
      </c>
      <c r="M11" s="52">
        <v>95.78</v>
      </c>
      <c r="N11" s="52">
        <v>0</v>
      </c>
      <c r="O11" s="52">
        <v>0</v>
      </c>
      <c r="P11" s="52">
        <v>0.49</v>
      </c>
      <c r="Q11" s="52">
        <v>4.7</v>
      </c>
    </row>
    <row r="12" spans="1:21" customFormat="1">
      <c r="A12" s="51" t="s">
        <v>636</v>
      </c>
      <c r="B12" s="52">
        <v>13.25</v>
      </c>
      <c r="C12" s="52">
        <v>15.18</v>
      </c>
      <c r="D12" s="52">
        <v>19.850000000000001</v>
      </c>
      <c r="E12" s="52">
        <v>5</v>
      </c>
      <c r="F12" s="52">
        <v>3.1</v>
      </c>
      <c r="G12" s="52">
        <v>8.9600000000000009</v>
      </c>
      <c r="H12" s="52">
        <v>3.83</v>
      </c>
      <c r="I12" s="52">
        <v>4.26</v>
      </c>
      <c r="J12" s="52">
        <v>0.48</v>
      </c>
      <c r="K12" s="52">
        <v>261.12</v>
      </c>
      <c r="L12" s="52">
        <v>25.2</v>
      </c>
      <c r="M12" s="52">
        <v>96.28</v>
      </c>
      <c r="N12" s="52">
        <v>0</v>
      </c>
      <c r="O12" s="52">
        <v>0</v>
      </c>
      <c r="P12" s="52">
        <v>0.47</v>
      </c>
      <c r="Q12" s="52">
        <v>4.7</v>
      </c>
    </row>
    <row r="13" spans="1:21" customFormat="1">
      <c r="A13" s="51" t="s">
        <v>637</v>
      </c>
      <c r="B13" s="52">
        <v>13.49</v>
      </c>
      <c r="C13" s="52">
        <v>14.7</v>
      </c>
      <c r="D13" s="52">
        <v>19.84</v>
      </c>
      <c r="E13" s="52">
        <v>4.82</v>
      </c>
      <c r="F13" s="52">
        <v>2.92</v>
      </c>
      <c r="G13" s="52">
        <v>9.57</v>
      </c>
      <c r="H13" s="52">
        <v>3.92</v>
      </c>
      <c r="I13" s="52">
        <v>4.0599999999999996</v>
      </c>
      <c r="J13" s="52">
        <v>0.47</v>
      </c>
      <c r="K13" s="52">
        <v>261.72000000000003</v>
      </c>
      <c r="L13" s="52">
        <v>25.11</v>
      </c>
      <c r="M13" s="52">
        <v>95.9</v>
      </c>
      <c r="N13" s="52">
        <v>0</v>
      </c>
      <c r="O13" s="52">
        <v>0</v>
      </c>
      <c r="P13" s="52">
        <v>0.45</v>
      </c>
      <c r="Q13" s="52">
        <v>4.6500000000000004</v>
      </c>
    </row>
    <row r="14" spans="1:21" customFormat="1">
      <c r="A14" s="51" t="s">
        <v>638</v>
      </c>
      <c r="B14" s="52">
        <v>13.46</v>
      </c>
      <c r="C14" s="52">
        <v>15.91</v>
      </c>
      <c r="D14" s="52">
        <v>20.46</v>
      </c>
      <c r="E14" s="52">
        <v>5.36</v>
      </c>
      <c r="F14" s="52">
        <v>2.96</v>
      </c>
      <c r="G14" s="52">
        <v>8.8800000000000008</v>
      </c>
      <c r="H14" s="52">
        <v>3</v>
      </c>
      <c r="I14" s="52">
        <v>3.87</v>
      </c>
      <c r="J14" s="52">
        <v>0.34</v>
      </c>
      <c r="K14" s="52">
        <v>254.29</v>
      </c>
      <c r="L14" s="52">
        <v>25.05</v>
      </c>
      <c r="M14" s="52">
        <v>96.81</v>
      </c>
      <c r="N14" s="52">
        <v>0</v>
      </c>
      <c r="O14" s="52">
        <v>0</v>
      </c>
      <c r="P14" s="52">
        <v>0.42</v>
      </c>
      <c r="Q14" s="52">
        <v>4.6900000000000004</v>
      </c>
    </row>
    <row r="15" spans="1:21" customFormat="1">
      <c r="A15" s="51" t="s">
        <v>639</v>
      </c>
      <c r="B15" s="52">
        <v>13.75</v>
      </c>
      <c r="C15" s="52">
        <v>15.54</v>
      </c>
      <c r="D15" s="52">
        <v>20.2</v>
      </c>
      <c r="E15" s="52">
        <v>5.39</v>
      </c>
      <c r="F15" s="52">
        <v>3.08</v>
      </c>
      <c r="G15" s="52">
        <v>8.49</v>
      </c>
      <c r="H15" s="52">
        <v>2.33</v>
      </c>
      <c r="I15" s="52">
        <v>3.82</v>
      </c>
      <c r="J15" s="52">
        <v>0.41</v>
      </c>
      <c r="K15" s="52">
        <v>258.18</v>
      </c>
      <c r="L15" s="52">
        <v>25.46</v>
      </c>
      <c r="M15" s="52">
        <v>96.2</v>
      </c>
      <c r="N15" s="52">
        <v>50.2</v>
      </c>
      <c r="O15" s="52">
        <v>0</v>
      </c>
      <c r="P15" s="52">
        <v>0.43</v>
      </c>
      <c r="Q15" s="52">
        <v>4.7</v>
      </c>
    </row>
    <row r="16" spans="1:21" customFormat="1">
      <c r="A16" s="51" t="s">
        <v>640</v>
      </c>
      <c r="B16" s="52">
        <v>13.87</v>
      </c>
      <c r="C16" s="52">
        <v>15.68</v>
      </c>
      <c r="D16" s="52">
        <v>20.59</v>
      </c>
      <c r="E16" s="52">
        <v>5.41</v>
      </c>
      <c r="F16" s="52">
        <v>3.28</v>
      </c>
      <c r="G16" s="52">
        <v>6.71</v>
      </c>
      <c r="H16" s="52">
        <v>1.73</v>
      </c>
      <c r="I16" s="52">
        <v>3.78</v>
      </c>
      <c r="J16" s="52">
        <v>0.53</v>
      </c>
      <c r="K16" s="52">
        <v>258.06</v>
      </c>
      <c r="L16" s="52">
        <v>26.57</v>
      </c>
      <c r="M16" s="52">
        <v>93.66</v>
      </c>
      <c r="N16" s="52">
        <v>148.9</v>
      </c>
      <c r="O16" s="52">
        <v>0</v>
      </c>
      <c r="P16" s="52">
        <v>0.41</v>
      </c>
      <c r="Q16" s="52">
        <v>4.68</v>
      </c>
    </row>
    <row r="17" spans="1:17" customFormat="1">
      <c r="A17" s="51" t="s">
        <v>641</v>
      </c>
      <c r="B17" s="52">
        <v>13.75</v>
      </c>
      <c r="C17" s="52">
        <v>14.74</v>
      </c>
      <c r="D17" s="52">
        <v>20.079999999999998</v>
      </c>
      <c r="E17" s="52">
        <v>5.57</v>
      </c>
      <c r="F17" s="52">
        <v>3.28</v>
      </c>
      <c r="G17" s="52">
        <v>5.75</v>
      </c>
      <c r="H17" s="52">
        <v>1.56</v>
      </c>
      <c r="I17" s="52">
        <v>3.6</v>
      </c>
      <c r="J17" s="52">
        <v>0.83</v>
      </c>
      <c r="K17" s="52">
        <v>267.64</v>
      </c>
      <c r="L17" s="52">
        <v>27.11</v>
      </c>
      <c r="M17" s="52">
        <v>87.98</v>
      </c>
      <c r="N17" s="52">
        <v>226.6</v>
      </c>
      <c r="O17" s="52">
        <v>0</v>
      </c>
      <c r="P17" s="52">
        <v>0.39</v>
      </c>
      <c r="Q17" s="52">
        <v>4.66</v>
      </c>
    </row>
    <row r="18" spans="1:17" customFormat="1">
      <c r="A18" s="51" t="s">
        <v>642</v>
      </c>
      <c r="B18" s="52">
        <v>13.21</v>
      </c>
      <c r="C18" s="52">
        <v>14.18</v>
      </c>
      <c r="D18" s="52">
        <v>18.82</v>
      </c>
      <c r="E18" s="52">
        <v>5.12</v>
      </c>
      <c r="F18" s="52">
        <v>3.46</v>
      </c>
      <c r="G18" s="52">
        <v>10.96</v>
      </c>
      <c r="H18" s="52">
        <v>1.83</v>
      </c>
      <c r="I18" s="52">
        <v>3.5</v>
      </c>
      <c r="J18" s="52">
        <v>0.96</v>
      </c>
      <c r="K18" s="52">
        <v>268.76</v>
      </c>
      <c r="L18" s="52">
        <v>27.73</v>
      </c>
      <c r="M18" s="52">
        <v>85.22</v>
      </c>
      <c r="N18" s="52">
        <v>260.89999999999998</v>
      </c>
      <c r="O18" s="52">
        <v>0</v>
      </c>
      <c r="P18" s="52">
        <v>0.37</v>
      </c>
      <c r="Q18" s="52">
        <v>4.5599999999999996</v>
      </c>
    </row>
    <row r="19" spans="1:17" customFormat="1">
      <c r="A19" s="51" t="s">
        <v>643</v>
      </c>
      <c r="B19" s="52">
        <v>12.59</v>
      </c>
      <c r="C19" s="52">
        <v>14.34</v>
      </c>
      <c r="D19" s="52">
        <v>18.940000000000001</v>
      </c>
      <c r="E19" s="52">
        <v>6.25</v>
      </c>
      <c r="F19" s="52">
        <v>3.31</v>
      </c>
      <c r="G19" s="52">
        <v>9.4700000000000006</v>
      </c>
      <c r="H19" s="52">
        <v>1.62</v>
      </c>
      <c r="I19" s="52">
        <v>3.47</v>
      </c>
      <c r="J19" s="52">
        <v>1.1100000000000001</v>
      </c>
      <c r="K19" s="52">
        <v>267.97000000000003</v>
      </c>
      <c r="L19" s="52">
        <v>28.61</v>
      </c>
      <c r="M19" s="52">
        <v>82.26</v>
      </c>
      <c r="N19" s="52">
        <v>357.9</v>
      </c>
      <c r="O19" s="52">
        <v>0</v>
      </c>
      <c r="P19" s="52">
        <v>0.4</v>
      </c>
      <c r="Q19" s="52">
        <v>4.54</v>
      </c>
    </row>
    <row r="20" spans="1:17" customFormat="1">
      <c r="A20" s="51" t="s">
        <v>644</v>
      </c>
      <c r="B20" s="52">
        <v>11.9</v>
      </c>
      <c r="C20" s="52">
        <v>14</v>
      </c>
      <c r="D20" s="52">
        <v>18.21</v>
      </c>
      <c r="E20" s="52">
        <v>6.29</v>
      </c>
      <c r="F20" s="52">
        <v>4.75</v>
      </c>
      <c r="G20" s="52">
        <v>14.02</v>
      </c>
      <c r="H20" s="52">
        <v>3.53</v>
      </c>
      <c r="I20" s="52">
        <v>3.56</v>
      </c>
      <c r="J20" s="52">
        <v>0.84</v>
      </c>
      <c r="K20" s="52">
        <v>270.66000000000003</v>
      </c>
      <c r="L20" s="52">
        <v>30.7</v>
      </c>
      <c r="M20" s="52">
        <v>78.59</v>
      </c>
      <c r="N20" s="52">
        <v>564.29999999999995</v>
      </c>
      <c r="O20" s="52">
        <v>0</v>
      </c>
      <c r="P20" s="52">
        <v>0.41</v>
      </c>
      <c r="Q20" s="52">
        <v>4.49</v>
      </c>
    </row>
    <row r="21" spans="1:17" customFormat="1">
      <c r="A21" s="51" t="s">
        <v>645</v>
      </c>
      <c r="B21" s="52">
        <v>11.1</v>
      </c>
      <c r="C21" s="52">
        <v>13.66</v>
      </c>
      <c r="D21" s="52">
        <v>17.39</v>
      </c>
      <c r="E21" s="52">
        <v>6.19</v>
      </c>
      <c r="F21" s="52">
        <v>4.13</v>
      </c>
      <c r="G21" s="52">
        <v>18.55</v>
      </c>
      <c r="H21" s="52">
        <v>6.69</v>
      </c>
      <c r="I21" s="52">
        <v>3.76</v>
      </c>
      <c r="J21" s="52">
        <v>0.82</v>
      </c>
      <c r="K21" s="52">
        <v>269.26</v>
      </c>
      <c r="L21" s="52">
        <v>31.18</v>
      </c>
      <c r="M21" s="52">
        <v>76.19</v>
      </c>
      <c r="N21" s="52">
        <v>788.7</v>
      </c>
      <c r="O21" s="52">
        <v>0</v>
      </c>
      <c r="P21" s="52">
        <v>0.41</v>
      </c>
      <c r="Q21" s="52">
        <v>4.4400000000000004</v>
      </c>
    </row>
    <row r="22" spans="1:17" customFormat="1">
      <c r="A22" s="51" t="s">
        <v>646</v>
      </c>
      <c r="B22" s="52">
        <v>10.42</v>
      </c>
      <c r="C22" s="52">
        <v>13.01</v>
      </c>
      <c r="D22" s="52">
        <v>16.5</v>
      </c>
      <c r="E22" s="52">
        <v>5.35</v>
      </c>
      <c r="F22" s="52">
        <v>3.91</v>
      </c>
      <c r="G22" s="52">
        <v>14.46</v>
      </c>
      <c r="H22" s="52">
        <v>6.28</v>
      </c>
      <c r="I22" s="52">
        <v>3.7</v>
      </c>
      <c r="J22" s="52">
        <v>0.99</v>
      </c>
      <c r="K22" s="52">
        <v>259.85000000000002</v>
      </c>
      <c r="L22" s="52">
        <v>30.99</v>
      </c>
      <c r="M22" s="52">
        <v>76.45</v>
      </c>
      <c r="N22" s="52">
        <v>668.7</v>
      </c>
      <c r="O22" s="52">
        <v>0</v>
      </c>
      <c r="P22" s="52">
        <v>0.39</v>
      </c>
      <c r="Q22" s="52">
        <v>4.3600000000000003</v>
      </c>
    </row>
    <row r="23" spans="1:17" customFormat="1">
      <c r="A23" s="51" t="s">
        <v>647</v>
      </c>
      <c r="B23" s="52">
        <v>9.6999999999999993</v>
      </c>
      <c r="C23" s="52">
        <v>12.85</v>
      </c>
      <c r="D23" s="52">
        <v>15.84</v>
      </c>
      <c r="E23" s="52">
        <v>5.42</v>
      </c>
      <c r="F23" s="52">
        <v>4.18</v>
      </c>
      <c r="G23" s="52">
        <v>14.87</v>
      </c>
      <c r="H23" s="52">
        <v>5.16</v>
      </c>
      <c r="I23" s="52">
        <v>3.54</v>
      </c>
      <c r="J23" s="52">
        <v>0.8</v>
      </c>
      <c r="K23" s="52">
        <v>257.02999999999997</v>
      </c>
      <c r="L23" s="52">
        <v>31.03</v>
      </c>
      <c r="M23" s="52">
        <v>74.17</v>
      </c>
      <c r="N23" s="52">
        <v>443.8</v>
      </c>
      <c r="O23" s="52">
        <v>0</v>
      </c>
      <c r="P23" s="52">
        <v>0.37</v>
      </c>
      <c r="Q23" s="52">
        <v>4.26</v>
      </c>
    </row>
    <row r="24" spans="1:17" customFormat="1">
      <c r="A24" s="51" t="s">
        <v>648</v>
      </c>
      <c r="B24" s="52">
        <v>9.36</v>
      </c>
      <c r="C24" s="52">
        <v>13.15</v>
      </c>
      <c r="D24" s="52">
        <v>15.48</v>
      </c>
      <c r="E24" s="52">
        <v>5.43</v>
      </c>
      <c r="F24" s="52">
        <v>4.74</v>
      </c>
      <c r="G24" s="52">
        <v>15.02</v>
      </c>
      <c r="H24" s="52">
        <v>7.62</v>
      </c>
      <c r="I24" s="52">
        <v>3.33</v>
      </c>
      <c r="J24" s="52">
        <v>0.87</v>
      </c>
      <c r="K24" s="52">
        <v>271.58</v>
      </c>
      <c r="L24" s="52">
        <v>31.5</v>
      </c>
      <c r="M24" s="52">
        <v>70.83</v>
      </c>
      <c r="N24" s="52">
        <v>543.9</v>
      </c>
      <c r="O24" s="52">
        <v>0</v>
      </c>
      <c r="P24" s="52">
        <v>0.36</v>
      </c>
      <c r="Q24" s="52">
        <v>4.22</v>
      </c>
    </row>
    <row r="25" spans="1:17" customFormat="1">
      <c r="A25" s="51" t="s">
        <v>649</v>
      </c>
      <c r="B25" s="52">
        <v>8.52</v>
      </c>
      <c r="C25" s="52">
        <v>12.25</v>
      </c>
      <c r="D25" s="52">
        <v>14.58</v>
      </c>
      <c r="E25" s="52">
        <v>5.88</v>
      </c>
      <c r="F25" s="52">
        <v>5.68</v>
      </c>
      <c r="G25" s="52">
        <v>15.67</v>
      </c>
      <c r="H25" s="52">
        <v>7.38</v>
      </c>
      <c r="I25" s="52">
        <v>3.28</v>
      </c>
      <c r="J25" s="52">
        <v>1</v>
      </c>
      <c r="K25" s="52">
        <v>267.64999999999998</v>
      </c>
      <c r="L25" s="52">
        <v>31.21</v>
      </c>
      <c r="M25" s="52">
        <v>69.069999999999993</v>
      </c>
      <c r="N25" s="52">
        <v>318.8</v>
      </c>
      <c r="O25" s="52">
        <v>0</v>
      </c>
      <c r="P25" s="52">
        <v>0.34</v>
      </c>
      <c r="Q25" s="52">
        <v>4.17</v>
      </c>
    </row>
    <row r="26" spans="1:17" customFormat="1">
      <c r="A26" s="51" t="s">
        <v>650</v>
      </c>
      <c r="B26" s="52">
        <v>8.34</v>
      </c>
      <c r="C26" s="52">
        <v>11.74</v>
      </c>
      <c r="D26" s="52">
        <v>14.08</v>
      </c>
      <c r="E26" s="52">
        <v>5.57</v>
      </c>
      <c r="F26" s="52">
        <v>7.04</v>
      </c>
      <c r="G26" s="52">
        <v>17.47</v>
      </c>
      <c r="H26" s="52">
        <v>5.64</v>
      </c>
      <c r="I26" s="52">
        <v>3.03</v>
      </c>
      <c r="J26" s="52">
        <v>0.8</v>
      </c>
      <c r="K26" s="52">
        <v>267.11</v>
      </c>
      <c r="L26" s="52">
        <v>29.78</v>
      </c>
      <c r="M26" s="52">
        <v>73.91</v>
      </c>
      <c r="N26" s="52">
        <v>72.5</v>
      </c>
      <c r="O26" s="52">
        <v>0</v>
      </c>
      <c r="P26" s="52">
        <v>0.32</v>
      </c>
      <c r="Q26" s="52">
        <v>4.1500000000000004</v>
      </c>
    </row>
    <row r="27" spans="1:17" customFormat="1">
      <c r="A27" s="51" t="s">
        <v>651</v>
      </c>
      <c r="B27" s="52">
        <v>8.15</v>
      </c>
      <c r="C27" s="52">
        <v>11.06</v>
      </c>
      <c r="D27" s="52">
        <v>13.54</v>
      </c>
      <c r="E27" s="52">
        <v>3.67</v>
      </c>
      <c r="F27" s="52">
        <v>7.82</v>
      </c>
      <c r="G27" s="52">
        <v>21.14</v>
      </c>
      <c r="H27" s="52">
        <v>6.99</v>
      </c>
      <c r="I27" s="52">
        <v>2.84</v>
      </c>
      <c r="J27" s="52">
        <v>0.62</v>
      </c>
      <c r="K27" s="52">
        <v>261.33999999999997</v>
      </c>
      <c r="L27" s="52">
        <v>28.73</v>
      </c>
      <c r="M27" s="52">
        <v>78.89</v>
      </c>
      <c r="N27" s="52">
        <v>0.5</v>
      </c>
      <c r="O27" s="52">
        <v>0</v>
      </c>
      <c r="P27" s="52">
        <v>0.28999999999999998</v>
      </c>
      <c r="Q27" s="52">
        <v>4.12</v>
      </c>
    </row>
    <row r="28" spans="1:17" customFormat="1">
      <c r="A28" s="51" t="s">
        <v>652</v>
      </c>
      <c r="B28" s="52">
        <v>8.31</v>
      </c>
      <c r="C28" s="52">
        <v>12.96</v>
      </c>
      <c r="D28" s="52">
        <v>14.77</v>
      </c>
      <c r="E28" s="52">
        <v>4.3499999999999996</v>
      </c>
      <c r="F28" s="52">
        <v>6.36</v>
      </c>
      <c r="G28" s="52">
        <v>19.760000000000002</v>
      </c>
      <c r="H28" s="52">
        <v>7.52</v>
      </c>
      <c r="I28" s="52">
        <v>3.18</v>
      </c>
      <c r="J28" s="52">
        <v>0.49</v>
      </c>
      <c r="K28" s="52">
        <v>262.89</v>
      </c>
      <c r="L28" s="52">
        <v>27.97</v>
      </c>
      <c r="M28" s="52">
        <v>81.209999999999994</v>
      </c>
      <c r="N28" s="52">
        <v>0</v>
      </c>
      <c r="O28" s="52">
        <v>0</v>
      </c>
      <c r="P28" s="52">
        <v>0.33</v>
      </c>
      <c r="Q28" s="52">
        <v>4.2</v>
      </c>
    </row>
    <row r="29" spans="1:17" customFormat="1">
      <c r="A29" s="51" t="s">
        <v>653</v>
      </c>
      <c r="B29" s="52">
        <v>8.94</v>
      </c>
      <c r="C29" s="52">
        <v>13.41</v>
      </c>
      <c r="D29" s="52">
        <v>15.52</v>
      </c>
      <c r="E29" s="52">
        <v>4.1100000000000003</v>
      </c>
      <c r="F29" s="52">
        <v>5.82</v>
      </c>
      <c r="G29" s="52">
        <v>18.5</v>
      </c>
      <c r="H29" s="52">
        <v>5.58</v>
      </c>
      <c r="I29" s="52">
        <v>3.21</v>
      </c>
      <c r="J29" s="52">
        <v>0.6</v>
      </c>
      <c r="K29" s="52">
        <v>262.19</v>
      </c>
      <c r="L29" s="52">
        <v>27.72</v>
      </c>
      <c r="M29" s="52">
        <v>79.94</v>
      </c>
      <c r="N29" s="52">
        <v>0</v>
      </c>
      <c r="O29" s="52">
        <v>0</v>
      </c>
      <c r="P29" s="52">
        <v>0.34</v>
      </c>
      <c r="Q29" s="52">
        <v>4.24</v>
      </c>
    </row>
    <row r="30" spans="1:17" customFormat="1">
      <c r="A30" s="51" t="s">
        <v>654</v>
      </c>
      <c r="B30" s="52">
        <v>9.5500000000000007</v>
      </c>
      <c r="C30" s="52">
        <v>13.44</v>
      </c>
      <c r="D30" s="52">
        <v>16.02</v>
      </c>
      <c r="E30" s="52">
        <v>4.33</v>
      </c>
      <c r="F30" s="52">
        <v>5.27</v>
      </c>
      <c r="G30" s="52">
        <v>23.99</v>
      </c>
      <c r="H30" s="52">
        <v>5.3</v>
      </c>
      <c r="I30" s="52">
        <v>3.14</v>
      </c>
      <c r="J30" s="52">
        <v>0.56999999999999995</v>
      </c>
      <c r="K30" s="52">
        <v>262.05</v>
      </c>
      <c r="L30" s="52">
        <v>27.43</v>
      </c>
      <c r="M30" s="52">
        <v>82.22</v>
      </c>
      <c r="N30" s="52">
        <v>0</v>
      </c>
      <c r="O30" s="52">
        <v>0</v>
      </c>
      <c r="P30" s="52">
        <v>0.33</v>
      </c>
      <c r="Q30" s="52">
        <v>4.3099999999999996</v>
      </c>
    </row>
    <row r="31" spans="1:17" customFormat="1">
      <c r="A31" s="51" t="s">
        <v>655</v>
      </c>
      <c r="B31" s="52">
        <v>9.86</v>
      </c>
      <c r="C31" s="52">
        <v>13.71</v>
      </c>
      <c r="D31" s="52">
        <v>16.420000000000002</v>
      </c>
      <c r="E31" s="52">
        <v>4.04</v>
      </c>
      <c r="F31" s="52">
        <v>4.38</v>
      </c>
      <c r="G31" s="52">
        <v>23.81</v>
      </c>
      <c r="H31" s="52">
        <v>4.2</v>
      </c>
      <c r="I31" s="52">
        <v>3.19</v>
      </c>
      <c r="J31" s="52">
        <v>0.72</v>
      </c>
      <c r="K31" s="52">
        <v>262.64</v>
      </c>
      <c r="L31" s="52">
        <v>27.11</v>
      </c>
      <c r="M31" s="52">
        <v>83.43</v>
      </c>
      <c r="N31" s="52">
        <v>0</v>
      </c>
      <c r="O31" s="52">
        <v>0</v>
      </c>
      <c r="P31" s="52">
        <v>0.32</v>
      </c>
      <c r="Q31" s="52">
        <v>4.29</v>
      </c>
    </row>
    <row r="32" spans="1:17" customFormat="1">
      <c r="A32" s="51" t="s">
        <v>656</v>
      </c>
      <c r="B32" s="52">
        <v>9.9700000000000006</v>
      </c>
      <c r="C32" s="52">
        <v>13.3</v>
      </c>
      <c r="D32" s="52">
        <v>16.3</v>
      </c>
      <c r="E32" s="52">
        <v>4.26</v>
      </c>
      <c r="F32" s="52">
        <v>3.95</v>
      </c>
      <c r="G32" s="52">
        <v>17.53</v>
      </c>
      <c r="H32" s="52">
        <v>5.34</v>
      </c>
      <c r="I32" s="52">
        <v>3.13</v>
      </c>
      <c r="J32" s="52">
        <v>0.71</v>
      </c>
      <c r="K32" s="52">
        <v>265.29000000000002</v>
      </c>
      <c r="L32" s="52">
        <v>26.64</v>
      </c>
      <c r="M32" s="52">
        <v>84.92</v>
      </c>
      <c r="N32" s="52">
        <v>0</v>
      </c>
      <c r="O32" s="52">
        <v>0</v>
      </c>
      <c r="P32" s="52">
        <v>0.32</v>
      </c>
      <c r="Q32" s="52">
        <v>4.3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8.15</v>
      </c>
      <c r="C34" s="41">
        <f t="shared" si="0"/>
        <v>11.06</v>
      </c>
      <c r="D34" s="41">
        <f t="shared" si="0"/>
        <v>13.54</v>
      </c>
      <c r="E34" s="41">
        <f t="shared" si="0"/>
        <v>3.03</v>
      </c>
      <c r="F34" s="41">
        <f t="shared" si="0"/>
        <v>2.92</v>
      </c>
      <c r="G34" s="41">
        <f t="shared" si="0"/>
        <v>5.75</v>
      </c>
      <c r="H34" s="41">
        <f t="shared" si="0"/>
        <v>1.56</v>
      </c>
      <c r="I34" s="41">
        <f t="shared" si="0"/>
        <v>2.84</v>
      </c>
      <c r="J34" s="41">
        <f t="shared" si="0"/>
        <v>0.34</v>
      </c>
      <c r="K34" s="41">
        <f t="shared" si="0"/>
        <v>254.29</v>
      </c>
      <c r="L34" s="41">
        <f t="shared" si="0"/>
        <v>25.05</v>
      </c>
      <c r="M34" s="41">
        <f t="shared" si="0"/>
        <v>69.069999999999993</v>
      </c>
      <c r="N34" s="41">
        <f t="shared" si="0"/>
        <v>0</v>
      </c>
      <c r="O34" s="41">
        <f t="shared" si="0"/>
        <v>0</v>
      </c>
      <c r="P34" s="41">
        <f t="shared" si="0"/>
        <v>0.28999999999999998</v>
      </c>
      <c r="Q34" s="41">
        <f t="shared" si="0"/>
        <v>4.12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13.87</v>
      </c>
      <c r="C35" s="33">
        <f t="shared" si="1"/>
        <v>15.91</v>
      </c>
      <c r="D35" s="33">
        <f t="shared" si="1"/>
        <v>20.59</v>
      </c>
      <c r="E35" s="33">
        <f t="shared" si="1"/>
        <v>6.29</v>
      </c>
      <c r="F35" s="33">
        <f t="shared" si="1"/>
        <v>7.82</v>
      </c>
      <c r="G35" s="33">
        <f t="shared" si="1"/>
        <v>23.99</v>
      </c>
      <c r="H35" s="33">
        <f t="shared" si="1"/>
        <v>7.62</v>
      </c>
      <c r="I35" s="33">
        <f t="shared" si="1"/>
        <v>5.04</v>
      </c>
      <c r="J35" s="33">
        <f t="shared" si="1"/>
        <v>1.1100000000000001</v>
      </c>
      <c r="K35" s="33">
        <f t="shared" si="1"/>
        <v>271.58</v>
      </c>
      <c r="L35" s="33">
        <f t="shared" si="1"/>
        <v>31.5</v>
      </c>
      <c r="M35" s="33">
        <f t="shared" si="1"/>
        <v>96.81</v>
      </c>
      <c r="N35" s="33">
        <f t="shared" si="1"/>
        <v>788.7</v>
      </c>
      <c r="O35" s="33">
        <f t="shared" si="1"/>
        <v>0.2</v>
      </c>
      <c r="P35" s="33">
        <f t="shared" si="1"/>
        <v>0.55000000000000004</v>
      </c>
      <c r="Q35" s="33">
        <f t="shared" si="1"/>
        <v>4.75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11.304166666666667</v>
      </c>
      <c r="C36" s="41">
        <f t="shared" si="2"/>
        <v>13.964583333333332</v>
      </c>
      <c r="D36" s="41">
        <f t="shared" si="2"/>
        <v>17.645416666666666</v>
      </c>
      <c r="E36" s="41">
        <f t="shared" si="2"/>
        <v>4.9641666666666664</v>
      </c>
      <c r="F36" s="41">
        <f t="shared" si="2"/>
        <v>4.3070833333333338</v>
      </c>
      <c r="G36" s="41">
        <f t="shared" si="2"/>
        <v>14.629583333333334</v>
      </c>
      <c r="H36" s="41">
        <f t="shared" si="2"/>
        <v>4.7574999999999994</v>
      </c>
      <c r="I36" s="41">
        <f t="shared" si="2"/>
        <v>3.6466666666666665</v>
      </c>
      <c r="J36" s="41">
        <f t="shared" si="2"/>
        <v>0.6841666666666667</v>
      </c>
      <c r="K36" s="41">
        <f t="shared" si="2"/>
        <v>263.13375000000002</v>
      </c>
      <c r="L36" s="41">
        <f t="shared" si="2"/>
        <v>27.860833333333336</v>
      </c>
      <c r="M36" s="41">
        <f t="shared" si="2"/>
        <v>84.681666666666686</v>
      </c>
      <c r="N36" s="41">
        <f t="shared" si="2"/>
        <v>185.23749999999998</v>
      </c>
      <c r="O36" s="41">
        <f t="shared" si="2"/>
        <v>8.3333333333333332E-3</v>
      </c>
      <c r="P36" s="41">
        <f t="shared" si="2"/>
        <v>0.39291666666666675</v>
      </c>
      <c r="Q36" s="41">
        <f t="shared" si="2"/>
        <v>4.4537500000000003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2.1282324093965421</v>
      </c>
      <c r="C37" s="41">
        <f t="shared" ref="C37:Q37" si="3">STDEV(C9:C32)</f>
        <v>1.3190311964095183</v>
      </c>
      <c r="D37" s="41">
        <f t="shared" si="3"/>
        <v>2.3418869745248778</v>
      </c>
      <c r="E37" s="41">
        <f t="shared" si="3"/>
        <v>0.89294781320156458</v>
      </c>
      <c r="F37" s="41">
        <f t="shared" si="3"/>
        <v>1.3732173556276883</v>
      </c>
      <c r="G37" s="41">
        <f t="shared" si="3"/>
        <v>5.3436475729652981</v>
      </c>
      <c r="H37" s="41">
        <f t="shared" si="3"/>
        <v>1.9723198655831444</v>
      </c>
      <c r="I37" s="41">
        <f t="shared" si="3"/>
        <v>0.55103591508189931</v>
      </c>
      <c r="J37" s="41">
        <f t="shared" si="3"/>
        <v>0.21761387157405435</v>
      </c>
      <c r="K37" s="41">
        <f t="shared" si="3"/>
        <v>4.7724069330657501</v>
      </c>
      <c r="L37" s="41">
        <f t="shared" si="3"/>
        <v>2.2959736338939361</v>
      </c>
      <c r="M37" s="41">
        <f t="shared" si="3"/>
        <v>9.1895771141127742</v>
      </c>
      <c r="N37" s="41">
        <f t="shared" si="3"/>
        <v>249.87015203988406</v>
      </c>
      <c r="O37" s="41">
        <f t="shared" si="3"/>
        <v>4.0824829046386311E-2</v>
      </c>
      <c r="P37" s="41">
        <f t="shared" si="3"/>
        <v>6.7468457471792809E-2</v>
      </c>
      <c r="Q37" s="41">
        <f t="shared" si="3"/>
        <v>0.21967985599601436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657</v>
      </c>
      <c r="B9" s="52">
        <v>7.81</v>
      </c>
      <c r="C9" s="52">
        <v>14.4</v>
      </c>
      <c r="D9" s="52">
        <v>15.14</v>
      </c>
      <c r="E9" s="52">
        <v>4.24</v>
      </c>
      <c r="F9" s="52">
        <v>3.63</v>
      </c>
      <c r="G9" s="52">
        <v>16.16</v>
      </c>
      <c r="H9" s="52">
        <v>5.75</v>
      </c>
      <c r="I9" s="52">
        <v>3.02</v>
      </c>
      <c r="J9" s="52">
        <v>0.6</v>
      </c>
      <c r="K9" s="52">
        <v>262.75</v>
      </c>
      <c r="L9" s="52">
        <v>26.19</v>
      </c>
      <c r="M9" s="52">
        <v>89.19</v>
      </c>
      <c r="N9" s="52">
        <v>0</v>
      </c>
      <c r="O9" s="52">
        <v>0</v>
      </c>
      <c r="P9" s="52">
        <v>0.32</v>
      </c>
      <c r="Q9" s="52">
        <v>4.3600000000000003</v>
      </c>
    </row>
    <row r="10" spans="1:21" customFormat="1">
      <c r="A10" s="51" t="s">
        <v>658</v>
      </c>
      <c r="B10" s="52">
        <v>7.97</v>
      </c>
      <c r="C10" s="52">
        <v>13.91</v>
      </c>
      <c r="D10" s="52">
        <v>14.92</v>
      </c>
      <c r="E10" s="52">
        <v>4.66</v>
      </c>
      <c r="F10" s="52">
        <v>3.83</v>
      </c>
      <c r="G10" s="52">
        <v>16.41</v>
      </c>
      <c r="H10" s="52">
        <v>4.1500000000000004</v>
      </c>
      <c r="I10" s="52">
        <v>3</v>
      </c>
      <c r="J10" s="52">
        <v>0.61</v>
      </c>
      <c r="K10" s="52">
        <v>266.77999999999997</v>
      </c>
      <c r="L10" s="52">
        <v>25.78</v>
      </c>
      <c r="M10" s="52">
        <v>91.14</v>
      </c>
      <c r="N10" s="52">
        <v>0</v>
      </c>
      <c r="O10" s="52">
        <v>0</v>
      </c>
      <c r="P10" s="52">
        <v>0.32</v>
      </c>
      <c r="Q10" s="52">
        <v>4.3899999999999997</v>
      </c>
    </row>
    <row r="11" spans="1:21" customFormat="1">
      <c r="A11" s="51" t="s">
        <v>659</v>
      </c>
      <c r="B11" s="52">
        <v>8.14</v>
      </c>
      <c r="C11" s="52">
        <v>14.06</v>
      </c>
      <c r="D11" s="52">
        <v>15.2</v>
      </c>
      <c r="E11" s="52">
        <v>2.83</v>
      </c>
      <c r="F11" s="52">
        <v>3.72</v>
      </c>
      <c r="G11" s="52">
        <v>16.47</v>
      </c>
      <c r="H11" s="52">
        <v>3.49</v>
      </c>
      <c r="I11" s="52">
        <v>2.87</v>
      </c>
      <c r="J11" s="52">
        <v>0.69</v>
      </c>
      <c r="K11" s="52">
        <v>267.68</v>
      </c>
      <c r="L11" s="52">
        <v>25.81</v>
      </c>
      <c r="M11" s="52">
        <v>91.38</v>
      </c>
      <c r="N11" s="52">
        <v>0</v>
      </c>
      <c r="O11" s="52">
        <v>0</v>
      </c>
      <c r="P11" s="52">
        <v>0.31</v>
      </c>
      <c r="Q11" s="52">
        <v>4.3899999999999997</v>
      </c>
    </row>
    <row r="12" spans="1:21" customFormat="1">
      <c r="A12" s="51" t="s">
        <v>660</v>
      </c>
      <c r="B12" s="52">
        <v>8.5500000000000007</v>
      </c>
      <c r="C12" s="52">
        <v>14.08</v>
      </c>
      <c r="D12" s="52">
        <v>15.51</v>
      </c>
      <c r="E12" s="52">
        <v>3</v>
      </c>
      <c r="F12" s="52">
        <v>3.19</v>
      </c>
      <c r="G12" s="52">
        <v>14.97</v>
      </c>
      <c r="H12" s="52">
        <v>3.71</v>
      </c>
      <c r="I12" s="52">
        <v>2.82</v>
      </c>
      <c r="J12" s="52">
        <v>0.56000000000000005</v>
      </c>
      <c r="K12" s="52">
        <v>262.42</v>
      </c>
      <c r="L12" s="52">
        <v>25.47</v>
      </c>
      <c r="M12" s="52">
        <v>93.42</v>
      </c>
      <c r="N12" s="52">
        <v>0</v>
      </c>
      <c r="O12" s="52">
        <v>0</v>
      </c>
      <c r="P12" s="52">
        <v>0.31</v>
      </c>
      <c r="Q12" s="52">
        <v>4.41</v>
      </c>
    </row>
    <row r="13" spans="1:21" customFormat="1">
      <c r="A13" s="51" t="s">
        <v>661</v>
      </c>
      <c r="B13" s="52">
        <v>8.9</v>
      </c>
      <c r="C13" s="52">
        <v>13.99</v>
      </c>
      <c r="D13" s="52">
        <v>15.66</v>
      </c>
      <c r="E13" s="52">
        <v>3.12</v>
      </c>
      <c r="F13" s="52">
        <v>2.96</v>
      </c>
      <c r="G13" s="52">
        <v>13.8</v>
      </c>
      <c r="H13" s="52">
        <v>3.86</v>
      </c>
      <c r="I13" s="52">
        <v>2.82</v>
      </c>
      <c r="J13" s="52">
        <v>0.64</v>
      </c>
      <c r="K13" s="52">
        <v>263.83</v>
      </c>
      <c r="L13" s="52">
        <v>25.09</v>
      </c>
      <c r="M13" s="52">
        <v>94.29</v>
      </c>
      <c r="N13" s="52">
        <v>0</v>
      </c>
      <c r="O13" s="52">
        <v>0</v>
      </c>
      <c r="P13" s="52">
        <v>0.31</v>
      </c>
      <c r="Q13" s="52">
        <v>4.43</v>
      </c>
    </row>
    <row r="14" spans="1:21" customFormat="1">
      <c r="A14" s="51" t="s">
        <v>662</v>
      </c>
      <c r="B14" s="52">
        <v>9.23</v>
      </c>
      <c r="C14" s="52">
        <v>14.7</v>
      </c>
      <c r="D14" s="52">
        <v>16.36</v>
      </c>
      <c r="E14" s="52">
        <v>3.23</v>
      </c>
      <c r="F14" s="52">
        <v>2.64</v>
      </c>
      <c r="G14" s="52">
        <v>11.25</v>
      </c>
      <c r="H14" s="52">
        <v>5.12</v>
      </c>
      <c r="I14" s="52">
        <v>2.82</v>
      </c>
      <c r="J14" s="52">
        <v>0.42</v>
      </c>
      <c r="K14" s="52">
        <v>263.62</v>
      </c>
      <c r="L14" s="52">
        <v>25.01</v>
      </c>
      <c r="M14" s="52">
        <v>95.21</v>
      </c>
      <c r="N14" s="52">
        <v>5.3</v>
      </c>
      <c r="O14" s="52">
        <v>0</v>
      </c>
      <c r="P14" s="52">
        <v>0.33</v>
      </c>
      <c r="Q14" s="52">
        <v>4.47</v>
      </c>
    </row>
    <row r="15" spans="1:21" customFormat="1">
      <c r="A15" s="51" t="s">
        <v>663</v>
      </c>
      <c r="B15" s="52">
        <v>9.7799999999999994</v>
      </c>
      <c r="C15" s="52">
        <v>14.85</v>
      </c>
      <c r="D15" s="52">
        <v>16.46</v>
      </c>
      <c r="E15" s="52">
        <v>3.47</v>
      </c>
      <c r="F15" s="52">
        <v>3.04</v>
      </c>
      <c r="G15" s="52">
        <v>10.64</v>
      </c>
      <c r="H15" s="52">
        <v>4.2699999999999996</v>
      </c>
      <c r="I15" s="52">
        <v>2.99</v>
      </c>
      <c r="J15" s="52">
        <v>0.64</v>
      </c>
      <c r="K15" s="52">
        <v>262.41000000000003</v>
      </c>
      <c r="L15" s="52">
        <v>25.68</v>
      </c>
      <c r="M15" s="52">
        <v>94.78</v>
      </c>
      <c r="N15" s="52">
        <v>63.4</v>
      </c>
      <c r="O15" s="52">
        <v>0</v>
      </c>
      <c r="P15" s="52">
        <v>0.34</v>
      </c>
      <c r="Q15" s="52">
        <v>4.5199999999999996</v>
      </c>
    </row>
    <row r="16" spans="1:21" customFormat="1">
      <c r="A16" s="51" t="s">
        <v>664</v>
      </c>
      <c r="B16" s="52">
        <v>10.02</v>
      </c>
      <c r="C16" s="52">
        <v>15.08</v>
      </c>
      <c r="D16" s="52">
        <v>17.260000000000002</v>
      </c>
      <c r="E16" s="52">
        <v>3.42</v>
      </c>
      <c r="F16" s="52">
        <v>3.03</v>
      </c>
      <c r="G16" s="52">
        <v>7.72</v>
      </c>
      <c r="H16" s="52">
        <v>3.18</v>
      </c>
      <c r="I16" s="52">
        <v>3.1</v>
      </c>
      <c r="J16" s="52">
        <v>0.73</v>
      </c>
      <c r="K16" s="52">
        <v>262.70999999999998</v>
      </c>
      <c r="L16" s="52">
        <v>27.23</v>
      </c>
      <c r="M16" s="52">
        <v>90.05</v>
      </c>
      <c r="N16" s="52">
        <v>189.1</v>
      </c>
      <c r="O16" s="52">
        <v>0</v>
      </c>
      <c r="P16" s="52">
        <v>0.34</v>
      </c>
      <c r="Q16" s="52">
        <v>4.55</v>
      </c>
    </row>
    <row r="17" spans="1:17" customFormat="1">
      <c r="A17" s="51" t="s">
        <v>665</v>
      </c>
      <c r="B17" s="52">
        <v>10.029999999999999</v>
      </c>
      <c r="C17" s="52">
        <v>14.93</v>
      </c>
      <c r="D17" s="52">
        <v>17.07</v>
      </c>
      <c r="E17" s="52">
        <v>3.55</v>
      </c>
      <c r="F17" s="52">
        <v>2.98</v>
      </c>
      <c r="G17" s="52">
        <v>10.58</v>
      </c>
      <c r="H17" s="52">
        <v>4.1100000000000003</v>
      </c>
      <c r="I17" s="52">
        <v>3.54</v>
      </c>
      <c r="J17" s="52">
        <v>1.02</v>
      </c>
      <c r="K17" s="52">
        <v>265.57</v>
      </c>
      <c r="L17" s="52">
        <v>28.73</v>
      </c>
      <c r="M17" s="52">
        <v>83</v>
      </c>
      <c r="N17" s="52">
        <v>304.3</v>
      </c>
      <c r="O17" s="52">
        <v>0</v>
      </c>
      <c r="P17" s="52">
        <v>0.39</v>
      </c>
      <c r="Q17" s="52">
        <v>4.5599999999999996</v>
      </c>
    </row>
    <row r="18" spans="1:17" customFormat="1">
      <c r="A18" s="51" t="s">
        <v>666</v>
      </c>
      <c r="B18" s="52">
        <v>10.029999999999999</v>
      </c>
      <c r="C18" s="52">
        <v>14.11</v>
      </c>
      <c r="D18" s="52">
        <v>16.649999999999999</v>
      </c>
      <c r="E18" s="52">
        <v>3.92</v>
      </c>
      <c r="F18" s="52">
        <v>3.11</v>
      </c>
      <c r="G18" s="52">
        <v>20.39</v>
      </c>
      <c r="H18" s="52">
        <v>4.5599999999999996</v>
      </c>
      <c r="I18" s="52">
        <v>3.91</v>
      </c>
      <c r="J18" s="52">
        <v>0.89</v>
      </c>
      <c r="K18" s="52">
        <v>290.24</v>
      </c>
      <c r="L18" s="52">
        <v>30.15</v>
      </c>
      <c r="M18" s="52">
        <v>77.540000000000006</v>
      </c>
      <c r="N18" s="52">
        <v>503.8</v>
      </c>
      <c r="O18" s="52">
        <v>0</v>
      </c>
      <c r="P18" s="52">
        <v>0.43</v>
      </c>
      <c r="Q18" s="52">
        <v>4.5199999999999996</v>
      </c>
    </row>
    <row r="19" spans="1:17" customFormat="1">
      <c r="A19" s="51" t="s">
        <v>667</v>
      </c>
      <c r="B19" s="52">
        <v>9.75</v>
      </c>
      <c r="C19" s="52">
        <v>15.27</v>
      </c>
      <c r="D19" s="52">
        <v>16.559999999999999</v>
      </c>
      <c r="E19" s="52">
        <v>5.0999999999999996</v>
      </c>
      <c r="F19" s="52">
        <v>3.72</v>
      </c>
      <c r="G19" s="52">
        <v>20.84</v>
      </c>
      <c r="H19" s="52">
        <v>6.71</v>
      </c>
      <c r="I19" s="52">
        <v>4.1900000000000004</v>
      </c>
      <c r="J19" s="52">
        <v>0.87</v>
      </c>
      <c r="K19" s="52">
        <v>292.89999999999998</v>
      </c>
      <c r="L19" s="52">
        <v>30.77</v>
      </c>
      <c r="M19" s="52">
        <v>71.55</v>
      </c>
      <c r="N19" s="52">
        <v>459</v>
      </c>
      <c r="O19" s="52">
        <v>0</v>
      </c>
      <c r="P19" s="52">
        <v>0.47</v>
      </c>
      <c r="Q19" s="52">
        <v>4.51</v>
      </c>
    </row>
    <row r="20" spans="1:17" customFormat="1">
      <c r="A20" s="51" t="s">
        <v>668</v>
      </c>
      <c r="B20" s="52">
        <v>8.33</v>
      </c>
      <c r="C20" s="52">
        <v>15.01</v>
      </c>
      <c r="D20" s="52">
        <v>15.87</v>
      </c>
      <c r="E20" s="52">
        <v>4.8099999999999996</v>
      </c>
      <c r="F20" s="52">
        <v>4.74</v>
      </c>
      <c r="G20" s="52">
        <v>28.89</v>
      </c>
      <c r="H20" s="52">
        <v>7.19</v>
      </c>
      <c r="I20" s="52">
        <v>4.25</v>
      </c>
      <c r="J20" s="52">
        <v>0.89</v>
      </c>
      <c r="K20" s="52">
        <v>296.10000000000002</v>
      </c>
      <c r="L20" s="52">
        <v>32.29</v>
      </c>
      <c r="M20" s="52">
        <v>70.349999999999994</v>
      </c>
      <c r="N20" s="52">
        <v>830.2</v>
      </c>
      <c r="O20" s="52">
        <v>0</v>
      </c>
      <c r="P20" s="52">
        <v>0.46</v>
      </c>
      <c r="Q20" s="52">
        <v>4.51</v>
      </c>
    </row>
    <row r="21" spans="1:17" customFormat="1">
      <c r="A21" s="51" t="s">
        <v>669</v>
      </c>
      <c r="B21" s="52">
        <v>7.75</v>
      </c>
      <c r="C21" s="52">
        <v>14.76</v>
      </c>
      <c r="D21" s="52">
        <v>15.2</v>
      </c>
      <c r="E21" s="52">
        <v>4.16</v>
      </c>
      <c r="F21" s="52">
        <v>6.49</v>
      </c>
      <c r="G21" s="52">
        <v>34.299999999999997</v>
      </c>
      <c r="H21" s="52">
        <v>7.11</v>
      </c>
      <c r="I21" s="52">
        <v>4.12</v>
      </c>
      <c r="J21" s="52">
        <v>1</v>
      </c>
      <c r="K21" s="52">
        <v>295.42</v>
      </c>
      <c r="L21" s="52">
        <v>32.380000000000003</v>
      </c>
      <c r="M21" s="52">
        <v>61.59</v>
      </c>
      <c r="N21" s="52">
        <v>820.5</v>
      </c>
      <c r="O21" s="52">
        <v>0</v>
      </c>
      <c r="P21" s="52">
        <v>0.43</v>
      </c>
      <c r="Q21" s="52">
        <v>4.42</v>
      </c>
    </row>
    <row r="22" spans="1:17" customFormat="1">
      <c r="A22" s="51" t="s">
        <v>670</v>
      </c>
      <c r="B22" s="52">
        <v>7.39</v>
      </c>
      <c r="C22" s="52">
        <v>14.03</v>
      </c>
      <c r="D22" s="52">
        <v>14.61</v>
      </c>
      <c r="E22" s="52">
        <v>4.18</v>
      </c>
      <c r="F22" s="52">
        <v>4.97</v>
      </c>
      <c r="G22" s="52">
        <v>37.44</v>
      </c>
      <c r="H22" s="52">
        <v>6.51</v>
      </c>
      <c r="I22" s="52">
        <v>3.97</v>
      </c>
      <c r="J22" s="52">
        <v>1.1000000000000001</v>
      </c>
      <c r="K22" s="52">
        <v>300.56</v>
      </c>
      <c r="L22" s="52">
        <v>32.58</v>
      </c>
      <c r="M22" s="52">
        <v>61.35</v>
      </c>
      <c r="N22" s="52">
        <v>780.4</v>
      </c>
      <c r="O22" s="52">
        <v>0</v>
      </c>
      <c r="P22" s="52">
        <v>0.42</v>
      </c>
      <c r="Q22" s="52">
        <v>4.3600000000000003</v>
      </c>
    </row>
    <row r="23" spans="1:17" customFormat="1">
      <c r="A23" s="51" t="s">
        <v>671</v>
      </c>
      <c r="B23" s="52">
        <v>6.66</v>
      </c>
      <c r="C23" s="52">
        <v>14.12</v>
      </c>
      <c r="D23" s="52">
        <v>13.93</v>
      </c>
      <c r="E23" s="52">
        <v>4.2699999999999996</v>
      </c>
      <c r="F23" s="52">
        <v>5.34</v>
      </c>
      <c r="G23" s="52">
        <v>35.22</v>
      </c>
      <c r="H23" s="52">
        <v>5.5</v>
      </c>
      <c r="I23" s="52">
        <v>3.82</v>
      </c>
      <c r="J23" s="52">
        <v>0.97</v>
      </c>
      <c r="K23" s="52">
        <v>290.39999999999998</v>
      </c>
      <c r="L23" s="52">
        <v>32.5</v>
      </c>
      <c r="M23" s="52">
        <v>66.989999999999995</v>
      </c>
      <c r="N23" s="52">
        <v>653.20000000000005</v>
      </c>
      <c r="O23" s="52">
        <v>0</v>
      </c>
      <c r="P23" s="52">
        <v>0.37</v>
      </c>
      <c r="Q23" s="52">
        <v>4.25</v>
      </c>
    </row>
    <row r="24" spans="1:17" customFormat="1">
      <c r="A24" s="51" t="s">
        <v>672</v>
      </c>
      <c r="B24" s="52">
        <v>7.19</v>
      </c>
      <c r="C24" s="52">
        <v>14.26</v>
      </c>
      <c r="D24" s="52">
        <v>14.56</v>
      </c>
      <c r="E24" s="52">
        <v>4.75</v>
      </c>
      <c r="F24" s="52">
        <v>6.07</v>
      </c>
      <c r="G24" s="52">
        <v>35.06</v>
      </c>
      <c r="H24" s="52">
        <v>7.48</v>
      </c>
      <c r="I24" s="52">
        <v>3.56</v>
      </c>
      <c r="J24" s="52">
        <v>0.63</v>
      </c>
      <c r="K24" s="52">
        <v>315.63</v>
      </c>
      <c r="L24" s="52">
        <v>32.47</v>
      </c>
      <c r="M24" s="52">
        <v>66.959999999999994</v>
      </c>
      <c r="N24" s="52">
        <v>523.5</v>
      </c>
      <c r="O24" s="52">
        <v>0</v>
      </c>
      <c r="P24" s="52">
        <v>0.38</v>
      </c>
      <c r="Q24" s="52">
        <v>4.3099999999999996</v>
      </c>
    </row>
    <row r="25" spans="1:17" customFormat="1">
      <c r="A25" s="51" t="s">
        <v>673</v>
      </c>
      <c r="B25" s="52">
        <v>7.43</v>
      </c>
      <c r="C25" s="52">
        <v>14.49</v>
      </c>
      <c r="D25" s="52">
        <v>14.7</v>
      </c>
      <c r="E25" s="52">
        <v>5.19</v>
      </c>
      <c r="F25" s="52">
        <v>7.1</v>
      </c>
      <c r="G25" s="52">
        <v>35.24</v>
      </c>
      <c r="H25" s="52">
        <v>6.04</v>
      </c>
      <c r="I25" s="52">
        <v>3.49</v>
      </c>
      <c r="J25" s="52">
        <v>0.74</v>
      </c>
      <c r="K25" s="52">
        <v>286.95999999999998</v>
      </c>
      <c r="L25" s="52">
        <v>32.25</v>
      </c>
      <c r="M25" s="52">
        <v>66.180000000000007</v>
      </c>
      <c r="N25" s="52">
        <v>144.5</v>
      </c>
      <c r="O25" s="52">
        <v>0</v>
      </c>
      <c r="P25" s="52">
        <v>0.37</v>
      </c>
      <c r="Q25" s="52">
        <v>4.3600000000000003</v>
      </c>
    </row>
    <row r="26" spans="1:17" customFormat="1">
      <c r="A26" s="51" t="s">
        <v>674</v>
      </c>
      <c r="B26" s="52">
        <v>8.06</v>
      </c>
      <c r="C26" s="52">
        <v>14.96</v>
      </c>
      <c r="D26" s="52">
        <v>15.63</v>
      </c>
      <c r="E26" s="52">
        <v>4.63</v>
      </c>
      <c r="F26" s="52">
        <v>6.48</v>
      </c>
      <c r="G26" s="52">
        <v>36.57</v>
      </c>
      <c r="H26" s="52">
        <v>7.37</v>
      </c>
      <c r="I26" s="52">
        <v>3.36</v>
      </c>
      <c r="J26" s="52">
        <v>0.63</v>
      </c>
      <c r="K26" s="52">
        <v>303.79000000000002</v>
      </c>
      <c r="L26" s="52">
        <v>30.98</v>
      </c>
      <c r="M26" s="52">
        <v>65.73</v>
      </c>
      <c r="N26" s="52">
        <v>61.2</v>
      </c>
      <c r="O26" s="52">
        <v>0</v>
      </c>
      <c r="P26" s="52">
        <v>0.39</v>
      </c>
      <c r="Q26" s="52">
        <v>4.41</v>
      </c>
    </row>
    <row r="27" spans="1:17" customFormat="1">
      <c r="A27" s="51" t="s">
        <v>675</v>
      </c>
      <c r="B27" s="52">
        <v>8.36</v>
      </c>
      <c r="C27" s="52">
        <v>16.05</v>
      </c>
      <c r="D27" s="52">
        <v>16.3</v>
      </c>
      <c r="E27" s="52">
        <v>3.55</v>
      </c>
      <c r="F27" s="52">
        <v>9.36</v>
      </c>
      <c r="G27" s="52">
        <v>39.85</v>
      </c>
      <c r="H27" s="52">
        <v>11.11</v>
      </c>
      <c r="I27" s="52">
        <v>3.3</v>
      </c>
      <c r="J27" s="52">
        <v>0.46</v>
      </c>
      <c r="K27" s="52">
        <v>280.89999999999998</v>
      </c>
      <c r="L27" s="52">
        <v>30.21</v>
      </c>
      <c r="M27" s="52">
        <v>71.88</v>
      </c>
      <c r="N27" s="52">
        <v>0.2</v>
      </c>
      <c r="O27" s="52">
        <v>0</v>
      </c>
      <c r="P27" s="52">
        <v>0.42</v>
      </c>
      <c r="Q27" s="52">
        <v>4.4800000000000004</v>
      </c>
    </row>
    <row r="28" spans="1:17" customFormat="1">
      <c r="A28" s="51" t="s">
        <v>676</v>
      </c>
      <c r="B28" s="52">
        <v>7.51</v>
      </c>
      <c r="C28" s="52">
        <v>14.93</v>
      </c>
      <c r="D28" s="52">
        <v>15.17</v>
      </c>
      <c r="E28" s="52">
        <v>3.54</v>
      </c>
      <c r="F28" s="52">
        <v>10.29</v>
      </c>
      <c r="G28" s="52">
        <v>41.28</v>
      </c>
      <c r="H28" s="52">
        <v>11.72</v>
      </c>
      <c r="I28" s="52">
        <v>4.68</v>
      </c>
      <c r="J28" s="52">
        <v>0.37</v>
      </c>
      <c r="K28" s="52">
        <v>260.47000000000003</v>
      </c>
      <c r="L28" s="52">
        <v>28.89</v>
      </c>
      <c r="M28" s="52">
        <v>78.959999999999994</v>
      </c>
      <c r="N28" s="52">
        <v>0</v>
      </c>
      <c r="O28" s="52">
        <v>0</v>
      </c>
      <c r="P28" s="52">
        <v>0.43</v>
      </c>
      <c r="Q28" s="52">
        <v>4.49</v>
      </c>
    </row>
    <row r="29" spans="1:17" customFormat="1">
      <c r="A29" s="51" t="s">
        <v>677</v>
      </c>
      <c r="B29" s="52">
        <v>7.32</v>
      </c>
      <c r="C29" s="52">
        <v>14.12</v>
      </c>
      <c r="D29" s="52">
        <v>14.43</v>
      </c>
      <c r="E29" s="52">
        <v>3.52</v>
      </c>
      <c r="F29" s="52">
        <v>8.59</v>
      </c>
      <c r="G29" s="52">
        <v>39.479999999999997</v>
      </c>
      <c r="H29" s="52">
        <v>9.9499999999999993</v>
      </c>
      <c r="I29" s="52">
        <v>4.09</v>
      </c>
      <c r="J29" s="52">
        <v>0.37</v>
      </c>
      <c r="K29" s="52">
        <v>261.08999999999997</v>
      </c>
      <c r="L29" s="52">
        <v>28.44</v>
      </c>
      <c r="M29" s="52">
        <v>82.04</v>
      </c>
      <c r="N29" s="52">
        <v>0</v>
      </c>
      <c r="O29" s="52">
        <v>0</v>
      </c>
      <c r="P29" s="52">
        <v>0.42</v>
      </c>
      <c r="Q29" s="52">
        <v>4.46</v>
      </c>
    </row>
    <row r="30" spans="1:17" customFormat="1">
      <c r="A30" s="51" t="s">
        <v>678</v>
      </c>
      <c r="B30" s="52">
        <v>6.65</v>
      </c>
      <c r="C30" s="52">
        <v>11.81</v>
      </c>
      <c r="D30" s="52">
        <v>12.77</v>
      </c>
      <c r="E30" s="52">
        <v>3.76</v>
      </c>
      <c r="F30" s="52">
        <v>9.32</v>
      </c>
      <c r="G30" s="52">
        <v>36.520000000000003</v>
      </c>
      <c r="H30" s="52">
        <v>9.4</v>
      </c>
      <c r="I30" s="52">
        <v>3.79</v>
      </c>
      <c r="J30" s="52">
        <v>0.28999999999999998</v>
      </c>
      <c r="K30" s="52">
        <v>251.29</v>
      </c>
      <c r="L30" s="52">
        <v>27.8</v>
      </c>
      <c r="M30" s="52">
        <v>85.22</v>
      </c>
      <c r="N30" s="52">
        <v>0</v>
      </c>
      <c r="O30" s="52">
        <v>0</v>
      </c>
      <c r="P30" s="52">
        <v>0.4</v>
      </c>
      <c r="Q30" s="52">
        <v>4.42</v>
      </c>
    </row>
    <row r="31" spans="1:17" customFormat="1">
      <c r="A31" s="51" t="s">
        <v>679</v>
      </c>
      <c r="B31" s="52">
        <v>7.32</v>
      </c>
      <c r="C31" s="52">
        <v>13.84</v>
      </c>
      <c r="D31" s="52">
        <v>14.45</v>
      </c>
      <c r="E31" s="52">
        <v>3.8</v>
      </c>
      <c r="F31" s="52">
        <v>7.91</v>
      </c>
      <c r="G31" s="52">
        <v>36.479999999999997</v>
      </c>
      <c r="H31" s="52">
        <v>9.17</v>
      </c>
      <c r="I31" s="52">
        <v>3.95</v>
      </c>
      <c r="J31" s="52">
        <v>0.55000000000000004</v>
      </c>
      <c r="K31" s="52">
        <v>261.69</v>
      </c>
      <c r="L31" s="52">
        <v>27.58</v>
      </c>
      <c r="M31" s="52">
        <v>83.46</v>
      </c>
      <c r="N31" s="52">
        <v>0</v>
      </c>
      <c r="O31" s="52">
        <v>0</v>
      </c>
      <c r="P31" s="52">
        <v>0.4</v>
      </c>
      <c r="Q31" s="52">
        <v>4.4400000000000004</v>
      </c>
    </row>
    <row r="32" spans="1:17" customFormat="1">
      <c r="A32" s="51" t="s">
        <v>680</v>
      </c>
      <c r="B32" s="52">
        <v>2</v>
      </c>
      <c r="C32" s="52">
        <v>2.42</v>
      </c>
      <c r="D32" s="52">
        <v>4.22</v>
      </c>
      <c r="E32" s="52">
        <v>3.82</v>
      </c>
      <c r="F32" s="52">
        <v>7.39</v>
      </c>
      <c r="G32" s="52">
        <v>33.36</v>
      </c>
      <c r="H32" s="52">
        <v>11.25</v>
      </c>
      <c r="I32" s="52">
        <v>3.84</v>
      </c>
      <c r="J32" s="52">
        <v>0.61</v>
      </c>
      <c r="K32" s="52">
        <v>264.86</v>
      </c>
      <c r="L32" s="52">
        <v>27.42</v>
      </c>
      <c r="M32" s="52">
        <v>83.51</v>
      </c>
      <c r="N32" s="52">
        <v>0</v>
      </c>
      <c r="O32" s="52">
        <v>0</v>
      </c>
      <c r="P32" s="52">
        <v>0.4</v>
      </c>
      <c r="Q32" s="52">
        <v>4.41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</v>
      </c>
      <c r="C34" s="41">
        <f t="shared" si="0"/>
        <v>2.42</v>
      </c>
      <c r="D34" s="41">
        <f t="shared" si="0"/>
        <v>4.22</v>
      </c>
      <c r="E34" s="41">
        <f t="shared" si="0"/>
        <v>2.83</v>
      </c>
      <c r="F34" s="41">
        <f t="shared" si="0"/>
        <v>2.64</v>
      </c>
      <c r="G34" s="41">
        <f t="shared" si="0"/>
        <v>7.72</v>
      </c>
      <c r="H34" s="41">
        <f t="shared" si="0"/>
        <v>3.18</v>
      </c>
      <c r="I34" s="41">
        <f t="shared" si="0"/>
        <v>2.82</v>
      </c>
      <c r="J34" s="41">
        <f t="shared" si="0"/>
        <v>0.28999999999999998</v>
      </c>
      <c r="K34" s="41">
        <f t="shared" si="0"/>
        <v>251.29</v>
      </c>
      <c r="L34" s="41">
        <f t="shared" si="0"/>
        <v>25.01</v>
      </c>
      <c r="M34" s="41">
        <f t="shared" si="0"/>
        <v>61.35</v>
      </c>
      <c r="N34" s="41">
        <f t="shared" si="0"/>
        <v>0</v>
      </c>
      <c r="O34" s="41">
        <f t="shared" si="0"/>
        <v>0</v>
      </c>
      <c r="P34" s="41">
        <f t="shared" si="0"/>
        <v>0.31</v>
      </c>
      <c r="Q34" s="41">
        <f t="shared" si="0"/>
        <v>4.25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10.029999999999999</v>
      </c>
      <c r="C35" s="33">
        <f t="shared" si="1"/>
        <v>16.05</v>
      </c>
      <c r="D35" s="33">
        <f t="shared" si="1"/>
        <v>17.260000000000002</v>
      </c>
      <c r="E35" s="33">
        <f t="shared" si="1"/>
        <v>5.19</v>
      </c>
      <c r="F35" s="33">
        <f t="shared" si="1"/>
        <v>10.29</v>
      </c>
      <c r="G35" s="33">
        <f t="shared" si="1"/>
        <v>41.28</v>
      </c>
      <c r="H35" s="33">
        <f t="shared" si="1"/>
        <v>11.72</v>
      </c>
      <c r="I35" s="33">
        <f t="shared" si="1"/>
        <v>4.68</v>
      </c>
      <c r="J35" s="33">
        <f t="shared" si="1"/>
        <v>1.1000000000000001</v>
      </c>
      <c r="K35" s="33">
        <f t="shared" si="1"/>
        <v>315.63</v>
      </c>
      <c r="L35" s="33">
        <f t="shared" si="1"/>
        <v>32.58</v>
      </c>
      <c r="M35" s="33">
        <f t="shared" si="1"/>
        <v>95.21</v>
      </c>
      <c r="N35" s="33">
        <f t="shared" si="1"/>
        <v>830.2</v>
      </c>
      <c r="O35" s="33">
        <f t="shared" si="1"/>
        <v>0</v>
      </c>
      <c r="P35" s="33">
        <f t="shared" si="1"/>
        <v>0.47</v>
      </c>
      <c r="Q35" s="33">
        <f t="shared" si="1"/>
        <v>4.5599999999999996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8.0074999999999985</v>
      </c>
      <c r="C36" s="41">
        <f t="shared" si="2"/>
        <v>13.924166666666666</v>
      </c>
      <c r="D36" s="41">
        <f t="shared" si="2"/>
        <v>14.942916666666669</v>
      </c>
      <c r="E36" s="41">
        <f t="shared" si="2"/>
        <v>3.938333333333333</v>
      </c>
      <c r="F36" s="41">
        <f t="shared" si="2"/>
        <v>5.4124999999999988</v>
      </c>
      <c r="G36" s="41">
        <f t="shared" si="2"/>
        <v>26.205000000000002</v>
      </c>
      <c r="H36" s="41">
        <f t="shared" si="2"/>
        <v>6.612916666666667</v>
      </c>
      <c r="I36" s="41">
        <f t="shared" si="2"/>
        <v>3.5541666666666671</v>
      </c>
      <c r="J36" s="41">
        <f t="shared" si="2"/>
        <v>0.67833333333333334</v>
      </c>
      <c r="K36" s="41">
        <f t="shared" si="2"/>
        <v>276.25291666666664</v>
      </c>
      <c r="L36" s="41">
        <f t="shared" si="2"/>
        <v>28.820833333333336</v>
      </c>
      <c r="M36" s="41">
        <f t="shared" si="2"/>
        <v>79.823750000000004</v>
      </c>
      <c r="N36" s="41">
        <f t="shared" si="2"/>
        <v>222.44166666666669</v>
      </c>
      <c r="O36" s="41">
        <f t="shared" si="2"/>
        <v>0</v>
      </c>
      <c r="P36" s="41">
        <f t="shared" si="2"/>
        <v>0.38166666666666665</v>
      </c>
      <c r="Q36" s="41">
        <f t="shared" si="2"/>
        <v>4.4345833333333324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1.6638672867227469</v>
      </c>
      <c r="C37" s="41">
        <f t="shared" ref="C37:Q37" si="3">STDEV(C9:C32)</f>
        <v>2.5686333985666119</v>
      </c>
      <c r="D37" s="41">
        <f t="shared" si="3"/>
        <v>2.5153035587685086</v>
      </c>
      <c r="E37" s="41">
        <f t="shared" si="3"/>
        <v>0.66304086480834623</v>
      </c>
      <c r="F37" s="41">
        <f t="shared" si="3"/>
        <v>2.4109807674200923</v>
      </c>
      <c r="G37" s="41">
        <f t="shared" si="3"/>
        <v>11.584516277829819</v>
      </c>
      <c r="H37" s="41">
        <f t="shared" si="3"/>
        <v>2.6316955671146705</v>
      </c>
      <c r="I37" s="41">
        <f t="shared" si="3"/>
        <v>0.54118161113611463</v>
      </c>
      <c r="J37" s="41">
        <f t="shared" si="3"/>
        <v>0.22115638115943254</v>
      </c>
      <c r="K37" s="41">
        <f t="shared" si="3"/>
        <v>17.759423580336296</v>
      </c>
      <c r="L37" s="41">
        <f t="shared" si="3"/>
        <v>2.7314925314331986</v>
      </c>
      <c r="M37" s="41">
        <f t="shared" si="3"/>
        <v>11.412011144823015</v>
      </c>
      <c r="N37" s="41">
        <f t="shared" si="3"/>
        <v>302.6116738411252</v>
      </c>
      <c r="O37" s="41">
        <f t="shared" si="3"/>
        <v>0</v>
      </c>
      <c r="P37" s="41">
        <f t="shared" si="3"/>
        <v>4.9314136492196806E-2</v>
      </c>
      <c r="Q37" s="41">
        <f t="shared" si="3"/>
        <v>7.6498318632699944E-2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681</v>
      </c>
      <c r="B9" s="52">
        <v>18.21</v>
      </c>
      <c r="C9" s="52">
        <v>12.93</v>
      </c>
      <c r="D9" s="52">
        <v>22.71</v>
      </c>
      <c r="E9" s="52">
        <v>4.07</v>
      </c>
      <c r="F9" s="52">
        <v>5.68</v>
      </c>
      <c r="G9" s="52">
        <v>31.95</v>
      </c>
      <c r="H9" s="52">
        <v>9.57</v>
      </c>
      <c r="I9" s="52">
        <v>3.73</v>
      </c>
      <c r="J9" s="52">
        <v>0.73</v>
      </c>
      <c r="K9" s="52">
        <v>264.93</v>
      </c>
      <c r="L9" s="52">
        <v>27.22</v>
      </c>
      <c r="M9" s="52">
        <v>82.13</v>
      </c>
      <c r="N9" s="52">
        <v>0</v>
      </c>
      <c r="O9" s="52">
        <v>0</v>
      </c>
      <c r="P9" s="52">
        <v>0.39</v>
      </c>
      <c r="Q9" s="52">
        <v>4.4000000000000004</v>
      </c>
    </row>
    <row r="10" spans="1:21" customFormat="1">
      <c r="A10" s="51" t="s">
        <v>682</v>
      </c>
      <c r="B10" s="52">
        <v>19.559999999999999</v>
      </c>
      <c r="C10" s="52">
        <v>13.07</v>
      </c>
      <c r="D10" s="52">
        <v>23.87</v>
      </c>
      <c r="E10" s="52">
        <v>3.64</v>
      </c>
      <c r="F10" s="52">
        <v>5.13</v>
      </c>
      <c r="G10" s="52">
        <v>28.14</v>
      </c>
      <c r="H10" s="52">
        <v>6.75</v>
      </c>
      <c r="I10" s="52">
        <v>3.58</v>
      </c>
      <c r="J10" s="52">
        <v>0.71</v>
      </c>
      <c r="K10" s="52">
        <v>266.47000000000003</v>
      </c>
      <c r="L10" s="52">
        <v>26.85</v>
      </c>
      <c r="M10" s="52">
        <v>85.22</v>
      </c>
      <c r="N10" s="52">
        <v>0</v>
      </c>
      <c r="O10" s="52">
        <v>0</v>
      </c>
      <c r="P10" s="52">
        <v>0.38</v>
      </c>
      <c r="Q10" s="52">
        <v>4.34</v>
      </c>
    </row>
    <row r="11" spans="1:21" customFormat="1">
      <c r="A11" s="51" t="s">
        <v>683</v>
      </c>
      <c r="B11" s="52">
        <v>18.690000000000001</v>
      </c>
      <c r="C11" s="52">
        <v>15.26</v>
      </c>
      <c r="D11" s="52">
        <v>24.31</v>
      </c>
      <c r="E11" s="52">
        <v>3.85</v>
      </c>
      <c r="F11" s="52">
        <v>4.59</v>
      </c>
      <c r="G11" s="52">
        <v>23.63</v>
      </c>
      <c r="H11" s="52">
        <v>5.61</v>
      </c>
      <c r="I11" s="52">
        <v>3.44</v>
      </c>
      <c r="J11" s="52">
        <v>0.68</v>
      </c>
      <c r="K11" s="52">
        <v>268.83999999999997</v>
      </c>
      <c r="L11" s="52">
        <v>26.43</v>
      </c>
      <c r="M11" s="52">
        <v>87.09</v>
      </c>
      <c r="N11" s="52">
        <v>0</v>
      </c>
      <c r="O11" s="52">
        <v>0</v>
      </c>
      <c r="P11" s="52">
        <v>0.36</v>
      </c>
      <c r="Q11" s="52">
        <v>4.3499999999999996</v>
      </c>
    </row>
    <row r="12" spans="1:21" customFormat="1">
      <c r="A12" s="51" t="s">
        <v>684</v>
      </c>
      <c r="B12" s="52">
        <v>8.91</v>
      </c>
      <c r="C12" s="52">
        <v>4.92</v>
      </c>
      <c r="D12" s="52">
        <v>11.07</v>
      </c>
      <c r="E12" s="52">
        <v>3.33</v>
      </c>
      <c r="F12" s="52">
        <v>4.0199999999999996</v>
      </c>
      <c r="G12" s="52">
        <v>24.54</v>
      </c>
      <c r="H12" s="52">
        <v>6.08</v>
      </c>
      <c r="I12" s="52">
        <v>3.34</v>
      </c>
      <c r="J12" s="52">
        <v>0.67</v>
      </c>
      <c r="K12" s="52">
        <v>267.39</v>
      </c>
      <c r="L12" s="52">
        <v>25.99</v>
      </c>
      <c r="M12" s="52">
        <v>89.44</v>
      </c>
      <c r="N12" s="52">
        <v>0</v>
      </c>
      <c r="O12" s="52">
        <v>0</v>
      </c>
      <c r="P12" s="52">
        <v>0.34</v>
      </c>
      <c r="Q12" s="52">
        <v>4.3499999999999996</v>
      </c>
    </row>
    <row r="13" spans="1:21" customFormat="1">
      <c r="A13" s="51" t="s">
        <v>685</v>
      </c>
      <c r="B13" s="52">
        <v>18.57</v>
      </c>
      <c r="C13" s="52">
        <v>13.54</v>
      </c>
      <c r="D13" s="52">
        <v>23.31</v>
      </c>
      <c r="E13" s="52">
        <v>3.77</v>
      </c>
      <c r="F13" s="52">
        <v>3.52</v>
      </c>
      <c r="G13" s="52">
        <v>23.51</v>
      </c>
      <c r="H13" s="52">
        <v>4.92</v>
      </c>
      <c r="I13" s="52">
        <v>3.26</v>
      </c>
      <c r="J13" s="52">
        <v>0.56999999999999995</v>
      </c>
      <c r="K13" s="52">
        <v>269.69</v>
      </c>
      <c r="L13" s="52">
        <v>25.7</v>
      </c>
      <c r="M13" s="52">
        <v>92.21</v>
      </c>
      <c r="N13" s="52">
        <v>0</v>
      </c>
      <c r="O13" s="52">
        <v>0</v>
      </c>
      <c r="P13" s="52">
        <v>0.34</v>
      </c>
      <c r="Q13" s="52">
        <v>4.37</v>
      </c>
    </row>
    <row r="14" spans="1:21" customFormat="1">
      <c r="A14" s="51" t="s">
        <v>686</v>
      </c>
      <c r="B14" s="52">
        <v>6.66</v>
      </c>
      <c r="C14" s="52">
        <v>3.97</v>
      </c>
      <c r="D14" s="52">
        <v>8.76</v>
      </c>
      <c r="E14" s="52">
        <v>3.86</v>
      </c>
      <c r="F14" s="52">
        <v>3.05</v>
      </c>
      <c r="G14" s="52">
        <v>18.48</v>
      </c>
      <c r="H14" s="52">
        <v>7.39</v>
      </c>
      <c r="I14" s="52">
        <v>3.3</v>
      </c>
      <c r="J14" s="52">
        <v>0.32</v>
      </c>
      <c r="K14" s="52">
        <v>259.04000000000002</v>
      </c>
      <c r="L14" s="52">
        <v>25.37</v>
      </c>
      <c r="M14" s="52">
        <v>94.93</v>
      </c>
      <c r="N14" s="52">
        <v>2.5</v>
      </c>
      <c r="O14" s="52">
        <v>0</v>
      </c>
      <c r="P14" s="52">
        <v>0.34</v>
      </c>
      <c r="Q14" s="52">
        <v>4.38</v>
      </c>
    </row>
    <row r="15" spans="1:21" customFormat="1">
      <c r="A15" s="51" t="s">
        <v>687</v>
      </c>
      <c r="B15" s="52">
        <v>18.420000000000002</v>
      </c>
      <c r="C15" s="52">
        <v>15.05</v>
      </c>
      <c r="D15" s="52">
        <v>23.89</v>
      </c>
      <c r="E15" s="52">
        <v>3.37</v>
      </c>
      <c r="F15" s="52">
        <v>3.15</v>
      </c>
      <c r="G15" s="52">
        <v>21.87</v>
      </c>
      <c r="H15" s="52">
        <v>6.43</v>
      </c>
      <c r="I15" s="52">
        <v>3.35</v>
      </c>
      <c r="J15" s="52">
        <v>0.68</v>
      </c>
      <c r="K15" s="52">
        <v>272.81</v>
      </c>
      <c r="L15" s="52">
        <v>26.05</v>
      </c>
      <c r="M15" s="52">
        <v>94.65</v>
      </c>
      <c r="N15" s="52">
        <v>62</v>
      </c>
      <c r="O15" s="52">
        <v>0</v>
      </c>
      <c r="P15" s="52">
        <v>0.36</v>
      </c>
      <c r="Q15" s="52">
        <v>4.43</v>
      </c>
    </row>
    <row r="16" spans="1:21" customFormat="1">
      <c r="A16" s="51" t="s">
        <v>688</v>
      </c>
      <c r="B16" s="52">
        <v>20.5</v>
      </c>
      <c r="C16" s="52">
        <v>15.33</v>
      </c>
      <c r="D16" s="52">
        <v>25.74</v>
      </c>
      <c r="E16" s="52">
        <v>3.93</v>
      </c>
      <c r="F16" s="52">
        <v>2.95</v>
      </c>
      <c r="G16" s="52">
        <v>18.48</v>
      </c>
      <c r="H16" s="52">
        <v>6.79</v>
      </c>
      <c r="I16" s="52">
        <v>3.43</v>
      </c>
      <c r="J16" s="52">
        <v>0.81</v>
      </c>
      <c r="K16" s="52">
        <v>270.27999999999997</v>
      </c>
      <c r="L16" s="52">
        <v>27.4</v>
      </c>
      <c r="M16" s="52">
        <v>89.98</v>
      </c>
      <c r="N16" s="52">
        <v>199.3</v>
      </c>
      <c r="O16" s="52">
        <v>0</v>
      </c>
      <c r="P16" s="52">
        <v>0.37</v>
      </c>
      <c r="Q16" s="52">
        <v>4.47</v>
      </c>
    </row>
    <row r="17" spans="1:17" customFormat="1">
      <c r="A17" s="51" t="s">
        <v>689</v>
      </c>
      <c r="B17" s="52">
        <v>21.33</v>
      </c>
      <c r="C17" s="52">
        <v>15.6</v>
      </c>
      <c r="D17" s="52">
        <v>26.61</v>
      </c>
      <c r="E17" s="52">
        <v>4.04</v>
      </c>
      <c r="F17" s="52">
        <v>3.17</v>
      </c>
      <c r="G17" s="52">
        <v>21.03</v>
      </c>
      <c r="H17" s="52">
        <v>7.23</v>
      </c>
      <c r="I17" s="52">
        <v>3.77</v>
      </c>
      <c r="J17" s="52">
        <v>0.85</v>
      </c>
      <c r="K17" s="52">
        <v>283.02</v>
      </c>
      <c r="L17" s="52">
        <v>29.4</v>
      </c>
      <c r="M17" s="52">
        <v>81.290000000000006</v>
      </c>
      <c r="N17" s="52">
        <v>317.8</v>
      </c>
      <c r="O17" s="52">
        <v>0</v>
      </c>
      <c r="P17" s="52">
        <v>0.44</v>
      </c>
      <c r="Q17" s="52">
        <v>4.53</v>
      </c>
    </row>
    <row r="18" spans="1:17" customFormat="1">
      <c r="A18" s="51" t="s">
        <v>690</v>
      </c>
      <c r="B18" s="52">
        <v>21.47</v>
      </c>
      <c r="C18" s="52">
        <v>15.89</v>
      </c>
      <c r="D18" s="52">
        <v>26.87</v>
      </c>
      <c r="E18" s="52">
        <v>3.97</v>
      </c>
      <c r="F18" s="52">
        <v>3.94</v>
      </c>
      <c r="G18" s="52">
        <v>26.52</v>
      </c>
      <c r="H18" s="52">
        <v>8.59</v>
      </c>
      <c r="I18" s="52">
        <v>4</v>
      </c>
      <c r="J18" s="52">
        <v>0.9</v>
      </c>
      <c r="K18" s="52">
        <v>308.87</v>
      </c>
      <c r="L18" s="52">
        <v>30.59</v>
      </c>
      <c r="M18" s="52">
        <v>70.75</v>
      </c>
      <c r="N18" s="52">
        <v>542.4</v>
      </c>
      <c r="O18" s="52">
        <v>0</v>
      </c>
      <c r="P18" s="52">
        <v>0.45</v>
      </c>
      <c r="Q18" s="52">
        <v>4.55</v>
      </c>
    </row>
    <row r="19" spans="1:17" customFormat="1">
      <c r="A19" s="51" t="s">
        <v>691</v>
      </c>
      <c r="B19" s="52">
        <v>19.52</v>
      </c>
      <c r="C19" s="52">
        <v>16.55</v>
      </c>
      <c r="D19" s="52">
        <v>25.65</v>
      </c>
      <c r="E19" s="52">
        <v>5.31</v>
      </c>
      <c r="F19" s="52">
        <v>4.18</v>
      </c>
      <c r="G19" s="52">
        <v>34.94</v>
      </c>
      <c r="H19" s="52">
        <v>8.1999999999999993</v>
      </c>
      <c r="I19" s="52">
        <v>3.96</v>
      </c>
      <c r="J19" s="52">
        <v>0.93</v>
      </c>
      <c r="K19" s="52">
        <v>308.26</v>
      </c>
      <c r="L19" s="52">
        <v>31.33</v>
      </c>
      <c r="M19" s="52">
        <v>65.8</v>
      </c>
      <c r="N19" s="52">
        <v>682.9</v>
      </c>
      <c r="O19" s="52">
        <v>0</v>
      </c>
      <c r="P19" s="52">
        <v>0.43</v>
      </c>
      <c r="Q19" s="52">
        <v>4.5199999999999996</v>
      </c>
    </row>
    <row r="20" spans="1:17" customFormat="1">
      <c r="A20" s="51" t="s">
        <v>692</v>
      </c>
      <c r="B20" s="52">
        <v>19.68</v>
      </c>
      <c r="C20" s="52">
        <v>16.72</v>
      </c>
      <c r="D20" s="52">
        <v>25.71</v>
      </c>
      <c r="E20" s="52">
        <v>4.9400000000000004</v>
      </c>
      <c r="F20" s="52">
        <v>5.23</v>
      </c>
      <c r="G20" s="52">
        <v>41.07</v>
      </c>
      <c r="H20" s="52">
        <v>9.91</v>
      </c>
      <c r="I20" s="52">
        <v>3.86</v>
      </c>
      <c r="J20" s="52">
        <v>0.79</v>
      </c>
      <c r="K20" s="52">
        <v>314.05</v>
      </c>
      <c r="L20" s="52">
        <v>31.73</v>
      </c>
      <c r="M20" s="52">
        <v>64.28</v>
      </c>
      <c r="N20" s="52">
        <v>736.4</v>
      </c>
      <c r="O20" s="52">
        <v>0</v>
      </c>
      <c r="P20" s="52">
        <v>0.43</v>
      </c>
      <c r="Q20" s="52">
        <v>4.47</v>
      </c>
    </row>
    <row r="21" spans="1:17" customFormat="1">
      <c r="A21" s="51" t="s">
        <v>693</v>
      </c>
      <c r="B21" s="52">
        <v>20.63</v>
      </c>
      <c r="C21" s="52">
        <v>17.07</v>
      </c>
      <c r="D21" s="52">
        <v>26.82</v>
      </c>
      <c r="E21" s="52">
        <v>4.54</v>
      </c>
      <c r="F21" s="52">
        <v>5.23</v>
      </c>
      <c r="G21" s="52">
        <v>45.25</v>
      </c>
      <c r="H21" s="52">
        <v>9.6199999999999992</v>
      </c>
      <c r="I21" s="52">
        <v>3.75</v>
      </c>
      <c r="J21" s="52">
        <v>0.91</v>
      </c>
      <c r="K21" s="52">
        <v>312.75</v>
      </c>
      <c r="L21" s="52">
        <v>32.51</v>
      </c>
      <c r="M21" s="52">
        <v>61.01</v>
      </c>
      <c r="N21" s="52">
        <v>722.7</v>
      </c>
      <c r="O21" s="52">
        <v>0</v>
      </c>
      <c r="P21" s="52">
        <v>0.41</v>
      </c>
      <c r="Q21" s="52">
        <v>4.4000000000000004</v>
      </c>
    </row>
    <row r="22" spans="1:17" customFormat="1">
      <c r="A22" s="51" t="s">
        <v>694</v>
      </c>
      <c r="B22" s="52">
        <v>19.670000000000002</v>
      </c>
      <c r="C22" s="52">
        <v>16.11</v>
      </c>
      <c r="D22" s="52">
        <v>25.33</v>
      </c>
      <c r="E22" s="52">
        <v>4.5</v>
      </c>
      <c r="F22" s="52">
        <v>5.22</v>
      </c>
      <c r="G22" s="52">
        <v>45.83</v>
      </c>
      <c r="H22" s="52">
        <v>10.93</v>
      </c>
      <c r="I22" s="52">
        <v>3.62</v>
      </c>
      <c r="J22" s="52">
        <v>0.78</v>
      </c>
      <c r="K22" s="52">
        <v>283.08</v>
      </c>
      <c r="L22" s="52">
        <v>32.61</v>
      </c>
      <c r="M22" s="52">
        <v>66.37</v>
      </c>
      <c r="N22" s="52">
        <v>648.29999999999995</v>
      </c>
      <c r="O22" s="52">
        <v>0</v>
      </c>
      <c r="P22" s="52">
        <v>0.4</v>
      </c>
      <c r="Q22" s="52">
        <v>4.37</v>
      </c>
    </row>
    <row r="23" spans="1:17" customFormat="1">
      <c r="A23" s="51" t="s">
        <v>695</v>
      </c>
      <c r="B23" s="52">
        <v>18.920000000000002</v>
      </c>
      <c r="C23" s="52">
        <v>15.19</v>
      </c>
      <c r="D23" s="52">
        <v>24.46</v>
      </c>
      <c r="E23" s="52">
        <v>4.76</v>
      </c>
      <c r="F23" s="52">
        <v>5.71</v>
      </c>
      <c r="G23" s="52">
        <v>44.97</v>
      </c>
      <c r="H23" s="52">
        <v>11.48</v>
      </c>
      <c r="I23" s="52">
        <v>3.73</v>
      </c>
      <c r="J23" s="52">
        <v>0.82</v>
      </c>
      <c r="K23" s="52">
        <v>268.02999999999997</v>
      </c>
      <c r="L23" s="52">
        <v>32.82</v>
      </c>
      <c r="M23" s="52">
        <v>62.79</v>
      </c>
      <c r="N23" s="52">
        <v>580.20000000000005</v>
      </c>
      <c r="O23" s="52">
        <v>0</v>
      </c>
      <c r="P23" s="52">
        <v>0.39</v>
      </c>
      <c r="Q23" s="52">
        <v>4.29</v>
      </c>
    </row>
    <row r="24" spans="1:17" customFormat="1">
      <c r="A24" s="51" t="s">
        <v>696</v>
      </c>
      <c r="B24" s="52">
        <v>18.54</v>
      </c>
      <c r="C24" s="52">
        <v>15.58</v>
      </c>
      <c r="D24" s="52">
        <v>24.31</v>
      </c>
      <c r="E24" s="52">
        <v>4.38</v>
      </c>
      <c r="F24" s="52">
        <v>7.2</v>
      </c>
      <c r="G24" s="52">
        <v>48.79</v>
      </c>
      <c r="H24" s="52">
        <v>11.73</v>
      </c>
      <c r="I24" s="52">
        <v>3.73</v>
      </c>
      <c r="J24" s="52">
        <v>0.85</v>
      </c>
      <c r="K24" s="52">
        <v>289.8</v>
      </c>
      <c r="L24" s="52">
        <v>32.36</v>
      </c>
      <c r="M24" s="52">
        <v>61.08</v>
      </c>
      <c r="N24" s="52">
        <v>444.5</v>
      </c>
      <c r="O24" s="52">
        <v>0</v>
      </c>
      <c r="P24" s="52">
        <v>0.39</v>
      </c>
      <c r="Q24" s="52">
        <v>4.25</v>
      </c>
    </row>
    <row r="25" spans="1:17" customFormat="1">
      <c r="A25" s="51" t="s">
        <v>697</v>
      </c>
      <c r="B25" s="52">
        <v>18.52</v>
      </c>
      <c r="C25" s="52">
        <v>14.2</v>
      </c>
      <c r="D25" s="52">
        <v>23.62</v>
      </c>
      <c r="E25" s="52">
        <v>4.34</v>
      </c>
      <c r="F25" s="52">
        <v>8.0299999999999994</v>
      </c>
      <c r="G25" s="52">
        <v>46.69</v>
      </c>
      <c r="H25" s="52">
        <v>10.96</v>
      </c>
      <c r="I25" s="52">
        <v>3.61</v>
      </c>
      <c r="J25" s="52">
        <v>1.07</v>
      </c>
      <c r="K25" s="52">
        <v>335.55</v>
      </c>
      <c r="L25" s="52">
        <v>32.11</v>
      </c>
      <c r="M25" s="52">
        <v>71.98</v>
      </c>
      <c r="N25" s="52">
        <v>259.60000000000002</v>
      </c>
      <c r="O25" s="52">
        <v>0</v>
      </c>
      <c r="P25" s="52">
        <v>0.37</v>
      </c>
      <c r="Q25" s="52">
        <v>4.21</v>
      </c>
    </row>
    <row r="26" spans="1:17" customFormat="1">
      <c r="A26" s="51" t="s">
        <v>698</v>
      </c>
      <c r="B26" s="52">
        <v>4.6900000000000004</v>
      </c>
      <c r="C26" s="52">
        <v>3.34</v>
      </c>
      <c r="D26" s="52">
        <v>6.85</v>
      </c>
      <c r="E26" s="52">
        <v>9.36</v>
      </c>
      <c r="F26" s="52">
        <v>9.5299999999999994</v>
      </c>
      <c r="G26" s="52">
        <v>46.59</v>
      </c>
      <c r="H26" s="52">
        <v>11.57</v>
      </c>
      <c r="I26" s="52">
        <v>3.44</v>
      </c>
      <c r="J26" s="52">
        <v>0.48</v>
      </c>
      <c r="K26" s="52">
        <v>352.39</v>
      </c>
      <c r="L26" s="52">
        <v>30.22</v>
      </c>
      <c r="M26" s="52">
        <v>70.59</v>
      </c>
      <c r="N26" s="52">
        <v>65.3</v>
      </c>
      <c r="O26" s="52">
        <v>0</v>
      </c>
      <c r="P26" s="52">
        <v>0.39</v>
      </c>
      <c r="Q26" s="52">
        <v>4.3</v>
      </c>
    </row>
    <row r="27" spans="1:17" customFormat="1">
      <c r="A27" s="51" t="s">
        <v>699</v>
      </c>
      <c r="B27" s="52">
        <v>19.32</v>
      </c>
      <c r="C27" s="52">
        <v>14.79</v>
      </c>
      <c r="D27" s="52">
        <v>24.57</v>
      </c>
      <c r="E27" s="52">
        <v>4.63</v>
      </c>
      <c r="F27" s="52">
        <v>9.44</v>
      </c>
      <c r="G27" s="52">
        <v>45.44</v>
      </c>
      <c r="H27" s="52">
        <v>11.23</v>
      </c>
      <c r="I27" s="52">
        <v>3.34</v>
      </c>
      <c r="J27" s="52">
        <v>0.6</v>
      </c>
      <c r="K27" s="52">
        <v>260.44</v>
      </c>
      <c r="L27" s="52">
        <v>29.73</v>
      </c>
      <c r="M27" s="52">
        <v>75.95</v>
      </c>
      <c r="N27" s="52">
        <v>0</v>
      </c>
      <c r="O27" s="52">
        <v>0</v>
      </c>
      <c r="P27" s="52">
        <v>0.38</v>
      </c>
      <c r="Q27" s="52">
        <v>4.3499999999999996</v>
      </c>
    </row>
    <row r="28" spans="1:17" customFormat="1">
      <c r="A28" s="51" t="s">
        <v>700</v>
      </c>
      <c r="B28" s="52">
        <v>18.95</v>
      </c>
      <c r="C28" s="52">
        <v>12.96</v>
      </c>
      <c r="D28" s="52">
        <v>22.73</v>
      </c>
      <c r="E28" s="52">
        <v>4.9000000000000004</v>
      </c>
      <c r="F28" s="52">
        <v>11.54</v>
      </c>
      <c r="G28" s="52">
        <v>41.82</v>
      </c>
      <c r="H28" s="52">
        <v>9.58</v>
      </c>
      <c r="I28" s="52">
        <v>3.69</v>
      </c>
      <c r="J28" s="52">
        <v>0.31</v>
      </c>
      <c r="K28" s="52">
        <v>252.21</v>
      </c>
      <c r="L28" s="52">
        <v>28.45</v>
      </c>
      <c r="M28" s="52">
        <v>84.8</v>
      </c>
      <c r="N28" s="52">
        <v>0</v>
      </c>
      <c r="O28" s="52">
        <v>0</v>
      </c>
      <c r="P28" s="52">
        <v>0.41</v>
      </c>
      <c r="Q28" s="52">
        <v>4.32</v>
      </c>
    </row>
    <row r="29" spans="1:17" customFormat="1">
      <c r="A29" s="51" t="s">
        <v>701</v>
      </c>
      <c r="B29" s="52">
        <v>19.260000000000002</v>
      </c>
      <c r="C29" s="52">
        <v>14.27</v>
      </c>
      <c r="D29" s="52">
        <v>24.17</v>
      </c>
      <c r="E29" s="52">
        <v>5.2</v>
      </c>
      <c r="F29" s="52">
        <v>11.09</v>
      </c>
      <c r="G29" s="52">
        <v>43.33</v>
      </c>
      <c r="H29" s="52">
        <v>11.91</v>
      </c>
      <c r="I29" s="52">
        <v>3.4</v>
      </c>
      <c r="J29" s="52">
        <v>0.62</v>
      </c>
      <c r="K29" s="52">
        <v>261.95999999999998</v>
      </c>
      <c r="L29" s="52">
        <v>28.24</v>
      </c>
      <c r="M29" s="52">
        <v>82.27</v>
      </c>
      <c r="N29" s="52">
        <v>0</v>
      </c>
      <c r="O29" s="52">
        <v>0</v>
      </c>
      <c r="P29" s="52">
        <v>0.38</v>
      </c>
      <c r="Q29" s="52">
        <v>4.3099999999999996</v>
      </c>
    </row>
    <row r="30" spans="1:17" customFormat="1">
      <c r="A30" s="51" t="s">
        <v>702</v>
      </c>
      <c r="B30" s="52">
        <v>10.93</v>
      </c>
      <c r="C30" s="52">
        <v>8.1199999999999992</v>
      </c>
      <c r="D30" s="52">
        <v>14.36</v>
      </c>
      <c r="E30" s="52">
        <v>5.41</v>
      </c>
      <c r="F30" s="52">
        <v>7.39</v>
      </c>
      <c r="G30" s="52">
        <v>38.39</v>
      </c>
      <c r="H30" s="52">
        <v>11.6</v>
      </c>
      <c r="I30" s="52">
        <v>3.42</v>
      </c>
      <c r="J30" s="52">
        <v>0.92</v>
      </c>
      <c r="K30" s="52">
        <v>265.93</v>
      </c>
      <c r="L30" s="52">
        <v>27.82</v>
      </c>
      <c r="M30" s="52">
        <v>81.8</v>
      </c>
      <c r="N30" s="52">
        <v>0</v>
      </c>
      <c r="O30" s="52">
        <v>0</v>
      </c>
      <c r="P30" s="52">
        <v>0.38</v>
      </c>
      <c r="Q30" s="52">
        <v>4.29</v>
      </c>
    </row>
    <row r="31" spans="1:17" customFormat="1">
      <c r="A31" s="51" t="s">
        <v>703</v>
      </c>
      <c r="B31" s="52">
        <v>18.61</v>
      </c>
      <c r="C31" s="52">
        <v>13.52</v>
      </c>
      <c r="D31" s="52">
        <v>23.34</v>
      </c>
      <c r="E31" s="52">
        <v>4.93</v>
      </c>
      <c r="F31" s="52">
        <v>6.47</v>
      </c>
      <c r="G31" s="52">
        <v>33.67</v>
      </c>
      <c r="H31" s="52">
        <v>8.4600000000000009</v>
      </c>
      <c r="I31" s="52">
        <v>3.39</v>
      </c>
      <c r="J31" s="52">
        <v>0.75</v>
      </c>
      <c r="K31" s="52">
        <v>264.10000000000002</v>
      </c>
      <c r="L31" s="52">
        <v>27.37</v>
      </c>
      <c r="M31" s="52">
        <v>83.13</v>
      </c>
      <c r="N31" s="52">
        <v>0</v>
      </c>
      <c r="O31" s="52">
        <v>0</v>
      </c>
      <c r="P31" s="52">
        <v>0.36</v>
      </c>
      <c r="Q31" s="52">
        <v>4.26</v>
      </c>
    </row>
    <row r="32" spans="1:17" customFormat="1">
      <c r="A32" s="51" t="s">
        <v>704</v>
      </c>
      <c r="B32" s="52">
        <v>18.82</v>
      </c>
      <c r="C32" s="52">
        <v>15.07</v>
      </c>
      <c r="D32" s="52">
        <v>24.32</v>
      </c>
      <c r="E32" s="52">
        <v>5.31</v>
      </c>
      <c r="F32" s="52">
        <v>5.98</v>
      </c>
      <c r="G32" s="52">
        <v>29.26</v>
      </c>
      <c r="H32" s="52">
        <v>7.87</v>
      </c>
      <c r="I32" s="52">
        <v>3.28</v>
      </c>
      <c r="J32" s="52">
        <v>0.68</v>
      </c>
      <c r="K32" s="52">
        <v>263.64999999999998</v>
      </c>
      <c r="L32" s="52">
        <v>27.01</v>
      </c>
      <c r="M32" s="52">
        <v>85.83</v>
      </c>
      <c r="N32" s="52">
        <v>0</v>
      </c>
      <c r="O32" s="52">
        <v>0</v>
      </c>
      <c r="P32" s="52">
        <v>0.36</v>
      </c>
      <c r="Q32" s="52">
        <v>4.2699999999999996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4.6900000000000004</v>
      </c>
      <c r="C34" s="41">
        <f t="shared" si="0"/>
        <v>3.34</v>
      </c>
      <c r="D34" s="41">
        <f t="shared" si="0"/>
        <v>6.85</v>
      </c>
      <c r="E34" s="41">
        <f t="shared" si="0"/>
        <v>3.33</v>
      </c>
      <c r="F34" s="41">
        <f t="shared" si="0"/>
        <v>2.95</v>
      </c>
      <c r="G34" s="41">
        <f t="shared" si="0"/>
        <v>18.48</v>
      </c>
      <c r="H34" s="41">
        <f t="shared" si="0"/>
        <v>4.92</v>
      </c>
      <c r="I34" s="41">
        <f t="shared" si="0"/>
        <v>3.26</v>
      </c>
      <c r="J34" s="41">
        <f t="shared" si="0"/>
        <v>0.31</v>
      </c>
      <c r="K34" s="41">
        <f t="shared" si="0"/>
        <v>252.21</v>
      </c>
      <c r="L34" s="41">
        <f t="shared" si="0"/>
        <v>25.37</v>
      </c>
      <c r="M34" s="41">
        <f t="shared" si="0"/>
        <v>61.01</v>
      </c>
      <c r="N34" s="41">
        <f t="shared" si="0"/>
        <v>0</v>
      </c>
      <c r="O34" s="41">
        <f t="shared" si="0"/>
        <v>0</v>
      </c>
      <c r="P34" s="41">
        <f t="shared" si="0"/>
        <v>0.34</v>
      </c>
      <c r="Q34" s="41">
        <f t="shared" si="0"/>
        <v>4.21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21.47</v>
      </c>
      <c r="C35" s="33">
        <f t="shared" si="1"/>
        <v>17.07</v>
      </c>
      <c r="D35" s="33">
        <f t="shared" si="1"/>
        <v>26.87</v>
      </c>
      <c r="E35" s="33">
        <f t="shared" si="1"/>
        <v>9.36</v>
      </c>
      <c r="F35" s="33">
        <f t="shared" si="1"/>
        <v>11.54</v>
      </c>
      <c r="G35" s="33">
        <f t="shared" si="1"/>
        <v>48.79</v>
      </c>
      <c r="H35" s="33">
        <f t="shared" si="1"/>
        <v>11.91</v>
      </c>
      <c r="I35" s="33">
        <f t="shared" si="1"/>
        <v>4</v>
      </c>
      <c r="J35" s="33">
        <f t="shared" si="1"/>
        <v>1.07</v>
      </c>
      <c r="K35" s="33">
        <f t="shared" si="1"/>
        <v>352.39</v>
      </c>
      <c r="L35" s="33">
        <f t="shared" si="1"/>
        <v>32.82</v>
      </c>
      <c r="M35" s="33">
        <f t="shared" si="1"/>
        <v>94.93</v>
      </c>
      <c r="N35" s="33">
        <f t="shared" si="1"/>
        <v>736.4</v>
      </c>
      <c r="O35" s="33">
        <f t="shared" si="1"/>
        <v>0</v>
      </c>
      <c r="P35" s="33">
        <f t="shared" si="1"/>
        <v>0.45</v>
      </c>
      <c r="Q35" s="33">
        <f t="shared" si="1"/>
        <v>4.55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17.432500000000001</v>
      </c>
      <c r="C36" s="41">
        <f t="shared" si="2"/>
        <v>13.293749999999998</v>
      </c>
      <c r="D36" s="41">
        <f t="shared" si="2"/>
        <v>22.224166666666672</v>
      </c>
      <c r="E36" s="41">
        <f t="shared" si="2"/>
        <v>4.5975000000000001</v>
      </c>
      <c r="F36" s="41">
        <f t="shared" si="2"/>
        <v>5.8933333333333318</v>
      </c>
      <c r="G36" s="41">
        <f t="shared" si="2"/>
        <v>34.341250000000002</v>
      </c>
      <c r="H36" s="41">
        <f t="shared" si="2"/>
        <v>8.9337500000000016</v>
      </c>
      <c r="I36" s="41">
        <f t="shared" si="2"/>
        <v>3.5591666666666666</v>
      </c>
      <c r="J36" s="41">
        <f t="shared" si="2"/>
        <v>0.72624999999999995</v>
      </c>
      <c r="K36" s="41">
        <f t="shared" si="2"/>
        <v>281.81416666666667</v>
      </c>
      <c r="L36" s="41">
        <f t="shared" si="2"/>
        <v>28.971250000000008</v>
      </c>
      <c r="M36" s="41">
        <f t="shared" si="2"/>
        <v>78.557083333333324</v>
      </c>
      <c r="N36" s="41">
        <f t="shared" si="2"/>
        <v>219.32916666666668</v>
      </c>
      <c r="O36" s="41">
        <f t="shared" si="2"/>
        <v>0</v>
      </c>
      <c r="P36" s="41">
        <f t="shared" si="2"/>
        <v>0.38541666666666669</v>
      </c>
      <c r="Q36" s="41">
        <f t="shared" si="2"/>
        <v>4.3658333333333328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4.5920264069078653</v>
      </c>
      <c r="C37" s="41">
        <f t="shared" ref="C37:Q37" si="3">STDEV(C9:C32)</f>
        <v>3.9944698864696764</v>
      </c>
      <c r="D37" s="41">
        <f t="shared" si="3"/>
        <v>5.7084041146568936</v>
      </c>
      <c r="E37" s="41">
        <f t="shared" si="3"/>
        <v>1.1875998813829787</v>
      </c>
      <c r="F37" s="41">
        <f t="shared" si="3"/>
        <v>2.509324639206246</v>
      </c>
      <c r="G37" s="41">
        <f t="shared" si="3"/>
        <v>10.410691541370584</v>
      </c>
      <c r="H37" s="41">
        <f t="shared" si="3"/>
        <v>2.1974507216119794</v>
      </c>
      <c r="I37" s="41">
        <f t="shared" si="3"/>
        <v>0.22171106670946047</v>
      </c>
      <c r="J37" s="41">
        <f t="shared" si="3"/>
        <v>0.18363035886163309</v>
      </c>
      <c r="K37" s="41">
        <f t="shared" si="3"/>
        <v>26.336497558011846</v>
      </c>
      <c r="L37" s="41">
        <f t="shared" si="3"/>
        <v>2.5208044135362115</v>
      </c>
      <c r="M37" s="41">
        <f t="shared" si="3"/>
        <v>11.010731713302148</v>
      </c>
      <c r="N37" s="41">
        <f t="shared" si="3"/>
        <v>282.94511908966848</v>
      </c>
      <c r="O37" s="41">
        <f t="shared" si="3"/>
        <v>0</v>
      </c>
      <c r="P37" s="41">
        <f t="shared" si="3"/>
        <v>3.0924756744559034E-2</v>
      </c>
      <c r="Q37" s="41">
        <f t="shared" si="3"/>
        <v>9.1742392963523642E-2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705</v>
      </c>
      <c r="B9" s="52">
        <v>10.66</v>
      </c>
      <c r="C9" s="52">
        <v>14.53</v>
      </c>
      <c r="D9" s="52">
        <v>17.170000000000002</v>
      </c>
      <c r="E9" s="52">
        <v>5.62</v>
      </c>
      <c r="F9" s="52">
        <v>4.88</v>
      </c>
      <c r="G9" s="52">
        <v>26.73</v>
      </c>
      <c r="H9" s="52">
        <v>7.75</v>
      </c>
      <c r="I9" s="52">
        <v>3.16</v>
      </c>
      <c r="J9" s="52">
        <v>0.77</v>
      </c>
      <c r="K9" s="52">
        <v>265.27</v>
      </c>
      <c r="L9" s="52">
        <v>26.71</v>
      </c>
      <c r="M9" s="52">
        <v>86.31</v>
      </c>
      <c r="N9" s="52">
        <v>0</v>
      </c>
      <c r="O9" s="52">
        <v>0</v>
      </c>
      <c r="P9" s="52">
        <v>0.36</v>
      </c>
      <c r="Q9" s="52">
        <v>4.2699999999999996</v>
      </c>
    </row>
    <row r="10" spans="1:21" customFormat="1">
      <c r="A10" s="51" t="s">
        <v>706</v>
      </c>
      <c r="B10" s="52">
        <v>10.3</v>
      </c>
      <c r="C10" s="52">
        <v>14.84</v>
      </c>
      <c r="D10" s="52">
        <v>17.100000000000001</v>
      </c>
      <c r="E10" s="52">
        <v>5.61</v>
      </c>
      <c r="F10" s="52">
        <v>3.81</v>
      </c>
      <c r="G10" s="52">
        <v>27.61</v>
      </c>
      <c r="H10" s="52">
        <v>5.79</v>
      </c>
      <c r="I10" s="52">
        <v>3.25</v>
      </c>
      <c r="J10" s="52">
        <v>0.7</v>
      </c>
      <c r="K10" s="52">
        <v>265.51</v>
      </c>
      <c r="L10" s="52">
        <v>26.47</v>
      </c>
      <c r="M10" s="52">
        <v>86.16</v>
      </c>
      <c r="N10" s="52">
        <v>0</v>
      </c>
      <c r="O10" s="52">
        <v>0</v>
      </c>
      <c r="P10" s="52">
        <v>0.37</v>
      </c>
      <c r="Q10" s="52">
        <v>4.28</v>
      </c>
    </row>
    <row r="11" spans="1:21" customFormat="1">
      <c r="A11" s="51" t="s">
        <v>707</v>
      </c>
      <c r="B11" s="52">
        <v>2</v>
      </c>
      <c r="C11" s="52">
        <v>2</v>
      </c>
      <c r="D11" s="52">
        <v>4</v>
      </c>
      <c r="E11" s="52">
        <v>4.93</v>
      </c>
      <c r="F11" s="52">
        <v>3.46</v>
      </c>
      <c r="G11" s="52">
        <v>26.11</v>
      </c>
      <c r="H11" s="52">
        <v>6.19</v>
      </c>
      <c r="I11" s="52">
        <v>3.4</v>
      </c>
      <c r="J11" s="52">
        <v>0.56000000000000005</v>
      </c>
      <c r="K11" s="52">
        <v>275.48</v>
      </c>
      <c r="L11" s="52">
        <v>26.31</v>
      </c>
      <c r="M11" s="52">
        <v>85.44</v>
      </c>
      <c r="N11" s="52">
        <v>0</v>
      </c>
      <c r="O11" s="52">
        <v>0</v>
      </c>
      <c r="P11" s="52">
        <v>0.38</v>
      </c>
      <c r="Q11" s="52">
        <v>4.34</v>
      </c>
    </row>
    <row r="12" spans="1:21" customFormat="1">
      <c r="A12" s="51" t="s">
        <v>708</v>
      </c>
      <c r="B12" s="52">
        <v>2</v>
      </c>
      <c r="C12" s="52">
        <v>2</v>
      </c>
      <c r="D12" s="52">
        <v>4</v>
      </c>
      <c r="E12" s="52">
        <v>5.15</v>
      </c>
      <c r="F12" s="52">
        <v>3.67</v>
      </c>
      <c r="G12" s="52">
        <v>32.22</v>
      </c>
      <c r="H12" s="52">
        <v>7.07</v>
      </c>
      <c r="I12" s="52">
        <v>3.44</v>
      </c>
      <c r="J12" s="52">
        <v>0.56000000000000005</v>
      </c>
      <c r="K12" s="52">
        <v>267.32</v>
      </c>
      <c r="L12" s="52">
        <v>26.04</v>
      </c>
      <c r="M12" s="52">
        <v>85.35</v>
      </c>
      <c r="N12" s="52">
        <v>0</v>
      </c>
      <c r="O12" s="52">
        <v>0</v>
      </c>
      <c r="P12" s="52">
        <v>0.38</v>
      </c>
      <c r="Q12" s="52">
        <v>4.41</v>
      </c>
    </row>
    <row r="13" spans="1:21" customFormat="1">
      <c r="A13" s="51" t="s">
        <v>709</v>
      </c>
      <c r="B13" s="52">
        <v>10.84</v>
      </c>
      <c r="C13" s="52">
        <v>12.23</v>
      </c>
      <c r="D13" s="52">
        <v>16.43</v>
      </c>
      <c r="E13" s="52">
        <v>5.18</v>
      </c>
      <c r="F13" s="52">
        <v>3.19</v>
      </c>
      <c r="G13" s="52">
        <v>35.49</v>
      </c>
      <c r="H13" s="52">
        <v>9</v>
      </c>
      <c r="I13" s="52">
        <v>3.46</v>
      </c>
      <c r="J13" s="52">
        <v>0.61</v>
      </c>
      <c r="K13" s="52">
        <v>264.64</v>
      </c>
      <c r="L13" s="52">
        <v>25.77</v>
      </c>
      <c r="M13" s="52">
        <v>85.86</v>
      </c>
      <c r="N13" s="52">
        <v>0</v>
      </c>
      <c r="O13" s="52">
        <v>0</v>
      </c>
      <c r="P13" s="52">
        <v>0.38</v>
      </c>
      <c r="Q13" s="52">
        <v>4.45</v>
      </c>
    </row>
    <row r="14" spans="1:21" customFormat="1">
      <c r="A14" s="51" t="s">
        <v>710</v>
      </c>
      <c r="B14" s="52">
        <v>12.48</v>
      </c>
      <c r="C14" s="52">
        <v>15.95</v>
      </c>
      <c r="D14" s="52">
        <v>19.3</v>
      </c>
      <c r="E14" s="52">
        <v>5.08</v>
      </c>
      <c r="F14" s="52">
        <v>2.76</v>
      </c>
      <c r="G14" s="52">
        <v>33.090000000000003</v>
      </c>
      <c r="H14" s="52">
        <v>8.7799999999999994</v>
      </c>
      <c r="I14" s="52">
        <v>3.57</v>
      </c>
      <c r="J14" s="52">
        <v>0.24</v>
      </c>
      <c r="K14" s="52">
        <v>247.81</v>
      </c>
      <c r="L14" s="52">
        <v>25.49</v>
      </c>
      <c r="M14" s="52">
        <v>94.26</v>
      </c>
      <c r="N14" s="52">
        <v>4.5</v>
      </c>
      <c r="O14" s="52">
        <v>0</v>
      </c>
      <c r="P14" s="52">
        <v>0.38</v>
      </c>
      <c r="Q14" s="52">
        <v>4.47</v>
      </c>
    </row>
    <row r="15" spans="1:21" customFormat="1">
      <c r="A15" s="51" t="s">
        <v>711</v>
      </c>
      <c r="B15" s="52">
        <v>12.46</v>
      </c>
      <c r="C15" s="52">
        <v>16.02</v>
      </c>
      <c r="D15" s="52">
        <v>19.71</v>
      </c>
      <c r="E15" s="52">
        <v>5.03</v>
      </c>
      <c r="F15" s="52">
        <v>2.83</v>
      </c>
      <c r="G15" s="52">
        <v>34.880000000000003</v>
      </c>
      <c r="H15" s="52">
        <v>9.81</v>
      </c>
      <c r="I15" s="52">
        <v>3.73</v>
      </c>
      <c r="J15" s="52">
        <v>0.27</v>
      </c>
      <c r="K15" s="52">
        <v>253.9</v>
      </c>
      <c r="L15" s="52">
        <v>25.9</v>
      </c>
      <c r="M15" s="52">
        <v>93.81</v>
      </c>
      <c r="N15" s="52">
        <v>67.400000000000006</v>
      </c>
      <c r="O15" s="52">
        <v>0</v>
      </c>
      <c r="P15" s="52">
        <v>0.39</v>
      </c>
      <c r="Q15" s="52">
        <v>4.53</v>
      </c>
    </row>
    <row r="16" spans="1:21" customFormat="1">
      <c r="A16" s="51" t="s">
        <v>712</v>
      </c>
      <c r="B16" s="52">
        <v>13.32</v>
      </c>
      <c r="C16" s="52">
        <v>17.2</v>
      </c>
      <c r="D16" s="52">
        <v>20.05</v>
      </c>
      <c r="E16" s="52">
        <v>5.22</v>
      </c>
      <c r="F16" s="52">
        <v>3.25</v>
      </c>
      <c r="G16" s="52">
        <v>34.64</v>
      </c>
      <c r="H16" s="52">
        <v>8.5</v>
      </c>
      <c r="I16" s="52">
        <v>3.88</v>
      </c>
      <c r="J16" s="52">
        <v>0.56999999999999995</v>
      </c>
      <c r="K16" s="52">
        <v>273.98</v>
      </c>
      <c r="L16" s="52">
        <v>27.71</v>
      </c>
      <c r="M16" s="52">
        <v>83.02</v>
      </c>
      <c r="N16" s="52">
        <v>203.2</v>
      </c>
      <c r="O16" s="52">
        <v>0</v>
      </c>
      <c r="P16" s="52">
        <v>0.4</v>
      </c>
      <c r="Q16" s="52">
        <v>4.59</v>
      </c>
    </row>
    <row r="17" spans="1:17" customFormat="1">
      <c r="A17" s="51" t="s">
        <v>713</v>
      </c>
      <c r="B17" s="52">
        <v>13.45</v>
      </c>
      <c r="C17" s="52">
        <v>16.27</v>
      </c>
      <c r="D17" s="52">
        <v>20.64</v>
      </c>
      <c r="E17" s="52">
        <v>5.78</v>
      </c>
      <c r="F17" s="52">
        <v>3.51</v>
      </c>
      <c r="G17" s="52">
        <v>42.25</v>
      </c>
      <c r="H17" s="52">
        <v>10.14</v>
      </c>
      <c r="I17" s="52">
        <v>3.91</v>
      </c>
      <c r="J17" s="52">
        <v>0.55000000000000004</v>
      </c>
      <c r="K17" s="52">
        <v>306.86</v>
      </c>
      <c r="L17" s="52">
        <v>29.39</v>
      </c>
      <c r="M17" s="52">
        <v>73.739999999999995</v>
      </c>
      <c r="N17" s="52">
        <v>295.10000000000002</v>
      </c>
      <c r="O17" s="52">
        <v>0</v>
      </c>
      <c r="P17" s="52">
        <v>0.42</v>
      </c>
      <c r="Q17" s="52">
        <v>4.5999999999999996</v>
      </c>
    </row>
    <row r="18" spans="1:17" customFormat="1">
      <c r="A18" s="51" t="s">
        <v>714</v>
      </c>
      <c r="B18" s="52">
        <v>13.31</v>
      </c>
      <c r="C18" s="52">
        <v>15.43</v>
      </c>
      <c r="D18" s="52">
        <v>20.09</v>
      </c>
      <c r="E18" s="52">
        <v>6.08</v>
      </c>
      <c r="F18" s="52">
        <v>4.21</v>
      </c>
      <c r="G18" s="52">
        <v>60.69</v>
      </c>
      <c r="H18" s="52">
        <v>13.2</v>
      </c>
      <c r="I18" s="52">
        <v>3.98</v>
      </c>
      <c r="J18" s="52">
        <v>0.96</v>
      </c>
      <c r="K18" s="52">
        <v>329.49</v>
      </c>
      <c r="L18" s="52">
        <v>29.99</v>
      </c>
      <c r="M18" s="52">
        <v>63.36</v>
      </c>
      <c r="N18" s="52">
        <v>527.29999999999995</v>
      </c>
      <c r="O18" s="52">
        <v>0</v>
      </c>
      <c r="P18" s="52">
        <v>0.43</v>
      </c>
      <c r="Q18" s="52">
        <v>4.59</v>
      </c>
    </row>
    <row r="19" spans="1:17" customFormat="1">
      <c r="A19" s="51" t="s">
        <v>715</v>
      </c>
      <c r="B19" s="52">
        <v>11.52</v>
      </c>
      <c r="C19" s="52">
        <v>16.53</v>
      </c>
      <c r="D19" s="52">
        <v>19.22</v>
      </c>
      <c r="E19" s="52">
        <v>2.75</v>
      </c>
      <c r="F19" s="52">
        <v>4.84</v>
      </c>
      <c r="G19" s="52">
        <v>81.290000000000006</v>
      </c>
      <c r="H19" s="52">
        <v>17.52</v>
      </c>
      <c r="I19" s="52">
        <v>3.88</v>
      </c>
      <c r="J19" s="52">
        <v>0.75</v>
      </c>
      <c r="K19" s="52">
        <v>328.03</v>
      </c>
      <c r="L19" s="52">
        <v>30.69</v>
      </c>
      <c r="M19" s="52">
        <v>60.39</v>
      </c>
      <c r="N19" s="52">
        <v>548.9</v>
      </c>
      <c r="O19" s="52">
        <v>0</v>
      </c>
      <c r="P19" s="52">
        <v>0.42</v>
      </c>
      <c r="Q19" s="52">
        <v>4.51</v>
      </c>
    </row>
    <row r="20" spans="1:17" customFormat="1">
      <c r="A20" s="51" t="s">
        <v>716</v>
      </c>
      <c r="B20" s="52">
        <v>11.17</v>
      </c>
      <c r="C20" s="52">
        <v>16.41</v>
      </c>
      <c r="D20" s="52">
        <v>18.84</v>
      </c>
      <c r="E20" s="52">
        <v>2.34</v>
      </c>
      <c r="F20" s="52">
        <v>5.36</v>
      </c>
      <c r="G20" s="52">
        <v>94.04</v>
      </c>
      <c r="H20" s="52">
        <v>16.850000000000001</v>
      </c>
      <c r="I20" s="52">
        <v>3.76</v>
      </c>
      <c r="J20" s="52">
        <v>0.72</v>
      </c>
      <c r="K20" s="52">
        <v>318.02</v>
      </c>
      <c r="L20" s="52">
        <v>31.54</v>
      </c>
      <c r="M20" s="52">
        <v>57.95</v>
      </c>
      <c r="N20" s="52">
        <v>786.8</v>
      </c>
      <c r="O20" s="52">
        <v>0</v>
      </c>
      <c r="P20" s="52">
        <v>0.43</v>
      </c>
      <c r="Q20" s="52">
        <v>4.4400000000000004</v>
      </c>
    </row>
    <row r="21" spans="1:17" customFormat="1">
      <c r="A21" s="51" t="s">
        <v>717</v>
      </c>
      <c r="B21" s="52">
        <v>11.4</v>
      </c>
      <c r="C21" s="52">
        <v>16.47</v>
      </c>
      <c r="D21" s="52">
        <v>19.03</v>
      </c>
      <c r="E21" s="52">
        <v>1.65</v>
      </c>
      <c r="F21" s="52">
        <v>5.22</v>
      </c>
      <c r="G21" s="52">
        <v>102.01</v>
      </c>
      <c r="H21" s="52">
        <v>19.579999999999998</v>
      </c>
      <c r="I21" s="52">
        <v>3.66</v>
      </c>
      <c r="J21" s="52">
        <v>0.78</v>
      </c>
      <c r="K21" s="52">
        <v>332.44</v>
      </c>
      <c r="L21" s="52">
        <v>32.04</v>
      </c>
      <c r="M21" s="52">
        <v>55.38</v>
      </c>
      <c r="N21" s="52">
        <v>680</v>
      </c>
      <c r="O21" s="52">
        <v>0</v>
      </c>
      <c r="P21" s="52">
        <v>0.41</v>
      </c>
      <c r="Q21" s="52">
        <v>4.41</v>
      </c>
    </row>
    <row r="22" spans="1:17" customFormat="1">
      <c r="A22" s="51" t="s">
        <v>718</v>
      </c>
      <c r="B22" s="52">
        <v>11.85</v>
      </c>
      <c r="C22" s="52">
        <v>16.3</v>
      </c>
      <c r="D22" s="52">
        <v>19.37</v>
      </c>
      <c r="E22" s="52">
        <v>1.53</v>
      </c>
      <c r="F22" s="52">
        <v>5.86</v>
      </c>
      <c r="G22" s="52">
        <v>98.32</v>
      </c>
      <c r="H22" s="52">
        <v>19.13</v>
      </c>
      <c r="I22" s="52">
        <v>3.59</v>
      </c>
      <c r="J22" s="52">
        <v>0.59</v>
      </c>
      <c r="K22" s="52">
        <v>338.73</v>
      </c>
      <c r="L22" s="52">
        <v>31.96</v>
      </c>
      <c r="M22" s="52">
        <v>59.36</v>
      </c>
      <c r="N22" s="52">
        <v>436.2</v>
      </c>
      <c r="O22" s="52">
        <v>0</v>
      </c>
      <c r="P22" s="52">
        <v>0.41</v>
      </c>
      <c r="Q22" s="52">
        <v>4.41</v>
      </c>
    </row>
    <row r="23" spans="1:17" customFormat="1">
      <c r="A23" s="51" t="s">
        <v>719</v>
      </c>
      <c r="B23" s="52">
        <v>12.05</v>
      </c>
      <c r="C23" s="52">
        <v>15.97</v>
      </c>
      <c r="D23" s="52">
        <v>19.36</v>
      </c>
      <c r="E23" s="52">
        <v>2.29</v>
      </c>
      <c r="F23" s="52">
        <v>6.24</v>
      </c>
      <c r="G23" s="52">
        <v>105.26</v>
      </c>
      <c r="H23" s="52">
        <v>20.5</v>
      </c>
      <c r="I23" s="52">
        <v>3.42</v>
      </c>
      <c r="J23" s="52">
        <v>0.59</v>
      </c>
      <c r="K23" s="52">
        <v>318.27999999999997</v>
      </c>
      <c r="L23" s="52">
        <v>31.34</v>
      </c>
      <c r="M23" s="52">
        <v>59.06</v>
      </c>
      <c r="N23" s="52">
        <v>380.3</v>
      </c>
      <c r="O23" s="52">
        <v>0</v>
      </c>
      <c r="P23" s="52">
        <v>0.41</v>
      </c>
      <c r="Q23" s="52">
        <v>4.4400000000000004</v>
      </c>
    </row>
    <row r="24" spans="1:17" customFormat="1">
      <c r="A24" s="51" t="s">
        <v>720</v>
      </c>
      <c r="B24" s="52">
        <v>12.37</v>
      </c>
      <c r="C24" s="52">
        <v>17.09</v>
      </c>
      <c r="D24" s="52">
        <v>20.190000000000001</v>
      </c>
      <c r="E24" s="52">
        <v>2.15</v>
      </c>
      <c r="F24" s="52">
        <v>6.19</v>
      </c>
      <c r="G24" s="52">
        <v>102.12</v>
      </c>
      <c r="H24" s="52">
        <v>22.15</v>
      </c>
      <c r="I24" s="52">
        <v>3.39</v>
      </c>
      <c r="J24" s="52">
        <v>0.56999999999999995</v>
      </c>
      <c r="K24" s="52">
        <v>322.54000000000002</v>
      </c>
      <c r="L24" s="52">
        <v>31.98</v>
      </c>
      <c r="M24" s="52">
        <v>57.1</v>
      </c>
      <c r="N24" s="52">
        <v>395.1</v>
      </c>
      <c r="O24" s="52">
        <v>0</v>
      </c>
      <c r="P24" s="52">
        <v>0.42</v>
      </c>
      <c r="Q24" s="52">
        <v>4.49</v>
      </c>
    </row>
    <row r="25" spans="1:17" customFormat="1">
      <c r="A25" s="51" t="s">
        <v>721</v>
      </c>
      <c r="B25" s="52">
        <v>12.17</v>
      </c>
      <c r="C25" s="52">
        <v>16.21</v>
      </c>
      <c r="D25" s="52">
        <v>19.579999999999998</v>
      </c>
      <c r="E25" s="52">
        <v>1.83</v>
      </c>
      <c r="F25" s="52">
        <v>7.81</v>
      </c>
      <c r="G25" s="52">
        <v>102.29</v>
      </c>
      <c r="H25" s="52">
        <v>20.91</v>
      </c>
      <c r="I25" s="52">
        <v>3.4</v>
      </c>
      <c r="J25" s="52">
        <v>0.54</v>
      </c>
      <c r="K25" s="52">
        <v>312.99</v>
      </c>
      <c r="L25" s="52">
        <v>31.71</v>
      </c>
      <c r="M25" s="52">
        <v>58.98</v>
      </c>
      <c r="N25" s="52">
        <v>224.7</v>
      </c>
      <c r="O25" s="52">
        <v>0</v>
      </c>
      <c r="P25" s="52">
        <v>0.41</v>
      </c>
      <c r="Q25" s="52">
        <v>4.47</v>
      </c>
    </row>
    <row r="26" spans="1:17" customFormat="1">
      <c r="A26" s="51" t="s">
        <v>722</v>
      </c>
      <c r="B26" s="52">
        <v>11.67</v>
      </c>
      <c r="C26" s="52">
        <v>15.57</v>
      </c>
      <c r="D26" s="52">
        <v>18.77</v>
      </c>
      <c r="E26" s="52">
        <v>1.65</v>
      </c>
      <c r="F26" s="52">
        <v>9.4</v>
      </c>
      <c r="G26" s="52">
        <v>101.61</v>
      </c>
      <c r="H26" s="52">
        <v>22.78</v>
      </c>
      <c r="I26" s="52">
        <v>3.31</v>
      </c>
      <c r="J26" s="52">
        <v>0.41</v>
      </c>
      <c r="K26" s="52">
        <v>259.89</v>
      </c>
      <c r="L26" s="52">
        <v>30.61</v>
      </c>
      <c r="M26" s="52">
        <v>67.59</v>
      </c>
      <c r="N26" s="52">
        <v>56.2</v>
      </c>
      <c r="O26" s="52">
        <v>0</v>
      </c>
      <c r="P26" s="52">
        <v>0.4</v>
      </c>
      <c r="Q26" s="52">
        <v>4.45</v>
      </c>
    </row>
    <row r="27" spans="1:17" customFormat="1">
      <c r="A27" s="51" t="s">
        <v>723</v>
      </c>
      <c r="B27" s="52">
        <v>10.99</v>
      </c>
      <c r="C27" s="52">
        <v>13.21</v>
      </c>
      <c r="D27" s="52">
        <v>17.059999999999999</v>
      </c>
      <c r="E27" s="52">
        <v>3.38</v>
      </c>
      <c r="F27" s="52">
        <v>12.11</v>
      </c>
      <c r="G27" s="52">
        <v>98.33</v>
      </c>
      <c r="H27" s="52">
        <v>23.95</v>
      </c>
      <c r="I27" s="52">
        <v>3.12</v>
      </c>
      <c r="J27" s="52">
        <v>0.18</v>
      </c>
      <c r="K27" s="52">
        <v>231.64</v>
      </c>
      <c r="L27" s="52">
        <v>29.32</v>
      </c>
      <c r="M27" s="52">
        <v>71.3</v>
      </c>
      <c r="N27" s="52">
        <v>0.1</v>
      </c>
      <c r="O27" s="52">
        <v>0</v>
      </c>
      <c r="P27" s="52">
        <v>0.38</v>
      </c>
      <c r="Q27" s="52">
        <v>4.4000000000000004</v>
      </c>
    </row>
    <row r="28" spans="1:17" customFormat="1">
      <c r="A28" s="51" t="s">
        <v>724</v>
      </c>
      <c r="B28" s="52">
        <v>11.12</v>
      </c>
      <c r="C28" s="52">
        <v>14.91</v>
      </c>
      <c r="D28" s="52">
        <v>18.059999999999999</v>
      </c>
      <c r="E28" s="52">
        <v>3.77</v>
      </c>
      <c r="F28" s="52">
        <v>12.62</v>
      </c>
      <c r="G28" s="52">
        <v>92.45</v>
      </c>
      <c r="H28" s="52">
        <v>21.19</v>
      </c>
      <c r="I28" s="52">
        <v>3.2</v>
      </c>
      <c r="J28" s="52">
        <v>0.14000000000000001</v>
      </c>
      <c r="K28" s="52">
        <v>236.52</v>
      </c>
      <c r="L28" s="52">
        <v>28.22</v>
      </c>
      <c r="M28" s="52">
        <v>76.78</v>
      </c>
      <c r="N28" s="52">
        <v>0</v>
      </c>
      <c r="O28" s="52">
        <v>0</v>
      </c>
      <c r="P28" s="52">
        <v>0.41</v>
      </c>
      <c r="Q28" s="52">
        <v>4.38</v>
      </c>
    </row>
    <row r="29" spans="1:17" customFormat="1">
      <c r="A29" s="51" t="s">
        <v>725</v>
      </c>
      <c r="B29" s="52">
        <v>11.18</v>
      </c>
      <c r="C29" s="52">
        <v>14.4</v>
      </c>
      <c r="D29" s="52">
        <v>17.84</v>
      </c>
      <c r="E29" s="52">
        <v>3.85</v>
      </c>
      <c r="F29" s="52">
        <v>10.27</v>
      </c>
      <c r="G29" s="52">
        <v>90</v>
      </c>
      <c r="H29" s="52">
        <v>22.42</v>
      </c>
      <c r="I29" s="52">
        <v>3.36</v>
      </c>
      <c r="J29" s="52">
        <v>0.12</v>
      </c>
      <c r="K29" s="52">
        <v>240.72</v>
      </c>
      <c r="L29" s="52">
        <v>27.76</v>
      </c>
      <c r="M29" s="52">
        <v>79.61</v>
      </c>
      <c r="N29" s="52">
        <v>0</v>
      </c>
      <c r="O29" s="52">
        <v>0</v>
      </c>
      <c r="P29" s="52">
        <v>0.41</v>
      </c>
      <c r="Q29" s="52">
        <v>4.3499999999999996</v>
      </c>
    </row>
    <row r="30" spans="1:17" customFormat="1">
      <c r="A30" s="51" t="s">
        <v>726</v>
      </c>
      <c r="B30" s="52">
        <v>10.92</v>
      </c>
      <c r="C30" s="52">
        <v>12.83</v>
      </c>
      <c r="D30" s="52">
        <v>16.82</v>
      </c>
      <c r="E30" s="52">
        <v>3.94</v>
      </c>
      <c r="F30" s="52">
        <v>10.02</v>
      </c>
      <c r="G30" s="52">
        <v>87.72</v>
      </c>
      <c r="H30" s="52">
        <v>21.37</v>
      </c>
      <c r="I30" s="52">
        <v>3.29</v>
      </c>
      <c r="J30" s="52">
        <v>0.32</v>
      </c>
      <c r="K30" s="52">
        <v>267.81</v>
      </c>
      <c r="L30" s="52">
        <v>27.54</v>
      </c>
      <c r="M30" s="52">
        <v>79.92</v>
      </c>
      <c r="N30" s="52">
        <v>0</v>
      </c>
      <c r="O30" s="52">
        <v>0</v>
      </c>
      <c r="P30" s="52">
        <v>0.39</v>
      </c>
      <c r="Q30" s="52">
        <v>4.37</v>
      </c>
    </row>
    <row r="31" spans="1:17" customFormat="1">
      <c r="A31" s="51" t="s">
        <v>727</v>
      </c>
      <c r="B31" s="52">
        <v>11.42</v>
      </c>
      <c r="C31" s="52">
        <v>15.48</v>
      </c>
      <c r="D31" s="52">
        <v>18.59</v>
      </c>
      <c r="E31" s="52">
        <v>4.79</v>
      </c>
      <c r="F31" s="52">
        <v>8.2100000000000009</v>
      </c>
      <c r="G31" s="52">
        <v>84.78</v>
      </c>
      <c r="H31" s="52">
        <v>20.99</v>
      </c>
      <c r="I31" s="52">
        <v>3.36</v>
      </c>
      <c r="J31" s="52">
        <v>0.63</v>
      </c>
      <c r="K31" s="52">
        <v>262.14999999999998</v>
      </c>
      <c r="L31" s="52">
        <v>27.51</v>
      </c>
      <c r="M31" s="52">
        <v>78.459999999999994</v>
      </c>
      <c r="N31" s="52">
        <v>0</v>
      </c>
      <c r="O31" s="52">
        <v>0</v>
      </c>
      <c r="P31" s="52">
        <v>0.4</v>
      </c>
      <c r="Q31" s="52">
        <v>4.4000000000000004</v>
      </c>
    </row>
    <row r="32" spans="1:17" customFormat="1">
      <c r="A32" s="51" t="s">
        <v>728</v>
      </c>
      <c r="B32" s="52">
        <v>10.95</v>
      </c>
      <c r="C32" s="52">
        <v>15.89</v>
      </c>
      <c r="D32" s="52">
        <v>18.440000000000001</v>
      </c>
      <c r="E32" s="52">
        <v>4.76</v>
      </c>
      <c r="F32" s="52">
        <v>8.25</v>
      </c>
      <c r="G32" s="52">
        <v>82.96</v>
      </c>
      <c r="H32" s="52">
        <v>21.13</v>
      </c>
      <c r="I32" s="52">
        <v>3.33</v>
      </c>
      <c r="J32" s="52">
        <v>0.83</v>
      </c>
      <c r="K32" s="52">
        <v>269.45999999999998</v>
      </c>
      <c r="L32" s="52">
        <v>27.3</v>
      </c>
      <c r="M32" s="52">
        <v>77.28</v>
      </c>
      <c r="N32" s="52">
        <v>0</v>
      </c>
      <c r="O32" s="52">
        <v>0</v>
      </c>
      <c r="P32" s="52">
        <v>0.41</v>
      </c>
      <c r="Q32" s="52">
        <v>4.3499999999999996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</v>
      </c>
      <c r="C34" s="41">
        <f t="shared" si="0"/>
        <v>2</v>
      </c>
      <c r="D34" s="41">
        <f t="shared" si="0"/>
        <v>4</v>
      </c>
      <c r="E34" s="41">
        <f t="shared" si="0"/>
        <v>1.53</v>
      </c>
      <c r="F34" s="41">
        <f t="shared" si="0"/>
        <v>2.76</v>
      </c>
      <c r="G34" s="41">
        <f t="shared" si="0"/>
        <v>26.11</v>
      </c>
      <c r="H34" s="41">
        <f t="shared" si="0"/>
        <v>5.79</v>
      </c>
      <c r="I34" s="41">
        <f t="shared" si="0"/>
        <v>3.12</v>
      </c>
      <c r="J34" s="41">
        <f t="shared" si="0"/>
        <v>0.12</v>
      </c>
      <c r="K34" s="41">
        <f t="shared" si="0"/>
        <v>231.64</v>
      </c>
      <c r="L34" s="41">
        <f t="shared" si="0"/>
        <v>25.49</v>
      </c>
      <c r="M34" s="41">
        <f t="shared" si="0"/>
        <v>55.38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4.2699999999999996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13.45</v>
      </c>
      <c r="C35" s="33">
        <f t="shared" si="1"/>
        <v>17.2</v>
      </c>
      <c r="D35" s="33">
        <f t="shared" si="1"/>
        <v>20.64</v>
      </c>
      <c r="E35" s="33">
        <f t="shared" si="1"/>
        <v>6.08</v>
      </c>
      <c r="F35" s="33">
        <f t="shared" si="1"/>
        <v>12.62</v>
      </c>
      <c r="G35" s="33">
        <f t="shared" si="1"/>
        <v>105.26</v>
      </c>
      <c r="H35" s="33">
        <f t="shared" si="1"/>
        <v>23.95</v>
      </c>
      <c r="I35" s="33">
        <f t="shared" si="1"/>
        <v>3.98</v>
      </c>
      <c r="J35" s="33">
        <f t="shared" si="1"/>
        <v>0.96</v>
      </c>
      <c r="K35" s="33">
        <f t="shared" si="1"/>
        <v>338.73</v>
      </c>
      <c r="L35" s="33">
        <f t="shared" si="1"/>
        <v>32.04</v>
      </c>
      <c r="M35" s="33">
        <f t="shared" si="1"/>
        <v>94.26</v>
      </c>
      <c r="N35" s="33">
        <f t="shared" si="1"/>
        <v>786.8</v>
      </c>
      <c r="O35" s="33">
        <f t="shared" si="1"/>
        <v>0</v>
      </c>
      <c r="P35" s="33">
        <f t="shared" si="1"/>
        <v>0.43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10.899999999999999</v>
      </c>
      <c r="C36" s="41">
        <f t="shared" si="2"/>
        <v>14.3225</v>
      </c>
      <c r="D36" s="41">
        <f t="shared" si="2"/>
        <v>17.485833333333328</v>
      </c>
      <c r="E36" s="41">
        <f t="shared" si="2"/>
        <v>3.9316666666666666</v>
      </c>
      <c r="F36" s="41">
        <f t="shared" si="2"/>
        <v>6.1654166666666681</v>
      </c>
      <c r="G36" s="41">
        <f t="shared" si="2"/>
        <v>69.870416666666657</v>
      </c>
      <c r="H36" s="41">
        <f t="shared" si="2"/>
        <v>15.695833333333335</v>
      </c>
      <c r="I36" s="41">
        <f t="shared" si="2"/>
        <v>3.4937500000000004</v>
      </c>
      <c r="J36" s="41">
        <f t="shared" si="2"/>
        <v>0.53999999999999992</v>
      </c>
      <c r="K36" s="41">
        <f t="shared" si="2"/>
        <v>282.89500000000004</v>
      </c>
      <c r="L36" s="41">
        <f t="shared" si="2"/>
        <v>28.720833333333331</v>
      </c>
      <c r="M36" s="41">
        <f t="shared" si="2"/>
        <v>74.01958333333333</v>
      </c>
      <c r="N36" s="41">
        <f t="shared" si="2"/>
        <v>191.90833333333333</v>
      </c>
      <c r="O36" s="41">
        <f t="shared" si="2"/>
        <v>0</v>
      </c>
      <c r="P36" s="41">
        <f t="shared" si="2"/>
        <v>0.40000000000000008</v>
      </c>
      <c r="Q36" s="41">
        <f t="shared" si="2"/>
        <v>4.4333333333333327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2.8714895392310065</v>
      </c>
      <c r="C37" s="41">
        <f t="shared" ref="C37:Q37" si="3">STDEV(C9:C32)</f>
        <v>4.0003556907072539</v>
      </c>
      <c r="D37" s="41">
        <f t="shared" si="3"/>
        <v>4.311193637464017</v>
      </c>
      <c r="E37" s="41">
        <f t="shared" si="3"/>
        <v>1.5333868925743566</v>
      </c>
      <c r="F37" s="41">
        <f t="shared" si="3"/>
        <v>2.9890597317066314</v>
      </c>
      <c r="G37" s="41">
        <f t="shared" si="3"/>
        <v>31.04840505308735</v>
      </c>
      <c r="H37" s="41">
        <f t="shared" si="3"/>
        <v>6.4239544347473414</v>
      </c>
      <c r="I37" s="41">
        <f t="shared" si="3"/>
        <v>0.25108135698630268</v>
      </c>
      <c r="J37" s="41">
        <f t="shared" si="3"/>
        <v>0.22727114623955999</v>
      </c>
      <c r="K37" s="41">
        <f t="shared" si="3"/>
        <v>34.03135101893394</v>
      </c>
      <c r="L37" s="41">
        <f t="shared" si="3"/>
        <v>2.3033508986516131</v>
      </c>
      <c r="M37" s="41">
        <f t="shared" si="3"/>
        <v>12.491470299913638</v>
      </c>
      <c r="N37" s="41">
        <f t="shared" si="3"/>
        <v>251.47285084108961</v>
      </c>
      <c r="O37" s="41">
        <f t="shared" si="3"/>
        <v>0</v>
      </c>
      <c r="P37" s="41">
        <f t="shared" si="3"/>
        <v>1.911066171811817E-2</v>
      </c>
      <c r="Q37" s="41">
        <f t="shared" si="3"/>
        <v>8.8987867598445486E-2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25" workbookViewId="0">
      <selection activeCell="G38" sqref="G38:H38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29/08/2023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1" t="s">
        <v>729</v>
      </c>
      <c r="B9" s="52">
        <v>6.81</v>
      </c>
      <c r="C9" s="52">
        <v>15.84</v>
      </c>
      <c r="D9" s="52">
        <v>15.03</v>
      </c>
      <c r="E9" s="52">
        <v>4.5599999999999996</v>
      </c>
      <c r="F9" s="52">
        <v>6.58</v>
      </c>
      <c r="G9" s="52">
        <v>82.08</v>
      </c>
      <c r="H9" s="52">
        <v>21.97</v>
      </c>
      <c r="I9" s="52">
        <v>3.32</v>
      </c>
      <c r="J9" s="52">
        <v>0.66</v>
      </c>
      <c r="K9" s="52">
        <v>267.73</v>
      </c>
      <c r="L9" s="52">
        <v>27.15</v>
      </c>
      <c r="M9" s="52">
        <v>78.59</v>
      </c>
      <c r="N9" s="52">
        <v>0</v>
      </c>
      <c r="O9" s="52">
        <v>0</v>
      </c>
      <c r="P9" s="52">
        <v>0.4</v>
      </c>
      <c r="Q9" s="52">
        <v>4.34</v>
      </c>
    </row>
    <row r="10" spans="1:21">
      <c r="A10" s="51" t="s">
        <v>730</v>
      </c>
      <c r="B10" s="52">
        <v>6.65</v>
      </c>
      <c r="C10" s="52">
        <v>15.06</v>
      </c>
      <c r="D10" s="52">
        <v>14.49</v>
      </c>
      <c r="E10" s="52">
        <v>4.41</v>
      </c>
      <c r="F10" s="52">
        <v>6.85</v>
      </c>
      <c r="G10" s="52">
        <v>81.61</v>
      </c>
      <c r="H10" s="52">
        <v>22.06</v>
      </c>
      <c r="I10" s="52">
        <v>3.21</v>
      </c>
      <c r="J10" s="52">
        <v>0.49</v>
      </c>
      <c r="K10" s="52">
        <v>262.97000000000003</v>
      </c>
      <c r="L10" s="52">
        <v>26.6</v>
      </c>
      <c r="M10" s="52">
        <v>81.05</v>
      </c>
      <c r="N10" s="52">
        <v>0</v>
      </c>
      <c r="O10" s="52">
        <v>0</v>
      </c>
      <c r="P10" s="52">
        <v>0.39</v>
      </c>
      <c r="Q10" s="52">
        <v>4.3</v>
      </c>
    </row>
    <row r="11" spans="1:21">
      <c r="A11" s="51" t="s">
        <v>731</v>
      </c>
      <c r="B11" s="52">
        <v>6.93</v>
      </c>
      <c r="C11" s="52">
        <v>15.66</v>
      </c>
      <c r="D11" s="52">
        <v>14.98</v>
      </c>
      <c r="E11" s="52">
        <v>4.1500000000000004</v>
      </c>
      <c r="F11" s="52">
        <v>5.36</v>
      </c>
      <c r="G11" s="52">
        <v>77.06</v>
      </c>
      <c r="H11" s="52">
        <v>21.01</v>
      </c>
      <c r="I11" s="52">
        <v>3.21</v>
      </c>
      <c r="J11" s="52">
        <v>0.62</v>
      </c>
      <c r="K11" s="52">
        <v>271.26</v>
      </c>
      <c r="L11" s="52">
        <v>26.23</v>
      </c>
      <c r="M11" s="52">
        <v>82.14</v>
      </c>
      <c r="N11" s="52">
        <v>0</v>
      </c>
      <c r="O11" s="52">
        <v>0</v>
      </c>
      <c r="P11" s="52">
        <v>0.4</v>
      </c>
      <c r="Q11" s="52">
        <v>4.3099999999999996</v>
      </c>
    </row>
    <row r="12" spans="1:21">
      <c r="A12" s="51" t="s">
        <v>732</v>
      </c>
      <c r="B12" s="52">
        <v>7.48</v>
      </c>
      <c r="C12" s="52">
        <v>15.96</v>
      </c>
      <c r="D12" s="52">
        <v>15.49</v>
      </c>
      <c r="E12" s="52">
        <v>4.17</v>
      </c>
      <c r="F12" s="52">
        <v>4.4400000000000004</v>
      </c>
      <c r="G12" s="52">
        <v>75.599999999999994</v>
      </c>
      <c r="H12" s="52">
        <v>20.059999999999999</v>
      </c>
      <c r="I12" s="52">
        <v>3.34</v>
      </c>
      <c r="J12" s="52">
        <v>0.6</v>
      </c>
      <c r="K12" s="52">
        <v>266.69</v>
      </c>
      <c r="L12" s="52">
        <v>25.96</v>
      </c>
      <c r="M12" s="52">
        <v>83.28</v>
      </c>
      <c r="N12" s="52">
        <v>0</v>
      </c>
      <c r="O12" s="52">
        <v>0</v>
      </c>
      <c r="P12" s="52">
        <v>0.4</v>
      </c>
      <c r="Q12" s="52">
        <v>4.37</v>
      </c>
    </row>
    <row r="13" spans="1:21">
      <c r="A13" s="51" t="s">
        <v>733</v>
      </c>
      <c r="B13" s="52">
        <v>7.78</v>
      </c>
      <c r="C13" s="52">
        <v>15.57</v>
      </c>
      <c r="D13" s="52">
        <v>15.71</v>
      </c>
      <c r="E13" s="52">
        <v>4.03</v>
      </c>
      <c r="F13" s="52">
        <v>3.66</v>
      </c>
      <c r="G13" s="52">
        <v>70.41</v>
      </c>
      <c r="H13" s="52">
        <v>18.22</v>
      </c>
      <c r="I13" s="52">
        <v>3.45</v>
      </c>
      <c r="J13" s="52">
        <v>0.48</v>
      </c>
      <c r="K13" s="52">
        <v>273.83</v>
      </c>
      <c r="L13" s="52">
        <v>25.77</v>
      </c>
      <c r="M13" s="52">
        <v>83.09</v>
      </c>
      <c r="N13" s="52">
        <v>0</v>
      </c>
      <c r="O13" s="52">
        <v>0</v>
      </c>
      <c r="P13" s="52">
        <v>0.39</v>
      </c>
      <c r="Q13" s="52">
        <v>4.4000000000000004</v>
      </c>
    </row>
    <row r="14" spans="1:21">
      <c r="A14" s="51" t="s">
        <v>734</v>
      </c>
      <c r="B14" s="52">
        <v>8.98</v>
      </c>
      <c r="C14" s="52">
        <v>17.05</v>
      </c>
      <c r="D14" s="52">
        <v>16.940000000000001</v>
      </c>
      <c r="E14" s="52">
        <v>3.88</v>
      </c>
      <c r="F14" s="52">
        <v>2.69</v>
      </c>
      <c r="G14" s="52">
        <v>67.78</v>
      </c>
      <c r="H14" s="52">
        <v>20</v>
      </c>
      <c r="I14" s="52">
        <v>3.74</v>
      </c>
      <c r="J14" s="52">
        <v>0.5</v>
      </c>
      <c r="K14" s="52">
        <v>273.88</v>
      </c>
      <c r="L14" s="52">
        <v>25.61</v>
      </c>
      <c r="M14" s="52">
        <v>83.84</v>
      </c>
      <c r="N14" s="52">
        <v>4</v>
      </c>
      <c r="O14" s="52">
        <v>0</v>
      </c>
      <c r="P14" s="52">
        <v>0.41</v>
      </c>
      <c r="Q14" s="52">
        <v>4.5199999999999996</v>
      </c>
    </row>
    <row r="15" spans="1:21">
      <c r="A15" s="51" t="s">
        <v>735</v>
      </c>
      <c r="B15" s="52">
        <v>10.09</v>
      </c>
      <c r="C15" s="52">
        <v>18.059999999999999</v>
      </c>
      <c r="D15" s="52">
        <v>18.5</v>
      </c>
      <c r="E15" s="52">
        <v>4.0999999999999996</v>
      </c>
      <c r="F15" s="52">
        <v>3</v>
      </c>
      <c r="G15" s="52">
        <v>75.489999999999995</v>
      </c>
      <c r="H15" s="52">
        <v>17.62</v>
      </c>
      <c r="I15" s="52">
        <v>3.97</v>
      </c>
      <c r="J15" s="52">
        <v>0.39</v>
      </c>
      <c r="K15" s="52">
        <v>272.85000000000002</v>
      </c>
      <c r="L15" s="52">
        <v>26.1</v>
      </c>
      <c r="M15" s="52">
        <v>84.3</v>
      </c>
      <c r="N15" s="52">
        <v>65</v>
      </c>
      <c r="O15" s="52">
        <v>0</v>
      </c>
      <c r="P15" s="52">
        <v>0.41</v>
      </c>
      <c r="Q15" s="52">
        <v>4.6399999999999997</v>
      </c>
    </row>
    <row r="16" spans="1:21">
      <c r="A16" s="51" t="s">
        <v>736</v>
      </c>
      <c r="B16" s="52">
        <v>10.99</v>
      </c>
      <c r="C16" s="52">
        <v>17.88</v>
      </c>
      <c r="D16" s="52">
        <v>19.16</v>
      </c>
      <c r="E16" s="52">
        <v>5.53</v>
      </c>
      <c r="F16" s="52">
        <v>3.28</v>
      </c>
      <c r="G16" s="52">
        <v>73.44</v>
      </c>
      <c r="H16" s="52">
        <v>14.87</v>
      </c>
      <c r="I16" s="52">
        <v>4.0199999999999996</v>
      </c>
      <c r="J16" s="52">
        <v>0.54</v>
      </c>
      <c r="K16" s="52">
        <v>318.48</v>
      </c>
      <c r="L16" s="52">
        <v>27.96</v>
      </c>
      <c r="M16" s="52">
        <v>80.97</v>
      </c>
      <c r="N16" s="52">
        <v>209.7</v>
      </c>
      <c r="O16" s="52">
        <v>0</v>
      </c>
      <c r="P16" s="52">
        <v>0.42</v>
      </c>
      <c r="Q16" s="52">
        <v>4.72</v>
      </c>
    </row>
    <row r="17" spans="1:17">
      <c r="A17" s="51" t="s">
        <v>737</v>
      </c>
      <c r="B17" s="52">
        <v>11.35</v>
      </c>
      <c r="C17" s="52">
        <v>19.12</v>
      </c>
      <c r="D17" s="52">
        <v>20.239999999999998</v>
      </c>
      <c r="E17" s="52">
        <v>6.54</v>
      </c>
      <c r="F17" s="52">
        <v>3.49</v>
      </c>
      <c r="G17" s="52">
        <v>74.77</v>
      </c>
      <c r="H17" s="52">
        <v>18.350000000000001</v>
      </c>
      <c r="I17" s="52">
        <v>4.5599999999999996</v>
      </c>
      <c r="J17" s="52">
        <v>0.67</v>
      </c>
      <c r="K17" s="52">
        <v>347.81</v>
      </c>
      <c r="L17" s="52">
        <v>29.83</v>
      </c>
      <c r="M17" s="52">
        <v>70.040000000000006</v>
      </c>
      <c r="N17" s="52">
        <v>284.39999999999998</v>
      </c>
      <c r="O17" s="52">
        <v>0</v>
      </c>
      <c r="P17" s="52">
        <v>0.46</v>
      </c>
      <c r="Q17" s="52">
        <v>4.8</v>
      </c>
    </row>
    <row r="18" spans="1:17">
      <c r="A18" s="51" t="s">
        <v>738</v>
      </c>
      <c r="B18" s="52">
        <v>11.05</v>
      </c>
      <c r="C18" s="52">
        <v>18.27</v>
      </c>
      <c r="D18" s="52">
        <v>19.760000000000002</v>
      </c>
      <c r="E18" s="52">
        <v>4.8600000000000003</v>
      </c>
      <c r="F18" s="52">
        <v>4.54</v>
      </c>
      <c r="G18" s="52">
        <v>83.54</v>
      </c>
      <c r="H18" s="52">
        <v>24.72</v>
      </c>
      <c r="I18" s="52">
        <v>4.59</v>
      </c>
      <c r="J18" s="52">
        <v>0.8</v>
      </c>
      <c r="K18" s="52">
        <v>331.25</v>
      </c>
      <c r="L18" s="52">
        <v>30.99</v>
      </c>
      <c r="M18" s="52">
        <v>60.64</v>
      </c>
      <c r="N18" s="52">
        <v>531.9</v>
      </c>
      <c r="O18" s="52">
        <v>0</v>
      </c>
      <c r="P18" s="52">
        <v>0.45</v>
      </c>
      <c r="Q18" s="52">
        <v>4.78</v>
      </c>
    </row>
    <row r="19" spans="1:17">
      <c r="A19" s="51" t="s">
        <v>739</v>
      </c>
      <c r="B19" s="52">
        <v>10.31</v>
      </c>
      <c r="C19" s="52">
        <v>18.649999999999999</v>
      </c>
      <c r="D19" s="52">
        <v>19.02</v>
      </c>
      <c r="E19" s="52">
        <v>5.38</v>
      </c>
      <c r="F19" s="52">
        <v>4.67</v>
      </c>
      <c r="G19" s="52">
        <v>78.44</v>
      </c>
      <c r="H19" s="52">
        <v>20.75</v>
      </c>
      <c r="I19" s="52">
        <v>4.46</v>
      </c>
      <c r="J19" s="52">
        <v>0.62</v>
      </c>
      <c r="K19" s="52">
        <v>346.44</v>
      </c>
      <c r="L19" s="52">
        <v>31.81</v>
      </c>
      <c r="M19" s="52">
        <v>56.11</v>
      </c>
      <c r="N19" s="52">
        <v>659.3</v>
      </c>
      <c r="O19" s="52">
        <v>0</v>
      </c>
      <c r="P19" s="52">
        <v>0.47</v>
      </c>
      <c r="Q19" s="52">
        <v>4.75</v>
      </c>
    </row>
    <row r="20" spans="1:17">
      <c r="A20" s="51" t="s">
        <v>740</v>
      </c>
      <c r="B20" s="52">
        <v>8.68</v>
      </c>
      <c r="C20" s="52">
        <v>18.89</v>
      </c>
      <c r="D20" s="52">
        <v>18.18</v>
      </c>
      <c r="E20" s="52">
        <v>5.41</v>
      </c>
      <c r="F20" s="52">
        <v>5.29</v>
      </c>
      <c r="G20" s="52">
        <v>81.430000000000007</v>
      </c>
      <c r="H20" s="52">
        <v>21.09</v>
      </c>
      <c r="I20" s="52">
        <v>4.37</v>
      </c>
      <c r="J20" s="52">
        <v>0.38</v>
      </c>
      <c r="K20" s="52">
        <v>309.98</v>
      </c>
      <c r="L20" s="52">
        <v>32.08</v>
      </c>
      <c r="M20" s="52">
        <v>54.93</v>
      </c>
      <c r="N20" s="52">
        <v>586</v>
      </c>
      <c r="O20" s="52">
        <v>0</v>
      </c>
      <c r="P20" s="52">
        <v>0.46</v>
      </c>
      <c r="Q20" s="52">
        <v>4.72</v>
      </c>
    </row>
    <row r="21" spans="1:17">
      <c r="A21" s="51" t="s">
        <v>741</v>
      </c>
      <c r="B21" s="52">
        <v>7.11</v>
      </c>
      <c r="C21" s="52">
        <v>17.47</v>
      </c>
      <c r="D21" s="52">
        <v>16.18</v>
      </c>
      <c r="E21" s="52">
        <v>6.49</v>
      </c>
      <c r="F21" s="52">
        <v>7.39</v>
      </c>
      <c r="G21" s="11" t="s">
        <v>12</v>
      </c>
      <c r="H21" s="11" t="s">
        <v>12</v>
      </c>
      <c r="I21" s="52">
        <v>4.26</v>
      </c>
      <c r="J21" s="52">
        <v>0.53</v>
      </c>
      <c r="K21" s="52">
        <v>345.77</v>
      </c>
      <c r="L21" s="52">
        <v>32.29</v>
      </c>
      <c r="M21" s="52">
        <v>55.6</v>
      </c>
      <c r="N21" s="52">
        <v>793.3</v>
      </c>
      <c r="O21" s="52">
        <v>0</v>
      </c>
      <c r="P21" s="52">
        <v>0.46</v>
      </c>
      <c r="Q21" s="52">
        <v>4.7300000000000004</v>
      </c>
    </row>
    <row r="22" spans="1:17">
      <c r="A22" s="51" t="s">
        <v>742</v>
      </c>
      <c r="B22" s="52">
        <v>5.41</v>
      </c>
      <c r="C22" s="52">
        <v>17.22</v>
      </c>
      <c r="D22" s="52">
        <v>14.69</v>
      </c>
      <c r="E22" s="52">
        <v>5.0599999999999996</v>
      </c>
      <c r="F22" s="52">
        <v>10.07</v>
      </c>
      <c r="G22" s="52">
        <v>58.3</v>
      </c>
      <c r="H22" s="52">
        <v>8.1</v>
      </c>
      <c r="I22" s="52">
        <v>4.1399999999999997</v>
      </c>
      <c r="J22" s="52">
        <v>0.56000000000000005</v>
      </c>
      <c r="K22" s="52">
        <v>341.49</v>
      </c>
      <c r="L22" s="52">
        <v>32.83</v>
      </c>
      <c r="M22" s="52">
        <v>53.68</v>
      </c>
      <c r="N22" s="52">
        <v>808.5</v>
      </c>
      <c r="O22" s="52">
        <v>0</v>
      </c>
      <c r="P22" s="52">
        <v>0.45</v>
      </c>
      <c r="Q22" s="52">
        <v>4.67</v>
      </c>
    </row>
    <row r="23" spans="1:17">
      <c r="A23" s="51" t="s">
        <v>743</v>
      </c>
      <c r="B23" s="52">
        <v>2.16</v>
      </c>
      <c r="C23" s="52">
        <v>16.649999999999999</v>
      </c>
      <c r="D23" s="52">
        <v>11.76</v>
      </c>
      <c r="E23" s="52">
        <v>4.42</v>
      </c>
      <c r="F23" s="52">
        <v>7.62</v>
      </c>
      <c r="G23" s="52">
        <v>63.5</v>
      </c>
      <c r="H23" s="52">
        <v>9.7200000000000006</v>
      </c>
      <c r="I23" s="52">
        <v>4.05</v>
      </c>
      <c r="J23" s="52">
        <v>0.48</v>
      </c>
      <c r="K23" s="52">
        <v>276.23</v>
      </c>
      <c r="L23" s="52">
        <v>32.92</v>
      </c>
      <c r="M23" s="52">
        <v>52.75</v>
      </c>
      <c r="N23" s="52">
        <v>516.9</v>
      </c>
      <c r="O23" s="52">
        <v>0</v>
      </c>
      <c r="P23" s="52">
        <v>0.38</v>
      </c>
      <c r="Q23" s="52">
        <v>4.42</v>
      </c>
    </row>
    <row r="24" spans="1:17">
      <c r="A24" s="51" t="s">
        <v>744</v>
      </c>
      <c r="B24" s="52">
        <v>2.14</v>
      </c>
      <c r="C24" s="52">
        <v>18.34</v>
      </c>
      <c r="D24" s="52">
        <v>12.65</v>
      </c>
      <c r="E24" s="52">
        <v>4.82</v>
      </c>
      <c r="F24" s="52">
        <v>8.23</v>
      </c>
      <c r="G24" s="52">
        <v>74.13</v>
      </c>
      <c r="H24" s="52">
        <v>17.149999999999999</v>
      </c>
      <c r="I24" s="52">
        <v>3.68</v>
      </c>
      <c r="J24" s="52">
        <v>0.46</v>
      </c>
      <c r="K24" s="52">
        <v>318.86</v>
      </c>
      <c r="L24" s="52">
        <v>32.700000000000003</v>
      </c>
      <c r="M24" s="52">
        <v>54.07</v>
      </c>
      <c r="N24" s="52">
        <v>402.9</v>
      </c>
      <c r="O24" s="52">
        <v>0</v>
      </c>
      <c r="P24" s="52">
        <v>0.38</v>
      </c>
      <c r="Q24" s="52">
        <v>4.46</v>
      </c>
    </row>
    <row r="25" spans="1:17">
      <c r="A25" s="51" t="s">
        <v>745</v>
      </c>
      <c r="B25" s="52">
        <v>2.93</v>
      </c>
      <c r="C25" s="52">
        <v>18.149999999999999</v>
      </c>
      <c r="D25" s="52">
        <v>13.08</v>
      </c>
      <c r="E25" s="52">
        <v>3.88</v>
      </c>
      <c r="F25" s="52">
        <v>7.76</v>
      </c>
      <c r="G25" s="52">
        <v>74.73</v>
      </c>
      <c r="H25" s="52">
        <v>17.149999999999999</v>
      </c>
      <c r="I25" s="52">
        <v>3.59</v>
      </c>
      <c r="J25" s="52">
        <v>0.52</v>
      </c>
      <c r="K25" s="52">
        <v>322.27999999999997</v>
      </c>
      <c r="L25" s="52">
        <v>32.4</v>
      </c>
      <c r="M25" s="52">
        <v>54.9</v>
      </c>
      <c r="N25" s="52">
        <v>267.3</v>
      </c>
      <c r="O25" s="52">
        <v>0</v>
      </c>
      <c r="P25" s="52">
        <v>0.37</v>
      </c>
      <c r="Q25" s="52">
        <v>4.46</v>
      </c>
    </row>
    <row r="26" spans="1:17">
      <c r="A26" s="51" t="s">
        <v>746</v>
      </c>
      <c r="B26" s="52">
        <v>3.38</v>
      </c>
      <c r="C26" s="52">
        <v>18.510000000000002</v>
      </c>
      <c r="D26" s="52">
        <v>13.73</v>
      </c>
      <c r="E26" s="52">
        <v>5.35</v>
      </c>
      <c r="F26" s="52">
        <v>8.44</v>
      </c>
      <c r="G26" s="52">
        <v>69.22</v>
      </c>
      <c r="H26" s="52">
        <v>17.850000000000001</v>
      </c>
      <c r="I26" s="52">
        <v>3.44</v>
      </c>
      <c r="J26" s="52">
        <v>0.68</v>
      </c>
      <c r="K26" s="52">
        <v>275.36</v>
      </c>
      <c r="L26" s="52">
        <v>30.7</v>
      </c>
      <c r="M26" s="52">
        <v>64.48</v>
      </c>
      <c r="N26" s="52">
        <v>53.5</v>
      </c>
      <c r="O26" s="52">
        <v>0</v>
      </c>
      <c r="P26" s="52">
        <v>0.37</v>
      </c>
      <c r="Q26" s="52">
        <v>4.47</v>
      </c>
    </row>
    <row r="27" spans="1:17">
      <c r="A27" s="51" t="s">
        <v>747</v>
      </c>
      <c r="B27" s="52">
        <v>3.25</v>
      </c>
      <c r="C27" s="52">
        <v>15.93</v>
      </c>
      <c r="D27" s="52">
        <v>12.28</v>
      </c>
      <c r="E27" s="52">
        <v>3.17</v>
      </c>
      <c r="F27" s="52">
        <v>10.07</v>
      </c>
      <c r="G27" s="52">
        <v>68.989999999999995</v>
      </c>
      <c r="H27" s="52">
        <v>17.850000000000001</v>
      </c>
      <c r="I27" s="52">
        <v>3.46</v>
      </c>
      <c r="J27" s="52">
        <v>0.23</v>
      </c>
      <c r="K27" s="52">
        <v>251.32</v>
      </c>
      <c r="L27" s="52">
        <v>29.11</v>
      </c>
      <c r="M27" s="52">
        <v>77.27</v>
      </c>
      <c r="N27" s="52">
        <v>0</v>
      </c>
      <c r="O27" s="52">
        <v>0</v>
      </c>
      <c r="P27" s="52">
        <v>0.37</v>
      </c>
      <c r="Q27" s="52">
        <v>4.4400000000000004</v>
      </c>
    </row>
    <row r="28" spans="1:17">
      <c r="A28" s="51" t="s">
        <v>748</v>
      </c>
      <c r="B28" s="52">
        <v>3.83</v>
      </c>
      <c r="C28" s="52">
        <v>16.829999999999998</v>
      </c>
      <c r="D28" s="52">
        <v>13.17</v>
      </c>
      <c r="E28" s="52">
        <v>3.59</v>
      </c>
      <c r="F28" s="52">
        <v>8.81</v>
      </c>
      <c r="G28" s="52">
        <v>58.68</v>
      </c>
      <c r="H28" s="52">
        <v>15.2</v>
      </c>
      <c r="I28" s="52">
        <v>3.65</v>
      </c>
      <c r="J28" s="52">
        <v>0.17</v>
      </c>
      <c r="K28" s="52">
        <v>254.83</v>
      </c>
      <c r="L28" s="52">
        <v>27.74</v>
      </c>
      <c r="M28" s="52">
        <v>81.239999999999995</v>
      </c>
      <c r="N28" s="52">
        <v>0</v>
      </c>
      <c r="O28" s="52">
        <v>0</v>
      </c>
      <c r="P28" s="52">
        <v>0.38</v>
      </c>
      <c r="Q28" s="52">
        <v>4.49</v>
      </c>
    </row>
    <row r="29" spans="1:17">
      <c r="A29" s="51" t="s">
        <v>749</v>
      </c>
      <c r="B29" s="52">
        <v>5.08</v>
      </c>
      <c r="C29" s="52">
        <v>17.73</v>
      </c>
      <c r="D29" s="52">
        <v>14.55</v>
      </c>
      <c r="E29" s="52">
        <v>3.88</v>
      </c>
      <c r="F29" s="52">
        <v>7.38</v>
      </c>
      <c r="G29" s="52">
        <v>54.03</v>
      </c>
      <c r="H29" s="52">
        <v>12.9</v>
      </c>
      <c r="I29" s="52">
        <v>3.71</v>
      </c>
      <c r="J29" s="52">
        <v>0.84</v>
      </c>
      <c r="K29" s="52">
        <v>293.20999999999998</v>
      </c>
      <c r="L29" s="52">
        <v>27.68</v>
      </c>
      <c r="M29" s="52">
        <v>78.53</v>
      </c>
      <c r="N29" s="52">
        <v>0</v>
      </c>
      <c r="O29" s="52">
        <v>0</v>
      </c>
      <c r="P29" s="52">
        <v>0.41</v>
      </c>
      <c r="Q29" s="52">
        <v>4.49</v>
      </c>
    </row>
    <row r="30" spans="1:17">
      <c r="A30" s="51" t="s">
        <v>750</v>
      </c>
      <c r="B30" s="52">
        <v>6.43</v>
      </c>
      <c r="C30" s="52">
        <v>20.52</v>
      </c>
      <c r="D30" s="52">
        <v>17.02</v>
      </c>
      <c r="E30" s="52">
        <v>3.94</v>
      </c>
      <c r="F30" s="52">
        <v>5.47</v>
      </c>
      <c r="G30" s="52">
        <v>48.41</v>
      </c>
      <c r="H30" s="52">
        <v>10.74</v>
      </c>
      <c r="I30" s="52">
        <v>3.81</v>
      </c>
      <c r="J30" s="52">
        <v>0.27</v>
      </c>
      <c r="K30" s="52">
        <v>311.61</v>
      </c>
      <c r="L30" s="52">
        <v>27.03</v>
      </c>
      <c r="M30" s="52">
        <v>69.930000000000007</v>
      </c>
      <c r="N30" s="52">
        <v>0</v>
      </c>
      <c r="O30" s="52">
        <v>0</v>
      </c>
      <c r="P30" s="52">
        <v>0.43</v>
      </c>
      <c r="Q30" s="52">
        <v>4.5999999999999996</v>
      </c>
    </row>
    <row r="31" spans="1:17">
      <c r="A31" s="51" t="s">
        <v>751</v>
      </c>
      <c r="B31" s="52">
        <v>7.23</v>
      </c>
      <c r="C31" s="52">
        <v>20.18</v>
      </c>
      <c r="D31" s="52">
        <v>17.7</v>
      </c>
      <c r="E31" s="52">
        <v>6.74</v>
      </c>
      <c r="F31" s="52">
        <v>4</v>
      </c>
      <c r="G31" s="52">
        <v>47.33</v>
      </c>
      <c r="H31" s="52">
        <v>15.49</v>
      </c>
      <c r="I31" s="52">
        <v>3.93</v>
      </c>
      <c r="J31" s="52">
        <v>0.23</v>
      </c>
      <c r="K31" s="52">
        <v>341.04</v>
      </c>
      <c r="L31" s="52">
        <v>26.82</v>
      </c>
      <c r="M31" s="52">
        <v>68.5</v>
      </c>
      <c r="N31" s="52">
        <v>0</v>
      </c>
      <c r="O31" s="52">
        <v>0</v>
      </c>
      <c r="P31" s="52">
        <v>0.42</v>
      </c>
      <c r="Q31" s="52">
        <v>4.7</v>
      </c>
    </row>
    <row r="32" spans="1:17">
      <c r="A32" s="51" t="s">
        <v>752</v>
      </c>
      <c r="B32" s="52">
        <v>10.54</v>
      </c>
      <c r="C32" s="52">
        <v>21.73</v>
      </c>
      <c r="D32" s="52">
        <v>20.91</v>
      </c>
      <c r="E32" s="52">
        <v>5.82</v>
      </c>
      <c r="F32" s="52">
        <v>2.95</v>
      </c>
      <c r="G32" s="52">
        <v>74.45</v>
      </c>
      <c r="H32" s="52">
        <v>26.1</v>
      </c>
      <c r="I32" s="52">
        <v>4.26</v>
      </c>
      <c r="J32" s="52">
        <v>0.32</v>
      </c>
      <c r="K32" s="52">
        <v>45.78</v>
      </c>
      <c r="L32" s="52">
        <v>26.53</v>
      </c>
      <c r="M32" s="52">
        <v>79.150000000000006</v>
      </c>
      <c r="N32" s="52">
        <v>0</v>
      </c>
      <c r="O32" s="52">
        <v>0</v>
      </c>
      <c r="P32" s="52">
        <v>0.45</v>
      </c>
      <c r="Q32" s="52">
        <v>4.96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2.14</v>
      </c>
      <c r="C34" s="41">
        <f t="shared" si="0"/>
        <v>15.06</v>
      </c>
      <c r="D34" s="41">
        <f t="shared" si="0"/>
        <v>11.76</v>
      </c>
      <c r="E34" s="41">
        <f t="shared" si="0"/>
        <v>3.17</v>
      </c>
      <c r="F34" s="41">
        <f t="shared" si="0"/>
        <v>2.69</v>
      </c>
      <c r="G34" s="41">
        <f t="shared" si="0"/>
        <v>47.33</v>
      </c>
      <c r="H34" s="41">
        <f t="shared" si="0"/>
        <v>8.1</v>
      </c>
      <c r="I34" s="41">
        <f t="shared" si="0"/>
        <v>3.21</v>
      </c>
      <c r="J34" s="41">
        <f t="shared" si="0"/>
        <v>0.17</v>
      </c>
      <c r="K34" s="41">
        <f t="shared" si="0"/>
        <v>45.78</v>
      </c>
      <c r="L34" s="41">
        <f t="shared" si="0"/>
        <v>25.61</v>
      </c>
      <c r="M34" s="41">
        <f t="shared" si="0"/>
        <v>52.75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4.3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11.35</v>
      </c>
      <c r="C35" s="33">
        <f t="shared" si="1"/>
        <v>21.73</v>
      </c>
      <c r="D35" s="33">
        <f t="shared" si="1"/>
        <v>20.91</v>
      </c>
      <c r="E35" s="33">
        <f t="shared" si="1"/>
        <v>6.74</v>
      </c>
      <c r="F35" s="33">
        <f t="shared" si="1"/>
        <v>10.07</v>
      </c>
      <c r="G35" s="33">
        <f t="shared" si="1"/>
        <v>83.54</v>
      </c>
      <c r="H35" s="33">
        <f t="shared" si="1"/>
        <v>26.1</v>
      </c>
      <c r="I35" s="33">
        <f t="shared" si="1"/>
        <v>4.59</v>
      </c>
      <c r="J35" s="33">
        <f t="shared" si="1"/>
        <v>0.84</v>
      </c>
      <c r="K35" s="33">
        <f t="shared" si="1"/>
        <v>347.81</v>
      </c>
      <c r="L35" s="33">
        <f t="shared" si="1"/>
        <v>32.92</v>
      </c>
      <c r="M35" s="33">
        <f t="shared" si="1"/>
        <v>84.3</v>
      </c>
      <c r="N35" s="33">
        <f t="shared" si="1"/>
        <v>808.5</v>
      </c>
      <c r="O35" s="33">
        <f t="shared" si="1"/>
        <v>0</v>
      </c>
      <c r="P35" s="33">
        <f t="shared" si="1"/>
        <v>0.47</v>
      </c>
      <c r="Q35" s="33">
        <f t="shared" si="1"/>
        <v>4.96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6.9412500000000001</v>
      </c>
      <c r="C36" s="41">
        <f t="shared" si="2"/>
        <v>17.719583333333333</v>
      </c>
      <c r="D36" s="41">
        <f t="shared" si="2"/>
        <v>16.050833333333333</v>
      </c>
      <c r="E36" s="41">
        <f t="shared" si="2"/>
        <v>4.7574999999999994</v>
      </c>
      <c r="F36" s="41">
        <f t="shared" si="2"/>
        <v>5.918333333333333</v>
      </c>
      <c r="G36" s="41">
        <f t="shared" si="2"/>
        <v>70.148695652173913</v>
      </c>
      <c r="H36" s="41">
        <f t="shared" si="2"/>
        <v>17.781304347826087</v>
      </c>
      <c r="I36" s="41">
        <f t="shared" si="2"/>
        <v>3.8424999999999998</v>
      </c>
      <c r="J36" s="41">
        <f t="shared" si="2"/>
        <v>0.50166666666666671</v>
      </c>
      <c r="K36" s="41">
        <f t="shared" si="2"/>
        <v>288.37291666666658</v>
      </c>
      <c r="L36" s="41">
        <f t="shared" si="2"/>
        <v>28.951666666666664</v>
      </c>
      <c r="M36" s="41">
        <f t="shared" si="2"/>
        <v>70.37833333333333</v>
      </c>
      <c r="N36" s="41">
        <f t="shared" si="2"/>
        <v>215.94583333333333</v>
      </c>
      <c r="O36" s="41">
        <f t="shared" si="2"/>
        <v>0</v>
      </c>
      <c r="P36" s="41">
        <f t="shared" si="2"/>
        <v>0.41375000000000001</v>
      </c>
      <c r="Q36" s="41">
        <f t="shared" si="2"/>
        <v>4.5641666666666652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2.9442166043012996</v>
      </c>
      <c r="C37" s="41">
        <f t="shared" ref="C37:Q37" si="3">STDEV(C9:C32)</f>
        <v>1.6717459739593288</v>
      </c>
      <c r="D37" s="41">
        <f t="shared" si="3"/>
        <v>2.6724600565065839</v>
      </c>
      <c r="E37" s="41">
        <f t="shared" si="3"/>
        <v>0.97615149394468304</v>
      </c>
      <c r="F37" s="41">
        <f t="shared" si="3"/>
        <v>2.3066174494204743</v>
      </c>
      <c r="G37" s="41">
        <f t="shared" si="3"/>
        <v>10.487412066744893</v>
      </c>
      <c r="H37" s="41">
        <f t="shared" si="3"/>
        <v>4.5093612774354961</v>
      </c>
      <c r="I37" s="41">
        <f t="shared" si="3"/>
        <v>0.42799075569049927</v>
      </c>
      <c r="J37" s="41">
        <f t="shared" si="3"/>
        <v>0.17529271585517756</v>
      </c>
      <c r="K37" s="41">
        <f t="shared" si="3"/>
        <v>61.081406726146952</v>
      </c>
      <c r="L37" s="41">
        <f t="shared" si="3"/>
        <v>2.6910861984590015</v>
      </c>
      <c r="M37" s="41">
        <f t="shared" si="3"/>
        <v>12.037992634433209</v>
      </c>
      <c r="N37" s="41">
        <f t="shared" si="3"/>
        <v>284.20206984401636</v>
      </c>
      <c r="O37" s="41">
        <f t="shared" si="3"/>
        <v>0</v>
      </c>
      <c r="P37" s="41">
        <f t="shared" si="3"/>
        <v>3.2812047098323353E-2</v>
      </c>
      <c r="Q37" s="41">
        <f t="shared" si="3"/>
        <v>0.17878616488318738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10"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753</v>
      </c>
      <c r="B9" s="52">
        <v>15.11</v>
      </c>
      <c r="C9" s="52">
        <v>22.46</v>
      </c>
      <c r="D9" s="52">
        <v>24.57</v>
      </c>
      <c r="E9" s="52">
        <v>4.83</v>
      </c>
      <c r="F9" s="52">
        <v>2.91</v>
      </c>
      <c r="G9" s="52">
        <v>76.010000000000005</v>
      </c>
      <c r="H9" s="52">
        <v>26.1</v>
      </c>
      <c r="I9" s="52">
        <v>4.46</v>
      </c>
      <c r="J9" s="52">
        <v>0.24</v>
      </c>
      <c r="K9" s="52">
        <v>199.51</v>
      </c>
      <c r="L9" s="52">
        <v>25.66</v>
      </c>
      <c r="M9" s="52">
        <v>83.83</v>
      </c>
      <c r="N9" s="52">
        <v>0</v>
      </c>
      <c r="O9" s="52">
        <v>0</v>
      </c>
      <c r="P9" s="52">
        <v>0.46</v>
      </c>
      <c r="Q9" s="52">
        <v>5.04</v>
      </c>
    </row>
    <row r="10" spans="1:21" customFormat="1">
      <c r="A10" s="51" t="s">
        <v>754</v>
      </c>
      <c r="B10" s="52">
        <v>16.149999999999999</v>
      </c>
      <c r="C10" s="52">
        <v>22.67</v>
      </c>
      <c r="D10" s="52">
        <v>25.76</v>
      </c>
      <c r="E10" s="52">
        <v>4.5199999999999996</v>
      </c>
      <c r="F10" s="52">
        <v>3.13</v>
      </c>
      <c r="G10" s="52">
        <v>66.27</v>
      </c>
      <c r="H10" s="52">
        <v>22</v>
      </c>
      <c r="I10" s="52">
        <v>4.58</v>
      </c>
      <c r="J10" s="52">
        <v>0.21</v>
      </c>
      <c r="K10" s="52">
        <v>183.38</v>
      </c>
      <c r="L10" s="52">
        <v>25.36</v>
      </c>
      <c r="M10" s="52">
        <v>88.66</v>
      </c>
      <c r="N10" s="52">
        <v>0</v>
      </c>
      <c r="O10" s="52">
        <v>0</v>
      </c>
      <c r="P10" s="52">
        <v>0.48</v>
      </c>
      <c r="Q10" s="52">
        <v>5.12</v>
      </c>
    </row>
    <row r="11" spans="1:21" customFormat="1">
      <c r="A11" s="51" t="s">
        <v>755</v>
      </c>
      <c r="B11" s="52">
        <v>16.45</v>
      </c>
      <c r="C11" s="52">
        <v>21.64</v>
      </c>
      <c r="D11" s="52">
        <v>25.65</v>
      </c>
      <c r="E11" s="52">
        <v>5.0199999999999996</v>
      </c>
      <c r="F11" s="52">
        <v>2.92</v>
      </c>
      <c r="G11" s="52">
        <v>53.2</v>
      </c>
      <c r="H11" s="52">
        <v>16.170000000000002</v>
      </c>
      <c r="I11" s="52">
        <v>4.49</v>
      </c>
      <c r="J11" s="52">
        <v>0.2</v>
      </c>
      <c r="K11" s="52">
        <v>203.17</v>
      </c>
      <c r="L11" s="52">
        <v>24.73</v>
      </c>
      <c r="M11" s="52">
        <v>91.84</v>
      </c>
      <c r="N11" s="52">
        <v>0</v>
      </c>
      <c r="O11" s="52">
        <v>0</v>
      </c>
      <c r="P11" s="52">
        <v>0.46</v>
      </c>
      <c r="Q11" s="52">
        <v>5.1100000000000003</v>
      </c>
    </row>
    <row r="12" spans="1:21" customFormat="1">
      <c r="A12" s="51" t="s">
        <v>756</v>
      </c>
      <c r="B12" s="52">
        <v>16.64</v>
      </c>
      <c r="C12" s="52">
        <v>20.51</v>
      </c>
      <c r="D12" s="52">
        <v>25.26</v>
      </c>
      <c r="E12" s="52">
        <v>4.8499999999999996</v>
      </c>
      <c r="F12" s="52">
        <v>2.75</v>
      </c>
      <c r="G12" s="52">
        <v>37.94</v>
      </c>
      <c r="H12" s="52">
        <v>14.21</v>
      </c>
      <c r="I12" s="52">
        <v>4.45</v>
      </c>
      <c r="J12" s="52">
        <v>0.26</v>
      </c>
      <c r="K12" s="52">
        <v>193.75</v>
      </c>
      <c r="L12" s="52">
        <v>24.44</v>
      </c>
      <c r="M12" s="52">
        <v>92.68</v>
      </c>
      <c r="N12" s="52">
        <v>0</v>
      </c>
      <c r="O12" s="52">
        <v>0</v>
      </c>
      <c r="P12" s="52">
        <v>0.45</v>
      </c>
      <c r="Q12" s="52">
        <v>5.09</v>
      </c>
    </row>
    <row r="13" spans="1:21" customFormat="1">
      <c r="A13" s="51" t="s">
        <v>757</v>
      </c>
      <c r="B13" s="52">
        <v>16.82</v>
      </c>
      <c r="C13" s="52">
        <v>20.29</v>
      </c>
      <c r="D13" s="52">
        <v>25.39</v>
      </c>
      <c r="E13" s="52">
        <v>4.67</v>
      </c>
      <c r="F13" s="52">
        <v>2.69</v>
      </c>
      <c r="G13" s="52">
        <v>34.200000000000003</v>
      </c>
      <c r="H13" s="52">
        <v>12.42</v>
      </c>
      <c r="I13" s="52">
        <v>4.43</v>
      </c>
      <c r="J13" s="52">
        <v>0.18</v>
      </c>
      <c r="K13" s="52">
        <v>166.8</v>
      </c>
      <c r="L13" s="52">
        <v>24.54</v>
      </c>
      <c r="M13" s="52">
        <v>94.63</v>
      </c>
      <c r="N13" s="52">
        <v>0</v>
      </c>
      <c r="O13" s="52">
        <v>0</v>
      </c>
      <c r="P13" s="52">
        <v>0.45</v>
      </c>
      <c r="Q13" s="52">
        <v>5.0999999999999996</v>
      </c>
    </row>
    <row r="14" spans="1:21" customFormat="1">
      <c r="A14" s="51" t="s">
        <v>758</v>
      </c>
      <c r="B14" s="52">
        <v>16.98</v>
      </c>
      <c r="C14" s="52">
        <v>19.84</v>
      </c>
      <c r="D14" s="52">
        <v>25.21</v>
      </c>
      <c r="E14" s="52">
        <v>5.26</v>
      </c>
      <c r="F14" s="52">
        <v>2.5499999999999998</v>
      </c>
      <c r="G14" s="52">
        <v>30.24</v>
      </c>
      <c r="H14" s="52">
        <v>12.7</v>
      </c>
      <c r="I14" s="52">
        <v>4.46</v>
      </c>
      <c r="J14" s="52">
        <v>0.19</v>
      </c>
      <c r="K14" s="52">
        <v>168.31</v>
      </c>
      <c r="L14" s="52">
        <v>24.55</v>
      </c>
      <c r="M14" s="52">
        <v>94.4</v>
      </c>
      <c r="N14" s="52">
        <v>2.5</v>
      </c>
      <c r="O14" s="52">
        <v>0</v>
      </c>
      <c r="P14" s="52">
        <v>0.44</v>
      </c>
      <c r="Q14" s="52">
        <v>5.12</v>
      </c>
    </row>
    <row r="15" spans="1:21" customFormat="1">
      <c r="A15" s="51" t="s">
        <v>759</v>
      </c>
      <c r="B15" s="52">
        <v>17.13</v>
      </c>
      <c r="C15" s="52">
        <v>19.57</v>
      </c>
      <c r="D15" s="52">
        <v>25.28</v>
      </c>
      <c r="E15" s="52">
        <v>5.28</v>
      </c>
      <c r="F15" s="52">
        <v>2.96</v>
      </c>
      <c r="G15" s="52">
        <v>33.549999999999997</v>
      </c>
      <c r="H15" s="52">
        <v>12.7</v>
      </c>
      <c r="I15" s="52">
        <v>4.63</v>
      </c>
      <c r="J15" s="52">
        <v>0.23</v>
      </c>
      <c r="K15" s="52">
        <v>175.71</v>
      </c>
      <c r="L15" s="52">
        <v>26.06</v>
      </c>
      <c r="M15" s="52">
        <v>93.84</v>
      </c>
      <c r="N15" s="52">
        <v>63.1</v>
      </c>
      <c r="O15" s="52">
        <v>0</v>
      </c>
      <c r="P15" s="52">
        <v>0.45</v>
      </c>
      <c r="Q15" s="52">
        <v>5.09</v>
      </c>
    </row>
    <row r="16" spans="1:21" customFormat="1">
      <c r="A16" s="51" t="s">
        <v>760</v>
      </c>
      <c r="B16" s="52">
        <v>17.05</v>
      </c>
      <c r="C16" s="52">
        <v>19.600000000000001</v>
      </c>
      <c r="D16" s="52">
        <v>25.21</v>
      </c>
      <c r="E16" s="52">
        <v>7.87</v>
      </c>
      <c r="F16" s="52">
        <v>3.74</v>
      </c>
      <c r="G16" s="52">
        <v>36.81</v>
      </c>
      <c r="H16" s="52">
        <v>11.01</v>
      </c>
      <c r="I16" s="52">
        <v>4.87</v>
      </c>
      <c r="J16" s="52">
        <v>0.34</v>
      </c>
      <c r="K16" s="52">
        <v>340.11</v>
      </c>
      <c r="L16" s="52">
        <v>28.34</v>
      </c>
      <c r="M16" s="52">
        <v>88.27</v>
      </c>
      <c r="N16" s="52">
        <v>211.5</v>
      </c>
      <c r="O16" s="52">
        <v>0</v>
      </c>
      <c r="P16" s="52">
        <v>0.44</v>
      </c>
      <c r="Q16" s="52">
        <v>5.1100000000000003</v>
      </c>
    </row>
    <row r="17" spans="1:17" customFormat="1">
      <c r="A17" s="51" t="s">
        <v>761</v>
      </c>
      <c r="B17" s="52">
        <v>17.170000000000002</v>
      </c>
      <c r="C17" s="52">
        <v>20.57</v>
      </c>
      <c r="D17" s="52">
        <v>25.75</v>
      </c>
      <c r="E17" s="52">
        <v>10.119999999999999</v>
      </c>
      <c r="F17" s="52">
        <v>3.61</v>
      </c>
      <c r="G17" s="52">
        <v>50.56</v>
      </c>
      <c r="H17" s="52">
        <v>15.71</v>
      </c>
      <c r="I17" s="52">
        <v>5.14</v>
      </c>
      <c r="J17" s="52">
        <v>0.43</v>
      </c>
      <c r="K17" s="52">
        <v>357.36</v>
      </c>
      <c r="L17" s="52">
        <v>29.98</v>
      </c>
      <c r="M17" s="52">
        <v>75.67</v>
      </c>
      <c r="N17" s="52">
        <v>268.89999999999998</v>
      </c>
      <c r="O17" s="52">
        <v>0</v>
      </c>
      <c r="P17" s="52">
        <v>0.47</v>
      </c>
      <c r="Q17" s="52">
        <v>5.16</v>
      </c>
    </row>
    <row r="18" spans="1:17" customFormat="1">
      <c r="A18" s="51" t="s">
        <v>762</v>
      </c>
      <c r="B18" s="52">
        <v>17.27</v>
      </c>
      <c r="C18" s="52">
        <v>20.309999999999999</v>
      </c>
      <c r="D18" s="52">
        <v>25.63</v>
      </c>
      <c r="E18" s="52">
        <v>16.27</v>
      </c>
      <c r="F18" s="52">
        <v>4.8499999999999996</v>
      </c>
      <c r="G18" s="52">
        <v>71.72</v>
      </c>
      <c r="H18" s="52">
        <v>17.29</v>
      </c>
      <c r="I18" s="52">
        <v>5.12</v>
      </c>
      <c r="J18" s="52">
        <v>0.76</v>
      </c>
      <c r="K18" s="52">
        <v>34.28</v>
      </c>
      <c r="L18" s="52">
        <v>31.84</v>
      </c>
      <c r="M18" s="52">
        <v>70.650000000000006</v>
      </c>
      <c r="N18" s="52">
        <v>530.1</v>
      </c>
      <c r="O18" s="52">
        <v>0</v>
      </c>
      <c r="P18" s="52">
        <v>0.5</v>
      </c>
      <c r="Q18" s="52">
        <v>5.15</v>
      </c>
    </row>
    <row r="19" spans="1:17" customFormat="1">
      <c r="A19" s="51" t="s">
        <v>763</v>
      </c>
      <c r="B19" s="52">
        <v>16.54</v>
      </c>
      <c r="C19" s="52">
        <v>20.63</v>
      </c>
      <c r="D19" s="52">
        <v>25.26</v>
      </c>
      <c r="E19" s="52">
        <v>11.18</v>
      </c>
      <c r="F19" s="52">
        <v>5.04</v>
      </c>
      <c r="G19" s="52">
        <v>74.31</v>
      </c>
      <c r="H19" s="52">
        <v>19.47</v>
      </c>
      <c r="I19" s="52">
        <v>5.08</v>
      </c>
      <c r="J19" s="52">
        <v>0.54</v>
      </c>
      <c r="K19" s="52">
        <v>353.68</v>
      </c>
      <c r="L19" s="52">
        <v>32.369999999999997</v>
      </c>
      <c r="M19" s="52">
        <v>64.489999999999995</v>
      </c>
      <c r="N19" s="52">
        <v>538.4</v>
      </c>
      <c r="O19" s="52">
        <v>0</v>
      </c>
      <c r="P19" s="52">
        <v>0.5</v>
      </c>
      <c r="Q19" s="52">
        <v>5.17</v>
      </c>
    </row>
    <row r="20" spans="1:17" customFormat="1">
      <c r="A20" s="51" t="s">
        <v>764</v>
      </c>
      <c r="B20" s="52">
        <v>14.49</v>
      </c>
      <c r="C20" s="52">
        <v>20.56</v>
      </c>
      <c r="D20" s="52">
        <v>23.71</v>
      </c>
      <c r="E20" s="52">
        <v>17.36</v>
      </c>
      <c r="F20" s="52">
        <v>10.82</v>
      </c>
      <c r="G20" s="52">
        <v>76</v>
      </c>
      <c r="H20" s="52">
        <v>23.65</v>
      </c>
      <c r="I20" s="52">
        <v>5</v>
      </c>
      <c r="J20" s="52">
        <v>0.67</v>
      </c>
      <c r="K20" s="52">
        <v>38.840000000000003</v>
      </c>
      <c r="L20" s="52">
        <v>32.03</v>
      </c>
      <c r="M20" s="52">
        <v>65.459999999999994</v>
      </c>
      <c r="N20" s="52">
        <v>666</v>
      </c>
      <c r="O20" s="52">
        <v>0</v>
      </c>
      <c r="P20" s="52">
        <v>0.5</v>
      </c>
      <c r="Q20" s="52">
        <v>5.0599999999999996</v>
      </c>
    </row>
    <row r="21" spans="1:17" customFormat="1">
      <c r="A21" s="51" t="s">
        <v>765</v>
      </c>
      <c r="B21" s="52">
        <v>12.88</v>
      </c>
      <c r="C21" s="52">
        <v>19.04</v>
      </c>
      <c r="D21" s="52">
        <v>21.37</v>
      </c>
      <c r="E21" s="52">
        <v>12.3</v>
      </c>
      <c r="F21" s="52">
        <v>10.73</v>
      </c>
      <c r="G21" s="52">
        <v>76.09</v>
      </c>
      <c r="H21" s="52">
        <v>23.65</v>
      </c>
      <c r="I21" s="52">
        <v>4.6100000000000003</v>
      </c>
      <c r="J21" s="52">
        <v>0.71</v>
      </c>
      <c r="K21" s="52">
        <v>40.07</v>
      </c>
      <c r="L21" s="52">
        <v>32.340000000000003</v>
      </c>
      <c r="M21" s="52">
        <v>60.48</v>
      </c>
      <c r="N21" s="52">
        <v>623.5</v>
      </c>
      <c r="O21" s="52">
        <v>0</v>
      </c>
      <c r="P21" s="52">
        <v>0.47</v>
      </c>
      <c r="Q21" s="52">
        <v>4.8499999999999996</v>
      </c>
    </row>
    <row r="22" spans="1:17" customFormat="1">
      <c r="A22" s="51" t="s">
        <v>766</v>
      </c>
      <c r="B22" s="52">
        <v>11.57</v>
      </c>
      <c r="C22" s="52">
        <v>18.399999999999999</v>
      </c>
      <c r="D22" s="52">
        <v>20.239999999999998</v>
      </c>
      <c r="E22" s="52">
        <v>7.39</v>
      </c>
      <c r="F22" s="52">
        <v>9.99</v>
      </c>
      <c r="G22" s="52">
        <v>66.23</v>
      </c>
      <c r="H22" s="52">
        <v>17.149999999999999</v>
      </c>
      <c r="I22" s="52">
        <v>4.33</v>
      </c>
      <c r="J22" s="52">
        <v>0.41</v>
      </c>
      <c r="K22" s="52">
        <v>173.24</v>
      </c>
      <c r="L22" s="52">
        <v>32.08</v>
      </c>
      <c r="M22" s="52">
        <v>66.099999999999994</v>
      </c>
      <c r="N22" s="52">
        <v>299.2</v>
      </c>
      <c r="O22" s="52">
        <v>0</v>
      </c>
      <c r="P22" s="52">
        <v>0.48</v>
      </c>
      <c r="Q22" s="52">
        <v>4.8099999999999996</v>
      </c>
    </row>
    <row r="23" spans="1:17" customFormat="1">
      <c r="A23" s="51" t="s">
        <v>767</v>
      </c>
      <c r="B23" s="52">
        <v>10.8</v>
      </c>
      <c r="C23" s="52">
        <v>17.82</v>
      </c>
      <c r="D23" s="52">
        <v>19.32</v>
      </c>
      <c r="E23" s="52">
        <v>6.87</v>
      </c>
      <c r="F23" s="52">
        <v>9.6199999999999992</v>
      </c>
      <c r="G23" s="52">
        <v>63.74</v>
      </c>
      <c r="H23" s="52">
        <v>15.87</v>
      </c>
      <c r="I23" s="52">
        <v>4.29</v>
      </c>
      <c r="J23" s="52">
        <v>0.34</v>
      </c>
      <c r="K23" s="52">
        <v>217.47</v>
      </c>
      <c r="L23" s="52">
        <v>31.65</v>
      </c>
      <c r="M23" s="52">
        <v>70.52</v>
      </c>
      <c r="N23" s="52">
        <v>343.2</v>
      </c>
      <c r="O23" s="52">
        <v>0</v>
      </c>
      <c r="P23" s="52">
        <v>0.51</v>
      </c>
      <c r="Q23" s="52">
        <v>4.67</v>
      </c>
    </row>
    <row r="24" spans="1:17" customFormat="1">
      <c r="A24" s="51" t="s">
        <v>768</v>
      </c>
      <c r="B24" s="52">
        <v>9.25</v>
      </c>
      <c r="C24" s="52">
        <v>16.260000000000002</v>
      </c>
      <c r="D24" s="52">
        <v>17.09</v>
      </c>
      <c r="E24" s="52">
        <v>7.1</v>
      </c>
      <c r="F24" s="52">
        <v>11</v>
      </c>
      <c r="G24" s="52">
        <v>55.24</v>
      </c>
      <c r="H24" s="52">
        <v>16.21</v>
      </c>
      <c r="I24" s="52">
        <v>4.21</v>
      </c>
      <c r="J24" s="52">
        <v>0.34</v>
      </c>
      <c r="K24" s="52">
        <v>260.16000000000003</v>
      </c>
      <c r="L24" s="52">
        <v>32.69</v>
      </c>
      <c r="M24" s="52">
        <v>67.959999999999994</v>
      </c>
      <c r="N24" s="52">
        <v>480.4</v>
      </c>
      <c r="O24" s="52">
        <v>0</v>
      </c>
      <c r="P24" s="52">
        <v>0.51</v>
      </c>
      <c r="Q24" s="52">
        <v>4.5199999999999996</v>
      </c>
    </row>
    <row r="25" spans="1:17" customFormat="1">
      <c r="A25" s="51" t="s">
        <v>769</v>
      </c>
      <c r="B25" s="52">
        <v>8.49</v>
      </c>
      <c r="C25" s="52">
        <v>17.22</v>
      </c>
      <c r="D25" s="52">
        <v>17.09</v>
      </c>
      <c r="E25" s="52">
        <v>6.57</v>
      </c>
      <c r="F25" s="52">
        <v>9.39</v>
      </c>
      <c r="G25" s="52">
        <v>55.26</v>
      </c>
      <c r="H25" s="52">
        <v>16.21</v>
      </c>
      <c r="I25" s="52">
        <v>4.22</v>
      </c>
      <c r="J25" s="52">
        <v>1.05</v>
      </c>
      <c r="K25" s="52">
        <v>323.11</v>
      </c>
      <c r="L25" s="52">
        <v>31.73</v>
      </c>
      <c r="M25" s="52">
        <v>99.56</v>
      </c>
      <c r="N25" s="52">
        <v>129.30000000000001</v>
      </c>
      <c r="O25" s="52">
        <v>12.4</v>
      </c>
      <c r="P25" s="52">
        <v>0.51</v>
      </c>
      <c r="Q25" s="52">
        <v>4.46</v>
      </c>
    </row>
    <row r="26" spans="1:17" customFormat="1">
      <c r="A26" s="51" t="s">
        <v>770</v>
      </c>
      <c r="B26" s="52">
        <v>8.16</v>
      </c>
      <c r="C26" s="52">
        <v>17.62</v>
      </c>
      <c r="D26" s="52">
        <v>16.95</v>
      </c>
      <c r="E26" s="52">
        <v>5.14</v>
      </c>
      <c r="F26" s="52">
        <v>4.12</v>
      </c>
      <c r="G26" s="52">
        <v>51.08</v>
      </c>
      <c r="H26" s="52">
        <v>15.42</v>
      </c>
      <c r="I26" s="52">
        <v>4.1399999999999997</v>
      </c>
      <c r="J26" s="52">
        <v>0.78</v>
      </c>
      <c r="K26" s="52">
        <v>286.94</v>
      </c>
      <c r="L26" s="52">
        <v>24.21</v>
      </c>
      <c r="M26" s="52">
        <v>101.24</v>
      </c>
      <c r="N26" s="52">
        <v>2.9</v>
      </c>
      <c r="O26" s="52">
        <v>0.2</v>
      </c>
      <c r="P26" s="52">
        <v>0.47</v>
      </c>
      <c r="Q26" s="52">
        <v>4.37</v>
      </c>
    </row>
    <row r="27" spans="1:17" customFormat="1">
      <c r="A27" s="51" t="s">
        <v>771</v>
      </c>
      <c r="B27" s="52">
        <v>10.26</v>
      </c>
      <c r="C27" s="52">
        <v>19.559999999999999</v>
      </c>
      <c r="D27" s="52">
        <v>19.8</v>
      </c>
      <c r="E27" s="52">
        <v>2.5099999999999998</v>
      </c>
      <c r="F27" s="52">
        <v>2.69</v>
      </c>
      <c r="G27" s="52">
        <v>44.32</v>
      </c>
      <c r="H27" s="52">
        <v>14.91</v>
      </c>
      <c r="I27" s="52">
        <v>5.05</v>
      </c>
      <c r="J27" s="52">
        <v>0.16</v>
      </c>
      <c r="K27" s="52">
        <v>200.2</v>
      </c>
      <c r="L27" s="52">
        <v>24.99</v>
      </c>
      <c r="M27" s="52">
        <v>102.39</v>
      </c>
      <c r="N27" s="52">
        <v>0</v>
      </c>
      <c r="O27" s="52">
        <v>0</v>
      </c>
      <c r="P27" s="52">
        <v>0.56999999999999995</v>
      </c>
      <c r="Q27" s="52">
        <v>4.54</v>
      </c>
    </row>
    <row r="28" spans="1:17" customFormat="1">
      <c r="A28" s="51" t="s">
        <v>772</v>
      </c>
      <c r="B28" s="52">
        <v>10.66</v>
      </c>
      <c r="C28" s="52">
        <v>20.190000000000001</v>
      </c>
      <c r="D28" s="52">
        <v>20.13</v>
      </c>
      <c r="E28" s="52">
        <v>3.03</v>
      </c>
      <c r="F28" s="52">
        <v>2.6</v>
      </c>
      <c r="G28" s="52">
        <v>44.56</v>
      </c>
      <c r="H28" s="52">
        <v>14.91</v>
      </c>
      <c r="I28" s="52">
        <v>7.16</v>
      </c>
      <c r="J28" s="52">
        <v>0.23</v>
      </c>
      <c r="K28" s="52">
        <v>191.06</v>
      </c>
      <c r="L28" s="52">
        <v>25.14</v>
      </c>
      <c r="M28" s="52">
        <v>103.01</v>
      </c>
      <c r="N28" s="52">
        <v>0</v>
      </c>
      <c r="O28" s="52">
        <v>0</v>
      </c>
      <c r="P28" s="52">
        <v>0.61</v>
      </c>
      <c r="Q28" s="52">
        <v>4.6100000000000003</v>
      </c>
    </row>
    <row r="29" spans="1:17" customFormat="1">
      <c r="A29" s="51" t="s">
        <v>773</v>
      </c>
      <c r="B29" s="52">
        <v>14.49</v>
      </c>
      <c r="C29" s="52">
        <v>20.52</v>
      </c>
      <c r="D29" s="52">
        <v>23.62</v>
      </c>
      <c r="E29" s="52">
        <v>3.44</v>
      </c>
      <c r="F29" s="52">
        <v>2.17</v>
      </c>
      <c r="G29" s="52">
        <v>52.27</v>
      </c>
      <c r="H29" s="52">
        <v>15.68</v>
      </c>
      <c r="I29" s="52">
        <v>5.72</v>
      </c>
      <c r="J29" s="52">
        <v>0.12</v>
      </c>
      <c r="K29" s="52">
        <v>293.82</v>
      </c>
      <c r="L29" s="52">
        <v>25.52</v>
      </c>
      <c r="M29" s="52">
        <v>103.67</v>
      </c>
      <c r="N29" s="52">
        <v>0</v>
      </c>
      <c r="O29" s="52">
        <v>0</v>
      </c>
      <c r="P29" s="52">
        <v>0.74</v>
      </c>
      <c r="Q29" s="52">
        <v>4.91</v>
      </c>
    </row>
    <row r="30" spans="1:17" customFormat="1">
      <c r="A30" s="51" t="s">
        <v>774</v>
      </c>
      <c r="B30" s="52">
        <v>19.22</v>
      </c>
      <c r="C30" s="52">
        <v>23.46</v>
      </c>
      <c r="D30" s="52">
        <v>29.02</v>
      </c>
      <c r="E30" s="52">
        <v>3.32</v>
      </c>
      <c r="F30" s="52">
        <v>2.36</v>
      </c>
      <c r="G30" s="52">
        <v>59.05</v>
      </c>
      <c r="H30" s="52">
        <v>22.27</v>
      </c>
      <c r="I30" s="52">
        <v>6.62</v>
      </c>
      <c r="J30" s="52">
        <v>0.18</v>
      </c>
      <c r="K30" s="52">
        <v>227.21</v>
      </c>
      <c r="L30" s="52">
        <v>25.5</v>
      </c>
      <c r="M30" s="52">
        <v>100.94</v>
      </c>
      <c r="N30" s="52">
        <v>0</v>
      </c>
      <c r="O30" s="52">
        <v>0</v>
      </c>
      <c r="P30" s="52">
        <v>0.77</v>
      </c>
      <c r="Q30" s="52">
        <v>5.16</v>
      </c>
    </row>
    <row r="31" spans="1:17" customFormat="1">
      <c r="A31" s="51" t="s">
        <v>775</v>
      </c>
      <c r="B31" s="52">
        <v>18.86</v>
      </c>
      <c r="C31" s="52">
        <v>22.12</v>
      </c>
      <c r="D31" s="52">
        <v>27.86</v>
      </c>
      <c r="E31" s="52">
        <v>3.23</v>
      </c>
      <c r="F31" s="52">
        <v>2.44</v>
      </c>
      <c r="G31" s="52">
        <v>65</v>
      </c>
      <c r="H31" s="52">
        <v>25.23</v>
      </c>
      <c r="I31" s="52">
        <v>6.94</v>
      </c>
      <c r="J31" s="52">
        <v>0.3</v>
      </c>
      <c r="K31" s="52">
        <v>192.07</v>
      </c>
      <c r="L31" s="52">
        <v>25.4</v>
      </c>
      <c r="M31" s="52">
        <v>98</v>
      </c>
      <c r="N31" s="52">
        <v>0</v>
      </c>
      <c r="O31" s="52">
        <v>0</v>
      </c>
      <c r="P31" s="52">
        <v>0.8</v>
      </c>
      <c r="Q31" s="52">
        <v>5.31</v>
      </c>
    </row>
    <row r="32" spans="1:17" customFormat="1">
      <c r="A32" s="51" t="s">
        <v>776</v>
      </c>
      <c r="B32" s="52">
        <v>18.97</v>
      </c>
      <c r="C32" s="52">
        <v>21.37</v>
      </c>
      <c r="D32" s="52">
        <v>27.66</v>
      </c>
      <c r="E32" s="52">
        <v>3.77</v>
      </c>
      <c r="F32" s="52">
        <v>2.4700000000000002</v>
      </c>
      <c r="G32" s="52">
        <v>65.25</v>
      </c>
      <c r="H32" s="52">
        <v>25.23</v>
      </c>
      <c r="I32" s="52">
        <v>6.98</v>
      </c>
      <c r="J32" s="52">
        <v>0.2</v>
      </c>
      <c r="K32" s="52">
        <v>188.22</v>
      </c>
      <c r="L32" s="52">
        <v>25.22</v>
      </c>
      <c r="M32" s="52">
        <v>103.63</v>
      </c>
      <c r="N32" s="52">
        <v>0</v>
      </c>
      <c r="O32" s="52">
        <v>0</v>
      </c>
      <c r="P32" s="52">
        <v>0.8</v>
      </c>
      <c r="Q32" s="52">
        <v>5.32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8.16</v>
      </c>
      <c r="C34" s="41">
        <f t="shared" si="0"/>
        <v>16.260000000000002</v>
      </c>
      <c r="D34" s="41">
        <f t="shared" si="0"/>
        <v>16.95</v>
      </c>
      <c r="E34" s="41">
        <f t="shared" si="0"/>
        <v>2.5099999999999998</v>
      </c>
      <c r="F34" s="41">
        <f t="shared" si="0"/>
        <v>2.17</v>
      </c>
      <c r="G34" s="41">
        <f t="shared" si="0"/>
        <v>30.24</v>
      </c>
      <c r="H34" s="41">
        <f t="shared" si="0"/>
        <v>11.01</v>
      </c>
      <c r="I34" s="41">
        <f t="shared" si="0"/>
        <v>4.1399999999999997</v>
      </c>
      <c r="J34" s="41">
        <f t="shared" si="0"/>
        <v>0.12</v>
      </c>
      <c r="K34" s="41">
        <f t="shared" si="0"/>
        <v>34.28</v>
      </c>
      <c r="L34" s="41">
        <f t="shared" si="0"/>
        <v>24.21</v>
      </c>
      <c r="M34" s="41">
        <f t="shared" si="0"/>
        <v>60.48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4.37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19.22</v>
      </c>
      <c r="C35" s="33">
        <f t="shared" si="1"/>
        <v>23.46</v>
      </c>
      <c r="D35" s="33">
        <f t="shared" si="1"/>
        <v>29.02</v>
      </c>
      <c r="E35" s="33">
        <f t="shared" si="1"/>
        <v>17.36</v>
      </c>
      <c r="F35" s="33">
        <f t="shared" si="1"/>
        <v>11</v>
      </c>
      <c r="G35" s="33">
        <f t="shared" si="1"/>
        <v>76.09</v>
      </c>
      <c r="H35" s="33">
        <f t="shared" si="1"/>
        <v>26.1</v>
      </c>
      <c r="I35" s="33">
        <f t="shared" si="1"/>
        <v>7.16</v>
      </c>
      <c r="J35" s="33">
        <f t="shared" si="1"/>
        <v>1.05</v>
      </c>
      <c r="K35" s="33">
        <f t="shared" si="1"/>
        <v>357.36</v>
      </c>
      <c r="L35" s="33">
        <f t="shared" si="1"/>
        <v>32.69</v>
      </c>
      <c r="M35" s="33">
        <f t="shared" si="1"/>
        <v>103.67</v>
      </c>
      <c r="N35" s="33">
        <f t="shared" si="1"/>
        <v>666</v>
      </c>
      <c r="O35" s="33">
        <f t="shared" si="1"/>
        <v>12.4</v>
      </c>
      <c r="P35" s="33">
        <f t="shared" si="1"/>
        <v>0.8</v>
      </c>
      <c r="Q35" s="33">
        <f t="shared" si="1"/>
        <v>5.32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14.642083333333337</v>
      </c>
      <c r="C36" s="41">
        <f t="shared" si="2"/>
        <v>20.092916666666664</v>
      </c>
      <c r="D36" s="41">
        <f t="shared" si="2"/>
        <v>23.451249999999998</v>
      </c>
      <c r="E36" s="41">
        <f t="shared" si="2"/>
        <v>6.7458333333333327</v>
      </c>
      <c r="F36" s="41">
        <f t="shared" si="2"/>
        <v>4.8979166666666663</v>
      </c>
      <c r="G36" s="41">
        <f t="shared" si="2"/>
        <v>55.787499999999994</v>
      </c>
      <c r="H36" s="41">
        <f t="shared" si="2"/>
        <v>17.757083333333338</v>
      </c>
      <c r="I36" s="41">
        <f t="shared" si="2"/>
        <v>5.0408333333333326</v>
      </c>
      <c r="J36" s="41">
        <f t="shared" si="2"/>
        <v>0.37791666666666662</v>
      </c>
      <c r="K36" s="41">
        <f t="shared" si="2"/>
        <v>208.68624999999997</v>
      </c>
      <c r="L36" s="41">
        <f t="shared" si="2"/>
        <v>27.765416666666667</v>
      </c>
      <c r="M36" s="41">
        <f t="shared" si="2"/>
        <v>86.74666666666667</v>
      </c>
      <c r="N36" s="41">
        <f t="shared" si="2"/>
        <v>173.29166666666663</v>
      </c>
      <c r="O36" s="41">
        <f t="shared" si="2"/>
        <v>0.52500000000000002</v>
      </c>
      <c r="P36" s="41">
        <f t="shared" si="2"/>
        <v>0.53500000000000003</v>
      </c>
      <c r="Q36" s="41">
        <f t="shared" si="2"/>
        <v>4.9520833333333334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3.4746134963870814</v>
      </c>
      <c r="C37" s="41">
        <f t="shared" ref="C37:Q37" si="3">STDEV(C9:C32)</f>
        <v>1.7688917659682688</v>
      </c>
      <c r="D37" s="41">
        <f t="shared" si="3"/>
        <v>3.5435665066365938</v>
      </c>
      <c r="E37" s="41">
        <f t="shared" si="3"/>
        <v>4.0064577400976562</v>
      </c>
      <c r="F37" s="41">
        <f t="shared" si="3"/>
        <v>3.2575877700700784</v>
      </c>
      <c r="G37" s="41">
        <f t="shared" si="3"/>
        <v>14.614482468636622</v>
      </c>
      <c r="H37" s="41">
        <f t="shared" si="3"/>
        <v>4.5273021807950693</v>
      </c>
      <c r="I37" s="41">
        <f t="shared" si="3"/>
        <v>0.94116910030149381</v>
      </c>
      <c r="J37" s="41">
        <f t="shared" si="3"/>
        <v>0.24594059315680067</v>
      </c>
      <c r="K37" s="41">
        <f t="shared" si="3"/>
        <v>89.785832077493296</v>
      </c>
      <c r="L37" s="41">
        <f t="shared" si="3"/>
        <v>3.3586630093155927</v>
      </c>
      <c r="M37" s="41">
        <f t="shared" si="3"/>
        <v>14.879802379083502</v>
      </c>
      <c r="N37" s="41">
        <f t="shared" si="3"/>
        <v>233.90020524679488</v>
      </c>
      <c r="O37" s="41">
        <f t="shared" si="3"/>
        <v>2.5296932276635751</v>
      </c>
      <c r="P37" s="41">
        <f t="shared" si="3"/>
        <v>0.11791669867362702</v>
      </c>
      <c r="Q37" s="41">
        <f t="shared" si="3"/>
        <v>0.2788638309854487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topLeftCell="A19" zoomScale="85" zoomScaleNormal="85" workbookViewId="0">
      <selection activeCell="B38" sqref="B38:E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31/08/2023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777</v>
      </c>
      <c r="B9" s="52">
        <v>18.420000000000002</v>
      </c>
      <c r="C9" s="52">
        <v>20.58</v>
      </c>
      <c r="D9" s="52">
        <v>26.88</v>
      </c>
      <c r="E9" s="52">
        <v>3.17</v>
      </c>
      <c r="F9" s="52">
        <v>2.71</v>
      </c>
      <c r="G9" s="52">
        <v>61.76</v>
      </c>
      <c r="H9" s="52">
        <v>23.46</v>
      </c>
      <c r="I9" s="52">
        <v>6.96</v>
      </c>
      <c r="J9" s="52">
        <v>0.12</v>
      </c>
      <c r="K9" s="52">
        <v>216.42</v>
      </c>
      <c r="L9" s="52">
        <v>25.06</v>
      </c>
      <c r="M9" s="52">
        <v>102.86</v>
      </c>
      <c r="N9" s="52">
        <v>0</v>
      </c>
      <c r="O9" s="52">
        <v>0</v>
      </c>
      <c r="P9" s="52">
        <v>0.8</v>
      </c>
      <c r="Q9" s="52">
        <v>5.29</v>
      </c>
    </row>
    <row r="10" spans="1:21" customFormat="1">
      <c r="A10" s="51" t="s">
        <v>778</v>
      </c>
      <c r="B10" s="52">
        <v>19.010000000000002</v>
      </c>
      <c r="C10" s="52">
        <v>19.71</v>
      </c>
      <c r="D10" s="52">
        <v>26.89</v>
      </c>
      <c r="E10" s="52">
        <v>3.67</v>
      </c>
      <c r="F10" s="52">
        <v>2.95</v>
      </c>
      <c r="G10" s="52">
        <v>52.52</v>
      </c>
      <c r="H10" s="52">
        <v>18.309999999999999</v>
      </c>
      <c r="I10" s="52">
        <v>6.88</v>
      </c>
      <c r="J10" s="52">
        <v>0.15</v>
      </c>
      <c r="K10" s="52">
        <v>214.38</v>
      </c>
      <c r="L10" s="52">
        <v>24.97</v>
      </c>
      <c r="M10" s="52">
        <v>102.31</v>
      </c>
      <c r="N10" s="52">
        <v>0</v>
      </c>
      <c r="O10" s="52">
        <v>0</v>
      </c>
      <c r="P10" s="52">
        <v>0.8</v>
      </c>
      <c r="Q10" s="52">
        <v>5.28</v>
      </c>
    </row>
    <row r="11" spans="1:21" customFormat="1">
      <c r="A11" s="51" t="s">
        <v>779</v>
      </c>
      <c r="B11" s="52">
        <v>18.489999999999998</v>
      </c>
      <c r="C11" s="52">
        <v>19.75</v>
      </c>
      <c r="D11" s="52">
        <v>26.5</v>
      </c>
      <c r="E11" s="52">
        <v>6.81</v>
      </c>
      <c r="F11" s="52">
        <v>3.06</v>
      </c>
      <c r="G11" s="52">
        <v>35.14</v>
      </c>
      <c r="H11" s="52">
        <v>15.47</v>
      </c>
      <c r="I11" s="52">
        <v>6.87</v>
      </c>
      <c r="J11" s="52">
        <v>0.12</v>
      </c>
      <c r="K11" s="52">
        <v>202.68</v>
      </c>
      <c r="L11" s="52">
        <v>24.75</v>
      </c>
      <c r="M11" s="52">
        <v>100.96</v>
      </c>
      <c r="N11" s="52">
        <v>0</v>
      </c>
      <c r="O11" s="52">
        <v>0</v>
      </c>
      <c r="P11" s="52">
        <v>0.79</v>
      </c>
      <c r="Q11" s="52">
        <v>5.23</v>
      </c>
    </row>
    <row r="12" spans="1:21" customFormat="1">
      <c r="A12" s="51" t="s">
        <v>780</v>
      </c>
      <c r="B12" s="52">
        <v>18.420000000000002</v>
      </c>
      <c r="C12" s="52">
        <v>19.079999999999998</v>
      </c>
      <c r="D12" s="52">
        <v>25.97</v>
      </c>
      <c r="E12" s="52">
        <v>6.84</v>
      </c>
      <c r="F12" s="52">
        <v>3.07</v>
      </c>
      <c r="G12" s="52">
        <v>30.15</v>
      </c>
      <c r="H12" s="52">
        <v>14.97</v>
      </c>
      <c r="I12" s="52">
        <v>6.9</v>
      </c>
      <c r="J12" s="52">
        <v>0.12</v>
      </c>
      <c r="K12" s="52">
        <v>221.82</v>
      </c>
      <c r="L12" s="52">
        <v>24.72</v>
      </c>
      <c r="M12" s="52">
        <v>101.11</v>
      </c>
      <c r="N12" s="52">
        <v>0</v>
      </c>
      <c r="O12" s="52">
        <v>0</v>
      </c>
      <c r="P12" s="52">
        <v>0.79</v>
      </c>
      <c r="Q12" s="52">
        <v>5.18</v>
      </c>
    </row>
    <row r="13" spans="1:21" customFormat="1">
      <c r="A13" s="51" t="s">
        <v>781</v>
      </c>
      <c r="B13" s="52">
        <v>18.27</v>
      </c>
      <c r="C13" s="52">
        <v>19.260000000000002</v>
      </c>
      <c r="D13" s="52">
        <v>25.84</v>
      </c>
      <c r="E13" s="52">
        <v>6.63</v>
      </c>
      <c r="F13" s="52">
        <v>2.71</v>
      </c>
      <c r="G13" s="52">
        <v>29.03</v>
      </c>
      <c r="H13" s="52">
        <v>10.57</v>
      </c>
      <c r="I13" s="52">
        <v>6.71</v>
      </c>
      <c r="J13" s="52">
        <v>0.13</v>
      </c>
      <c r="K13" s="52">
        <v>197.28</v>
      </c>
      <c r="L13" s="52">
        <v>24.74</v>
      </c>
      <c r="M13" s="52">
        <v>101.29</v>
      </c>
      <c r="N13" s="52">
        <v>0</v>
      </c>
      <c r="O13" s="52">
        <v>0</v>
      </c>
      <c r="P13" s="52">
        <v>0.78</v>
      </c>
      <c r="Q13" s="52">
        <v>5.18</v>
      </c>
    </row>
    <row r="14" spans="1:21" customFormat="1">
      <c r="A14" s="51" t="s">
        <v>782</v>
      </c>
      <c r="B14" s="52">
        <v>18.260000000000002</v>
      </c>
      <c r="C14" s="52">
        <v>19.190000000000001</v>
      </c>
      <c r="D14" s="52">
        <v>25.99</v>
      </c>
      <c r="E14" s="52">
        <v>6.81</v>
      </c>
      <c r="F14" s="52">
        <v>2.64</v>
      </c>
      <c r="G14" s="52">
        <v>26.26</v>
      </c>
      <c r="H14" s="52">
        <v>12.94</v>
      </c>
      <c r="I14" s="52">
        <v>6.52</v>
      </c>
      <c r="J14" s="52">
        <v>0.24</v>
      </c>
      <c r="K14" s="52">
        <v>253.75</v>
      </c>
      <c r="L14" s="52">
        <v>24.63</v>
      </c>
      <c r="M14" s="52">
        <v>101.48</v>
      </c>
      <c r="N14" s="52">
        <v>3.8</v>
      </c>
      <c r="O14" s="52">
        <v>0</v>
      </c>
      <c r="P14" s="52">
        <v>0.76</v>
      </c>
      <c r="Q14" s="52">
        <v>5.17</v>
      </c>
    </row>
    <row r="15" spans="1:21" customFormat="1">
      <c r="A15" s="51" t="s">
        <v>783</v>
      </c>
      <c r="B15" s="52">
        <v>20</v>
      </c>
      <c r="C15" s="52">
        <v>20.61</v>
      </c>
      <c r="D15" s="52">
        <v>27.28</v>
      </c>
      <c r="E15" s="52">
        <v>7.33</v>
      </c>
      <c r="F15" s="52">
        <v>2.73</v>
      </c>
      <c r="G15" s="52">
        <v>30.32</v>
      </c>
      <c r="H15" s="52">
        <v>12.94</v>
      </c>
      <c r="I15" s="52">
        <v>6.45</v>
      </c>
      <c r="J15" s="52">
        <v>0.15</v>
      </c>
      <c r="K15" s="52">
        <v>172.64</v>
      </c>
      <c r="L15" s="52">
        <v>25.77</v>
      </c>
      <c r="M15" s="52">
        <v>101.02</v>
      </c>
      <c r="N15" s="52">
        <v>64.099999999999994</v>
      </c>
      <c r="O15" s="52">
        <v>0</v>
      </c>
      <c r="P15" s="52">
        <v>0.77</v>
      </c>
      <c r="Q15" s="52">
        <v>5.31</v>
      </c>
    </row>
    <row r="16" spans="1:21" customFormat="1">
      <c r="A16" s="51" t="s">
        <v>784</v>
      </c>
      <c r="B16" s="52">
        <v>20.43</v>
      </c>
      <c r="C16" s="52">
        <v>20.76</v>
      </c>
      <c r="D16" s="52">
        <v>28.52</v>
      </c>
      <c r="E16" s="52">
        <v>7.19</v>
      </c>
      <c r="F16" s="52">
        <v>2.97</v>
      </c>
      <c r="G16" s="52">
        <v>31.3</v>
      </c>
      <c r="H16" s="52">
        <v>11.32</v>
      </c>
      <c r="I16" s="52">
        <v>6.57</v>
      </c>
      <c r="J16" s="52">
        <v>0.23</v>
      </c>
      <c r="K16" s="52">
        <v>258.85000000000002</v>
      </c>
      <c r="L16" s="52">
        <v>27.68</v>
      </c>
      <c r="M16" s="52">
        <v>92.75</v>
      </c>
      <c r="N16" s="52">
        <v>230.2</v>
      </c>
      <c r="O16" s="52">
        <v>0</v>
      </c>
      <c r="P16" s="52">
        <v>0.74</v>
      </c>
      <c r="Q16" s="52">
        <v>5.35</v>
      </c>
    </row>
    <row r="17" spans="1:17" customFormat="1">
      <c r="A17" s="51" t="s">
        <v>785</v>
      </c>
      <c r="B17" s="52">
        <v>19.88</v>
      </c>
      <c r="C17" s="52">
        <v>20.21</v>
      </c>
      <c r="D17" s="52">
        <v>26.93</v>
      </c>
      <c r="E17" s="52">
        <v>7.42</v>
      </c>
      <c r="F17" s="52">
        <v>2.97</v>
      </c>
      <c r="G17" s="52">
        <v>35.36</v>
      </c>
      <c r="H17" s="52">
        <v>14.83</v>
      </c>
      <c r="I17" s="52">
        <v>6.54</v>
      </c>
      <c r="J17" s="52">
        <v>0.22</v>
      </c>
      <c r="K17" s="52">
        <v>255.92</v>
      </c>
      <c r="L17" s="52">
        <v>30.02</v>
      </c>
      <c r="M17" s="52">
        <v>80.709999999999994</v>
      </c>
      <c r="N17" s="52">
        <v>279</v>
      </c>
      <c r="O17" s="52">
        <v>0</v>
      </c>
      <c r="P17" s="52">
        <v>0.7</v>
      </c>
      <c r="Q17" s="52">
        <v>5.29</v>
      </c>
    </row>
    <row r="18" spans="1:17" customFormat="1">
      <c r="A18" s="51" t="s">
        <v>786</v>
      </c>
      <c r="B18" s="52">
        <v>18.440000000000001</v>
      </c>
      <c r="C18" s="52">
        <v>21.05</v>
      </c>
      <c r="D18" s="52">
        <v>27.13</v>
      </c>
      <c r="E18" s="52">
        <v>11.27</v>
      </c>
      <c r="F18" s="52">
        <v>4.09</v>
      </c>
      <c r="G18" s="52">
        <v>47.67</v>
      </c>
      <c r="H18" s="52">
        <v>18.100000000000001</v>
      </c>
      <c r="I18" s="52">
        <v>6.53</v>
      </c>
      <c r="J18" s="52">
        <v>0.34</v>
      </c>
      <c r="K18" s="52">
        <v>290.76</v>
      </c>
      <c r="L18" s="52">
        <v>31.43</v>
      </c>
      <c r="M18" s="52">
        <v>71.849999999999994</v>
      </c>
      <c r="N18" s="52">
        <v>526.9</v>
      </c>
      <c r="O18" s="52">
        <v>0</v>
      </c>
      <c r="P18" s="52">
        <v>0.72</v>
      </c>
      <c r="Q18" s="52">
        <v>5.26</v>
      </c>
    </row>
    <row r="19" spans="1:17" customFormat="1">
      <c r="A19" s="51" t="s">
        <v>787</v>
      </c>
      <c r="B19" s="52">
        <v>17.36</v>
      </c>
      <c r="C19" s="52">
        <v>21.75</v>
      </c>
      <c r="D19" s="52">
        <v>26.4</v>
      </c>
      <c r="E19" s="52">
        <v>10.46</v>
      </c>
      <c r="F19" s="52">
        <v>3.75</v>
      </c>
      <c r="G19" s="52">
        <v>65.36</v>
      </c>
      <c r="H19" s="52">
        <v>20.77</v>
      </c>
      <c r="I19" s="52">
        <v>7.08</v>
      </c>
      <c r="J19" s="52">
        <v>0.63</v>
      </c>
      <c r="K19" s="52">
        <v>44.18</v>
      </c>
      <c r="L19" s="52">
        <v>32.71</v>
      </c>
      <c r="M19" s="52">
        <v>66.930000000000007</v>
      </c>
      <c r="N19" s="52">
        <v>713.8</v>
      </c>
      <c r="O19" s="52">
        <v>0</v>
      </c>
      <c r="P19" s="52">
        <v>0.74</v>
      </c>
      <c r="Q19" s="52">
        <v>5.18</v>
      </c>
    </row>
    <row r="20" spans="1:17" customFormat="1">
      <c r="A20" s="51" t="s">
        <v>788</v>
      </c>
      <c r="B20" s="11" t="s">
        <v>12</v>
      </c>
      <c r="C20" s="11" t="s">
        <v>12</v>
      </c>
      <c r="D20" s="11" t="s">
        <v>12</v>
      </c>
      <c r="E20" s="11" t="s">
        <v>12</v>
      </c>
      <c r="F20" s="52">
        <v>11.81</v>
      </c>
      <c r="G20" s="52">
        <v>66.36</v>
      </c>
      <c r="H20" s="52">
        <v>21.37</v>
      </c>
      <c r="I20" s="52">
        <v>48.13</v>
      </c>
      <c r="J20" s="52">
        <v>0.79</v>
      </c>
      <c r="K20" s="52">
        <v>48.89</v>
      </c>
      <c r="L20" s="52">
        <v>33.15</v>
      </c>
      <c r="M20" s="52">
        <v>62.36</v>
      </c>
      <c r="N20" s="52">
        <v>838.5</v>
      </c>
      <c r="O20" s="52">
        <v>0</v>
      </c>
      <c r="P20" s="52">
        <v>0.77</v>
      </c>
      <c r="Q20" s="52">
        <v>5.0599999999999996</v>
      </c>
    </row>
    <row r="21" spans="1:17" customFormat="1">
      <c r="A21" s="51" t="s">
        <v>789</v>
      </c>
      <c r="B21" s="11" t="s">
        <v>12</v>
      </c>
      <c r="C21" s="11" t="s">
        <v>12</v>
      </c>
      <c r="D21" s="11" t="s">
        <v>12</v>
      </c>
      <c r="E21" s="11" t="s">
        <v>12</v>
      </c>
      <c r="F21" s="52">
        <v>8.82</v>
      </c>
      <c r="G21" s="52">
        <v>61.6</v>
      </c>
      <c r="H21" s="52">
        <v>21.37</v>
      </c>
      <c r="I21" s="52">
        <v>121.02</v>
      </c>
      <c r="J21" s="52">
        <v>0.8</v>
      </c>
      <c r="K21" s="52">
        <v>49.29</v>
      </c>
      <c r="L21" s="52">
        <v>33.44</v>
      </c>
      <c r="M21" s="52">
        <v>61</v>
      </c>
      <c r="N21" s="52">
        <v>843.1</v>
      </c>
      <c r="O21" s="52">
        <v>0</v>
      </c>
      <c r="P21" s="52">
        <v>0.76</v>
      </c>
      <c r="Q21" s="52">
        <v>4.9000000000000004</v>
      </c>
    </row>
    <row r="22" spans="1:17" customFormat="1">
      <c r="A22" s="51" t="s">
        <v>790</v>
      </c>
      <c r="B22" s="52">
        <v>9.58</v>
      </c>
      <c r="C22" s="52">
        <v>23.54</v>
      </c>
      <c r="D22" s="52">
        <v>20.94</v>
      </c>
      <c r="E22" s="52">
        <v>14.33</v>
      </c>
      <c r="F22" s="52">
        <v>17.940000000000001</v>
      </c>
      <c r="G22" s="52">
        <v>61.65</v>
      </c>
      <c r="H22" s="52">
        <v>19.440000000000001</v>
      </c>
      <c r="I22" s="52">
        <v>162.06</v>
      </c>
      <c r="J22" s="52">
        <v>0.79</v>
      </c>
      <c r="K22" s="52">
        <v>66.16</v>
      </c>
      <c r="L22" s="52">
        <v>34.1</v>
      </c>
      <c r="M22" s="52">
        <v>61.33</v>
      </c>
      <c r="N22" s="52">
        <v>751.6</v>
      </c>
      <c r="O22" s="52">
        <v>0</v>
      </c>
      <c r="P22" s="52">
        <v>0.74</v>
      </c>
      <c r="Q22" s="52">
        <v>4.8600000000000003</v>
      </c>
    </row>
    <row r="23" spans="1:17" customFormat="1">
      <c r="A23" s="51" t="s">
        <v>791</v>
      </c>
      <c r="B23" s="52">
        <v>3.48</v>
      </c>
      <c r="C23" s="52">
        <v>21.68</v>
      </c>
      <c r="D23" s="52">
        <v>15.14</v>
      </c>
      <c r="E23" s="52">
        <v>26.84</v>
      </c>
      <c r="F23" s="52">
        <v>11.81</v>
      </c>
      <c r="G23" s="52">
        <v>55.97</v>
      </c>
      <c r="H23" s="52">
        <v>18.27</v>
      </c>
      <c r="I23" s="52">
        <v>107.66</v>
      </c>
      <c r="J23" s="52">
        <v>0.8</v>
      </c>
      <c r="K23" s="52">
        <v>43.9</v>
      </c>
      <c r="L23" s="52">
        <v>34</v>
      </c>
      <c r="M23" s="52">
        <v>58.99</v>
      </c>
      <c r="N23" s="52">
        <v>615.29999999999995</v>
      </c>
      <c r="O23" s="52">
        <v>0</v>
      </c>
      <c r="P23" s="52">
        <v>0.53</v>
      </c>
      <c r="Q23" s="52">
        <v>4.46</v>
      </c>
    </row>
    <row r="24" spans="1:17" customFormat="1">
      <c r="A24" s="51" t="s">
        <v>792</v>
      </c>
      <c r="B24" s="52">
        <v>5</v>
      </c>
      <c r="C24" s="52">
        <v>22.26</v>
      </c>
      <c r="D24" s="52">
        <v>16.989999999999998</v>
      </c>
      <c r="E24" s="52">
        <v>27.52</v>
      </c>
      <c r="F24" s="52">
        <v>11.23</v>
      </c>
      <c r="G24" s="52">
        <v>55.02</v>
      </c>
      <c r="H24" s="52">
        <v>16.489999999999998</v>
      </c>
      <c r="I24" s="52">
        <v>77.3</v>
      </c>
      <c r="J24" s="52">
        <v>0.52</v>
      </c>
      <c r="K24" s="52">
        <v>61.91</v>
      </c>
      <c r="L24" s="52">
        <v>33.25</v>
      </c>
      <c r="M24" s="52">
        <v>59.71</v>
      </c>
      <c r="N24" s="52">
        <v>348.5</v>
      </c>
      <c r="O24" s="52">
        <v>0</v>
      </c>
      <c r="P24" s="52">
        <v>0.52</v>
      </c>
      <c r="Q24" s="52">
        <v>4.38</v>
      </c>
    </row>
    <row r="25" spans="1:17" customFormat="1">
      <c r="A25" s="51" t="s">
        <v>793</v>
      </c>
      <c r="B25" s="52">
        <v>7.23</v>
      </c>
      <c r="C25" s="52">
        <v>22.35</v>
      </c>
      <c r="D25" s="52">
        <v>18.82</v>
      </c>
      <c r="E25" s="52">
        <v>29.19</v>
      </c>
      <c r="F25" s="52">
        <v>16.55</v>
      </c>
      <c r="G25" s="52">
        <v>55.43</v>
      </c>
      <c r="H25" s="52">
        <v>15.08</v>
      </c>
      <c r="I25" s="52">
        <v>58.6</v>
      </c>
      <c r="J25" s="52">
        <v>0.59</v>
      </c>
      <c r="K25" s="52">
        <v>63.61</v>
      </c>
      <c r="L25" s="52">
        <v>32.92</v>
      </c>
      <c r="M25" s="52">
        <v>61.19</v>
      </c>
      <c r="N25" s="52">
        <v>178.3</v>
      </c>
      <c r="O25" s="52">
        <v>0</v>
      </c>
      <c r="P25" s="52">
        <v>0.52</v>
      </c>
      <c r="Q25" s="52">
        <v>4.3600000000000003</v>
      </c>
    </row>
    <row r="26" spans="1:17" customFormat="1">
      <c r="A26" s="51" t="s">
        <v>794</v>
      </c>
      <c r="B26" s="52">
        <v>13.74</v>
      </c>
      <c r="C26" s="52">
        <v>28.24</v>
      </c>
      <c r="D26" s="52">
        <v>26.69</v>
      </c>
      <c r="E26" s="52">
        <v>34.71</v>
      </c>
      <c r="F26" s="52">
        <v>12.66</v>
      </c>
      <c r="G26" s="52">
        <v>55.99</v>
      </c>
      <c r="H26" s="52">
        <v>19.47</v>
      </c>
      <c r="I26" s="52">
        <v>44.87</v>
      </c>
      <c r="J26" s="52">
        <v>0.34</v>
      </c>
      <c r="K26" s="52">
        <v>82.58</v>
      </c>
      <c r="L26" s="52">
        <v>32.46</v>
      </c>
      <c r="M26" s="52">
        <v>65.75</v>
      </c>
      <c r="N26" s="52">
        <v>73.3</v>
      </c>
      <c r="O26" s="52">
        <v>0</v>
      </c>
      <c r="P26" s="52">
        <v>0.64</v>
      </c>
      <c r="Q26" s="52">
        <v>4.5599999999999996</v>
      </c>
    </row>
    <row r="27" spans="1:17" customFormat="1">
      <c r="A27" s="51" t="s">
        <v>795</v>
      </c>
      <c r="B27" s="52">
        <v>14.86</v>
      </c>
      <c r="C27" s="52">
        <v>28.18</v>
      </c>
      <c r="D27" s="52">
        <v>27.99</v>
      </c>
      <c r="E27" s="52">
        <v>12.83</v>
      </c>
      <c r="F27" s="52">
        <v>11.93</v>
      </c>
      <c r="G27" s="52">
        <v>60.52</v>
      </c>
      <c r="H27" s="52">
        <v>20.239999999999998</v>
      </c>
      <c r="I27" s="52">
        <v>32.409999999999997</v>
      </c>
      <c r="J27" s="52">
        <v>0.22</v>
      </c>
      <c r="K27" s="52">
        <v>70.05</v>
      </c>
      <c r="L27" s="52">
        <v>31.22</v>
      </c>
      <c r="M27" s="52">
        <v>73.489999999999995</v>
      </c>
      <c r="N27" s="52">
        <v>0</v>
      </c>
      <c r="O27" s="52">
        <v>0</v>
      </c>
      <c r="P27" s="52">
        <v>0.79</v>
      </c>
      <c r="Q27" s="52">
        <v>4.71</v>
      </c>
    </row>
    <row r="28" spans="1:17" customFormat="1">
      <c r="A28" s="51" t="s">
        <v>796</v>
      </c>
      <c r="B28" s="52">
        <v>14.01</v>
      </c>
      <c r="C28" s="52">
        <v>26.55</v>
      </c>
      <c r="D28" s="52">
        <v>26.46</v>
      </c>
      <c r="E28" s="52">
        <v>10.83</v>
      </c>
      <c r="F28" s="52">
        <v>8.64</v>
      </c>
      <c r="G28" s="52">
        <v>64.930000000000007</v>
      </c>
      <c r="H28" s="52">
        <v>20.239999999999998</v>
      </c>
      <c r="I28" s="52">
        <v>28.54</v>
      </c>
      <c r="J28" s="52">
        <v>0.26</v>
      </c>
      <c r="K28" s="52">
        <v>242.37</v>
      </c>
      <c r="L28" s="52">
        <v>30.07</v>
      </c>
      <c r="M28" s="52">
        <v>82.28</v>
      </c>
      <c r="N28" s="52">
        <v>0</v>
      </c>
      <c r="O28" s="52">
        <v>0</v>
      </c>
      <c r="P28" s="52">
        <v>0.78</v>
      </c>
      <c r="Q28" s="52">
        <v>4.8600000000000003</v>
      </c>
    </row>
    <row r="29" spans="1:17" customFormat="1">
      <c r="A29" s="51" t="s">
        <v>797</v>
      </c>
      <c r="B29" s="52">
        <v>10.32</v>
      </c>
      <c r="C29" s="52">
        <v>19.13</v>
      </c>
      <c r="D29" s="52">
        <v>19.399999999999999</v>
      </c>
      <c r="E29" s="52">
        <v>10.19</v>
      </c>
      <c r="F29" s="52">
        <v>10.49</v>
      </c>
      <c r="G29" s="52">
        <v>65.17</v>
      </c>
      <c r="H29" s="52">
        <v>19.66</v>
      </c>
      <c r="I29" s="52">
        <v>27.74</v>
      </c>
      <c r="J29" s="52">
        <v>0.28999999999999998</v>
      </c>
      <c r="K29" s="52">
        <v>205.89</v>
      </c>
      <c r="L29" s="52">
        <v>28.74</v>
      </c>
      <c r="M29" s="52">
        <v>88.58</v>
      </c>
      <c r="N29" s="52">
        <v>0</v>
      </c>
      <c r="O29" s="52">
        <v>0</v>
      </c>
      <c r="P29" s="52">
        <v>0.68</v>
      </c>
      <c r="Q29" s="52">
        <v>4.82</v>
      </c>
    </row>
    <row r="30" spans="1:17" customFormat="1">
      <c r="A30" s="51" t="s">
        <v>798</v>
      </c>
      <c r="B30" s="52">
        <v>9.7200000000000006</v>
      </c>
      <c r="C30" s="52">
        <v>16.27</v>
      </c>
      <c r="D30" s="52">
        <v>17.649999999999999</v>
      </c>
      <c r="E30" s="52">
        <v>9.4700000000000006</v>
      </c>
      <c r="F30" s="52">
        <v>11.04</v>
      </c>
      <c r="G30" s="52">
        <v>56</v>
      </c>
      <c r="H30" s="52">
        <v>19.32</v>
      </c>
      <c r="I30" s="52">
        <v>26.09</v>
      </c>
      <c r="J30" s="52">
        <v>0.14000000000000001</v>
      </c>
      <c r="K30" s="52">
        <v>185.38</v>
      </c>
      <c r="L30" s="52">
        <v>28.28</v>
      </c>
      <c r="M30" s="52">
        <v>92.52</v>
      </c>
      <c r="N30" s="52">
        <v>0</v>
      </c>
      <c r="O30" s="52">
        <v>0</v>
      </c>
      <c r="P30" s="52">
        <v>0.67</v>
      </c>
      <c r="Q30" s="52">
        <v>4.72</v>
      </c>
    </row>
    <row r="31" spans="1:17" customFormat="1">
      <c r="A31" s="51" t="s">
        <v>799</v>
      </c>
      <c r="B31" s="52">
        <v>9.93</v>
      </c>
      <c r="C31" s="52">
        <v>17.28</v>
      </c>
      <c r="D31" s="52">
        <v>18.34</v>
      </c>
      <c r="E31" s="52">
        <v>9.11</v>
      </c>
      <c r="F31" s="52">
        <v>8.2100000000000009</v>
      </c>
      <c r="G31" s="52">
        <v>56.7</v>
      </c>
      <c r="H31" s="52">
        <v>19.32</v>
      </c>
      <c r="I31" s="52">
        <v>21.42</v>
      </c>
      <c r="J31" s="52">
        <v>0.14000000000000001</v>
      </c>
      <c r="K31" s="52">
        <v>217.69</v>
      </c>
      <c r="L31" s="52">
        <v>27.82</v>
      </c>
      <c r="M31" s="52">
        <v>95.39</v>
      </c>
      <c r="N31" s="52">
        <v>0</v>
      </c>
      <c r="O31" s="52">
        <v>0</v>
      </c>
      <c r="P31" s="52">
        <v>0.77</v>
      </c>
      <c r="Q31" s="52">
        <v>4.74</v>
      </c>
    </row>
    <row r="32" spans="1:17" customFormat="1">
      <c r="A32" s="51" t="s">
        <v>800</v>
      </c>
      <c r="B32" s="52">
        <v>10.06</v>
      </c>
      <c r="C32" s="52">
        <v>16.010000000000002</v>
      </c>
      <c r="D32" s="52">
        <v>17.78</v>
      </c>
      <c r="E32" s="52">
        <v>8.56</v>
      </c>
      <c r="F32" s="52">
        <v>5.43</v>
      </c>
      <c r="G32" s="52">
        <v>56.81</v>
      </c>
      <c r="H32" s="52">
        <v>17.87</v>
      </c>
      <c r="I32" s="52">
        <v>20.71</v>
      </c>
      <c r="J32" s="52">
        <v>0.15</v>
      </c>
      <c r="K32" s="52">
        <v>231.42</v>
      </c>
      <c r="L32" s="52">
        <v>27.65</v>
      </c>
      <c r="M32" s="52">
        <v>97.43</v>
      </c>
      <c r="N32" s="52">
        <v>0</v>
      </c>
      <c r="O32" s="52">
        <v>0</v>
      </c>
      <c r="P32" s="52">
        <v>0.78</v>
      </c>
      <c r="Q32" s="52">
        <v>4.71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3.48</v>
      </c>
      <c r="C34" s="41">
        <f t="shared" si="0"/>
        <v>16.010000000000002</v>
      </c>
      <c r="D34" s="41">
        <f t="shared" si="0"/>
        <v>15.14</v>
      </c>
      <c r="E34" s="41">
        <f t="shared" si="0"/>
        <v>3.17</v>
      </c>
      <c r="F34" s="41">
        <f t="shared" si="0"/>
        <v>2.64</v>
      </c>
      <c r="G34" s="41">
        <f t="shared" si="0"/>
        <v>26.26</v>
      </c>
      <c r="H34" s="41">
        <f t="shared" si="0"/>
        <v>10.57</v>
      </c>
      <c r="I34" s="41">
        <f t="shared" si="0"/>
        <v>6.45</v>
      </c>
      <c r="J34" s="41">
        <f t="shared" si="0"/>
        <v>0.12</v>
      </c>
      <c r="K34" s="41">
        <f t="shared" si="0"/>
        <v>43.9</v>
      </c>
      <c r="L34" s="41">
        <f t="shared" si="0"/>
        <v>24.63</v>
      </c>
      <c r="M34" s="41">
        <f t="shared" si="0"/>
        <v>58.99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4.3600000000000003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20.43</v>
      </c>
      <c r="C35" s="33">
        <f t="shared" si="1"/>
        <v>28.24</v>
      </c>
      <c r="D35" s="33">
        <f t="shared" si="1"/>
        <v>28.52</v>
      </c>
      <c r="E35" s="33">
        <f t="shared" si="1"/>
        <v>34.71</v>
      </c>
      <c r="F35" s="33">
        <f t="shared" si="1"/>
        <v>17.940000000000001</v>
      </c>
      <c r="G35" s="33">
        <f t="shared" si="1"/>
        <v>66.36</v>
      </c>
      <c r="H35" s="33">
        <f t="shared" si="1"/>
        <v>23.46</v>
      </c>
      <c r="I35" s="33">
        <f t="shared" si="1"/>
        <v>162.06</v>
      </c>
      <c r="J35" s="33">
        <f t="shared" si="1"/>
        <v>0.8</v>
      </c>
      <c r="K35" s="33">
        <f t="shared" si="1"/>
        <v>290.76</v>
      </c>
      <c r="L35" s="33">
        <f t="shared" si="1"/>
        <v>34.1</v>
      </c>
      <c r="M35" s="33">
        <f t="shared" si="1"/>
        <v>102.86</v>
      </c>
      <c r="N35" s="33">
        <f t="shared" si="1"/>
        <v>843.1</v>
      </c>
      <c r="O35" s="33">
        <f t="shared" si="1"/>
        <v>0</v>
      </c>
      <c r="P35" s="33">
        <f t="shared" si="1"/>
        <v>0.8</v>
      </c>
      <c r="Q35" s="33">
        <f t="shared" si="1"/>
        <v>5.35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14.314090909090909</v>
      </c>
      <c r="C36" s="41">
        <f t="shared" si="2"/>
        <v>21.065454545454546</v>
      </c>
      <c r="D36" s="41">
        <f t="shared" si="2"/>
        <v>23.660454545454538</v>
      </c>
      <c r="E36" s="41">
        <f t="shared" si="2"/>
        <v>12.326363636363636</v>
      </c>
      <c r="F36" s="41">
        <f t="shared" si="2"/>
        <v>7.5087500000000018</v>
      </c>
      <c r="G36" s="41">
        <f t="shared" si="2"/>
        <v>50.709166666666668</v>
      </c>
      <c r="H36" s="41">
        <f t="shared" si="2"/>
        <v>17.575833333333332</v>
      </c>
      <c r="I36" s="41">
        <f t="shared" si="2"/>
        <v>35.44</v>
      </c>
      <c r="J36" s="41">
        <f t="shared" si="2"/>
        <v>0.34499999999999997</v>
      </c>
      <c r="K36" s="41">
        <f t="shared" si="2"/>
        <v>162.40916666666666</v>
      </c>
      <c r="L36" s="41">
        <f t="shared" si="2"/>
        <v>29.315833333333341</v>
      </c>
      <c r="M36" s="41">
        <f t="shared" si="2"/>
        <v>82.637083333333337</v>
      </c>
      <c r="N36" s="41">
        <f t="shared" si="2"/>
        <v>227.76666666666668</v>
      </c>
      <c r="O36" s="41">
        <f t="shared" si="2"/>
        <v>0</v>
      </c>
      <c r="P36" s="41">
        <f t="shared" si="2"/>
        <v>0.72250000000000003</v>
      </c>
      <c r="Q36" s="41">
        <f t="shared" si="2"/>
        <v>4.9524999999999997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5.270140197910079</v>
      </c>
      <c r="C37" s="41">
        <f t="shared" ref="C37:Q37" si="3">STDEV(C9:C32)</f>
        <v>3.2689196224189061</v>
      </c>
      <c r="D37" s="41">
        <f t="shared" si="3"/>
        <v>4.4302386018435147</v>
      </c>
      <c r="E37" s="41">
        <f t="shared" si="3"/>
        <v>8.8178949790452759</v>
      </c>
      <c r="F37" s="41">
        <f t="shared" si="3"/>
        <v>4.8299188151427073</v>
      </c>
      <c r="G37" s="41">
        <f t="shared" si="3"/>
        <v>13.670879529183551</v>
      </c>
      <c r="H37" s="41">
        <f t="shared" si="3"/>
        <v>3.3883302501465176</v>
      </c>
      <c r="I37" s="41">
        <f t="shared" si="3"/>
        <v>42.116018123852776</v>
      </c>
      <c r="J37" s="41">
        <f t="shared" si="3"/>
        <v>0.2505645798903991</v>
      </c>
      <c r="K37" s="41">
        <f t="shared" si="3"/>
        <v>85.799585431078455</v>
      </c>
      <c r="L37" s="41">
        <f t="shared" si="3"/>
        <v>3.4835101196383236</v>
      </c>
      <c r="M37" s="41">
        <f t="shared" si="3"/>
        <v>17.124227555836182</v>
      </c>
      <c r="N37" s="41">
        <f t="shared" si="3"/>
        <v>308.78719091853907</v>
      </c>
      <c r="O37" s="41">
        <f t="shared" si="3"/>
        <v>0</v>
      </c>
      <c r="P37" s="41">
        <f t="shared" si="3"/>
        <v>8.7737255980322601E-2</v>
      </c>
      <c r="Q37" s="41">
        <f t="shared" si="3"/>
        <v>0.31871003585786956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>COUNT(B9:B32)+2</f>
        <v>24</v>
      </c>
      <c r="C38" s="46">
        <f t="shared" ref="C38:E38" si="4">COUNT(C9:C32)+2</f>
        <v>24</v>
      </c>
      <c r="D38" s="46">
        <f t="shared" si="4"/>
        <v>24</v>
      </c>
      <c r="E38" s="46">
        <f t="shared" si="4"/>
        <v>24</v>
      </c>
      <c r="F38" s="46">
        <f t="shared" ref="B38:Q38" si="5">COUNT(F9:F32)</f>
        <v>24</v>
      </c>
      <c r="G38" s="46">
        <f t="shared" si="5"/>
        <v>24</v>
      </c>
      <c r="H38" s="46">
        <f t="shared" si="5"/>
        <v>24</v>
      </c>
      <c r="I38" s="46">
        <f t="shared" si="5"/>
        <v>24</v>
      </c>
      <c r="J38" s="46">
        <f t="shared" si="5"/>
        <v>24</v>
      </c>
      <c r="K38" s="46">
        <f t="shared" si="5"/>
        <v>24</v>
      </c>
      <c r="L38" s="46">
        <f t="shared" si="5"/>
        <v>24</v>
      </c>
      <c r="M38" s="46">
        <f t="shared" si="5"/>
        <v>24</v>
      </c>
      <c r="N38" s="46">
        <f t="shared" si="5"/>
        <v>24</v>
      </c>
      <c r="O38" s="46">
        <f t="shared" si="5"/>
        <v>24</v>
      </c>
      <c r="P38" s="46">
        <f t="shared" si="5"/>
        <v>24</v>
      </c>
      <c r="Q38" s="46">
        <f t="shared" si="5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6">IF(C38&gt;=22,"&gt;90%",IF(C38&lt;=22,"&lt;90%"))</f>
        <v>&gt;90%</v>
      </c>
      <c r="D39" s="33" t="str">
        <f t="shared" si="6"/>
        <v>&gt;90%</v>
      </c>
      <c r="E39" s="33" t="str">
        <f t="shared" si="6"/>
        <v>&gt;90%</v>
      </c>
      <c r="F39" s="33" t="str">
        <f t="shared" si="6"/>
        <v>&gt;90%</v>
      </c>
      <c r="G39" s="33" t="str">
        <f t="shared" si="6"/>
        <v>&gt;90%</v>
      </c>
      <c r="H39" s="33" t="str">
        <f t="shared" si="6"/>
        <v>&gt;90%</v>
      </c>
      <c r="I39" s="33" t="str">
        <f t="shared" si="6"/>
        <v>&gt;90%</v>
      </c>
      <c r="J39" s="33" t="str">
        <f t="shared" si="6"/>
        <v>&gt;90%</v>
      </c>
      <c r="K39" s="33" t="str">
        <f t="shared" si="6"/>
        <v>&gt;90%</v>
      </c>
      <c r="L39" s="33" t="str">
        <f t="shared" si="6"/>
        <v>&gt;90%</v>
      </c>
      <c r="M39" s="33" t="str">
        <f t="shared" si="6"/>
        <v>&gt;90%</v>
      </c>
      <c r="N39" s="33" t="str">
        <f t="shared" si="6"/>
        <v>&gt;90%</v>
      </c>
      <c r="O39" s="33" t="str">
        <f t="shared" si="6"/>
        <v>&gt;90%</v>
      </c>
      <c r="P39" s="33" t="str">
        <f t="shared" si="6"/>
        <v>&gt;90%</v>
      </c>
      <c r="Q39" s="33" t="str">
        <f t="shared" si="6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7">IF(C38&gt;=22,"OK",IF(C38&lt;=22,"LESS"))</f>
        <v>OK</v>
      </c>
      <c r="D40" s="33" t="str">
        <f t="shared" si="7"/>
        <v>OK</v>
      </c>
      <c r="E40" s="33" t="str">
        <f t="shared" si="7"/>
        <v>OK</v>
      </c>
      <c r="F40" s="33" t="str">
        <f t="shared" si="7"/>
        <v>OK</v>
      </c>
      <c r="G40" s="33" t="str">
        <f t="shared" si="7"/>
        <v>OK</v>
      </c>
      <c r="H40" s="33" t="str">
        <f t="shared" si="7"/>
        <v>OK</v>
      </c>
      <c r="I40" s="33" t="str">
        <f t="shared" si="7"/>
        <v>OK</v>
      </c>
      <c r="J40" s="33" t="str">
        <f t="shared" si="7"/>
        <v>OK</v>
      </c>
      <c r="K40" s="33" t="str">
        <f t="shared" si="7"/>
        <v>OK</v>
      </c>
      <c r="L40" s="33" t="str">
        <f t="shared" si="7"/>
        <v>OK</v>
      </c>
      <c r="M40" s="33" t="str">
        <f t="shared" si="7"/>
        <v>OK</v>
      </c>
      <c r="N40" s="33" t="str">
        <f t="shared" si="7"/>
        <v>OK</v>
      </c>
      <c r="O40" s="33" t="str">
        <f t="shared" si="7"/>
        <v>OK</v>
      </c>
      <c r="P40" s="33" t="str">
        <f t="shared" si="7"/>
        <v>OK</v>
      </c>
      <c r="Q40" s="33" t="str">
        <f t="shared" si="7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01/08/2023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01/08/2023 01:00</v>
      </c>
      <c r="B9" s="17">
        <f>'01'!B36</f>
        <v>15.165833333333332</v>
      </c>
      <c r="C9" s="17">
        <f>'01'!C36</f>
        <v>20.579166666666669</v>
      </c>
      <c r="D9" s="17">
        <f>'01'!D36</f>
        <v>21.678333333333338</v>
      </c>
      <c r="E9" s="17" t="str">
        <f>'01'!E36</f>
        <v>Maint.</v>
      </c>
      <c r="F9" s="17">
        <f>'01'!F36</f>
        <v>4.9533333333333331</v>
      </c>
      <c r="G9" s="17">
        <f>'01'!G36</f>
        <v>25.564583333333331</v>
      </c>
      <c r="H9" s="17">
        <f>'01'!H36</f>
        <v>6.6412500000000003</v>
      </c>
      <c r="I9" s="17">
        <f>'01'!I36</f>
        <v>4.7070833333333342</v>
      </c>
      <c r="J9" s="17">
        <f>'01'!J36</f>
        <v>0.88916666666666655</v>
      </c>
      <c r="K9" s="17">
        <f>'01'!K36</f>
        <v>263.78625000000005</v>
      </c>
      <c r="L9" s="17">
        <f>'01'!L36</f>
        <v>27.316666666666674</v>
      </c>
      <c r="M9" s="17">
        <f>'01'!M36</f>
        <v>89.976666666666674</v>
      </c>
      <c r="N9" s="17">
        <f>'01'!N36</f>
        <v>67.88333333333334</v>
      </c>
      <c r="O9" s="17">
        <f>'01'!O36</f>
        <v>0.11666666666666668</v>
      </c>
      <c r="P9" s="17">
        <f>'01'!P36</f>
        <v>0.45833333333333343</v>
      </c>
      <c r="Q9" s="17">
        <f>'01'!Q36</f>
        <v>3.8070833333333325</v>
      </c>
      <c r="R9" s="34"/>
      <c r="S9" s="34"/>
      <c r="T9" s="34"/>
      <c r="U9" s="35"/>
    </row>
    <row r="10" spans="1:21" s="2" customFormat="1">
      <c r="A10" s="16" t="str">
        <f>'02'!$B$2</f>
        <v>02/08/2023 01:00</v>
      </c>
      <c r="B10" s="17">
        <f>'02'!B36</f>
        <v>14.599166666666667</v>
      </c>
      <c r="C10" s="17">
        <f>'02'!C36</f>
        <v>22.279166666666665</v>
      </c>
      <c r="D10" s="17">
        <f>'02'!D36</f>
        <v>22.041666666666661</v>
      </c>
      <c r="E10" s="17">
        <f>'02'!E36</f>
        <v>7.5241666666666669</v>
      </c>
      <c r="F10" s="17">
        <f>'02'!F36</f>
        <v>3.0479166666666671</v>
      </c>
      <c r="G10" s="17">
        <f>'02'!G36</f>
        <v>16.552083333333336</v>
      </c>
      <c r="H10" s="17">
        <f>'02'!H36</f>
        <v>5.782916666666666</v>
      </c>
      <c r="I10" s="17">
        <f>'02'!I36</f>
        <v>5.857499999999999</v>
      </c>
      <c r="J10" s="17">
        <f>'02'!J36</f>
        <v>1.3174999999999999</v>
      </c>
      <c r="K10" s="17">
        <f>'02'!K36</f>
        <v>267.00333333333327</v>
      </c>
      <c r="L10" s="17">
        <f>'02'!L36</f>
        <v>25.120833333333334</v>
      </c>
      <c r="M10" s="17">
        <f>'02'!M36</f>
        <v>96.405416666666667</v>
      </c>
      <c r="N10" s="17">
        <f>'02'!N36</f>
        <v>38.037500000000001</v>
      </c>
      <c r="O10" s="17">
        <f>'02'!O36</f>
        <v>0.72499999999999998</v>
      </c>
      <c r="P10" s="17">
        <f>'02'!P36</f>
        <v>0.55458333333333343</v>
      </c>
      <c r="Q10" s="17">
        <f>'02'!Q36</f>
        <v>3.6004166666666659</v>
      </c>
      <c r="R10" s="36"/>
      <c r="S10" s="36"/>
      <c r="T10" s="36"/>
      <c r="U10" s="36"/>
    </row>
    <row r="11" spans="1:21" s="2" customFormat="1">
      <c r="A11" s="16" t="str">
        <f>'03'!$B$2</f>
        <v>03/08/2023 01:00</v>
      </c>
      <c r="B11" s="17">
        <f>'03'!B36</f>
        <v>12.571666666666665</v>
      </c>
      <c r="C11" s="17">
        <f>'03'!C36</f>
        <v>20.911250000000003</v>
      </c>
      <c r="D11" s="17">
        <f>'03'!D36</f>
        <v>19.770416666666659</v>
      </c>
      <c r="E11" s="17">
        <f>'03'!E36</f>
        <v>8.2041666666666675</v>
      </c>
      <c r="F11" s="17">
        <f>'03'!F36</f>
        <v>3.0854166666666676</v>
      </c>
      <c r="G11" s="17">
        <f>'03'!G36</f>
        <v>8.8600000000000012</v>
      </c>
      <c r="H11" s="17">
        <f>'03'!H36</f>
        <v>3.7554166666666666</v>
      </c>
      <c r="I11" s="17">
        <f>'03'!I36</f>
        <v>4.121666666666667</v>
      </c>
      <c r="J11" s="17">
        <f>'03'!J36</f>
        <v>1.5929166666666663</v>
      </c>
      <c r="K11" s="17">
        <f>'03'!K36</f>
        <v>268.65875</v>
      </c>
      <c r="L11" s="17">
        <f>'03'!L36</f>
        <v>24.841250000000002</v>
      </c>
      <c r="M11" s="17">
        <f>'03'!M36</f>
        <v>92.392083333333332</v>
      </c>
      <c r="N11" s="17">
        <f>'03'!N36</f>
        <v>62.5</v>
      </c>
      <c r="O11" s="17">
        <f>'03'!O36</f>
        <v>0.70833333333333348</v>
      </c>
      <c r="P11" s="17">
        <f>'03'!P36</f>
        <v>0.37666666666666671</v>
      </c>
      <c r="Q11" s="17">
        <f>'03'!Q36</f>
        <v>3.3666666666666667</v>
      </c>
      <c r="R11" s="36"/>
      <c r="S11" s="36"/>
      <c r="T11" s="36"/>
      <c r="U11" s="36"/>
    </row>
    <row r="12" spans="1:21" s="2" customFormat="1">
      <c r="A12" s="16" t="str">
        <f>'04'!$B$2</f>
        <v>04/08/2023 01:00</v>
      </c>
      <c r="B12" s="17">
        <f>'04'!B36</f>
        <v>11.622916666666667</v>
      </c>
      <c r="C12" s="17">
        <f>'04'!C36</f>
        <v>21.120833333333334</v>
      </c>
      <c r="D12" s="17">
        <f>'04'!D36</f>
        <v>19.178333333333331</v>
      </c>
      <c r="E12" s="17">
        <f>'04'!E36</f>
        <v>7.347083333333333</v>
      </c>
      <c r="F12" s="17">
        <f>'04'!F36</f>
        <v>3.0037499999999997</v>
      </c>
      <c r="G12" s="17">
        <f>'04'!G36</f>
        <v>10.551249999999998</v>
      </c>
      <c r="H12" s="17">
        <f>'04'!H36</f>
        <v>4.3662500000000009</v>
      </c>
      <c r="I12" s="17">
        <f>'04'!I36</f>
        <v>2.9200000000000004</v>
      </c>
      <c r="J12" s="17">
        <f>'04'!J36</f>
        <v>1.0470833333333334</v>
      </c>
      <c r="K12" s="17">
        <f>'04'!K36</f>
        <v>266.43416666666667</v>
      </c>
      <c r="L12" s="17">
        <f>'04'!L36</f>
        <v>24.392916666666665</v>
      </c>
      <c r="M12" s="17">
        <f>'04'!M36</f>
        <v>94.55916666666667</v>
      </c>
      <c r="N12" s="17">
        <f>'04'!N36</f>
        <v>62.754166666666656</v>
      </c>
      <c r="O12" s="17">
        <f>'04'!O36</f>
        <v>0.14166666666666666</v>
      </c>
      <c r="P12" s="17">
        <f>'04'!P36</f>
        <v>0.33458333333333329</v>
      </c>
      <c r="Q12" s="17">
        <f>'04'!Q36</f>
        <v>3.3550000000000004</v>
      </c>
      <c r="R12" s="36"/>
      <c r="S12" s="36"/>
      <c r="T12" s="36"/>
      <c r="U12" s="36"/>
    </row>
    <row r="13" spans="1:21" s="2" customFormat="1">
      <c r="A13" s="16" t="str">
        <f>'05'!$B$2</f>
        <v>05/08/2023 01:00</v>
      </c>
      <c r="B13" s="17">
        <f>'05'!B36</f>
        <v>12.918749999999998</v>
      </c>
      <c r="C13" s="17">
        <f>'05'!C36</f>
        <v>21.16375</v>
      </c>
      <c r="D13" s="17">
        <f>'05'!D36</f>
        <v>20.243749999999999</v>
      </c>
      <c r="E13" s="17">
        <f>'05'!E36</f>
        <v>7.890416666666666</v>
      </c>
      <c r="F13" s="17">
        <f>'05'!F36</f>
        <v>4.3841666666666663</v>
      </c>
      <c r="G13" s="17">
        <f>'05'!G36</f>
        <v>18.411666666666665</v>
      </c>
      <c r="H13" s="17">
        <f>'05'!H36</f>
        <v>6.0079166666666666</v>
      </c>
      <c r="I13" s="17">
        <f>'05'!I36</f>
        <v>3.3274999999999992</v>
      </c>
      <c r="J13" s="17">
        <f>'05'!J36</f>
        <v>0.88208333333333311</v>
      </c>
      <c r="K13" s="17">
        <f>'05'!K36</f>
        <v>274.54041666666666</v>
      </c>
      <c r="L13" s="17">
        <f>'05'!L36</f>
        <v>27.141249999999999</v>
      </c>
      <c r="M13" s="17">
        <f>'05'!M36</f>
        <v>86.545833333333334</v>
      </c>
      <c r="N13" s="17">
        <f>'05'!N36</f>
        <v>154.6333333333333</v>
      </c>
      <c r="O13" s="17">
        <f>'05'!O36</f>
        <v>0.25000000000000006</v>
      </c>
      <c r="P13" s="17">
        <f>'05'!P36</f>
        <v>0.40125000000000005</v>
      </c>
      <c r="Q13" s="17">
        <f>'05'!Q36</f>
        <v>3.4558333333333331</v>
      </c>
      <c r="R13" s="36"/>
      <c r="S13" s="36"/>
      <c r="T13" s="36"/>
      <c r="U13" s="36"/>
    </row>
    <row r="14" spans="1:21" s="2" customFormat="1">
      <c r="A14" s="16" t="str">
        <f>'06'!$B$2</f>
        <v>06/08/2023 01:00</v>
      </c>
      <c r="B14" s="18">
        <f>'06'!B36</f>
        <v>12.186666666666666</v>
      </c>
      <c r="C14" s="18">
        <f>'06'!C36</f>
        <v>21.314166666666669</v>
      </c>
      <c r="D14" s="18">
        <f>'06'!D36</f>
        <v>19.71</v>
      </c>
      <c r="E14" s="18">
        <f>'06'!E36</f>
        <v>8.0737500000000004</v>
      </c>
      <c r="F14" s="18">
        <f>'06'!F36</f>
        <v>4.4549999999999992</v>
      </c>
      <c r="G14" s="18">
        <f>'06'!G36</f>
        <v>19.233333333333338</v>
      </c>
      <c r="H14" s="18">
        <f>'06'!H36</f>
        <v>6.6462500000000011</v>
      </c>
      <c r="I14" s="18">
        <f>'06'!I36</f>
        <v>3.4304166666666673</v>
      </c>
      <c r="J14" s="18">
        <f>'06'!J36</f>
        <v>0.87041666666666651</v>
      </c>
      <c r="K14" s="18">
        <f>'06'!K36</f>
        <v>274.25916666666677</v>
      </c>
      <c r="L14" s="18">
        <f>'06'!L36</f>
        <v>27.277083333333334</v>
      </c>
      <c r="M14" s="18">
        <f>'06'!M36</f>
        <v>87.957083333333344</v>
      </c>
      <c r="N14" s="18">
        <f>'06'!N36</f>
        <v>144.99166666666667</v>
      </c>
      <c r="O14" s="18">
        <f>'06'!O36</f>
        <v>0.19166666666666668</v>
      </c>
      <c r="P14" s="18">
        <f>'06'!P36</f>
        <v>0.43708333333333332</v>
      </c>
      <c r="Q14" s="18">
        <f>'06'!Q36</f>
        <v>3.306666666666668</v>
      </c>
      <c r="R14" s="36"/>
      <c r="S14" s="36"/>
      <c r="T14" s="36"/>
      <c r="U14" s="36"/>
    </row>
    <row r="15" spans="1:21" s="2" customFormat="1">
      <c r="A15" s="16" t="str">
        <f>'07'!$B$2</f>
        <v>07/08/2023 01:00</v>
      </c>
      <c r="B15" s="18">
        <f>'07'!B36</f>
        <v>10.325000000000001</v>
      </c>
      <c r="C15" s="18">
        <f>'07'!C36</f>
        <v>17.997500000000002</v>
      </c>
      <c r="D15" s="18">
        <f>'07'!D36</f>
        <v>16.435416666666665</v>
      </c>
      <c r="E15" s="18">
        <f>'07'!E36</f>
        <v>7.504999999999999</v>
      </c>
      <c r="F15" s="18">
        <f>'07'!F36</f>
        <v>5.578333333333334</v>
      </c>
      <c r="G15" s="18">
        <f>'07'!G36</f>
        <v>26.348333333333333</v>
      </c>
      <c r="H15" s="18">
        <f>'07'!H36</f>
        <v>6.7700000000000005</v>
      </c>
      <c r="I15" s="18">
        <f>'07'!I36</f>
        <v>41.01583333333334</v>
      </c>
      <c r="J15" s="18">
        <f>'07'!J36</f>
        <v>0.87166666666666659</v>
      </c>
      <c r="K15" s="18">
        <f>'07'!K36</f>
        <v>266.56625000000008</v>
      </c>
      <c r="L15" s="18">
        <f>'07'!L36</f>
        <v>27.271666666666665</v>
      </c>
      <c r="M15" s="18">
        <f>'07'!M36</f>
        <v>84.327083333333334</v>
      </c>
      <c r="N15" s="18">
        <f>'07'!N36</f>
        <v>147.84166666666667</v>
      </c>
      <c r="O15" s="18">
        <f>'07'!O36</f>
        <v>1.6666666666666666E-2</v>
      </c>
      <c r="P15" s="18">
        <f>'07'!P36</f>
        <v>0.41958333333333342</v>
      </c>
      <c r="Q15" s="18">
        <f>'07'!Q36</f>
        <v>3.2363636363636363</v>
      </c>
      <c r="R15" s="36"/>
      <c r="S15" s="36"/>
      <c r="T15" s="36"/>
      <c r="U15" s="36"/>
    </row>
    <row r="16" spans="1:21" s="2" customFormat="1">
      <c r="A16" s="16" t="str">
        <f>'08'!$B$2</f>
        <v>08/08/2023 01:00</v>
      </c>
      <c r="B16" s="18">
        <f>'08'!B36</f>
        <v>9.2070833333333333</v>
      </c>
      <c r="C16" s="18">
        <f>'08'!C36</f>
        <v>18.77791666666667</v>
      </c>
      <c r="D16" s="18">
        <f>'08'!D36</f>
        <v>15.997916666666669</v>
      </c>
      <c r="E16" s="18">
        <f>'08'!E36</f>
        <v>7.2074999999999996</v>
      </c>
      <c r="F16" s="18">
        <f>'08'!F36</f>
        <v>4.6366666666666676</v>
      </c>
      <c r="G16" s="18">
        <f>'08'!G36</f>
        <v>29.827083333333334</v>
      </c>
      <c r="H16" s="18">
        <f>'08'!H36</f>
        <v>7.8808333333333316</v>
      </c>
      <c r="I16" s="18">
        <f>'08'!I36</f>
        <v>13.184583333333334</v>
      </c>
      <c r="J16" s="18">
        <f>'08'!J36</f>
        <v>0.79375000000000029</v>
      </c>
      <c r="K16" s="18">
        <f>'08'!K36</f>
        <v>269.64375000000001</v>
      </c>
      <c r="L16" s="18">
        <f>'08'!L36</f>
        <v>27.567916666666672</v>
      </c>
      <c r="M16" s="18">
        <f>'08'!M36</f>
        <v>80.596666666666664</v>
      </c>
      <c r="N16" s="18">
        <f>'08'!N36</f>
        <v>149.21249999999998</v>
      </c>
      <c r="O16" s="18">
        <f>'08'!O36</f>
        <v>0</v>
      </c>
      <c r="P16" s="18">
        <f>'08'!P36</f>
        <v>0.4212499999999999</v>
      </c>
      <c r="Q16" s="18">
        <f>'08'!Q36</f>
        <v>1.3885714285714281</v>
      </c>
      <c r="R16" s="36"/>
      <c r="S16" s="36"/>
      <c r="T16" s="36"/>
      <c r="U16" s="36"/>
    </row>
    <row r="17" spans="1:24" s="2" customFormat="1">
      <c r="A17" s="16" t="str">
        <f>'09'!$B$2</f>
        <v>09/08/2023 01:00</v>
      </c>
      <c r="B17" s="18">
        <f>'09'!B36</f>
        <v>11.480416666666665</v>
      </c>
      <c r="C17" s="18">
        <f>'09'!C36</f>
        <v>19.902500000000003</v>
      </c>
      <c r="D17" s="18">
        <f>'09'!D36</f>
        <v>18.345000000000002</v>
      </c>
      <c r="E17" s="18">
        <f>'09'!E36</f>
        <v>6.9833333333333316</v>
      </c>
      <c r="F17" s="18">
        <f>'09'!F36</f>
        <v>5.7383333333333333</v>
      </c>
      <c r="G17" s="18">
        <f>'09'!G36</f>
        <v>32.420434782608694</v>
      </c>
      <c r="H17" s="18">
        <f>'09'!H36</f>
        <v>11.723913043478261</v>
      </c>
      <c r="I17" s="18">
        <f>'09'!I36</f>
        <v>4.2058333333333335</v>
      </c>
      <c r="J17" s="18">
        <f>'09'!J36</f>
        <v>0.65166666666666673</v>
      </c>
      <c r="K17" s="18">
        <f>'09'!K36</f>
        <v>267.28541666666666</v>
      </c>
      <c r="L17" s="18">
        <f>'09'!L36</f>
        <v>27.224583333333332</v>
      </c>
      <c r="M17" s="18">
        <f>'09'!M36</f>
        <v>85.52833333333335</v>
      </c>
      <c r="N17" s="18">
        <f>'09'!N36</f>
        <v>153.72083333333333</v>
      </c>
      <c r="O17" s="18">
        <f>'09'!O36</f>
        <v>0.53333333333333333</v>
      </c>
      <c r="P17" s="18">
        <f>'09'!P36</f>
        <v>0.48333333333333339</v>
      </c>
      <c r="Q17" s="18">
        <f>'09'!Q36</f>
        <v>2.8337499999999998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10/08/2023 01:00</v>
      </c>
      <c r="B18" s="18">
        <f>'10'!B36</f>
        <v>14.146250000000007</v>
      </c>
      <c r="C18" s="18">
        <f>'10'!C36</f>
        <v>21.797083333333333</v>
      </c>
      <c r="D18" s="18">
        <f>'10'!D36</f>
        <v>21.52333333333333</v>
      </c>
      <c r="E18" s="18">
        <f>'10'!E36</f>
        <v>8.5175000000000001</v>
      </c>
      <c r="F18" s="18">
        <f>'10'!F36</f>
        <v>7.0737499999999995</v>
      </c>
      <c r="G18" s="18">
        <f>'10'!G36</f>
        <v>38.186666666666675</v>
      </c>
      <c r="H18" s="18">
        <f>'10'!H36</f>
        <v>9.6033333333333335</v>
      </c>
      <c r="I18" s="18">
        <f>'10'!I36</f>
        <v>3.7808333333333333</v>
      </c>
      <c r="J18" s="18">
        <f>'10'!J36</f>
        <v>0.50083333333333335</v>
      </c>
      <c r="K18" s="18">
        <f>'10'!K36</f>
        <v>282.1295833333333</v>
      </c>
      <c r="L18" s="18">
        <f>'10'!L36</f>
        <v>28.477499999999996</v>
      </c>
      <c r="M18" s="18">
        <f>'10'!M36</f>
        <v>81.449583333333351</v>
      </c>
      <c r="N18" s="18">
        <f>'10'!N36</f>
        <v>181.32500000000002</v>
      </c>
      <c r="O18" s="18">
        <f>'10'!O36</f>
        <v>8.3333333333333332E-3</v>
      </c>
      <c r="P18" s="18">
        <f>'10'!P36</f>
        <v>0.47166666666666651</v>
      </c>
      <c r="Q18" s="18">
        <f>'10'!Q36</f>
        <v>4.6741666666666672</v>
      </c>
      <c r="R18" s="36"/>
      <c r="S18" s="36"/>
      <c r="T18" s="36"/>
      <c r="U18" s="36"/>
    </row>
    <row r="19" spans="1:24" s="2" customFormat="1">
      <c r="A19" s="16" t="str">
        <f>'11'!$B$2</f>
        <v>11/08/2023 01:00</v>
      </c>
      <c r="B19" s="18">
        <f>'11'!B36</f>
        <v>9.0341666666666658</v>
      </c>
      <c r="C19" s="18">
        <f>'11'!C36</f>
        <v>21.263749999999998</v>
      </c>
      <c r="D19" s="18">
        <f>'11'!D36</f>
        <v>17.189166666666662</v>
      </c>
      <c r="E19" s="18">
        <f>'11'!E36</f>
        <v>8.7845833333333339</v>
      </c>
      <c r="F19" s="18">
        <f>'11'!F36</f>
        <v>8.3137500000000006</v>
      </c>
      <c r="G19" s="18">
        <f>'11'!G36</f>
        <v>37.395833333333329</v>
      </c>
      <c r="H19" s="18">
        <f>'11'!H36</f>
        <v>9.8745833333333355</v>
      </c>
      <c r="I19" s="18">
        <f>'11'!I36</f>
        <v>3.7541666666666651</v>
      </c>
      <c r="J19" s="18">
        <f>'11'!J36</f>
        <v>0.56791666666666685</v>
      </c>
      <c r="K19" s="18">
        <f>'11'!K36</f>
        <v>273.29125000000005</v>
      </c>
      <c r="L19" s="18">
        <f>'11'!L36</f>
        <v>29.654166666666669</v>
      </c>
      <c r="M19" s="18">
        <f>'11'!M36</f>
        <v>75.3</v>
      </c>
      <c r="N19" s="18">
        <f>'11'!N36</f>
        <v>218.76666666666665</v>
      </c>
      <c r="O19" s="18">
        <f>'11'!O36</f>
        <v>0</v>
      </c>
      <c r="P19" s="18">
        <f>'11'!P36</f>
        <v>0.43791666666666679</v>
      </c>
      <c r="Q19" s="18">
        <f>'11'!Q36</f>
        <v>4.397916666666668</v>
      </c>
      <c r="R19" s="36"/>
      <c r="S19" s="36"/>
      <c r="T19" s="36"/>
      <c r="U19" s="36"/>
    </row>
    <row r="20" spans="1:24" s="2" customFormat="1">
      <c r="A20" s="16" t="str">
        <f>'12'!$B$2</f>
        <v>12/08/2023 01:00</v>
      </c>
      <c r="B20" s="18">
        <f>'12'!B36</f>
        <v>8.8233333333333306</v>
      </c>
      <c r="C20" s="18">
        <f>'12'!C36</f>
        <v>21.945416666666663</v>
      </c>
      <c r="D20" s="18">
        <f>'12'!D36</f>
        <v>17.425833333333333</v>
      </c>
      <c r="E20" s="18">
        <f>'12'!E36</f>
        <v>8.0179166666666646</v>
      </c>
      <c r="F20" s="18">
        <f>'12'!F36</f>
        <v>8.1749999999999989</v>
      </c>
      <c r="G20" s="18">
        <f>'12'!G36</f>
        <v>35.299583333333331</v>
      </c>
      <c r="H20" s="18">
        <f>'12'!H36</f>
        <v>10.387500000000001</v>
      </c>
      <c r="I20" s="18">
        <f>'12'!I36</f>
        <v>3.6379166666666669</v>
      </c>
      <c r="J20" s="18">
        <f>'12'!J36</f>
        <v>0.74083333333333334</v>
      </c>
      <c r="K20" s="18">
        <f>'12'!K36</f>
        <v>277.54958333333326</v>
      </c>
      <c r="L20" s="18">
        <f>'12'!L36</f>
        <v>29.853333333333335</v>
      </c>
      <c r="M20" s="18">
        <f>'12'!M36</f>
        <v>72.194999999999979</v>
      </c>
      <c r="N20" s="18">
        <f>'12'!N36</f>
        <v>233.86666666666667</v>
      </c>
      <c r="O20" s="18">
        <f>'12'!O36</f>
        <v>0</v>
      </c>
      <c r="P20" s="18">
        <f>'12'!P36</f>
        <v>0.44749999999999995</v>
      </c>
      <c r="Q20" s="18">
        <f>'12'!Q36</f>
        <v>4.3299999999999992</v>
      </c>
      <c r="R20" s="36"/>
      <c r="S20" s="36"/>
      <c r="T20" s="36"/>
      <c r="U20" s="36"/>
    </row>
    <row r="21" spans="1:24" s="2" customFormat="1">
      <c r="A21" s="16" t="str">
        <f>'13'!$B$2</f>
        <v>13/08/2023 01:00</v>
      </c>
      <c r="B21" s="18">
        <f>'13'!B36</f>
        <v>8.85</v>
      </c>
      <c r="C21" s="18">
        <f>'13'!C36</f>
        <v>21.860833333333336</v>
      </c>
      <c r="D21" s="18">
        <f>'13'!D36</f>
        <v>17.267083333333336</v>
      </c>
      <c r="E21" s="18">
        <f>'13'!E36</f>
        <v>8.1783333333333328</v>
      </c>
      <c r="F21" s="18">
        <f>'13'!F36</f>
        <v>7.246666666666667</v>
      </c>
      <c r="G21" s="18">
        <f>'13'!G36</f>
        <v>30.829583333333328</v>
      </c>
      <c r="H21" s="18">
        <f>'13'!H36</f>
        <v>8.8116666666666674</v>
      </c>
      <c r="I21" s="18">
        <f>'13'!I36</f>
        <v>3.9987499999999998</v>
      </c>
      <c r="J21" s="18">
        <f>'13'!J36</f>
        <v>0.59750000000000003</v>
      </c>
      <c r="K21" s="18">
        <f>'13'!K36</f>
        <v>266.5870833333334</v>
      </c>
      <c r="L21" s="18">
        <f>'13'!L36</f>
        <v>29.327916666666656</v>
      </c>
      <c r="M21" s="18">
        <f>'13'!M36</f>
        <v>74.710833333333312</v>
      </c>
      <c r="N21" s="18">
        <f>'13'!N36</f>
        <v>191.15416666666667</v>
      </c>
      <c r="O21" s="18">
        <f>'13'!O36</f>
        <v>0</v>
      </c>
      <c r="P21" s="18">
        <f>'13'!P36</f>
        <v>0.45749999999999996</v>
      </c>
      <c r="Q21" s="18">
        <f>'13'!Q36</f>
        <v>4.3529166666666663</v>
      </c>
      <c r="R21" s="36"/>
      <c r="S21" s="36"/>
      <c r="T21" s="36"/>
      <c r="U21" s="36"/>
    </row>
    <row r="22" spans="1:24" s="2" customFormat="1">
      <c r="A22" s="16" t="str">
        <f>'14'!$B$2</f>
        <v>14/08/2023 01:00</v>
      </c>
      <c r="B22" s="18">
        <f>'14'!B36</f>
        <v>13.054166666666665</v>
      </c>
      <c r="C22" s="18">
        <f>'14'!C36</f>
        <v>23.776250000000008</v>
      </c>
      <c r="D22" s="18">
        <f>'14'!D36</f>
        <v>21.743750000000006</v>
      </c>
      <c r="E22" s="18">
        <f>'14'!E36</f>
        <v>8.0229166666666654</v>
      </c>
      <c r="F22" s="18">
        <f>'14'!F36</f>
        <v>6.8433333333333328</v>
      </c>
      <c r="G22" s="18">
        <f>'14'!G36</f>
        <v>31.231666666666666</v>
      </c>
      <c r="H22" s="18">
        <f>'14'!H36</f>
        <v>8.845833333333335</v>
      </c>
      <c r="I22" s="18">
        <f>'14'!I36</f>
        <v>4.0895833333333345</v>
      </c>
      <c r="J22" s="18">
        <f>'14'!J36</f>
        <v>0.40625000000000006</v>
      </c>
      <c r="K22" s="18">
        <f>'14'!K36</f>
        <v>252.23666666666671</v>
      </c>
      <c r="L22" s="18">
        <f>'14'!L36</f>
        <v>28.196249999999996</v>
      </c>
      <c r="M22" s="18">
        <f>'14'!M36</f>
        <v>83.756250000000037</v>
      </c>
      <c r="N22" s="18">
        <f>'14'!N36</f>
        <v>127.39583333333336</v>
      </c>
      <c r="O22" s="18">
        <f>'14'!O36</f>
        <v>0.26666666666666666</v>
      </c>
      <c r="P22" s="18">
        <f>'14'!P36</f>
        <v>0.46500000000000002</v>
      </c>
      <c r="Q22" s="18">
        <f>'14'!Q36</f>
        <v>4.6429166666666655</v>
      </c>
      <c r="R22" s="38"/>
      <c r="S22" s="38"/>
      <c r="T22" s="38"/>
      <c r="U22" s="38"/>
    </row>
    <row r="23" spans="1:24" s="2" customFormat="1">
      <c r="A23" s="16" t="str">
        <f>'15'!$B$2</f>
        <v>15/08/2023 01:00</v>
      </c>
      <c r="B23" s="19">
        <f>'15'!B36</f>
        <v>9.7295833333333324</v>
      </c>
      <c r="C23" s="19">
        <f>'15'!C36</f>
        <v>23.289583333333326</v>
      </c>
      <c r="D23" s="19">
        <f>'15'!D36</f>
        <v>18.755833333333332</v>
      </c>
      <c r="E23" s="19">
        <f>'15'!E36</f>
        <v>9.4154166666666672</v>
      </c>
      <c r="F23" s="19">
        <f>'15'!F36</f>
        <v>7.6941666666666677</v>
      </c>
      <c r="G23" s="19">
        <f>'15'!G36</f>
        <v>28.747500000000002</v>
      </c>
      <c r="H23" s="19">
        <f>'15'!H36</f>
        <v>8.3050000000000015</v>
      </c>
      <c r="I23" s="19">
        <f>'15'!I36</f>
        <v>3.7129166666666662</v>
      </c>
      <c r="J23" s="19">
        <f>'15'!J36</f>
        <v>0.57999999999999996</v>
      </c>
      <c r="K23" s="19">
        <f>'15'!K36</f>
        <v>278.56250000000006</v>
      </c>
      <c r="L23" s="19">
        <f>'15'!L36</f>
        <v>29.049999999999997</v>
      </c>
      <c r="M23" s="19">
        <f>'15'!M36</f>
        <v>77.547916666666666</v>
      </c>
      <c r="N23" s="19">
        <f>'15'!N36</f>
        <v>212.35833333333335</v>
      </c>
      <c r="O23" s="19">
        <f>'15'!O36</f>
        <v>0</v>
      </c>
      <c r="P23" s="19">
        <f>'15'!P36</f>
        <v>0.42416666666666675</v>
      </c>
      <c r="Q23" s="19">
        <f>'15'!Q36</f>
        <v>4.4033333333333324</v>
      </c>
      <c r="R23" s="38"/>
      <c r="S23" s="38"/>
      <c r="T23" s="38"/>
      <c r="U23" s="36"/>
    </row>
    <row r="24" spans="1:24" s="2" customFormat="1">
      <c r="A24" s="16" t="str">
        <f>'16'!$B$2</f>
        <v>16/08/2023 01:00</v>
      </c>
      <c r="B24" s="18">
        <f>'16'!B36</f>
        <v>10.24375</v>
      </c>
      <c r="C24" s="18">
        <f>'16'!C36</f>
        <v>23.466250000000002</v>
      </c>
      <c r="D24" s="18">
        <f>'16'!D36</f>
        <v>19.2575</v>
      </c>
      <c r="E24" s="18">
        <f>'16'!E36</f>
        <v>7.5274999999999999</v>
      </c>
      <c r="F24" s="18">
        <f>'16'!F36</f>
        <v>7.6379166666666656</v>
      </c>
      <c r="G24" s="18">
        <f>'16'!G36</f>
        <v>26.883749999999996</v>
      </c>
      <c r="H24" s="18">
        <f>'16'!H36</f>
        <v>6.9970833333333333</v>
      </c>
      <c r="I24" s="18">
        <f>'16'!I36</f>
        <v>3.7449999999999997</v>
      </c>
      <c r="J24" s="18">
        <f>'16'!J36</f>
        <v>0.62875000000000003</v>
      </c>
      <c r="K24" s="18">
        <f>'16'!K36</f>
        <v>284.21791666666667</v>
      </c>
      <c r="L24" s="18">
        <f>'16'!L36</f>
        <v>29.614583333333332</v>
      </c>
      <c r="M24" s="18">
        <f>'16'!M36</f>
        <v>75.861666666666665</v>
      </c>
      <c r="N24" s="18">
        <f>'16'!N36</f>
        <v>203.35</v>
      </c>
      <c r="O24" s="18">
        <f>'16'!O36</f>
        <v>0</v>
      </c>
      <c r="P24" s="18">
        <f>'16'!P36</f>
        <v>0.42</v>
      </c>
      <c r="Q24" s="18">
        <f>'16'!Q36</f>
        <v>4.4416666666666655</v>
      </c>
      <c r="R24" s="38"/>
      <c r="S24" s="38"/>
      <c r="T24" s="38"/>
      <c r="U24" s="36"/>
    </row>
    <row r="25" spans="1:24" s="2" customFormat="1">
      <c r="A25" s="16" t="str">
        <f>'17'!$B$2</f>
        <v>17/08/2023 01:00</v>
      </c>
      <c r="B25" s="18">
        <f>'17'!B36</f>
        <v>12.002083333333333</v>
      </c>
      <c r="C25" s="18">
        <f>'17'!C36</f>
        <v>23.222083333333334</v>
      </c>
      <c r="D25" s="18">
        <f>'17'!D36</f>
        <v>20.483333333333338</v>
      </c>
      <c r="E25" s="18">
        <f>'17'!E36</f>
        <v>8.1474999999999991</v>
      </c>
      <c r="F25" s="18">
        <f>'17'!F36</f>
        <v>5.5374999999999988</v>
      </c>
      <c r="G25" s="18">
        <f>'17'!G36</f>
        <v>32.483749999999993</v>
      </c>
      <c r="H25" s="18">
        <f>'17'!H36</f>
        <v>9.3829166666666666</v>
      </c>
      <c r="I25" s="18">
        <f>'17'!I36</f>
        <v>3.9979166666666668</v>
      </c>
      <c r="J25" s="18">
        <f>'17'!J36</f>
        <v>0.60041666666666671</v>
      </c>
      <c r="K25" s="18">
        <f>'17'!K36</f>
        <v>301.25124999999997</v>
      </c>
      <c r="L25" s="18">
        <f>'17'!L36</f>
        <v>27.704999999999998</v>
      </c>
      <c r="M25" s="18">
        <f>'17'!M36</f>
        <v>85.581666666666663</v>
      </c>
      <c r="N25" s="18">
        <f>'17'!N36</f>
        <v>127.71666666666665</v>
      </c>
      <c r="O25" s="18">
        <f>'17'!O36</f>
        <v>1.75</v>
      </c>
      <c r="P25" s="18">
        <f>'17'!P36</f>
        <v>0.50791666666666668</v>
      </c>
      <c r="Q25" s="18">
        <f>'17'!Q36</f>
        <v>4.6258333333333335</v>
      </c>
      <c r="R25" s="38"/>
      <c r="S25" s="38"/>
      <c r="T25" s="38"/>
      <c r="U25" s="36"/>
    </row>
    <row r="26" spans="1:24" s="2" customFormat="1">
      <c r="A26" s="16" t="str">
        <f>'18'!$B$2</f>
        <v>18/08/2023 01:00</v>
      </c>
      <c r="B26" s="18">
        <f>'18'!B36</f>
        <v>11.391666666666666</v>
      </c>
      <c r="C26" s="18">
        <f>'18'!C36</f>
        <v>22.432500000000001</v>
      </c>
      <c r="D26" s="18">
        <f>'18'!D36</f>
        <v>20.740416666666665</v>
      </c>
      <c r="E26" s="18">
        <f>'18'!E36</f>
        <v>6.5358333333333327</v>
      </c>
      <c r="F26" s="18">
        <f>'18'!F36</f>
        <v>5.7162500000000014</v>
      </c>
      <c r="G26" s="18">
        <f>'18'!G36</f>
        <v>23.868333333333336</v>
      </c>
      <c r="H26" s="18">
        <f>'18'!H36</f>
        <v>10.086250000000001</v>
      </c>
      <c r="I26" s="18">
        <f>'18'!I36</f>
        <v>13.076666666666668</v>
      </c>
      <c r="J26" s="18">
        <f>'18'!J36</f>
        <v>0.49500000000000005</v>
      </c>
      <c r="K26" s="18">
        <f>'18'!K36</f>
        <v>295.12375000000003</v>
      </c>
      <c r="L26" s="18">
        <f>'18'!L36</f>
        <v>26.652083333333326</v>
      </c>
      <c r="M26" s="18">
        <f>'18'!M36</f>
        <v>92.370416666666657</v>
      </c>
      <c r="N26" s="18">
        <f>'18'!N36</f>
        <v>118.40833333333335</v>
      </c>
      <c r="O26" s="18">
        <f>'18'!O36</f>
        <v>1.4083333333333334</v>
      </c>
      <c r="P26" s="18">
        <f>'18'!P36</f>
        <v>0.54791666666666661</v>
      </c>
      <c r="Q26" s="18">
        <f>'18'!Q36</f>
        <v>4.597500000000001</v>
      </c>
      <c r="R26" s="38"/>
      <c r="S26" s="38"/>
      <c r="T26" s="38"/>
      <c r="U26" s="36"/>
    </row>
    <row r="27" spans="1:24" s="2" customFormat="1">
      <c r="A27" s="16" t="str">
        <f>'19'!$B$2</f>
        <v>19/08/2023 01:00</v>
      </c>
      <c r="B27" s="18">
        <f>'19'!B36</f>
        <v>11.042499999999999</v>
      </c>
      <c r="C27" s="18">
        <f>'19'!C36</f>
        <v>18.480833333333333</v>
      </c>
      <c r="D27" s="18">
        <f>'19'!D36</f>
        <v>19.672083333333337</v>
      </c>
      <c r="E27" s="18">
        <f>'19'!E36</f>
        <v>4.1141666666666667</v>
      </c>
      <c r="F27" s="18">
        <f>'19'!F36</f>
        <v>5.0954166666666669</v>
      </c>
      <c r="G27" s="18">
        <f>'19'!G36</f>
        <v>10.849166666666667</v>
      </c>
      <c r="H27" s="18">
        <f>'19'!H36</f>
        <v>6.3849999999999989</v>
      </c>
      <c r="I27" s="18">
        <f>'19'!I36</f>
        <v>6.1245833333333337</v>
      </c>
      <c r="J27" s="18">
        <f>'19'!J36</f>
        <v>0.23041666666666671</v>
      </c>
      <c r="K27" s="18">
        <f>'19'!K36</f>
        <v>252.84208333333342</v>
      </c>
      <c r="L27" s="18">
        <f>'19'!L36</f>
        <v>27.146249999999998</v>
      </c>
      <c r="M27" s="18">
        <f>'19'!M36</f>
        <v>95.333749999999995</v>
      </c>
      <c r="N27" s="18">
        <f>'19'!N36</f>
        <v>205.72083333333339</v>
      </c>
      <c r="O27" s="18">
        <f>'19'!O36</f>
        <v>0.11666666666666668</v>
      </c>
      <c r="P27" s="18">
        <f>'19'!P36</f>
        <v>0.505</v>
      </c>
      <c r="Q27" s="18">
        <f>'19'!Q36</f>
        <v>4.5512500000000005</v>
      </c>
      <c r="R27" s="38"/>
      <c r="S27" s="38"/>
      <c r="T27" s="38"/>
      <c r="U27" s="36"/>
    </row>
    <row r="28" spans="1:24" s="2" customFormat="1">
      <c r="A28" s="16" t="str">
        <f>'20'!$B$2</f>
        <v>20/08/2023 01:00</v>
      </c>
      <c r="B28" s="18">
        <f>'20'!B36</f>
        <v>11.991249999999999</v>
      </c>
      <c r="C28" s="18">
        <f>'20'!C36</f>
        <v>18.575416666666666</v>
      </c>
      <c r="D28" s="18">
        <f>'20'!D36</f>
        <v>20.465416666666666</v>
      </c>
      <c r="E28" s="18">
        <f>'20'!E36</f>
        <v>4.3804166666666662</v>
      </c>
      <c r="F28" s="18">
        <f>'20'!F36</f>
        <v>3.6150000000000002</v>
      </c>
      <c r="G28" s="18">
        <f>'20'!G36</f>
        <v>4.854166666666667</v>
      </c>
      <c r="H28" s="18">
        <f>'20'!H36</f>
        <v>1.3949999999999998</v>
      </c>
      <c r="I28" s="18">
        <f>'20'!I36</f>
        <v>3.2037499999999999</v>
      </c>
      <c r="J28" s="18">
        <f>'20'!J36</f>
        <v>0.35625000000000001</v>
      </c>
      <c r="K28" s="18">
        <f>'20'!K36</f>
        <v>243.1179166666667</v>
      </c>
      <c r="L28" s="18">
        <f>'20'!L36</f>
        <v>26.219583333333333</v>
      </c>
      <c r="M28" s="18">
        <f>'20'!M36</f>
        <v>91.372499999999988</v>
      </c>
      <c r="N28" s="18">
        <f>'20'!N36</f>
        <v>92.012500000000003</v>
      </c>
      <c r="O28" s="18">
        <f>'20'!O36</f>
        <v>1.6666666666666666E-2</v>
      </c>
      <c r="P28" s="18">
        <f>'20'!P36</f>
        <v>0.38375000000000004</v>
      </c>
      <c r="Q28" s="18">
        <f>'20'!Q36</f>
        <v>4.6191666666666675</v>
      </c>
      <c r="R28" s="38"/>
      <c r="S28" s="38"/>
      <c r="T28" s="38"/>
      <c r="U28" s="36"/>
    </row>
    <row r="29" spans="1:24" s="2" customFormat="1">
      <c r="A29" s="16" t="str">
        <f>'21'!$B$2</f>
        <v>21/08/2023 01:00</v>
      </c>
      <c r="B29" s="18">
        <f>'21'!B36</f>
        <v>11.367916666666666</v>
      </c>
      <c r="C29" s="18">
        <f>'21'!C36</f>
        <v>17.555833333333332</v>
      </c>
      <c r="D29" s="18">
        <f>'21'!D36</f>
        <v>19.560833333333328</v>
      </c>
      <c r="E29" s="18">
        <f>'21'!E36</f>
        <v>3.6662500000000011</v>
      </c>
      <c r="F29" s="18">
        <f>'21'!F36</f>
        <v>4.1408333333333331</v>
      </c>
      <c r="G29" s="18">
        <f>'21'!G36</f>
        <v>15.130833333333333</v>
      </c>
      <c r="H29" s="18">
        <f>'21'!H36</f>
        <v>6.7212500000000004</v>
      </c>
      <c r="I29" s="18">
        <f>'21'!I36</f>
        <v>2.94875</v>
      </c>
      <c r="J29" s="18">
        <f>'21'!J36</f>
        <v>0.39916666666666661</v>
      </c>
      <c r="K29" s="18">
        <f>'21'!K36</f>
        <v>264.73791666666665</v>
      </c>
      <c r="L29" s="18">
        <f>'21'!L36</f>
        <v>26.839583333333334</v>
      </c>
      <c r="M29" s="18">
        <f>'21'!M36</f>
        <v>90.941666666666663</v>
      </c>
      <c r="N29" s="18">
        <f>'21'!N36</f>
        <v>110.52916666666664</v>
      </c>
      <c r="O29" s="18">
        <f>'21'!O36</f>
        <v>8.3333333333333332E-3</v>
      </c>
      <c r="P29" s="18">
        <f>'21'!P36</f>
        <v>0.38666666666666671</v>
      </c>
      <c r="Q29" s="18">
        <f>'21'!Q36</f>
        <v>4.5325000000000006</v>
      </c>
      <c r="R29" s="38"/>
      <c r="S29" s="38"/>
      <c r="T29" s="38"/>
      <c r="U29" s="36"/>
    </row>
    <row r="30" spans="1:24" s="2" customFormat="1">
      <c r="A30" s="16" t="str">
        <f>'22'!$B$2</f>
        <v>22/08/2023 01:00</v>
      </c>
      <c r="B30" s="18">
        <f>'22'!B36</f>
        <v>6.8333333333333321</v>
      </c>
      <c r="C30" s="18">
        <f>'22'!C36</f>
        <v>15.837499999999999</v>
      </c>
      <c r="D30" s="18">
        <f>'22'!D36</f>
        <v>14.881666666666669</v>
      </c>
      <c r="E30" s="18">
        <f>'22'!E36</f>
        <v>5.992916666666666</v>
      </c>
      <c r="F30" s="18">
        <f>'22'!F36</f>
        <v>7.4658333333333333</v>
      </c>
      <c r="G30" s="18">
        <f>'22'!G36</f>
        <v>22.585416666666664</v>
      </c>
      <c r="H30" s="18">
        <f>'22'!H36</f>
        <v>9.2637500000000017</v>
      </c>
      <c r="I30" s="18">
        <f>'22'!I36</f>
        <v>3.6558333333333337</v>
      </c>
      <c r="J30" s="18">
        <f>'22'!J36</f>
        <v>0.65166666666666673</v>
      </c>
      <c r="K30" s="18">
        <f>'22'!K36</f>
        <v>262.83958333333334</v>
      </c>
      <c r="L30" s="18">
        <f>'22'!L36</f>
        <v>28.454583333333332</v>
      </c>
      <c r="M30" s="18">
        <f>'22'!M36</f>
        <v>83.093750000000014</v>
      </c>
      <c r="N30" s="18">
        <f>'22'!N36</f>
        <v>201.2791666666667</v>
      </c>
      <c r="O30" s="18">
        <f>'22'!O36</f>
        <v>0</v>
      </c>
      <c r="P30" s="18">
        <f>'22'!P36</f>
        <v>0.44750000000000001</v>
      </c>
      <c r="Q30" s="18">
        <f>'22'!Q36</f>
        <v>4.3050000000000006</v>
      </c>
      <c r="R30" s="38"/>
      <c r="S30" s="36"/>
      <c r="T30" s="36"/>
      <c r="U30" s="36"/>
    </row>
    <row r="31" spans="1:24" s="2" customFormat="1">
      <c r="A31" s="16" t="str">
        <f>'23'!$B$2</f>
        <v>23/08/2023 01:00</v>
      </c>
      <c r="B31" s="18">
        <f>'23'!B36</f>
        <v>8.6079166666666662</v>
      </c>
      <c r="C31" s="18">
        <f>'23'!C36</f>
        <v>14.41583333333333</v>
      </c>
      <c r="D31" s="18">
        <f>'23'!D36</f>
        <v>15.64458333333333</v>
      </c>
      <c r="E31" s="18">
        <f>'23'!E36</f>
        <v>4.8433333333333337</v>
      </c>
      <c r="F31" s="18">
        <f>'23'!F36</f>
        <v>6.0470833333333331</v>
      </c>
      <c r="G31" s="18">
        <f>'23'!G36</f>
        <v>16.510416666666668</v>
      </c>
      <c r="H31" s="18">
        <f>'23'!H36</f>
        <v>7.7725</v>
      </c>
      <c r="I31" s="18">
        <f>'23'!I36</f>
        <v>3.1191666666666662</v>
      </c>
      <c r="J31" s="18">
        <f>'23'!J36</f>
        <v>0.76333333333333353</v>
      </c>
      <c r="K31" s="18">
        <f>'23'!K36</f>
        <v>265.04708333333332</v>
      </c>
      <c r="L31" s="18">
        <f>'23'!L36</f>
        <v>28.617916666666662</v>
      </c>
      <c r="M31" s="18">
        <f>'23'!M36</f>
        <v>83.4375</v>
      </c>
      <c r="N31" s="18">
        <f>'23'!N36</f>
        <v>186.87916666666672</v>
      </c>
      <c r="O31" s="18">
        <f>'23'!O36</f>
        <v>1.6666666666666666E-2</v>
      </c>
      <c r="P31" s="18">
        <f>'23'!P36</f>
        <v>0.35666666666666669</v>
      </c>
      <c r="Q31" s="18">
        <f>'23'!Q36</f>
        <v>4.270833333333333</v>
      </c>
      <c r="R31" s="36"/>
      <c r="S31" s="36"/>
      <c r="T31" s="36"/>
      <c r="U31" s="36"/>
    </row>
    <row r="32" spans="1:24" s="2" customFormat="1">
      <c r="A32" s="16" t="str">
        <f>'24'!$B$2</f>
        <v>24/08/2023 01:00</v>
      </c>
      <c r="B32" s="18">
        <f>'24'!B36</f>
        <v>7.7279166666666663</v>
      </c>
      <c r="C32" s="18">
        <f>'24'!C36</f>
        <v>14.63125</v>
      </c>
      <c r="D32" s="18">
        <f>'24'!D36</f>
        <v>14.998333333333335</v>
      </c>
      <c r="E32" s="18">
        <f>'24'!E36</f>
        <v>4.1933333333333316</v>
      </c>
      <c r="F32" s="18">
        <f>'24'!F36</f>
        <v>4.5841666666666674</v>
      </c>
      <c r="G32" s="18">
        <f>'24'!G36</f>
        <v>22.58583333333333</v>
      </c>
      <c r="H32" s="18">
        <f>'24'!H36</f>
        <v>7.3433333333333337</v>
      </c>
      <c r="I32" s="18">
        <f>'24'!I36</f>
        <v>4.4174999999999995</v>
      </c>
      <c r="J32" s="18">
        <f>'24'!J36</f>
        <v>0.71416666666666684</v>
      </c>
      <c r="K32" s="18">
        <f>'24'!K36</f>
        <v>273.52833333333336</v>
      </c>
      <c r="L32" s="18">
        <f>'24'!L36</f>
        <v>27.157916666666665</v>
      </c>
      <c r="M32" s="18">
        <f>'24'!M36</f>
        <v>88.593750000000014</v>
      </c>
      <c r="N32" s="18">
        <f>'24'!N36</f>
        <v>136.90833333333333</v>
      </c>
      <c r="O32" s="18">
        <f>'24'!O36</f>
        <v>7.4999999999999997E-2</v>
      </c>
      <c r="P32" s="18">
        <f>'24'!P36</f>
        <v>0.49958333333333343</v>
      </c>
      <c r="Q32" s="18">
        <f>'24'!Q36</f>
        <v>4.3791666666666673</v>
      </c>
      <c r="R32" s="36"/>
      <c r="S32" s="36"/>
      <c r="T32" s="36"/>
      <c r="U32" s="36"/>
    </row>
    <row r="33" spans="1:21" s="2" customFormat="1">
      <c r="A33" s="16" t="str">
        <f>'25'!$B$2</f>
        <v>25/08/2023 01:00</v>
      </c>
      <c r="B33" s="18">
        <f>'25'!B36</f>
        <v>11.304166666666667</v>
      </c>
      <c r="C33" s="18">
        <f>'25'!C36</f>
        <v>13.964583333333332</v>
      </c>
      <c r="D33" s="18">
        <f>'25'!D36</f>
        <v>17.645416666666666</v>
      </c>
      <c r="E33" s="18">
        <f>'25'!E36</f>
        <v>4.9641666666666664</v>
      </c>
      <c r="F33" s="18">
        <f>'25'!F36</f>
        <v>4.3070833333333338</v>
      </c>
      <c r="G33" s="18">
        <f>'25'!G36</f>
        <v>14.629583333333334</v>
      </c>
      <c r="H33" s="18">
        <f>'25'!H36</f>
        <v>4.7574999999999994</v>
      </c>
      <c r="I33" s="18">
        <f>'25'!I36</f>
        <v>3.6466666666666665</v>
      </c>
      <c r="J33" s="18">
        <f>'25'!J36</f>
        <v>0.6841666666666667</v>
      </c>
      <c r="K33" s="18">
        <f>'25'!K36</f>
        <v>263.13375000000002</v>
      </c>
      <c r="L33" s="18">
        <f>'25'!L36</f>
        <v>27.860833333333336</v>
      </c>
      <c r="M33" s="18">
        <f>'25'!M36</f>
        <v>84.681666666666686</v>
      </c>
      <c r="N33" s="18">
        <f>'25'!N36</f>
        <v>185.23749999999998</v>
      </c>
      <c r="O33" s="18">
        <f>'25'!O36</f>
        <v>8.3333333333333332E-3</v>
      </c>
      <c r="P33" s="18">
        <f>'25'!P36</f>
        <v>0.39291666666666675</v>
      </c>
      <c r="Q33" s="18">
        <f>'25'!Q36</f>
        <v>4.4537500000000003</v>
      </c>
      <c r="R33" s="36"/>
      <c r="S33" s="36"/>
      <c r="T33" s="36"/>
      <c r="U33" s="36"/>
    </row>
    <row r="34" spans="1:21" s="2" customFormat="1">
      <c r="A34" s="16" t="str">
        <f>'26'!$B$2</f>
        <v>26/08/2023 01:00</v>
      </c>
      <c r="B34" s="18">
        <f>'26'!B36</f>
        <v>8.0074999999999985</v>
      </c>
      <c r="C34" s="18">
        <f>'26'!C36</f>
        <v>13.924166666666666</v>
      </c>
      <c r="D34" s="18">
        <f>'26'!D36</f>
        <v>14.942916666666669</v>
      </c>
      <c r="E34" s="18">
        <f>'26'!E36</f>
        <v>3.938333333333333</v>
      </c>
      <c r="F34" s="18">
        <f>'26'!F36</f>
        <v>5.4124999999999988</v>
      </c>
      <c r="G34" s="18">
        <f>'26'!G36</f>
        <v>26.205000000000002</v>
      </c>
      <c r="H34" s="18">
        <f>'26'!H36</f>
        <v>6.612916666666667</v>
      </c>
      <c r="I34" s="18">
        <f>'26'!I36</f>
        <v>3.5541666666666671</v>
      </c>
      <c r="J34" s="18">
        <f>'26'!J36</f>
        <v>0.67833333333333334</v>
      </c>
      <c r="K34" s="18">
        <f>'26'!K36</f>
        <v>276.25291666666664</v>
      </c>
      <c r="L34" s="18">
        <f>'26'!L36</f>
        <v>28.820833333333336</v>
      </c>
      <c r="M34" s="18">
        <f>'26'!M36</f>
        <v>79.823750000000004</v>
      </c>
      <c r="N34" s="18">
        <f>'26'!N36</f>
        <v>222.44166666666669</v>
      </c>
      <c r="O34" s="18">
        <f>'26'!O36</f>
        <v>0</v>
      </c>
      <c r="P34" s="18">
        <f>'26'!P36</f>
        <v>0.38166666666666665</v>
      </c>
      <c r="Q34" s="18">
        <f>'26'!Q36</f>
        <v>4.4345833333333324</v>
      </c>
      <c r="R34" s="36"/>
      <c r="S34" s="36"/>
      <c r="T34" s="36"/>
      <c r="U34" s="36"/>
    </row>
    <row r="35" spans="1:21" s="2" customFormat="1">
      <c r="A35" s="16" t="str">
        <f>'27'!$B$2</f>
        <v>27/08/2023 01:00</v>
      </c>
      <c r="B35" s="18">
        <f>'27'!B36</f>
        <v>17.432500000000001</v>
      </c>
      <c r="C35" s="18">
        <f>'27'!C36</f>
        <v>13.293749999999998</v>
      </c>
      <c r="D35" s="18">
        <f>'27'!D36</f>
        <v>22.224166666666672</v>
      </c>
      <c r="E35" s="18">
        <f>'27'!E36</f>
        <v>4.5975000000000001</v>
      </c>
      <c r="F35" s="18">
        <f>'27'!F36</f>
        <v>5.8933333333333318</v>
      </c>
      <c r="G35" s="18">
        <f>'27'!G36</f>
        <v>34.341250000000002</v>
      </c>
      <c r="H35" s="18">
        <f>'27'!H36</f>
        <v>8.9337500000000016</v>
      </c>
      <c r="I35" s="18">
        <f>'27'!I36</f>
        <v>3.5591666666666666</v>
      </c>
      <c r="J35" s="18">
        <f>'27'!J36</f>
        <v>0.72624999999999995</v>
      </c>
      <c r="K35" s="18">
        <f>'27'!K36</f>
        <v>281.81416666666667</v>
      </c>
      <c r="L35" s="18">
        <f>'27'!L36</f>
        <v>28.971250000000008</v>
      </c>
      <c r="M35" s="18">
        <f>'27'!M36</f>
        <v>78.557083333333324</v>
      </c>
      <c r="N35" s="18">
        <f>'27'!N36</f>
        <v>219.32916666666668</v>
      </c>
      <c r="O35" s="18">
        <f>'27'!O36</f>
        <v>0</v>
      </c>
      <c r="P35" s="18">
        <f>'27'!P36</f>
        <v>0.38541666666666669</v>
      </c>
      <c r="Q35" s="18">
        <f>'27'!Q36</f>
        <v>4.3658333333333328</v>
      </c>
      <c r="R35" s="36"/>
      <c r="S35" s="36"/>
      <c r="T35" s="36"/>
      <c r="U35" s="36"/>
    </row>
    <row r="36" spans="1:21" s="2" customFormat="1">
      <c r="A36" s="16" t="str">
        <f>'28'!$B$2</f>
        <v>28/08/2023 01:00</v>
      </c>
      <c r="B36" s="18">
        <f>'28'!B36</f>
        <v>10.899999999999999</v>
      </c>
      <c r="C36" s="18">
        <f>'28'!C36</f>
        <v>14.3225</v>
      </c>
      <c r="D36" s="18">
        <f>'28'!D36</f>
        <v>17.485833333333328</v>
      </c>
      <c r="E36" s="18">
        <f>'28'!E36</f>
        <v>3.9316666666666666</v>
      </c>
      <c r="F36" s="18">
        <f>'28'!F36</f>
        <v>6.1654166666666681</v>
      </c>
      <c r="G36" s="18">
        <f>'28'!G36</f>
        <v>69.870416666666657</v>
      </c>
      <c r="H36" s="18">
        <f>'28'!H36</f>
        <v>15.695833333333335</v>
      </c>
      <c r="I36" s="18">
        <f>'28'!I36</f>
        <v>3.4937500000000004</v>
      </c>
      <c r="J36" s="18">
        <f>'28'!J36</f>
        <v>0.53999999999999992</v>
      </c>
      <c r="K36" s="18">
        <f>'28'!K36</f>
        <v>282.89500000000004</v>
      </c>
      <c r="L36" s="18">
        <f>'28'!L36</f>
        <v>28.720833333333331</v>
      </c>
      <c r="M36" s="18">
        <f>'28'!M36</f>
        <v>74.01958333333333</v>
      </c>
      <c r="N36" s="18">
        <f>'28'!N36</f>
        <v>191.90833333333333</v>
      </c>
      <c r="O36" s="18">
        <f>'28'!O36</f>
        <v>0</v>
      </c>
      <c r="P36" s="18">
        <f>'28'!P36</f>
        <v>0.40000000000000008</v>
      </c>
      <c r="Q36" s="18">
        <f>'28'!Q36</f>
        <v>4.4333333333333327</v>
      </c>
      <c r="R36" s="36"/>
      <c r="S36" s="36"/>
      <c r="T36" s="36"/>
      <c r="U36" s="36"/>
    </row>
    <row r="37" spans="1:21" s="2" customFormat="1">
      <c r="A37" s="16" t="str">
        <f>'29'!$B$2</f>
        <v>29/08/2023 01:00</v>
      </c>
      <c r="B37" s="18">
        <f>'29'!B36</f>
        <v>6.9412500000000001</v>
      </c>
      <c r="C37" s="18">
        <f>'29'!C36</f>
        <v>17.719583333333333</v>
      </c>
      <c r="D37" s="18">
        <f>'29'!D36</f>
        <v>16.050833333333333</v>
      </c>
      <c r="E37" s="18">
        <f>'29'!E36</f>
        <v>4.7574999999999994</v>
      </c>
      <c r="F37" s="18">
        <f>'29'!F36</f>
        <v>5.918333333333333</v>
      </c>
      <c r="G37" s="18">
        <f>'29'!G36</f>
        <v>70.148695652173913</v>
      </c>
      <c r="H37" s="18">
        <f>'29'!H36</f>
        <v>17.781304347826087</v>
      </c>
      <c r="I37" s="18">
        <f>'29'!I36</f>
        <v>3.8424999999999998</v>
      </c>
      <c r="J37" s="18">
        <f>'29'!J36</f>
        <v>0.50166666666666671</v>
      </c>
      <c r="K37" s="18">
        <f>'29'!K36</f>
        <v>288.37291666666658</v>
      </c>
      <c r="L37" s="18">
        <f>'29'!L36</f>
        <v>28.951666666666664</v>
      </c>
      <c r="M37" s="18">
        <f>'29'!M36</f>
        <v>70.37833333333333</v>
      </c>
      <c r="N37" s="18">
        <f>'29'!N36</f>
        <v>215.94583333333333</v>
      </c>
      <c r="O37" s="18">
        <f>'29'!O36</f>
        <v>0</v>
      </c>
      <c r="P37" s="18">
        <f>'29'!P36</f>
        <v>0.41375000000000001</v>
      </c>
      <c r="Q37" s="18">
        <f>'29'!Q36</f>
        <v>4.5641666666666652</v>
      </c>
      <c r="R37" s="36"/>
      <c r="S37" s="36"/>
      <c r="T37" s="36"/>
      <c r="U37" s="36"/>
    </row>
    <row r="38" spans="1:21" s="2" customFormat="1">
      <c r="A38" s="16" t="str">
        <f>'30'!$B$2</f>
        <v>30/08/2023 01:00</v>
      </c>
      <c r="B38" s="18">
        <f>'30'!B36</f>
        <v>14.642083333333337</v>
      </c>
      <c r="C38" s="18">
        <f>'30'!C36</f>
        <v>20.092916666666664</v>
      </c>
      <c r="D38" s="18">
        <f>'30'!D36</f>
        <v>23.451249999999998</v>
      </c>
      <c r="E38" s="18">
        <f>'30'!E36</f>
        <v>6.7458333333333327</v>
      </c>
      <c r="F38" s="18">
        <f>'30'!F36</f>
        <v>4.8979166666666663</v>
      </c>
      <c r="G38" s="18">
        <f>'30'!G36</f>
        <v>55.787499999999994</v>
      </c>
      <c r="H38" s="18">
        <f>'30'!H36</f>
        <v>17.757083333333338</v>
      </c>
      <c r="I38" s="18">
        <f>'30'!I36</f>
        <v>5.0408333333333326</v>
      </c>
      <c r="J38" s="18">
        <f>'30'!J36</f>
        <v>0.37791666666666662</v>
      </c>
      <c r="K38" s="18">
        <f>'30'!K36</f>
        <v>208.68624999999997</v>
      </c>
      <c r="L38" s="18">
        <f>'30'!L36</f>
        <v>27.765416666666667</v>
      </c>
      <c r="M38" s="18">
        <f>'30'!M36</f>
        <v>86.74666666666667</v>
      </c>
      <c r="N38" s="18">
        <f>'30'!N36</f>
        <v>173.29166666666663</v>
      </c>
      <c r="O38" s="18">
        <f>'30'!O36</f>
        <v>0.52500000000000002</v>
      </c>
      <c r="P38" s="18">
        <f>'30'!P36</f>
        <v>0.53500000000000003</v>
      </c>
      <c r="Q38" s="18">
        <f>'30'!Q36</f>
        <v>4.9520833333333334</v>
      </c>
      <c r="R38" s="36"/>
      <c r="S38" s="36"/>
      <c r="T38" s="36"/>
      <c r="U38" s="36"/>
    </row>
    <row r="39" spans="1:21">
      <c r="A39" s="16" t="str">
        <f>'31'!$B$2</f>
        <v>31/08/2023 01:00</v>
      </c>
      <c r="B39" s="18">
        <f>'31'!B36</f>
        <v>14.314090909090909</v>
      </c>
      <c r="C39" s="18">
        <f>'31'!C36</f>
        <v>21.065454545454546</v>
      </c>
      <c r="D39" s="18">
        <f>'31'!D36</f>
        <v>23.660454545454538</v>
      </c>
      <c r="E39" s="18">
        <f>'31'!E36</f>
        <v>12.326363636363636</v>
      </c>
      <c r="F39" s="18">
        <f>'31'!F36</f>
        <v>7.5087500000000018</v>
      </c>
      <c r="G39" s="18">
        <f>'31'!G36</f>
        <v>50.709166666666668</v>
      </c>
      <c r="H39" s="18">
        <f>'31'!H36</f>
        <v>17.575833333333332</v>
      </c>
      <c r="I39" s="18">
        <f>'31'!I36</f>
        <v>35.44</v>
      </c>
      <c r="J39" s="18">
        <f>'31'!J36</f>
        <v>0.34499999999999997</v>
      </c>
      <c r="K39" s="18">
        <f>'31'!K36</f>
        <v>162.40916666666666</v>
      </c>
      <c r="L39" s="18">
        <f>'31'!L36</f>
        <v>29.315833333333341</v>
      </c>
      <c r="M39" s="18">
        <f>'31'!M36</f>
        <v>82.637083333333337</v>
      </c>
      <c r="N39" s="18">
        <f>'31'!N36</f>
        <v>227.76666666666668</v>
      </c>
      <c r="O39" s="18">
        <f>'31'!O36</f>
        <v>0</v>
      </c>
      <c r="P39" s="18">
        <f>'31'!P36</f>
        <v>0.72250000000000003</v>
      </c>
      <c r="Q39" s="18">
        <f>'31'!Q36</f>
        <v>4.9524999999999997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6.8333333333333321</v>
      </c>
      <c r="C41" s="20">
        <f t="shared" si="0"/>
        <v>13.293749999999998</v>
      </c>
      <c r="D41" s="20">
        <f t="shared" si="0"/>
        <v>14.881666666666669</v>
      </c>
      <c r="E41" s="20">
        <f t="shared" si="0"/>
        <v>3.6662500000000011</v>
      </c>
      <c r="F41" s="20">
        <f t="shared" si="0"/>
        <v>3.0037499999999997</v>
      </c>
      <c r="G41" s="20">
        <f t="shared" si="0"/>
        <v>4.854166666666667</v>
      </c>
      <c r="H41" s="20">
        <f t="shared" si="0"/>
        <v>1.3949999999999998</v>
      </c>
      <c r="I41" s="20">
        <f t="shared" si="0"/>
        <v>2.9200000000000004</v>
      </c>
      <c r="J41" s="20">
        <f t="shared" si="0"/>
        <v>0.23041666666666671</v>
      </c>
      <c r="K41" s="20">
        <f t="shared" si="0"/>
        <v>208.68624999999997</v>
      </c>
      <c r="L41" s="20">
        <f t="shared" si="0"/>
        <v>24.392916666666665</v>
      </c>
      <c r="M41" s="20">
        <f t="shared" si="0"/>
        <v>70.37833333333333</v>
      </c>
      <c r="N41" s="20">
        <f t="shared" si="0"/>
        <v>38.037500000000001</v>
      </c>
      <c r="O41" s="20">
        <f t="shared" si="0"/>
        <v>0</v>
      </c>
      <c r="P41" s="20">
        <f t="shared" si="0"/>
        <v>0.33458333333333329</v>
      </c>
      <c r="Q41" s="20">
        <f t="shared" si="0"/>
        <v>1.3885714285714281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17.432500000000001</v>
      </c>
      <c r="C42" s="20">
        <f t="shared" si="1"/>
        <v>23.776250000000008</v>
      </c>
      <c r="D42" s="20">
        <f t="shared" si="1"/>
        <v>23.451249999999998</v>
      </c>
      <c r="E42" s="20">
        <f t="shared" si="1"/>
        <v>9.4154166666666672</v>
      </c>
      <c r="F42" s="20">
        <f t="shared" si="1"/>
        <v>8.3137500000000006</v>
      </c>
      <c r="G42" s="20">
        <f t="shared" si="1"/>
        <v>70.148695652173913</v>
      </c>
      <c r="H42" s="20">
        <f t="shared" si="1"/>
        <v>17.781304347826087</v>
      </c>
      <c r="I42" s="20">
        <f t="shared" si="1"/>
        <v>41.01583333333334</v>
      </c>
      <c r="J42" s="20">
        <f t="shared" si="1"/>
        <v>1.5929166666666663</v>
      </c>
      <c r="K42" s="20">
        <f t="shared" si="1"/>
        <v>301.25124999999997</v>
      </c>
      <c r="L42" s="20">
        <f t="shared" si="1"/>
        <v>29.853333333333335</v>
      </c>
      <c r="M42" s="20">
        <f t="shared" si="1"/>
        <v>96.405416666666667</v>
      </c>
      <c r="N42" s="20">
        <f t="shared" si="1"/>
        <v>233.86666666666667</v>
      </c>
      <c r="O42" s="20">
        <f t="shared" si="1"/>
        <v>1.75</v>
      </c>
      <c r="P42" s="20">
        <f t="shared" si="1"/>
        <v>0.55458333333333343</v>
      </c>
      <c r="Q42" s="20">
        <f t="shared" si="1"/>
        <v>4.9520833333333334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11.138361111111113</v>
      </c>
      <c r="C43" s="20">
        <f t="shared" si="2"/>
        <v>19.330472222222227</v>
      </c>
      <c r="D43" s="20">
        <f t="shared" si="2"/>
        <v>18.827013888888889</v>
      </c>
      <c r="E43" s="20">
        <f t="shared" si="2"/>
        <v>6.5520114942528735</v>
      </c>
      <c r="F43" s="20">
        <f t="shared" si="2"/>
        <v>5.5554722222222219</v>
      </c>
      <c r="G43" s="20">
        <f t="shared" si="2"/>
        <v>27.873123792270533</v>
      </c>
      <c r="H43" s="20">
        <f t="shared" si="2"/>
        <v>8.409604468599035</v>
      </c>
      <c r="I43" s="20">
        <f t="shared" si="2"/>
        <v>5.7723611111111124</v>
      </c>
      <c r="J43" s="20">
        <f t="shared" si="2"/>
        <v>0.68856944444444435</v>
      </c>
      <c r="K43" s="20">
        <f t="shared" si="2"/>
        <v>269.74650000000003</v>
      </c>
      <c r="L43" s="20">
        <f t="shared" si="2"/>
        <v>27.740388888888891</v>
      </c>
      <c r="M43" s="20">
        <f t="shared" si="2"/>
        <v>84.134722222222237</v>
      </c>
      <c r="N43" s="20">
        <f t="shared" si="2"/>
        <v>157.91333333333336</v>
      </c>
      <c r="O43" s="20">
        <f t="shared" si="2"/>
        <v>0.22944444444444448</v>
      </c>
      <c r="P43" s="20">
        <f t="shared" si="2"/>
        <v>0.43847222222222226</v>
      </c>
      <c r="Q43" s="20">
        <f t="shared" si="2"/>
        <v>4.0892756132756132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2.5417336314273657</v>
      </c>
      <c r="C44" s="20">
        <f t="shared" si="3"/>
        <v>3.2781139533511836</v>
      </c>
      <c r="D44" s="20">
        <f t="shared" si="3"/>
        <v>2.4131370778622032</v>
      </c>
      <c r="E44" s="20">
        <f t="shared" si="3"/>
        <v>1.7780198959401945</v>
      </c>
      <c r="F44" s="20">
        <f t="shared" si="3"/>
        <v>1.5131234059819842</v>
      </c>
      <c r="G44" s="20">
        <f t="shared" si="3"/>
        <v>15.55257012759121</v>
      </c>
      <c r="H44" s="20">
        <f t="shared" si="3"/>
        <v>3.6579021371578206</v>
      </c>
      <c r="I44" s="20">
        <f t="shared" si="3"/>
        <v>7.0910969272310549</v>
      </c>
      <c r="J44" s="20">
        <f t="shared" si="3"/>
        <v>0.27956412954871779</v>
      </c>
      <c r="K44" s="20">
        <f t="shared" si="3"/>
        <v>16.780211794300396</v>
      </c>
      <c r="L44" s="20">
        <f t="shared" si="3"/>
        <v>1.3868322317600519</v>
      </c>
      <c r="M44" s="20">
        <f t="shared" si="3"/>
        <v>7.1654226519312978</v>
      </c>
      <c r="N44" s="20">
        <f t="shared" si="3"/>
        <v>54.469728264186564</v>
      </c>
      <c r="O44" s="20">
        <f t="shared" si="3"/>
        <v>0.42662655462789162</v>
      </c>
      <c r="P44" s="20">
        <f t="shared" si="3"/>
        <v>5.6408868174113884E-2</v>
      </c>
      <c r="Q44" s="20">
        <f t="shared" si="3"/>
        <v>0.74051910123814713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30</v>
      </c>
      <c r="F45" s="6">
        <f t="shared" si="4"/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f t="shared" si="4"/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2023-09-05T13:53:08Z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