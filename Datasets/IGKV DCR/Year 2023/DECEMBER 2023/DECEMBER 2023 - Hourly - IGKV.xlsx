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39" i="39"/>
  <c r="D39"/>
  <c r="I39"/>
  <c r="N39"/>
  <c r="O39"/>
  <c r="B39"/>
  <c r="A39"/>
  <c r="Q38"/>
  <c r="O38"/>
  <c r="L38"/>
  <c r="F38"/>
  <c r="B38"/>
  <c r="A38"/>
  <c r="P37"/>
  <c r="O37"/>
  <c r="F37"/>
  <c r="C37"/>
  <c r="L36"/>
  <c r="J36"/>
  <c r="G36"/>
  <c r="E36"/>
  <c r="D36"/>
  <c r="E35"/>
  <c r="D35"/>
  <c r="C35"/>
  <c r="L34"/>
  <c r="I34"/>
  <c r="G34"/>
  <c r="F34"/>
  <c r="D34"/>
  <c r="G33"/>
  <c r="F33"/>
  <c r="E33"/>
  <c r="N32"/>
  <c r="I32"/>
  <c r="H32"/>
  <c r="E32"/>
  <c r="D32"/>
  <c r="N31"/>
  <c r="I31"/>
  <c r="H31"/>
  <c r="F31"/>
  <c r="N30"/>
  <c r="J30"/>
  <c r="F30"/>
  <c r="K29"/>
  <c r="Q28"/>
  <c r="L28"/>
  <c r="I28"/>
  <c r="A28"/>
  <c r="M27"/>
  <c r="N26"/>
  <c r="K26"/>
  <c r="D26"/>
  <c r="O25"/>
  <c r="L25"/>
  <c r="H25"/>
  <c r="D25"/>
  <c r="P24"/>
  <c r="I24"/>
  <c r="E24"/>
  <c r="K22"/>
  <c r="G22"/>
  <c r="C22"/>
  <c r="B22"/>
  <c r="C21"/>
  <c r="B21"/>
  <c r="E19"/>
  <c r="F18"/>
  <c r="G17"/>
  <c r="H16"/>
  <c r="J14"/>
  <c r="K13"/>
  <c r="L12"/>
  <c r="M11"/>
  <c r="N10"/>
  <c r="Q38" i="4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N36"/>
  <c r="M36"/>
  <c r="M39" i="39" s="1"/>
  <c r="L36" i="41"/>
  <c r="L39" i="39" s="1"/>
  <c r="K36" i="41"/>
  <c r="K39" i="39" s="1"/>
  <c r="J36" i="41"/>
  <c r="J39" i="39" s="1"/>
  <c r="I36" i="41"/>
  <c r="H36"/>
  <c r="H39" i="39" s="1"/>
  <c r="G36" i="41"/>
  <c r="G39" i="39" s="1"/>
  <c r="F36" i="41"/>
  <c r="F39" i="39" s="1"/>
  <c r="E36" i="41"/>
  <c r="E39" i="39" s="1"/>
  <c r="D36" i="41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8" i="39" s="1"/>
  <c r="O36" i="40"/>
  <c r="N36"/>
  <c r="N38" i="39" s="1"/>
  <c r="M36" i="40"/>
  <c r="M38" i="39" s="1"/>
  <c r="L36" i="40"/>
  <c r="K36"/>
  <c r="K38" i="39" s="1"/>
  <c r="J36" i="40"/>
  <c r="J38" i="39" s="1"/>
  <c r="I36" i="40"/>
  <c r="I38" i="39" s="1"/>
  <c r="H36" i="40"/>
  <c r="H38" i="39" s="1"/>
  <c r="G36" i="40"/>
  <c r="G38" i="39" s="1"/>
  <c r="F36" i="40"/>
  <c r="E36"/>
  <c r="E38" i="39" s="1"/>
  <c r="D36" i="40"/>
  <c r="D38" i="39" s="1"/>
  <c r="C36" i="40"/>
  <c r="C38" i="39" s="1"/>
  <c r="B36" i="4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O36"/>
  <c r="N36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E36"/>
  <c r="E37" i="39" s="1"/>
  <c r="D36" i="43"/>
  <c r="D37" i="39" s="1"/>
  <c r="C36" i="43"/>
  <c r="B36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N39" i="3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N36" i="39" s="1"/>
  <c r="M36" i="33"/>
  <c r="M36" i="39" s="1"/>
  <c r="L36" i="33"/>
  <c r="K36"/>
  <c r="K36" i="39" s="1"/>
  <c r="J36" i="33"/>
  <c r="I36"/>
  <c r="I36" i="39" s="1"/>
  <c r="H36" i="33"/>
  <c r="H36" i="39" s="1"/>
  <c r="G36" i="33"/>
  <c r="F36"/>
  <c r="F36" i="39" s="1"/>
  <c r="E36" i="33"/>
  <c r="D36"/>
  <c r="C36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D36"/>
  <c r="C36"/>
  <c r="B36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O34" i="39" s="1"/>
  <c r="N36" i="31"/>
  <c r="N34" i="39" s="1"/>
  <c r="M36" i="31"/>
  <c r="M34" i="39" s="1"/>
  <c r="L36" i="31"/>
  <c r="K36"/>
  <c r="K34" i="39" s="1"/>
  <c r="J36" i="31"/>
  <c r="J34" i="39" s="1"/>
  <c r="I36" i="31"/>
  <c r="H36"/>
  <c r="H34" i="39" s="1"/>
  <c r="G36" i="31"/>
  <c r="F36"/>
  <c r="E36"/>
  <c r="E34" i="39" s="1"/>
  <c r="D36" i="31"/>
  <c r="C36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F36"/>
  <c r="E36"/>
  <c r="D36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O32" i="39" s="1"/>
  <c r="N36" i="29"/>
  <c r="M36"/>
  <c r="M32" i="39" s="1"/>
  <c r="L36" i="29"/>
  <c r="L32" i="39" s="1"/>
  <c r="K36" i="29"/>
  <c r="K32" i="39" s="1"/>
  <c r="J36" i="29"/>
  <c r="J32" i="39" s="1"/>
  <c r="I36" i="29"/>
  <c r="H36"/>
  <c r="G36"/>
  <c r="G32" i="39" s="1"/>
  <c r="F36" i="29"/>
  <c r="F32" i="39" s="1"/>
  <c r="E36" i="29"/>
  <c r="D36"/>
  <c r="C36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M36"/>
  <c r="M31" i="39" s="1"/>
  <c r="L36" i="28"/>
  <c r="L31" i="39" s="1"/>
  <c r="K36" i="28"/>
  <c r="K31" i="39" s="1"/>
  <c r="J36" i="28"/>
  <c r="J31" i="39" s="1"/>
  <c r="I36" i="28"/>
  <c r="H36"/>
  <c r="G36"/>
  <c r="G31" i="39" s="1"/>
  <c r="F36" i="28"/>
  <c r="E36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M36"/>
  <c r="M30" i="39" s="1"/>
  <c r="L36" i="27"/>
  <c r="L30" i="39" s="1"/>
  <c r="K36" i="27"/>
  <c r="K30" i="39" s="1"/>
  <c r="J36" i="27"/>
  <c r="I36"/>
  <c r="I30" i="39" s="1"/>
  <c r="H36" i="27"/>
  <c r="H30" i="39" s="1"/>
  <c r="G36" i="27"/>
  <c r="G30" i="39" s="1"/>
  <c r="F36" i="27"/>
  <c r="E36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D40" i="26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J3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8" i="39" s="1"/>
  <c r="O36" i="25"/>
  <c r="O28" i="39" s="1"/>
  <c r="N36" i="25"/>
  <c r="N28" i="39" s="1"/>
  <c r="M36" i="25"/>
  <c r="M28" i="39" s="1"/>
  <c r="L36" i="25"/>
  <c r="K36"/>
  <c r="K28" i="39" s="1"/>
  <c r="J36" i="25"/>
  <c r="J28" i="39" s="1"/>
  <c r="I36" i="25"/>
  <c r="H36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C39" i="24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L36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M36"/>
  <c r="M26" i="39" s="1"/>
  <c r="L36" i="23"/>
  <c r="L26" i="39" s="1"/>
  <c r="K36" i="23"/>
  <c r="J36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C36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N36"/>
  <c r="N25" i="39" s="1"/>
  <c r="M36" i="22"/>
  <c r="M25" i="39" s="1"/>
  <c r="L36" i="22"/>
  <c r="K36"/>
  <c r="K25" i="39" s="1"/>
  <c r="J36" i="22"/>
  <c r="J25" i="39" s="1"/>
  <c r="I36" i="22"/>
  <c r="I25" i="39" s="1"/>
  <c r="H36" i="22"/>
  <c r="G36"/>
  <c r="G25" i="39" s="1"/>
  <c r="F36" i="22"/>
  <c r="F25" i="39" s="1"/>
  <c r="E36" i="22"/>
  <c r="E25" i="39" s="1"/>
  <c r="D36" i="22"/>
  <c r="C36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H39" i="21"/>
  <c r="D39"/>
  <c r="Q38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O36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H36"/>
  <c r="H24" i="39" s="1"/>
  <c r="G36" i="21"/>
  <c r="G24" i="39" s="1"/>
  <c r="F36" i="21"/>
  <c r="F24" i="39" s="1"/>
  <c r="E36" i="21"/>
  <c r="D36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J36"/>
  <c r="J22" i="39" s="1"/>
  <c r="I36" i="19"/>
  <c r="I22" i="39" s="1"/>
  <c r="H36" i="19"/>
  <c r="H22" i="39" s="1"/>
  <c r="G36" i="19"/>
  <c r="F36"/>
  <c r="F22" i="39" s="1"/>
  <c r="E36" i="19"/>
  <c r="E22" i="39" s="1"/>
  <c r="D36" i="19"/>
  <c r="D22" i="39" s="1"/>
  <c r="C36" i="19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D3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E36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F36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G36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I36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J36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K36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L36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L39" i="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M36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9" i="2"/>
  <c r="Q38"/>
  <c r="Q40" s="1"/>
  <c r="P38"/>
  <c r="P39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G40" i="41" l="1"/>
  <c r="F39"/>
  <c r="E39"/>
  <c r="D39"/>
  <c r="C39"/>
  <c r="B39"/>
  <c r="Q39"/>
  <c r="P39"/>
  <c r="O39"/>
  <c r="N39"/>
  <c r="M39"/>
  <c r="L39"/>
  <c r="K39"/>
  <c r="J39"/>
  <c r="I39"/>
  <c r="H39"/>
  <c r="B39" i="40"/>
  <c r="Q39"/>
  <c r="P39"/>
  <c r="O39"/>
  <c r="N39"/>
  <c r="M39"/>
  <c r="L39"/>
  <c r="K39"/>
  <c r="J39"/>
  <c r="C40"/>
  <c r="I39"/>
  <c r="H39"/>
  <c r="G39"/>
  <c r="F39"/>
  <c r="E39"/>
  <c r="D39"/>
  <c r="Q39" i="43"/>
  <c r="P39"/>
  <c r="O39"/>
  <c r="N39"/>
  <c r="M39"/>
  <c r="L39"/>
  <c r="K39"/>
  <c r="J39"/>
  <c r="I39"/>
  <c r="H39"/>
  <c r="G39"/>
  <c r="F39"/>
  <c r="E39"/>
  <c r="D39"/>
  <c r="C39"/>
  <c r="B39"/>
  <c r="M39" i="33"/>
  <c r="L39"/>
  <c r="K39"/>
  <c r="J39"/>
  <c r="I39"/>
  <c r="H39"/>
  <c r="G39"/>
  <c r="F39"/>
  <c r="E39"/>
  <c r="D39"/>
  <c r="C39"/>
  <c r="B39"/>
  <c r="Q39"/>
  <c r="P39"/>
  <c r="O39"/>
  <c r="J39" i="32"/>
  <c r="L39"/>
  <c r="I39"/>
  <c r="H39"/>
  <c r="G39"/>
  <c r="F39"/>
  <c r="E39"/>
  <c r="D39"/>
  <c r="M40"/>
  <c r="K39"/>
  <c r="C39"/>
  <c r="B39"/>
  <c r="Q39"/>
  <c r="P39"/>
  <c r="O39"/>
  <c r="N39"/>
  <c r="I39" i="31"/>
  <c r="J39"/>
  <c r="H39"/>
  <c r="G39"/>
  <c r="F39"/>
  <c r="E39"/>
  <c r="D39"/>
  <c r="C39"/>
  <c r="B39"/>
  <c r="Q39"/>
  <c r="P39"/>
  <c r="O39"/>
  <c r="N39"/>
  <c r="M39"/>
  <c r="L39"/>
  <c r="K39"/>
  <c r="H40" i="30"/>
  <c r="F39"/>
  <c r="E39"/>
  <c r="D39"/>
  <c r="C39"/>
  <c r="B39"/>
  <c r="Q39"/>
  <c r="P39"/>
  <c r="G39"/>
  <c r="O39"/>
  <c r="N39"/>
  <c r="M39"/>
  <c r="I39"/>
  <c r="L39"/>
  <c r="K39"/>
  <c r="J39"/>
  <c r="E39" i="29"/>
  <c r="F39"/>
  <c r="D39"/>
  <c r="C39"/>
  <c r="B39"/>
  <c r="Q39"/>
  <c r="P39"/>
  <c r="O39"/>
  <c r="N39"/>
  <c r="M39"/>
  <c r="L39"/>
  <c r="K39"/>
  <c r="J39"/>
  <c r="I39"/>
  <c r="H39"/>
  <c r="G39"/>
  <c r="C39" i="28"/>
  <c r="B39"/>
  <c r="D40"/>
  <c r="Q39"/>
  <c r="P39"/>
  <c r="O39"/>
  <c r="N39"/>
  <c r="M39"/>
  <c r="L39"/>
  <c r="K39"/>
  <c r="J39"/>
  <c r="I39"/>
  <c r="H39"/>
  <c r="G39"/>
  <c r="F39"/>
  <c r="E39"/>
  <c r="C40" i="27"/>
  <c r="B39"/>
  <c r="Q39"/>
  <c r="P39"/>
  <c r="O39"/>
  <c r="N39"/>
  <c r="M39"/>
  <c r="L39"/>
  <c r="K39"/>
  <c r="J39"/>
  <c r="I39"/>
  <c r="H39"/>
  <c r="G39"/>
  <c r="F39"/>
  <c r="E39"/>
  <c r="D39"/>
  <c r="C39" i="26"/>
  <c r="B39"/>
  <c r="Q39"/>
  <c r="P39"/>
  <c r="O39"/>
  <c r="N39"/>
  <c r="M39"/>
  <c r="L39"/>
  <c r="K39"/>
  <c r="J39"/>
  <c r="I39"/>
  <c r="H39"/>
  <c r="G39"/>
  <c r="F39"/>
  <c r="E39"/>
  <c r="B39" i="25"/>
  <c r="Q39"/>
  <c r="P39"/>
  <c r="O39"/>
  <c r="N39"/>
  <c r="M39"/>
  <c r="L39"/>
  <c r="K39"/>
  <c r="J39"/>
  <c r="I39"/>
  <c r="H39"/>
  <c r="G39"/>
  <c r="F39"/>
  <c r="E39"/>
  <c r="D39"/>
  <c r="C39"/>
  <c r="B39" i="24"/>
  <c r="Q39"/>
  <c r="P39"/>
  <c r="O39"/>
  <c r="N39"/>
  <c r="M39"/>
  <c r="L39"/>
  <c r="K39"/>
  <c r="J39"/>
  <c r="I39"/>
  <c r="H39"/>
  <c r="G39"/>
  <c r="F39"/>
  <c r="E39"/>
  <c r="D39"/>
  <c r="B39" i="23"/>
  <c r="Q39"/>
  <c r="P39"/>
  <c r="O40"/>
  <c r="N39"/>
  <c r="M39"/>
  <c r="L39"/>
  <c r="K39"/>
  <c r="J39"/>
  <c r="I39"/>
  <c r="H40"/>
  <c r="G39"/>
  <c r="F39"/>
  <c r="E39"/>
  <c r="D39"/>
  <c r="C39"/>
  <c r="O39" i="22"/>
  <c r="P39"/>
  <c r="N39"/>
  <c r="M40"/>
  <c r="L39"/>
  <c r="K39"/>
  <c r="J39"/>
  <c r="I39"/>
  <c r="H39"/>
  <c r="G39"/>
  <c r="F39"/>
  <c r="E39"/>
  <c r="D39"/>
  <c r="C39"/>
  <c r="B39"/>
  <c r="Q39"/>
  <c r="M39" i="21"/>
  <c r="L39"/>
  <c r="K39"/>
  <c r="N39"/>
  <c r="J39"/>
  <c r="I39"/>
  <c r="G39"/>
  <c r="O40"/>
  <c r="F39"/>
  <c r="E39"/>
  <c r="C39"/>
  <c r="B39"/>
  <c r="Q39"/>
  <c r="P39"/>
  <c r="Q40" i="20"/>
  <c r="P39"/>
  <c r="O39"/>
  <c r="N39"/>
  <c r="M39"/>
  <c r="L39"/>
  <c r="K39"/>
  <c r="J39"/>
  <c r="I39"/>
  <c r="H39"/>
  <c r="G39"/>
  <c r="F39"/>
  <c r="E39"/>
  <c r="D39"/>
  <c r="C39"/>
  <c r="B39"/>
  <c r="N39" i="19"/>
  <c r="O39"/>
  <c r="M39"/>
  <c r="L40"/>
  <c r="K39"/>
  <c r="J39"/>
  <c r="I39"/>
  <c r="H39"/>
  <c r="G39"/>
  <c r="F39"/>
  <c r="E39"/>
  <c r="C39"/>
  <c r="D39"/>
  <c r="B39"/>
  <c r="Q39"/>
  <c r="P39"/>
  <c r="M39" i="18"/>
  <c r="L39"/>
  <c r="K39"/>
  <c r="J39"/>
  <c r="I39"/>
  <c r="H39"/>
  <c r="N39"/>
  <c r="G39"/>
  <c r="F39"/>
  <c r="E39"/>
  <c r="D39"/>
  <c r="O40"/>
  <c r="C39"/>
  <c r="B39"/>
  <c r="Q39"/>
  <c r="P39"/>
  <c r="C39" i="17"/>
  <c r="Q39"/>
  <c r="P39"/>
  <c r="O39"/>
  <c r="K40"/>
  <c r="N39"/>
  <c r="M39"/>
  <c r="L39"/>
  <c r="J39"/>
  <c r="I39"/>
  <c r="H39"/>
  <c r="G39"/>
  <c r="F39"/>
  <c r="E39"/>
  <c r="D39"/>
  <c r="B39"/>
  <c r="B40" i="16"/>
  <c r="Q39"/>
  <c r="P39"/>
  <c r="O39"/>
  <c r="N39"/>
  <c r="M39"/>
  <c r="L39"/>
  <c r="K39"/>
  <c r="J39"/>
  <c r="I39"/>
  <c r="H39"/>
  <c r="G39"/>
  <c r="F39"/>
  <c r="E39"/>
  <c r="D39"/>
  <c r="C39"/>
  <c r="C39" i="15"/>
  <c r="B39"/>
  <c r="Q39"/>
  <c r="P39"/>
  <c r="O39"/>
  <c r="N39"/>
  <c r="M39"/>
  <c r="L39"/>
  <c r="K39"/>
  <c r="J39"/>
  <c r="I39"/>
  <c r="H39"/>
  <c r="G39"/>
  <c r="F39"/>
  <c r="E39"/>
  <c r="D39"/>
  <c r="D40" i="14"/>
  <c r="C39"/>
  <c r="B39"/>
  <c r="Q39"/>
  <c r="P39"/>
  <c r="O39"/>
  <c r="N39"/>
  <c r="M39"/>
  <c r="L39"/>
  <c r="K39"/>
  <c r="J39"/>
  <c r="I39"/>
  <c r="H39"/>
  <c r="G39"/>
  <c r="F39"/>
  <c r="E39"/>
  <c r="D39" i="13"/>
  <c r="C39"/>
  <c r="B39"/>
  <c r="Q39"/>
  <c r="P39"/>
  <c r="E40"/>
  <c r="O39"/>
  <c r="N39"/>
  <c r="M39"/>
  <c r="L39"/>
  <c r="K39"/>
  <c r="J39"/>
  <c r="I39"/>
  <c r="H39"/>
  <c r="G39"/>
  <c r="F39"/>
  <c r="D39" i="12"/>
  <c r="C39"/>
  <c r="B39"/>
  <c r="Q39"/>
  <c r="P39"/>
  <c r="O39"/>
  <c r="G39"/>
  <c r="N39"/>
  <c r="E39"/>
  <c r="M39"/>
  <c r="F40"/>
  <c r="L39"/>
  <c r="K39"/>
  <c r="J39"/>
  <c r="I39"/>
  <c r="H39"/>
  <c r="G39" i="11"/>
  <c r="F39"/>
  <c r="H40"/>
  <c r="E39"/>
  <c r="D39"/>
  <c r="C39"/>
  <c r="B39"/>
  <c r="Q39"/>
  <c r="P39"/>
  <c r="O39"/>
  <c r="N39"/>
  <c r="M39"/>
  <c r="L39"/>
  <c r="K39"/>
  <c r="J39"/>
  <c r="I39"/>
  <c r="H39" i="10"/>
  <c r="G39"/>
  <c r="F39"/>
  <c r="E39"/>
  <c r="D39"/>
  <c r="C39"/>
  <c r="B39"/>
  <c r="Q39"/>
  <c r="P39"/>
  <c r="O39"/>
  <c r="I39"/>
  <c r="N39"/>
  <c r="M39"/>
  <c r="L39"/>
  <c r="K39"/>
  <c r="J39"/>
  <c r="I39" i="9"/>
  <c r="H39"/>
  <c r="G39"/>
  <c r="F39"/>
  <c r="E39"/>
  <c r="D39"/>
  <c r="C39"/>
  <c r="B39"/>
  <c r="Q39"/>
  <c r="P39"/>
  <c r="J39"/>
  <c r="O39"/>
  <c r="N39"/>
  <c r="M39"/>
  <c r="L39"/>
  <c r="K39"/>
  <c r="N45" i="39"/>
  <c r="N46" s="1"/>
  <c r="J39" i="8"/>
  <c r="I39"/>
  <c r="H39"/>
  <c r="G39"/>
  <c r="F39"/>
  <c r="E39"/>
  <c r="D39"/>
  <c r="C39"/>
  <c r="B39"/>
  <c r="Q39"/>
  <c r="P39"/>
  <c r="O39"/>
  <c r="K39"/>
  <c r="N39"/>
  <c r="M39"/>
  <c r="L39"/>
  <c r="M45" i="39"/>
  <c r="M47" s="1"/>
  <c r="K39" i="3"/>
  <c r="L45" i="39"/>
  <c r="L47" s="1"/>
  <c r="J39" i="3"/>
  <c r="I39"/>
  <c r="K45" i="39"/>
  <c r="K46" s="1"/>
  <c r="J45"/>
  <c r="J47" s="1"/>
  <c r="H39" i="3"/>
  <c r="G39"/>
  <c r="H45" i="39"/>
  <c r="H47" s="1"/>
  <c r="F39" i="3"/>
  <c r="G45" i="39"/>
  <c r="G46" s="1"/>
  <c r="E39" i="3"/>
  <c r="I45" i="39"/>
  <c r="I46" s="1"/>
  <c r="F45"/>
  <c r="F47" s="1"/>
  <c r="D39" i="3"/>
  <c r="C39"/>
  <c r="B39"/>
  <c r="D45" i="39"/>
  <c r="D46" s="1"/>
  <c r="Q39" i="3"/>
  <c r="C45" i="39"/>
  <c r="C46" s="1"/>
  <c r="B45"/>
  <c r="B46" s="1"/>
  <c r="P39" i="3"/>
  <c r="E45" i="39"/>
  <c r="E46" s="1"/>
  <c r="Q45"/>
  <c r="Q47" s="1"/>
  <c r="O39" i="3"/>
  <c r="P45" i="39"/>
  <c r="P46" s="1"/>
  <c r="N39" i="3"/>
  <c r="O45" i="39"/>
  <c r="O47" s="1"/>
  <c r="M39" i="3"/>
  <c r="O39" i="2"/>
  <c r="P40"/>
  <c r="N39"/>
  <c r="M39"/>
  <c r="L39"/>
  <c r="K39"/>
  <c r="J40"/>
  <c r="C40"/>
  <c r="I39"/>
  <c r="H39"/>
  <c r="G39"/>
  <c r="F39"/>
  <c r="E39"/>
  <c r="D39"/>
  <c r="B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P47" l="1"/>
  <c r="D47"/>
  <c r="J46"/>
  <c r="E47"/>
  <c r="O46"/>
  <c r="L46"/>
  <c r="M46"/>
  <c r="H46"/>
  <c r="C47"/>
  <c r="Q46"/>
  <c r="B47"/>
  <c r="K47"/>
  <c r="I47"/>
  <c r="G47"/>
  <c r="F46"/>
  <c r="N47"/>
</calcChain>
</file>

<file path=xl/sharedStrings.xml><?xml version="1.0" encoding="utf-8"?>
<sst xmlns="http://schemas.openxmlformats.org/spreadsheetml/2006/main" count="2668" uniqueCount="611">
  <si>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</si>
  <si>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</si>
  <si>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</si>
  <si>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</si>
  <si>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</si>
  <si>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</si>
  <si>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</si>
  <si>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</si>
  <si>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</si>
  <si>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</si>
  <si>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</si>
  <si>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</si>
  <si>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</si>
  <si>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</si>
  <si>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</si>
  <si>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</si>
  <si>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</si>
  <si>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</si>
  <si>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</si>
  <si>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</si>
  <si>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</si>
  <si>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</si>
  <si>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</si>
  <si>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</si>
  <si>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</si>
  <si>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</si>
  <si>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</si>
  <si>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</si>
  <si>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</si>
  <si>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</si>
  <si>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</si>
  <si>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</si>
  <si>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</si>
  <si>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</si>
  <si>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</si>
  <si>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</si>
  <si>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</si>
  <si>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</si>
  <si>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</si>
  <si>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</si>
  <si>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</si>
  <si>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</si>
  <si>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</si>
  <si>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</si>
  <si>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</si>
  <si>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</si>
  <si>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</si>
  <si>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</si>
  <si>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</si>
  <si>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</si>
  <si>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</si>
  <si>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</si>
  <si>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</si>
  <si>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</si>
  <si>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</si>
  <si>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</si>
  <si>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</si>
  <si>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</si>
  <si>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</si>
  <si>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</si>
  <si>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</si>
  <si>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</si>
  <si>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</si>
  <si>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</si>
  <si>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</si>
  <si>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</si>
  <si>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</si>
  <si>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</si>
  <si>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</si>
  <si>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</si>
  <si>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</si>
  <si>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</si>
  <si>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</si>
  <si>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</si>
  <si>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</si>
  <si>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</si>
  <si>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</si>
  <si>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</si>
  <si>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</si>
  <si>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</si>
  <si>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</si>
  <si>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</si>
  <si>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</si>
  <si>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01/12/2023 24:00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</si>
  <si>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</si>
  <si>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</si>
  <si>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</si>
  <si>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</si>
  <si>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</si>
  <si>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</si>
  <si>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</si>
  <si>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</si>
  <si>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</si>
  <si>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</si>
  <si>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</si>
  <si>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</si>
  <si>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</si>
  <si>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</si>
  <si>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</si>
  <si>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</si>
  <si>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</si>
  <si>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</si>
  <si>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</si>
  <si>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</si>
  <si>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</si>
  <si>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</si>
  <si>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</si>
  <si>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02/12/2023 24:00</t>
  </si>
  <si>
    <t>03/12/2023 01:00</t>
  </si>
  <si>
    <t>03/12/2023 02:00</t>
  </si>
  <si>
    <t>03/12/2023 03:00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</si>
  <si>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</si>
  <si>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</si>
  <si>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</si>
  <si>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</si>
  <si>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</si>
  <si>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</si>
  <si>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</si>
  <si>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</si>
  <si>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</si>
  <si>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</si>
  <si>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</si>
  <si>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</si>
  <si>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</si>
  <si>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</si>
  <si>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</si>
  <si>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</si>
  <si>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</si>
  <si>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</si>
  <si>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</si>
  <si>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</si>
  <si>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03/12/2023 24:00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</si>
  <si>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</si>
  <si>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</si>
  <si>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</si>
  <si>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</si>
  <si>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</si>
  <si>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</si>
  <si>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</si>
  <si>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</si>
  <si>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</si>
  <si>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</si>
  <si>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</si>
  <si>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</si>
  <si>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</si>
  <si>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</si>
  <si>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</si>
  <si>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</si>
  <si>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</si>
  <si>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</si>
  <si>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</si>
  <si>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</si>
  <si>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</si>
  <si>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</si>
  <si>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</si>
  <si>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04/12/2023 24:00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</si>
  <si>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</si>
  <si>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</si>
  <si>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</si>
  <si>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</si>
  <si>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</si>
  <si>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</si>
  <si>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</si>
  <si>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</si>
  <si>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</si>
  <si>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</si>
  <si>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</si>
  <si>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</si>
  <si>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</si>
  <si>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</si>
  <si>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</si>
  <si>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</si>
  <si>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</si>
  <si>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</si>
  <si>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</si>
  <si>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</si>
  <si>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</si>
  <si>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</si>
  <si>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</si>
  <si>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05/12/2023 24:00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</si>
  <si>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</si>
  <si>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</si>
  <si>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</si>
  <si>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</si>
  <si>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</si>
  <si>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</si>
  <si>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</si>
  <si>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</si>
  <si>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</si>
  <si>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</si>
  <si>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</si>
  <si>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</si>
  <si>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</si>
  <si>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</si>
  <si>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</si>
  <si>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</si>
  <si>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</si>
  <si>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</si>
  <si>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</si>
  <si>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</si>
  <si>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</si>
  <si>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</si>
  <si>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</si>
  <si>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06/12/2023 24:00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</si>
  <si>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</si>
  <si>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</si>
  <si>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</si>
  <si>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</si>
  <si>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</si>
  <si>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</si>
  <si>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</si>
  <si>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</si>
  <si>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</si>
  <si>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</si>
  <si>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</si>
  <si>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</si>
  <si>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</si>
  <si>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</si>
  <si>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</si>
  <si>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</si>
  <si>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</si>
  <si>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</si>
  <si>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</si>
  <si>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</si>
  <si>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</si>
  <si>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</si>
  <si>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</si>
  <si>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07/12/2023 24:00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</si>
  <si>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</si>
  <si>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</si>
  <si>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</si>
  <si>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</si>
  <si>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</si>
  <si>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</si>
  <si>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</si>
  <si>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</si>
  <si>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</si>
  <si>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</si>
  <si>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</si>
  <si>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</si>
  <si>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</si>
  <si>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</si>
  <si>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</si>
  <si>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</si>
  <si>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</si>
  <si>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</si>
  <si>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</si>
  <si>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</si>
  <si>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</si>
  <si>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</si>
  <si>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</si>
  <si>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08/12/2023 24:00</t>
  </si>
  <si>
    <t>09/12/2023 01:00</t>
  </si>
  <si>
    <t>09/12/2023 02:00</t>
  </si>
  <si>
    <t>09/12/2023 03:00</t>
  </si>
  <si>
    <t>09/12/2023 04:00</t>
  </si>
  <si>
    <t>09/12/2023 05:00</t>
  </si>
  <si>
    <t>09/12/2023 06:00</t>
  </si>
  <si>
    <t>09/12/2023 07:00</t>
  </si>
  <si>
    <t>09/12/2023 08:00</t>
  </si>
  <si>
    <t>09/12/2023 09:00</t>
  </si>
  <si>
    <t>09/12/2023 10:00</t>
  </si>
  <si>
    <t>09/12/2023 11:00</t>
  </si>
  <si>
    <t>09/12/2023 12:00</t>
  </si>
  <si>
    <t>09/12/2023 13:00</t>
  </si>
  <si>
    <t>09/12/2023 14:00</t>
  </si>
  <si>
    <t>09/12/2023 15:00</t>
  </si>
  <si>
    <t>09/12/2023 16:00</t>
  </si>
  <si>
    <t>09/12/2023 17:00</t>
  </si>
  <si>
    <t>09/12/2023 18:00</t>
  </si>
  <si>
    <t>09/12/2023 19:00</t>
  </si>
  <si>
    <t>09/12/2023 20:00</t>
  </si>
  <si>
    <t>09/12/2023 21:00</t>
  </si>
  <si>
    <t>09/12/2023 22:00</t>
  </si>
  <si>
    <t>09/12/2023 23:00</t>
  </si>
  <si>
    <t>09/12/2023 24:00</t>
  </si>
  <si>
    <t>10/12/2023 01:00</t>
  </si>
  <si>
    <t>10/12/2023 02:00</t>
  </si>
  <si>
    <t>10/12/2023 03:00</t>
  </si>
  <si>
    <t>10/12/2023 04:00</t>
  </si>
  <si>
    <t>10/12/2023 05:00</t>
  </si>
  <si>
    <t>10/12/2023 06:00</t>
  </si>
  <si>
    <t>10/12/2023 07:00</t>
  </si>
  <si>
    <t>10/12/2023 08:00</t>
  </si>
  <si>
    <t>10/12/2023 09:00</t>
  </si>
  <si>
    <t>10/12/2023 10:00</t>
  </si>
  <si>
    <t>10/12/2023 11:00</t>
  </si>
  <si>
    <t>10/12/2023 12:00</t>
  </si>
  <si>
    <t>10/12/2023 13:00</t>
  </si>
  <si>
    <t>10/12/2023 14:00</t>
  </si>
  <si>
    <t>10/12/2023 15:00</t>
  </si>
  <si>
    <t>10/12/2023 16:00</t>
  </si>
  <si>
    <t>10/12/2023 17:00</t>
  </si>
  <si>
    <t>10/12/2023 18:00</t>
  </si>
  <si>
    <t>10/12/2023 19:00</t>
  </si>
  <si>
    <t>10/12/2023 20:00</t>
  </si>
  <si>
    <t>10/12/2023 21:00</t>
  </si>
  <si>
    <t>10/12/2023 22:00</t>
  </si>
  <si>
    <t>10/12/2023 23:00</t>
  </si>
  <si>
    <t>10/12/2023 24:00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</si>
  <si>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</si>
  <si>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</si>
  <si>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</si>
  <si>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</si>
  <si>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</si>
  <si>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</si>
  <si>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</si>
  <si>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08:00</t>
  </si>
  <si>
    <t>11/12/2023 09:00</t>
  </si>
  <si>
    <t>11/12/2023 10:00</t>
  </si>
  <si>
    <t>11/12/2023 11:00</t>
  </si>
  <si>
    <t>11/12/2023 12:00</t>
  </si>
  <si>
    <t>11/12/2023 13:00</t>
  </si>
  <si>
    <t>11/12/2023 14:00</t>
  </si>
  <si>
    <t>11/12/2023 16:00</t>
  </si>
  <si>
    <t>11/12/2023 17:00</t>
  </si>
  <si>
    <t>11/12/2023 18:00</t>
  </si>
  <si>
    <t>11/12/2023 19:00</t>
  </si>
  <si>
    <t>11/12/2023 20:00</t>
  </si>
  <si>
    <t>11/12/2023 21:00</t>
  </si>
  <si>
    <t>11/12/2023 22:00</t>
  </si>
  <si>
    <t>11/12/2023 23:00</t>
  </si>
  <si>
    <t>11/12/2023 24:00</t>
  </si>
  <si>
    <t>20/12/2023 01:00</t>
  </si>
  <si>
    <t>20/12/2023 02:00</t>
  </si>
  <si>
    <t>20/12/2023 03:00</t>
  </si>
  <si>
    <t>20/12/2023 04:00</t>
  </si>
  <si>
    <t>20/12/2023 05:00</t>
  </si>
  <si>
    <t>20/12/2023 06:00</t>
  </si>
  <si>
    <t>20/12/2023 07:00</t>
  </si>
  <si>
    <t>20/12/2023 08:00</t>
  </si>
  <si>
    <t>20/12/2023 09:00</t>
  </si>
  <si>
    <t>20/12/2023 10:00</t>
  </si>
  <si>
    <t>20/12/2023 11:00</t>
  </si>
  <si>
    <t>20/12/2023 12:00</t>
  </si>
  <si>
    <t>20/12/2023 13:00</t>
  </si>
  <si>
    <t>20/12/2023 14:00</t>
  </si>
  <si>
    <t>20/12/2023 15:00</t>
  </si>
  <si>
    <t>20/12/2023 16:00</t>
  </si>
  <si>
    <t>20/12/2023 17:00</t>
  </si>
  <si>
    <t>20/12/2023 18:00</t>
  </si>
  <si>
    <t>20/12/2023 19:00</t>
  </si>
  <si>
    <t>20/12/2023 20:00</t>
  </si>
  <si>
    <t>20/12/2023 21:00</t>
  </si>
  <si>
    <t>20/12/2023 22:00</t>
  </si>
  <si>
    <t>20/12/2023 23:00</t>
  </si>
  <si>
    <t>20/12/2023 24:00</t>
  </si>
  <si>
    <t>21/12/2023 01:00</t>
  </si>
  <si>
    <t>21/12/2023 02:00</t>
  </si>
  <si>
    <t>21/12/2023 03:00</t>
  </si>
  <si>
    <t>21/12/2023 04:00</t>
  </si>
  <si>
    <t>21/12/2023 05:00</t>
  </si>
  <si>
    <t>21/12/2023 06:00</t>
  </si>
  <si>
    <t>21/12/2023 07:00</t>
  </si>
  <si>
    <t>21/12/2023 08:00</t>
  </si>
  <si>
    <t>21/12/2023 09:00</t>
  </si>
  <si>
    <t>21/12/2023 10:00</t>
  </si>
  <si>
    <t>21/12/2023 11:00</t>
  </si>
  <si>
    <t>21/12/2023 12:00</t>
  </si>
  <si>
    <t>21/12/2023 13:00</t>
  </si>
  <si>
    <t>21/12/2023 14:00</t>
  </si>
  <si>
    <t>21/12/2023 15:00</t>
  </si>
  <si>
    <t>21/12/2023 16:00</t>
  </si>
  <si>
    <t>21/12/2023 17:00</t>
  </si>
  <si>
    <t>21/12/2023 18:00</t>
  </si>
  <si>
    <t>21/12/2023 19:00</t>
  </si>
  <si>
    <t>21/12/2023 20:00</t>
  </si>
  <si>
    <t>21/12/2023 21:00</t>
  </si>
  <si>
    <t>21/12/2023 22:00</t>
  </si>
  <si>
    <t>21/12/2023 23:00</t>
  </si>
  <si>
    <t>21/12/2023 24:00</t>
  </si>
  <si>
    <t>22/12/2023 01:00</t>
  </si>
  <si>
    <t>22/12/2023 02:00</t>
  </si>
  <si>
    <t>22/12/2023 03:00</t>
  </si>
  <si>
    <t>22/12/2023 04:00</t>
  </si>
  <si>
    <t>22/12/2023 05:00</t>
  </si>
  <si>
    <t>22/12/2023 06:00</t>
  </si>
  <si>
    <t>22/12/2023 07:00</t>
  </si>
  <si>
    <t>22/12/2023 08:00</t>
  </si>
  <si>
    <t>22/12/2023 09:00</t>
  </si>
  <si>
    <t>22/12/2023 10:00</t>
  </si>
  <si>
    <t>22/12/2023 11:00</t>
  </si>
  <si>
    <t>22/12/2023 12:00</t>
  </si>
  <si>
    <t>22/12/2023 13:00</t>
  </si>
  <si>
    <t>22/12/2023 14:00</t>
  </si>
  <si>
    <t>22/12/2023 15:00</t>
  </si>
  <si>
    <t>22/12/2023 16:00</t>
  </si>
  <si>
    <t>22/12/2023 17:00</t>
  </si>
  <si>
    <t>22/12/2023 18:00</t>
  </si>
  <si>
    <t>22/12/2023 19:00</t>
  </si>
  <si>
    <t>22/12/2023 20:00</t>
  </si>
  <si>
    <t>22/12/2023 21:00</t>
  </si>
  <si>
    <t>22/12/2023 22:00</t>
  </si>
  <si>
    <t>22/12/2023 23:00</t>
  </si>
  <si>
    <t>22/12/2023 24:00</t>
  </si>
  <si>
    <t>23/12/2023 01:00</t>
  </si>
  <si>
    <t>23/12/2023 02:00</t>
  </si>
  <si>
    <t>23/12/2023 03:00</t>
  </si>
  <si>
    <t>23/12/2023 04:00</t>
  </si>
  <si>
    <t>23/12/2023 05:00</t>
  </si>
  <si>
    <t>23/12/2023 06:00</t>
  </si>
  <si>
    <t>23/12/2023 07:00</t>
  </si>
  <si>
    <t>23/12/2023 08:00</t>
  </si>
  <si>
    <t>23/12/2023 09:00</t>
  </si>
  <si>
    <t>23/12/2023 10:00</t>
  </si>
  <si>
    <t>23/12/2023 11:00</t>
  </si>
  <si>
    <t>23/12/2023 12:00</t>
  </si>
  <si>
    <t>23/12/2023 13:00</t>
  </si>
  <si>
    <t>23/12/2023 14:00</t>
  </si>
  <si>
    <t>23/12/2023 15:00</t>
  </si>
  <si>
    <t>23/12/2023 16:00</t>
  </si>
  <si>
    <t>23/12/2023 17:00</t>
  </si>
  <si>
    <t>23/12/2023 18:00</t>
  </si>
  <si>
    <t>23/12/2023 19:00</t>
  </si>
  <si>
    <t>23/12/2023 20:00</t>
  </si>
  <si>
    <t>23/12/2023 21:00</t>
  </si>
  <si>
    <t>23/12/2023 22:00</t>
  </si>
  <si>
    <t>23/12/2023 23:00</t>
  </si>
  <si>
    <t>23/12/2023 24:00</t>
  </si>
  <si>
    <t>24/12/2023 01:00</t>
  </si>
  <si>
    <t>24/12/2023 02:00</t>
  </si>
  <si>
    <t>24/12/2023 03:00</t>
  </si>
  <si>
    <t>24/12/2023 04:00</t>
  </si>
  <si>
    <t>24/12/2023 05:00</t>
  </si>
  <si>
    <t>24/12/2023 06:00</t>
  </si>
  <si>
    <t>24/12/2023 07:00</t>
  </si>
  <si>
    <t>24/12/2023 08:00</t>
  </si>
  <si>
    <t>24/12/2023 09:00</t>
  </si>
  <si>
    <t>24/12/2023 10:00</t>
  </si>
  <si>
    <t>24/12/2023 11:00</t>
  </si>
  <si>
    <t>24/12/2023 12:00</t>
  </si>
  <si>
    <t>24/12/2023 13:00</t>
  </si>
  <si>
    <t>24/12/2023 14:00</t>
  </si>
  <si>
    <t>24/12/2023 15:00</t>
  </si>
  <si>
    <t>24/12/2023 16:00</t>
  </si>
  <si>
    <t>24/12/2023 17:00</t>
  </si>
  <si>
    <t>24/12/2023 18:00</t>
  </si>
  <si>
    <t>24/12/2023 19:00</t>
  </si>
  <si>
    <t>24/12/2023 20:00</t>
  </si>
  <si>
    <t>24/12/2023 21:00</t>
  </si>
  <si>
    <t>24/12/2023 22:00</t>
  </si>
  <si>
    <t>24/12/2023 23:00</t>
  </si>
  <si>
    <t>24/12/2023 24:00</t>
  </si>
  <si>
    <t>25/12/2023 01:00</t>
  </si>
  <si>
    <t>25/12/2023 02:00</t>
  </si>
  <si>
    <t>25/12/2023 03:00</t>
  </si>
  <si>
    <t>25/12/2023 04:00</t>
  </si>
  <si>
    <t>25/12/2023 05:00</t>
  </si>
  <si>
    <t>25/12/2023 06:00</t>
  </si>
  <si>
    <t>25/12/2023 07:00</t>
  </si>
  <si>
    <t>25/12/2023 08:00</t>
  </si>
  <si>
    <t>25/12/2023 09:00</t>
  </si>
  <si>
    <t>25/12/2023 10:00</t>
  </si>
  <si>
    <t>25/12/2023 11:00</t>
  </si>
  <si>
    <t>25/12/2023 12:00</t>
  </si>
  <si>
    <t>25/12/2023 13:00</t>
  </si>
  <si>
    <t>25/12/2023 14:00</t>
  </si>
  <si>
    <t>25/12/2023 15:00</t>
  </si>
  <si>
    <t>25/12/2023 16:00</t>
  </si>
  <si>
    <t>25/12/2023 17:00</t>
  </si>
  <si>
    <t>25/12/2023 18:00</t>
  </si>
  <si>
    <t>25/12/2023 19:00</t>
  </si>
  <si>
    <t>25/12/2023 20:00</t>
  </si>
  <si>
    <t>25/12/2023 21:00</t>
  </si>
  <si>
    <t>25/12/2023 22:00</t>
  </si>
  <si>
    <t>25/12/2023 23:00</t>
  </si>
  <si>
    <t>25/12/2023 24:00</t>
  </si>
  <si>
    <t>26/12/2023 01:00</t>
  </si>
  <si>
    <t>26/12/2023 02:00</t>
  </si>
  <si>
    <t>26/12/2023 03:00</t>
  </si>
  <si>
    <t>26/12/2023 04:00</t>
  </si>
  <si>
    <t>26/12/2023 05:00</t>
  </si>
  <si>
    <t>26/12/2023 06:00</t>
  </si>
  <si>
    <t>26/12/2023 07:00</t>
  </si>
  <si>
    <t>26/12/2023 08:00</t>
  </si>
  <si>
    <t>26/12/2023 09:00</t>
  </si>
  <si>
    <t>26/12/2023 10:00</t>
  </si>
  <si>
    <t>26/12/2023 11:00</t>
  </si>
  <si>
    <t>26/12/2023 12:00</t>
  </si>
  <si>
    <t>26/12/2023 13:00</t>
  </si>
  <si>
    <t>26/12/2023 14:00</t>
  </si>
  <si>
    <t>26/12/2023 15:00</t>
  </si>
  <si>
    <t>26/12/2023 16:00</t>
  </si>
  <si>
    <t>26/12/2023 17:00</t>
  </si>
  <si>
    <t>26/12/2023 18:00</t>
  </si>
  <si>
    <t>26/12/2023 19:00</t>
  </si>
  <si>
    <t>26/12/2023 20:00</t>
  </si>
  <si>
    <t>26/12/2023 21:00</t>
  </si>
  <si>
    <t>26/12/2023 22:00</t>
  </si>
  <si>
    <t>26/12/2023 23:00</t>
  </si>
  <si>
    <t>26/12/2023 24:00</t>
  </si>
  <si>
    <t>27/12/2023 01:00</t>
  </si>
  <si>
    <t>27/12/2023 02:00</t>
  </si>
  <si>
    <t>27/12/2023 03:00</t>
  </si>
  <si>
    <t>27/12/2023 04:00</t>
  </si>
  <si>
    <t>27/12/2023 05:00</t>
  </si>
  <si>
    <t>27/12/2023 06:00</t>
  </si>
  <si>
    <t>27/12/2023 07:00</t>
  </si>
  <si>
    <t>27/12/2023 08:00</t>
  </si>
  <si>
    <t>27/12/2023 09:00</t>
  </si>
  <si>
    <t>27/12/2023 10:00</t>
  </si>
  <si>
    <t>27/12/2023 11:00</t>
  </si>
  <si>
    <t>27/12/2023 12:00</t>
  </si>
  <si>
    <t>27/12/2023 13:00</t>
  </si>
  <si>
    <t>27/12/2023 14:00</t>
  </si>
  <si>
    <t>27/12/2023 15:00</t>
  </si>
  <si>
    <t>27/12/2023 16:00</t>
  </si>
  <si>
    <t>27/12/2023 17:00</t>
  </si>
  <si>
    <t>27/12/2023 18:00</t>
  </si>
  <si>
    <t>27/12/2023 19:00</t>
  </si>
  <si>
    <t>27/12/2023 20:00</t>
  </si>
  <si>
    <t>27/12/2023 21:00</t>
  </si>
  <si>
    <t>27/12/2023 22:00</t>
  </si>
  <si>
    <t>27/12/2023 23:00</t>
  </si>
  <si>
    <t>27/12/2023 24:00</t>
  </si>
  <si>
    <t>28/12/2023 01:00</t>
  </si>
  <si>
    <t>28/12/2023 02:00</t>
  </si>
  <si>
    <t>28/12/2023 03:00</t>
  </si>
  <si>
    <t>28/12/2023 04:00</t>
  </si>
  <si>
    <t>28/12/2023 05:00</t>
  </si>
  <si>
    <t>28/12/2023 06:00</t>
  </si>
  <si>
    <t>28/12/2023 07:00</t>
  </si>
  <si>
    <t>28/12/2023 08:00</t>
  </si>
  <si>
    <t>28/12/2023 09:00</t>
  </si>
  <si>
    <t>28/12/2023 10:00</t>
  </si>
  <si>
    <t>28/12/2023 11:00</t>
  </si>
  <si>
    <t>28/12/2023 12:00</t>
  </si>
  <si>
    <t>28/12/2023 13:00</t>
  </si>
  <si>
    <t>28/12/2023 14:00</t>
  </si>
  <si>
    <t>28/12/2023 15:00</t>
  </si>
  <si>
    <t>28/12/2023 16:00</t>
  </si>
  <si>
    <t>28/12/2023 17:00</t>
  </si>
  <si>
    <t>28/12/2023 18:00</t>
  </si>
  <si>
    <t>28/12/2023 19:00</t>
  </si>
  <si>
    <t>28/12/2023 20:00</t>
  </si>
  <si>
    <t>28/12/2023 21:00</t>
  </si>
  <si>
    <t>28/12/2023 22:00</t>
  </si>
  <si>
    <t>28/12/2023 23:00</t>
  </si>
  <si>
    <t>28/12/2023 24:00</t>
  </si>
  <si>
    <t>29/12/2023 01:00</t>
  </si>
  <si>
    <t>29/12/2023 02:00</t>
  </si>
  <si>
    <t>29/12/2023 03:00</t>
  </si>
  <si>
    <t>29/12/2023 04:00</t>
  </si>
  <si>
    <t>29/12/2023 05:00</t>
  </si>
  <si>
    <t>29/12/2023 06:00</t>
  </si>
  <si>
    <t>29/12/2023 07:00</t>
  </si>
  <si>
    <t>29/12/2023 08:00</t>
  </si>
  <si>
    <t>29/12/2023 09:00</t>
  </si>
  <si>
    <t>29/12/2023 10:00</t>
  </si>
  <si>
    <t>29/12/2023 11:00</t>
  </si>
  <si>
    <t>29/12/2023 12:00</t>
  </si>
  <si>
    <t>29/12/2023 13:00</t>
  </si>
  <si>
    <t>29/12/2023 14:00</t>
  </si>
  <si>
    <t>29/12/2023 15:00</t>
  </si>
  <si>
    <t>29/12/2023 16:00</t>
  </si>
  <si>
    <t>29/12/2023 17:00</t>
  </si>
  <si>
    <t>29/12/2023 18:00</t>
  </si>
  <si>
    <t>29/12/2023 19:00</t>
  </si>
  <si>
    <t>29/12/2023 20:00</t>
  </si>
  <si>
    <t>29/12/2023 21:00</t>
  </si>
  <si>
    <t>29/12/2023 22:00</t>
  </si>
  <si>
    <t>29/12/2023 23:00</t>
  </si>
  <si>
    <t>29/12/2023 24:00</t>
  </si>
  <si>
    <t>30/12/2023 01:00</t>
  </si>
  <si>
    <t>30/12/2023 02:00</t>
  </si>
  <si>
    <t>30/12/2023 03:00</t>
  </si>
  <si>
    <t>30/12/2023 04:00</t>
  </si>
  <si>
    <t>30/12/2023 05:00</t>
  </si>
  <si>
    <t>30/12/2023 06:00</t>
  </si>
  <si>
    <t>30/12/2023 07:00</t>
  </si>
  <si>
    <t>30/12/2023 08:00</t>
  </si>
  <si>
    <t>30/12/2023 09:00</t>
  </si>
  <si>
    <t>30/12/2023 10:00</t>
  </si>
  <si>
    <t>30/12/2023 11:00</t>
  </si>
  <si>
    <t>30/12/2023 12:00</t>
  </si>
  <si>
    <t>30/12/2023 13:00</t>
  </si>
  <si>
    <t>30/12/2023 14:00</t>
  </si>
  <si>
    <t>30/12/2023 15:00</t>
  </si>
  <si>
    <t>30/12/2023 16:00</t>
  </si>
  <si>
    <t>30/12/2023 17:00</t>
  </si>
  <si>
    <t>30/12/2023 18:00</t>
  </si>
  <si>
    <t>30/12/2023 19:00</t>
  </si>
  <si>
    <t>30/12/2023 20:00</t>
  </si>
  <si>
    <t>30/12/2023 21:00</t>
  </si>
  <si>
    <t>30/12/2023 22:00</t>
  </si>
  <si>
    <t>30/12/2023 23:00</t>
  </si>
  <si>
    <t>30/12/2023 24:00</t>
  </si>
  <si>
    <t>31/12/2023 01:00</t>
  </si>
  <si>
    <t>31/12/2023 02:00</t>
  </si>
  <si>
    <t>31/12/2023 03:00</t>
  </si>
  <si>
    <t>31/12/2023 04:00</t>
  </si>
  <si>
    <t>31/12/2023 05:00</t>
  </si>
  <si>
    <t>31/12/2023 06:00</t>
  </si>
  <si>
    <t>31/12/2023 07:00</t>
  </si>
  <si>
    <t>31/12/2023 08:00</t>
  </si>
  <si>
    <t>31/12/2023 09:00</t>
  </si>
  <si>
    <t>31/12/2023 10:00</t>
  </si>
  <si>
    <t>31/12/2023 11:00</t>
  </si>
  <si>
    <t>31/12/2023 12:00</t>
  </si>
  <si>
    <t>31/12/2023 13:00</t>
  </si>
  <si>
    <t>31/12/2023 14:00</t>
  </si>
  <si>
    <t>31/12/2023 15:00</t>
  </si>
  <si>
    <t>31/12/2023 16:00</t>
  </si>
  <si>
    <t>31/12/2023 17:00</t>
  </si>
  <si>
    <t>31/12/2023 18:00</t>
  </si>
  <si>
    <t>31/12/2023 19:00</t>
  </si>
  <si>
    <t>31/12/2023 20:00</t>
  </si>
  <si>
    <t>31/12/2023 21:00</t>
  </si>
  <si>
    <t>31/12/2023 22:00</t>
  </si>
  <si>
    <t>31/12/2023 23:00</t>
  </si>
  <si>
    <t>31/12/2023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</si>
</sst>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60</v>
      </c>
      <c r="B9" s="51">
        <v>19.100000000000001</v>
      </c>
      <c r="C9" s="51">
        <v>25.55</v>
      </c>
      <c r="D9" s="51">
        <v>30.01</v>
      </c>
      <c r="E9" s="51">
        <v>6.6</v>
      </c>
      <c r="F9" s="51">
        <v>2.76</v>
      </c>
      <c r="G9" s="51">
        <v>83.22</v>
      </c>
      <c r="H9" s="51">
        <v>33.549999999999997</v>
      </c>
      <c r="I9" s="51">
        <v>9.07</v>
      </c>
      <c r="J9" s="51">
        <v>0.26</v>
      </c>
      <c r="K9" s="51">
        <v>165.32</v>
      </c>
      <c r="L9" s="51">
        <v>22.12</v>
      </c>
      <c r="M9" s="51">
        <v>77.09</v>
      </c>
      <c r="N9" s="51">
        <v>0</v>
      </c>
      <c r="O9" s="51">
        <v>0</v>
      </c>
      <c r="P9" s="51">
        <v>0.9</v>
      </c>
      <c r="Q9" s="51">
        <v>4.8099999999999996</v>
      </c>
    </row>
    <row r="10" spans="1:21" customFormat="1">
      <c r="A10" s="50" t="s">
        <v>61</v>
      </c>
      <c r="B10" s="51">
        <v>16.41</v>
      </c>
      <c r="C10" s="51">
        <v>25.87</v>
      </c>
      <c r="D10" s="51">
        <v>28.02</v>
      </c>
      <c r="E10" s="51">
        <v>6.73</v>
      </c>
      <c r="F10" s="51">
        <v>2.7</v>
      </c>
      <c r="G10" s="51">
        <v>64.31</v>
      </c>
      <c r="H10" s="51">
        <v>32.520000000000003</v>
      </c>
      <c r="I10" s="51">
        <v>8.39</v>
      </c>
      <c r="J10" s="51">
        <v>0.16</v>
      </c>
      <c r="K10" s="51">
        <v>183.14</v>
      </c>
      <c r="L10" s="51">
        <v>21.78</v>
      </c>
      <c r="M10" s="51">
        <v>80.38</v>
      </c>
      <c r="N10" s="51">
        <v>0</v>
      </c>
      <c r="O10" s="51">
        <v>0</v>
      </c>
      <c r="P10" s="51">
        <v>0.85</v>
      </c>
      <c r="Q10" s="51">
        <v>4.7699999999999996</v>
      </c>
    </row>
    <row r="11" spans="1:21" customFormat="1">
      <c r="A11" s="50" t="s">
        <v>62</v>
      </c>
      <c r="B11" s="51">
        <v>15.59</v>
      </c>
      <c r="C11" s="51">
        <v>27.25</v>
      </c>
      <c r="D11" s="51">
        <v>28.09</v>
      </c>
      <c r="E11" s="51">
        <v>7.66</v>
      </c>
      <c r="F11" s="51">
        <v>2.7</v>
      </c>
      <c r="G11" s="51">
        <v>61.39</v>
      </c>
      <c r="H11" s="51">
        <v>28.39</v>
      </c>
      <c r="I11" s="51">
        <v>7.68</v>
      </c>
      <c r="J11" s="51">
        <v>0.14000000000000001</v>
      </c>
      <c r="K11" s="51">
        <v>357.3</v>
      </c>
      <c r="L11" s="51">
        <v>20.97</v>
      </c>
      <c r="M11" s="51">
        <v>82.12</v>
      </c>
      <c r="N11" s="51">
        <v>0</v>
      </c>
      <c r="O11" s="51">
        <v>0</v>
      </c>
      <c r="P11" s="51">
        <v>0.79</v>
      </c>
      <c r="Q11" s="51">
        <v>4.82</v>
      </c>
    </row>
    <row r="12" spans="1:21" customFormat="1">
      <c r="A12" s="50" t="s">
        <v>63</v>
      </c>
      <c r="B12" s="51">
        <v>15.29</v>
      </c>
      <c r="C12" s="51">
        <v>27.66</v>
      </c>
      <c r="D12" s="51">
        <v>28.02</v>
      </c>
      <c r="E12" s="51">
        <v>7.86</v>
      </c>
      <c r="F12" s="51">
        <v>2.7</v>
      </c>
      <c r="G12" s="51">
        <v>62.18</v>
      </c>
      <c r="H12" s="51">
        <v>30.81</v>
      </c>
      <c r="I12" s="51">
        <v>7.16</v>
      </c>
      <c r="J12" s="51">
        <v>0.26</v>
      </c>
      <c r="K12" s="51">
        <v>69.14</v>
      </c>
      <c r="L12" s="51">
        <v>20.68</v>
      </c>
      <c r="M12" s="51">
        <v>83.62</v>
      </c>
      <c r="N12" s="51">
        <v>0</v>
      </c>
      <c r="O12" s="51">
        <v>0</v>
      </c>
      <c r="P12" s="51">
        <v>0.76</v>
      </c>
      <c r="Q12" s="51">
        <v>4.83</v>
      </c>
    </row>
    <row r="13" spans="1:21" customFormat="1">
      <c r="A13" s="50" t="s">
        <v>64</v>
      </c>
      <c r="B13" s="51">
        <v>15.96</v>
      </c>
      <c r="C13" s="51">
        <v>29.72</v>
      </c>
      <c r="D13" s="51">
        <v>29.68</v>
      </c>
      <c r="E13" s="51">
        <v>8.61</v>
      </c>
      <c r="F13" s="51">
        <v>2.6</v>
      </c>
      <c r="G13" s="51">
        <v>63.23</v>
      </c>
      <c r="H13" s="51">
        <v>29.57</v>
      </c>
      <c r="I13" s="51">
        <v>6.81</v>
      </c>
      <c r="J13" s="51">
        <v>0.2</v>
      </c>
      <c r="K13" s="51">
        <v>58.66</v>
      </c>
      <c r="L13" s="51">
        <v>20.18</v>
      </c>
      <c r="M13" s="51">
        <v>88.4</v>
      </c>
      <c r="N13" s="51">
        <v>0</v>
      </c>
      <c r="O13" s="51">
        <v>0</v>
      </c>
      <c r="P13" s="51">
        <v>0.73</v>
      </c>
      <c r="Q13" s="51">
        <v>4.83</v>
      </c>
    </row>
    <row r="14" spans="1:21" customFormat="1">
      <c r="A14" s="50" t="s">
        <v>65</v>
      </c>
      <c r="B14" s="51">
        <v>17.47</v>
      </c>
      <c r="C14" s="51">
        <v>26.44</v>
      </c>
      <c r="D14" s="51">
        <v>28.56</v>
      </c>
      <c r="E14" s="51">
        <v>8.0500000000000007</v>
      </c>
      <c r="F14" s="51">
        <v>2.85</v>
      </c>
      <c r="G14" s="51">
        <v>68.319999999999993</v>
      </c>
      <c r="H14" s="51">
        <v>31.93</v>
      </c>
      <c r="I14" s="51">
        <v>6.77</v>
      </c>
      <c r="J14" s="51">
        <v>0.23</v>
      </c>
      <c r="K14" s="51">
        <v>78.53</v>
      </c>
      <c r="L14" s="51">
        <v>19.63</v>
      </c>
      <c r="M14" s="51">
        <v>91.24</v>
      </c>
      <c r="N14" s="51">
        <v>0</v>
      </c>
      <c r="O14" s="51">
        <v>0</v>
      </c>
      <c r="P14" s="51">
        <v>0.69</v>
      </c>
      <c r="Q14" s="51">
        <v>4.87</v>
      </c>
    </row>
    <row r="15" spans="1:21" customFormat="1">
      <c r="A15" s="50" t="s">
        <v>66</v>
      </c>
      <c r="B15" s="51">
        <v>17.55</v>
      </c>
      <c r="C15" s="51">
        <v>25.23</v>
      </c>
      <c r="D15" s="51">
        <v>28.47</v>
      </c>
      <c r="E15" s="51">
        <v>7.71</v>
      </c>
      <c r="F15" s="51">
        <v>2.66</v>
      </c>
      <c r="G15" s="51">
        <v>69.73</v>
      </c>
      <c r="H15" s="51">
        <v>32.26</v>
      </c>
      <c r="I15" s="51">
        <v>6.83</v>
      </c>
      <c r="J15" s="51">
        <v>0.22</v>
      </c>
      <c r="K15" s="51">
        <v>73.5</v>
      </c>
      <c r="L15" s="51">
        <v>19.72</v>
      </c>
      <c r="M15" s="51">
        <v>89.3</v>
      </c>
      <c r="N15" s="51">
        <v>15.9</v>
      </c>
      <c r="O15" s="51">
        <v>0</v>
      </c>
      <c r="P15" s="51">
        <v>0.7</v>
      </c>
      <c r="Q15" s="51">
        <v>4.82</v>
      </c>
    </row>
    <row r="16" spans="1:21" customFormat="1">
      <c r="A16" s="50" t="s">
        <v>67</v>
      </c>
      <c r="B16" s="51">
        <v>17.34</v>
      </c>
      <c r="C16" s="51">
        <v>25.7</v>
      </c>
      <c r="D16" s="51">
        <v>28.45</v>
      </c>
      <c r="E16" s="51">
        <v>7.75</v>
      </c>
      <c r="F16" s="51">
        <v>2.77</v>
      </c>
      <c r="G16" s="51">
        <v>72.98</v>
      </c>
      <c r="H16" s="51">
        <v>32.71</v>
      </c>
      <c r="I16" s="51">
        <v>6.98</v>
      </c>
      <c r="J16" s="51">
        <v>0.38</v>
      </c>
      <c r="K16" s="51">
        <v>65.319999999999993</v>
      </c>
      <c r="L16" s="51">
        <v>21.34</v>
      </c>
      <c r="M16" s="51">
        <v>87.15</v>
      </c>
      <c r="N16" s="51">
        <v>131.9</v>
      </c>
      <c r="O16" s="51">
        <v>0</v>
      </c>
      <c r="P16" s="51">
        <v>0.73</v>
      </c>
      <c r="Q16" s="51">
        <v>4.83</v>
      </c>
    </row>
    <row r="17" spans="1:17" customFormat="1">
      <c r="A17" s="50" t="s">
        <v>68</v>
      </c>
      <c r="B17" s="51">
        <v>16.82</v>
      </c>
      <c r="C17" s="51">
        <v>24.69</v>
      </c>
      <c r="D17" s="51">
        <v>27.74</v>
      </c>
      <c r="E17" s="51">
        <v>7.67</v>
      </c>
      <c r="F17" s="51">
        <v>2.91</v>
      </c>
      <c r="G17" s="51">
        <v>73.709999999999994</v>
      </c>
      <c r="H17" s="51">
        <v>31.87</v>
      </c>
      <c r="I17" s="51">
        <v>7.09</v>
      </c>
      <c r="J17" s="51">
        <v>0.51</v>
      </c>
      <c r="K17" s="51">
        <v>74.239999999999995</v>
      </c>
      <c r="L17" s="51">
        <v>24.34</v>
      </c>
      <c r="M17" s="51">
        <v>79.930000000000007</v>
      </c>
      <c r="N17" s="51">
        <v>251.2</v>
      </c>
      <c r="O17" s="51">
        <v>0</v>
      </c>
      <c r="P17" s="51">
        <v>0.74</v>
      </c>
      <c r="Q17" s="51">
        <v>4.8099999999999996</v>
      </c>
    </row>
    <row r="18" spans="1:17" customFormat="1">
      <c r="A18" s="50" t="s">
        <v>69</v>
      </c>
      <c r="B18" s="51">
        <v>15.63</v>
      </c>
      <c r="C18" s="51">
        <v>24.09</v>
      </c>
      <c r="D18" s="51">
        <v>26.47</v>
      </c>
      <c r="E18" s="51">
        <v>7.5</v>
      </c>
      <c r="F18" s="51">
        <v>3.24</v>
      </c>
      <c r="G18" s="51">
        <v>73.16</v>
      </c>
      <c r="H18" s="51">
        <v>35.22</v>
      </c>
      <c r="I18" s="51">
        <v>7.08</v>
      </c>
      <c r="J18" s="51">
        <v>0.33</v>
      </c>
      <c r="K18" s="51">
        <v>125.4</v>
      </c>
      <c r="L18" s="51">
        <v>27.07</v>
      </c>
      <c r="M18" s="51">
        <v>69.25</v>
      </c>
      <c r="N18" s="51">
        <v>449.5</v>
      </c>
      <c r="O18" s="51">
        <v>0</v>
      </c>
      <c r="P18" s="51">
        <v>0.75</v>
      </c>
      <c r="Q18" s="51">
        <v>4.79</v>
      </c>
    </row>
    <row r="19" spans="1:17" customFormat="1">
      <c r="A19" s="50" t="s">
        <v>70</v>
      </c>
      <c r="B19" s="51">
        <v>11.75</v>
      </c>
      <c r="C19" s="51">
        <v>24.81</v>
      </c>
      <c r="D19" s="51">
        <v>23.35</v>
      </c>
      <c r="E19" s="51">
        <v>9.48</v>
      </c>
      <c r="F19" s="51">
        <v>3.56</v>
      </c>
      <c r="G19" s="51">
        <v>68.73</v>
      </c>
      <c r="H19" s="51">
        <v>31.73</v>
      </c>
      <c r="I19" s="51">
        <v>6.97</v>
      </c>
      <c r="J19" s="51">
        <v>0.28000000000000003</v>
      </c>
      <c r="K19" s="51">
        <v>109.39</v>
      </c>
      <c r="L19" s="51">
        <v>29.14</v>
      </c>
      <c r="M19" s="51">
        <v>57.17</v>
      </c>
      <c r="N19" s="51">
        <v>527</v>
      </c>
      <c r="O19" s="51">
        <v>0</v>
      </c>
      <c r="P19" s="51">
        <v>0.75</v>
      </c>
      <c r="Q19" s="51">
        <v>4.66</v>
      </c>
    </row>
    <row r="20" spans="1:17" customFormat="1">
      <c r="A20" s="50" t="s">
        <v>71</v>
      </c>
      <c r="B20" s="51">
        <v>7.48</v>
      </c>
      <c r="C20" s="51">
        <v>24.49</v>
      </c>
      <c r="D20" s="51">
        <v>20.149999999999999</v>
      </c>
      <c r="E20" s="51">
        <v>9.49</v>
      </c>
      <c r="F20" s="51">
        <v>4.4400000000000004</v>
      </c>
      <c r="G20" s="51">
        <v>59.06</v>
      </c>
      <c r="H20" s="51">
        <v>30.73</v>
      </c>
      <c r="I20" s="51">
        <v>6.68</v>
      </c>
      <c r="J20" s="51">
        <v>0.28999999999999998</v>
      </c>
      <c r="K20" s="51">
        <v>160.65</v>
      </c>
      <c r="L20" s="51">
        <v>30.4</v>
      </c>
      <c r="M20" s="51">
        <v>48.7</v>
      </c>
      <c r="N20" s="51">
        <v>560.9</v>
      </c>
      <c r="O20" s="51">
        <v>0</v>
      </c>
      <c r="P20" s="51">
        <v>0.73</v>
      </c>
      <c r="Q20" s="51">
        <v>4.5</v>
      </c>
    </row>
    <row r="21" spans="1:17" customFormat="1">
      <c r="A21" s="50" t="s">
        <v>72</v>
      </c>
      <c r="B21" s="51">
        <v>5.31</v>
      </c>
      <c r="C21" s="51">
        <v>23.24</v>
      </c>
      <c r="D21" s="51">
        <v>17.75</v>
      </c>
      <c r="E21" s="51">
        <v>10.01</v>
      </c>
      <c r="F21" s="51">
        <v>5.71</v>
      </c>
      <c r="G21" s="51">
        <v>55.7</v>
      </c>
      <c r="H21" s="51">
        <v>30.42</v>
      </c>
      <c r="I21" s="51">
        <v>6.25</v>
      </c>
      <c r="J21" s="51">
        <v>0.35</v>
      </c>
      <c r="K21" s="51">
        <v>169.88</v>
      </c>
      <c r="L21" s="51">
        <v>30.67</v>
      </c>
      <c r="M21" s="51">
        <v>47.48</v>
      </c>
      <c r="N21" s="51">
        <v>567.29999999999995</v>
      </c>
      <c r="O21" s="51">
        <v>0</v>
      </c>
      <c r="P21" s="51">
        <v>0.69</v>
      </c>
      <c r="Q21" s="51">
        <v>4.45</v>
      </c>
    </row>
    <row r="22" spans="1:17" customFormat="1">
      <c r="A22" s="50" t="s">
        <v>73</v>
      </c>
      <c r="B22" s="51">
        <v>5.56</v>
      </c>
      <c r="C22" s="51">
        <v>23.79</v>
      </c>
      <c r="D22" s="51">
        <v>18.22</v>
      </c>
      <c r="E22" s="51">
        <v>9.99</v>
      </c>
      <c r="F22" s="51">
        <v>6.43</v>
      </c>
      <c r="G22" s="51">
        <v>54.59</v>
      </c>
      <c r="H22" s="51">
        <v>23.69</v>
      </c>
      <c r="I22" s="51">
        <v>5.96</v>
      </c>
      <c r="J22" s="51">
        <v>0.56999999999999995</v>
      </c>
      <c r="K22" s="51">
        <v>72.37</v>
      </c>
      <c r="L22" s="51">
        <v>30.81</v>
      </c>
      <c r="M22" s="51">
        <v>46.07</v>
      </c>
      <c r="N22" s="51">
        <v>477.7</v>
      </c>
      <c r="O22" s="51">
        <v>0</v>
      </c>
      <c r="P22" s="51">
        <v>0.67</v>
      </c>
      <c r="Q22" s="51">
        <v>4.45</v>
      </c>
    </row>
    <row r="23" spans="1:17" customFormat="1">
      <c r="A23" s="50" t="s">
        <v>74</v>
      </c>
      <c r="B23" s="51">
        <v>5.66</v>
      </c>
      <c r="C23" s="51">
        <v>24.24</v>
      </c>
      <c r="D23" s="51">
        <v>18.3</v>
      </c>
      <c r="E23" s="51">
        <v>10.45</v>
      </c>
      <c r="F23" s="51">
        <v>7.31</v>
      </c>
      <c r="G23" s="51">
        <v>54.29</v>
      </c>
      <c r="H23" s="51">
        <v>18.850000000000001</v>
      </c>
      <c r="I23" s="51">
        <v>5.71</v>
      </c>
      <c r="J23" s="51">
        <v>0.48</v>
      </c>
      <c r="K23" s="51">
        <v>149.55000000000001</v>
      </c>
      <c r="L23" s="51">
        <v>30.67</v>
      </c>
      <c r="M23" s="51">
        <v>43.34</v>
      </c>
      <c r="N23" s="51">
        <v>147.6</v>
      </c>
      <c r="O23" s="51">
        <v>0</v>
      </c>
      <c r="P23" s="51">
        <v>0.67</v>
      </c>
      <c r="Q23" s="51">
        <v>4.46</v>
      </c>
    </row>
    <row r="24" spans="1:17" customFormat="1">
      <c r="A24" s="50" t="s">
        <v>75</v>
      </c>
      <c r="B24" s="51">
        <v>5.95</v>
      </c>
      <c r="C24" s="51">
        <v>20.78</v>
      </c>
      <c r="D24" s="51">
        <v>16.87</v>
      </c>
      <c r="E24" s="51">
        <v>9.7799999999999994</v>
      </c>
      <c r="F24" s="51">
        <v>8.8699999999999992</v>
      </c>
      <c r="G24" s="51">
        <v>47.72</v>
      </c>
      <c r="H24" s="51">
        <v>18.57</v>
      </c>
      <c r="I24" s="51">
        <v>5.4</v>
      </c>
      <c r="J24" s="51">
        <v>0.51</v>
      </c>
      <c r="K24" s="51">
        <v>132.33000000000001</v>
      </c>
      <c r="L24" s="51">
        <v>29.64</v>
      </c>
      <c r="M24" s="51">
        <v>48</v>
      </c>
      <c r="N24" s="51">
        <v>77.3</v>
      </c>
      <c r="O24" s="51">
        <v>0</v>
      </c>
      <c r="P24" s="51">
        <v>0.66</v>
      </c>
      <c r="Q24" s="51">
        <v>4.45</v>
      </c>
    </row>
    <row r="25" spans="1:17" customFormat="1">
      <c r="A25" s="50" t="s">
        <v>76</v>
      </c>
      <c r="B25" s="51">
        <v>7.34</v>
      </c>
      <c r="C25" s="51">
        <v>19.760000000000002</v>
      </c>
      <c r="D25" s="51">
        <v>17.559999999999999</v>
      </c>
      <c r="E25" s="51">
        <v>10.71</v>
      </c>
      <c r="F25" s="51">
        <v>9.5</v>
      </c>
      <c r="G25" s="51">
        <v>43.87</v>
      </c>
      <c r="H25" s="51">
        <v>19.96</v>
      </c>
      <c r="I25" s="51">
        <v>5.34</v>
      </c>
      <c r="J25" s="51">
        <v>0.41</v>
      </c>
      <c r="K25" s="51">
        <v>70.17</v>
      </c>
      <c r="L25" s="51">
        <v>28.96</v>
      </c>
      <c r="M25" s="51">
        <v>51.69</v>
      </c>
      <c r="N25" s="51">
        <v>36.200000000000003</v>
      </c>
      <c r="O25" s="51">
        <v>0</v>
      </c>
      <c r="P25" s="51">
        <v>0.65</v>
      </c>
      <c r="Q25" s="51">
        <v>4.4000000000000004</v>
      </c>
    </row>
    <row r="26" spans="1:17" customFormat="1">
      <c r="A26" s="50" t="s">
        <v>77</v>
      </c>
      <c r="B26" s="51">
        <v>8.09</v>
      </c>
      <c r="C26" s="51">
        <v>22.11</v>
      </c>
      <c r="D26" s="51">
        <v>19.39</v>
      </c>
      <c r="E26" s="51">
        <v>9.4700000000000006</v>
      </c>
      <c r="F26" s="51">
        <v>4.55</v>
      </c>
      <c r="G26" s="51">
        <v>57.74</v>
      </c>
      <c r="H26" s="51">
        <v>21.97</v>
      </c>
      <c r="I26" s="51">
        <v>5.58</v>
      </c>
      <c r="J26" s="51">
        <v>0.28000000000000003</v>
      </c>
      <c r="K26" s="51">
        <v>156.81</v>
      </c>
      <c r="L26" s="51">
        <v>27.8</v>
      </c>
      <c r="M26" s="51">
        <v>60.77</v>
      </c>
      <c r="N26" s="51">
        <v>0</v>
      </c>
      <c r="O26" s="51">
        <v>0</v>
      </c>
      <c r="P26" s="51">
        <v>0.75</v>
      </c>
      <c r="Q26" s="51">
        <v>4.4400000000000004</v>
      </c>
    </row>
    <row r="27" spans="1:17" customFormat="1">
      <c r="A27" s="50" t="s">
        <v>78</v>
      </c>
      <c r="B27" s="51">
        <v>9.8000000000000007</v>
      </c>
      <c r="C27" s="51">
        <v>21.72</v>
      </c>
      <c r="D27" s="51">
        <v>20.100000000000001</v>
      </c>
      <c r="E27" s="51">
        <v>8.2200000000000006</v>
      </c>
      <c r="F27" s="51">
        <v>3.38</v>
      </c>
      <c r="G27" s="51">
        <v>86.07</v>
      </c>
      <c r="H27" s="51">
        <v>28.94</v>
      </c>
      <c r="I27" s="51">
        <v>6.13</v>
      </c>
      <c r="J27" s="51">
        <v>0.34</v>
      </c>
      <c r="K27" s="51">
        <v>138.08000000000001</v>
      </c>
      <c r="L27" s="51">
        <v>26.18</v>
      </c>
      <c r="M27" s="51">
        <v>59.19</v>
      </c>
      <c r="N27" s="51">
        <v>0</v>
      </c>
      <c r="O27" s="51">
        <v>0</v>
      </c>
      <c r="P27" s="51">
        <v>0.79</v>
      </c>
      <c r="Q27" s="51">
        <v>4.53</v>
      </c>
    </row>
    <row r="28" spans="1:17" customFormat="1">
      <c r="A28" s="50" t="s">
        <v>79</v>
      </c>
      <c r="B28" s="51">
        <v>12.58</v>
      </c>
      <c r="C28" s="51">
        <v>25.02</v>
      </c>
      <c r="D28" s="51">
        <v>24.51</v>
      </c>
      <c r="E28" s="51">
        <v>8.4700000000000006</v>
      </c>
      <c r="F28" s="51">
        <v>2.8</v>
      </c>
      <c r="G28" s="51">
        <v>93.04</v>
      </c>
      <c r="H28" s="51">
        <v>29.02</v>
      </c>
      <c r="I28" s="51">
        <v>6.53</v>
      </c>
      <c r="J28" s="51">
        <v>0.34</v>
      </c>
      <c r="K28" s="51">
        <v>75.790000000000006</v>
      </c>
      <c r="L28" s="51">
        <v>25.56</v>
      </c>
      <c r="M28" s="51">
        <v>63.2</v>
      </c>
      <c r="N28" s="51">
        <v>0</v>
      </c>
      <c r="O28" s="51">
        <v>0</v>
      </c>
      <c r="P28" s="51">
        <v>0.93</v>
      </c>
      <c r="Q28" s="51">
        <v>4.6500000000000004</v>
      </c>
    </row>
    <row r="29" spans="1:17" customFormat="1">
      <c r="A29" s="50" t="s">
        <v>80</v>
      </c>
      <c r="B29" s="51">
        <v>14.03</v>
      </c>
      <c r="C29" s="51">
        <v>27.82</v>
      </c>
      <c r="D29" s="51">
        <v>27.14</v>
      </c>
      <c r="E29" s="51">
        <v>8.68</v>
      </c>
      <c r="F29" s="51">
        <v>2.97</v>
      </c>
      <c r="G29" s="51">
        <v>99.16</v>
      </c>
      <c r="H29" s="51">
        <v>34.159999999999997</v>
      </c>
      <c r="I29" s="51">
        <v>7.24</v>
      </c>
      <c r="J29" s="51">
        <v>0.35</v>
      </c>
      <c r="K29" s="51">
        <v>68.91</v>
      </c>
      <c r="L29" s="51">
        <v>24.85</v>
      </c>
      <c r="M29" s="51">
        <v>64.819999999999993</v>
      </c>
      <c r="N29" s="51">
        <v>0</v>
      </c>
      <c r="O29" s="51">
        <v>0</v>
      </c>
      <c r="P29" s="51">
        <v>0.99</v>
      </c>
      <c r="Q29" s="51">
        <v>4.74</v>
      </c>
    </row>
    <row r="30" spans="1:17" customFormat="1">
      <c r="A30" s="50" t="s">
        <v>81</v>
      </c>
      <c r="B30" s="51">
        <v>13.92</v>
      </c>
      <c r="C30" s="51">
        <v>28.38</v>
      </c>
      <c r="D30" s="51">
        <v>27.27</v>
      </c>
      <c r="E30" s="51">
        <v>9</v>
      </c>
      <c r="F30" s="51">
        <v>3.04</v>
      </c>
      <c r="G30" s="51">
        <v>115.68</v>
      </c>
      <c r="H30" s="51">
        <v>35.56</v>
      </c>
      <c r="I30" s="51">
        <v>7.91</v>
      </c>
      <c r="J30" s="51">
        <v>0.33</v>
      </c>
      <c r="K30" s="51">
        <v>148.63</v>
      </c>
      <c r="L30" s="51">
        <v>25.03</v>
      </c>
      <c r="M30" s="51">
        <v>67.08</v>
      </c>
      <c r="N30" s="51">
        <v>0</v>
      </c>
      <c r="O30" s="51">
        <v>0</v>
      </c>
      <c r="P30" s="51">
        <v>1</v>
      </c>
      <c r="Q30" s="51">
        <v>4.7300000000000004</v>
      </c>
    </row>
    <row r="31" spans="1:17" customFormat="1">
      <c r="A31" s="50" t="s">
        <v>82</v>
      </c>
      <c r="B31" s="51">
        <v>11.94</v>
      </c>
      <c r="C31" s="51">
        <v>28.53</v>
      </c>
      <c r="D31" s="51">
        <v>25.72</v>
      </c>
      <c r="E31" s="51">
        <v>8.6199999999999992</v>
      </c>
      <c r="F31" s="51">
        <v>2.89</v>
      </c>
      <c r="G31" s="51">
        <v>98.9</v>
      </c>
      <c r="H31" s="51">
        <v>35.5</v>
      </c>
      <c r="I31" s="51">
        <v>7.79</v>
      </c>
      <c r="J31" s="51">
        <v>0.47</v>
      </c>
      <c r="K31" s="51">
        <v>62.29</v>
      </c>
      <c r="L31" s="51">
        <v>24.09</v>
      </c>
      <c r="M31" s="51">
        <v>71.73</v>
      </c>
      <c r="N31" s="51">
        <v>0</v>
      </c>
      <c r="O31" s="51">
        <v>0</v>
      </c>
      <c r="P31" s="51">
        <v>0.98</v>
      </c>
      <c r="Q31" s="51">
        <v>4.71</v>
      </c>
    </row>
    <row r="32" spans="1:17" customFormat="1">
      <c r="A32" s="50" t="s">
        <v>83</v>
      </c>
      <c r="B32" s="51">
        <v>11.65</v>
      </c>
      <c r="C32" s="51">
        <v>28.71</v>
      </c>
      <c r="D32" s="51">
        <v>25.64</v>
      </c>
      <c r="E32" s="51">
        <v>8.9499999999999993</v>
      </c>
      <c r="F32" s="51">
        <v>2.85</v>
      </c>
      <c r="G32" s="51">
        <v>92.32</v>
      </c>
      <c r="H32" s="51">
        <v>33.979999999999997</v>
      </c>
      <c r="I32" s="51">
        <v>7.56</v>
      </c>
      <c r="J32" s="51">
        <v>0.42</v>
      </c>
      <c r="K32" s="51">
        <v>75.790000000000006</v>
      </c>
      <c r="L32" s="51">
        <v>23.33</v>
      </c>
      <c r="M32" s="51">
        <v>75.14</v>
      </c>
      <c r="N32" s="51">
        <v>0</v>
      </c>
      <c r="O32" s="51">
        <v>0</v>
      </c>
      <c r="P32" s="51">
        <v>0.98</v>
      </c>
      <c r="Q32" s="51">
        <v>4.71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5.31</v>
      </c>
      <c r="C34" s="41">
        <f t="shared" si="0"/>
        <v>19.760000000000002</v>
      </c>
      <c r="D34" s="41">
        <f t="shared" si="0"/>
        <v>16.87</v>
      </c>
      <c r="E34" s="41">
        <f t="shared" si="0"/>
        <v>6.6</v>
      </c>
      <c r="F34" s="41">
        <f t="shared" si="0"/>
        <v>2.6</v>
      </c>
      <c r="G34" s="41">
        <f t="shared" si="0"/>
        <v>43.87</v>
      </c>
      <c r="H34" s="41">
        <f t="shared" si="0"/>
        <v>18.57</v>
      </c>
      <c r="I34" s="41">
        <f t="shared" si="0"/>
        <v>5.34</v>
      </c>
      <c r="J34" s="41">
        <f t="shared" si="0"/>
        <v>0.14000000000000001</v>
      </c>
      <c r="K34" s="41">
        <f t="shared" si="0"/>
        <v>58.66</v>
      </c>
      <c r="L34" s="41">
        <f t="shared" si="0"/>
        <v>19.63</v>
      </c>
      <c r="M34" s="41">
        <f t="shared" si="0"/>
        <v>43.34</v>
      </c>
      <c r="N34" s="41">
        <f t="shared" si="0"/>
        <v>0</v>
      </c>
      <c r="O34" s="41">
        <f t="shared" si="0"/>
        <v>0</v>
      </c>
      <c r="P34" s="41">
        <f t="shared" si="0"/>
        <v>0.65</v>
      </c>
      <c r="Q34" s="41">
        <f t="shared" si="0"/>
        <v>4.4000000000000004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19.100000000000001</v>
      </c>
      <c r="C35" s="33">
        <f t="shared" si="1"/>
        <v>29.72</v>
      </c>
      <c r="D35" s="33">
        <f t="shared" si="1"/>
        <v>30.01</v>
      </c>
      <c r="E35" s="33">
        <f t="shared" si="1"/>
        <v>10.71</v>
      </c>
      <c r="F35" s="33">
        <f t="shared" si="1"/>
        <v>9.5</v>
      </c>
      <c r="G35" s="33">
        <f t="shared" si="1"/>
        <v>115.68</v>
      </c>
      <c r="H35" s="33">
        <f t="shared" si="1"/>
        <v>35.56</v>
      </c>
      <c r="I35" s="33">
        <f t="shared" si="1"/>
        <v>9.07</v>
      </c>
      <c r="J35" s="33">
        <f t="shared" si="1"/>
        <v>0.56999999999999995</v>
      </c>
      <c r="K35" s="33">
        <f t="shared" si="1"/>
        <v>357.3</v>
      </c>
      <c r="L35" s="33">
        <f t="shared" si="1"/>
        <v>30.81</v>
      </c>
      <c r="M35" s="33">
        <f t="shared" si="1"/>
        <v>91.24</v>
      </c>
      <c r="N35" s="33">
        <f t="shared" si="1"/>
        <v>567.29999999999995</v>
      </c>
      <c r="O35" s="33">
        <f t="shared" si="1"/>
        <v>0</v>
      </c>
      <c r="P35" s="33">
        <f t="shared" si="1"/>
        <v>1</v>
      </c>
      <c r="Q35" s="33">
        <f t="shared" si="1"/>
        <v>4.87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12.425833333333332</v>
      </c>
      <c r="C36" s="41">
        <f t="shared" si="2"/>
        <v>25.233333333333338</v>
      </c>
      <c r="D36" s="41">
        <f t="shared" si="2"/>
        <v>24.395</v>
      </c>
      <c r="E36" s="41">
        <f t="shared" si="2"/>
        <v>8.644166666666667</v>
      </c>
      <c r="F36" s="41">
        <f t="shared" si="2"/>
        <v>4.0079166666666666</v>
      </c>
      <c r="G36" s="41">
        <f t="shared" si="2"/>
        <v>71.629166666666663</v>
      </c>
      <c r="H36" s="41">
        <f t="shared" si="2"/>
        <v>29.662916666666671</v>
      </c>
      <c r="I36" s="41">
        <f t="shared" si="2"/>
        <v>6.871249999999999</v>
      </c>
      <c r="J36" s="41">
        <f t="shared" si="2"/>
        <v>0.33791666666666664</v>
      </c>
      <c r="K36" s="41">
        <f t="shared" si="2"/>
        <v>118.38291666666665</v>
      </c>
      <c r="L36" s="41">
        <f t="shared" si="2"/>
        <v>25.206666666666667</v>
      </c>
      <c r="M36" s="41">
        <f t="shared" si="2"/>
        <v>68.035833333333343</v>
      </c>
      <c r="N36" s="41">
        <f t="shared" si="2"/>
        <v>135.10416666666666</v>
      </c>
      <c r="O36" s="41">
        <f t="shared" si="2"/>
        <v>0</v>
      </c>
      <c r="P36" s="41">
        <f t="shared" si="2"/>
        <v>0.78666666666666674</v>
      </c>
      <c r="Q36" s="41">
        <f t="shared" si="2"/>
        <v>4.6691666666666665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4.4924205895734275</v>
      </c>
      <c r="C37" s="41">
        <f t="shared" ref="C37:Q37" si="3">STDEV(C9:C32)</f>
        <v>2.5802269308129651</v>
      </c>
      <c r="D37" s="41">
        <f t="shared" si="3"/>
        <v>4.5194815016192056</v>
      </c>
      <c r="E37" s="41">
        <f t="shared" si="3"/>
        <v>1.1177341858174195</v>
      </c>
      <c r="F37" s="41">
        <f t="shared" si="3"/>
        <v>2.0405241849278246</v>
      </c>
      <c r="G37" s="41">
        <f t="shared" si="3"/>
        <v>18.128856871001982</v>
      </c>
      <c r="H37" s="41">
        <f t="shared" si="3"/>
        <v>5.2201228364412851</v>
      </c>
      <c r="I37" s="41">
        <f t="shared" si="3"/>
        <v>0.93214718235117666</v>
      </c>
      <c r="J37" s="41">
        <f t="shared" si="3"/>
        <v>0.11447343214329989</v>
      </c>
      <c r="K37" s="41">
        <f t="shared" si="3"/>
        <v>65.942855727955688</v>
      </c>
      <c r="L37" s="41">
        <f t="shared" si="3"/>
        <v>3.8749806918639891</v>
      </c>
      <c r="M37" s="41">
        <f t="shared" si="3"/>
        <v>15.456058588833308</v>
      </c>
      <c r="N37" s="41">
        <f t="shared" si="3"/>
        <v>210.19274069946761</v>
      </c>
      <c r="O37" s="41">
        <f t="shared" si="3"/>
        <v>0</v>
      </c>
      <c r="P37" s="41">
        <f t="shared" si="3"/>
        <v>0.11491647880721517</v>
      </c>
      <c r="Q37" s="41">
        <f t="shared" si="3"/>
        <v>0.16167376347787868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84</v>
      </c>
      <c r="B9" s="51">
        <v>14.33</v>
      </c>
      <c r="C9" s="51">
        <v>29.97</v>
      </c>
      <c r="D9" s="51">
        <v>27.71</v>
      </c>
      <c r="E9" s="51">
        <v>8.8699999999999992</v>
      </c>
      <c r="F9" s="51">
        <v>2.78</v>
      </c>
      <c r="G9" s="51">
        <v>82.5</v>
      </c>
      <c r="H9" s="51">
        <v>33.93</v>
      </c>
      <c r="I9" s="51">
        <v>7.41</v>
      </c>
      <c r="J9" s="51">
        <v>0.24</v>
      </c>
      <c r="K9" s="51">
        <v>56.21</v>
      </c>
      <c r="L9" s="51">
        <v>22.61</v>
      </c>
      <c r="M9" s="51">
        <v>77.78</v>
      </c>
      <c r="N9" s="51">
        <v>0</v>
      </c>
      <c r="O9" s="51">
        <v>0</v>
      </c>
      <c r="P9" s="51">
        <v>0.99</v>
      </c>
      <c r="Q9" s="51">
        <v>4.76</v>
      </c>
    </row>
    <row r="10" spans="1:21" customFormat="1">
      <c r="A10" s="50" t="s">
        <v>85</v>
      </c>
      <c r="B10" s="51">
        <v>16.25</v>
      </c>
      <c r="C10" s="51">
        <v>25.45</v>
      </c>
      <c r="D10" s="51">
        <v>26.81</v>
      </c>
      <c r="E10" s="51">
        <v>8.16</v>
      </c>
      <c r="F10" s="51">
        <v>2.98</v>
      </c>
      <c r="G10" s="51">
        <v>87.18</v>
      </c>
      <c r="H10" s="51">
        <v>33.049999999999997</v>
      </c>
      <c r="I10" s="51">
        <v>7.48</v>
      </c>
      <c r="J10" s="51">
        <v>0.39</v>
      </c>
      <c r="K10" s="51">
        <v>62.29</v>
      </c>
      <c r="L10" s="51">
        <v>22.07</v>
      </c>
      <c r="M10" s="51">
        <v>77.64</v>
      </c>
      <c r="N10" s="51">
        <v>0</v>
      </c>
      <c r="O10" s="51">
        <v>0</v>
      </c>
      <c r="P10" s="51">
        <v>0.95</v>
      </c>
      <c r="Q10" s="51">
        <v>4.8099999999999996</v>
      </c>
    </row>
    <row r="11" spans="1:21" customFormat="1">
      <c r="A11" s="50" t="s">
        <v>86</v>
      </c>
      <c r="B11" s="51">
        <v>17.8</v>
      </c>
      <c r="C11" s="51">
        <v>25.2</v>
      </c>
      <c r="D11" s="51">
        <v>28.28</v>
      </c>
      <c r="E11" s="51">
        <v>7.82</v>
      </c>
      <c r="F11" s="51">
        <v>2.68</v>
      </c>
      <c r="G11" s="51">
        <v>86.45</v>
      </c>
      <c r="H11" s="51">
        <v>31.57</v>
      </c>
      <c r="I11" s="51">
        <v>7.43</v>
      </c>
      <c r="J11" s="51">
        <v>0.28999999999999998</v>
      </c>
      <c r="K11" s="51">
        <v>63.91</v>
      </c>
      <c r="L11" s="51">
        <v>21.64</v>
      </c>
      <c r="M11" s="51">
        <v>83.31</v>
      </c>
      <c r="N11" s="51">
        <v>0</v>
      </c>
      <c r="O11" s="51">
        <v>0</v>
      </c>
      <c r="P11" s="51">
        <v>0.94</v>
      </c>
      <c r="Q11" s="51">
        <v>4.82</v>
      </c>
    </row>
    <row r="12" spans="1:21" customFormat="1">
      <c r="A12" s="50" t="s">
        <v>87</v>
      </c>
      <c r="B12" s="51">
        <v>18.989999999999998</v>
      </c>
      <c r="C12" s="51">
        <v>24.48</v>
      </c>
      <c r="D12" s="51">
        <v>29.1</v>
      </c>
      <c r="E12" s="51">
        <v>7.9</v>
      </c>
      <c r="F12" s="51">
        <v>2.77</v>
      </c>
      <c r="G12" s="51">
        <v>80.5</v>
      </c>
      <c r="H12" s="51">
        <v>32.82</v>
      </c>
      <c r="I12" s="51">
        <v>7.32</v>
      </c>
      <c r="J12" s="51">
        <v>0.42</v>
      </c>
      <c r="K12" s="51">
        <v>55.69</v>
      </c>
      <c r="L12" s="51">
        <v>21.02</v>
      </c>
      <c r="M12" s="51">
        <v>86.98</v>
      </c>
      <c r="N12" s="51">
        <v>0</v>
      </c>
      <c r="O12" s="51">
        <v>0</v>
      </c>
      <c r="P12" s="51">
        <v>0.91</v>
      </c>
      <c r="Q12" s="51">
        <v>4.87</v>
      </c>
    </row>
    <row r="13" spans="1:21" customFormat="1">
      <c r="A13" s="50" t="s">
        <v>88</v>
      </c>
      <c r="B13" s="51">
        <v>19.190000000000001</v>
      </c>
      <c r="C13" s="51">
        <v>25.34</v>
      </c>
      <c r="D13" s="51">
        <v>29.85</v>
      </c>
      <c r="E13" s="51">
        <v>8.09</v>
      </c>
      <c r="F13" s="51">
        <v>2.78</v>
      </c>
      <c r="G13" s="51">
        <v>78.260000000000005</v>
      </c>
      <c r="H13" s="51">
        <v>30.86</v>
      </c>
      <c r="I13" s="51">
        <v>7.27</v>
      </c>
      <c r="J13" s="51">
        <v>0.54</v>
      </c>
      <c r="K13" s="51">
        <v>61.74</v>
      </c>
      <c r="L13" s="51">
        <v>20.48</v>
      </c>
      <c r="M13" s="51">
        <v>87.38</v>
      </c>
      <c r="N13" s="51">
        <v>0</v>
      </c>
      <c r="O13" s="51">
        <v>0</v>
      </c>
      <c r="P13" s="51">
        <v>0.9</v>
      </c>
      <c r="Q13" s="51">
        <v>4.87</v>
      </c>
    </row>
    <row r="14" spans="1:21" customFormat="1">
      <c r="A14" s="50" t="s">
        <v>89</v>
      </c>
      <c r="B14" s="51">
        <v>18.96</v>
      </c>
      <c r="C14" s="51">
        <v>25.1</v>
      </c>
      <c r="D14" s="51">
        <v>29.67</v>
      </c>
      <c r="E14" s="51">
        <v>8.59</v>
      </c>
      <c r="F14" s="51">
        <v>2.71</v>
      </c>
      <c r="G14" s="51">
        <v>80.599999999999994</v>
      </c>
      <c r="H14" s="51">
        <v>30.74</v>
      </c>
      <c r="I14" s="51">
        <v>7.25</v>
      </c>
      <c r="J14" s="51">
        <v>0.37</v>
      </c>
      <c r="K14" s="51">
        <v>93.5</v>
      </c>
      <c r="L14" s="51">
        <v>20.32</v>
      </c>
      <c r="M14" s="51">
        <v>86.48</v>
      </c>
      <c r="N14" s="51">
        <v>0</v>
      </c>
      <c r="O14" s="51">
        <v>0</v>
      </c>
      <c r="P14" s="51">
        <v>0.88</v>
      </c>
      <c r="Q14" s="51">
        <v>4.8899999999999997</v>
      </c>
    </row>
    <row r="15" spans="1:21" customFormat="1">
      <c r="A15" s="50" t="s">
        <v>90</v>
      </c>
      <c r="B15" s="51">
        <v>16.86</v>
      </c>
      <c r="C15" s="51">
        <v>26.74</v>
      </c>
      <c r="D15" s="51">
        <v>28.23</v>
      </c>
      <c r="E15" s="51">
        <v>8.49</v>
      </c>
      <c r="F15" s="51">
        <v>2.72</v>
      </c>
      <c r="G15" s="51">
        <v>71.19</v>
      </c>
      <c r="H15" s="51">
        <v>30.44</v>
      </c>
      <c r="I15" s="51">
        <v>7.21</v>
      </c>
      <c r="J15" s="51">
        <v>0.28000000000000003</v>
      </c>
      <c r="K15" s="51">
        <v>76.44</v>
      </c>
      <c r="L15" s="51">
        <v>20.010000000000002</v>
      </c>
      <c r="M15" s="51">
        <v>87.98</v>
      </c>
      <c r="N15" s="51">
        <v>16.600000000000001</v>
      </c>
      <c r="O15" s="51">
        <v>0</v>
      </c>
      <c r="P15" s="51">
        <v>0.89</v>
      </c>
      <c r="Q15" s="51">
        <v>4.8499999999999996</v>
      </c>
    </row>
    <row r="16" spans="1:21" customFormat="1">
      <c r="A16" s="50" t="s">
        <v>91</v>
      </c>
      <c r="B16" s="51">
        <v>16.87</v>
      </c>
      <c r="C16" s="51">
        <v>27.84</v>
      </c>
      <c r="D16" s="51">
        <v>29.22</v>
      </c>
      <c r="E16" s="51">
        <v>8.89</v>
      </c>
      <c r="F16" s="51">
        <v>2.8</v>
      </c>
      <c r="G16" s="51">
        <v>68.510000000000005</v>
      </c>
      <c r="H16" s="51">
        <v>30.74</v>
      </c>
      <c r="I16" s="51">
        <v>7.51</v>
      </c>
      <c r="J16" s="51">
        <v>0.36</v>
      </c>
      <c r="K16" s="51">
        <v>71.66</v>
      </c>
      <c r="L16" s="51">
        <v>21.91</v>
      </c>
      <c r="M16" s="51">
        <v>86.59</v>
      </c>
      <c r="N16" s="51">
        <v>129.9</v>
      </c>
      <c r="O16" s="51">
        <v>0</v>
      </c>
      <c r="P16" s="51">
        <v>0.92</v>
      </c>
      <c r="Q16" s="51">
        <v>4.8499999999999996</v>
      </c>
    </row>
    <row r="17" spans="1:17" customFormat="1">
      <c r="A17" s="50" t="s">
        <v>92</v>
      </c>
      <c r="B17" s="51">
        <v>15.46</v>
      </c>
      <c r="C17" s="51">
        <v>28.46</v>
      </c>
      <c r="D17" s="51">
        <v>28.28</v>
      </c>
      <c r="E17" s="51">
        <v>9.48</v>
      </c>
      <c r="F17" s="51">
        <v>2.91</v>
      </c>
      <c r="G17" s="51">
        <v>72.41</v>
      </c>
      <c r="H17" s="51">
        <v>31.68</v>
      </c>
      <c r="I17" s="51">
        <v>7.81</v>
      </c>
      <c r="J17" s="51">
        <v>0.36</v>
      </c>
      <c r="K17" s="51">
        <v>112.17</v>
      </c>
      <c r="L17" s="51">
        <v>25.32</v>
      </c>
      <c r="M17" s="51">
        <v>76.05</v>
      </c>
      <c r="N17" s="51">
        <v>238.2</v>
      </c>
      <c r="O17" s="51">
        <v>0</v>
      </c>
      <c r="P17" s="51">
        <v>0.93</v>
      </c>
      <c r="Q17" s="51">
        <v>4.8</v>
      </c>
    </row>
    <row r="18" spans="1:17" customFormat="1">
      <c r="A18" s="50" t="s">
        <v>93</v>
      </c>
      <c r="B18" s="51">
        <v>12.38</v>
      </c>
      <c r="C18" s="51">
        <v>28.87</v>
      </c>
      <c r="D18" s="51">
        <v>26.36</v>
      </c>
      <c r="E18" s="51">
        <v>9.42</v>
      </c>
      <c r="F18" s="51">
        <v>3.17</v>
      </c>
      <c r="G18" s="51">
        <v>72.88</v>
      </c>
      <c r="H18" s="51">
        <v>34.31</v>
      </c>
      <c r="I18" s="51">
        <v>8.85</v>
      </c>
      <c r="J18" s="51">
        <v>0.38</v>
      </c>
      <c r="K18" s="51">
        <v>119.11</v>
      </c>
      <c r="L18" s="51">
        <v>27.78</v>
      </c>
      <c r="M18" s="51">
        <v>65.48</v>
      </c>
      <c r="N18" s="51">
        <v>412.7</v>
      </c>
      <c r="O18" s="51">
        <v>0</v>
      </c>
      <c r="P18" s="51">
        <v>0.92</v>
      </c>
      <c r="Q18" s="51">
        <v>4.7300000000000004</v>
      </c>
    </row>
    <row r="19" spans="1:17" customFormat="1">
      <c r="A19" s="50" t="s">
        <v>94</v>
      </c>
      <c r="B19" s="51">
        <v>8.67</v>
      </c>
      <c r="C19" s="51">
        <v>28.69</v>
      </c>
      <c r="D19" s="51">
        <v>23.29</v>
      </c>
      <c r="E19" s="51">
        <v>7.82</v>
      </c>
      <c r="F19" s="51">
        <v>4.6100000000000003</v>
      </c>
      <c r="G19" s="51">
        <v>73.23</v>
      </c>
      <c r="H19" s="51">
        <v>31.8</v>
      </c>
      <c r="I19" s="51">
        <v>9.0399999999999991</v>
      </c>
      <c r="J19" s="51">
        <v>0.51</v>
      </c>
      <c r="K19" s="51">
        <v>120.2</v>
      </c>
      <c r="L19" s="51">
        <v>28.91</v>
      </c>
      <c r="M19" s="51">
        <v>53.07</v>
      </c>
      <c r="N19" s="51">
        <v>529.5</v>
      </c>
      <c r="O19" s="51">
        <v>0</v>
      </c>
      <c r="P19" s="51">
        <v>0.89</v>
      </c>
      <c r="Q19" s="51">
        <v>4.6100000000000003</v>
      </c>
    </row>
    <row r="20" spans="1:17" customFormat="1">
      <c r="A20" s="50" t="s">
        <v>95</v>
      </c>
      <c r="B20" s="51">
        <v>6.52</v>
      </c>
      <c r="C20" s="51">
        <v>23.21</v>
      </c>
      <c r="D20" s="51">
        <v>18.7</v>
      </c>
      <c r="E20" s="51">
        <v>9.49</v>
      </c>
      <c r="F20" s="51">
        <v>15.22</v>
      </c>
      <c r="G20" s="51">
        <v>68.53</v>
      </c>
      <c r="H20" s="51">
        <v>31.26</v>
      </c>
      <c r="I20" s="51">
        <v>8.61</v>
      </c>
      <c r="J20" s="51">
        <v>0.59</v>
      </c>
      <c r="K20" s="51">
        <v>168.34</v>
      </c>
      <c r="L20" s="51">
        <v>30.18</v>
      </c>
      <c r="M20" s="51">
        <v>48.17</v>
      </c>
      <c r="N20" s="51">
        <v>565.1</v>
      </c>
      <c r="O20" s="51">
        <v>0</v>
      </c>
      <c r="P20" s="51">
        <v>0.83</v>
      </c>
      <c r="Q20" s="51">
        <v>4.49</v>
      </c>
    </row>
    <row r="21" spans="1:17" customFormat="1">
      <c r="A21" s="50" t="s">
        <v>96</v>
      </c>
      <c r="B21" s="51">
        <v>2.91</v>
      </c>
      <c r="C21" s="51">
        <v>17.41</v>
      </c>
      <c r="D21" s="51">
        <v>12.78</v>
      </c>
      <c r="E21" s="51">
        <v>10.32</v>
      </c>
      <c r="F21" s="51">
        <v>16.04</v>
      </c>
      <c r="G21" s="11" t="s">
        <v>12</v>
      </c>
      <c r="H21" s="11" t="s">
        <v>12</v>
      </c>
      <c r="I21" s="51">
        <v>7.81</v>
      </c>
      <c r="J21" s="51">
        <v>0.44</v>
      </c>
      <c r="K21" s="51">
        <v>154.02000000000001</v>
      </c>
      <c r="L21" s="51">
        <v>30.76</v>
      </c>
      <c r="M21" s="51">
        <v>43.02</v>
      </c>
      <c r="N21" s="51">
        <v>561.6</v>
      </c>
      <c r="O21" s="51">
        <v>0</v>
      </c>
      <c r="P21" s="51">
        <v>0.71</v>
      </c>
      <c r="Q21" s="51">
        <v>4.3499999999999996</v>
      </c>
    </row>
    <row r="22" spans="1:17" customFormat="1">
      <c r="A22" s="50" t="s">
        <v>97</v>
      </c>
      <c r="B22" s="51">
        <v>3.36</v>
      </c>
      <c r="C22" s="51">
        <v>17.03</v>
      </c>
      <c r="D22" s="51">
        <v>12.94</v>
      </c>
      <c r="E22" s="51">
        <v>7.87</v>
      </c>
      <c r="F22" s="51">
        <v>8.1999999999999993</v>
      </c>
      <c r="G22" s="51">
        <v>41.38</v>
      </c>
      <c r="H22" s="51">
        <v>8.35</v>
      </c>
      <c r="I22" s="51">
        <v>5.78</v>
      </c>
      <c r="J22" s="51">
        <v>0.75</v>
      </c>
      <c r="K22" s="51">
        <v>76.319999999999993</v>
      </c>
      <c r="L22" s="51">
        <v>30.8</v>
      </c>
      <c r="M22" s="51">
        <v>41.75</v>
      </c>
      <c r="N22" s="51">
        <v>491.1</v>
      </c>
      <c r="O22" s="51">
        <v>0</v>
      </c>
      <c r="P22" s="51">
        <v>0.64</v>
      </c>
      <c r="Q22" s="51">
        <v>4.3099999999999996</v>
      </c>
    </row>
    <row r="23" spans="1:17" customFormat="1">
      <c r="A23" s="50" t="s">
        <v>98</v>
      </c>
      <c r="B23" s="51">
        <v>3.95</v>
      </c>
      <c r="C23" s="51">
        <v>16.82</v>
      </c>
      <c r="D23" s="51">
        <v>13.26</v>
      </c>
      <c r="E23" s="51">
        <v>7.11</v>
      </c>
      <c r="F23" s="51">
        <v>9.1300000000000008</v>
      </c>
      <c r="G23" s="51">
        <v>41.38</v>
      </c>
      <c r="H23" s="51">
        <v>10.79</v>
      </c>
      <c r="I23" s="51">
        <v>5.73</v>
      </c>
      <c r="J23" s="51">
        <v>0.49</v>
      </c>
      <c r="K23" s="51">
        <v>100.98</v>
      </c>
      <c r="L23" s="51">
        <v>30.49</v>
      </c>
      <c r="M23" s="51">
        <v>43.61</v>
      </c>
      <c r="N23" s="51">
        <v>156.5</v>
      </c>
      <c r="O23" s="51">
        <v>0</v>
      </c>
      <c r="P23" s="51">
        <v>0.59</v>
      </c>
      <c r="Q23" s="51">
        <v>4.33</v>
      </c>
    </row>
    <row r="24" spans="1:17" customFormat="1">
      <c r="A24" s="50" t="s">
        <v>99</v>
      </c>
      <c r="B24" s="51">
        <v>4.32</v>
      </c>
      <c r="C24" s="51">
        <v>19.149999999999999</v>
      </c>
      <c r="D24" s="51">
        <v>14.43</v>
      </c>
      <c r="E24" s="51">
        <v>6.74</v>
      </c>
      <c r="F24" s="51">
        <v>8.25</v>
      </c>
      <c r="G24" s="51">
        <v>41.73</v>
      </c>
      <c r="H24" s="51">
        <v>13.37</v>
      </c>
      <c r="I24" s="51">
        <v>5.53</v>
      </c>
      <c r="J24" s="51">
        <v>0.51</v>
      </c>
      <c r="K24" s="51">
        <v>105.12</v>
      </c>
      <c r="L24" s="51">
        <v>29.65</v>
      </c>
      <c r="M24" s="51">
        <v>44.64</v>
      </c>
      <c r="N24" s="51">
        <v>64.400000000000006</v>
      </c>
      <c r="O24" s="51">
        <v>0</v>
      </c>
      <c r="P24" s="51">
        <v>0.59</v>
      </c>
      <c r="Q24" s="51">
        <v>4.3499999999999996</v>
      </c>
    </row>
    <row r="25" spans="1:17" customFormat="1">
      <c r="A25" s="50" t="s">
        <v>100</v>
      </c>
      <c r="B25" s="51">
        <v>4.0599999999999996</v>
      </c>
      <c r="C25" s="51">
        <v>21.84</v>
      </c>
      <c r="D25" s="51">
        <v>16.02</v>
      </c>
      <c r="E25" s="51">
        <v>6.94</v>
      </c>
      <c r="F25" s="51">
        <v>7.53</v>
      </c>
      <c r="G25" s="51">
        <v>43.79</v>
      </c>
      <c r="H25" s="51">
        <v>16.12</v>
      </c>
      <c r="I25" s="51">
        <v>5.33</v>
      </c>
      <c r="J25" s="51">
        <v>0.28000000000000003</v>
      </c>
      <c r="K25" s="51">
        <v>88.45</v>
      </c>
      <c r="L25" s="51">
        <v>29.21</v>
      </c>
      <c r="M25" s="51">
        <v>50.5</v>
      </c>
      <c r="N25" s="51">
        <v>44.1</v>
      </c>
      <c r="O25" s="51">
        <v>0</v>
      </c>
      <c r="P25" s="51">
        <v>0.61</v>
      </c>
      <c r="Q25" s="51">
        <v>4.3499999999999996</v>
      </c>
    </row>
    <row r="26" spans="1:17" customFormat="1">
      <c r="A26" s="50" t="s">
        <v>101</v>
      </c>
      <c r="B26" s="51">
        <v>5.51</v>
      </c>
      <c r="C26" s="51">
        <v>25.23</v>
      </c>
      <c r="D26" s="51">
        <v>18.95</v>
      </c>
      <c r="E26" s="51">
        <v>7.14</v>
      </c>
      <c r="F26" s="51">
        <v>4.7699999999999996</v>
      </c>
      <c r="G26" s="51">
        <v>56.38</v>
      </c>
      <c r="H26" s="51">
        <v>20.07</v>
      </c>
      <c r="I26" s="51">
        <v>5.66</v>
      </c>
      <c r="J26" s="51">
        <v>0.35</v>
      </c>
      <c r="K26" s="51">
        <v>135.24</v>
      </c>
      <c r="L26" s="51">
        <v>27.62</v>
      </c>
      <c r="M26" s="51">
        <v>58.54</v>
      </c>
      <c r="N26" s="51">
        <v>0</v>
      </c>
      <c r="O26" s="51">
        <v>0</v>
      </c>
      <c r="P26" s="51">
        <v>0.69</v>
      </c>
      <c r="Q26" s="51">
        <v>4.43</v>
      </c>
    </row>
    <row r="27" spans="1:17" customFormat="1">
      <c r="A27" s="50" t="s">
        <v>102</v>
      </c>
      <c r="B27" s="51">
        <v>6.78</v>
      </c>
      <c r="C27" s="51">
        <v>27.38</v>
      </c>
      <c r="D27" s="51">
        <v>21.09</v>
      </c>
      <c r="E27" s="51">
        <v>9.6</v>
      </c>
      <c r="F27" s="51">
        <v>3.16</v>
      </c>
      <c r="G27" s="51">
        <v>73.83</v>
      </c>
      <c r="H27" s="51">
        <v>20.76</v>
      </c>
      <c r="I27" s="51">
        <v>6.12</v>
      </c>
      <c r="J27" s="51">
        <v>0.41</v>
      </c>
      <c r="K27" s="51">
        <v>92.02</v>
      </c>
      <c r="L27" s="51">
        <v>26.03</v>
      </c>
      <c r="M27" s="51">
        <v>62.13</v>
      </c>
      <c r="N27" s="51">
        <v>0</v>
      </c>
      <c r="O27" s="51">
        <v>0</v>
      </c>
      <c r="P27" s="51">
        <v>0.76</v>
      </c>
      <c r="Q27" s="51">
        <v>4.49</v>
      </c>
    </row>
    <row r="28" spans="1:17" customFormat="1">
      <c r="A28" s="50" t="s">
        <v>103</v>
      </c>
      <c r="B28" s="51">
        <v>6.89</v>
      </c>
      <c r="C28" s="51">
        <v>28.99</v>
      </c>
      <c r="D28" s="51">
        <v>21.84</v>
      </c>
      <c r="E28" s="51">
        <v>9.7799999999999994</v>
      </c>
      <c r="F28" s="51">
        <v>3.58</v>
      </c>
      <c r="G28" s="51">
        <v>80.02</v>
      </c>
      <c r="H28" s="51">
        <v>21.87</v>
      </c>
      <c r="I28" s="51">
        <v>6.46</v>
      </c>
      <c r="J28" s="51">
        <v>0.3</v>
      </c>
      <c r="K28" s="51">
        <v>158.96</v>
      </c>
      <c r="L28" s="51">
        <v>25.4</v>
      </c>
      <c r="M28" s="51">
        <v>61.93</v>
      </c>
      <c r="N28" s="51">
        <v>0</v>
      </c>
      <c r="O28" s="51">
        <v>0</v>
      </c>
      <c r="P28" s="51">
        <v>0.8</v>
      </c>
      <c r="Q28" s="51">
        <v>4.53</v>
      </c>
    </row>
    <row r="29" spans="1:17" customFormat="1">
      <c r="A29" s="50" t="s">
        <v>104</v>
      </c>
      <c r="B29" s="51">
        <v>5.71</v>
      </c>
      <c r="C29" s="51">
        <v>28.41</v>
      </c>
      <c r="D29" s="51">
        <v>20.66</v>
      </c>
      <c r="E29" s="51">
        <v>9.3800000000000008</v>
      </c>
      <c r="F29" s="51">
        <v>3.71</v>
      </c>
      <c r="G29" s="51">
        <v>81.06</v>
      </c>
      <c r="H29" s="51">
        <v>25.41</v>
      </c>
      <c r="I29" s="51">
        <v>6.52</v>
      </c>
      <c r="J29" s="51">
        <v>0.2</v>
      </c>
      <c r="K29" s="51">
        <v>164.84</v>
      </c>
      <c r="L29" s="51">
        <v>25.1</v>
      </c>
      <c r="M29" s="51">
        <v>68.709999999999994</v>
      </c>
      <c r="N29" s="51">
        <v>0</v>
      </c>
      <c r="O29" s="51">
        <v>0</v>
      </c>
      <c r="P29" s="51">
        <v>0.8</v>
      </c>
      <c r="Q29" s="51">
        <v>4.49</v>
      </c>
    </row>
    <row r="30" spans="1:17" customFormat="1">
      <c r="A30" s="50" t="s">
        <v>105</v>
      </c>
      <c r="B30" s="51">
        <v>6.88</v>
      </c>
      <c r="C30" s="51">
        <v>22.47</v>
      </c>
      <c r="D30" s="51">
        <v>18.61</v>
      </c>
      <c r="E30" s="51">
        <v>8.39</v>
      </c>
      <c r="F30" s="51">
        <v>3</v>
      </c>
      <c r="G30" s="51">
        <v>81.06</v>
      </c>
      <c r="H30" s="51">
        <v>26.7</v>
      </c>
      <c r="I30" s="51">
        <v>6.65</v>
      </c>
      <c r="J30" s="51">
        <v>0.14000000000000001</v>
      </c>
      <c r="K30" s="51">
        <v>186.69</v>
      </c>
      <c r="L30" s="51">
        <v>23.44</v>
      </c>
      <c r="M30" s="51">
        <v>74.56</v>
      </c>
      <c r="N30" s="51">
        <v>0</v>
      </c>
      <c r="O30" s="51">
        <v>0</v>
      </c>
      <c r="P30" s="51">
        <v>0.78</v>
      </c>
      <c r="Q30" s="51">
        <v>4.46</v>
      </c>
    </row>
    <row r="31" spans="1:17" customFormat="1">
      <c r="A31" s="50" t="s">
        <v>106</v>
      </c>
      <c r="B31" s="51">
        <v>7.64</v>
      </c>
      <c r="C31" s="51">
        <v>21.72</v>
      </c>
      <c r="D31" s="51">
        <v>18.66</v>
      </c>
      <c r="E31" s="51">
        <v>8.2799999999999994</v>
      </c>
      <c r="F31" s="51">
        <v>3.01</v>
      </c>
      <c r="G31" s="51">
        <v>76.73</v>
      </c>
      <c r="H31" s="51">
        <v>29.3</v>
      </c>
      <c r="I31" s="51">
        <v>6.76</v>
      </c>
      <c r="J31" s="51">
        <v>0.11</v>
      </c>
      <c r="K31" s="51">
        <v>164.94</v>
      </c>
      <c r="L31" s="51">
        <v>22.43</v>
      </c>
      <c r="M31" s="51">
        <v>80.319999999999993</v>
      </c>
      <c r="N31" s="51">
        <v>0</v>
      </c>
      <c r="O31" s="51">
        <v>0</v>
      </c>
      <c r="P31" s="51">
        <v>0.78</v>
      </c>
      <c r="Q31" s="51">
        <v>4.47</v>
      </c>
    </row>
    <row r="32" spans="1:17" customFormat="1">
      <c r="A32" s="50" t="s">
        <v>107</v>
      </c>
      <c r="B32" s="51">
        <v>8.4</v>
      </c>
      <c r="C32" s="51">
        <v>22.31</v>
      </c>
      <c r="D32" s="51">
        <v>19.61</v>
      </c>
      <c r="E32" s="51">
        <v>7.91</v>
      </c>
      <c r="F32" s="51">
        <v>3.12</v>
      </c>
      <c r="G32" s="51">
        <v>75.41</v>
      </c>
      <c r="H32" s="51">
        <v>30.21</v>
      </c>
      <c r="I32" s="51">
        <v>6.99</v>
      </c>
      <c r="J32" s="51">
        <v>0.14000000000000001</v>
      </c>
      <c r="K32" s="51">
        <v>154.44999999999999</v>
      </c>
      <c r="L32" s="51">
        <v>22.43</v>
      </c>
      <c r="M32" s="51">
        <v>75.27</v>
      </c>
      <c r="N32" s="51">
        <v>0</v>
      </c>
      <c r="O32" s="51">
        <v>0</v>
      </c>
      <c r="P32" s="51">
        <v>0.78</v>
      </c>
      <c r="Q32" s="51">
        <v>4.51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2.91</v>
      </c>
      <c r="C34" s="41">
        <f t="shared" si="0"/>
        <v>16.82</v>
      </c>
      <c r="D34" s="41">
        <f t="shared" si="0"/>
        <v>12.78</v>
      </c>
      <c r="E34" s="41">
        <f t="shared" si="0"/>
        <v>6.74</v>
      </c>
      <c r="F34" s="41">
        <f t="shared" si="0"/>
        <v>2.68</v>
      </c>
      <c r="G34" s="41">
        <f t="shared" si="0"/>
        <v>41.38</v>
      </c>
      <c r="H34" s="41">
        <f t="shared" si="0"/>
        <v>8.35</v>
      </c>
      <c r="I34" s="41">
        <f t="shared" si="0"/>
        <v>5.33</v>
      </c>
      <c r="J34" s="41">
        <f t="shared" si="0"/>
        <v>0.11</v>
      </c>
      <c r="K34" s="41">
        <f t="shared" si="0"/>
        <v>55.69</v>
      </c>
      <c r="L34" s="41">
        <f t="shared" si="0"/>
        <v>20.010000000000002</v>
      </c>
      <c r="M34" s="41">
        <f t="shared" si="0"/>
        <v>41.75</v>
      </c>
      <c r="N34" s="41">
        <f t="shared" si="0"/>
        <v>0</v>
      </c>
      <c r="O34" s="41">
        <f t="shared" si="0"/>
        <v>0</v>
      </c>
      <c r="P34" s="41">
        <f t="shared" si="0"/>
        <v>0.59</v>
      </c>
      <c r="Q34" s="41">
        <f t="shared" si="0"/>
        <v>4.3099999999999996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19.190000000000001</v>
      </c>
      <c r="C35" s="33">
        <f t="shared" si="1"/>
        <v>29.97</v>
      </c>
      <c r="D35" s="33">
        <f t="shared" si="1"/>
        <v>29.85</v>
      </c>
      <c r="E35" s="33">
        <f t="shared" si="1"/>
        <v>10.32</v>
      </c>
      <c r="F35" s="33">
        <f t="shared" si="1"/>
        <v>16.04</v>
      </c>
      <c r="G35" s="33">
        <f t="shared" si="1"/>
        <v>87.18</v>
      </c>
      <c r="H35" s="33">
        <f t="shared" si="1"/>
        <v>34.31</v>
      </c>
      <c r="I35" s="33">
        <f t="shared" si="1"/>
        <v>9.0399999999999991</v>
      </c>
      <c r="J35" s="33">
        <f t="shared" si="1"/>
        <v>0.75</v>
      </c>
      <c r="K35" s="33">
        <f t="shared" si="1"/>
        <v>186.69</v>
      </c>
      <c r="L35" s="33">
        <f t="shared" si="1"/>
        <v>30.8</v>
      </c>
      <c r="M35" s="33">
        <f t="shared" si="1"/>
        <v>87.98</v>
      </c>
      <c r="N35" s="33">
        <f t="shared" si="1"/>
        <v>565.1</v>
      </c>
      <c r="O35" s="33">
        <f t="shared" si="1"/>
        <v>0</v>
      </c>
      <c r="P35" s="33">
        <f t="shared" si="1"/>
        <v>0.99</v>
      </c>
      <c r="Q35" s="33">
        <f t="shared" si="1"/>
        <v>4.8899999999999997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10.362083333333331</v>
      </c>
      <c r="C36" s="41">
        <f t="shared" si="2"/>
        <v>24.504583333333329</v>
      </c>
      <c r="D36" s="41">
        <f t="shared" si="2"/>
        <v>22.264583333333331</v>
      </c>
      <c r="E36" s="41">
        <f t="shared" si="2"/>
        <v>8.4366666666666674</v>
      </c>
      <c r="F36" s="41">
        <f t="shared" si="2"/>
        <v>5.0679166666666662</v>
      </c>
      <c r="G36" s="41">
        <f t="shared" si="2"/>
        <v>70.217826086956521</v>
      </c>
      <c r="H36" s="41">
        <f t="shared" si="2"/>
        <v>26.354347826086961</v>
      </c>
      <c r="I36" s="41">
        <f t="shared" si="2"/>
        <v>7.0220833333333346</v>
      </c>
      <c r="J36" s="41">
        <f t="shared" si="2"/>
        <v>0.36874999999999997</v>
      </c>
      <c r="K36" s="41">
        <f t="shared" si="2"/>
        <v>110.13708333333334</v>
      </c>
      <c r="L36" s="41">
        <f t="shared" si="2"/>
        <v>25.233749999999997</v>
      </c>
      <c r="M36" s="41">
        <f t="shared" si="2"/>
        <v>67.578749999999999</v>
      </c>
      <c r="N36" s="41">
        <f t="shared" si="2"/>
        <v>133.73749999999998</v>
      </c>
      <c r="O36" s="41">
        <f t="shared" si="2"/>
        <v>0</v>
      </c>
      <c r="P36" s="41">
        <f t="shared" si="2"/>
        <v>0.81166666666666687</v>
      </c>
      <c r="Q36" s="41">
        <f t="shared" si="2"/>
        <v>4.6008333333333331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5.8221817060995846</v>
      </c>
      <c r="C37" s="41">
        <f t="shared" ref="C37:Q37" si="3">STDEV(C9:C32)</f>
        <v>3.9794100274622268</v>
      </c>
      <c r="D37" s="41">
        <f t="shared" si="3"/>
        <v>5.9093139299912441</v>
      </c>
      <c r="E37" s="41">
        <f t="shared" si="3"/>
        <v>0.96931022837921854</v>
      </c>
      <c r="F37" s="41">
        <f t="shared" si="3"/>
        <v>3.8251865304522905</v>
      </c>
      <c r="G37" s="41">
        <f t="shared" si="3"/>
        <v>14.749778721459354</v>
      </c>
      <c r="H37" s="41">
        <f t="shared" si="3"/>
        <v>7.8255431563374174</v>
      </c>
      <c r="I37" s="41">
        <f t="shared" si="3"/>
        <v>1.0199189190564448</v>
      </c>
      <c r="J37" s="41">
        <f t="shared" si="3"/>
        <v>0.1520958650782889</v>
      </c>
      <c r="K37" s="41">
        <f t="shared" si="3"/>
        <v>41.660069661087576</v>
      </c>
      <c r="L37" s="41">
        <f t="shared" si="3"/>
        <v>3.7699669154355298</v>
      </c>
      <c r="M37" s="41">
        <f t="shared" si="3"/>
        <v>16.281446712906583</v>
      </c>
      <c r="N37" s="41">
        <f t="shared" si="3"/>
        <v>208.70400261260383</v>
      </c>
      <c r="O37" s="41">
        <f t="shared" si="3"/>
        <v>0</v>
      </c>
      <c r="P37" s="41">
        <f t="shared" si="3"/>
        <v>0.12142869321635488</v>
      </c>
      <c r="Q37" s="41">
        <f t="shared" si="3"/>
        <v>0.20738363246529068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108</v>
      </c>
      <c r="B9" s="51">
        <v>9.85</v>
      </c>
      <c r="C9" s="51">
        <v>22.9</v>
      </c>
      <c r="D9" s="51">
        <v>21.15</v>
      </c>
      <c r="E9" s="51">
        <v>8.23</v>
      </c>
      <c r="F9" s="51">
        <v>2.95</v>
      </c>
      <c r="G9" s="51">
        <v>75.41</v>
      </c>
      <c r="H9" s="51">
        <v>30.21</v>
      </c>
      <c r="I9" s="51">
        <v>7.02</v>
      </c>
      <c r="J9" s="51">
        <v>0.15</v>
      </c>
      <c r="K9" s="51">
        <v>166.13</v>
      </c>
      <c r="L9" s="51">
        <v>21.87</v>
      </c>
      <c r="M9" s="51">
        <v>76.89</v>
      </c>
      <c r="N9" s="51">
        <v>0</v>
      </c>
      <c r="O9" s="51">
        <v>0</v>
      </c>
      <c r="P9" s="51">
        <v>0.77</v>
      </c>
      <c r="Q9" s="51">
        <v>4.51</v>
      </c>
    </row>
    <row r="10" spans="1:21" customFormat="1">
      <c r="A10" s="50" t="s">
        <v>109</v>
      </c>
      <c r="B10" s="51">
        <v>9.68</v>
      </c>
      <c r="C10" s="51">
        <v>23.72</v>
      </c>
      <c r="D10" s="51">
        <v>21.2</v>
      </c>
      <c r="E10" s="51">
        <v>8.39</v>
      </c>
      <c r="F10" s="51">
        <v>2.82</v>
      </c>
      <c r="G10" s="51">
        <v>72.98</v>
      </c>
      <c r="H10" s="51">
        <v>28.09</v>
      </c>
      <c r="I10" s="51">
        <v>7.07</v>
      </c>
      <c r="J10" s="51">
        <v>0.18</v>
      </c>
      <c r="K10" s="51">
        <v>176.95</v>
      </c>
      <c r="L10" s="51">
        <v>21.5</v>
      </c>
      <c r="M10" s="51">
        <v>81.569999999999993</v>
      </c>
      <c r="N10" s="51">
        <v>0</v>
      </c>
      <c r="O10" s="51">
        <v>0</v>
      </c>
      <c r="P10" s="51">
        <v>0.78</v>
      </c>
      <c r="Q10" s="51">
        <v>4.53</v>
      </c>
    </row>
    <row r="11" spans="1:21" customFormat="1">
      <c r="A11" s="50" t="s">
        <v>110</v>
      </c>
      <c r="B11" s="51">
        <v>9.8800000000000008</v>
      </c>
      <c r="C11" s="51">
        <v>25.26</v>
      </c>
      <c r="D11" s="51">
        <v>22.47</v>
      </c>
      <c r="E11" s="51">
        <v>7.59</v>
      </c>
      <c r="F11" s="51">
        <v>3.04</v>
      </c>
      <c r="G11" s="51">
        <v>72.98</v>
      </c>
      <c r="H11" s="51">
        <v>27.94</v>
      </c>
      <c r="I11" s="51">
        <v>6.88</v>
      </c>
      <c r="J11" s="51">
        <v>0.13</v>
      </c>
      <c r="K11" s="51">
        <v>148.99</v>
      </c>
      <c r="L11" s="51">
        <v>20.83</v>
      </c>
      <c r="M11" s="51">
        <v>82.74</v>
      </c>
      <c r="N11" s="51">
        <v>0</v>
      </c>
      <c r="O11" s="51">
        <v>0</v>
      </c>
      <c r="P11" s="51">
        <v>0.76</v>
      </c>
      <c r="Q11" s="51">
        <v>4.55</v>
      </c>
    </row>
    <row r="12" spans="1:21" customFormat="1">
      <c r="A12" s="50" t="s">
        <v>111</v>
      </c>
      <c r="B12" s="51">
        <v>9.42</v>
      </c>
      <c r="C12" s="51">
        <v>25.71</v>
      </c>
      <c r="D12" s="51">
        <v>22.32</v>
      </c>
      <c r="E12" s="51">
        <v>7.94</v>
      </c>
      <c r="F12" s="51">
        <v>2.97</v>
      </c>
      <c r="G12" s="51">
        <v>61.95</v>
      </c>
      <c r="H12" s="51">
        <v>27.34</v>
      </c>
      <c r="I12" s="51">
        <v>6.61</v>
      </c>
      <c r="J12" s="51">
        <v>0.13</v>
      </c>
      <c r="K12" s="51">
        <v>139.49</v>
      </c>
      <c r="L12" s="51">
        <v>20.170000000000002</v>
      </c>
      <c r="M12" s="51">
        <v>84.32</v>
      </c>
      <c r="N12" s="51">
        <v>0</v>
      </c>
      <c r="O12" s="51">
        <v>0</v>
      </c>
      <c r="P12" s="51">
        <v>0.74</v>
      </c>
      <c r="Q12" s="51">
        <v>4.57</v>
      </c>
    </row>
    <row r="13" spans="1:21" customFormat="1">
      <c r="A13" s="50" t="s">
        <v>112</v>
      </c>
      <c r="B13" s="51">
        <v>9.76</v>
      </c>
      <c r="C13" s="51">
        <v>25.74</v>
      </c>
      <c r="D13" s="51">
        <v>22.54</v>
      </c>
      <c r="E13" s="51">
        <v>8.18</v>
      </c>
      <c r="F13" s="51">
        <v>2.98</v>
      </c>
      <c r="G13" s="51">
        <v>60.08</v>
      </c>
      <c r="H13" s="51">
        <v>27.34</v>
      </c>
      <c r="I13" s="51">
        <v>6.3</v>
      </c>
      <c r="J13" s="51">
        <v>0.5</v>
      </c>
      <c r="K13" s="51">
        <v>160.66</v>
      </c>
      <c r="L13" s="51">
        <v>20.11</v>
      </c>
      <c r="M13" s="51">
        <v>85.61</v>
      </c>
      <c r="N13" s="51">
        <v>0</v>
      </c>
      <c r="O13" s="51">
        <v>0</v>
      </c>
      <c r="P13" s="51">
        <v>0.72</v>
      </c>
      <c r="Q13" s="51">
        <v>4.57</v>
      </c>
    </row>
    <row r="14" spans="1:21" customFormat="1">
      <c r="A14" s="50" t="s">
        <v>113</v>
      </c>
      <c r="B14" s="51">
        <v>11.71</v>
      </c>
      <c r="C14" s="51">
        <v>27.43</v>
      </c>
      <c r="D14" s="51">
        <v>25.08</v>
      </c>
      <c r="E14" s="51">
        <v>8.02</v>
      </c>
      <c r="F14" s="51">
        <v>2.77</v>
      </c>
      <c r="G14" s="51">
        <v>61.21</v>
      </c>
      <c r="H14" s="51">
        <v>25.54</v>
      </c>
      <c r="I14" s="51">
        <v>6</v>
      </c>
      <c r="J14" s="51">
        <v>0.37</v>
      </c>
      <c r="K14" s="51">
        <v>55.71</v>
      </c>
      <c r="L14" s="51">
        <v>19.260000000000002</v>
      </c>
      <c r="M14" s="51">
        <v>88.28</v>
      </c>
      <c r="N14" s="51">
        <v>0</v>
      </c>
      <c r="O14" s="51">
        <v>0</v>
      </c>
      <c r="P14" s="51">
        <v>0.7</v>
      </c>
      <c r="Q14" s="51">
        <v>4.6399999999999997</v>
      </c>
    </row>
    <row r="15" spans="1:21" customFormat="1">
      <c r="A15" s="50" t="s">
        <v>114</v>
      </c>
      <c r="B15" s="51">
        <v>14.1</v>
      </c>
      <c r="C15" s="51">
        <v>28.08</v>
      </c>
      <c r="D15" s="51">
        <v>26.45</v>
      </c>
      <c r="E15" s="51">
        <v>7.97</v>
      </c>
      <c r="F15" s="51">
        <v>2.98</v>
      </c>
      <c r="G15" s="51">
        <v>61.21</v>
      </c>
      <c r="H15" s="51">
        <v>26.99</v>
      </c>
      <c r="I15" s="51">
        <v>5.98</v>
      </c>
      <c r="J15" s="51">
        <v>0.56999999999999995</v>
      </c>
      <c r="K15" s="51">
        <v>54.17</v>
      </c>
      <c r="L15" s="51">
        <v>18.87</v>
      </c>
      <c r="M15" s="51">
        <v>89.84</v>
      </c>
      <c r="N15" s="51">
        <v>17</v>
      </c>
      <c r="O15" s="51">
        <v>0</v>
      </c>
      <c r="P15" s="51">
        <v>0.7</v>
      </c>
      <c r="Q15" s="51">
        <v>4.68</v>
      </c>
    </row>
    <row r="16" spans="1:21" customFormat="1">
      <c r="A16" s="50" t="s">
        <v>115</v>
      </c>
      <c r="B16" s="51">
        <v>15.03</v>
      </c>
      <c r="C16" s="51">
        <v>24.79</v>
      </c>
      <c r="D16" s="51">
        <v>26.35</v>
      </c>
      <c r="E16" s="51">
        <v>7.65</v>
      </c>
      <c r="F16" s="51">
        <v>2.78</v>
      </c>
      <c r="G16" s="51">
        <v>63.77</v>
      </c>
      <c r="H16" s="51">
        <v>28.68</v>
      </c>
      <c r="I16" s="51">
        <v>6.3</v>
      </c>
      <c r="J16" s="51">
        <v>0.79</v>
      </c>
      <c r="K16" s="51">
        <v>61.64</v>
      </c>
      <c r="L16" s="51">
        <v>20.399999999999999</v>
      </c>
      <c r="M16" s="51">
        <v>89.42</v>
      </c>
      <c r="N16" s="51">
        <v>100.7</v>
      </c>
      <c r="O16" s="51">
        <v>0</v>
      </c>
      <c r="P16" s="51">
        <v>0.72</v>
      </c>
      <c r="Q16" s="51">
        <v>4.68</v>
      </c>
    </row>
    <row r="17" spans="1:17" customFormat="1">
      <c r="A17" s="50" t="s">
        <v>116</v>
      </c>
      <c r="B17" s="51">
        <v>15.9</v>
      </c>
      <c r="C17" s="51">
        <v>24.29</v>
      </c>
      <c r="D17" s="51">
        <v>26.4</v>
      </c>
      <c r="E17" s="51">
        <v>8.1300000000000008</v>
      </c>
      <c r="F17" s="51">
        <v>2.94</v>
      </c>
      <c r="G17" s="51">
        <v>68.41</v>
      </c>
      <c r="H17" s="51">
        <v>28.68</v>
      </c>
      <c r="I17" s="51">
        <v>6.54</v>
      </c>
      <c r="J17" s="51">
        <v>0.71</v>
      </c>
      <c r="K17" s="51">
        <v>50.89</v>
      </c>
      <c r="L17" s="51">
        <v>23.31</v>
      </c>
      <c r="M17" s="51">
        <v>83.17</v>
      </c>
      <c r="N17" s="51">
        <v>206.3</v>
      </c>
      <c r="O17" s="51">
        <v>0</v>
      </c>
      <c r="P17" s="51">
        <v>0.75</v>
      </c>
      <c r="Q17" s="51">
        <v>4.72</v>
      </c>
    </row>
    <row r="18" spans="1:17" customFormat="1">
      <c r="A18" s="50" t="s">
        <v>117</v>
      </c>
      <c r="B18" s="51">
        <v>15.78</v>
      </c>
      <c r="C18" s="51">
        <v>23</v>
      </c>
      <c r="D18" s="51">
        <v>26.02</v>
      </c>
      <c r="E18" s="51">
        <v>7.92</v>
      </c>
      <c r="F18" s="51">
        <v>3.17</v>
      </c>
      <c r="G18" s="51">
        <v>77.260000000000005</v>
      </c>
      <c r="H18" s="51">
        <v>31.67</v>
      </c>
      <c r="I18" s="51">
        <v>6.97</v>
      </c>
      <c r="J18" s="51">
        <v>0.71</v>
      </c>
      <c r="K18" s="51">
        <v>63.22</v>
      </c>
      <c r="L18" s="51">
        <v>25.63</v>
      </c>
      <c r="M18" s="51">
        <v>70.040000000000006</v>
      </c>
      <c r="N18" s="51">
        <v>277.60000000000002</v>
      </c>
      <c r="O18" s="51">
        <v>0</v>
      </c>
      <c r="P18" s="51">
        <v>0.78</v>
      </c>
      <c r="Q18" s="51">
        <v>4.71</v>
      </c>
    </row>
    <row r="19" spans="1:17" customFormat="1">
      <c r="A19" s="50" t="s">
        <v>118</v>
      </c>
      <c r="B19" s="51">
        <v>14.25</v>
      </c>
      <c r="C19" s="51">
        <v>23.71</v>
      </c>
      <c r="D19" s="51">
        <v>25.16</v>
      </c>
      <c r="E19" s="51">
        <v>8.83</v>
      </c>
      <c r="F19" s="51">
        <v>3.67</v>
      </c>
      <c r="G19" s="51">
        <v>80.59</v>
      </c>
      <c r="H19" s="51">
        <v>36.15</v>
      </c>
      <c r="I19" s="51">
        <v>7.24</v>
      </c>
      <c r="J19" s="51">
        <v>0.61</v>
      </c>
      <c r="K19" s="51">
        <v>73.66</v>
      </c>
      <c r="L19" s="51">
        <v>27.31</v>
      </c>
      <c r="M19" s="51">
        <v>61.48</v>
      </c>
      <c r="N19" s="51">
        <v>398.6</v>
      </c>
      <c r="O19" s="51">
        <v>0</v>
      </c>
      <c r="P19" s="51">
        <v>0.81</v>
      </c>
      <c r="Q19" s="51">
        <v>4.6500000000000004</v>
      </c>
    </row>
    <row r="20" spans="1:17" customFormat="1">
      <c r="A20" s="50" t="s">
        <v>119</v>
      </c>
      <c r="B20" s="51">
        <v>11.09</v>
      </c>
      <c r="C20" s="51">
        <v>23.79</v>
      </c>
      <c r="D20" s="51">
        <v>21.89</v>
      </c>
      <c r="E20" s="51">
        <v>10.14</v>
      </c>
      <c r="F20" s="51">
        <v>5.44</v>
      </c>
      <c r="G20" s="51">
        <v>80.59</v>
      </c>
      <c r="H20" s="51">
        <v>36.15</v>
      </c>
      <c r="I20" s="51">
        <v>7.23</v>
      </c>
      <c r="J20" s="51">
        <v>0.59</v>
      </c>
      <c r="K20" s="51">
        <v>86.01</v>
      </c>
      <c r="L20" s="51">
        <v>28.6</v>
      </c>
      <c r="M20" s="51">
        <v>57.15</v>
      </c>
      <c r="N20" s="51">
        <v>454.5</v>
      </c>
      <c r="O20" s="51">
        <v>0</v>
      </c>
      <c r="P20" s="51">
        <v>0.82</v>
      </c>
      <c r="Q20" s="51">
        <v>4.59</v>
      </c>
    </row>
    <row r="21" spans="1:17" customFormat="1">
      <c r="A21" s="50" t="s">
        <v>120</v>
      </c>
      <c r="B21" s="51">
        <v>6.91</v>
      </c>
      <c r="C21" s="51">
        <v>24.06</v>
      </c>
      <c r="D21" s="51">
        <v>19.37</v>
      </c>
      <c r="E21" s="51">
        <v>10.029999999999999</v>
      </c>
      <c r="F21" s="51">
        <v>5.95</v>
      </c>
      <c r="G21" s="51">
        <v>79.099999999999994</v>
      </c>
      <c r="H21" s="51">
        <v>34.07</v>
      </c>
      <c r="I21" s="51">
        <v>6.93</v>
      </c>
      <c r="J21" s="51">
        <v>0.67</v>
      </c>
      <c r="K21" s="51">
        <v>96.11</v>
      </c>
      <c r="L21" s="51">
        <v>29.5</v>
      </c>
      <c r="M21" s="51">
        <v>51.3</v>
      </c>
      <c r="N21" s="51">
        <v>483.4</v>
      </c>
      <c r="O21" s="51">
        <v>0</v>
      </c>
      <c r="P21" s="51">
        <v>0.81</v>
      </c>
      <c r="Q21" s="51">
        <v>4.46</v>
      </c>
    </row>
    <row r="22" spans="1:17" customFormat="1">
      <c r="A22" s="50" t="s">
        <v>121</v>
      </c>
      <c r="B22" s="51">
        <v>5.77</v>
      </c>
      <c r="C22" s="51">
        <v>23.74</v>
      </c>
      <c r="D22" s="51">
        <v>18.38</v>
      </c>
      <c r="E22" s="51">
        <v>10.029999999999999</v>
      </c>
      <c r="F22" s="51">
        <v>6.68</v>
      </c>
      <c r="G22" s="51">
        <v>70.58</v>
      </c>
      <c r="H22" s="51">
        <v>33.380000000000003</v>
      </c>
      <c r="I22" s="51">
        <v>6.56</v>
      </c>
      <c r="J22" s="51">
        <v>0.71</v>
      </c>
      <c r="K22" s="51">
        <v>85.23</v>
      </c>
      <c r="L22" s="51">
        <v>29.91</v>
      </c>
      <c r="M22" s="51">
        <v>47.49</v>
      </c>
      <c r="N22" s="51">
        <v>454.5</v>
      </c>
      <c r="O22" s="51">
        <v>0</v>
      </c>
      <c r="P22" s="51">
        <v>0.78</v>
      </c>
      <c r="Q22" s="51">
        <v>4.41</v>
      </c>
    </row>
    <row r="23" spans="1:17" customFormat="1">
      <c r="A23" s="50" t="s">
        <v>122</v>
      </c>
      <c r="B23" s="51">
        <v>5.61</v>
      </c>
      <c r="C23" s="51">
        <v>23.19</v>
      </c>
      <c r="D23" s="51">
        <v>17.86</v>
      </c>
      <c r="E23" s="51">
        <v>9.31</v>
      </c>
      <c r="F23" s="51">
        <v>5.48</v>
      </c>
      <c r="G23" s="51">
        <v>67.150000000000006</v>
      </c>
      <c r="H23" s="51">
        <v>31.81</v>
      </c>
      <c r="I23" s="51">
        <v>6.16</v>
      </c>
      <c r="J23" s="51">
        <v>0.27</v>
      </c>
      <c r="K23" s="51">
        <v>143.52000000000001</v>
      </c>
      <c r="L23" s="51">
        <v>29.83</v>
      </c>
      <c r="M23" s="51">
        <v>46.23</v>
      </c>
      <c r="N23" s="51">
        <v>179.4</v>
      </c>
      <c r="O23" s="51">
        <v>0</v>
      </c>
      <c r="P23" s="51">
        <v>0.72</v>
      </c>
      <c r="Q23" s="51">
        <v>4.41</v>
      </c>
    </row>
    <row r="24" spans="1:17" customFormat="1">
      <c r="A24" s="50" t="s">
        <v>123</v>
      </c>
      <c r="B24" s="51">
        <v>5.72</v>
      </c>
      <c r="C24" s="51">
        <v>22.52</v>
      </c>
      <c r="D24" s="51">
        <v>17.649999999999999</v>
      </c>
      <c r="E24" s="51">
        <v>9.35</v>
      </c>
      <c r="F24" s="51">
        <v>5.6</v>
      </c>
      <c r="G24" s="51">
        <v>57.09</v>
      </c>
      <c r="H24" s="51">
        <v>24.79</v>
      </c>
      <c r="I24" s="51">
        <v>5.73</v>
      </c>
      <c r="J24" s="51">
        <v>0.33</v>
      </c>
      <c r="K24" s="51">
        <v>156.16</v>
      </c>
      <c r="L24" s="51">
        <v>29.15</v>
      </c>
      <c r="M24" s="51">
        <v>49.81</v>
      </c>
      <c r="N24" s="51">
        <v>105.8</v>
      </c>
      <c r="O24" s="51">
        <v>0</v>
      </c>
      <c r="P24" s="51">
        <v>0.7</v>
      </c>
      <c r="Q24" s="51">
        <v>4.41</v>
      </c>
    </row>
    <row r="25" spans="1:17" customFormat="1">
      <c r="A25" s="50" t="s">
        <v>124</v>
      </c>
      <c r="B25" s="51">
        <v>6.05</v>
      </c>
      <c r="C25" s="51">
        <v>23.07</v>
      </c>
      <c r="D25" s="51">
        <v>17.87</v>
      </c>
      <c r="E25" s="51">
        <v>9.9</v>
      </c>
      <c r="F25" s="51">
        <v>5.71</v>
      </c>
      <c r="G25" s="51">
        <v>55.07</v>
      </c>
      <c r="H25" s="51">
        <v>26</v>
      </c>
      <c r="I25" s="51">
        <v>5.56</v>
      </c>
      <c r="J25" s="51">
        <v>0.28999999999999998</v>
      </c>
      <c r="K25" s="51">
        <v>164.83</v>
      </c>
      <c r="L25" s="51">
        <v>28.31</v>
      </c>
      <c r="M25" s="51">
        <v>57.07</v>
      </c>
      <c r="N25" s="51">
        <v>50.3</v>
      </c>
      <c r="O25" s="51">
        <v>0</v>
      </c>
      <c r="P25" s="51">
        <v>0.7</v>
      </c>
      <c r="Q25" s="51">
        <v>4.3899999999999997</v>
      </c>
    </row>
    <row r="26" spans="1:17" customFormat="1">
      <c r="A26" s="50" t="s">
        <v>125</v>
      </c>
      <c r="B26" s="51">
        <v>6.75</v>
      </c>
      <c r="C26" s="51">
        <v>19.38</v>
      </c>
      <c r="D26" s="51">
        <v>16.89</v>
      </c>
      <c r="E26" s="51">
        <v>9.24</v>
      </c>
      <c r="F26" s="51">
        <v>5.33</v>
      </c>
      <c r="G26" s="51">
        <v>54.77</v>
      </c>
      <c r="H26" s="51">
        <v>26.02</v>
      </c>
      <c r="I26" s="51">
        <v>5.67</v>
      </c>
      <c r="J26" s="51">
        <v>0.33</v>
      </c>
      <c r="K26" s="51">
        <v>92.57</v>
      </c>
      <c r="L26" s="51">
        <v>26.42</v>
      </c>
      <c r="M26" s="51">
        <v>61.56</v>
      </c>
      <c r="N26" s="51">
        <v>0</v>
      </c>
      <c r="O26" s="51">
        <v>0</v>
      </c>
      <c r="P26" s="51">
        <v>0.7</v>
      </c>
      <c r="Q26" s="51">
        <v>4.3899999999999997</v>
      </c>
    </row>
    <row r="27" spans="1:17" customFormat="1">
      <c r="A27" s="50" t="s">
        <v>126</v>
      </c>
      <c r="B27" s="51">
        <v>7.83</v>
      </c>
      <c r="C27" s="51">
        <v>21.42</v>
      </c>
      <c r="D27" s="51">
        <v>18.5</v>
      </c>
      <c r="E27" s="51">
        <v>8.9600000000000009</v>
      </c>
      <c r="F27" s="51">
        <v>3.64</v>
      </c>
      <c r="G27" s="51">
        <v>71.459999999999994</v>
      </c>
      <c r="H27" s="51">
        <v>30.45</v>
      </c>
      <c r="I27" s="51">
        <v>5.93</v>
      </c>
      <c r="J27" s="51">
        <v>0.45</v>
      </c>
      <c r="K27" s="51">
        <v>74.33</v>
      </c>
      <c r="L27" s="51">
        <v>25.13</v>
      </c>
      <c r="M27" s="51">
        <v>65.2</v>
      </c>
      <c r="N27" s="51">
        <v>0</v>
      </c>
      <c r="O27" s="51">
        <v>0</v>
      </c>
      <c r="P27" s="51">
        <v>0.74</v>
      </c>
      <c r="Q27" s="51">
        <v>4.42</v>
      </c>
    </row>
    <row r="28" spans="1:17" customFormat="1">
      <c r="A28" s="50" t="s">
        <v>127</v>
      </c>
      <c r="B28" s="51">
        <v>8.7799999999999994</v>
      </c>
      <c r="C28" s="51">
        <v>22.33</v>
      </c>
      <c r="D28" s="51">
        <v>20.059999999999999</v>
      </c>
      <c r="E28" s="51">
        <v>8.6199999999999992</v>
      </c>
      <c r="F28" s="51">
        <v>3.05</v>
      </c>
      <c r="G28" s="51">
        <v>87.4</v>
      </c>
      <c r="H28" s="51">
        <v>34.18</v>
      </c>
      <c r="I28" s="51">
        <v>6.24</v>
      </c>
      <c r="J28" s="51">
        <v>0.5</v>
      </c>
      <c r="K28" s="51">
        <v>71.180000000000007</v>
      </c>
      <c r="L28" s="51">
        <v>24.04</v>
      </c>
      <c r="M28" s="51">
        <v>66.040000000000006</v>
      </c>
      <c r="N28" s="51">
        <v>0</v>
      </c>
      <c r="O28" s="51">
        <v>0</v>
      </c>
      <c r="P28" s="51">
        <v>0.79</v>
      </c>
      <c r="Q28" s="51">
        <v>4.4400000000000004</v>
      </c>
    </row>
    <row r="29" spans="1:17" customFormat="1">
      <c r="A29" s="50" t="s">
        <v>128</v>
      </c>
      <c r="B29" s="51">
        <v>9.57</v>
      </c>
      <c r="C29" s="51">
        <v>22.76</v>
      </c>
      <c r="D29" s="51">
        <v>20.68</v>
      </c>
      <c r="E29" s="51">
        <v>8.68</v>
      </c>
      <c r="F29" s="51">
        <v>2.9</v>
      </c>
      <c r="G29" s="51">
        <v>87.4</v>
      </c>
      <c r="H29" s="51">
        <v>34.18</v>
      </c>
      <c r="I29" s="51">
        <v>6.39</v>
      </c>
      <c r="J29" s="51">
        <v>0.21</v>
      </c>
      <c r="K29" s="51">
        <v>144.43</v>
      </c>
      <c r="L29" s="51">
        <v>23.8</v>
      </c>
      <c r="M29" s="51">
        <v>67.87</v>
      </c>
      <c r="N29" s="51">
        <v>0</v>
      </c>
      <c r="O29" s="51">
        <v>0</v>
      </c>
      <c r="P29" s="51">
        <v>0.8</v>
      </c>
      <c r="Q29" s="51">
        <v>4.49</v>
      </c>
    </row>
    <row r="30" spans="1:17" customFormat="1">
      <c r="A30" s="50" t="s">
        <v>129</v>
      </c>
      <c r="B30" s="51">
        <v>10.210000000000001</v>
      </c>
      <c r="C30" s="51">
        <v>25.33</v>
      </c>
      <c r="D30" s="51">
        <v>22.7</v>
      </c>
      <c r="E30" s="51">
        <v>8.7799999999999994</v>
      </c>
      <c r="F30" s="51">
        <v>2.97</v>
      </c>
      <c r="G30" s="51">
        <v>89.42</v>
      </c>
      <c r="H30" s="51">
        <v>35.729999999999997</v>
      </c>
      <c r="I30" s="51">
        <v>6.63</v>
      </c>
      <c r="J30" s="51">
        <v>0.19</v>
      </c>
      <c r="K30" s="51">
        <v>123.17</v>
      </c>
      <c r="L30" s="51">
        <v>22.78</v>
      </c>
      <c r="M30" s="51">
        <v>70.150000000000006</v>
      </c>
      <c r="N30" s="51">
        <v>0</v>
      </c>
      <c r="O30" s="51">
        <v>0</v>
      </c>
      <c r="P30" s="51">
        <v>0.86</v>
      </c>
      <c r="Q30" s="51">
        <v>4.53</v>
      </c>
    </row>
    <row r="31" spans="1:17" customFormat="1">
      <c r="A31" s="50" t="s">
        <v>130</v>
      </c>
      <c r="B31" s="51">
        <v>10.01</v>
      </c>
      <c r="C31" s="51">
        <v>25.84</v>
      </c>
      <c r="D31" s="51">
        <v>22.8</v>
      </c>
      <c r="E31" s="51">
        <v>9.07</v>
      </c>
      <c r="F31" s="51">
        <v>3.32</v>
      </c>
      <c r="G31" s="51">
        <v>89.42</v>
      </c>
      <c r="H31" s="51">
        <v>35.729999999999997</v>
      </c>
      <c r="I31" s="51">
        <v>6.69</v>
      </c>
      <c r="J31" s="51">
        <v>0.21</v>
      </c>
      <c r="K31" s="51">
        <v>166.27</v>
      </c>
      <c r="L31" s="51">
        <v>22.42</v>
      </c>
      <c r="M31" s="51">
        <v>71.7</v>
      </c>
      <c r="N31" s="51">
        <v>0</v>
      </c>
      <c r="O31" s="51">
        <v>0</v>
      </c>
      <c r="P31" s="51">
        <v>0.86</v>
      </c>
      <c r="Q31" s="51">
        <v>4.54</v>
      </c>
    </row>
    <row r="32" spans="1:17" customFormat="1">
      <c r="A32" s="50" t="s">
        <v>131</v>
      </c>
      <c r="B32" s="51">
        <v>8.27</v>
      </c>
      <c r="C32" s="51">
        <v>26</v>
      </c>
      <c r="D32" s="51">
        <v>21.08</v>
      </c>
      <c r="E32" s="51">
        <v>9.1300000000000008</v>
      </c>
      <c r="F32" s="51">
        <v>3.53</v>
      </c>
      <c r="G32" s="51">
        <v>84.51</v>
      </c>
      <c r="H32" s="51">
        <v>34.119999999999997</v>
      </c>
      <c r="I32" s="51">
        <v>6.6</v>
      </c>
      <c r="J32" s="51">
        <v>0.26</v>
      </c>
      <c r="K32" s="51">
        <v>149.5</v>
      </c>
      <c r="L32" s="51">
        <v>22.69</v>
      </c>
      <c r="M32" s="51">
        <v>73.44</v>
      </c>
      <c r="N32" s="51">
        <v>0</v>
      </c>
      <c r="O32" s="51">
        <v>0</v>
      </c>
      <c r="P32" s="51">
        <v>0.84</v>
      </c>
      <c r="Q32" s="51">
        <v>4.5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5.61</v>
      </c>
      <c r="C34" s="41">
        <f t="shared" si="0"/>
        <v>19.38</v>
      </c>
      <c r="D34" s="41">
        <f t="shared" si="0"/>
        <v>16.89</v>
      </c>
      <c r="E34" s="41">
        <f t="shared" si="0"/>
        <v>7.59</v>
      </c>
      <c r="F34" s="41">
        <f t="shared" si="0"/>
        <v>2.77</v>
      </c>
      <c r="G34" s="41">
        <f t="shared" si="0"/>
        <v>54.77</v>
      </c>
      <c r="H34" s="41">
        <f t="shared" si="0"/>
        <v>24.79</v>
      </c>
      <c r="I34" s="41">
        <f t="shared" si="0"/>
        <v>5.56</v>
      </c>
      <c r="J34" s="41">
        <f t="shared" si="0"/>
        <v>0.13</v>
      </c>
      <c r="K34" s="41">
        <f t="shared" si="0"/>
        <v>50.89</v>
      </c>
      <c r="L34" s="41">
        <f t="shared" si="0"/>
        <v>18.87</v>
      </c>
      <c r="M34" s="41">
        <f t="shared" si="0"/>
        <v>46.23</v>
      </c>
      <c r="N34" s="41">
        <f t="shared" si="0"/>
        <v>0</v>
      </c>
      <c r="O34" s="41">
        <f t="shared" si="0"/>
        <v>0</v>
      </c>
      <c r="P34" s="41">
        <f t="shared" si="0"/>
        <v>0.7</v>
      </c>
      <c r="Q34" s="41">
        <f t="shared" si="0"/>
        <v>4.3899999999999997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15.9</v>
      </c>
      <c r="C35" s="33">
        <f t="shared" si="1"/>
        <v>28.08</v>
      </c>
      <c r="D35" s="33">
        <f t="shared" si="1"/>
        <v>26.45</v>
      </c>
      <c r="E35" s="33">
        <f t="shared" si="1"/>
        <v>10.14</v>
      </c>
      <c r="F35" s="33">
        <f t="shared" si="1"/>
        <v>6.68</v>
      </c>
      <c r="G35" s="33">
        <f t="shared" si="1"/>
        <v>89.42</v>
      </c>
      <c r="H35" s="33">
        <f t="shared" si="1"/>
        <v>36.15</v>
      </c>
      <c r="I35" s="33">
        <f t="shared" si="1"/>
        <v>7.24</v>
      </c>
      <c r="J35" s="33">
        <f t="shared" si="1"/>
        <v>0.79</v>
      </c>
      <c r="K35" s="33">
        <f t="shared" si="1"/>
        <v>176.95</v>
      </c>
      <c r="L35" s="33">
        <f t="shared" si="1"/>
        <v>29.91</v>
      </c>
      <c r="M35" s="33">
        <f t="shared" si="1"/>
        <v>89.84</v>
      </c>
      <c r="N35" s="33">
        <f t="shared" si="1"/>
        <v>483.4</v>
      </c>
      <c r="O35" s="33">
        <f t="shared" si="1"/>
        <v>0</v>
      </c>
      <c r="P35" s="33">
        <f t="shared" si="1"/>
        <v>0.86</v>
      </c>
      <c r="Q35" s="33">
        <f t="shared" si="1"/>
        <v>4.72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9.9137500000000021</v>
      </c>
      <c r="C36" s="41">
        <f t="shared" si="2"/>
        <v>24.08583333333333</v>
      </c>
      <c r="D36" s="41">
        <f t="shared" si="2"/>
        <v>21.702916666666667</v>
      </c>
      <c r="E36" s="41">
        <f t="shared" si="2"/>
        <v>8.7537500000000001</v>
      </c>
      <c r="F36" s="41">
        <f t="shared" si="2"/>
        <v>3.8612500000000001</v>
      </c>
      <c r="G36" s="41">
        <f t="shared" si="2"/>
        <v>72.075416666666669</v>
      </c>
      <c r="H36" s="41">
        <f t="shared" si="2"/>
        <v>30.635000000000002</v>
      </c>
      <c r="I36" s="41">
        <f t="shared" si="2"/>
        <v>6.4679166666666665</v>
      </c>
      <c r="J36" s="41">
        <f t="shared" si="2"/>
        <v>0.41083333333333333</v>
      </c>
      <c r="K36" s="41">
        <f t="shared" si="2"/>
        <v>112.70083333333332</v>
      </c>
      <c r="L36" s="41">
        <f t="shared" si="2"/>
        <v>24.243333333333336</v>
      </c>
      <c r="M36" s="41">
        <f t="shared" si="2"/>
        <v>69.932083333333324</v>
      </c>
      <c r="N36" s="41">
        <f t="shared" si="2"/>
        <v>113.67083333333335</v>
      </c>
      <c r="O36" s="41">
        <f t="shared" si="2"/>
        <v>0</v>
      </c>
      <c r="P36" s="41">
        <f t="shared" si="2"/>
        <v>0.76458333333333328</v>
      </c>
      <c r="Q36" s="41">
        <f t="shared" si="2"/>
        <v>4.532916666666666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3.1860740629782183</v>
      </c>
      <c r="C37" s="41">
        <f t="shared" ref="C37:Q37" si="3">STDEV(C9:C32)</f>
        <v>1.9129192729771813</v>
      </c>
      <c r="D37" s="41">
        <f t="shared" si="3"/>
        <v>3.0401193900564265</v>
      </c>
      <c r="E37" s="41">
        <f t="shared" si="3"/>
        <v>0.77784435964148768</v>
      </c>
      <c r="F37" s="41">
        <f t="shared" si="3"/>
        <v>1.2770050304623266</v>
      </c>
      <c r="G37" s="41">
        <f t="shared" si="3"/>
        <v>11.160866406747921</v>
      </c>
      <c r="H37" s="41">
        <f t="shared" si="3"/>
        <v>3.7954056894917358</v>
      </c>
      <c r="I37" s="41">
        <f t="shared" si="3"/>
        <v>0.49200547157320079</v>
      </c>
      <c r="J37" s="41">
        <f t="shared" si="3"/>
        <v>0.21613032836827828</v>
      </c>
      <c r="K37" s="41">
        <f t="shared" si="3"/>
        <v>44.051066602757587</v>
      </c>
      <c r="L37" s="41">
        <f t="shared" si="3"/>
        <v>3.6316886318681774</v>
      </c>
      <c r="M37" s="41">
        <f t="shared" si="3"/>
        <v>13.884327097460488</v>
      </c>
      <c r="N37" s="41">
        <f t="shared" si="3"/>
        <v>170.87392372147076</v>
      </c>
      <c r="O37" s="41">
        <f t="shared" si="3"/>
        <v>0</v>
      </c>
      <c r="P37" s="41">
        <f t="shared" si="3"/>
        <v>5.1917925752988973E-2</v>
      </c>
      <c r="Q37" s="41">
        <f t="shared" si="3"/>
        <v>0.1058086528337728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8554687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132</v>
      </c>
      <c r="B9" s="51">
        <v>6.94</v>
      </c>
      <c r="C9" s="51">
        <v>26.84</v>
      </c>
      <c r="D9" s="51">
        <v>20.94</v>
      </c>
      <c r="E9" s="51">
        <v>9.2799999999999994</v>
      </c>
      <c r="F9" s="51">
        <v>3.09</v>
      </c>
      <c r="G9" s="51">
        <v>74.17</v>
      </c>
      <c r="H9" s="51">
        <v>32.700000000000003</v>
      </c>
      <c r="I9" s="51">
        <v>6.41</v>
      </c>
      <c r="J9" s="51">
        <v>0.12</v>
      </c>
      <c r="K9" s="51">
        <v>196.43</v>
      </c>
      <c r="L9" s="51">
        <v>21.58</v>
      </c>
      <c r="M9" s="51">
        <v>77.819999999999993</v>
      </c>
      <c r="N9" s="51">
        <v>0</v>
      </c>
      <c r="O9" s="51">
        <v>0</v>
      </c>
      <c r="P9" s="51">
        <v>0.84</v>
      </c>
      <c r="Q9" s="51">
        <v>4.51</v>
      </c>
    </row>
    <row r="10" spans="1:21" customFormat="1">
      <c r="A10" s="50" t="s">
        <v>133</v>
      </c>
      <c r="B10" s="51">
        <v>8.24</v>
      </c>
      <c r="C10" s="51">
        <v>27.91</v>
      </c>
      <c r="D10" s="51">
        <v>22.54</v>
      </c>
      <c r="E10" s="51">
        <v>9.2200000000000006</v>
      </c>
      <c r="F10" s="51">
        <v>2.71</v>
      </c>
      <c r="G10" s="51">
        <v>73.28</v>
      </c>
      <c r="H10" s="51">
        <v>32.700000000000003</v>
      </c>
      <c r="I10" s="51">
        <v>6.43</v>
      </c>
      <c r="J10" s="51">
        <v>0.08</v>
      </c>
      <c r="K10" s="51">
        <v>159.93</v>
      </c>
      <c r="L10" s="51">
        <v>20.89</v>
      </c>
      <c r="M10" s="51">
        <v>81.569999999999993</v>
      </c>
      <c r="N10" s="51">
        <v>0</v>
      </c>
      <c r="O10" s="51">
        <v>0</v>
      </c>
      <c r="P10" s="51">
        <v>0.85</v>
      </c>
      <c r="Q10" s="51">
        <v>4.57</v>
      </c>
    </row>
    <row r="11" spans="1:21" customFormat="1">
      <c r="A11" s="50" t="s">
        <v>134</v>
      </c>
      <c r="B11" s="51">
        <v>9.2200000000000006</v>
      </c>
      <c r="C11" s="51">
        <v>27.64</v>
      </c>
      <c r="D11" s="51">
        <v>22.44</v>
      </c>
      <c r="E11" s="51">
        <v>7.48</v>
      </c>
      <c r="F11" s="51">
        <v>2.98</v>
      </c>
      <c r="G11" s="51">
        <v>70.599999999999994</v>
      </c>
      <c r="H11" s="51">
        <v>29.51</v>
      </c>
      <c r="I11" s="51">
        <v>6.48</v>
      </c>
      <c r="J11" s="51">
        <v>7.0000000000000007E-2</v>
      </c>
      <c r="K11" s="51">
        <v>234.79</v>
      </c>
      <c r="L11" s="51">
        <v>20.28</v>
      </c>
      <c r="M11" s="51">
        <v>86.73</v>
      </c>
      <c r="N11" s="51">
        <v>0</v>
      </c>
      <c r="O11" s="51">
        <v>0</v>
      </c>
      <c r="P11" s="51">
        <v>0.84</v>
      </c>
      <c r="Q11" s="51">
        <v>4.58</v>
      </c>
    </row>
    <row r="12" spans="1:21" customFormat="1">
      <c r="A12" s="50" t="s">
        <v>135</v>
      </c>
      <c r="B12" s="51">
        <v>10.87</v>
      </c>
      <c r="C12" s="51">
        <v>24.41</v>
      </c>
      <c r="D12" s="51">
        <v>22.82</v>
      </c>
      <c r="E12" s="51">
        <v>7.69</v>
      </c>
      <c r="F12" s="51">
        <v>2.68</v>
      </c>
      <c r="G12" s="51">
        <v>70.599999999999994</v>
      </c>
      <c r="H12" s="51">
        <v>31.54</v>
      </c>
      <c r="I12" s="51">
        <v>6.48</v>
      </c>
      <c r="J12" s="51">
        <v>0.37</v>
      </c>
      <c r="K12" s="51">
        <v>217.47</v>
      </c>
      <c r="L12" s="51">
        <v>20.73</v>
      </c>
      <c r="M12" s="51">
        <v>87.16</v>
      </c>
      <c r="N12" s="51">
        <v>0</v>
      </c>
      <c r="O12" s="51">
        <v>0</v>
      </c>
      <c r="P12" s="51">
        <v>0.82</v>
      </c>
      <c r="Q12" s="51">
        <v>4.58</v>
      </c>
    </row>
    <row r="13" spans="1:21" customFormat="1">
      <c r="A13" s="50" t="s">
        <v>136</v>
      </c>
      <c r="B13" s="51">
        <v>11.41</v>
      </c>
      <c r="C13" s="51">
        <v>24.66</v>
      </c>
      <c r="D13" s="51">
        <v>23.14</v>
      </c>
      <c r="E13" s="51">
        <v>7.37</v>
      </c>
      <c r="F13" s="51">
        <v>3.04</v>
      </c>
      <c r="G13" s="51">
        <v>71.47</v>
      </c>
      <c r="H13" s="51">
        <v>32.96</v>
      </c>
      <c r="I13" s="51">
        <v>6.51</v>
      </c>
      <c r="J13" s="51">
        <v>0.6</v>
      </c>
      <c r="K13" s="51">
        <v>49.74</v>
      </c>
      <c r="L13" s="51">
        <v>20.64</v>
      </c>
      <c r="M13" s="51">
        <v>82.31</v>
      </c>
      <c r="N13" s="51">
        <v>0</v>
      </c>
      <c r="O13" s="51">
        <v>0</v>
      </c>
      <c r="P13" s="51">
        <v>0.82</v>
      </c>
      <c r="Q13" s="51">
        <v>4.6399999999999997</v>
      </c>
    </row>
    <row r="14" spans="1:21" customFormat="1">
      <c r="A14" s="50" t="s">
        <v>137</v>
      </c>
      <c r="B14" s="51">
        <v>11.47</v>
      </c>
      <c r="C14" s="51">
        <v>23.58</v>
      </c>
      <c r="D14" s="51">
        <v>22.77</v>
      </c>
      <c r="E14" s="51">
        <v>7.42</v>
      </c>
      <c r="F14" s="51">
        <v>2.81</v>
      </c>
      <c r="G14" s="51">
        <v>71.47</v>
      </c>
      <c r="H14" s="51">
        <v>32.96</v>
      </c>
      <c r="I14" s="51">
        <v>6.58</v>
      </c>
      <c r="J14" s="51">
        <v>0.67</v>
      </c>
      <c r="K14" s="51">
        <v>52.85</v>
      </c>
      <c r="L14" s="51">
        <v>19.989999999999998</v>
      </c>
      <c r="M14" s="51">
        <v>84.31</v>
      </c>
      <c r="N14" s="51">
        <v>0</v>
      </c>
      <c r="O14" s="51">
        <v>0</v>
      </c>
      <c r="P14" s="51">
        <v>0.81</v>
      </c>
      <c r="Q14" s="51">
        <v>4.62</v>
      </c>
    </row>
    <row r="15" spans="1:21" customFormat="1">
      <c r="A15" s="50" t="s">
        <v>138</v>
      </c>
      <c r="B15" s="51">
        <v>12.84</v>
      </c>
      <c r="C15" s="51">
        <v>24.19</v>
      </c>
      <c r="D15" s="51">
        <v>23.81</v>
      </c>
      <c r="E15" s="51">
        <v>7.39</v>
      </c>
      <c r="F15" s="51">
        <v>2.73</v>
      </c>
      <c r="G15" s="51">
        <v>70.52</v>
      </c>
      <c r="H15" s="51">
        <v>32.1</v>
      </c>
      <c r="I15" s="51">
        <v>6.66</v>
      </c>
      <c r="J15" s="51">
        <v>0.61</v>
      </c>
      <c r="K15" s="51">
        <v>51.53</v>
      </c>
      <c r="L15" s="51">
        <v>19.510000000000002</v>
      </c>
      <c r="M15" s="51">
        <v>86.89</v>
      </c>
      <c r="N15" s="51">
        <v>8.8000000000000007</v>
      </c>
      <c r="O15" s="51">
        <v>0</v>
      </c>
      <c r="P15" s="51">
        <v>0.82</v>
      </c>
      <c r="Q15" s="51">
        <v>4.67</v>
      </c>
    </row>
    <row r="16" spans="1:21" customFormat="1">
      <c r="A16" s="50" t="s">
        <v>139</v>
      </c>
      <c r="B16" s="51">
        <v>14.86</v>
      </c>
      <c r="C16" s="51">
        <v>24.98</v>
      </c>
      <c r="D16" s="51">
        <v>26.32</v>
      </c>
      <c r="E16" s="51">
        <v>8.41</v>
      </c>
      <c r="F16" s="51">
        <v>2.79</v>
      </c>
      <c r="G16" s="51">
        <v>71.430000000000007</v>
      </c>
      <c r="H16" s="51">
        <v>32.840000000000003</v>
      </c>
      <c r="I16" s="51">
        <v>6.87</v>
      </c>
      <c r="J16" s="51">
        <v>0.55000000000000004</v>
      </c>
      <c r="K16" s="51">
        <v>53.33</v>
      </c>
      <c r="L16" s="51">
        <v>20.61</v>
      </c>
      <c r="M16" s="51">
        <v>86.16</v>
      </c>
      <c r="N16" s="51">
        <v>45.9</v>
      </c>
      <c r="O16" s="51">
        <v>0</v>
      </c>
      <c r="P16" s="51">
        <v>0.89</v>
      </c>
      <c r="Q16" s="51">
        <v>4.72</v>
      </c>
    </row>
    <row r="17" spans="1:17" customFormat="1">
      <c r="A17" s="50" t="s">
        <v>140</v>
      </c>
      <c r="B17" s="51">
        <v>16.09</v>
      </c>
      <c r="C17" s="51">
        <v>27.08</v>
      </c>
      <c r="D17" s="51">
        <v>28.4</v>
      </c>
      <c r="E17" s="51">
        <v>8.18</v>
      </c>
      <c r="F17" s="51">
        <v>2.82</v>
      </c>
      <c r="G17" s="51">
        <v>81.900000000000006</v>
      </c>
      <c r="H17" s="51">
        <v>33.76</v>
      </c>
      <c r="I17" s="51">
        <v>7.55</v>
      </c>
      <c r="J17" s="51">
        <v>0.67</v>
      </c>
      <c r="K17" s="51">
        <v>56.11</v>
      </c>
      <c r="L17" s="51">
        <v>22.95</v>
      </c>
      <c r="M17" s="51">
        <v>82.01</v>
      </c>
      <c r="N17" s="51">
        <v>148.69999999999999</v>
      </c>
      <c r="O17" s="51">
        <v>0</v>
      </c>
      <c r="P17" s="51">
        <v>0.94</v>
      </c>
      <c r="Q17" s="51">
        <v>4.8</v>
      </c>
    </row>
    <row r="18" spans="1:17" customFormat="1">
      <c r="A18" s="50" t="s">
        <v>141</v>
      </c>
      <c r="B18" s="51">
        <v>15.46</v>
      </c>
      <c r="C18" s="51">
        <v>28.61</v>
      </c>
      <c r="D18" s="51">
        <v>28.07</v>
      </c>
      <c r="E18" s="51">
        <v>8.7200000000000006</v>
      </c>
      <c r="F18" s="51">
        <v>2.9</v>
      </c>
      <c r="G18" s="51">
        <v>82.79</v>
      </c>
      <c r="H18" s="51">
        <v>34.43</v>
      </c>
      <c r="I18" s="51">
        <v>7.93</v>
      </c>
      <c r="J18" s="51">
        <v>0.74</v>
      </c>
      <c r="K18" s="51">
        <v>64.78</v>
      </c>
      <c r="L18" s="51">
        <v>24.15</v>
      </c>
      <c r="M18" s="51">
        <v>73.739999999999995</v>
      </c>
      <c r="N18" s="51">
        <v>119.6</v>
      </c>
      <c r="O18" s="51">
        <v>0</v>
      </c>
      <c r="P18" s="51">
        <v>0.98</v>
      </c>
      <c r="Q18" s="51">
        <v>4.8</v>
      </c>
    </row>
    <row r="19" spans="1:17" customFormat="1">
      <c r="A19" s="50" t="s">
        <v>142</v>
      </c>
      <c r="B19" s="51">
        <v>13.29</v>
      </c>
      <c r="C19" s="51">
        <v>30.08</v>
      </c>
      <c r="D19" s="51">
        <v>27.34</v>
      </c>
      <c r="E19" s="51">
        <v>10.199999999999999</v>
      </c>
      <c r="F19" s="51">
        <v>2.99</v>
      </c>
      <c r="G19" s="51">
        <v>87.07</v>
      </c>
      <c r="H19" s="51">
        <v>34.43</v>
      </c>
      <c r="I19" s="51">
        <v>8.1199999999999992</v>
      </c>
      <c r="J19" s="51">
        <v>0.75</v>
      </c>
      <c r="K19" s="51">
        <v>61.16</v>
      </c>
      <c r="L19" s="51">
        <v>25.11</v>
      </c>
      <c r="M19" s="51">
        <v>70.37</v>
      </c>
      <c r="N19" s="51">
        <v>117.5</v>
      </c>
      <c r="O19" s="51">
        <v>0</v>
      </c>
      <c r="P19" s="51">
        <v>1.02</v>
      </c>
      <c r="Q19" s="51">
        <v>4.76</v>
      </c>
    </row>
    <row r="20" spans="1:17" customFormat="1">
      <c r="A20" s="50" t="s">
        <v>143</v>
      </c>
      <c r="B20" s="51">
        <v>11.12</v>
      </c>
      <c r="C20" s="51">
        <v>30.85</v>
      </c>
      <c r="D20" s="51">
        <v>25.93</v>
      </c>
      <c r="E20" s="51">
        <v>10.07</v>
      </c>
      <c r="F20" s="51">
        <v>3.32</v>
      </c>
      <c r="G20" s="51">
        <v>99.81</v>
      </c>
      <c r="H20" s="51">
        <v>38.14</v>
      </c>
      <c r="I20" s="51">
        <v>8.26</v>
      </c>
      <c r="J20" s="51">
        <v>0.79</v>
      </c>
      <c r="K20" s="51">
        <v>45.13</v>
      </c>
      <c r="L20" s="51">
        <v>25.73</v>
      </c>
      <c r="M20" s="51">
        <v>67.739999999999995</v>
      </c>
      <c r="N20" s="51">
        <v>162.6</v>
      </c>
      <c r="O20" s="51">
        <v>0</v>
      </c>
      <c r="P20" s="51">
        <v>1.06</v>
      </c>
      <c r="Q20" s="51">
        <v>4.71</v>
      </c>
    </row>
    <row r="21" spans="1:17" customFormat="1">
      <c r="A21" s="50" t="s">
        <v>144</v>
      </c>
      <c r="B21" s="51">
        <v>9.2799999999999994</v>
      </c>
      <c r="C21" s="51">
        <v>30.22</v>
      </c>
      <c r="D21" s="51">
        <v>24.58</v>
      </c>
      <c r="E21" s="51">
        <v>11.02</v>
      </c>
      <c r="F21" s="51">
        <v>5.04</v>
      </c>
      <c r="G21" s="51">
        <v>99.81</v>
      </c>
      <c r="H21" s="51">
        <v>38.83</v>
      </c>
      <c r="I21" s="51">
        <v>8.4499999999999993</v>
      </c>
      <c r="J21" s="51">
        <v>0.91</v>
      </c>
      <c r="K21" s="51">
        <v>55.33</v>
      </c>
      <c r="L21" s="51">
        <v>26.3</v>
      </c>
      <c r="M21" s="51">
        <v>61.83</v>
      </c>
      <c r="N21" s="51">
        <v>194.6</v>
      </c>
      <c r="O21" s="51">
        <v>0</v>
      </c>
      <c r="P21" s="51">
        <v>1.05</v>
      </c>
      <c r="Q21" s="51">
        <v>4.62</v>
      </c>
    </row>
    <row r="22" spans="1:17" customFormat="1">
      <c r="A22" s="50" t="s">
        <v>145</v>
      </c>
      <c r="B22" s="51">
        <v>8.4</v>
      </c>
      <c r="C22" s="51">
        <v>23.83</v>
      </c>
      <c r="D22" s="51">
        <v>19.95</v>
      </c>
      <c r="E22" s="51">
        <v>11.12</v>
      </c>
      <c r="F22" s="51">
        <v>5.09</v>
      </c>
      <c r="G22" s="51">
        <v>97.11</v>
      </c>
      <c r="H22" s="51">
        <v>38.83</v>
      </c>
      <c r="I22" s="51">
        <v>8.59</v>
      </c>
      <c r="J22" s="51">
        <v>0.77</v>
      </c>
      <c r="K22" s="51">
        <v>61.39</v>
      </c>
      <c r="L22" s="51">
        <v>26.94</v>
      </c>
      <c r="M22" s="51">
        <v>59.96</v>
      </c>
      <c r="N22" s="51">
        <v>237.6</v>
      </c>
      <c r="O22" s="51">
        <v>0</v>
      </c>
      <c r="P22" s="51">
        <v>1.01</v>
      </c>
      <c r="Q22" s="51">
        <v>4.5199999999999996</v>
      </c>
    </row>
    <row r="23" spans="1:17" customFormat="1">
      <c r="A23" s="50" t="s">
        <v>146</v>
      </c>
      <c r="B23" s="51">
        <v>7.34</v>
      </c>
      <c r="C23" s="51">
        <v>22.48</v>
      </c>
      <c r="D23" s="51">
        <v>18.760000000000002</v>
      </c>
      <c r="E23" s="51">
        <v>9.99</v>
      </c>
      <c r="F23" s="51">
        <v>4.58</v>
      </c>
      <c r="G23" s="51">
        <v>94.02</v>
      </c>
      <c r="H23" s="51">
        <v>37.33</v>
      </c>
      <c r="I23" s="51">
        <v>8.7799999999999994</v>
      </c>
      <c r="J23" s="51">
        <v>0.77</v>
      </c>
      <c r="K23" s="51">
        <v>57.4</v>
      </c>
      <c r="L23" s="51">
        <v>26.42</v>
      </c>
      <c r="M23" s="51">
        <v>60.81</v>
      </c>
      <c r="N23" s="51">
        <v>84.6</v>
      </c>
      <c r="O23" s="51">
        <v>0</v>
      </c>
      <c r="P23" s="51">
        <v>1</v>
      </c>
      <c r="Q23" s="51">
        <v>4.4800000000000004</v>
      </c>
    </row>
    <row r="24" spans="1:17" customFormat="1">
      <c r="A24" s="50" t="s">
        <v>147</v>
      </c>
      <c r="B24" s="51">
        <v>6.97</v>
      </c>
      <c r="C24" s="51">
        <v>22.5</v>
      </c>
      <c r="D24" s="51">
        <v>18.62</v>
      </c>
      <c r="E24" s="51">
        <v>9.9600000000000009</v>
      </c>
      <c r="F24" s="51">
        <v>4.59</v>
      </c>
      <c r="G24" s="51">
        <v>93.13</v>
      </c>
      <c r="H24" s="51">
        <v>37.869999999999997</v>
      </c>
      <c r="I24" s="51">
        <v>9.01</v>
      </c>
      <c r="J24" s="51">
        <v>0.89</v>
      </c>
      <c r="K24" s="51">
        <v>43.95</v>
      </c>
      <c r="L24" s="51">
        <v>25.7</v>
      </c>
      <c r="M24" s="51">
        <v>61.61</v>
      </c>
      <c r="N24" s="51">
        <v>36.1</v>
      </c>
      <c r="O24" s="51">
        <v>0</v>
      </c>
      <c r="P24" s="51">
        <v>1.01</v>
      </c>
      <c r="Q24" s="51">
        <v>4.45</v>
      </c>
    </row>
    <row r="25" spans="1:17" customFormat="1">
      <c r="A25" s="50" t="s">
        <v>148</v>
      </c>
      <c r="B25" s="51">
        <v>6.96</v>
      </c>
      <c r="C25" s="51">
        <v>23.38</v>
      </c>
      <c r="D25" s="51">
        <v>19.100000000000001</v>
      </c>
      <c r="E25" s="51">
        <v>9.26</v>
      </c>
      <c r="F25" s="51">
        <v>4.13</v>
      </c>
      <c r="G25" s="51">
        <v>92.52</v>
      </c>
      <c r="H25" s="51">
        <v>37.869999999999997</v>
      </c>
      <c r="I25" s="51">
        <v>9.09</v>
      </c>
      <c r="J25" s="51">
        <v>0.63</v>
      </c>
      <c r="K25" s="51">
        <v>59.18</v>
      </c>
      <c r="L25" s="51">
        <v>25.41</v>
      </c>
      <c r="M25" s="51">
        <v>62.88</v>
      </c>
      <c r="N25" s="51">
        <v>25.2</v>
      </c>
      <c r="O25" s="51">
        <v>0</v>
      </c>
      <c r="P25" s="51">
        <v>1.05</v>
      </c>
      <c r="Q25" s="51">
        <v>4.4400000000000004</v>
      </c>
    </row>
    <row r="26" spans="1:17" customFormat="1">
      <c r="A26" s="50" t="s">
        <v>149</v>
      </c>
      <c r="B26" s="51">
        <v>7.57</v>
      </c>
      <c r="C26" s="51">
        <v>27.71</v>
      </c>
      <c r="D26" s="51">
        <v>21.9</v>
      </c>
      <c r="E26" s="51">
        <v>9.33</v>
      </c>
      <c r="F26" s="51">
        <v>3.29</v>
      </c>
      <c r="G26" s="51">
        <v>92.52</v>
      </c>
      <c r="H26" s="51">
        <v>35.92</v>
      </c>
      <c r="I26" s="51">
        <v>9.2100000000000009</v>
      </c>
      <c r="J26" s="51">
        <v>0.45</v>
      </c>
      <c r="K26" s="51">
        <v>59.9</v>
      </c>
      <c r="L26" s="51">
        <v>24.8</v>
      </c>
      <c r="M26" s="51">
        <v>64.010000000000005</v>
      </c>
      <c r="N26" s="51">
        <v>0</v>
      </c>
      <c r="O26" s="51">
        <v>0</v>
      </c>
      <c r="P26" s="51">
        <v>1.1000000000000001</v>
      </c>
      <c r="Q26" s="51">
        <v>4.5</v>
      </c>
    </row>
    <row r="27" spans="1:17" customFormat="1">
      <c r="A27" s="50" t="s">
        <v>150</v>
      </c>
      <c r="B27" s="51">
        <v>9.14</v>
      </c>
      <c r="C27" s="51">
        <v>30.24</v>
      </c>
      <c r="D27" s="51">
        <v>24.48</v>
      </c>
      <c r="E27" s="51">
        <v>8.98</v>
      </c>
      <c r="F27" s="51">
        <v>2.96</v>
      </c>
      <c r="G27" s="51">
        <v>98.02</v>
      </c>
      <c r="H27" s="51">
        <v>36.14</v>
      </c>
      <c r="I27" s="51">
        <v>9.51</v>
      </c>
      <c r="J27" s="51">
        <v>0.45</v>
      </c>
      <c r="K27" s="51">
        <v>67.239999999999995</v>
      </c>
      <c r="L27" s="51">
        <v>24.5</v>
      </c>
      <c r="M27" s="51">
        <v>63.02</v>
      </c>
      <c r="N27" s="51">
        <v>0</v>
      </c>
      <c r="O27" s="51">
        <v>0</v>
      </c>
      <c r="P27" s="51">
        <v>1.1399999999999999</v>
      </c>
      <c r="Q27" s="51">
        <v>4.59</v>
      </c>
    </row>
    <row r="28" spans="1:17" customFormat="1">
      <c r="A28" s="50" t="s">
        <v>151</v>
      </c>
      <c r="B28" s="51">
        <v>9.1999999999999993</v>
      </c>
      <c r="C28" s="51">
        <v>30.78</v>
      </c>
      <c r="D28" s="51">
        <v>24.81</v>
      </c>
      <c r="E28" s="51">
        <v>8.91</v>
      </c>
      <c r="F28" s="51">
        <v>2.92</v>
      </c>
      <c r="G28" s="51">
        <v>98.02</v>
      </c>
      <c r="H28" s="51">
        <v>36.14</v>
      </c>
      <c r="I28" s="51">
        <v>9.56</v>
      </c>
      <c r="J28" s="51">
        <v>0.4</v>
      </c>
      <c r="K28" s="51">
        <v>72.72</v>
      </c>
      <c r="L28" s="51">
        <v>24.25</v>
      </c>
      <c r="M28" s="51">
        <v>62.51</v>
      </c>
      <c r="N28" s="51">
        <v>0</v>
      </c>
      <c r="O28" s="51">
        <v>0</v>
      </c>
      <c r="P28" s="51">
        <v>1.1399999999999999</v>
      </c>
      <c r="Q28" s="51">
        <v>4.5999999999999996</v>
      </c>
    </row>
    <row r="29" spans="1:17" customFormat="1">
      <c r="A29" s="50" t="s">
        <v>152</v>
      </c>
      <c r="B29" s="51">
        <v>8.9700000000000006</v>
      </c>
      <c r="C29" s="51">
        <v>30.66</v>
      </c>
      <c r="D29" s="51">
        <v>24.56</v>
      </c>
      <c r="E29" s="51">
        <v>8.85</v>
      </c>
      <c r="F29" s="51">
        <v>2.89</v>
      </c>
      <c r="G29" s="51">
        <v>95.86</v>
      </c>
      <c r="H29" s="51">
        <v>34.619999999999997</v>
      </c>
      <c r="I29" s="51">
        <v>9.42</v>
      </c>
      <c r="J29" s="51">
        <v>0.43</v>
      </c>
      <c r="K29" s="51">
        <v>73.489999999999995</v>
      </c>
      <c r="L29" s="51">
        <v>24.1</v>
      </c>
      <c r="M29" s="51">
        <v>61.9</v>
      </c>
      <c r="N29" s="51">
        <v>0</v>
      </c>
      <c r="O29" s="51">
        <v>0</v>
      </c>
      <c r="P29" s="51">
        <v>1.1299999999999999</v>
      </c>
      <c r="Q29" s="51">
        <v>4.6100000000000003</v>
      </c>
    </row>
    <row r="30" spans="1:17" customFormat="1">
      <c r="A30" s="50" t="s">
        <v>153</v>
      </c>
      <c r="B30" s="51">
        <v>8.58</v>
      </c>
      <c r="C30" s="51">
        <v>29.55</v>
      </c>
      <c r="D30" s="51">
        <v>23.67</v>
      </c>
      <c r="E30" s="51">
        <v>8.6199999999999992</v>
      </c>
      <c r="F30" s="51">
        <v>3.03</v>
      </c>
      <c r="G30" s="51">
        <v>94</v>
      </c>
      <c r="H30" s="51">
        <v>34.619999999999997</v>
      </c>
      <c r="I30" s="51">
        <v>9.08</v>
      </c>
      <c r="J30" s="51">
        <v>0.52</v>
      </c>
      <c r="K30" s="51">
        <v>76.27</v>
      </c>
      <c r="L30" s="51">
        <v>23.93</v>
      </c>
      <c r="M30" s="51">
        <v>64.56</v>
      </c>
      <c r="N30" s="51">
        <v>0</v>
      </c>
      <c r="O30" s="51">
        <v>0</v>
      </c>
      <c r="P30" s="51">
        <v>1.08</v>
      </c>
      <c r="Q30" s="51">
        <v>4.58</v>
      </c>
    </row>
    <row r="31" spans="1:17" customFormat="1">
      <c r="A31" s="50" t="s">
        <v>154</v>
      </c>
      <c r="B31" s="51">
        <v>9.61</v>
      </c>
      <c r="C31" s="51">
        <v>26.26</v>
      </c>
      <c r="D31" s="51">
        <v>22.03</v>
      </c>
      <c r="E31" s="51">
        <v>8.31</v>
      </c>
      <c r="F31" s="51">
        <v>3.21</v>
      </c>
      <c r="G31" s="51">
        <v>85.24</v>
      </c>
      <c r="H31" s="51">
        <v>34.19</v>
      </c>
      <c r="I31" s="51">
        <v>8.44</v>
      </c>
      <c r="J31" s="51">
        <v>0.57999999999999996</v>
      </c>
      <c r="K31" s="51">
        <v>64.83</v>
      </c>
      <c r="L31" s="51">
        <v>23.38</v>
      </c>
      <c r="M31" s="51">
        <v>68.06</v>
      </c>
      <c r="N31" s="51">
        <v>0</v>
      </c>
      <c r="O31" s="51">
        <v>0</v>
      </c>
      <c r="P31" s="51">
        <v>1.02</v>
      </c>
      <c r="Q31" s="51">
        <v>4.55</v>
      </c>
    </row>
    <row r="32" spans="1:17" customFormat="1">
      <c r="A32" s="50" t="s">
        <v>155</v>
      </c>
      <c r="B32" s="51">
        <v>10.3</v>
      </c>
      <c r="C32" s="51">
        <v>24.14</v>
      </c>
      <c r="D32" s="51">
        <v>22.06</v>
      </c>
      <c r="E32" s="51">
        <v>7.39</v>
      </c>
      <c r="F32" s="51">
        <v>3.15</v>
      </c>
      <c r="G32" s="51">
        <v>81.5</v>
      </c>
      <c r="H32" s="51">
        <v>34.19</v>
      </c>
      <c r="I32" s="51">
        <v>8.15</v>
      </c>
      <c r="J32" s="51">
        <v>0.68</v>
      </c>
      <c r="K32" s="51">
        <v>59.62</v>
      </c>
      <c r="L32" s="51">
        <v>22.94</v>
      </c>
      <c r="M32" s="51">
        <v>76.31</v>
      </c>
      <c r="N32" s="51">
        <v>0</v>
      </c>
      <c r="O32" s="51">
        <v>0</v>
      </c>
      <c r="P32" s="51">
        <v>0.97</v>
      </c>
      <c r="Q32" s="51">
        <v>4.55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6.94</v>
      </c>
      <c r="C34" s="41">
        <f t="shared" si="0"/>
        <v>22.48</v>
      </c>
      <c r="D34" s="41">
        <f t="shared" si="0"/>
        <v>18.62</v>
      </c>
      <c r="E34" s="41">
        <f t="shared" si="0"/>
        <v>7.37</v>
      </c>
      <c r="F34" s="41">
        <f t="shared" si="0"/>
        <v>2.68</v>
      </c>
      <c r="G34" s="41">
        <f t="shared" si="0"/>
        <v>70.52</v>
      </c>
      <c r="H34" s="41">
        <f t="shared" si="0"/>
        <v>29.51</v>
      </c>
      <c r="I34" s="41">
        <f t="shared" si="0"/>
        <v>6.41</v>
      </c>
      <c r="J34" s="41">
        <f t="shared" si="0"/>
        <v>7.0000000000000007E-2</v>
      </c>
      <c r="K34" s="41">
        <f t="shared" si="0"/>
        <v>43.95</v>
      </c>
      <c r="L34" s="41">
        <f t="shared" si="0"/>
        <v>19.510000000000002</v>
      </c>
      <c r="M34" s="41">
        <f t="shared" si="0"/>
        <v>59.96</v>
      </c>
      <c r="N34" s="41">
        <f t="shared" si="0"/>
        <v>0</v>
      </c>
      <c r="O34" s="41">
        <f t="shared" si="0"/>
        <v>0</v>
      </c>
      <c r="P34" s="41">
        <f t="shared" si="0"/>
        <v>0.81</v>
      </c>
      <c r="Q34" s="41">
        <f t="shared" si="0"/>
        <v>4.4400000000000004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16.09</v>
      </c>
      <c r="C35" s="33">
        <f t="shared" si="1"/>
        <v>30.85</v>
      </c>
      <c r="D35" s="33">
        <f t="shared" si="1"/>
        <v>28.4</v>
      </c>
      <c r="E35" s="33">
        <f t="shared" si="1"/>
        <v>11.12</v>
      </c>
      <c r="F35" s="33">
        <f t="shared" si="1"/>
        <v>5.09</v>
      </c>
      <c r="G35" s="33">
        <f t="shared" si="1"/>
        <v>99.81</v>
      </c>
      <c r="H35" s="33">
        <f t="shared" si="1"/>
        <v>38.83</v>
      </c>
      <c r="I35" s="33">
        <f t="shared" si="1"/>
        <v>9.56</v>
      </c>
      <c r="J35" s="33">
        <f t="shared" si="1"/>
        <v>0.91</v>
      </c>
      <c r="K35" s="33">
        <f t="shared" si="1"/>
        <v>234.79</v>
      </c>
      <c r="L35" s="33">
        <f t="shared" si="1"/>
        <v>26.94</v>
      </c>
      <c r="M35" s="33">
        <f t="shared" si="1"/>
        <v>87.16</v>
      </c>
      <c r="N35" s="33">
        <f t="shared" si="1"/>
        <v>237.6</v>
      </c>
      <c r="O35" s="33">
        <f t="shared" si="1"/>
        <v>0</v>
      </c>
      <c r="P35" s="33">
        <f t="shared" si="1"/>
        <v>1.1399999999999999</v>
      </c>
      <c r="Q35" s="33">
        <f t="shared" si="1"/>
        <v>4.8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10.172083333333335</v>
      </c>
      <c r="C36" s="41">
        <f t="shared" si="2"/>
        <v>26.774166666666662</v>
      </c>
      <c r="D36" s="41">
        <f t="shared" si="2"/>
        <v>23.293333333333326</v>
      </c>
      <c r="E36" s="41">
        <f t="shared" si="2"/>
        <v>8.8820833333333322</v>
      </c>
      <c r="F36" s="41">
        <f t="shared" si="2"/>
        <v>3.3224999999999998</v>
      </c>
      <c r="G36" s="41">
        <f t="shared" si="2"/>
        <v>85.285833333333315</v>
      </c>
      <c r="H36" s="41">
        <f t="shared" si="2"/>
        <v>34.775833333333338</v>
      </c>
      <c r="I36" s="41">
        <f t="shared" si="2"/>
        <v>7.9820833333333345</v>
      </c>
      <c r="J36" s="41">
        <f t="shared" si="2"/>
        <v>0.5625</v>
      </c>
      <c r="K36" s="41">
        <f t="shared" si="2"/>
        <v>83.10708333333335</v>
      </c>
      <c r="L36" s="41">
        <f t="shared" si="2"/>
        <v>23.368333333333339</v>
      </c>
      <c r="M36" s="41">
        <f t="shared" si="2"/>
        <v>72.26124999999999</v>
      </c>
      <c r="N36" s="41">
        <f t="shared" si="2"/>
        <v>49.216666666666661</v>
      </c>
      <c r="O36" s="41">
        <f t="shared" si="2"/>
        <v>0</v>
      </c>
      <c r="P36" s="41">
        <f t="shared" si="2"/>
        <v>0.97458333333333347</v>
      </c>
      <c r="Q36" s="41">
        <f t="shared" si="2"/>
        <v>4.6020833333333329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2.6954760476005655</v>
      </c>
      <c r="C37" s="41">
        <f t="shared" ref="C37:Q37" si="3">STDEV(C9:C32)</f>
        <v>2.881128880003196</v>
      </c>
      <c r="D37" s="41">
        <f t="shared" si="3"/>
        <v>2.7372386381751768</v>
      </c>
      <c r="E37" s="41">
        <f t="shared" si="3"/>
        <v>1.1256958395536596</v>
      </c>
      <c r="F37" s="41">
        <f t="shared" si="3"/>
        <v>0.7518455553705401</v>
      </c>
      <c r="G37" s="41">
        <f t="shared" si="3"/>
        <v>11.116562229264138</v>
      </c>
      <c r="H37" s="41">
        <f t="shared" si="3"/>
        <v>2.4778899099429061</v>
      </c>
      <c r="I37" s="41">
        <f t="shared" si="3"/>
        <v>1.1449016633932232</v>
      </c>
      <c r="J37" s="41">
        <f t="shared" si="3"/>
        <v>0.23381988608849077</v>
      </c>
      <c r="K37" s="41">
        <f t="shared" si="3"/>
        <v>56.19810870089821</v>
      </c>
      <c r="L37" s="41">
        <f t="shared" si="3"/>
        <v>2.3031088000629225</v>
      </c>
      <c r="M37" s="41">
        <f t="shared" si="3"/>
        <v>10.141256380659303</v>
      </c>
      <c r="N37" s="41">
        <f t="shared" si="3"/>
        <v>73.463600372634502</v>
      </c>
      <c r="O37" s="41">
        <f t="shared" si="3"/>
        <v>0</v>
      </c>
      <c r="P37" s="41">
        <f t="shared" si="3"/>
        <v>0.11240374303943261</v>
      </c>
      <c r="Q37" s="41">
        <f t="shared" si="3"/>
        <v>0.10077867125396187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156</v>
      </c>
      <c r="B9" s="51">
        <v>11.16</v>
      </c>
      <c r="C9" s="51">
        <v>24.49</v>
      </c>
      <c r="D9" s="51">
        <v>22.79</v>
      </c>
      <c r="E9" s="51">
        <v>7.36</v>
      </c>
      <c r="F9" s="51">
        <v>2.85</v>
      </c>
      <c r="G9" s="51">
        <v>72.12</v>
      </c>
      <c r="H9" s="51">
        <v>29.58</v>
      </c>
      <c r="I9" s="51">
        <v>7.87</v>
      </c>
      <c r="J9" s="51">
        <v>0.71</v>
      </c>
      <c r="K9" s="51">
        <v>50.26</v>
      </c>
      <c r="L9" s="51">
        <v>21.82</v>
      </c>
      <c r="M9" s="51">
        <v>81.92</v>
      </c>
      <c r="N9" s="51">
        <v>0</v>
      </c>
      <c r="O9" s="51">
        <v>0</v>
      </c>
      <c r="P9" s="51">
        <v>0.93</v>
      </c>
      <c r="Q9" s="51">
        <v>4.58</v>
      </c>
    </row>
    <row r="10" spans="1:21" customFormat="1">
      <c r="A10" s="50" t="s">
        <v>157</v>
      </c>
      <c r="B10" s="51">
        <v>11.06</v>
      </c>
      <c r="C10" s="51">
        <v>22.73</v>
      </c>
      <c r="D10" s="51">
        <v>22.09</v>
      </c>
      <c r="E10" s="51">
        <v>7.37</v>
      </c>
      <c r="F10" s="51">
        <v>3.1</v>
      </c>
      <c r="G10" s="51">
        <v>71.39</v>
      </c>
      <c r="H10" s="51">
        <v>29.58</v>
      </c>
      <c r="I10" s="51">
        <v>7.57</v>
      </c>
      <c r="J10" s="51">
        <v>0.84</v>
      </c>
      <c r="K10" s="51">
        <v>47.56</v>
      </c>
      <c r="L10" s="51">
        <v>21.5</v>
      </c>
      <c r="M10" s="51">
        <v>84.39</v>
      </c>
      <c r="N10" s="51">
        <v>0</v>
      </c>
      <c r="O10" s="51">
        <v>0</v>
      </c>
      <c r="P10" s="51">
        <v>0.89</v>
      </c>
      <c r="Q10" s="51">
        <v>4.55</v>
      </c>
    </row>
    <row r="11" spans="1:21" customFormat="1">
      <c r="A11" s="50" t="s">
        <v>158</v>
      </c>
      <c r="B11" s="51">
        <v>10.93</v>
      </c>
      <c r="C11" s="51">
        <v>22.45</v>
      </c>
      <c r="D11" s="51">
        <v>21.61</v>
      </c>
      <c r="E11" s="51">
        <v>8.59</v>
      </c>
      <c r="F11" s="51">
        <v>2.94</v>
      </c>
      <c r="G11" s="51">
        <v>62.41</v>
      </c>
      <c r="H11" s="51">
        <v>26.2</v>
      </c>
      <c r="I11" s="51">
        <v>7.23</v>
      </c>
      <c r="J11" s="51">
        <v>0.96</v>
      </c>
      <c r="K11" s="51">
        <v>47.78</v>
      </c>
      <c r="L11" s="51">
        <v>21.2</v>
      </c>
      <c r="M11" s="51">
        <v>90.2</v>
      </c>
      <c r="N11" s="51">
        <v>0</v>
      </c>
      <c r="O11" s="51">
        <v>0</v>
      </c>
      <c r="P11" s="51">
        <v>0.84</v>
      </c>
      <c r="Q11" s="51">
        <v>4.5599999999999996</v>
      </c>
    </row>
    <row r="12" spans="1:21" customFormat="1">
      <c r="A12" s="50" t="s">
        <v>159</v>
      </c>
      <c r="B12" s="51">
        <v>9.6</v>
      </c>
      <c r="C12" s="51">
        <v>23.63</v>
      </c>
      <c r="D12" s="51">
        <v>20.91</v>
      </c>
      <c r="E12" s="51">
        <v>8.4700000000000006</v>
      </c>
      <c r="F12" s="51">
        <v>3.06</v>
      </c>
      <c r="G12" s="51">
        <v>56.53</v>
      </c>
      <c r="H12" s="51">
        <v>26.2</v>
      </c>
      <c r="I12" s="51">
        <v>6.88</v>
      </c>
      <c r="J12" s="51">
        <v>0.98</v>
      </c>
      <c r="K12" s="51">
        <v>45.41</v>
      </c>
      <c r="L12" s="51">
        <v>20.3</v>
      </c>
      <c r="M12" s="51">
        <v>92.79</v>
      </c>
      <c r="N12" s="51">
        <v>0</v>
      </c>
      <c r="O12" s="51">
        <v>0</v>
      </c>
      <c r="P12" s="51">
        <v>0.82</v>
      </c>
      <c r="Q12" s="51">
        <v>4.55</v>
      </c>
    </row>
    <row r="13" spans="1:21" customFormat="1">
      <c r="A13" s="50" t="s">
        <v>160</v>
      </c>
      <c r="B13" s="51">
        <v>9.15</v>
      </c>
      <c r="C13" s="51">
        <v>24.27</v>
      </c>
      <c r="D13" s="51">
        <v>21.37</v>
      </c>
      <c r="E13" s="51">
        <v>8.94</v>
      </c>
      <c r="F13" s="51">
        <v>2.93</v>
      </c>
      <c r="G13" s="51">
        <v>52.08</v>
      </c>
      <c r="H13" s="51">
        <v>25.12</v>
      </c>
      <c r="I13" s="51">
        <v>6.43</v>
      </c>
      <c r="J13" s="51">
        <v>0.98</v>
      </c>
      <c r="K13" s="51">
        <v>47.45</v>
      </c>
      <c r="L13" s="51">
        <v>20.07</v>
      </c>
      <c r="M13" s="51">
        <v>95.55</v>
      </c>
      <c r="N13" s="51">
        <v>0</v>
      </c>
      <c r="O13" s="51">
        <v>0</v>
      </c>
      <c r="P13" s="51">
        <v>0.78</v>
      </c>
      <c r="Q13" s="51">
        <v>4.53</v>
      </c>
    </row>
    <row r="14" spans="1:21" customFormat="1">
      <c r="A14" s="50" t="s">
        <v>161</v>
      </c>
      <c r="B14" s="51">
        <v>10.39</v>
      </c>
      <c r="C14" s="51">
        <v>25.98</v>
      </c>
      <c r="D14" s="51">
        <v>23.26</v>
      </c>
      <c r="E14" s="51">
        <v>9.3000000000000007</v>
      </c>
      <c r="F14" s="51">
        <v>2.76</v>
      </c>
      <c r="G14" s="51">
        <v>46.36</v>
      </c>
      <c r="H14" s="51">
        <v>22.31</v>
      </c>
      <c r="I14" s="51">
        <v>6.14</v>
      </c>
      <c r="J14" s="51">
        <v>0.97</v>
      </c>
      <c r="K14" s="51">
        <v>49.99</v>
      </c>
      <c r="L14" s="51">
        <v>19.86</v>
      </c>
      <c r="M14" s="51">
        <v>95.83</v>
      </c>
      <c r="N14" s="51">
        <v>0</v>
      </c>
      <c r="O14" s="51">
        <v>0</v>
      </c>
      <c r="P14" s="51">
        <v>0.74</v>
      </c>
      <c r="Q14" s="51">
        <v>4.5999999999999996</v>
      </c>
    </row>
    <row r="15" spans="1:21" customFormat="1">
      <c r="A15" s="50" t="s">
        <v>162</v>
      </c>
      <c r="B15" s="51">
        <v>10.84</v>
      </c>
      <c r="C15" s="51">
        <v>26.23</v>
      </c>
      <c r="D15" s="51">
        <v>23.73</v>
      </c>
      <c r="E15" s="51">
        <v>9.17</v>
      </c>
      <c r="F15" s="51">
        <v>2.76</v>
      </c>
      <c r="G15" s="51">
        <v>41.93</v>
      </c>
      <c r="H15" s="51">
        <v>20.91</v>
      </c>
      <c r="I15" s="51">
        <v>5.92</v>
      </c>
      <c r="J15" s="51">
        <v>0.83</v>
      </c>
      <c r="K15" s="51">
        <v>57.16</v>
      </c>
      <c r="L15" s="51">
        <v>19.82</v>
      </c>
      <c r="M15" s="51">
        <v>97.2</v>
      </c>
      <c r="N15" s="51">
        <v>0</v>
      </c>
      <c r="O15" s="51">
        <v>0.4</v>
      </c>
      <c r="P15" s="51">
        <v>0.72</v>
      </c>
      <c r="Q15" s="51">
        <v>4.63</v>
      </c>
    </row>
    <row r="16" spans="1:21" customFormat="1">
      <c r="A16" s="50" t="s">
        <v>163</v>
      </c>
      <c r="B16" s="51">
        <v>11.25</v>
      </c>
      <c r="C16" s="51">
        <v>26.8</v>
      </c>
      <c r="D16" s="51">
        <v>24.37</v>
      </c>
      <c r="E16" s="51">
        <v>8.85</v>
      </c>
      <c r="F16" s="51">
        <v>2.81</v>
      </c>
      <c r="G16" s="51">
        <v>33.57</v>
      </c>
      <c r="H16" s="51">
        <v>19.41</v>
      </c>
      <c r="I16" s="51">
        <v>5.76</v>
      </c>
      <c r="J16" s="51">
        <v>1.1299999999999999</v>
      </c>
      <c r="K16" s="51">
        <v>46.33</v>
      </c>
      <c r="L16" s="51">
        <v>19.57</v>
      </c>
      <c r="M16" s="51">
        <v>98.56</v>
      </c>
      <c r="N16" s="51">
        <v>37.799999999999997</v>
      </c>
      <c r="O16" s="51">
        <v>0</v>
      </c>
      <c r="P16" s="51">
        <v>0.71</v>
      </c>
      <c r="Q16" s="51">
        <v>4.63</v>
      </c>
    </row>
    <row r="17" spans="1:17" customFormat="1">
      <c r="A17" s="50" t="s">
        <v>164</v>
      </c>
      <c r="B17" s="51">
        <v>12.36</v>
      </c>
      <c r="C17" s="51">
        <v>23.39</v>
      </c>
      <c r="D17" s="51">
        <v>23.08</v>
      </c>
      <c r="E17" s="51">
        <v>8.99</v>
      </c>
      <c r="F17" s="51">
        <v>3.28</v>
      </c>
      <c r="G17" s="51">
        <v>31.81</v>
      </c>
      <c r="H17" s="51">
        <v>16.2</v>
      </c>
      <c r="I17" s="51">
        <v>5.73</v>
      </c>
      <c r="J17" s="51">
        <v>1.0900000000000001</v>
      </c>
      <c r="K17" s="51">
        <v>57.84</v>
      </c>
      <c r="L17" s="51">
        <v>19.34</v>
      </c>
      <c r="M17" s="51">
        <v>96.91</v>
      </c>
      <c r="N17" s="51">
        <v>48.2</v>
      </c>
      <c r="O17" s="51">
        <v>0.2</v>
      </c>
      <c r="P17" s="51">
        <v>0.67</v>
      </c>
      <c r="Q17" s="51">
        <v>4.63</v>
      </c>
    </row>
    <row r="18" spans="1:17" customFormat="1">
      <c r="A18" s="50" t="s">
        <v>165</v>
      </c>
      <c r="B18" s="51">
        <v>13.08</v>
      </c>
      <c r="C18" s="51">
        <v>21.83</v>
      </c>
      <c r="D18" s="51">
        <v>23.06</v>
      </c>
      <c r="E18" s="51">
        <v>7.84</v>
      </c>
      <c r="F18" s="51">
        <v>2.78</v>
      </c>
      <c r="G18" s="51">
        <v>26.03</v>
      </c>
      <c r="H18" s="51">
        <v>14.43</v>
      </c>
      <c r="I18" s="51">
        <v>5.41</v>
      </c>
      <c r="J18" s="51">
        <v>0.94</v>
      </c>
      <c r="K18" s="51">
        <v>64.33</v>
      </c>
      <c r="L18" s="51">
        <v>19.16</v>
      </c>
      <c r="M18" s="51">
        <v>98.86</v>
      </c>
      <c r="N18" s="51">
        <v>44.5</v>
      </c>
      <c r="O18" s="51">
        <v>0.6</v>
      </c>
      <c r="P18" s="51">
        <v>0.62</v>
      </c>
      <c r="Q18" s="51">
        <v>4.63</v>
      </c>
    </row>
    <row r="19" spans="1:17" customFormat="1">
      <c r="A19" s="50" t="s">
        <v>166</v>
      </c>
      <c r="B19" s="51">
        <v>13.52</v>
      </c>
      <c r="C19" s="51">
        <v>21.63</v>
      </c>
      <c r="D19" s="51">
        <v>23.44</v>
      </c>
      <c r="E19" s="51">
        <v>6.64</v>
      </c>
      <c r="F19" s="51">
        <v>2.79</v>
      </c>
      <c r="G19" s="51">
        <v>21.85</v>
      </c>
      <c r="H19" s="51">
        <v>12.23</v>
      </c>
      <c r="I19" s="51">
        <v>5.12</v>
      </c>
      <c r="J19" s="51">
        <v>1.1399999999999999</v>
      </c>
      <c r="K19" s="51">
        <v>56.59</v>
      </c>
      <c r="L19" s="51">
        <v>19.25</v>
      </c>
      <c r="M19" s="51">
        <v>98.75</v>
      </c>
      <c r="N19" s="51">
        <v>101.8</v>
      </c>
      <c r="O19" s="51">
        <v>0</v>
      </c>
      <c r="P19" s="51">
        <v>0.61</v>
      </c>
      <c r="Q19" s="51">
        <v>4.6500000000000004</v>
      </c>
    </row>
    <row r="20" spans="1:17" customFormat="1">
      <c r="A20" s="50" t="s">
        <v>167</v>
      </c>
      <c r="B20" s="51">
        <v>13.86</v>
      </c>
      <c r="C20" s="51">
        <v>22.16</v>
      </c>
      <c r="D20" s="51">
        <v>24.04</v>
      </c>
      <c r="E20" s="51">
        <v>6.94</v>
      </c>
      <c r="F20" s="51">
        <v>2.8</v>
      </c>
      <c r="G20" s="51">
        <v>24.33</v>
      </c>
      <c r="H20" s="51">
        <v>10.37</v>
      </c>
      <c r="I20" s="51">
        <v>5.0199999999999996</v>
      </c>
      <c r="J20" s="51">
        <v>1.1299999999999999</v>
      </c>
      <c r="K20" s="51">
        <v>51.54</v>
      </c>
      <c r="L20" s="51">
        <v>19.2</v>
      </c>
      <c r="M20" s="51">
        <v>95.89</v>
      </c>
      <c r="N20" s="51">
        <v>63.6</v>
      </c>
      <c r="O20" s="51">
        <v>0</v>
      </c>
      <c r="P20" s="51">
        <v>0.59</v>
      </c>
      <c r="Q20" s="51">
        <v>4.66</v>
      </c>
    </row>
    <row r="21" spans="1:17" customFormat="1">
      <c r="A21" s="50" t="s">
        <v>168</v>
      </c>
      <c r="B21" s="51">
        <v>13.9</v>
      </c>
      <c r="C21" s="51">
        <v>22.2</v>
      </c>
      <c r="D21" s="51">
        <v>23.94</v>
      </c>
      <c r="E21" s="51">
        <v>6.77</v>
      </c>
      <c r="F21" s="51">
        <v>2.96</v>
      </c>
      <c r="G21" s="51">
        <v>24.33</v>
      </c>
      <c r="H21" s="51">
        <v>8.7899999999999991</v>
      </c>
      <c r="I21" s="51">
        <v>4.8499999999999996</v>
      </c>
      <c r="J21" s="51">
        <v>1.07</v>
      </c>
      <c r="K21" s="51">
        <v>50.88</v>
      </c>
      <c r="L21" s="51">
        <v>19.420000000000002</v>
      </c>
      <c r="M21" s="51">
        <v>92.74</v>
      </c>
      <c r="N21" s="51">
        <v>119.5</v>
      </c>
      <c r="O21" s="51">
        <v>0</v>
      </c>
      <c r="P21" s="51">
        <v>0.57999999999999996</v>
      </c>
      <c r="Q21" s="51">
        <v>4.6900000000000004</v>
      </c>
    </row>
    <row r="22" spans="1:17" customFormat="1">
      <c r="A22" s="50" t="s">
        <v>169</v>
      </c>
      <c r="B22" s="51">
        <v>14</v>
      </c>
      <c r="C22" s="51">
        <v>27.25</v>
      </c>
      <c r="D22" s="51">
        <v>25</v>
      </c>
      <c r="E22" s="51">
        <v>7.53</v>
      </c>
      <c r="F22" s="51">
        <v>3.39</v>
      </c>
      <c r="G22" s="51">
        <v>29</v>
      </c>
      <c r="H22" s="51">
        <v>10.53</v>
      </c>
      <c r="I22" s="51">
        <v>4.55</v>
      </c>
      <c r="J22" s="51">
        <v>1.08</v>
      </c>
      <c r="K22" s="51">
        <v>50.06</v>
      </c>
      <c r="L22" s="51">
        <v>19.63</v>
      </c>
      <c r="M22" s="51">
        <v>90.66</v>
      </c>
      <c r="N22" s="51">
        <v>64.099999999999994</v>
      </c>
      <c r="O22" s="51">
        <v>0</v>
      </c>
      <c r="P22" s="51">
        <v>0.57999999999999996</v>
      </c>
      <c r="Q22" s="51">
        <v>4.72</v>
      </c>
    </row>
    <row r="23" spans="1:17" customFormat="1">
      <c r="A23" s="50" t="s">
        <v>170</v>
      </c>
      <c r="B23" s="51">
        <v>11.47</v>
      </c>
      <c r="C23" s="51">
        <v>28.91</v>
      </c>
      <c r="D23" s="51">
        <v>25.5</v>
      </c>
      <c r="E23" s="51">
        <v>7.3</v>
      </c>
      <c r="F23" s="51">
        <v>2.99</v>
      </c>
      <c r="G23" s="51">
        <v>29</v>
      </c>
      <c r="H23" s="51">
        <v>10.53</v>
      </c>
      <c r="I23" s="51">
        <v>3.75</v>
      </c>
      <c r="J23" s="51">
        <v>1.1200000000000001</v>
      </c>
      <c r="K23" s="51">
        <v>45.67</v>
      </c>
      <c r="L23" s="51">
        <v>19.61</v>
      </c>
      <c r="M23" s="51">
        <v>88.4</v>
      </c>
      <c r="N23" s="51">
        <v>53.6</v>
      </c>
      <c r="O23" s="51">
        <v>0</v>
      </c>
      <c r="P23" s="51">
        <v>0.52</v>
      </c>
      <c r="Q23" s="51">
        <v>4.67</v>
      </c>
    </row>
    <row r="24" spans="1:17" customFormat="1">
      <c r="A24" s="50" t="s">
        <v>171</v>
      </c>
      <c r="B24" s="51">
        <v>12.49</v>
      </c>
      <c r="C24" s="51">
        <v>29.03</v>
      </c>
      <c r="D24" s="51">
        <v>26.53</v>
      </c>
      <c r="E24" s="51">
        <v>7.12</v>
      </c>
      <c r="F24" s="51">
        <v>3.03</v>
      </c>
      <c r="G24" s="51">
        <v>27.76</v>
      </c>
      <c r="H24" s="51">
        <v>10.09</v>
      </c>
      <c r="I24" s="51">
        <v>4.1399999999999997</v>
      </c>
      <c r="J24" s="51">
        <v>1.1000000000000001</v>
      </c>
      <c r="K24" s="51">
        <v>48.82</v>
      </c>
      <c r="L24" s="51">
        <v>19.38</v>
      </c>
      <c r="M24" s="51">
        <v>93.24</v>
      </c>
      <c r="N24" s="51">
        <v>42.9</v>
      </c>
      <c r="O24" s="51">
        <v>0</v>
      </c>
      <c r="P24" s="51">
        <v>0.52</v>
      </c>
      <c r="Q24" s="51">
        <v>4.71</v>
      </c>
    </row>
    <row r="25" spans="1:17" customFormat="1">
      <c r="A25" s="50" t="s">
        <v>172</v>
      </c>
      <c r="B25" s="51">
        <v>13.21</v>
      </c>
      <c r="C25" s="51">
        <v>28.93</v>
      </c>
      <c r="D25" s="51">
        <v>27.06</v>
      </c>
      <c r="E25" s="51">
        <v>7.4</v>
      </c>
      <c r="F25" s="51">
        <v>2.69</v>
      </c>
      <c r="G25" s="51">
        <v>29.41</v>
      </c>
      <c r="H25" s="51">
        <v>8.57</v>
      </c>
      <c r="I25" s="51">
        <v>4.16</v>
      </c>
      <c r="J25" s="51">
        <v>1</v>
      </c>
      <c r="K25" s="51">
        <v>51.2</v>
      </c>
      <c r="L25" s="51">
        <v>19.02</v>
      </c>
      <c r="M25" s="51">
        <v>93.63</v>
      </c>
      <c r="N25" s="51">
        <v>6.4</v>
      </c>
      <c r="O25" s="51">
        <v>0.2</v>
      </c>
      <c r="P25" s="51">
        <v>0.52</v>
      </c>
      <c r="Q25" s="51">
        <v>4.72</v>
      </c>
    </row>
    <row r="26" spans="1:17" customFormat="1">
      <c r="A26" s="50" t="s">
        <v>173</v>
      </c>
      <c r="B26" s="51">
        <v>16.690000000000001</v>
      </c>
      <c r="C26" s="51">
        <v>30.58</v>
      </c>
      <c r="D26" s="51">
        <v>29.64</v>
      </c>
      <c r="E26" s="51">
        <v>7.54</v>
      </c>
      <c r="F26" s="51">
        <v>2.72</v>
      </c>
      <c r="G26" s="51">
        <v>29.41</v>
      </c>
      <c r="H26" s="51">
        <v>9.86</v>
      </c>
      <c r="I26" s="51">
        <v>4.01</v>
      </c>
      <c r="J26" s="51">
        <v>0.7</v>
      </c>
      <c r="K26" s="51">
        <v>45.32</v>
      </c>
      <c r="L26" s="51">
        <v>18.600000000000001</v>
      </c>
      <c r="M26" s="51">
        <v>98.6</v>
      </c>
      <c r="N26" s="51">
        <v>0</v>
      </c>
      <c r="O26" s="51">
        <v>0.6</v>
      </c>
      <c r="P26" s="51">
        <v>0.52</v>
      </c>
      <c r="Q26" s="51">
        <v>4.82</v>
      </c>
    </row>
    <row r="27" spans="1:17" customFormat="1">
      <c r="A27" s="50" t="s">
        <v>174</v>
      </c>
      <c r="B27" s="51">
        <v>18.149999999999999</v>
      </c>
      <c r="C27" s="51">
        <v>25.23</v>
      </c>
      <c r="D27" s="51">
        <v>29.07</v>
      </c>
      <c r="E27" s="51">
        <v>7.4</v>
      </c>
      <c r="F27" s="51">
        <v>2.86</v>
      </c>
      <c r="G27" s="51">
        <v>27.11</v>
      </c>
      <c r="H27" s="51">
        <v>9.86</v>
      </c>
      <c r="I27" s="51">
        <v>4.03</v>
      </c>
      <c r="J27" s="51">
        <v>0.79</v>
      </c>
      <c r="K27" s="51">
        <v>56.53</v>
      </c>
      <c r="L27" s="51">
        <v>18.399999999999999</v>
      </c>
      <c r="M27" s="51">
        <v>98.72</v>
      </c>
      <c r="N27" s="51">
        <v>0</v>
      </c>
      <c r="O27" s="51">
        <v>0</v>
      </c>
      <c r="P27" s="51">
        <v>0.49</v>
      </c>
      <c r="Q27" s="51">
        <v>4.8499999999999996</v>
      </c>
    </row>
    <row r="28" spans="1:17" customFormat="1">
      <c r="A28" s="50" t="s">
        <v>175</v>
      </c>
      <c r="B28" s="51">
        <v>17.989999999999998</v>
      </c>
      <c r="C28" s="51">
        <v>24.54</v>
      </c>
      <c r="D28" s="51">
        <v>28.44</v>
      </c>
      <c r="E28" s="51">
        <v>7.06</v>
      </c>
      <c r="F28" s="51">
        <v>2.73</v>
      </c>
      <c r="G28" s="51">
        <v>23.9</v>
      </c>
      <c r="H28" s="51">
        <v>9.25</v>
      </c>
      <c r="I28" s="51">
        <v>3.94</v>
      </c>
      <c r="J28" s="51">
        <v>0.76</v>
      </c>
      <c r="K28" s="51">
        <v>57.56</v>
      </c>
      <c r="L28" s="51">
        <v>18.43</v>
      </c>
      <c r="M28" s="51">
        <v>98.38</v>
      </c>
      <c r="N28" s="51">
        <v>0</v>
      </c>
      <c r="O28" s="51">
        <v>0</v>
      </c>
      <c r="P28" s="51">
        <v>0.49</v>
      </c>
      <c r="Q28" s="51">
        <v>4.79</v>
      </c>
    </row>
    <row r="29" spans="1:17" customFormat="1">
      <c r="A29" s="50" t="s">
        <v>176</v>
      </c>
      <c r="B29" s="51">
        <v>17.989999999999998</v>
      </c>
      <c r="C29" s="51">
        <v>23.63</v>
      </c>
      <c r="D29" s="51">
        <v>28.08</v>
      </c>
      <c r="E29" s="51">
        <v>7.21</v>
      </c>
      <c r="F29" s="51">
        <v>2.87</v>
      </c>
      <c r="G29" s="51">
        <v>18.8</v>
      </c>
      <c r="H29" s="51">
        <v>8.5500000000000007</v>
      </c>
      <c r="I29" s="51">
        <v>3.85</v>
      </c>
      <c r="J29" s="51">
        <v>0.82</v>
      </c>
      <c r="K29" s="51">
        <v>60.98</v>
      </c>
      <c r="L29" s="51">
        <v>18.57</v>
      </c>
      <c r="M29" s="51">
        <v>96.75</v>
      </c>
      <c r="N29" s="51">
        <v>0</v>
      </c>
      <c r="O29" s="51">
        <v>0</v>
      </c>
      <c r="P29" s="51">
        <v>0.48</v>
      </c>
      <c r="Q29" s="51">
        <v>4.8</v>
      </c>
    </row>
    <row r="30" spans="1:17" customFormat="1">
      <c r="A30" s="50" t="s">
        <v>177</v>
      </c>
      <c r="B30" s="51">
        <v>17.93</v>
      </c>
      <c r="C30" s="51">
        <v>22.85</v>
      </c>
      <c r="D30" s="51">
        <v>27.5</v>
      </c>
      <c r="E30" s="51">
        <v>7.09</v>
      </c>
      <c r="F30" s="51">
        <v>2.86</v>
      </c>
      <c r="G30" s="51">
        <v>22.64</v>
      </c>
      <c r="H30" s="51">
        <v>8.5500000000000007</v>
      </c>
      <c r="I30" s="51">
        <v>3.72</v>
      </c>
      <c r="J30" s="51">
        <v>0.7</v>
      </c>
      <c r="K30" s="51">
        <v>57.34</v>
      </c>
      <c r="L30" s="51">
        <v>18.75</v>
      </c>
      <c r="M30" s="51">
        <v>95.85</v>
      </c>
      <c r="N30" s="51">
        <v>0</v>
      </c>
      <c r="O30" s="51">
        <v>0.2</v>
      </c>
      <c r="P30" s="51">
        <v>0.47</v>
      </c>
      <c r="Q30" s="51">
        <v>4.8</v>
      </c>
    </row>
    <row r="31" spans="1:17" customFormat="1">
      <c r="A31" s="50" t="s">
        <v>178</v>
      </c>
      <c r="B31" s="51">
        <v>17.850000000000001</v>
      </c>
      <c r="C31" s="51">
        <v>22.15</v>
      </c>
      <c r="D31" s="51">
        <v>27.23</v>
      </c>
      <c r="E31" s="51">
        <v>6.89</v>
      </c>
      <c r="F31" s="51">
        <v>2.76</v>
      </c>
      <c r="G31" s="51">
        <v>23.42</v>
      </c>
      <c r="H31" s="51">
        <v>8.74</v>
      </c>
      <c r="I31" s="51">
        <v>3.62</v>
      </c>
      <c r="J31" s="51">
        <v>0.78</v>
      </c>
      <c r="K31" s="51">
        <v>54.57</v>
      </c>
      <c r="L31" s="51">
        <v>18.86</v>
      </c>
      <c r="M31" s="51">
        <v>95.71</v>
      </c>
      <c r="N31" s="51">
        <v>0</v>
      </c>
      <c r="O31" s="51">
        <v>0</v>
      </c>
      <c r="P31" s="51">
        <v>0.47</v>
      </c>
      <c r="Q31" s="51">
        <v>4.79</v>
      </c>
    </row>
    <row r="32" spans="1:17" customFormat="1">
      <c r="A32" s="50" t="s">
        <v>179</v>
      </c>
      <c r="B32" s="51">
        <v>17.37</v>
      </c>
      <c r="C32" s="51">
        <v>22.91</v>
      </c>
      <c r="D32" s="51">
        <v>26.95</v>
      </c>
      <c r="E32" s="51">
        <v>7.27</v>
      </c>
      <c r="F32" s="51">
        <v>2.85</v>
      </c>
      <c r="G32" s="51">
        <v>25.53</v>
      </c>
      <c r="H32" s="51">
        <v>8.74</v>
      </c>
      <c r="I32" s="51">
        <v>3.47</v>
      </c>
      <c r="J32" s="51">
        <v>0.74</v>
      </c>
      <c r="K32" s="51">
        <v>52.51</v>
      </c>
      <c r="L32" s="51">
        <v>18.82</v>
      </c>
      <c r="M32" s="51">
        <v>95.26</v>
      </c>
      <c r="N32" s="51">
        <v>0</v>
      </c>
      <c r="O32" s="51">
        <v>0</v>
      </c>
      <c r="P32" s="51">
        <v>0.47</v>
      </c>
      <c r="Q32" s="51">
        <v>4.78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9.15</v>
      </c>
      <c r="C34" s="41">
        <f t="shared" si="0"/>
        <v>21.63</v>
      </c>
      <c r="D34" s="41">
        <f t="shared" si="0"/>
        <v>20.91</v>
      </c>
      <c r="E34" s="41">
        <f t="shared" si="0"/>
        <v>6.64</v>
      </c>
      <c r="F34" s="41">
        <f t="shared" si="0"/>
        <v>2.69</v>
      </c>
      <c r="G34" s="41">
        <f t="shared" si="0"/>
        <v>18.8</v>
      </c>
      <c r="H34" s="41">
        <f t="shared" si="0"/>
        <v>8.5500000000000007</v>
      </c>
      <c r="I34" s="41">
        <f t="shared" si="0"/>
        <v>3.47</v>
      </c>
      <c r="J34" s="41">
        <f t="shared" si="0"/>
        <v>0.7</v>
      </c>
      <c r="K34" s="41">
        <f t="shared" si="0"/>
        <v>45.32</v>
      </c>
      <c r="L34" s="41">
        <f t="shared" si="0"/>
        <v>18.399999999999999</v>
      </c>
      <c r="M34" s="41">
        <f t="shared" si="0"/>
        <v>81.92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4.53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18.149999999999999</v>
      </c>
      <c r="C35" s="33">
        <f t="shared" si="1"/>
        <v>30.58</v>
      </c>
      <c r="D35" s="33">
        <f t="shared" si="1"/>
        <v>29.64</v>
      </c>
      <c r="E35" s="33">
        <f t="shared" si="1"/>
        <v>9.3000000000000007</v>
      </c>
      <c r="F35" s="33">
        <f t="shared" si="1"/>
        <v>3.39</v>
      </c>
      <c r="G35" s="33">
        <f t="shared" si="1"/>
        <v>72.12</v>
      </c>
      <c r="H35" s="33">
        <f t="shared" si="1"/>
        <v>29.58</v>
      </c>
      <c r="I35" s="33">
        <f t="shared" si="1"/>
        <v>7.87</v>
      </c>
      <c r="J35" s="33">
        <f t="shared" si="1"/>
        <v>1.1399999999999999</v>
      </c>
      <c r="K35" s="33">
        <f t="shared" si="1"/>
        <v>64.33</v>
      </c>
      <c r="L35" s="33">
        <f t="shared" si="1"/>
        <v>21.82</v>
      </c>
      <c r="M35" s="33">
        <f t="shared" si="1"/>
        <v>98.86</v>
      </c>
      <c r="N35" s="33">
        <f t="shared" si="1"/>
        <v>119.5</v>
      </c>
      <c r="O35" s="33">
        <f t="shared" si="1"/>
        <v>0.6</v>
      </c>
      <c r="P35" s="33">
        <f t="shared" si="1"/>
        <v>0.93</v>
      </c>
      <c r="Q35" s="33">
        <f t="shared" si="1"/>
        <v>4.8499999999999996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13.593333333333335</v>
      </c>
      <c r="C36" s="41">
        <f t="shared" si="2"/>
        <v>24.741666666666671</v>
      </c>
      <c r="D36" s="41">
        <f t="shared" si="2"/>
        <v>24.94541666666667</v>
      </c>
      <c r="E36" s="41">
        <f t="shared" si="2"/>
        <v>7.71</v>
      </c>
      <c r="F36" s="41">
        <f t="shared" si="2"/>
        <v>2.8987499999999997</v>
      </c>
      <c r="G36" s="41">
        <f t="shared" si="2"/>
        <v>35.446666666666665</v>
      </c>
      <c r="H36" s="41">
        <f t="shared" si="2"/>
        <v>15.191666666666665</v>
      </c>
      <c r="I36" s="41">
        <f t="shared" si="2"/>
        <v>5.1320833333333331</v>
      </c>
      <c r="J36" s="41">
        <f t="shared" si="2"/>
        <v>0.93166666666666664</v>
      </c>
      <c r="K36" s="41">
        <f t="shared" si="2"/>
        <v>52.236666666666672</v>
      </c>
      <c r="L36" s="41">
        <f t="shared" si="2"/>
        <v>19.524166666666666</v>
      </c>
      <c r="M36" s="41">
        <f t="shared" si="2"/>
        <v>94.366250000000022</v>
      </c>
      <c r="N36" s="41">
        <f t="shared" si="2"/>
        <v>24.266666666666666</v>
      </c>
      <c r="O36" s="41">
        <f t="shared" si="2"/>
        <v>9.1666666666666674E-2</v>
      </c>
      <c r="P36" s="41">
        <f t="shared" si="2"/>
        <v>0.62625000000000008</v>
      </c>
      <c r="Q36" s="41">
        <f t="shared" si="2"/>
        <v>4.6808333333333332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2.997476716617935</v>
      </c>
      <c r="C37" s="41">
        <f t="shared" ref="C37:Q37" si="3">STDEV(C9:C32)</f>
        <v>2.6438421755610215</v>
      </c>
      <c r="D37" s="41">
        <f t="shared" si="3"/>
        <v>2.5784929524427449</v>
      </c>
      <c r="E37" s="41">
        <f t="shared" si="3"/>
        <v>0.834880881896641</v>
      </c>
      <c r="F37" s="41">
        <f t="shared" si="3"/>
        <v>0.17433881305988716</v>
      </c>
      <c r="G37" s="41">
        <f t="shared" si="3"/>
        <v>15.99681100466093</v>
      </c>
      <c r="H37" s="41">
        <f t="shared" si="3"/>
        <v>7.5403648087659176</v>
      </c>
      <c r="I37" s="41">
        <f t="shared" si="3"/>
        <v>1.3496891080562956</v>
      </c>
      <c r="J37" s="41">
        <f t="shared" si="3"/>
        <v>0.15614003376753557</v>
      </c>
      <c r="K37" s="41">
        <f t="shared" si="3"/>
        <v>5.2811474927877722</v>
      </c>
      <c r="L37" s="41">
        <f t="shared" si="3"/>
        <v>0.92073655140954291</v>
      </c>
      <c r="M37" s="41">
        <f t="shared" si="3"/>
        <v>4.5152291217316662</v>
      </c>
      <c r="N37" s="41">
        <f t="shared" si="3"/>
        <v>35.60105844379968</v>
      </c>
      <c r="O37" s="41">
        <f t="shared" si="3"/>
        <v>0.18630658852422863</v>
      </c>
      <c r="P37" s="41">
        <f t="shared" si="3"/>
        <v>0.14478807601636878</v>
      </c>
      <c r="Q37" s="41">
        <f t="shared" si="3"/>
        <v>9.6500356686267372E-2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180</v>
      </c>
      <c r="B9" s="51">
        <v>16.45</v>
      </c>
      <c r="C9" s="51">
        <v>23.41</v>
      </c>
      <c r="D9" s="51">
        <v>26.54</v>
      </c>
      <c r="E9" s="51">
        <v>7.54</v>
      </c>
      <c r="F9" s="51">
        <v>2.77</v>
      </c>
      <c r="G9" s="51">
        <v>25.53</v>
      </c>
      <c r="H9" s="51">
        <v>7.88</v>
      </c>
      <c r="I9" s="51">
        <v>3.25</v>
      </c>
      <c r="J9" s="51">
        <v>0.85</v>
      </c>
      <c r="K9" s="51">
        <v>52.76</v>
      </c>
      <c r="L9" s="51">
        <v>18.78</v>
      </c>
      <c r="M9" s="51">
        <v>94.76</v>
      </c>
      <c r="N9" s="51">
        <v>0</v>
      </c>
      <c r="O9" s="51">
        <v>0</v>
      </c>
      <c r="P9" s="51">
        <v>0.45</v>
      </c>
      <c r="Q9" s="51">
        <v>4.7699999999999996</v>
      </c>
    </row>
    <row r="10" spans="1:21" customFormat="1">
      <c r="A10" s="50" t="s">
        <v>181</v>
      </c>
      <c r="B10" s="51">
        <v>15.99</v>
      </c>
      <c r="C10" s="51">
        <v>23.66</v>
      </c>
      <c r="D10" s="51">
        <v>26.54</v>
      </c>
      <c r="E10" s="51">
        <v>7.09</v>
      </c>
      <c r="F10" s="51">
        <v>2.78</v>
      </c>
      <c r="G10" s="51">
        <v>25.01</v>
      </c>
      <c r="H10" s="51">
        <v>7.88</v>
      </c>
      <c r="I10" s="51">
        <v>3.11</v>
      </c>
      <c r="J10" s="51">
        <v>0.75</v>
      </c>
      <c r="K10" s="51">
        <v>49.01</v>
      </c>
      <c r="L10" s="51">
        <v>18.79</v>
      </c>
      <c r="M10" s="51">
        <v>94.57</v>
      </c>
      <c r="N10" s="51">
        <v>0</v>
      </c>
      <c r="O10" s="51">
        <v>0</v>
      </c>
      <c r="P10" s="51">
        <v>0.44</v>
      </c>
      <c r="Q10" s="51">
        <v>4.76</v>
      </c>
    </row>
    <row r="11" spans="1:21" customFormat="1">
      <c r="A11" s="50" t="s">
        <v>182</v>
      </c>
      <c r="B11" s="51">
        <v>15.59</v>
      </c>
      <c r="C11" s="51">
        <v>23.43</v>
      </c>
      <c r="D11" s="51">
        <v>26.09</v>
      </c>
      <c r="E11" s="51">
        <v>6.96</v>
      </c>
      <c r="F11" s="51">
        <v>2.71</v>
      </c>
      <c r="G11" s="51">
        <v>21.94</v>
      </c>
      <c r="H11" s="51">
        <v>5.83</v>
      </c>
      <c r="I11" s="51">
        <v>2.96</v>
      </c>
      <c r="J11" s="51">
        <v>0.89</v>
      </c>
      <c r="K11" s="51">
        <v>49.78</v>
      </c>
      <c r="L11" s="51">
        <v>18.75</v>
      </c>
      <c r="M11" s="51">
        <v>95.45</v>
      </c>
      <c r="N11" s="51">
        <v>0</v>
      </c>
      <c r="O11" s="51">
        <v>0</v>
      </c>
      <c r="P11" s="51">
        <v>0.43</v>
      </c>
      <c r="Q11" s="51">
        <v>4.76</v>
      </c>
    </row>
    <row r="12" spans="1:21" customFormat="1">
      <c r="A12" s="50" t="s">
        <v>183</v>
      </c>
      <c r="B12" s="51">
        <v>15.12</v>
      </c>
      <c r="C12" s="51">
        <v>23.99</v>
      </c>
      <c r="D12" s="51">
        <v>25.72</v>
      </c>
      <c r="E12" s="51">
        <v>6.96</v>
      </c>
      <c r="F12" s="51">
        <v>2.94</v>
      </c>
      <c r="G12" s="51">
        <v>20.47</v>
      </c>
      <c r="H12" s="51">
        <v>4.3099999999999996</v>
      </c>
      <c r="I12" s="51">
        <v>2.8</v>
      </c>
      <c r="J12" s="51">
        <v>0.92</v>
      </c>
      <c r="K12" s="51">
        <v>43.72</v>
      </c>
      <c r="L12" s="51">
        <v>18.7</v>
      </c>
      <c r="M12" s="51">
        <v>95.06</v>
      </c>
      <c r="N12" s="51">
        <v>0</v>
      </c>
      <c r="O12" s="51">
        <v>0</v>
      </c>
      <c r="P12" s="51">
        <v>0.41</v>
      </c>
      <c r="Q12" s="51">
        <v>4.76</v>
      </c>
    </row>
    <row r="13" spans="1:21" customFormat="1">
      <c r="A13" s="50" t="s">
        <v>184</v>
      </c>
      <c r="B13" s="51">
        <v>15.44</v>
      </c>
      <c r="C13" s="51">
        <v>20.94</v>
      </c>
      <c r="D13" s="51">
        <v>24.54</v>
      </c>
      <c r="E13" s="51">
        <v>6.59</v>
      </c>
      <c r="F13" s="51">
        <v>2.93</v>
      </c>
      <c r="G13" s="51">
        <v>18.63</v>
      </c>
      <c r="H13" s="51">
        <v>3.5</v>
      </c>
      <c r="I13" s="51">
        <v>2.75</v>
      </c>
      <c r="J13" s="51">
        <v>1</v>
      </c>
      <c r="K13" s="51">
        <v>44.78</v>
      </c>
      <c r="L13" s="51">
        <v>18.71</v>
      </c>
      <c r="M13" s="51">
        <v>94.57</v>
      </c>
      <c r="N13" s="51">
        <v>0</v>
      </c>
      <c r="O13" s="51">
        <v>0</v>
      </c>
      <c r="P13" s="51">
        <v>0.38</v>
      </c>
      <c r="Q13" s="51">
        <v>4.71</v>
      </c>
    </row>
    <row r="14" spans="1:21" customFormat="1">
      <c r="A14" s="50" t="s">
        <v>185</v>
      </c>
      <c r="B14" s="51">
        <v>15.76</v>
      </c>
      <c r="C14" s="51">
        <v>20.66</v>
      </c>
      <c r="D14" s="51">
        <v>24.69</v>
      </c>
      <c r="E14" s="51">
        <v>6.42</v>
      </c>
      <c r="F14" s="51">
        <v>2.8</v>
      </c>
      <c r="G14" s="51">
        <v>18.63</v>
      </c>
      <c r="H14" s="51">
        <v>6.39</v>
      </c>
      <c r="I14" s="51">
        <v>2.7</v>
      </c>
      <c r="J14" s="51">
        <v>0.74</v>
      </c>
      <c r="K14" s="51">
        <v>57.98</v>
      </c>
      <c r="L14" s="51">
        <v>18.760000000000002</v>
      </c>
      <c r="M14" s="51">
        <v>94.13</v>
      </c>
      <c r="N14" s="51">
        <v>0</v>
      </c>
      <c r="O14" s="51">
        <v>0</v>
      </c>
      <c r="P14" s="51">
        <v>0.36</v>
      </c>
      <c r="Q14" s="51">
        <v>4.7</v>
      </c>
    </row>
    <row r="15" spans="1:21" customFormat="1">
      <c r="A15" s="50" t="s">
        <v>186</v>
      </c>
      <c r="B15" s="51">
        <v>16.12</v>
      </c>
      <c r="C15" s="51">
        <v>20.9</v>
      </c>
      <c r="D15" s="51">
        <v>25</v>
      </c>
      <c r="E15" s="51">
        <v>6.34</v>
      </c>
      <c r="F15" s="51">
        <v>2.84</v>
      </c>
      <c r="G15" s="51">
        <v>16.47</v>
      </c>
      <c r="H15" s="51">
        <v>6.39</v>
      </c>
      <c r="I15" s="51">
        <v>2.7</v>
      </c>
      <c r="J15" s="51">
        <v>0.83</v>
      </c>
      <c r="K15" s="51">
        <v>52.98</v>
      </c>
      <c r="L15" s="51">
        <v>18.760000000000002</v>
      </c>
      <c r="M15" s="51">
        <v>96</v>
      </c>
      <c r="N15" s="51">
        <v>2</v>
      </c>
      <c r="O15" s="51">
        <v>0</v>
      </c>
      <c r="P15" s="51">
        <v>0.36</v>
      </c>
      <c r="Q15" s="51">
        <v>4.71</v>
      </c>
    </row>
    <row r="16" spans="1:21" customFormat="1">
      <c r="A16" s="50" t="s">
        <v>187</v>
      </c>
      <c r="B16" s="51">
        <v>16.82</v>
      </c>
      <c r="C16" s="51">
        <v>20.75</v>
      </c>
      <c r="D16" s="51">
        <v>25.55</v>
      </c>
      <c r="E16" s="51">
        <v>6.2</v>
      </c>
      <c r="F16" s="51">
        <v>2.83</v>
      </c>
      <c r="G16" s="51">
        <v>15.94</v>
      </c>
      <c r="H16" s="51">
        <v>5.75</v>
      </c>
      <c r="I16" s="51">
        <v>2.78</v>
      </c>
      <c r="J16" s="51">
        <v>0.9</v>
      </c>
      <c r="K16" s="51">
        <v>53.81</v>
      </c>
      <c r="L16" s="51">
        <v>18.95</v>
      </c>
      <c r="M16" s="51">
        <v>96.09</v>
      </c>
      <c r="N16" s="51">
        <v>15.6</v>
      </c>
      <c r="O16" s="51">
        <v>0</v>
      </c>
      <c r="P16" s="51">
        <v>0.37</v>
      </c>
      <c r="Q16" s="51">
        <v>4.7300000000000004</v>
      </c>
    </row>
    <row r="17" spans="1:17" customFormat="1">
      <c r="A17" s="50" t="s">
        <v>188</v>
      </c>
      <c r="B17" s="51">
        <v>17.059999999999999</v>
      </c>
      <c r="C17" s="51">
        <v>20.74</v>
      </c>
      <c r="D17" s="51">
        <v>25.87</v>
      </c>
      <c r="E17" s="51">
        <v>6.2</v>
      </c>
      <c r="F17" s="51">
        <v>2.76</v>
      </c>
      <c r="G17" s="51">
        <v>16.93</v>
      </c>
      <c r="H17" s="51">
        <v>4.5599999999999996</v>
      </c>
      <c r="I17" s="51">
        <v>2.81</v>
      </c>
      <c r="J17" s="51">
        <v>0.89</v>
      </c>
      <c r="K17" s="51">
        <v>52.74</v>
      </c>
      <c r="L17" s="51">
        <v>19.440000000000001</v>
      </c>
      <c r="M17" s="51">
        <v>92.41</v>
      </c>
      <c r="N17" s="51">
        <v>48.2</v>
      </c>
      <c r="O17" s="51">
        <v>0</v>
      </c>
      <c r="P17" s="51">
        <v>0.39</v>
      </c>
      <c r="Q17" s="51">
        <v>4.76</v>
      </c>
    </row>
    <row r="18" spans="1:17" customFormat="1">
      <c r="A18" s="50" t="s">
        <v>189</v>
      </c>
      <c r="B18" s="51">
        <v>16.850000000000001</v>
      </c>
      <c r="C18" s="51">
        <v>21.88</v>
      </c>
      <c r="D18" s="51">
        <v>25.87</v>
      </c>
      <c r="E18" s="51">
        <v>6.41</v>
      </c>
      <c r="F18" s="51">
        <v>2.93</v>
      </c>
      <c r="G18" s="51">
        <v>17.55</v>
      </c>
      <c r="H18" s="51">
        <v>4.5599999999999996</v>
      </c>
      <c r="I18" s="51">
        <v>2.8</v>
      </c>
      <c r="J18" s="51">
        <v>0.92</v>
      </c>
      <c r="K18" s="51">
        <v>58.83</v>
      </c>
      <c r="L18" s="51">
        <v>19.940000000000001</v>
      </c>
      <c r="M18" s="51">
        <v>89.3</v>
      </c>
      <c r="N18" s="51">
        <v>101.4</v>
      </c>
      <c r="O18" s="51">
        <v>0</v>
      </c>
      <c r="P18" s="51">
        <v>0.43</v>
      </c>
      <c r="Q18" s="51">
        <v>4.76</v>
      </c>
    </row>
    <row r="19" spans="1:17" customFormat="1">
      <c r="A19" s="50" t="s">
        <v>190</v>
      </c>
      <c r="B19" s="51">
        <v>16.760000000000002</v>
      </c>
      <c r="C19" s="51">
        <v>22.88</v>
      </c>
      <c r="D19" s="51">
        <v>26.74</v>
      </c>
      <c r="E19" s="51">
        <v>8.26</v>
      </c>
      <c r="F19" s="51">
        <v>2.7</v>
      </c>
      <c r="G19" s="51">
        <v>20.14</v>
      </c>
      <c r="H19" s="51">
        <v>4.46</v>
      </c>
      <c r="I19" s="51">
        <v>2.9</v>
      </c>
      <c r="J19" s="51">
        <v>0.91</v>
      </c>
      <c r="K19" s="51">
        <v>53.78</v>
      </c>
      <c r="L19" s="51">
        <v>20.2</v>
      </c>
      <c r="M19" s="51">
        <v>88.85</v>
      </c>
      <c r="N19" s="51">
        <v>78.7</v>
      </c>
      <c r="O19" s="51">
        <v>0</v>
      </c>
      <c r="P19" s="51">
        <v>0.45</v>
      </c>
      <c r="Q19" s="51">
        <v>4.76</v>
      </c>
    </row>
    <row r="20" spans="1:17" customFormat="1">
      <c r="A20" s="50" t="s">
        <v>191</v>
      </c>
      <c r="B20" s="51">
        <v>17.32</v>
      </c>
      <c r="C20" s="51">
        <v>24.22</v>
      </c>
      <c r="D20" s="51">
        <v>27.88</v>
      </c>
      <c r="E20" s="51">
        <v>8.5500000000000007</v>
      </c>
      <c r="F20" s="51">
        <v>2.73</v>
      </c>
      <c r="G20" s="51">
        <v>24.9</v>
      </c>
      <c r="H20" s="51">
        <v>6.85</v>
      </c>
      <c r="I20" s="51">
        <v>3</v>
      </c>
      <c r="J20" s="51">
        <v>0.94</v>
      </c>
      <c r="K20" s="51">
        <v>64.84</v>
      </c>
      <c r="L20" s="51">
        <v>20.6</v>
      </c>
      <c r="M20" s="51">
        <v>88.24</v>
      </c>
      <c r="N20" s="51">
        <v>69.400000000000006</v>
      </c>
      <c r="O20" s="51">
        <v>0</v>
      </c>
      <c r="P20" s="51">
        <v>0.48</v>
      </c>
      <c r="Q20" s="51">
        <v>4.82</v>
      </c>
    </row>
    <row r="21" spans="1:17" customFormat="1">
      <c r="A21" s="50" t="s">
        <v>192</v>
      </c>
      <c r="B21" s="51">
        <v>17.190000000000001</v>
      </c>
      <c r="C21" s="51">
        <v>24.58</v>
      </c>
      <c r="D21" s="51">
        <v>27.71</v>
      </c>
      <c r="E21" s="51">
        <v>9.01</v>
      </c>
      <c r="F21" s="51">
        <v>2.84</v>
      </c>
      <c r="G21" s="51">
        <v>26.53</v>
      </c>
      <c r="H21" s="51">
        <v>7.81</v>
      </c>
      <c r="I21" s="51">
        <v>3.06</v>
      </c>
      <c r="J21" s="51">
        <v>0.79</v>
      </c>
      <c r="K21" s="51">
        <v>74.14</v>
      </c>
      <c r="L21" s="51">
        <v>20.61</v>
      </c>
      <c r="M21" s="51">
        <v>84.68</v>
      </c>
      <c r="N21" s="51">
        <v>32</v>
      </c>
      <c r="O21" s="51">
        <v>0</v>
      </c>
      <c r="P21" s="51">
        <v>0.5</v>
      </c>
      <c r="Q21" s="51">
        <v>4.8</v>
      </c>
    </row>
    <row r="22" spans="1:17" customFormat="1">
      <c r="A22" s="50" t="s">
        <v>193</v>
      </c>
      <c r="B22" s="51">
        <v>15.48</v>
      </c>
      <c r="C22" s="51">
        <v>25.46</v>
      </c>
      <c r="D22" s="51">
        <v>26.83</v>
      </c>
      <c r="E22" s="51">
        <v>8.84</v>
      </c>
      <c r="F22" s="51">
        <v>3.05</v>
      </c>
      <c r="G22" s="51">
        <v>26.53</v>
      </c>
      <c r="H22" s="51">
        <v>7.81</v>
      </c>
      <c r="I22" s="51">
        <v>3.12</v>
      </c>
      <c r="J22" s="51">
        <v>0.82</v>
      </c>
      <c r="K22" s="51">
        <v>62.02</v>
      </c>
      <c r="L22" s="51">
        <v>20.52</v>
      </c>
      <c r="M22" s="51">
        <v>86.78</v>
      </c>
      <c r="N22" s="51">
        <v>62</v>
      </c>
      <c r="O22" s="51">
        <v>0</v>
      </c>
      <c r="P22" s="51">
        <v>0.5</v>
      </c>
      <c r="Q22" s="51">
        <v>4.7699999999999996</v>
      </c>
    </row>
    <row r="23" spans="1:17" customFormat="1">
      <c r="A23" s="50" t="s">
        <v>194</v>
      </c>
      <c r="B23" s="51">
        <v>15.36</v>
      </c>
      <c r="C23" s="51">
        <v>20.65</v>
      </c>
      <c r="D23" s="51">
        <v>24.19</v>
      </c>
      <c r="E23" s="51">
        <v>8.15</v>
      </c>
      <c r="F23" s="51">
        <v>3.1</v>
      </c>
      <c r="G23" s="51">
        <v>24.85</v>
      </c>
      <c r="H23" s="51">
        <v>6.92</v>
      </c>
      <c r="I23" s="51">
        <v>3.16</v>
      </c>
      <c r="J23" s="51">
        <v>0.73</v>
      </c>
      <c r="K23" s="51">
        <v>64.06</v>
      </c>
      <c r="L23" s="51">
        <v>20.07</v>
      </c>
      <c r="M23" s="51">
        <v>92.65</v>
      </c>
      <c r="N23" s="51">
        <v>45.3</v>
      </c>
      <c r="O23" s="51">
        <v>0</v>
      </c>
      <c r="P23" s="51">
        <v>0.47</v>
      </c>
      <c r="Q23" s="51">
        <v>4.74</v>
      </c>
    </row>
    <row r="24" spans="1:17" customFormat="1">
      <c r="A24" s="50" t="s">
        <v>195</v>
      </c>
      <c r="B24" s="51">
        <v>15.14</v>
      </c>
      <c r="C24" s="51">
        <v>20.97</v>
      </c>
      <c r="D24" s="51">
        <v>24.41</v>
      </c>
      <c r="E24" s="51">
        <v>8.26</v>
      </c>
      <c r="F24" s="51">
        <v>2.87</v>
      </c>
      <c r="G24" s="51">
        <v>22.96</v>
      </c>
      <c r="H24" s="51">
        <v>6.92</v>
      </c>
      <c r="I24" s="51">
        <v>3.18</v>
      </c>
      <c r="J24" s="51">
        <v>0.72</v>
      </c>
      <c r="K24" s="51">
        <v>66.36</v>
      </c>
      <c r="L24" s="51">
        <v>19.78</v>
      </c>
      <c r="M24" s="51">
        <v>92.84</v>
      </c>
      <c r="N24" s="51">
        <v>29.3</v>
      </c>
      <c r="O24" s="51">
        <v>0</v>
      </c>
      <c r="P24" s="51">
        <v>0.47</v>
      </c>
      <c r="Q24" s="51">
        <v>4.68</v>
      </c>
    </row>
    <row r="25" spans="1:17" customFormat="1">
      <c r="A25" s="50" t="s">
        <v>196</v>
      </c>
      <c r="B25" s="51">
        <v>15.08</v>
      </c>
      <c r="C25" s="51">
        <v>20.6</v>
      </c>
      <c r="D25" s="51">
        <v>24</v>
      </c>
      <c r="E25" s="51">
        <v>8.2100000000000009</v>
      </c>
      <c r="F25" s="51">
        <v>2.89</v>
      </c>
      <c r="G25" s="51">
        <v>22.96</v>
      </c>
      <c r="H25" s="51">
        <v>7.36</v>
      </c>
      <c r="I25" s="51">
        <v>3.21</v>
      </c>
      <c r="J25" s="51">
        <v>0.85</v>
      </c>
      <c r="K25" s="51">
        <v>54.83</v>
      </c>
      <c r="L25" s="51">
        <v>19.71</v>
      </c>
      <c r="M25" s="51">
        <v>94.33</v>
      </c>
      <c r="N25" s="51">
        <v>5.9</v>
      </c>
      <c r="O25" s="51">
        <v>0</v>
      </c>
      <c r="P25" s="51">
        <v>0.46</v>
      </c>
      <c r="Q25" s="51">
        <v>4.6900000000000004</v>
      </c>
    </row>
    <row r="26" spans="1:17" customFormat="1">
      <c r="A26" s="50" t="s">
        <v>197</v>
      </c>
      <c r="B26" s="51">
        <v>16.690000000000001</v>
      </c>
      <c r="C26" s="51">
        <v>21.07</v>
      </c>
      <c r="D26" s="51">
        <v>25.74</v>
      </c>
      <c r="E26" s="51">
        <v>7.94</v>
      </c>
      <c r="F26" s="51">
        <v>2.66</v>
      </c>
      <c r="G26" s="51">
        <v>22.04</v>
      </c>
      <c r="H26" s="51">
        <v>7.48</v>
      </c>
      <c r="I26" s="51">
        <v>3.29</v>
      </c>
      <c r="J26" s="51">
        <v>0.76</v>
      </c>
      <c r="K26" s="51">
        <v>58.35</v>
      </c>
      <c r="L26" s="51">
        <v>19.3</v>
      </c>
      <c r="M26" s="51">
        <v>95.72</v>
      </c>
      <c r="N26" s="51">
        <v>0</v>
      </c>
      <c r="O26" s="51">
        <v>0</v>
      </c>
      <c r="P26" s="51">
        <v>0.47</v>
      </c>
      <c r="Q26" s="51">
        <v>4.7300000000000004</v>
      </c>
    </row>
    <row r="27" spans="1:17" customFormat="1">
      <c r="A27" s="50" t="s">
        <v>198</v>
      </c>
      <c r="B27" s="51">
        <v>17.079999999999998</v>
      </c>
      <c r="C27" s="51">
        <v>20.9</v>
      </c>
      <c r="D27" s="51">
        <v>25.64</v>
      </c>
      <c r="E27" s="51">
        <v>7.63</v>
      </c>
      <c r="F27" s="51">
        <v>2.83</v>
      </c>
      <c r="G27" s="51">
        <v>22.79</v>
      </c>
      <c r="H27" s="51">
        <v>9.09</v>
      </c>
      <c r="I27" s="51">
        <v>3.45</v>
      </c>
      <c r="J27" s="51">
        <v>0.72</v>
      </c>
      <c r="K27" s="51">
        <v>65.489999999999995</v>
      </c>
      <c r="L27" s="51">
        <v>19.03</v>
      </c>
      <c r="M27" s="51">
        <v>98.16</v>
      </c>
      <c r="N27" s="51">
        <v>0</v>
      </c>
      <c r="O27" s="51">
        <v>0.2</v>
      </c>
      <c r="P27" s="51">
        <v>0.52</v>
      </c>
      <c r="Q27" s="51">
        <v>4.7300000000000004</v>
      </c>
    </row>
    <row r="28" spans="1:17" customFormat="1">
      <c r="A28" s="50" t="s">
        <v>199</v>
      </c>
      <c r="B28" s="51">
        <v>16.45</v>
      </c>
      <c r="C28" s="51">
        <v>21.88</v>
      </c>
      <c r="D28" s="51">
        <v>25.92</v>
      </c>
      <c r="E28" s="51">
        <v>7.78</v>
      </c>
      <c r="F28" s="51">
        <v>2.71</v>
      </c>
      <c r="G28" s="51">
        <v>22.79</v>
      </c>
      <c r="H28" s="51">
        <v>9.09</v>
      </c>
      <c r="I28" s="51">
        <v>3.62</v>
      </c>
      <c r="J28" s="51">
        <v>0.8</v>
      </c>
      <c r="K28" s="51">
        <v>58.89</v>
      </c>
      <c r="L28" s="51">
        <v>19.03</v>
      </c>
      <c r="M28" s="51">
        <v>98.4</v>
      </c>
      <c r="N28" s="51">
        <v>0</v>
      </c>
      <c r="O28" s="51">
        <v>0.2</v>
      </c>
      <c r="P28" s="51">
        <v>0.54</v>
      </c>
      <c r="Q28" s="51">
        <v>4.75</v>
      </c>
    </row>
    <row r="29" spans="1:17" customFormat="1">
      <c r="A29" s="50" t="s">
        <v>200</v>
      </c>
      <c r="B29" s="51">
        <v>16.399999999999999</v>
      </c>
      <c r="C29" s="51">
        <v>22.64</v>
      </c>
      <c r="D29" s="51">
        <v>26.33</v>
      </c>
      <c r="E29" s="51">
        <v>8.24</v>
      </c>
      <c r="F29" s="51">
        <v>2.77</v>
      </c>
      <c r="G29" s="51">
        <v>18.02</v>
      </c>
      <c r="H29" s="51">
        <v>8.1199999999999992</v>
      </c>
      <c r="I29" s="51">
        <v>3.64</v>
      </c>
      <c r="J29" s="51">
        <v>0.75</v>
      </c>
      <c r="K29" s="51">
        <v>61.7</v>
      </c>
      <c r="L29" s="51">
        <v>19.03</v>
      </c>
      <c r="M29" s="51">
        <v>98.71</v>
      </c>
      <c r="N29" s="51">
        <v>0</v>
      </c>
      <c r="O29" s="51">
        <v>0.2</v>
      </c>
      <c r="P29" s="51">
        <v>0.55000000000000004</v>
      </c>
      <c r="Q29" s="51">
        <v>4.7699999999999996</v>
      </c>
    </row>
    <row r="30" spans="1:17" customFormat="1">
      <c r="A30" s="50" t="s">
        <v>201</v>
      </c>
      <c r="B30" s="51">
        <v>16.21</v>
      </c>
      <c r="C30" s="51">
        <v>23.35</v>
      </c>
      <c r="D30" s="51">
        <v>26.48</v>
      </c>
      <c r="E30" s="51">
        <v>8.39</v>
      </c>
      <c r="F30" s="51">
        <v>2.64</v>
      </c>
      <c r="G30" s="51">
        <v>17.8</v>
      </c>
      <c r="H30" s="51">
        <v>8.0399999999999991</v>
      </c>
      <c r="I30" s="51">
        <v>3.66</v>
      </c>
      <c r="J30" s="51">
        <v>0.72</v>
      </c>
      <c r="K30" s="51">
        <v>61.15</v>
      </c>
      <c r="L30" s="51">
        <v>18.989999999999998</v>
      </c>
      <c r="M30" s="51">
        <v>99.62</v>
      </c>
      <c r="N30" s="51">
        <v>0</v>
      </c>
      <c r="O30" s="51">
        <v>0.4</v>
      </c>
      <c r="P30" s="51">
        <v>0.55000000000000004</v>
      </c>
      <c r="Q30" s="51">
        <v>4.7699999999999996</v>
      </c>
    </row>
    <row r="31" spans="1:17" customFormat="1">
      <c r="A31" s="50" t="s">
        <v>202</v>
      </c>
      <c r="B31" s="51">
        <v>15.81</v>
      </c>
      <c r="C31" s="51">
        <v>23.14</v>
      </c>
      <c r="D31" s="51">
        <v>26.1</v>
      </c>
      <c r="E31" s="51">
        <v>8.67</v>
      </c>
      <c r="F31" s="51">
        <v>2.57</v>
      </c>
      <c r="G31" s="51">
        <v>17.309999999999999</v>
      </c>
      <c r="H31" s="51">
        <v>7.42</v>
      </c>
      <c r="I31" s="51">
        <v>3.65</v>
      </c>
      <c r="J31" s="51">
        <v>0.88</v>
      </c>
      <c r="K31" s="51">
        <v>56.82</v>
      </c>
      <c r="L31" s="51">
        <v>18.920000000000002</v>
      </c>
      <c r="M31" s="51">
        <v>100.73</v>
      </c>
      <c r="N31" s="51">
        <v>0</v>
      </c>
      <c r="O31" s="51">
        <v>0.4</v>
      </c>
      <c r="P31" s="51">
        <v>0.53</v>
      </c>
      <c r="Q31" s="51">
        <v>4.7699999999999996</v>
      </c>
    </row>
    <row r="32" spans="1:17" customFormat="1">
      <c r="A32" s="50" t="s">
        <v>203</v>
      </c>
      <c r="B32" s="51">
        <v>14.83</v>
      </c>
      <c r="C32" s="51">
        <v>24.03</v>
      </c>
      <c r="D32" s="51">
        <v>25.63</v>
      </c>
      <c r="E32" s="51">
        <v>8.66</v>
      </c>
      <c r="F32" s="51">
        <v>2.98</v>
      </c>
      <c r="G32" s="51">
        <v>14.66</v>
      </c>
      <c r="H32" s="51">
        <v>7.09</v>
      </c>
      <c r="I32" s="51">
        <v>3.55</v>
      </c>
      <c r="J32" s="51">
        <v>0.71</v>
      </c>
      <c r="K32" s="51">
        <v>60.58</v>
      </c>
      <c r="L32" s="51">
        <v>18.86</v>
      </c>
      <c r="M32" s="51">
        <v>100.75</v>
      </c>
      <c r="N32" s="51">
        <v>0</v>
      </c>
      <c r="O32" s="51">
        <v>0.6</v>
      </c>
      <c r="P32" s="51">
        <v>0.52</v>
      </c>
      <c r="Q32" s="51">
        <v>4.7300000000000004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14.83</v>
      </c>
      <c r="C34" s="41">
        <f t="shared" si="0"/>
        <v>20.6</v>
      </c>
      <c r="D34" s="41">
        <f t="shared" si="0"/>
        <v>24</v>
      </c>
      <c r="E34" s="41">
        <f t="shared" si="0"/>
        <v>6.2</v>
      </c>
      <c r="F34" s="41">
        <f t="shared" si="0"/>
        <v>2.57</v>
      </c>
      <c r="G34" s="41">
        <f t="shared" si="0"/>
        <v>14.66</v>
      </c>
      <c r="H34" s="41">
        <f t="shared" si="0"/>
        <v>3.5</v>
      </c>
      <c r="I34" s="41">
        <f t="shared" si="0"/>
        <v>2.7</v>
      </c>
      <c r="J34" s="41">
        <f t="shared" si="0"/>
        <v>0.71</v>
      </c>
      <c r="K34" s="41">
        <f t="shared" si="0"/>
        <v>43.72</v>
      </c>
      <c r="L34" s="41">
        <f t="shared" si="0"/>
        <v>18.7</v>
      </c>
      <c r="M34" s="41">
        <f t="shared" si="0"/>
        <v>84.68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4.68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17.32</v>
      </c>
      <c r="C35" s="33">
        <f t="shared" si="1"/>
        <v>25.46</v>
      </c>
      <c r="D35" s="33">
        <f t="shared" si="1"/>
        <v>27.88</v>
      </c>
      <c r="E35" s="33">
        <f t="shared" si="1"/>
        <v>9.01</v>
      </c>
      <c r="F35" s="33">
        <f t="shared" si="1"/>
        <v>3.1</v>
      </c>
      <c r="G35" s="33">
        <f t="shared" si="1"/>
        <v>26.53</v>
      </c>
      <c r="H35" s="33">
        <f t="shared" si="1"/>
        <v>9.09</v>
      </c>
      <c r="I35" s="33">
        <f t="shared" si="1"/>
        <v>3.66</v>
      </c>
      <c r="J35" s="33">
        <f t="shared" si="1"/>
        <v>1</v>
      </c>
      <c r="K35" s="33">
        <f t="shared" si="1"/>
        <v>74.14</v>
      </c>
      <c r="L35" s="33">
        <f t="shared" si="1"/>
        <v>20.61</v>
      </c>
      <c r="M35" s="33">
        <f t="shared" si="1"/>
        <v>100.75</v>
      </c>
      <c r="N35" s="33">
        <f t="shared" si="1"/>
        <v>101.4</v>
      </c>
      <c r="O35" s="33">
        <f t="shared" si="1"/>
        <v>0.6</v>
      </c>
      <c r="P35" s="33">
        <f t="shared" si="1"/>
        <v>0.55000000000000004</v>
      </c>
      <c r="Q35" s="33">
        <f t="shared" si="1"/>
        <v>4.82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16.124999999999996</v>
      </c>
      <c r="C36" s="41">
        <f t="shared" si="2"/>
        <v>22.36375</v>
      </c>
      <c r="D36" s="41">
        <f t="shared" si="2"/>
        <v>25.833750000000006</v>
      </c>
      <c r="E36" s="41">
        <f t="shared" si="2"/>
        <v>7.6375000000000002</v>
      </c>
      <c r="F36" s="41">
        <f t="shared" si="2"/>
        <v>2.8179166666666666</v>
      </c>
      <c r="G36" s="41">
        <f t="shared" si="2"/>
        <v>20.890833333333337</v>
      </c>
      <c r="H36" s="41">
        <f t="shared" si="2"/>
        <v>6.7295833333333333</v>
      </c>
      <c r="I36" s="41">
        <f t="shared" si="2"/>
        <v>3.1312500000000001</v>
      </c>
      <c r="J36" s="41">
        <f t="shared" si="2"/>
        <v>0.82458333333333345</v>
      </c>
      <c r="K36" s="41">
        <f t="shared" si="2"/>
        <v>57.475000000000001</v>
      </c>
      <c r="L36" s="41">
        <f t="shared" si="2"/>
        <v>19.34291666666666</v>
      </c>
      <c r="M36" s="41">
        <f t="shared" si="2"/>
        <v>94.283333333333346</v>
      </c>
      <c r="N36" s="41">
        <f t="shared" si="2"/>
        <v>20.408333333333335</v>
      </c>
      <c r="O36" s="41">
        <f t="shared" si="2"/>
        <v>8.3333333333333329E-2</v>
      </c>
      <c r="P36" s="41">
        <f t="shared" si="2"/>
        <v>0.45958333333333329</v>
      </c>
      <c r="Q36" s="41">
        <f t="shared" si="2"/>
        <v>4.7470833333333324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0.75557061650242741</v>
      </c>
      <c r="C37" s="41">
        <f t="shared" ref="C37:Q37" si="3">STDEV(C9:C32)</f>
        <v>1.5291794119438511</v>
      </c>
      <c r="D37" s="41">
        <f t="shared" si="3"/>
        <v>1.0060547677198861</v>
      </c>
      <c r="E37" s="41">
        <f t="shared" si="3"/>
        <v>0.92807538112130528</v>
      </c>
      <c r="F37" s="41">
        <f t="shared" si="3"/>
        <v>0.1288065339507555</v>
      </c>
      <c r="G37" s="41">
        <f t="shared" si="3"/>
        <v>3.6316494236409573</v>
      </c>
      <c r="H37" s="41">
        <f t="shared" si="3"/>
        <v>1.5362078640110128</v>
      </c>
      <c r="I37" s="41">
        <f t="shared" si="3"/>
        <v>0.32578083457120371</v>
      </c>
      <c r="J37" s="41">
        <f t="shared" si="3"/>
        <v>8.5311662216515247E-2</v>
      </c>
      <c r="K37" s="41">
        <f t="shared" si="3"/>
        <v>7.1189380009148433</v>
      </c>
      <c r="L37" s="41">
        <f t="shared" si="3"/>
        <v>0.65873712621159874</v>
      </c>
      <c r="M37" s="41">
        <f t="shared" si="3"/>
        <v>4.282145608744603</v>
      </c>
      <c r="N37" s="41">
        <f t="shared" si="3"/>
        <v>30.701931912966096</v>
      </c>
      <c r="O37" s="41">
        <f t="shared" si="3"/>
        <v>0.16594044679962139</v>
      </c>
      <c r="P37" s="41">
        <f t="shared" si="3"/>
        <v>6.003471218109302E-2</v>
      </c>
      <c r="Q37" s="41">
        <f t="shared" si="3"/>
        <v>3.342469363999509E-2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204</v>
      </c>
      <c r="B9" s="51">
        <v>14.56</v>
      </c>
      <c r="C9" s="51">
        <v>20.62</v>
      </c>
      <c r="D9" s="51">
        <v>23.64</v>
      </c>
      <c r="E9" s="51">
        <v>8.09</v>
      </c>
      <c r="F9" s="51">
        <v>2.66</v>
      </c>
      <c r="G9" s="51">
        <v>13.64</v>
      </c>
      <c r="H9" s="51">
        <v>7.09</v>
      </c>
      <c r="I9" s="51">
        <v>3.51</v>
      </c>
      <c r="J9" s="51">
        <v>0.56000000000000005</v>
      </c>
      <c r="K9" s="51">
        <v>85</v>
      </c>
      <c r="L9" s="51">
        <v>18.88</v>
      </c>
      <c r="M9" s="51">
        <v>100.78</v>
      </c>
      <c r="N9" s="51">
        <v>0</v>
      </c>
      <c r="O9" s="51">
        <v>0.8</v>
      </c>
      <c r="P9" s="51">
        <v>0.48</v>
      </c>
      <c r="Q9" s="51">
        <v>4.6900000000000004</v>
      </c>
    </row>
    <row r="10" spans="1:21" customFormat="1">
      <c r="A10" s="50" t="s">
        <v>205</v>
      </c>
      <c r="B10" s="51">
        <v>14.5</v>
      </c>
      <c r="C10" s="51">
        <v>19.440000000000001</v>
      </c>
      <c r="D10" s="51">
        <v>22.97</v>
      </c>
      <c r="E10" s="51">
        <v>7.94</v>
      </c>
      <c r="F10" s="51">
        <v>2.69</v>
      </c>
      <c r="G10" s="51">
        <v>12.28</v>
      </c>
      <c r="H10" s="51">
        <v>6.83</v>
      </c>
      <c r="I10" s="51">
        <v>3.52</v>
      </c>
      <c r="J10" s="51">
        <v>0.36</v>
      </c>
      <c r="K10" s="51">
        <v>80.63</v>
      </c>
      <c r="L10" s="51">
        <v>18.920000000000002</v>
      </c>
      <c r="M10" s="51">
        <v>100.79</v>
      </c>
      <c r="N10" s="51">
        <v>0</v>
      </c>
      <c r="O10" s="51">
        <v>0.4</v>
      </c>
      <c r="P10" s="51">
        <v>0.47</v>
      </c>
      <c r="Q10" s="51">
        <v>4.68</v>
      </c>
    </row>
    <row r="11" spans="1:21" customFormat="1">
      <c r="A11" s="50" t="s">
        <v>206</v>
      </c>
      <c r="B11" s="51">
        <v>15.23</v>
      </c>
      <c r="C11" s="51">
        <v>19.510000000000002</v>
      </c>
      <c r="D11" s="51">
        <v>23.65</v>
      </c>
      <c r="E11" s="51">
        <v>6.86</v>
      </c>
      <c r="F11" s="51">
        <v>2.65</v>
      </c>
      <c r="G11" s="51">
        <v>8.7200000000000006</v>
      </c>
      <c r="H11" s="51">
        <v>5.03</v>
      </c>
      <c r="I11" s="51">
        <v>3.53</v>
      </c>
      <c r="J11" s="51">
        <v>0.4</v>
      </c>
      <c r="K11" s="51">
        <v>63.44</v>
      </c>
      <c r="L11" s="51">
        <v>18.91</v>
      </c>
      <c r="M11" s="51">
        <v>100.6</v>
      </c>
      <c r="N11" s="51">
        <v>0</v>
      </c>
      <c r="O11" s="51">
        <v>0.4</v>
      </c>
      <c r="P11" s="51">
        <v>0.48</v>
      </c>
      <c r="Q11" s="51">
        <v>4.7</v>
      </c>
    </row>
    <row r="12" spans="1:21" customFormat="1">
      <c r="A12" s="50" t="s">
        <v>207</v>
      </c>
      <c r="B12" s="51">
        <v>16.18</v>
      </c>
      <c r="C12" s="51">
        <v>19.7</v>
      </c>
      <c r="D12" s="51">
        <v>24.56</v>
      </c>
      <c r="E12" s="51">
        <v>6.76</v>
      </c>
      <c r="F12" s="51">
        <v>2.74</v>
      </c>
      <c r="G12" s="51">
        <v>6.48</v>
      </c>
      <c r="H12" s="51">
        <v>3.76</v>
      </c>
      <c r="I12" s="51">
        <v>3.56</v>
      </c>
      <c r="J12" s="51">
        <v>0.32</v>
      </c>
      <c r="K12" s="51">
        <v>57.02</v>
      </c>
      <c r="L12" s="51">
        <v>18.87</v>
      </c>
      <c r="M12" s="51">
        <v>100.6</v>
      </c>
      <c r="N12" s="51">
        <v>0</v>
      </c>
      <c r="O12" s="51">
        <v>0.4</v>
      </c>
      <c r="P12" s="51">
        <v>0.48</v>
      </c>
      <c r="Q12" s="51">
        <v>4.7300000000000004</v>
      </c>
    </row>
    <row r="13" spans="1:21" customFormat="1">
      <c r="A13" s="50" t="s">
        <v>208</v>
      </c>
      <c r="B13" s="51">
        <v>16.440000000000001</v>
      </c>
      <c r="C13" s="51">
        <v>20.68</v>
      </c>
      <c r="D13" s="51">
        <v>25.13</v>
      </c>
      <c r="E13" s="51">
        <v>6.75</v>
      </c>
      <c r="F13" s="51">
        <v>2.72</v>
      </c>
      <c r="G13" s="51">
        <v>4.83</v>
      </c>
      <c r="H13" s="51">
        <v>2.95</v>
      </c>
      <c r="I13" s="51">
        <v>3.57</v>
      </c>
      <c r="J13" s="51">
        <v>0.33</v>
      </c>
      <c r="K13" s="51">
        <v>77.02</v>
      </c>
      <c r="L13" s="51">
        <v>18.87</v>
      </c>
      <c r="M13" s="51">
        <v>100.71</v>
      </c>
      <c r="N13" s="51">
        <v>0</v>
      </c>
      <c r="O13" s="51">
        <v>0.4</v>
      </c>
      <c r="P13" s="51">
        <v>0.5</v>
      </c>
      <c r="Q13" s="51">
        <v>4.74</v>
      </c>
    </row>
    <row r="14" spans="1:21" customFormat="1">
      <c r="A14" s="50" t="s">
        <v>209</v>
      </c>
      <c r="B14" s="51">
        <v>16.14</v>
      </c>
      <c r="C14" s="51">
        <v>21.94</v>
      </c>
      <c r="D14" s="51">
        <v>25.63</v>
      </c>
      <c r="E14" s="51">
        <v>7.02</v>
      </c>
      <c r="F14" s="51">
        <v>2.74</v>
      </c>
      <c r="G14" s="51">
        <v>3.73</v>
      </c>
      <c r="H14" s="51">
        <v>2.95</v>
      </c>
      <c r="I14" s="51">
        <v>3.57</v>
      </c>
      <c r="J14" s="51">
        <v>0.45</v>
      </c>
      <c r="K14" s="51">
        <v>67.150000000000006</v>
      </c>
      <c r="L14" s="51">
        <v>18.760000000000002</v>
      </c>
      <c r="M14" s="51">
        <v>100.75</v>
      </c>
      <c r="N14" s="51">
        <v>0</v>
      </c>
      <c r="O14" s="51">
        <v>0.2</v>
      </c>
      <c r="P14" s="51">
        <v>0.51</v>
      </c>
      <c r="Q14" s="51">
        <v>4.75</v>
      </c>
    </row>
    <row r="15" spans="1:21" customFormat="1">
      <c r="A15" s="50" t="s">
        <v>210</v>
      </c>
      <c r="B15" s="51">
        <v>16.989999999999998</v>
      </c>
      <c r="C15" s="51">
        <v>22.77</v>
      </c>
      <c r="D15" s="51">
        <v>26.87</v>
      </c>
      <c r="E15" s="51">
        <v>7.44</v>
      </c>
      <c r="F15" s="51">
        <v>2.64</v>
      </c>
      <c r="G15" s="51">
        <v>3.71</v>
      </c>
      <c r="H15" s="51">
        <v>2.76</v>
      </c>
      <c r="I15" s="51">
        <v>3.75</v>
      </c>
      <c r="J15" s="51">
        <v>0.51</v>
      </c>
      <c r="K15" s="51">
        <v>57.9</v>
      </c>
      <c r="L15" s="51">
        <v>18.649999999999999</v>
      </c>
      <c r="M15" s="51">
        <v>100.7</v>
      </c>
      <c r="N15" s="51">
        <v>0</v>
      </c>
      <c r="O15" s="51">
        <v>0.2</v>
      </c>
      <c r="P15" s="51">
        <v>0.53</v>
      </c>
      <c r="Q15" s="51">
        <v>4.79</v>
      </c>
    </row>
    <row r="16" spans="1:21" customFormat="1">
      <c r="A16" s="50" t="s">
        <v>211</v>
      </c>
      <c r="B16" s="51">
        <v>19.03</v>
      </c>
      <c r="C16" s="51">
        <v>23.88</v>
      </c>
      <c r="D16" s="51">
        <v>29.09</v>
      </c>
      <c r="E16" s="51">
        <v>7.6</v>
      </c>
      <c r="F16" s="51">
        <v>2.5499999999999998</v>
      </c>
      <c r="G16" s="51">
        <v>3.92</v>
      </c>
      <c r="H16" s="51">
        <v>2.0699999999999998</v>
      </c>
      <c r="I16" s="51">
        <v>4.13</v>
      </c>
      <c r="J16" s="51">
        <v>0.53</v>
      </c>
      <c r="K16" s="51">
        <v>55.28</v>
      </c>
      <c r="L16" s="51">
        <v>18.7</v>
      </c>
      <c r="M16" s="51">
        <v>100.73</v>
      </c>
      <c r="N16" s="51">
        <v>15.5</v>
      </c>
      <c r="O16" s="51">
        <v>0.2</v>
      </c>
      <c r="P16" s="51">
        <v>0.59</v>
      </c>
      <c r="Q16" s="51">
        <v>4.8899999999999997</v>
      </c>
    </row>
    <row r="17" spans="1:17" customFormat="1">
      <c r="A17" s="50" t="s">
        <v>212</v>
      </c>
      <c r="B17" s="51">
        <v>22.1</v>
      </c>
      <c r="C17" s="51">
        <v>24.53</v>
      </c>
      <c r="D17" s="51">
        <v>31.89</v>
      </c>
      <c r="E17" s="51">
        <v>8.0500000000000007</v>
      </c>
      <c r="F17" s="51">
        <v>2.66</v>
      </c>
      <c r="G17" s="51">
        <v>6.27</v>
      </c>
      <c r="H17" s="51">
        <v>3.59</v>
      </c>
      <c r="I17" s="51">
        <v>4.53</v>
      </c>
      <c r="J17" s="51">
        <v>0.43</v>
      </c>
      <c r="K17" s="51">
        <v>55.09</v>
      </c>
      <c r="L17" s="51">
        <v>19.11</v>
      </c>
      <c r="M17" s="51">
        <v>100.85</v>
      </c>
      <c r="N17" s="51">
        <v>39.6</v>
      </c>
      <c r="O17" s="51">
        <v>0</v>
      </c>
      <c r="P17" s="51">
        <v>0.65</v>
      </c>
      <c r="Q17" s="51">
        <v>4.97</v>
      </c>
    </row>
    <row r="18" spans="1:17" customFormat="1">
      <c r="A18" s="50" t="s">
        <v>213</v>
      </c>
      <c r="B18" s="51">
        <v>26.57</v>
      </c>
      <c r="C18" s="51">
        <v>24.42</v>
      </c>
      <c r="D18" s="51">
        <v>33.549999999999997</v>
      </c>
      <c r="E18" s="51">
        <v>8.1999999999999993</v>
      </c>
      <c r="F18" s="51">
        <v>2.93</v>
      </c>
      <c r="G18" s="51">
        <v>7.86</v>
      </c>
      <c r="H18" s="51">
        <v>3.98</v>
      </c>
      <c r="I18" s="51">
        <v>5.01</v>
      </c>
      <c r="J18" s="51">
        <v>0.46</v>
      </c>
      <c r="K18" s="51">
        <v>36.49</v>
      </c>
      <c r="L18" s="51">
        <v>19.59</v>
      </c>
      <c r="M18" s="51">
        <v>100.85</v>
      </c>
      <c r="N18" s="51">
        <v>69.599999999999994</v>
      </c>
      <c r="O18" s="51">
        <v>0.2</v>
      </c>
      <c r="P18" s="51">
        <v>0.68</v>
      </c>
      <c r="Q18" s="51">
        <v>5.05</v>
      </c>
    </row>
    <row r="19" spans="1:17" customFormat="1">
      <c r="A19" s="50" t="s">
        <v>214</v>
      </c>
      <c r="B19" s="51">
        <v>29.23</v>
      </c>
      <c r="C19" s="51">
        <v>22.22</v>
      </c>
      <c r="D19" s="51">
        <v>36</v>
      </c>
      <c r="E19" s="51">
        <v>7.33</v>
      </c>
      <c r="F19" s="51">
        <v>2.79</v>
      </c>
      <c r="G19" s="51">
        <v>8.5399999999999991</v>
      </c>
      <c r="H19" s="51">
        <v>4.6399999999999997</v>
      </c>
      <c r="I19" s="51">
        <v>5.29</v>
      </c>
      <c r="J19" s="51">
        <v>0.43</v>
      </c>
      <c r="K19" s="51">
        <v>47.2</v>
      </c>
      <c r="L19" s="51">
        <v>19.63</v>
      </c>
      <c r="M19" s="51">
        <v>100.54</v>
      </c>
      <c r="N19" s="51">
        <v>45.6</v>
      </c>
      <c r="O19" s="51">
        <v>0</v>
      </c>
      <c r="P19" s="51">
        <v>0.72</v>
      </c>
      <c r="Q19" s="51">
        <v>5.12</v>
      </c>
    </row>
    <row r="20" spans="1:17" customFormat="1">
      <c r="A20" s="50" t="s">
        <v>215</v>
      </c>
      <c r="B20" s="51">
        <v>29.79</v>
      </c>
      <c r="C20" s="51">
        <v>21.54</v>
      </c>
      <c r="D20" s="51">
        <v>36.35</v>
      </c>
      <c r="E20" s="51">
        <v>7.57</v>
      </c>
      <c r="F20" s="51">
        <v>2.7</v>
      </c>
      <c r="G20" s="51">
        <v>22.76</v>
      </c>
      <c r="H20" s="51">
        <v>5.82</v>
      </c>
      <c r="I20" s="51">
        <v>5.46</v>
      </c>
      <c r="J20" s="51">
        <v>0.41</v>
      </c>
      <c r="K20" s="51">
        <v>350.26</v>
      </c>
      <c r="L20" s="51">
        <v>19.71</v>
      </c>
      <c r="M20" s="51">
        <v>100.53</v>
      </c>
      <c r="N20" s="51">
        <v>43.5</v>
      </c>
      <c r="O20" s="51">
        <v>0</v>
      </c>
      <c r="P20" s="51">
        <v>0.74</v>
      </c>
      <c r="Q20" s="51">
        <v>5.14</v>
      </c>
    </row>
    <row r="21" spans="1:17" customFormat="1">
      <c r="A21" s="50" t="s">
        <v>216</v>
      </c>
      <c r="B21" s="51">
        <v>31.73</v>
      </c>
      <c r="C21" s="51">
        <v>21.94</v>
      </c>
      <c r="D21" s="51">
        <v>38.26</v>
      </c>
      <c r="E21" s="51">
        <v>7.72</v>
      </c>
      <c r="F21" s="51">
        <v>2.68</v>
      </c>
      <c r="G21" s="51">
        <v>37.26</v>
      </c>
      <c r="H21" s="51">
        <v>10.36</v>
      </c>
      <c r="I21" s="51">
        <v>5.61</v>
      </c>
      <c r="J21" s="51">
        <v>0.36</v>
      </c>
      <c r="K21" s="51">
        <v>346.51</v>
      </c>
      <c r="L21" s="51">
        <v>19.77</v>
      </c>
      <c r="M21" s="51">
        <v>99.71</v>
      </c>
      <c r="N21" s="51">
        <v>35.799999999999997</v>
      </c>
      <c r="O21" s="51">
        <v>0</v>
      </c>
      <c r="P21" s="51">
        <v>0.82</v>
      </c>
      <c r="Q21" s="51">
        <v>5.18</v>
      </c>
    </row>
    <row r="22" spans="1:17" customFormat="1">
      <c r="A22" s="50" t="s">
        <v>217</v>
      </c>
      <c r="B22" s="51">
        <v>32.869999999999997</v>
      </c>
      <c r="C22" s="51">
        <v>22.69</v>
      </c>
      <c r="D22" s="51">
        <v>39.01</v>
      </c>
      <c r="E22" s="51">
        <v>9.26</v>
      </c>
      <c r="F22" s="51">
        <v>2.74</v>
      </c>
      <c r="G22" s="51">
        <v>57.17</v>
      </c>
      <c r="H22" s="51">
        <v>10.78</v>
      </c>
      <c r="I22" s="51">
        <v>5.91</v>
      </c>
      <c r="J22" s="51">
        <v>0.48</v>
      </c>
      <c r="K22" s="51">
        <v>337.53</v>
      </c>
      <c r="L22" s="51">
        <v>19.53</v>
      </c>
      <c r="M22" s="51">
        <v>99.59</v>
      </c>
      <c r="N22" s="51">
        <v>29.9</v>
      </c>
      <c r="O22" s="51">
        <v>0</v>
      </c>
      <c r="P22" s="51">
        <v>0.86</v>
      </c>
      <c r="Q22" s="51">
        <v>5.22</v>
      </c>
    </row>
    <row r="23" spans="1:17" customFormat="1">
      <c r="A23" s="50" t="s">
        <v>218</v>
      </c>
      <c r="B23" s="51">
        <v>27.16</v>
      </c>
      <c r="C23" s="51">
        <v>24.6</v>
      </c>
      <c r="D23" s="51">
        <v>34.93</v>
      </c>
      <c r="E23" s="51">
        <v>8.2200000000000006</v>
      </c>
      <c r="F23" s="51">
        <v>2.73</v>
      </c>
      <c r="G23" s="51">
        <v>57.17</v>
      </c>
      <c r="H23" s="51">
        <v>10.94</v>
      </c>
      <c r="I23" s="51">
        <v>6.03</v>
      </c>
      <c r="J23" s="51">
        <v>0.28999999999999998</v>
      </c>
      <c r="K23" s="51">
        <v>323.76</v>
      </c>
      <c r="L23" s="51">
        <v>19.79</v>
      </c>
      <c r="M23" s="51">
        <v>100.04</v>
      </c>
      <c r="N23" s="51">
        <v>63.1</v>
      </c>
      <c r="O23" s="51">
        <v>0</v>
      </c>
      <c r="P23" s="51">
        <v>0.85</v>
      </c>
      <c r="Q23" s="51">
        <v>5.12</v>
      </c>
    </row>
    <row r="24" spans="1:17" customFormat="1">
      <c r="A24" s="50" t="s">
        <v>219</v>
      </c>
      <c r="B24" s="51">
        <v>20.47</v>
      </c>
      <c r="C24" s="51">
        <v>27.1</v>
      </c>
      <c r="D24" s="51">
        <v>31.92</v>
      </c>
      <c r="E24" s="51">
        <v>7.46</v>
      </c>
      <c r="F24" s="51">
        <v>2.69</v>
      </c>
      <c r="G24" s="51">
        <v>55.42</v>
      </c>
      <c r="H24" s="51">
        <v>16.23</v>
      </c>
      <c r="I24" s="51">
        <v>5.25</v>
      </c>
      <c r="J24" s="51">
        <v>0.47</v>
      </c>
      <c r="K24" s="51">
        <v>308.45999999999998</v>
      </c>
      <c r="L24" s="51">
        <v>19.8</v>
      </c>
      <c r="M24" s="51">
        <v>99.35</v>
      </c>
      <c r="N24" s="51">
        <v>34.799999999999997</v>
      </c>
      <c r="O24" s="51">
        <v>0</v>
      </c>
      <c r="P24" s="51">
        <v>0.86</v>
      </c>
      <c r="Q24" s="51">
        <v>4.92</v>
      </c>
    </row>
    <row r="25" spans="1:17" customFormat="1">
      <c r="A25" s="50" t="s">
        <v>220</v>
      </c>
      <c r="B25" s="51">
        <v>22.21</v>
      </c>
      <c r="C25" s="51">
        <v>27.7</v>
      </c>
      <c r="D25" s="51">
        <v>33.630000000000003</v>
      </c>
      <c r="E25" s="51">
        <v>7.61</v>
      </c>
      <c r="F25" s="51">
        <v>2.69</v>
      </c>
      <c r="G25" s="51">
        <v>55.42</v>
      </c>
      <c r="H25" s="51">
        <v>16.23</v>
      </c>
      <c r="I25" s="51">
        <v>5.92</v>
      </c>
      <c r="J25" s="51">
        <v>0.5</v>
      </c>
      <c r="K25" s="51">
        <v>318.45999999999998</v>
      </c>
      <c r="L25" s="51">
        <v>19.809999999999999</v>
      </c>
      <c r="M25" s="51">
        <v>98.81</v>
      </c>
      <c r="N25" s="51">
        <v>6.5</v>
      </c>
      <c r="O25" s="51">
        <v>0</v>
      </c>
      <c r="P25" s="51">
        <v>0.88</v>
      </c>
      <c r="Q25" s="51">
        <v>4.9800000000000004</v>
      </c>
    </row>
    <row r="26" spans="1:17" customFormat="1">
      <c r="A26" s="50" t="s">
        <v>221</v>
      </c>
      <c r="B26" s="51">
        <v>26.02</v>
      </c>
      <c r="C26" s="51">
        <v>28.53</v>
      </c>
      <c r="D26" s="51">
        <v>37.119999999999997</v>
      </c>
      <c r="E26" s="51">
        <v>8.31</v>
      </c>
      <c r="F26" s="51">
        <v>2.7</v>
      </c>
      <c r="G26" s="51">
        <v>64.09</v>
      </c>
      <c r="H26" s="51">
        <v>17.13</v>
      </c>
      <c r="I26" s="51">
        <v>6.32</v>
      </c>
      <c r="J26" s="51">
        <v>0.27</v>
      </c>
      <c r="K26" s="51">
        <v>330.73</v>
      </c>
      <c r="L26" s="51">
        <v>19.760000000000002</v>
      </c>
      <c r="M26" s="51">
        <v>98.92</v>
      </c>
      <c r="N26" s="51">
        <v>0</v>
      </c>
      <c r="O26" s="51">
        <v>0</v>
      </c>
      <c r="P26" s="51">
        <v>0.93</v>
      </c>
      <c r="Q26" s="51">
        <v>5.08</v>
      </c>
    </row>
    <row r="27" spans="1:17" customFormat="1">
      <c r="A27" s="50" t="s">
        <v>222</v>
      </c>
      <c r="B27" s="51">
        <v>29.82</v>
      </c>
      <c r="C27" s="51">
        <v>28.85</v>
      </c>
      <c r="D27" s="51">
        <v>40.07</v>
      </c>
      <c r="E27" s="51">
        <v>6.27</v>
      </c>
      <c r="F27" s="51">
        <v>2.54</v>
      </c>
      <c r="G27" s="51">
        <v>68.400000000000006</v>
      </c>
      <c r="H27" s="51">
        <v>19.440000000000001</v>
      </c>
      <c r="I27" s="51">
        <v>6.82</v>
      </c>
      <c r="J27" s="51">
        <v>0.24</v>
      </c>
      <c r="K27" s="51">
        <v>105.46</v>
      </c>
      <c r="L27" s="51">
        <v>19.77</v>
      </c>
      <c r="M27" s="51">
        <v>98.56</v>
      </c>
      <c r="N27" s="51">
        <v>0</v>
      </c>
      <c r="O27" s="51">
        <v>0</v>
      </c>
      <c r="P27" s="51">
        <v>0.99</v>
      </c>
      <c r="Q27" s="51">
        <v>5.23</v>
      </c>
    </row>
    <row r="28" spans="1:17" customFormat="1">
      <c r="A28" s="50" t="s">
        <v>223</v>
      </c>
      <c r="B28" s="51">
        <v>35.92</v>
      </c>
      <c r="C28" s="51">
        <v>29.73</v>
      </c>
      <c r="D28" s="51">
        <v>42.2</v>
      </c>
      <c r="E28" s="51">
        <v>6.28</v>
      </c>
      <c r="F28" s="51">
        <v>3.01</v>
      </c>
      <c r="G28" s="51">
        <v>73.900000000000006</v>
      </c>
      <c r="H28" s="51">
        <v>20.71</v>
      </c>
      <c r="I28" s="51">
        <v>7.39</v>
      </c>
      <c r="J28" s="51">
        <v>0.3</v>
      </c>
      <c r="K28" s="51">
        <v>48.1</v>
      </c>
      <c r="L28" s="51">
        <v>19.420000000000002</v>
      </c>
      <c r="M28" s="51">
        <v>99.62</v>
      </c>
      <c r="N28" s="51">
        <v>0</v>
      </c>
      <c r="O28" s="51">
        <v>0</v>
      </c>
      <c r="P28" s="51">
        <v>1</v>
      </c>
      <c r="Q28" s="51">
        <v>5.31</v>
      </c>
    </row>
    <row r="29" spans="1:17" customFormat="1">
      <c r="A29" s="50" t="s">
        <v>224</v>
      </c>
      <c r="B29" s="51">
        <v>37.770000000000003</v>
      </c>
      <c r="C29" s="51">
        <v>24.52</v>
      </c>
      <c r="D29" s="51">
        <v>44.2</v>
      </c>
      <c r="E29" s="51">
        <v>5.49</v>
      </c>
      <c r="F29" s="51">
        <v>2.78</v>
      </c>
      <c r="G29" s="51">
        <v>73.900000000000006</v>
      </c>
      <c r="H29" s="51">
        <v>21.98</v>
      </c>
      <c r="I29" s="51">
        <v>7.62</v>
      </c>
      <c r="J29" s="51">
        <v>0.26</v>
      </c>
      <c r="K29" s="51">
        <v>114.89</v>
      </c>
      <c r="L29" s="51">
        <v>19.05</v>
      </c>
      <c r="M29" s="51">
        <v>100.36</v>
      </c>
      <c r="N29" s="51">
        <v>0</v>
      </c>
      <c r="O29" s="51">
        <v>0</v>
      </c>
      <c r="P29" s="51">
        <v>1.03</v>
      </c>
      <c r="Q29" s="51">
        <v>5.36</v>
      </c>
    </row>
    <row r="30" spans="1:17" customFormat="1">
      <c r="A30" s="50" t="s">
        <v>225</v>
      </c>
      <c r="B30" s="51">
        <v>38.340000000000003</v>
      </c>
      <c r="C30" s="51">
        <v>22.95</v>
      </c>
      <c r="D30" s="51">
        <v>43.96</v>
      </c>
      <c r="E30" s="51">
        <v>5.43</v>
      </c>
      <c r="F30" s="51">
        <v>2.69</v>
      </c>
      <c r="G30" s="51">
        <v>72.650000000000006</v>
      </c>
      <c r="H30" s="51">
        <v>21.98</v>
      </c>
      <c r="I30" s="51">
        <v>7.68</v>
      </c>
      <c r="J30" s="51">
        <v>0.21</v>
      </c>
      <c r="K30" s="51">
        <v>205.53</v>
      </c>
      <c r="L30" s="51">
        <v>19.059999999999999</v>
      </c>
      <c r="M30" s="51">
        <v>100.91</v>
      </c>
      <c r="N30" s="51">
        <v>0</v>
      </c>
      <c r="O30" s="51">
        <v>0</v>
      </c>
      <c r="P30" s="51">
        <v>1.03</v>
      </c>
      <c r="Q30" s="51">
        <v>5.36</v>
      </c>
    </row>
    <row r="31" spans="1:17" customFormat="1">
      <c r="A31" s="50" t="s">
        <v>226</v>
      </c>
      <c r="B31" s="51">
        <v>39.340000000000003</v>
      </c>
      <c r="C31" s="51">
        <v>22.88</v>
      </c>
      <c r="D31" s="51">
        <v>44.85</v>
      </c>
      <c r="E31" s="51">
        <v>5.3</v>
      </c>
      <c r="F31" s="51">
        <v>2.5</v>
      </c>
      <c r="G31" s="51">
        <v>71.849999999999994</v>
      </c>
      <c r="H31" s="51">
        <v>21.82</v>
      </c>
      <c r="I31" s="51">
        <v>7.75</v>
      </c>
      <c r="J31" s="51">
        <v>0.11</v>
      </c>
      <c r="K31" s="51">
        <v>199.39</v>
      </c>
      <c r="L31" s="51">
        <v>19.21</v>
      </c>
      <c r="M31" s="51">
        <v>101.82</v>
      </c>
      <c r="N31" s="51">
        <v>0</v>
      </c>
      <c r="O31" s="51">
        <v>0</v>
      </c>
      <c r="P31" s="51">
        <v>1.03</v>
      </c>
      <c r="Q31" s="51">
        <v>5.4</v>
      </c>
    </row>
    <row r="32" spans="1:17" customFormat="1">
      <c r="A32" s="50" t="s">
        <v>227</v>
      </c>
      <c r="B32" s="51">
        <v>36.96</v>
      </c>
      <c r="C32" s="51">
        <v>22.36</v>
      </c>
      <c r="D32" s="51">
        <v>42.32</v>
      </c>
      <c r="E32" s="51">
        <v>4.83</v>
      </c>
      <c r="F32" s="51">
        <v>2.75</v>
      </c>
      <c r="G32" s="51">
        <v>71.849999999999994</v>
      </c>
      <c r="H32" s="51">
        <v>20.55</v>
      </c>
      <c r="I32" s="51">
        <v>7.66</v>
      </c>
      <c r="J32" s="51">
        <v>0.25</v>
      </c>
      <c r="K32" s="51">
        <v>123.7</v>
      </c>
      <c r="L32" s="51">
        <v>19.23</v>
      </c>
      <c r="M32" s="51">
        <v>100.49</v>
      </c>
      <c r="N32" s="51">
        <v>0</v>
      </c>
      <c r="O32" s="51">
        <v>0</v>
      </c>
      <c r="P32" s="51">
        <v>0.99</v>
      </c>
      <c r="Q32" s="51">
        <v>5.34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14.5</v>
      </c>
      <c r="C34" s="41">
        <f t="shared" si="0"/>
        <v>19.440000000000001</v>
      </c>
      <c r="D34" s="41">
        <f t="shared" si="0"/>
        <v>22.97</v>
      </c>
      <c r="E34" s="41">
        <f t="shared" si="0"/>
        <v>4.83</v>
      </c>
      <c r="F34" s="41">
        <f t="shared" si="0"/>
        <v>2.5</v>
      </c>
      <c r="G34" s="41">
        <f t="shared" si="0"/>
        <v>3.71</v>
      </c>
      <c r="H34" s="41">
        <f t="shared" si="0"/>
        <v>2.0699999999999998</v>
      </c>
      <c r="I34" s="41">
        <f t="shared" si="0"/>
        <v>3.51</v>
      </c>
      <c r="J34" s="41">
        <f t="shared" si="0"/>
        <v>0.11</v>
      </c>
      <c r="K34" s="41">
        <f t="shared" si="0"/>
        <v>36.49</v>
      </c>
      <c r="L34" s="41">
        <f t="shared" si="0"/>
        <v>18.649999999999999</v>
      </c>
      <c r="M34" s="41">
        <f t="shared" si="0"/>
        <v>98.56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4.68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39.340000000000003</v>
      </c>
      <c r="C35" s="33">
        <f t="shared" si="1"/>
        <v>29.73</v>
      </c>
      <c r="D35" s="33">
        <f t="shared" si="1"/>
        <v>44.85</v>
      </c>
      <c r="E35" s="33">
        <f t="shared" si="1"/>
        <v>9.26</v>
      </c>
      <c r="F35" s="33">
        <f t="shared" si="1"/>
        <v>3.01</v>
      </c>
      <c r="G35" s="33">
        <f t="shared" si="1"/>
        <v>73.900000000000006</v>
      </c>
      <c r="H35" s="33">
        <f t="shared" si="1"/>
        <v>21.98</v>
      </c>
      <c r="I35" s="33">
        <f t="shared" si="1"/>
        <v>7.75</v>
      </c>
      <c r="J35" s="33">
        <f t="shared" si="1"/>
        <v>0.56000000000000005</v>
      </c>
      <c r="K35" s="33">
        <f t="shared" si="1"/>
        <v>350.26</v>
      </c>
      <c r="L35" s="33">
        <f t="shared" si="1"/>
        <v>19.809999999999999</v>
      </c>
      <c r="M35" s="33">
        <f t="shared" si="1"/>
        <v>101.82</v>
      </c>
      <c r="N35" s="33">
        <f t="shared" si="1"/>
        <v>69.599999999999994</v>
      </c>
      <c r="O35" s="33">
        <f t="shared" si="1"/>
        <v>0.8</v>
      </c>
      <c r="P35" s="33">
        <f t="shared" si="1"/>
        <v>1.03</v>
      </c>
      <c r="Q35" s="33">
        <f t="shared" si="1"/>
        <v>5.4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25.640416666666667</v>
      </c>
      <c r="C36" s="41">
        <f t="shared" si="2"/>
        <v>23.545833333333338</v>
      </c>
      <c r="D36" s="41">
        <f t="shared" si="2"/>
        <v>33.82500000000001</v>
      </c>
      <c r="E36" s="41">
        <f t="shared" si="2"/>
        <v>7.1579166666666696</v>
      </c>
      <c r="F36" s="41">
        <f t="shared" si="2"/>
        <v>2.7070833333333333</v>
      </c>
      <c r="G36" s="41">
        <f t="shared" si="2"/>
        <v>35.909166666666671</v>
      </c>
      <c r="H36" s="41">
        <f t="shared" si="2"/>
        <v>10.817500000000001</v>
      </c>
      <c r="I36" s="41">
        <f t="shared" si="2"/>
        <v>5.3912499999999994</v>
      </c>
      <c r="J36" s="41">
        <f t="shared" si="2"/>
        <v>0.37208333333333338</v>
      </c>
      <c r="K36" s="41">
        <f t="shared" si="2"/>
        <v>158.12499999999997</v>
      </c>
      <c r="L36" s="41">
        <f t="shared" si="2"/>
        <v>19.283333333333335</v>
      </c>
      <c r="M36" s="41">
        <f t="shared" si="2"/>
        <v>100.27541666666666</v>
      </c>
      <c r="N36" s="41">
        <f t="shared" si="2"/>
        <v>15.995833333333332</v>
      </c>
      <c r="O36" s="41">
        <f t="shared" si="2"/>
        <v>0.13333333333333336</v>
      </c>
      <c r="P36" s="41">
        <f t="shared" si="2"/>
        <v>0.75416666666666654</v>
      </c>
      <c r="Q36" s="41">
        <f t="shared" si="2"/>
        <v>5.0312500000000009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8.4938778357359119</v>
      </c>
      <c r="C37" s="41">
        <f t="shared" ref="C37:Q37" si="3">STDEV(C9:C32)</f>
        <v>2.9796496973369857</v>
      </c>
      <c r="D37" s="41">
        <f t="shared" si="3"/>
        <v>7.2679439111519821</v>
      </c>
      <c r="E37" s="41">
        <f t="shared" si="3"/>
        <v>1.1024201801596025</v>
      </c>
      <c r="F37" s="41">
        <f t="shared" si="3"/>
        <v>0.10816570085096545</v>
      </c>
      <c r="G37" s="41">
        <f t="shared" si="3"/>
        <v>29.225738048726051</v>
      </c>
      <c r="H37" s="41">
        <f t="shared" si="3"/>
        <v>7.4492831578090373</v>
      </c>
      <c r="I37" s="41">
        <f t="shared" si="3"/>
        <v>1.5396055748427806</v>
      </c>
      <c r="J37" s="41">
        <f t="shared" si="3"/>
        <v>0.11545671753167219</v>
      </c>
      <c r="K37" s="41">
        <f t="shared" si="3"/>
        <v>120.82006643010058</v>
      </c>
      <c r="L37" s="41">
        <f t="shared" si="3"/>
        <v>0.4123808567506731</v>
      </c>
      <c r="M37" s="41">
        <f t="shared" si="3"/>
        <v>0.78646141543642567</v>
      </c>
      <c r="N37" s="41">
        <f t="shared" si="3"/>
        <v>22.740434762519513</v>
      </c>
      <c r="O37" s="41">
        <f t="shared" si="3"/>
        <v>0.20989990713312087</v>
      </c>
      <c r="P37" s="41">
        <f t="shared" si="3"/>
        <v>0.20934507951905826</v>
      </c>
      <c r="Q37" s="41">
        <f t="shared" si="3"/>
        <v>0.24261819172625207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228</v>
      </c>
      <c r="B9" s="51">
        <v>35.32</v>
      </c>
      <c r="C9" s="51">
        <v>23.36</v>
      </c>
      <c r="D9" s="51">
        <v>41.66</v>
      </c>
      <c r="E9" s="51">
        <v>5.5</v>
      </c>
      <c r="F9" s="51">
        <v>2.64</v>
      </c>
      <c r="G9" s="51">
        <v>60.42</v>
      </c>
      <c r="H9" s="51">
        <v>17.7</v>
      </c>
      <c r="I9" s="51">
        <v>7.45</v>
      </c>
      <c r="J9" s="51">
        <v>0.12</v>
      </c>
      <c r="K9" s="51">
        <v>116.98</v>
      </c>
      <c r="L9" s="51">
        <v>19.25</v>
      </c>
      <c r="M9" s="51">
        <v>101.62</v>
      </c>
      <c r="N9" s="51">
        <v>0</v>
      </c>
      <c r="O9" s="51">
        <v>0</v>
      </c>
      <c r="P9" s="51">
        <v>0.97</v>
      </c>
      <c r="Q9" s="51">
        <v>5.27</v>
      </c>
    </row>
    <row r="10" spans="1:21" customFormat="1">
      <c r="A10" s="50" t="s">
        <v>229</v>
      </c>
      <c r="B10" s="51">
        <v>32.82</v>
      </c>
      <c r="C10" s="51">
        <v>23.84</v>
      </c>
      <c r="D10" s="51">
        <v>40.119999999999997</v>
      </c>
      <c r="E10" s="51">
        <v>5.2</v>
      </c>
      <c r="F10" s="51">
        <v>2.75</v>
      </c>
      <c r="G10" s="51">
        <v>48.02</v>
      </c>
      <c r="H10" s="51">
        <v>16.13</v>
      </c>
      <c r="I10" s="51">
        <v>7.15</v>
      </c>
      <c r="J10" s="51">
        <v>0.22</v>
      </c>
      <c r="K10" s="51">
        <v>34.58</v>
      </c>
      <c r="L10" s="51">
        <v>19.170000000000002</v>
      </c>
      <c r="M10" s="51">
        <v>101.22</v>
      </c>
      <c r="N10" s="51">
        <v>0</v>
      </c>
      <c r="O10" s="51">
        <v>0</v>
      </c>
      <c r="P10" s="51">
        <v>0.94</v>
      </c>
      <c r="Q10" s="51">
        <v>5.21</v>
      </c>
    </row>
    <row r="11" spans="1:21" customFormat="1">
      <c r="A11" s="50" t="s">
        <v>230</v>
      </c>
      <c r="B11" s="51">
        <v>32.130000000000003</v>
      </c>
      <c r="C11" s="51">
        <v>24.58</v>
      </c>
      <c r="D11" s="51">
        <v>39.78</v>
      </c>
      <c r="E11" s="51">
        <v>6.83</v>
      </c>
      <c r="F11" s="51">
        <v>2.61</v>
      </c>
      <c r="G11" s="51">
        <v>36.51</v>
      </c>
      <c r="H11" s="51">
        <v>15.06</v>
      </c>
      <c r="I11" s="51">
        <v>6.92</v>
      </c>
      <c r="J11" s="51">
        <v>0.32</v>
      </c>
      <c r="K11" s="51">
        <v>39.909999999999997</v>
      </c>
      <c r="L11" s="51">
        <v>19.05</v>
      </c>
      <c r="M11" s="51">
        <v>101.91</v>
      </c>
      <c r="N11" s="51">
        <v>0</v>
      </c>
      <c r="O11" s="51">
        <v>0</v>
      </c>
      <c r="P11" s="51">
        <v>0.91</v>
      </c>
      <c r="Q11" s="51">
        <v>5.21</v>
      </c>
    </row>
    <row r="12" spans="1:21" customFormat="1">
      <c r="A12" s="50" t="s">
        <v>231</v>
      </c>
      <c r="B12" s="51">
        <v>31.36</v>
      </c>
      <c r="C12" s="51">
        <v>25.02</v>
      </c>
      <c r="D12" s="51">
        <v>39.54</v>
      </c>
      <c r="E12" s="51">
        <v>7.29</v>
      </c>
      <c r="F12" s="51">
        <v>2.66</v>
      </c>
      <c r="G12" s="51">
        <v>36.880000000000003</v>
      </c>
      <c r="H12" s="51">
        <v>15.06</v>
      </c>
      <c r="I12" s="51">
        <v>6.71</v>
      </c>
      <c r="J12" s="51">
        <v>0.17</v>
      </c>
      <c r="K12" s="51">
        <v>351.08</v>
      </c>
      <c r="L12" s="51">
        <v>19.03</v>
      </c>
      <c r="M12" s="51">
        <v>101.93</v>
      </c>
      <c r="N12" s="51">
        <v>0</v>
      </c>
      <c r="O12" s="51">
        <v>0</v>
      </c>
      <c r="P12" s="51">
        <v>0.88</v>
      </c>
      <c r="Q12" s="51">
        <v>5.19</v>
      </c>
    </row>
    <row r="13" spans="1:21" customFormat="1">
      <c r="A13" s="50" t="s">
        <v>232</v>
      </c>
      <c r="B13" s="51">
        <v>30.46</v>
      </c>
      <c r="C13" s="51">
        <v>25.14</v>
      </c>
      <c r="D13" s="51">
        <v>38.65</v>
      </c>
      <c r="E13" s="51">
        <v>6.97</v>
      </c>
      <c r="F13" s="51">
        <v>2.62</v>
      </c>
      <c r="G13" s="51">
        <v>36.880000000000003</v>
      </c>
      <c r="H13" s="51">
        <v>13.28</v>
      </c>
      <c r="I13" s="51">
        <v>6.51</v>
      </c>
      <c r="J13" s="51">
        <v>0.43</v>
      </c>
      <c r="K13" s="51">
        <v>333.54</v>
      </c>
      <c r="L13" s="51">
        <v>19.03</v>
      </c>
      <c r="M13" s="51">
        <v>102.4</v>
      </c>
      <c r="N13" s="51">
        <v>0</v>
      </c>
      <c r="O13" s="51">
        <v>0</v>
      </c>
      <c r="P13" s="51">
        <v>0.84</v>
      </c>
      <c r="Q13" s="51">
        <v>5.17</v>
      </c>
    </row>
    <row r="14" spans="1:21" customFormat="1">
      <c r="A14" s="50" t="s">
        <v>233</v>
      </c>
      <c r="B14" s="51">
        <v>31.68</v>
      </c>
      <c r="C14" s="51">
        <v>25.05</v>
      </c>
      <c r="D14" s="51">
        <v>38.9</v>
      </c>
      <c r="E14" s="51">
        <v>7.09</v>
      </c>
      <c r="F14" s="51">
        <v>3.04</v>
      </c>
      <c r="G14" s="51">
        <v>32.94</v>
      </c>
      <c r="H14" s="51">
        <v>11.46</v>
      </c>
      <c r="I14" s="51">
        <v>6.4</v>
      </c>
      <c r="J14" s="51">
        <v>0.48</v>
      </c>
      <c r="K14" s="51">
        <v>41.42</v>
      </c>
      <c r="L14" s="51">
        <v>18.88</v>
      </c>
      <c r="M14" s="51">
        <v>100.82</v>
      </c>
      <c r="N14" s="51">
        <v>0</v>
      </c>
      <c r="O14" s="51">
        <v>0</v>
      </c>
      <c r="P14" s="51">
        <v>0.81</v>
      </c>
      <c r="Q14" s="51">
        <v>5.17</v>
      </c>
    </row>
    <row r="15" spans="1:21" customFormat="1">
      <c r="A15" s="50" t="s">
        <v>234</v>
      </c>
      <c r="B15" s="51">
        <v>31.96</v>
      </c>
      <c r="C15" s="51">
        <v>20.73</v>
      </c>
      <c r="D15" s="51">
        <v>37.619999999999997</v>
      </c>
      <c r="E15" s="51">
        <v>6.75</v>
      </c>
      <c r="F15" s="51">
        <v>2.75</v>
      </c>
      <c r="G15" s="51">
        <v>33.880000000000003</v>
      </c>
      <c r="H15" s="51">
        <v>11.46</v>
      </c>
      <c r="I15" s="51">
        <v>6.43</v>
      </c>
      <c r="J15" s="51">
        <v>0.45</v>
      </c>
      <c r="K15" s="51">
        <v>44.36</v>
      </c>
      <c r="L15" s="51">
        <v>19.16</v>
      </c>
      <c r="M15" s="51">
        <v>101.02</v>
      </c>
      <c r="N15" s="51">
        <v>5</v>
      </c>
      <c r="O15" s="51">
        <v>0</v>
      </c>
      <c r="P15" s="51">
        <v>0.77</v>
      </c>
      <c r="Q15" s="51">
        <v>5.15</v>
      </c>
    </row>
    <row r="16" spans="1:21" customFormat="1">
      <c r="A16" s="50" t="s">
        <v>235</v>
      </c>
      <c r="B16" s="51">
        <v>33.119999999999997</v>
      </c>
      <c r="C16" s="51">
        <v>21.55</v>
      </c>
      <c r="D16" s="51">
        <v>38.86</v>
      </c>
      <c r="E16" s="51">
        <v>6.86</v>
      </c>
      <c r="F16" s="51">
        <v>2.69</v>
      </c>
      <c r="G16" s="51">
        <v>37.159999999999997</v>
      </c>
      <c r="H16" s="51">
        <v>11.33</v>
      </c>
      <c r="I16" s="51">
        <v>6.4</v>
      </c>
      <c r="J16" s="51">
        <v>0.47</v>
      </c>
      <c r="K16" s="51">
        <v>49.75</v>
      </c>
      <c r="L16" s="51">
        <v>19.8</v>
      </c>
      <c r="M16" s="51">
        <v>100.32</v>
      </c>
      <c r="N16" s="51">
        <v>62.6</v>
      </c>
      <c r="O16" s="51">
        <v>0</v>
      </c>
      <c r="P16" s="51">
        <v>0.78</v>
      </c>
      <c r="Q16" s="51">
        <v>5.17</v>
      </c>
    </row>
    <row r="17" spans="1:17" customFormat="1">
      <c r="A17" s="50" t="s">
        <v>236</v>
      </c>
      <c r="B17" s="51">
        <v>33.130000000000003</v>
      </c>
      <c r="C17" s="51">
        <v>21.07</v>
      </c>
      <c r="D17" s="51">
        <v>38.700000000000003</v>
      </c>
      <c r="E17" s="51">
        <v>6.87</v>
      </c>
      <c r="F17" s="51">
        <v>2.63</v>
      </c>
      <c r="G17" s="51">
        <v>38.1</v>
      </c>
      <c r="H17" s="51">
        <v>10.64</v>
      </c>
      <c r="I17" s="51">
        <v>6.41</v>
      </c>
      <c r="J17" s="51">
        <v>0.48</v>
      </c>
      <c r="K17" s="51">
        <v>50.86</v>
      </c>
      <c r="L17" s="51">
        <v>21.18</v>
      </c>
      <c r="M17" s="51">
        <v>93.82</v>
      </c>
      <c r="N17" s="51">
        <v>206.7</v>
      </c>
      <c r="O17" s="51">
        <v>0</v>
      </c>
      <c r="P17" s="51">
        <v>0.76</v>
      </c>
      <c r="Q17" s="51">
        <v>5.18</v>
      </c>
    </row>
    <row r="18" spans="1:17" customFormat="1">
      <c r="A18" s="50" t="s">
        <v>237</v>
      </c>
      <c r="B18" s="51">
        <v>32.71</v>
      </c>
      <c r="C18" s="51">
        <v>20.81</v>
      </c>
      <c r="D18" s="51">
        <v>38.090000000000003</v>
      </c>
      <c r="E18" s="51">
        <v>6.7</v>
      </c>
      <c r="F18" s="51">
        <v>2.69</v>
      </c>
      <c r="G18" s="51">
        <v>38.1</v>
      </c>
      <c r="H18" s="51">
        <v>10.64</v>
      </c>
      <c r="I18" s="51">
        <v>6.35</v>
      </c>
      <c r="J18" s="51">
        <v>0.61</v>
      </c>
      <c r="K18" s="51">
        <v>60.94</v>
      </c>
      <c r="L18" s="51">
        <v>21.53</v>
      </c>
      <c r="M18" s="51">
        <v>86.47</v>
      </c>
      <c r="N18" s="51">
        <v>119</v>
      </c>
      <c r="O18" s="51">
        <v>0</v>
      </c>
      <c r="P18" s="51">
        <v>0.78</v>
      </c>
      <c r="Q18" s="51">
        <v>5.17</v>
      </c>
    </row>
    <row r="19" spans="1:17" customFormat="1">
      <c r="A19" s="50" t="s">
        <v>238</v>
      </c>
      <c r="B19" s="51">
        <v>32.049999999999997</v>
      </c>
      <c r="C19" s="51">
        <v>23.44</v>
      </c>
      <c r="D19" s="51">
        <v>38.36</v>
      </c>
      <c r="E19" s="51">
        <v>8.56</v>
      </c>
      <c r="F19" s="51">
        <v>2.66</v>
      </c>
      <c r="G19" s="51">
        <v>36.35</v>
      </c>
      <c r="H19" s="51">
        <v>9.84</v>
      </c>
      <c r="I19" s="51">
        <v>6.29</v>
      </c>
      <c r="J19" s="51">
        <v>0.37</v>
      </c>
      <c r="K19" s="51">
        <v>341.3</v>
      </c>
      <c r="L19" s="51">
        <v>23.06</v>
      </c>
      <c r="M19" s="51">
        <v>80.38</v>
      </c>
      <c r="N19" s="51">
        <v>362.1</v>
      </c>
      <c r="O19" s="51">
        <v>0</v>
      </c>
      <c r="P19" s="51">
        <v>0.8</v>
      </c>
      <c r="Q19" s="51">
        <v>5.16</v>
      </c>
    </row>
    <row r="20" spans="1:17" customFormat="1">
      <c r="A20" s="50" t="s">
        <v>239</v>
      </c>
      <c r="B20" s="51">
        <v>30.12</v>
      </c>
      <c r="C20" s="51">
        <v>25.08</v>
      </c>
      <c r="D20" s="51">
        <v>38.119999999999997</v>
      </c>
      <c r="E20" s="51">
        <v>8.6999999999999993</v>
      </c>
      <c r="F20" s="51">
        <v>2.79</v>
      </c>
      <c r="G20" s="51">
        <v>33.81</v>
      </c>
      <c r="H20" s="51">
        <v>11.4</v>
      </c>
      <c r="I20" s="51">
        <v>6.05</v>
      </c>
      <c r="J20" s="51">
        <v>0.31</v>
      </c>
      <c r="K20" s="51">
        <v>293.27</v>
      </c>
      <c r="L20" s="51">
        <v>23.53</v>
      </c>
      <c r="M20" s="51">
        <v>78.48</v>
      </c>
      <c r="N20" s="51">
        <v>260.60000000000002</v>
      </c>
      <c r="O20" s="51">
        <v>0</v>
      </c>
      <c r="P20" s="51">
        <v>0.78</v>
      </c>
      <c r="Q20" s="51">
        <v>5.13</v>
      </c>
    </row>
    <row r="21" spans="1:17" customFormat="1">
      <c r="A21" s="50" t="s">
        <v>240</v>
      </c>
      <c r="B21" s="51">
        <v>27.7</v>
      </c>
      <c r="C21" s="51">
        <v>25.59</v>
      </c>
      <c r="D21" s="51">
        <v>36.72</v>
      </c>
      <c r="E21" s="51">
        <v>9.31</v>
      </c>
      <c r="F21" s="51">
        <v>2.79</v>
      </c>
      <c r="G21" s="51">
        <v>33.81</v>
      </c>
      <c r="H21" s="51">
        <v>11.4</v>
      </c>
      <c r="I21" s="51">
        <v>5.83</v>
      </c>
      <c r="J21" s="51">
        <v>0.37</v>
      </c>
      <c r="K21" s="51">
        <v>145.16</v>
      </c>
      <c r="L21" s="51">
        <v>24.82</v>
      </c>
      <c r="M21" s="51">
        <v>71.349999999999994</v>
      </c>
      <c r="N21" s="51">
        <v>388.8</v>
      </c>
      <c r="O21" s="51">
        <v>0</v>
      </c>
      <c r="P21" s="51">
        <v>0.77</v>
      </c>
      <c r="Q21" s="51">
        <v>5.08</v>
      </c>
    </row>
    <row r="22" spans="1:17" customFormat="1">
      <c r="A22" s="50" t="s">
        <v>241</v>
      </c>
      <c r="B22" s="51">
        <v>24.07</v>
      </c>
      <c r="C22" s="51">
        <v>25.92</v>
      </c>
      <c r="D22" s="51">
        <v>34.11</v>
      </c>
      <c r="E22" s="51">
        <v>8.99</v>
      </c>
      <c r="F22" s="51">
        <v>2.75</v>
      </c>
      <c r="G22" s="51">
        <v>31.91</v>
      </c>
      <c r="H22" s="51">
        <v>10.53</v>
      </c>
      <c r="I22" s="51">
        <v>5.55</v>
      </c>
      <c r="J22" s="51">
        <v>0.32</v>
      </c>
      <c r="K22" s="51">
        <v>293.82</v>
      </c>
      <c r="L22" s="51">
        <v>25.39</v>
      </c>
      <c r="M22" s="51">
        <v>66.900000000000006</v>
      </c>
      <c r="N22" s="51">
        <v>570.4</v>
      </c>
      <c r="O22" s="51">
        <v>0</v>
      </c>
      <c r="P22" s="51">
        <v>0.74</v>
      </c>
      <c r="Q22" s="51">
        <v>5.01</v>
      </c>
    </row>
    <row r="23" spans="1:17" customFormat="1">
      <c r="A23" s="50" t="s">
        <v>242</v>
      </c>
      <c r="B23" s="51">
        <v>20.58</v>
      </c>
      <c r="C23" s="51">
        <v>26.16</v>
      </c>
      <c r="D23" s="51">
        <v>31.38</v>
      </c>
      <c r="E23" s="51">
        <v>9.34</v>
      </c>
      <c r="F23" s="51">
        <v>2.89</v>
      </c>
      <c r="G23" s="51">
        <v>26.82</v>
      </c>
      <c r="H23" s="51">
        <v>9.07</v>
      </c>
      <c r="I23" s="51">
        <v>5.24</v>
      </c>
      <c r="J23" s="51">
        <v>0.5</v>
      </c>
      <c r="K23" s="51">
        <v>296.67</v>
      </c>
      <c r="L23" s="51">
        <v>24.84</v>
      </c>
      <c r="M23" s="51">
        <v>65.069999999999993</v>
      </c>
      <c r="N23" s="51">
        <v>161.19999999999999</v>
      </c>
      <c r="O23" s="51">
        <v>0</v>
      </c>
      <c r="P23" s="51">
        <v>0.64</v>
      </c>
      <c r="Q23" s="51">
        <v>4.8899999999999997</v>
      </c>
    </row>
    <row r="24" spans="1:17" customFormat="1">
      <c r="A24" s="50" t="s">
        <v>243</v>
      </c>
      <c r="B24" s="51">
        <v>18.82</v>
      </c>
      <c r="C24" s="51">
        <v>22.35</v>
      </c>
      <c r="D24" s="51">
        <v>28.03</v>
      </c>
      <c r="E24" s="51">
        <v>9.07</v>
      </c>
      <c r="F24" s="51">
        <v>3.18</v>
      </c>
      <c r="G24" s="51">
        <v>26.52</v>
      </c>
      <c r="H24" s="51">
        <v>9.0500000000000007</v>
      </c>
      <c r="I24" s="51">
        <v>5</v>
      </c>
      <c r="J24" s="51">
        <v>0.44</v>
      </c>
      <c r="K24" s="51">
        <v>282.52999999999997</v>
      </c>
      <c r="L24" s="51">
        <v>24.56</v>
      </c>
      <c r="M24" s="51">
        <v>67.599999999999994</v>
      </c>
      <c r="N24" s="51">
        <v>105.1</v>
      </c>
      <c r="O24" s="51">
        <v>0</v>
      </c>
      <c r="P24" s="51">
        <v>0.61</v>
      </c>
      <c r="Q24" s="51">
        <v>4.79</v>
      </c>
    </row>
    <row r="25" spans="1:17" customFormat="1">
      <c r="A25" s="50" t="s">
        <v>244</v>
      </c>
      <c r="B25" s="51">
        <v>18.5</v>
      </c>
      <c r="C25" s="51">
        <v>20.77</v>
      </c>
      <c r="D25" s="51">
        <v>26.84</v>
      </c>
      <c r="E25" s="51">
        <v>8.32</v>
      </c>
      <c r="F25" s="51">
        <v>2.8</v>
      </c>
      <c r="G25" s="51">
        <v>28.58</v>
      </c>
      <c r="H25" s="51">
        <v>12.53</v>
      </c>
      <c r="I25" s="51">
        <v>5.07</v>
      </c>
      <c r="J25" s="51">
        <v>0.22</v>
      </c>
      <c r="K25" s="51">
        <v>270.10000000000002</v>
      </c>
      <c r="L25" s="51">
        <v>23.76</v>
      </c>
      <c r="M25" s="51">
        <v>76.53</v>
      </c>
      <c r="N25" s="51">
        <v>35.799999999999997</v>
      </c>
      <c r="O25" s="51">
        <v>0</v>
      </c>
      <c r="P25" s="51">
        <v>0.6</v>
      </c>
      <c r="Q25" s="51">
        <v>4.74</v>
      </c>
    </row>
    <row r="26" spans="1:17" customFormat="1">
      <c r="A26" s="50" t="s">
        <v>245</v>
      </c>
      <c r="B26" s="51">
        <v>18.079999999999998</v>
      </c>
      <c r="C26" s="51">
        <v>21.11</v>
      </c>
      <c r="D26" s="51">
        <v>26.88</v>
      </c>
      <c r="E26" s="51">
        <v>8.39</v>
      </c>
      <c r="F26" s="51">
        <v>2.88</v>
      </c>
      <c r="G26" s="51">
        <v>31.43</v>
      </c>
      <c r="H26" s="51">
        <v>12.53</v>
      </c>
      <c r="I26" s="51">
        <v>5.12</v>
      </c>
      <c r="J26" s="51">
        <v>0.13</v>
      </c>
      <c r="K26" s="51">
        <v>214.91</v>
      </c>
      <c r="L26" s="51">
        <v>22.02</v>
      </c>
      <c r="M26" s="51">
        <v>87.33</v>
      </c>
      <c r="N26" s="51">
        <v>0</v>
      </c>
      <c r="O26" s="51">
        <v>0</v>
      </c>
      <c r="P26" s="51">
        <v>0.6</v>
      </c>
      <c r="Q26" s="51">
        <v>4.7300000000000004</v>
      </c>
    </row>
    <row r="27" spans="1:17" customFormat="1">
      <c r="A27" s="50" t="s">
        <v>246</v>
      </c>
      <c r="B27" s="51">
        <v>17.86</v>
      </c>
      <c r="C27" s="51">
        <v>20.53</v>
      </c>
      <c r="D27" s="51">
        <v>26.4</v>
      </c>
      <c r="E27" s="51">
        <v>8.39</v>
      </c>
      <c r="F27" s="51">
        <v>2.54</v>
      </c>
      <c r="G27" s="51">
        <v>31.92</v>
      </c>
      <c r="H27" s="51">
        <v>14.2</v>
      </c>
      <c r="I27" s="51">
        <v>5.32</v>
      </c>
      <c r="J27" s="51">
        <v>0.2</v>
      </c>
      <c r="K27" s="51">
        <v>216.75</v>
      </c>
      <c r="L27" s="51">
        <v>20.32</v>
      </c>
      <c r="M27" s="51">
        <v>92.22</v>
      </c>
      <c r="N27" s="51">
        <v>0</v>
      </c>
      <c r="O27" s="51">
        <v>0</v>
      </c>
      <c r="P27" s="51">
        <v>0.64</v>
      </c>
      <c r="Q27" s="51">
        <v>4.72</v>
      </c>
    </row>
    <row r="28" spans="1:17" customFormat="1">
      <c r="A28" s="50" t="s">
        <v>247</v>
      </c>
      <c r="B28" s="51">
        <v>17.77</v>
      </c>
      <c r="C28" s="51">
        <v>21.01</v>
      </c>
      <c r="D28" s="51">
        <v>26.42</v>
      </c>
      <c r="E28" s="51">
        <v>8.68</v>
      </c>
      <c r="F28" s="51">
        <v>2.65</v>
      </c>
      <c r="G28" s="51">
        <v>35.35</v>
      </c>
      <c r="H28" s="51">
        <v>14.2</v>
      </c>
      <c r="I28" s="51">
        <v>5.64</v>
      </c>
      <c r="J28" s="51">
        <v>0.09</v>
      </c>
      <c r="K28" s="51">
        <v>244.98</v>
      </c>
      <c r="L28" s="51">
        <v>19.59</v>
      </c>
      <c r="M28" s="51">
        <v>94.66</v>
      </c>
      <c r="N28" s="51">
        <v>0</v>
      </c>
      <c r="O28" s="51">
        <v>0</v>
      </c>
      <c r="P28" s="51">
        <v>0.7</v>
      </c>
      <c r="Q28" s="51">
        <v>4.75</v>
      </c>
    </row>
    <row r="29" spans="1:17" customFormat="1">
      <c r="A29" s="50" t="s">
        <v>248</v>
      </c>
      <c r="B29" s="51">
        <v>17.309999999999999</v>
      </c>
      <c r="C29" s="51">
        <v>22.05</v>
      </c>
      <c r="D29" s="51">
        <v>26.48</v>
      </c>
      <c r="E29" s="51">
        <v>9</v>
      </c>
      <c r="F29" s="51">
        <v>2.61</v>
      </c>
      <c r="G29" s="51">
        <v>35.35</v>
      </c>
      <c r="H29" s="51">
        <v>14.65</v>
      </c>
      <c r="I29" s="51">
        <v>6.18</v>
      </c>
      <c r="J29" s="51">
        <v>0.1</v>
      </c>
      <c r="K29" s="51">
        <v>204.32</v>
      </c>
      <c r="L29" s="51">
        <v>19.329999999999998</v>
      </c>
      <c r="M29" s="51">
        <v>95.47</v>
      </c>
      <c r="N29" s="51">
        <v>0</v>
      </c>
      <c r="O29" s="51">
        <v>0</v>
      </c>
      <c r="P29" s="51">
        <v>0.76</v>
      </c>
      <c r="Q29" s="51">
        <v>4.76</v>
      </c>
    </row>
    <row r="30" spans="1:17" customFormat="1">
      <c r="A30" s="50" t="s">
        <v>249</v>
      </c>
      <c r="B30" s="51">
        <v>16.46</v>
      </c>
      <c r="C30" s="51">
        <v>22.71</v>
      </c>
      <c r="D30" s="51">
        <v>26.26</v>
      </c>
      <c r="E30" s="51">
        <v>9.0299999999999994</v>
      </c>
      <c r="F30" s="51">
        <v>2.74</v>
      </c>
      <c r="G30" s="51">
        <v>35.32</v>
      </c>
      <c r="H30" s="51">
        <v>15.7</v>
      </c>
      <c r="I30" s="51">
        <v>6.41</v>
      </c>
      <c r="J30" s="51">
        <v>0.17</v>
      </c>
      <c r="K30" s="51">
        <v>239.42</v>
      </c>
      <c r="L30" s="51">
        <v>19.32</v>
      </c>
      <c r="M30" s="51">
        <v>94.99</v>
      </c>
      <c r="N30" s="51">
        <v>0</v>
      </c>
      <c r="O30" s="51">
        <v>0</v>
      </c>
      <c r="P30" s="51">
        <v>0.79</v>
      </c>
      <c r="Q30" s="51">
        <v>4.71</v>
      </c>
    </row>
    <row r="31" spans="1:17" customFormat="1">
      <c r="A31" s="50" t="s">
        <v>250</v>
      </c>
      <c r="B31" s="51">
        <v>15.78</v>
      </c>
      <c r="C31" s="51">
        <v>22.74</v>
      </c>
      <c r="D31" s="51">
        <v>25.73</v>
      </c>
      <c r="E31" s="51">
        <v>9.06</v>
      </c>
      <c r="F31" s="51">
        <v>2.59</v>
      </c>
      <c r="G31" s="51">
        <v>35.32</v>
      </c>
      <c r="H31" s="51">
        <v>16.79</v>
      </c>
      <c r="I31" s="51">
        <v>6.53</v>
      </c>
      <c r="J31" s="51">
        <v>0.09</v>
      </c>
      <c r="K31" s="51">
        <v>231.23</v>
      </c>
      <c r="L31" s="51">
        <v>19.22</v>
      </c>
      <c r="M31" s="51">
        <v>95.17</v>
      </c>
      <c r="N31" s="51">
        <v>0</v>
      </c>
      <c r="O31" s="51">
        <v>0</v>
      </c>
      <c r="P31" s="51">
        <v>0.8</v>
      </c>
      <c r="Q31" s="51">
        <v>4.74</v>
      </c>
    </row>
    <row r="32" spans="1:17" customFormat="1">
      <c r="A32" s="50" t="s">
        <v>251</v>
      </c>
      <c r="B32" s="51">
        <v>15.01</v>
      </c>
      <c r="C32" s="51">
        <v>22.97</v>
      </c>
      <c r="D32" s="51">
        <v>25.39</v>
      </c>
      <c r="E32" s="51">
        <v>9.1199999999999992</v>
      </c>
      <c r="F32" s="51">
        <v>2.67</v>
      </c>
      <c r="G32" s="51">
        <v>36.22</v>
      </c>
      <c r="H32" s="51">
        <v>16.79</v>
      </c>
      <c r="I32" s="51">
        <v>6.47</v>
      </c>
      <c r="J32" s="51">
        <v>0.1</v>
      </c>
      <c r="K32" s="51">
        <v>255.76</v>
      </c>
      <c r="L32" s="51">
        <v>19.18</v>
      </c>
      <c r="M32" s="51">
        <v>96.74</v>
      </c>
      <c r="N32" s="51">
        <v>0</v>
      </c>
      <c r="O32" s="51">
        <v>0</v>
      </c>
      <c r="P32" s="51">
        <v>0.79</v>
      </c>
      <c r="Q32" s="51">
        <v>4.6900000000000004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15.01</v>
      </c>
      <c r="C34" s="41">
        <f t="shared" si="0"/>
        <v>20.53</v>
      </c>
      <c r="D34" s="41">
        <f t="shared" si="0"/>
        <v>25.39</v>
      </c>
      <c r="E34" s="41">
        <f t="shared" si="0"/>
        <v>5.2</v>
      </c>
      <c r="F34" s="41">
        <f t="shared" si="0"/>
        <v>2.54</v>
      </c>
      <c r="G34" s="41">
        <f t="shared" si="0"/>
        <v>26.52</v>
      </c>
      <c r="H34" s="41">
        <f t="shared" si="0"/>
        <v>9.0500000000000007</v>
      </c>
      <c r="I34" s="41">
        <f t="shared" si="0"/>
        <v>5</v>
      </c>
      <c r="J34" s="41">
        <f t="shared" si="0"/>
        <v>0.09</v>
      </c>
      <c r="K34" s="41">
        <f t="shared" si="0"/>
        <v>34.58</v>
      </c>
      <c r="L34" s="41">
        <f t="shared" si="0"/>
        <v>18.88</v>
      </c>
      <c r="M34" s="41">
        <f t="shared" si="0"/>
        <v>65.069999999999993</v>
      </c>
      <c r="N34" s="41">
        <f t="shared" si="0"/>
        <v>0</v>
      </c>
      <c r="O34" s="41">
        <f t="shared" si="0"/>
        <v>0</v>
      </c>
      <c r="P34" s="41">
        <f t="shared" si="0"/>
        <v>0.6</v>
      </c>
      <c r="Q34" s="41">
        <f t="shared" si="0"/>
        <v>4.6900000000000004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35.32</v>
      </c>
      <c r="C35" s="33">
        <f t="shared" si="1"/>
        <v>26.16</v>
      </c>
      <c r="D35" s="33">
        <f t="shared" si="1"/>
        <v>41.66</v>
      </c>
      <c r="E35" s="33">
        <f t="shared" si="1"/>
        <v>9.34</v>
      </c>
      <c r="F35" s="33">
        <f t="shared" si="1"/>
        <v>3.18</v>
      </c>
      <c r="G35" s="33">
        <f t="shared" si="1"/>
        <v>60.42</v>
      </c>
      <c r="H35" s="33">
        <f t="shared" si="1"/>
        <v>17.7</v>
      </c>
      <c r="I35" s="33">
        <f t="shared" si="1"/>
        <v>7.45</v>
      </c>
      <c r="J35" s="33">
        <f t="shared" si="1"/>
        <v>0.61</v>
      </c>
      <c r="K35" s="33">
        <f t="shared" si="1"/>
        <v>351.08</v>
      </c>
      <c r="L35" s="33">
        <f t="shared" si="1"/>
        <v>25.39</v>
      </c>
      <c r="M35" s="33">
        <f t="shared" si="1"/>
        <v>102.4</v>
      </c>
      <c r="N35" s="33">
        <f t="shared" si="1"/>
        <v>570.4</v>
      </c>
      <c r="O35" s="33">
        <f t="shared" si="1"/>
        <v>0</v>
      </c>
      <c r="P35" s="33">
        <f t="shared" si="1"/>
        <v>0.97</v>
      </c>
      <c r="Q35" s="33">
        <f t="shared" si="1"/>
        <v>5.27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25.616666666666664</v>
      </c>
      <c r="C36" s="41">
        <f t="shared" si="2"/>
        <v>23.065833333333334</v>
      </c>
      <c r="D36" s="41">
        <f t="shared" si="2"/>
        <v>33.71</v>
      </c>
      <c r="E36" s="41">
        <f t="shared" si="2"/>
        <v>7.9175000000000004</v>
      </c>
      <c r="F36" s="41">
        <f t="shared" si="2"/>
        <v>2.7341666666666669</v>
      </c>
      <c r="G36" s="41">
        <f t="shared" si="2"/>
        <v>35.733333333333341</v>
      </c>
      <c r="H36" s="41">
        <f t="shared" si="2"/>
        <v>12.976666666666667</v>
      </c>
      <c r="I36" s="41">
        <f t="shared" si="2"/>
        <v>6.1429166666666655</v>
      </c>
      <c r="J36" s="41">
        <f t="shared" si="2"/>
        <v>0.29833333333333328</v>
      </c>
      <c r="K36" s="41">
        <f t="shared" si="2"/>
        <v>193.90166666666664</v>
      </c>
      <c r="L36" s="41">
        <f t="shared" si="2"/>
        <v>21.042499999999997</v>
      </c>
      <c r="M36" s="41">
        <f t="shared" si="2"/>
        <v>89.767499999999984</v>
      </c>
      <c r="N36" s="41">
        <f t="shared" si="2"/>
        <v>94.887499999999989</v>
      </c>
      <c r="O36" s="41">
        <f t="shared" si="2"/>
        <v>0</v>
      </c>
      <c r="P36" s="41">
        <f t="shared" si="2"/>
        <v>0.76916666666666655</v>
      </c>
      <c r="Q36" s="41">
        <f t="shared" si="2"/>
        <v>4.9912500000000009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7.2718376761590404</v>
      </c>
      <c r="C37" s="41">
        <f t="shared" ref="C37:Q37" si="3">STDEV(C9:C32)</f>
        <v>1.8846079436978793</v>
      </c>
      <c r="D37" s="41">
        <f t="shared" si="3"/>
        <v>6.0485190426000575</v>
      </c>
      <c r="E37" s="41">
        <f t="shared" si="3"/>
        <v>1.2382640373066387</v>
      </c>
      <c r="F37" s="41">
        <f t="shared" si="3"/>
        <v>0.1470556436143812</v>
      </c>
      <c r="G37" s="41">
        <f t="shared" si="3"/>
        <v>6.7885265524723897</v>
      </c>
      <c r="H37" s="41">
        <f t="shared" si="3"/>
        <v>2.5827785285494738</v>
      </c>
      <c r="I37" s="41">
        <f t="shared" si="3"/>
        <v>0.66496472065076873</v>
      </c>
      <c r="J37" s="41">
        <f t="shared" si="3"/>
        <v>0.15955554209895928</v>
      </c>
      <c r="K37" s="41">
        <f t="shared" si="3"/>
        <v>110.9064281536337</v>
      </c>
      <c r="L37" s="41">
        <f t="shared" si="3"/>
        <v>2.3096625953476457</v>
      </c>
      <c r="M37" s="41">
        <f t="shared" si="3"/>
        <v>12.58321941593522</v>
      </c>
      <c r="N37" s="41">
        <f t="shared" si="3"/>
        <v>155.84354002457499</v>
      </c>
      <c r="O37" s="41">
        <f t="shared" si="3"/>
        <v>0</v>
      </c>
      <c r="P37" s="41">
        <f t="shared" si="3"/>
        <v>0.10068965089373141</v>
      </c>
      <c r="Q37" s="41">
        <f t="shared" si="3"/>
        <v>0.21446216854989358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252</v>
      </c>
      <c r="B9" s="51">
        <v>14.97</v>
      </c>
      <c r="C9" s="51">
        <v>22.13</v>
      </c>
      <c r="D9" s="51">
        <v>24.76</v>
      </c>
      <c r="E9" s="51">
        <v>9.0299999999999994</v>
      </c>
      <c r="F9" s="51">
        <v>2.84</v>
      </c>
      <c r="G9" s="51">
        <v>36.22</v>
      </c>
      <c r="H9" s="51">
        <v>16.66</v>
      </c>
      <c r="I9" s="51">
        <v>6.33</v>
      </c>
      <c r="J9" s="51">
        <v>0.14000000000000001</v>
      </c>
      <c r="K9" s="51">
        <v>280.64999999999998</v>
      </c>
      <c r="L9" s="51">
        <v>19.149999999999999</v>
      </c>
      <c r="M9" s="51">
        <v>96.95</v>
      </c>
      <c r="N9" s="51">
        <v>0</v>
      </c>
      <c r="O9" s="51">
        <v>0</v>
      </c>
      <c r="P9" s="51">
        <v>0.77</v>
      </c>
      <c r="Q9" s="51">
        <v>4.6900000000000004</v>
      </c>
    </row>
    <row r="10" spans="1:21" customFormat="1">
      <c r="A10" s="50" t="s">
        <v>253</v>
      </c>
      <c r="B10" s="51">
        <v>18.079999999999998</v>
      </c>
      <c r="C10" s="51">
        <v>19.84</v>
      </c>
      <c r="D10" s="51">
        <v>25.58</v>
      </c>
      <c r="E10" s="51">
        <v>8.75</v>
      </c>
      <c r="F10" s="51">
        <v>2.93</v>
      </c>
      <c r="G10" s="51">
        <v>37.18</v>
      </c>
      <c r="H10" s="51">
        <v>15.24</v>
      </c>
      <c r="I10" s="51">
        <v>6.18</v>
      </c>
      <c r="J10" s="51">
        <v>0.17</v>
      </c>
      <c r="K10" s="51">
        <v>134.06</v>
      </c>
      <c r="L10" s="51">
        <v>19.64</v>
      </c>
      <c r="M10" s="51">
        <v>94.12</v>
      </c>
      <c r="N10" s="51">
        <v>0</v>
      </c>
      <c r="O10" s="51">
        <v>0</v>
      </c>
      <c r="P10" s="51">
        <v>0.72</v>
      </c>
      <c r="Q10" s="51">
        <v>4.71</v>
      </c>
    </row>
    <row r="11" spans="1:21" customFormat="1">
      <c r="A11" s="50" t="s">
        <v>254</v>
      </c>
      <c r="B11" s="51">
        <v>21.35</v>
      </c>
      <c r="C11" s="51">
        <v>21.29</v>
      </c>
      <c r="D11" s="51">
        <v>28.99</v>
      </c>
      <c r="E11" s="51">
        <v>8.01</v>
      </c>
      <c r="F11" s="51">
        <v>2.7</v>
      </c>
      <c r="G11" s="51">
        <v>42.86</v>
      </c>
      <c r="H11" s="51">
        <v>14.79</v>
      </c>
      <c r="I11" s="51">
        <v>6.14</v>
      </c>
      <c r="J11" s="51">
        <v>0.15</v>
      </c>
      <c r="K11" s="51">
        <v>182.2</v>
      </c>
      <c r="L11" s="51">
        <v>19.48</v>
      </c>
      <c r="M11" s="51">
        <v>95.83</v>
      </c>
      <c r="N11" s="51">
        <v>0</v>
      </c>
      <c r="O11" s="51">
        <v>0</v>
      </c>
      <c r="P11" s="51">
        <v>0.71</v>
      </c>
      <c r="Q11" s="51">
        <v>4.79</v>
      </c>
    </row>
    <row r="12" spans="1:21" customFormat="1">
      <c r="A12" s="50" t="s">
        <v>255</v>
      </c>
      <c r="B12" s="51">
        <v>25.24</v>
      </c>
      <c r="C12" s="51">
        <v>21.03</v>
      </c>
      <c r="D12" s="51">
        <v>32.21</v>
      </c>
      <c r="E12" s="51">
        <v>8.17</v>
      </c>
      <c r="F12" s="51">
        <v>2.77</v>
      </c>
      <c r="G12" s="51">
        <v>47.37</v>
      </c>
      <c r="H12" s="51">
        <v>18.37</v>
      </c>
      <c r="I12" s="51">
        <v>6.21</v>
      </c>
      <c r="J12" s="51">
        <v>0.12</v>
      </c>
      <c r="K12" s="51">
        <v>197.8</v>
      </c>
      <c r="L12" s="51">
        <v>19</v>
      </c>
      <c r="M12" s="51">
        <v>97.47</v>
      </c>
      <c r="N12" s="51">
        <v>0</v>
      </c>
      <c r="O12" s="51">
        <v>0</v>
      </c>
      <c r="P12" s="51">
        <v>0.72</v>
      </c>
      <c r="Q12" s="51">
        <v>4.9400000000000004</v>
      </c>
    </row>
    <row r="13" spans="1:21" customFormat="1">
      <c r="A13" s="50" t="s">
        <v>256</v>
      </c>
      <c r="B13" s="51">
        <v>27.06</v>
      </c>
      <c r="C13" s="51">
        <v>21.52</v>
      </c>
      <c r="D13" s="51">
        <v>34.01</v>
      </c>
      <c r="E13" s="51">
        <v>8.26</v>
      </c>
      <c r="F13" s="51">
        <v>2.69</v>
      </c>
      <c r="G13" s="51">
        <v>52.05</v>
      </c>
      <c r="H13" s="51">
        <v>21.95</v>
      </c>
      <c r="I13" s="51">
        <v>6.47</v>
      </c>
      <c r="J13" s="51">
        <v>0.18</v>
      </c>
      <c r="K13" s="51">
        <v>207.89</v>
      </c>
      <c r="L13" s="51">
        <v>18.21</v>
      </c>
      <c r="M13" s="51">
        <v>98.9</v>
      </c>
      <c r="N13" s="51">
        <v>0</v>
      </c>
      <c r="O13" s="51">
        <v>0</v>
      </c>
      <c r="P13" s="51">
        <v>0.74</v>
      </c>
      <c r="Q13" s="51">
        <v>4.97</v>
      </c>
    </row>
    <row r="14" spans="1:21" customFormat="1">
      <c r="A14" s="50" t="s">
        <v>257</v>
      </c>
      <c r="B14" s="51">
        <v>26.95</v>
      </c>
      <c r="C14" s="51">
        <v>21.15</v>
      </c>
      <c r="D14" s="51">
        <v>34.01</v>
      </c>
      <c r="E14" s="51">
        <v>8.27</v>
      </c>
      <c r="F14" s="51">
        <v>2.65</v>
      </c>
      <c r="G14" s="51">
        <v>52.05</v>
      </c>
      <c r="H14" s="51">
        <v>21.95</v>
      </c>
      <c r="I14" s="51">
        <v>6.56</v>
      </c>
      <c r="J14" s="51">
        <v>0.18</v>
      </c>
      <c r="K14" s="51">
        <v>263.16000000000003</v>
      </c>
      <c r="L14" s="51">
        <v>17.75</v>
      </c>
      <c r="M14" s="51">
        <v>99.54</v>
      </c>
      <c r="N14" s="51">
        <v>0</v>
      </c>
      <c r="O14" s="51">
        <v>0</v>
      </c>
      <c r="P14" s="51">
        <v>0.75</v>
      </c>
      <c r="Q14" s="51">
        <v>4.99</v>
      </c>
    </row>
    <row r="15" spans="1:21" customFormat="1">
      <c r="A15" s="50" t="s">
        <v>258</v>
      </c>
      <c r="B15" s="51">
        <v>25.99</v>
      </c>
      <c r="C15" s="51">
        <v>20.83</v>
      </c>
      <c r="D15" s="51">
        <v>33.08</v>
      </c>
      <c r="E15" s="51">
        <v>8.48</v>
      </c>
      <c r="F15" s="51">
        <v>2.74</v>
      </c>
      <c r="G15" s="51">
        <v>49.83</v>
      </c>
      <c r="H15" s="51">
        <v>20.84</v>
      </c>
      <c r="I15" s="51">
        <v>6.54</v>
      </c>
      <c r="J15" s="51">
        <v>0.09</v>
      </c>
      <c r="K15" s="51">
        <v>205.35</v>
      </c>
      <c r="L15" s="51">
        <v>17.34</v>
      </c>
      <c r="M15" s="51">
        <v>100.07</v>
      </c>
      <c r="N15" s="51">
        <v>7.8</v>
      </c>
      <c r="O15" s="51">
        <v>0</v>
      </c>
      <c r="P15" s="51">
        <v>0.76</v>
      </c>
      <c r="Q15" s="51">
        <v>4.96</v>
      </c>
    </row>
    <row r="16" spans="1:21" customFormat="1">
      <c r="A16" s="50" t="s">
        <v>259</v>
      </c>
      <c r="B16" s="51">
        <v>27.82</v>
      </c>
      <c r="C16" s="51">
        <v>22.76</v>
      </c>
      <c r="D16" s="51">
        <v>35.549999999999997</v>
      </c>
      <c r="E16" s="51">
        <v>8.6999999999999993</v>
      </c>
      <c r="F16" s="51">
        <v>2.64</v>
      </c>
      <c r="G16" s="51">
        <v>41.26</v>
      </c>
      <c r="H16" s="51">
        <v>15.08</v>
      </c>
      <c r="I16" s="51">
        <v>6.85</v>
      </c>
      <c r="J16" s="51">
        <v>0.11</v>
      </c>
      <c r="K16" s="51">
        <v>242.78</v>
      </c>
      <c r="L16" s="51">
        <v>18.899999999999999</v>
      </c>
      <c r="M16" s="51">
        <v>100.3</v>
      </c>
      <c r="N16" s="51">
        <v>96.6</v>
      </c>
      <c r="O16" s="51">
        <v>0</v>
      </c>
      <c r="P16" s="51">
        <v>0.81</v>
      </c>
      <c r="Q16" s="51">
        <v>5.05</v>
      </c>
    </row>
    <row r="17" spans="1:17" customFormat="1">
      <c r="A17" s="50" t="s">
        <v>260</v>
      </c>
      <c r="B17" s="51">
        <v>29.2</v>
      </c>
      <c r="C17" s="51">
        <v>24.59</v>
      </c>
      <c r="D17" s="51">
        <v>37.61</v>
      </c>
      <c r="E17" s="51">
        <v>9.41</v>
      </c>
      <c r="F17" s="51">
        <v>2.56</v>
      </c>
      <c r="G17" s="51">
        <v>51.4</v>
      </c>
      <c r="H17" s="51">
        <v>23.33</v>
      </c>
      <c r="I17" s="51">
        <v>7.85</v>
      </c>
      <c r="J17" s="51">
        <v>0.25</v>
      </c>
      <c r="K17" s="51">
        <v>282.39999999999998</v>
      </c>
      <c r="L17" s="51">
        <v>21.63</v>
      </c>
      <c r="M17" s="51">
        <v>98.19</v>
      </c>
      <c r="N17" s="51">
        <v>206.3</v>
      </c>
      <c r="O17" s="51">
        <v>0</v>
      </c>
      <c r="P17" s="51">
        <v>0.93</v>
      </c>
      <c r="Q17" s="51">
        <v>5.09</v>
      </c>
    </row>
    <row r="18" spans="1:17" customFormat="1">
      <c r="A18" s="50" t="s">
        <v>261</v>
      </c>
      <c r="B18" s="51">
        <v>29.22</v>
      </c>
      <c r="C18" s="51">
        <v>26.33</v>
      </c>
      <c r="D18" s="51">
        <v>38.18</v>
      </c>
      <c r="E18" s="51">
        <v>9.86</v>
      </c>
      <c r="F18" s="51">
        <v>2.76</v>
      </c>
      <c r="G18" s="51">
        <v>78.58</v>
      </c>
      <c r="H18" s="51">
        <v>34.39</v>
      </c>
      <c r="I18" s="51">
        <v>8.75</v>
      </c>
      <c r="J18" s="51">
        <v>0.3</v>
      </c>
      <c r="K18" s="51">
        <v>109.67</v>
      </c>
      <c r="L18" s="51">
        <v>24.13</v>
      </c>
      <c r="M18" s="51">
        <v>82.81</v>
      </c>
      <c r="N18" s="51">
        <v>387.7</v>
      </c>
      <c r="O18" s="51">
        <v>0</v>
      </c>
      <c r="P18" s="51">
        <v>0.99</v>
      </c>
      <c r="Q18" s="51">
        <v>5.1100000000000003</v>
      </c>
    </row>
    <row r="19" spans="1:17" customFormat="1">
      <c r="A19" s="50" t="s">
        <v>262</v>
      </c>
      <c r="B19" s="51">
        <v>25.35</v>
      </c>
      <c r="C19" s="51">
        <v>26.94</v>
      </c>
      <c r="D19" s="51">
        <v>35.58</v>
      </c>
      <c r="E19" s="51">
        <v>8.51</v>
      </c>
      <c r="F19" s="51">
        <v>2.99</v>
      </c>
      <c r="G19" s="51">
        <v>78.58</v>
      </c>
      <c r="H19" s="51">
        <v>34.39</v>
      </c>
      <c r="I19" s="51">
        <v>8.7899999999999991</v>
      </c>
      <c r="J19" s="51">
        <v>0.31</v>
      </c>
      <c r="K19" s="51">
        <v>127.59</v>
      </c>
      <c r="L19" s="51">
        <v>25.97</v>
      </c>
      <c r="M19" s="51">
        <v>72.3</v>
      </c>
      <c r="N19" s="51">
        <v>576.20000000000005</v>
      </c>
      <c r="O19" s="51">
        <v>0</v>
      </c>
      <c r="P19" s="51">
        <v>0.98</v>
      </c>
      <c r="Q19" s="51">
        <v>5.01</v>
      </c>
    </row>
    <row r="20" spans="1:17" customFormat="1">
      <c r="A20" s="50" t="s">
        <v>263</v>
      </c>
      <c r="B20" s="51">
        <v>21.57</v>
      </c>
      <c r="C20" s="51">
        <v>22.11</v>
      </c>
      <c r="D20" s="51">
        <v>30.2</v>
      </c>
      <c r="E20" s="51">
        <v>7.79</v>
      </c>
      <c r="F20" s="51">
        <v>3.14</v>
      </c>
      <c r="G20" s="51">
        <v>77.97</v>
      </c>
      <c r="H20" s="51">
        <v>30.04</v>
      </c>
      <c r="I20" s="51">
        <v>8.3800000000000008</v>
      </c>
      <c r="J20" s="51">
        <v>0.38</v>
      </c>
      <c r="K20" s="51">
        <v>337.56</v>
      </c>
      <c r="L20" s="51">
        <v>26.73</v>
      </c>
      <c r="M20" s="51">
        <v>61</v>
      </c>
      <c r="N20" s="51">
        <v>644.9</v>
      </c>
      <c r="O20" s="51">
        <v>0</v>
      </c>
      <c r="P20" s="51">
        <v>0.91</v>
      </c>
      <c r="Q20" s="51">
        <v>4.8600000000000003</v>
      </c>
    </row>
    <row r="21" spans="1:17" customFormat="1">
      <c r="A21" s="50" t="s">
        <v>264</v>
      </c>
      <c r="B21" s="51">
        <v>18.84</v>
      </c>
      <c r="C21" s="51">
        <v>19.68</v>
      </c>
      <c r="D21" s="51">
        <v>26.74</v>
      </c>
      <c r="E21" s="51">
        <v>7.19</v>
      </c>
      <c r="F21" s="51">
        <v>3.21</v>
      </c>
      <c r="G21" s="51">
        <v>62.57</v>
      </c>
      <c r="H21" s="51">
        <v>25.12</v>
      </c>
      <c r="I21" s="51">
        <v>8</v>
      </c>
      <c r="J21" s="51">
        <v>0.63</v>
      </c>
      <c r="K21" s="51">
        <v>310.91000000000003</v>
      </c>
      <c r="L21" s="51">
        <v>26.83</v>
      </c>
      <c r="M21" s="51">
        <v>52.24</v>
      </c>
      <c r="N21" s="51">
        <v>532.1</v>
      </c>
      <c r="O21" s="51">
        <v>0</v>
      </c>
      <c r="P21" s="51">
        <v>0.84</v>
      </c>
      <c r="Q21" s="51">
        <v>4.75</v>
      </c>
    </row>
    <row r="22" spans="1:17" customFormat="1">
      <c r="A22" s="50" t="s">
        <v>265</v>
      </c>
      <c r="B22" s="51">
        <v>17.55</v>
      </c>
      <c r="C22" s="51">
        <v>20.92</v>
      </c>
      <c r="D22" s="51">
        <v>25.97</v>
      </c>
      <c r="E22" s="51">
        <v>7.09</v>
      </c>
      <c r="F22" s="51">
        <v>3.57</v>
      </c>
      <c r="G22" s="51">
        <v>56.55</v>
      </c>
      <c r="H22" s="51">
        <v>23.8</v>
      </c>
      <c r="I22" s="51">
        <v>7.55</v>
      </c>
      <c r="J22" s="51">
        <v>0.66</v>
      </c>
      <c r="K22" s="51">
        <v>334.06</v>
      </c>
      <c r="L22" s="51">
        <v>26.87</v>
      </c>
      <c r="M22" s="51">
        <v>43.04</v>
      </c>
      <c r="N22" s="51">
        <v>474.2</v>
      </c>
      <c r="O22" s="51">
        <v>0</v>
      </c>
      <c r="P22" s="51">
        <v>0.8</v>
      </c>
      <c r="Q22" s="51">
        <v>4.71</v>
      </c>
    </row>
    <row r="23" spans="1:17" customFormat="1">
      <c r="A23" s="50" t="s">
        <v>266</v>
      </c>
      <c r="B23" s="51">
        <v>15.35</v>
      </c>
      <c r="C23" s="51">
        <v>20.52</v>
      </c>
      <c r="D23" s="51">
        <v>23.92</v>
      </c>
      <c r="E23" s="51">
        <v>7.37</v>
      </c>
      <c r="F23" s="51">
        <v>4.0599999999999996</v>
      </c>
      <c r="G23" s="51">
        <v>48.03</v>
      </c>
      <c r="H23" s="51">
        <v>16.04</v>
      </c>
      <c r="I23" s="51">
        <v>6.98</v>
      </c>
      <c r="J23" s="51">
        <v>0.62</v>
      </c>
      <c r="K23" s="51">
        <v>324.95</v>
      </c>
      <c r="L23" s="51">
        <v>26.53</v>
      </c>
      <c r="M23" s="51">
        <v>42.87</v>
      </c>
      <c r="N23" s="51">
        <v>145</v>
      </c>
      <c r="O23" s="51">
        <v>0</v>
      </c>
      <c r="P23" s="51">
        <v>0.72</v>
      </c>
      <c r="Q23" s="51">
        <v>4.6399999999999997</v>
      </c>
    </row>
    <row r="24" spans="1:17" customFormat="1">
      <c r="A24" s="50" t="s">
        <v>267</v>
      </c>
      <c r="B24" s="51">
        <v>14.4</v>
      </c>
      <c r="C24" s="51">
        <v>21.53</v>
      </c>
      <c r="D24" s="51">
        <v>22.91</v>
      </c>
      <c r="E24" s="51">
        <v>6.87</v>
      </c>
      <c r="F24" s="51">
        <v>3.62</v>
      </c>
      <c r="G24" s="51">
        <v>43.75</v>
      </c>
      <c r="H24" s="51">
        <v>14.64</v>
      </c>
      <c r="I24" s="51">
        <v>6.4</v>
      </c>
      <c r="J24" s="51">
        <v>0.63</v>
      </c>
      <c r="K24" s="51">
        <v>343.45</v>
      </c>
      <c r="L24" s="51">
        <v>25.91</v>
      </c>
      <c r="M24" s="51">
        <v>46.95</v>
      </c>
      <c r="N24" s="51">
        <v>80.400000000000006</v>
      </c>
      <c r="O24" s="51">
        <v>0</v>
      </c>
      <c r="P24" s="51">
        <v>0.69</v>
      </c>
      <c r="Q24" s="51">
        <v>4.6100000000000003</v>
      </c>
    </row>
    <row r="25" spans="1:17" customFormat="1">
      <c r="A25" s="50" t="s">
        <v>268</v>
      </c>
      <c r="B25" s="51">
        <v>13.36</v>
      </c>
      <c r="C25" s="51">
        <v>25.02</v>
      </c>
      <c r="D25" s="51">
        <v>25.14</v>
      </c>
      <c r="E25" s="51">
        <v>6.47</v>
      </c>
      <c r="F25" s="51">
        <v>3.03</v>
      </c>
      <c r="G25" s="51">
        <v>43.47</v>
      </c>
      <c r="H25" s="51">
        <v>15.79</v>
      </c>
      <c r="I25" s="51">
        <v>5.89</v>
      </c>
      <c r="J25" s="51">
        <v>0.35</v>
      </c>
      <c r="K25" s="51">
        <v>63.62</v>
      </c>
      <c r="L25" s="51">
        <v>24.82</v>
      </c>
      <c r="M25" s="51">
        <v>53.21</v>
      </c>
      <c r="N25" s="51">
        <v>35.700000000000003</v>
      </c>
      <c r="O25" s="51">
        <v>0</v>
      </c>
      <c r="P25" s="51">
        <v>0.69</v>
      </c>
      <c r="Q25" s="51">
        <v>4.5599999999999996</v>
      </c>
    </row>
    <row r="26" spans="1:17" customFormat="1">
      <c r="A26" s="50" t="s">
        <v>269</v>
      </c>
      <c r="B26" s="51">
        <v>15.87</v>
      </c>
      <c r="C26" s="51">
        <v>27.13</v>
      </c>
      <c r="D26" s="51">
        <v>28.26</v>
      </c>
      <c r="E26" s="51">
        <v>6.71</v>
      </c>
      <c r="F26" s="51">
        <v>2.82</v>
      </c>
      <c r="G26" s="51">
        <v>56.44</v>
      </c>
      <c r="H26" s="51">
        <v>19.239999999999998</v>
      </c>
      <c r="I26" s="51">
        <v>5.59</v>
      </c>
      <c r="J26" s="51">
        <v>0.18</v>
      </c>
      <c r="K26" s="51">
        <v>165.03</v>
      </c>
      <c r="L26" s="51">
        <v>23.56</v>
      </c>
      <c r="M26" s="51">
        <v>64.53</v>
      </c>
      <c r="N26" s="51">
        <v>0</v>
      </c>
      <c r="O26" s="51">
        <v>0</v>
      </c>
      <c r="P26" s="51">
        <v>0.74</v>
      </c>
      <c r="Q26" s="51">
        <v>4.68</v>
      </c>
    </row>
    <row r="27" spans="1:17" customFormat="1">
      <c r="A27" s="50" t="s">
        <v>270</v>
      </c>
      <c r="B27" s="51">
        <v>21.4</v>
      </c>
      <c r="C27" s="51">
        <v>28.7</v>
      </c>
      <c r="D27" s="51">
        <v>33.51</v>
      </c>
      <c r="E27" s="51">
        <v>7.99</v>
      </c>
      <c r="F27" s="51">
        <v>2.65</v>
      </c>
      <c r="G27" s="51">
        <v>73.91</v>
      </c>
      <c r="H27" s="51">
        <v>21.88</v>
      </c>
      <c r="I27" s="51">
        <v>5.96</v>
      </c>
      <c r="J27" s="51">
        <v>0.23</v>
      </c>
      <c r="K27" s="51">
        <v>165.7</v>
      </c>
      <c r="L27" s="51">
        <v>22.53</v>
      </c>
      <c r="M27" s="51">
        <v>73.83</v>
      </c>
      <c r="N27" s="51">
        <v>0</v>
      </c>
      <c r="O27" s="51">
        <v>0</v>
      </c>
      <c r="P27" s="51">
        <v>0.83</v>
      </c>
      <c r="Q27" s="51">
        <v>4.84</v>
      </c>
    </row>
    <row r="28" spans="1:17" customFormat="1">
      <c r="A28" s="50" t="s">
        <v>271</v>
      </c>
      <c r="B28" s="51">
        <v>28.42</v>
      </c>
      <c r="C28" s="51">
        <v>29.93</v>
      </c>
      <c r="D28" s="51">
        <v>39.78</v>
      </c>
      <c r="E28" s="51">
        <v>8.56</v>
      </c>
      <c r="F28" s="51">
        <v>2.62</v>
      </c>
      <c r="G28" s="51">
        <v>99.18</v>
      </c>
      <c r="H28" s="51">
        <v>25.19</v>
      </c>
      <c r="I28" s="51">
        <v>6.83</v>
      </c>
      <c r="J28" s="51">
        <v>0.24</v>
      </c>
      <c r="K28" s="51">
        <v>155.18</v>
      </c>
      <c r="L28" s="51">
        <v>20.79</v>
      </c>
      <c r="M28" s="51">
        <v>76.52</v>
      </c>
      <c r="N28" s="51">
        <v>0</v>
      </c>
      <c r="O28" s="51">
        <v>0</v>
      </c>
      <c r="P28" s="51">
        <v>0.95</v>
      </c>
      <c r="Q28" s="51">
        <v>5.0599999999999996</v>
      </c>
    </row>
    <row r="29" spans="1:17" customFormat="1">
      <c r="A29" s="50" t="s">
        <v>272</v>
      </c>
      <c r="B29" s="51">
        <v>30.83</v>
      </c>
      <c r="C29" s="51">
        <v>29.95</v>
      </c>
      <c r="D29" s="51">
        <v>40.659999999999997</v>
      </c>
      <c r="E29" s="51">
        <v>8.8000000000000007</v>
      </c>
      <c r="F29" s="51">
        <v>2.97</v>
      </c>
      <c r="G29" s="51">
        <v>103.36</v>
      </c>
      <c r="H29" s="51">
        <v>29.53</v>
      </c>
      <c r="I29" s="51">
        <v>7.52</v>
      </c>
      <c r="J29" s="51">
        <v>0.16</v>
      </c>
      <c r="K29" s="51">
        <v>223.94</v>
      </c>
      <c r="L29" s="51">
        <v>20.18</v>
      </c>
      <c r="M29" s="51">
        <v>89.41</v>
      </c>
      <c r="N29" s="51">
        <v>0</v>
      </c>
      <c r="O29" s="51">
        <v>0</v>
      </c>
      <c r="P29" s="51">
        <v>0.99</v>
      </c>
      <c r="Q29" s="51">
        <v>5.0999999999999996</v>
      </c>
    </row>
    <row r="30" spans="1:17" customFormat="1">
      <c r="A30" s="50" t="s">
        <v>273</v>
      </c>
      <c r="B30" s="51">
        <v>38.06</v>
      </c>
      <c r="C30" s="51">
        <v>26.83</v>
      </c>
      <c r="D30" s="51">
        <v>45.89</v>
      </c>
      <c r="E30" s="51">
        <v>8.68</v>
      </c>
      <c r="F30" s="51">
        <v>2.88</v>
      </c>
      <c r="G30" s="51">
        <v>103.36</v>
      </c>
      <c r="H30" s="51">
        <v>30.37</v>
      </c>
      <c r="I30" s="51">
        <v>7.94</v>
      </c>
      <c r="J30" s="51">
        <v>0.19</v>
      </c>
      <c r="K30" s="51">
        <v>203.77</v>
      </c>
      <c r="L30" s="51">
        <v>18.670000000000002</v>
      </c>
      <c r="M30" s="51">
        <v>89.86</v>
      </c>
      <c r="N30" s="51">
        <v>0</v>
      </c>
      <c r="O30" s="51">
        <v>0</v>
      </c>
      <c r="P30" s="51">
        <v>1.07</v>
      </c>
      <c r="Q30" s="51">
        <v>5.25</v>
      </c>
    </row>
    <row r="31" spans="1:17" customFormat="1">
      <c r="A31" s="50" t="s">
        <v>274</v>
      </c>
      <c r="B31" s="51">
        <v>52.33</v>
      </c>
      <c r="C31" s="51">
        <v>27.73</v>
      </c>
      <c r="D31" s="51">
        <v>57.23</v>
      </c>
      <c r="E31" s="51">
        <v>9.31</v>
      </c>
      <c r="F31" s="51">
        <v>2.79</v>
      </c>
      <c r="G31" s="51">
        <v>117.46</v>
      </c>
      <c r="H31" s="51">
        <v>35.21</v>
      </c>
      <c r="I31" s="51">
        <v>8.65</v>
      </c>
      <c r="J31" s="51">
        <v>0.2</v>
      </c>
      <c r="K31" s="51">
        <v>343.3</v>
      </c>
      <c r="L31" s="51">
        <v>18.36</v>
      </c>
      <c r="M31" s="51">
        <v>86.64</v>
      </c>
      <c r="N31" s="51">
        <v>0</v>
      </c>
      <c r="O31" s="51">
        <v>0</v>
      </c>
      <c r="P31" s="51">
        <v>1.1599999999999999</v>
      </c>
      <c r="Q31" s="51">
        <v>5.66</v>
      </c>
    </row>
    <row r="32" spans="1:17" customFormat="1">
      <c r="A32" s="50" t="s">
        <v>275</v>
      </c>
      <c r="B32" s="51">
        <v>62.29</v>
      </c>
      <c r="C32" s="51">
        <v>28.65</v>
      </c>
      <c r="D32" s="51">
        <v>65.430000000000007</v>
      </c>
      <c r="E32" s="51">
        <v>9.5299999999999994</v>
      </c>
      <c r="F32" s="51">
        <v>2.74</v>
      </c>
      <c r="G32" s="51">
        <v>137.71</v>
      </c>
      <c r="H32" s="51">
        <v>40.28</v>
      </c>
      <c r="I32" s="51">
        <v>9.58</v>
      </c>
      <c r="J32" s="51">
        <v>0.15</v>
      </c>
      <c r="K32" s="51">
        <v>197.64</v>
      </c>
      <c r="L32" s="51">
        <v>18.13</v>
      </c>
      <c r="M32" s="51">
        <v>89.3</v>
      </c>
      <c r="N32" s="51">
        <v>0</v>
      </c>
      <c r="O32" s="51">
        <v>0</v>
      </c>
      <c r="P32" s="51">
        <v>1.27</v>
      </c>
      <c r="Q32" s="51">
        <v>5.95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13.36</v>
      </c>
      <c r="C34" s="41">
        <f t="shared" si="0"/>
        <v>19.68</v>
      </c>
      <c r="D34" s="41">
        <f t="shared" si="0"/>
        <v>22.91</v>
      </c>
      <c r="E34" s="41">
        <f t="shared" si="0"/>
        <v>6.47</v>
      </c>
      <c r="F34" s="41">
        <f t="shared" si="0"/>
        <v>2.56</v>
      </c>
      <c r="G34" s="41">
        <f t="shared" si="0"/>
        <v>36.22</v>
      </c>
      <c r="H34" s="41">
        <f t="shared" si="0"/>
        <v>14.64</v>
      </c>
      <c r="I34" s="41">
        <f t="shared" si="0"/>
        <v>5.59</v>
      </c>
      <c r="J34" s="41">
        <f t="shared" si="0"/>
        <v>0.09</v>
      </c>
      <c r="K34" s="41">
        <f t="shared" si="0"/>
        <v>63.62</v>
      </c>
      <c r="L34" s="41">
        <f t="shared" si="0"/>
        <v>17.34</v>
      </c>
      <c r="M34" s="41">
        <f t="shared" si="0"/>
        <v>42.87</v>
      </c>
      <c r="N34" s="41">
        <f t="shared" si="0"/>
        <v>0</v>
      </c>
      <c r="O34" s="41">
        <f t="shared" si="0"/>
        <v>0</v>
      </c>
      <c r="P34" s="41">
        <f t="shared" si="0"/>
        <v>0.69</v>
      </c>
      <c r="Q34" s="41">
        <f t="shared" si="0"/>
        <v>4.5599999999999996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62.29</v>
      </c>
      <c r="C35" s="33">
        <f t="shared" si="1"/>
        <v>29.95</v>
      </c>
      <c r="D35" s="33">
        <f t="shared" si="1"/>
        <v>65.430000000000007</v>
      </c>
      <c r="E35" s="33">
        <f t="shared" si="1"/>
        <v>9.86</v>
      </c>
      <c r="F35" s="33">
        <f t="shared" si="1"/>
        <v>4.0599999999999996</v>
      </c>
      <c r="G35" s="33">
        <f t="shared" si="1"/>
        <v>137.71</v>
      </c>
      <c r="H35" s="33">
        <f t="shared" si="1"/>
        <v>40.28</v>
      </c>
      <c r="I35" s="33">
        <f t="shared" si="1"/>
        <v>9.58</v>
      </c>
      <c r="J35" s="33">
        <f t="shared" si="1"/>
        <v>0.66</v>
      </c>
      <c r="K35" s="33">
        <f t="shared" si="1"/>
        <v>343.45</v>
      </c>
      <c r="L35" s="33">
        <f t="shared" si="1"/>
        <v>26.87</v>
      </c>
      <c r="M35" s="33">
        <f t="shared" si="1"/>
        <v>100.3</v>
      </c>
      <c r="N35" s="33">
        <f t="shared" si="1"/>
        <v>644.9</v>
      </c>
      <c r="O35" s="33">
        <f t="shared" si="1"/>
        <v>0</v>
      </c>
      <c r="P35" s="33">
        <f t="shared" si="1"/>
        <v>1.27</v>
      </c>
      <c r="Q35" s="33">
        <f t="shared" si="1"/>
        <v>5.95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25.895833333333332</v>
      </c>
      <c r="C36" s="41">
        <f t="shared" si="2"/>
        <v>24.046249999999997</v>
      </c>
      <c r="D36" s="41">
        <f t="shared" si="2"/>
        <v>34.383333333333333</v>
      </c>
      <c r="E36" s="41">
        <f t="shared" si="2"/>
        <v>8.2420833333333352</v>
      </c>
      <c r="F36" s="41">
        <f t="shared" si="2"/>
        <v>2.9320833333333334</v>
      </c>
      <c r="G36" s="41">
        <f t="shared" si="2"/>
        <v>66.297499999999999</v>
      </c>
      <c r="H36" s="41">
        <f t="shared" si="2"/>
        <v>23.505000000000006</v>
      </c>
      <c r="I36" s="41">
        <f t="shared" si="2"/>
        <v>7.1641666666666675</v>
      </c>
      <c r="J36" s="41">
        <f t="shared" si="2"/>
        <v>0.27583333333333337</v>
      </c>
      <c r="K36" s="41">
        <f t="shared" si="2"/>
        <v>225.11083333333332</v>
      </c>
      <c r="L36" s="41">
        <f t="shared" si="2"/>
        <v>21.712916666666672</v>
      </c>
      <c r="M36" s="41">
        <f t="shared" si="2"/>
        <v>79.411666666666648</v>
      </c>
      <c r="N36" s="41">
        <f t="shared" si="2"/>
        <v>132.78749999999999</v>
      </c>
      <c r="O36" s="41">
        <f t="shared" si="2"/>
        <v>0</v>
      </c>
      <c r="P36" s="41">
        <f t="shared" si="2"/>
        <v>0.85583333333333333</v>
      </c>
      <c r="Q36" s="41">
        <f t="shared" si="2"/>
        <v>4.9575000000000005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11.593439642902501</v>
      </c>
      <c r="C37" s="41">
        <f t="shared" ref="C37:Q37" si="3">STDEV(C9:C32)</f>
        <v>3.4525816585123406</v>
      </c>
      <c r="D37" s="41">
        <f t="shared" si="3"/>
        <v>10.282584967953753</v>
      </c>
      <c r="E37" s="41">
        <f t="shared" si="3"/>
        <v>0.92065184453219107</v>
      </c>
      <c r="F37" s="41">
        <f t="shared" si="3"/>
        <v>0.3643693678561396</v>
      </c>
      <c r="G37" s="41">
        <f t="shared" si="3"/>
        <v>27.817002190558998</v>
      </c>
      <c r="H37" s="41">
        <f t="shared" si="3"/>
        <v>7.5242893641049085</v>
      </c>
      <c r="I37" s="41">
        <f t="shared" si="3"/>
        <v>1.1026999145049725</v>
      </c>
      <c r="J37" s="41">
        <f t="shared" si="3"/>
        <v>0.1794657934384509</v>
      </c>
      <c r="K37" s="41">
        <f t="shared" si="3"/>
        <v>81.204345295849322</v>
      </c>
      <c r="L37" s="41">
        <f t="shared" si="3"/>
        <v>3.4340867771146097</v>
      </c>
      <c r="M37" s="41">
        <f t="shared" si="3"/>
        <v>20.084915747388916</v>
      </c>
      <c r="N37" s="41">
        <f t="shared" si="3"/>
        <v>215.05763092614319</v>
      </c>
      <c r="O37" s="41">
        <f t="shared" si="3"/>
        <v>0</v>
      </c>
      <c r="P37" s="41">
        <f t="shared" si="3"/>
        <v>0.15756066234577962</v>
      </c>
      <c r="Q37" s="41">
        <f t="shared" si="3"/>
        <v>0.32260151755755712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276</v>
      </c>
      <c r="B9" s="51">
        <v>65.400000000000006</v>
      </c>
      <c r="C9" s="51">
        <v>29.01</v>
      </c>
      <c r="D9" s="51">
        <v>68.73</v>
      </c>
      <c r="E9" s="51">
        <v>9.9</v>
      </c>
      <c r="F9" s="51">
        <v>2.73</v>
      </c>
      <c r="G9" s="51">
        <v>147.97</v>
      </c>
      <c r="H9" s="51">
        <v>49.18</v>
      </c>
      <c r="I9" s="51">
        <v>10.54</v>
      </c>
      <c r="J9" s="51">
        <v>0.17</v>
      </c>
      <c r="K9" s="51">
        <v>240.12</v>
      </c>
      <c r="L9" s="51">
        <v>17.420000000000002</v>
      </c>
      <c r="M9" s="51">
        <v>92.25</v>
      </c>
      <c r="N9" s="51">
        <v>0</v>
      </c>
      <c r="O9" s="51">
        <v>0</v>
      </c>
      <c r="P9" s="51">
        <v>1.31</v>
      </c>
      <c r="Q9" s="51">
        <v>6.07</v>
      </c>
    </row>
    <row r="10" spans="1:21" customFormat="1">
      <c r="A10" s="50" t="s">
        <v>277</v>
      </c>
      <c r="B10" s="51">
        <v>64.38</v>
      </c>
      <c r="C10" s="51">
        <v>29.21</v>
      </c>
      <c r="D10" s="51">
        <v>67.92</v>
      </c>
      <c r="E10" s="51">
        <v>10.09</v>
      </c>
      <c r="F10" s="51">
        <v>2.58</v>
      </c>
      <c r="G10" s="51">
        <v>147.97</v>
      </c>
      <c r="H10" s="51">
        <v>49.18</v>
      </c>
      <c r="I10" s="51">
        <v>10.84</v>
      </c>
      <c r="J10" s="51">
        <v>0.34</v>
      </c>
      <c r="K10" s="51">
        <v>120.28</v>
      </c>
      <c r="L10" s="51">
        <v>17.29</v>
      </c>
      <c r="M10" s="51">
        <v>94.82</v>
      </c>
      <c r="N10" s="51">
        <v>0</v>
      </c>
      <c r="O10" s="51">
        <v>0</v>
      </c>
      <c r="P10" s="51">
        <v>1.33</v>
      </c>
      <c r="Q10" s="51">
        <v>6.04</v>
      </c>
    </row>
    <row r="11" spans="1:21" customFormat="1">
      <c r="A11" s="50" t="s">
        <v>278</v>
      </c>
      <c r="B11" s="51">
        <v>61.5</v>
      </c>
      <c r="C11" s="51">
        <v>29.17</v>
      </c>
      <c r="D11" s="51">
        <v>65.87</v>
      </c>
      <c r="E11" s="51">
        <v>10.47</v>
      </c>
      <c r="F11" s="51">
        <v>2.77</v>
      </c>
      <c r="G11" s="51">
        <v>132.72999999999999</v>
      </c>
      <c r="H11" s="51">
        <v>48.81</v>
      </c>
      <c r="I11" s="51">
        <v>10.84</v>
      </c>
      <c r="J11" s="51">
        <v>0.13</v>
      </c>
      <c r="K11" s="51">
        <v>207.45</v>
      </c>
      <c r="L11" s="51">
        <v>16.93</v>
      </c>
      <c r="M11" s="51">
        <v>91.99</v>
      </c>
      <c r="N11" s="51">
        <v>0</v>
      </c>
      <c r="O11" s="51">
        <v>0</v>
      </c>
      <c r="P11" s="51">
        <v>1.3</v>
      </c>
      <c r="Q11" s="51">
        <v>5.97</v>
      </c>
    </row>
    <row r="12" spans="1:21" customFormat="1">
      <c r="A12" s="50" t="s">
        <v>279</v>
      </c>
      <c r="B12" s="51">
        <v>57.5</v>
      </c>
      <c r="C12" s="51">
        <v>28.94</v>
      </c>
      <c r="D12" s="51">
        <v>62.58</v>
      </c>
      <c r="E12" s="51">
        <v>10</v>
      </c>
      <c r="F12" s="51">
        <v>2.69</v>
      </c>
      <c r="G12" s="51">
        <v>130.41</v>
      </c>
      <c r="H12" s="51">
        <v>48.81</v>
      </c>
      <c r="I12" s="51">
        <v>10.23</v>
      </c>
      <c r="J12" s="51">
        <v>0.1</v>
      </c>
      <c r="K12" s="51">
        <v>189.94</v>
      </c>
      <c r="L12" s="51">
        <v>16.260000000000002</v>
      </c>
      <c r="M12" s="51">
        <v>91.53</v>
      </c>
      <c r="N12" s="51">
        <v>0</v>
      </c>
      <c r="O12" s="51">
        <v>0</v>
      </c>
      <c r="P12" s="51">
        <v>1.23</v>
      </c>
      <c r="Q12" s="51">
        <v>5.86</v>
      </c>
    </row>
    <row r="13" spans="1:21" customFormat="1">
      <c r="A13" s="50" t="s">
        <v>280</v>
      </c>
      <c r="B13" s="51">
        <v>49.87</v>
      </c>
      <c r="C13" s="51">
        <v>28.16</v>
      </c>
      <c r="D13" s="51">
        <v>56.06</v>
      </c>
      <c r="E13" s="51">
        <v>10.119999999999999</v>
      </c>
      <c r="F13" s="51">
        <v>2.65</v>
      </c>
      <c r="G13" s="51">
        <v>113.52</v>
      </c>
      <c r="H13" s="51">
        <v>41.52</v>
      </c>
      <c r="I13" s="51">
        <v>9.41</v>
      </c>
      <c r="J13" s="51">
        <v>0.14000000000000001</v>
      </c>
      <c r="K13" s="51">
        <v>248.56</v>
      </c>
      <c r="L13" s="51">
        <v>16.11</v>
      </c>
      <c r="M13" s="51">
        <v>91.99</v>
      </c>
      <c r="N13" s="51">
        <v>0</v>
      </c>
      <c r="O13" s="51">
        <v>0</v>
      </c>
      <c r="P13" s="51">
        <v>1.1100000000000001</v>
      </c>
      <c r="Q13" s="51">
        <v>5.69</v>
      </c>
    </row>
    <row r="14" spans="1:21" customFormat="1">
      <c r="A14" s="50" t="s">
        <v>281</v>
      </c>
      <c r="B14" s="51">
        <v>44.53</v>
      </c>
      <c r="C14" s="51">
        <v>27.67</v>
      </c>
      <c r="D14" s="51">
        <v>51.52</v>
      </c>
      <c r="E14" s="51">
        <v>9.49</v>
      </c>
      <c r="F14" s="51">
        <v>2.61</v>
      </c>
      <c r="G14" s="51">
        <v>91.45</v>
      </c>
      <c r="H14" s="51">
        <v>37.94</v>
      </c>
      <c r="I14" s="51">
        <v>8.6</v>
      </c>
      <c r="J14" s="51">
        <v>0.2</v>
      </c>
      <c r="K14" s="51">
        <v>237.77</v>
      </c>
      <c r="L14" s="51">
        <v>15.51</v>
      </c>
      <c r="M14" s="51">
        <v>97.17</v>
      </c>
      <c r="N14" s="51">
        <v>0</v>
      </c>
      <c r="O14" s="51">
        <v>0</v>
      </c>
      <c r="P14" s="51">
        <v>1</v>
      </c>
      <c r="Q14" s="51">
        <v>5.5</v>
      </c>
    </row>
    <row r="15" spans="1:21" customFormat="1">
      <c r="A15" s="50" t="s">
        <v>282</v>
      </c>
      <c r="B15" s="51">
        <v>40.07</v>
      </c>
      <c r="C15" s="51">
        <v>26.54</v>
      </c>
      <c r="D15" s="51">
        <v>47.12</v>
      </c>
      <c r="E15" s="51">
        <v>9.74</v>
      </c>
      <c r="F15" s="51">
        <v>2.87</v>
      </c>
      <c r="G15" s="51">
        <v>69.7</v>
      </c>
      <c r="H15" s="51">
        <v>35.35</v>
      </c>
      <c r="I15" s="51">
        <v>8.08</v>
      </c>
      <c r="J15" s="51">
        <v>0.14000000000000001</v>
      </c>
      <c r="K15" s="51">
        <v>246.17</v>
      </c>
      <c r="L15" s="51">
        <v>14.93</v>
      </c>
      <c r="M15" s="51">
        <v>98.21</v>
      </c>
      <c r="N15" s="51">
        <v>12.2</v>
      </c>
      <c r="O15" s="51">
        <v>0</v>
      </c>
      <c r="P15" s="51">
        <v>0.95</v>
      </c>
      <c r="Q15" s="51">
        <v>5.3</v>
      </c>
    </row>
    <row r="16" spans="1:21" customFormat="1">
      <c r="A16" s="50" t="s">
        <v>283</v>
      </c>
      <c r="B16" s="51">
        <v>43.18</v>
      </c>
      <c r="C16" s="51">
        <v>26.41</v>
      </c>
      <c r="D16" s="51">
        <v>49.69</v>
      </c>
      <c r="E16" s="51">
        <v>9.39</v>
      </c>
      <c r="F16" s="51">
        <v>2.65</v>
      </c>
      <c r="G16" s="51">
        <v>66.67</v>
      </c>
      <c r="H16" s="51">
        <v>33.619999999999997</v>
      </c>
      <c r="I16" s="51">
        <v>7.93</v>
      </c>
      <c r="J16" s="51">
        <v>0.38</v>
      </c>
      <c r="K16" s="51">
        <v>242.04</v>
      </c>
      <c r="L16" s="51">
        <v>17.579999999999998</v>
      </c>
      <c r="M16" s="51">
        <v>98.01</v>
      </c>
      <c r="N16" s="51">
        <v>110</v>
      </c>
      <c r="O16" s="51">
        <v>0</v>
      </c>
      <c r="P16" s="51">
        <v>0.91</v>
      </c>
      <c r="Q16" s="51">
        <v>5.37</v>
      </c>
    </row>
    <row r="17" spans="1:17" customFormat="1">
      <c r="A17" s="50" t="s">
        <v>284</v>
      </c>
      <c r="B17" s="51">
        <v>42.58</v>
      </c>
      <c r="C17" s="51">
        <v>26.64</v>
      </c>
      <c r="D17" s="51">
        <v>49.13</v>
      </c>
      <c r="E17" s="51">
        <v>9.52</v>
      </c>
      <c r="F17" s="51">
        <v>2.76</v>
      </c>
      <c r="G17" s="51">
        <v>75.59</v>
      </c>
      <c r="H17" s="51">
        <v>34.28</v>
      </c>
      <c r="I17" s="51">
        <v>8.0500000000000007</v>
      </c>
      <c r="J17" s="51">
        <v>0.59</v>
      </c>
      <c r="K17" s="51">
        <v>58.12</v>
      </c>
      <c r="L17" s="51">
        <v>21.23</v>
      </c>
      <c r="M17" s="51">
        <v>78.64</v>
      </c>
      <c r="N17" s="51">
        <v>285.7</v>
      </c>
      <c r="O17" s="51">
        <v>0</v>
      </c>
      <c r="P17" s="51">
        <v>0.9</v>
      </c>
      <c r="Q17" s="51">
        <v>5.35</v>
      </c>
    </row>
    <row r="18" spans="1:17" customFormat="1">
      <c r="A18" s="50" t="s">
        <v>285</v>
      </c>
      <c r="B18" s="51">
        <v>39.19</v>
      </c>
      <c r="C18" s="51">
        <v>25.74</v>
      </c>
      <c r="D18" s="51">
        <v>46.22</v>
      </c>
      <c r="E18" s="51">
        <v>8.99</v>
      </c>
      <c r="F18" s="51">
        <v>2.72</v>
      </c>
      <c r="G18" s="51">
        <v>76.42</v>
      </c>
      <c r="H18" s="51">
        <v>34.28</v>
      </c>
      <c r="I18" s="51">
        <v>8.5500000000000007</v>
      </c>
      <c r="J18" s="51">
        <v>0.52</v>
      </c>
      <c r="K18" s="51">
        <v>82.29</v>
      </c>
      <c r="L18" s="51">
        <v>23.6</v>
      </c>
      <c r="M18" s="51">
        <v>61.47</v>
      </c>
      <c r="N18" s="51">
        <v>319.3</v>
      </c>
      <c r="O18" s="51">
        <v>0</v>
      </c>
      <c r="P18" s="51">
        <v>0.86</v>
      </c>
      <c r="Q18" s="51">
        <v>5.26</v>
      </c>
    </row>
    <row r="19" spans="1:17" customFormat="1">
      <c r="A19" s="50" t="s">
        <v>286</v>
      </c>
      <c r="B19" s="51">
        <v>34.94</v>
      </c>
      <c r="C19" s="51">
        <v>24.44</v>
      </c>
      <c r="D19" s="51">
        <v>42</v>
      </c>
      <c r="E19" s="51">
        <v>7.83</v>
      </c>
      <c r="F19" s="51">
        <v>2.86</v>
      </c>
      <c r="G19" s="51">
        <v>76.42</v>
      </c>
      <c r="H19" s="51">
        <v>29.3</v>
      </c>
      <c r="I19" s="51">
        <v>8.52</v>
      </c>
      <c r="J19" s="51">
        <v>0.32</v>
      </c>
      <c r="K19" s="51">
        <v>143.02000000000001</v>
      </c>
      <c r="L19" s="51">
        <v>25.62</v>
      </c>
      <c r="M19" s="51">
        <v>50.74</v>
      </c>
      <c r="N19" s="51">
        <v>491.8</v>
      </c>
      <c r="O19" s="51">
        <v>0</v>
      </c>
      <c r="P19" s="51">
        <v>0.82</v>
      </c>
      <c r="Q19" s="51">
        <v>5.14</v>
      </c>
    </row>
    <row r="20" spans="1:17" customFormat="1">
      <c r="A20" s="50" t="s">
        <v>287</v>
      </c>
      <c r="B20" s="51">
        <v>30.09</v>
      </c>
      <c r="C20" s="51">
        <v>25.5</v>
      </c>
      <c r="D20" s="51">
        <v>37.979999999999997</v>
      </c>
      <c r="E20" s="51">
        <v>7.55</v>
      </c>
      <c r="F20" s="51">
        <v>3.04</v>
      </c>
      <c r="G20" s="51">
        <v>68.209999999999994</v>
      </c>
      <c r="H20" s="51">
        <v>26.77</v>
      </c>
      <c r="I20" s="51">
        <v>8</v>
      </c>
      <c r="J20" s="51">
        <v>0.39</v>
      </c>
      <c r="K20" s="51">
        <v>208.9</v>
      </c>
      <c r="L20" s="51">
        <v>27.12</v>
      </c>
      <c r="M20" s="51">
        <v>42.71</v>
      </c>
      <c r="N20" s="51">
        <v>638.5</v>
      </c>
      <c r="O20" s="51">
        <v>0</v>
      </c>
      <c r="P20" s="51">
        <v>0.77</v>
      </c>
      <c r="Q20" s="51">
        <v>5.01</v>
      </c>
    </row>
    <row r="21" spans="1:17" customFormat="1">
      <c r="A21" s="50" t="s">
        <v>288</v>
      </c>
      <c r="B21" s="51">
        <v>19.98</v>
      </c>
      <c r="C21" s="51">
        <v>25.54</v>
      </c>
      <c r="D21" s="51">
        <v>30.72</v>
      </c>
      <c r="E21" s="51">
        <v>7.25</v>
      </c>
      <c r="F21" s="51">
        <v>3.17</v>
      </c>
      <c r="G21" s="51">
        <v>52.34</v>
      </c>
      <c r="H21" s="51">
        <v>22.99</v>
      </c>
      <c r="I21" s="51">
        <v>7.05</v>
      </c>
      <c r="J21" s="51">
        <v>0.67</v>
      </c>
      <c r="K21" s="51">
        <v>281.41000000000003</v>
      </c>
      <c r="L21" s="51">
        <v>27.58</v>
      </c>
      <c r="M21" s="51">
        <v>39.799999999999997</v>
      </c>
      <c r="N21" s="51">
        <v>710.2</v>
      </c>
      <c r="O21" s="51">
        <v>0</v>
      </c>
      <c r="P21" s="51">
        <v>0.7</v>
      </c>
      <c r="Q21" s="51">
        <v>4.74</v>
      </c>
    </row>
    <row r="22" spans="1:17" customFormat="1">
      <c r="A22" s="50" t="s">
        <v>289</v>
      </c>
      <c r="B22" s="51">
        <v>13.02</v>
      </c>
      <c r="C22" s="51">
        <v>25.51</v>
      </c>
      <c r="D22" s="51">
        <v>25.06</v>
      </c>
      <c r="E22" s="51">
        <v>6.97</v>
      </c>
      <c r="F22" s="51">
        <v>3.29</v>
      </c>
      <c r="G22" s="51">
        <v>37.299999999999997</v>
      </c>
      <c r="H22" s="51">
        <v>19.71</v>
      </c>
      <c r="I22" s="51">
        <v>6.17</v>
      </c>
      <c r="J22" s="51">
        <v>0.43</v>
      </c>
      <c r="K22" s="51">
        <v>196.55</v>
      </c>
      <c r="L22" s="51">
        <v>27.49</v>
      </c>
      <c r="M22" s="51">
        <v>38.340000000000003</v>
      </c>
      <c r="N22" s="51">
        <v>568.6</v>
      </c>
      <c r="O22" s="51">
        <v>0</v>
      </c>
      <c r="P22" s="51">
        <v>0.63</v>
      </c>
      <c r="Q22" s="51">
        <v>4.5199999999999996</v>
      </c>
    </row>
    <row r="23" spans="1:17" customFormat="1">
      <c r="A23" s="50" t="s">
        <v>290</v>
      </c>
      <c r="B23" s="51">
        <v>9.26</v>
      </c>
      <c r="C23" s="51">
        <v>24.72</v>
      </c>
      <c r="D23" s="51">
        <v>21.7</v>
      </c>
      <c r="E23" s="51">
        <v>7.05</v>
      </c>
      <c r="F23" s="51">
        <v>3.61</v>
      </c>
      <c r="G23" s="51">
        <v>25.42</v>
      </c>
      <c r="H23" s="51">
        <v>16.600000000000001</v>
      </c>
      <c r="I23" s="51">
        <v>5.49</v>
      </c>
      <c r="J23" s="51">
        <v>0.5</v>
      </c>
      <c r="K23" s="51">
        <v>286.77999999999997</v>
      </c>
      <c r="L23" s="51">
        <v>26.85</v>
      </c>
      <c r="M23" s="51">
        <v>40.549999999999997</v>
      </c>
      <c r="N23" s="51">
        <v>176.8</v>
      </c>
      <c r="O23" s="51">
        <v>0</v>
      </c>
      <c r="P23" s="51">
        <v>0.57999999999999996</v>
      </c>
      <c r="Q23" s="51">
        <v>4.38</v>
      </c>
    </row>
    <row r="24" spans="1:17" customFormat="1">
      <c r="A24" s="50" t="s">
        <v>291</v>
      </c>
      <c r="B24" s="51">
        <v>7.18</v>
      </c>
      <c r="C24" s="51">
        <v>23.66</v>
      </c>
      <c r="D24" s="51">
        <v>19.47</v>
      </c>
      <c r="E24" s="51">
        <v>7.26</v>
      </c>
      <c r="F24" s="51">
        <v>3.7</v>
      </c>
      <c r="G24" s="51">
        <v>26</v>
      </c>
      <c r="H24" s="51">
        <v>16.600000000000001</v>
      </c>
      <c r="I24" s="51">
        <v>4.9800000000000004</v>
      </c>
      <c r="J24" s="51">
        <v>0.2</v>
      </c>
      <c r="K24" s="51">
        <v>311.2</v>
      </c>
      <c r="L24" s="51">
        <v>25.72</v>
      </c>
      <c r="M24" s="51">
        <v>44</v>
      </c>
      <c r="N24" s="51">
        <v>70.2</v>
      </c>
      <c r="O24" s="51">
        <v>0</v>
      </c>
      <c r="P24" s="51">
        <v>0.55000000000000004</v>
      </c>
      <c r="Q24" s="51">
        <v>4.3099999999999996</v>
      </c>
    </row>
    <row r="25" spans="1:17" customFormat="1">
      <c r="A25" s="50" t="s">
        <v>292</v>
      </c>
      <c r="B25" s="51">
        <v>7.25</v>
      </c>
      <c r="C25" s="51">
        <v>23.57</v>
      </c>
      <c r="D25" s="51">
        <v>19</v>
      </c>
      <c r="E25" s="51">
        <v>6.87</v>
      </c>
      <c r="F25" s="51">
        <v>3.34</v>
      </c>
      <c r="G25" s="51">
        <v>34.270000000000003</v>
      </c>
      <c r="H25" s="51">
        <v>13.44</v>
      </c>
      <c r="I25" s="51">
        <v>4.62</v>
      </c>
      <c r="J25" s="51">
        <v>0.23</v>
      </c>
      <c r="K25" s="51">
        <v>175.95</v>
      </c>
      <c r="L25" s="51">
        <v>24.55</v>
      </c>
      <c r="M25" s="51">
        <v>55.52</v>
      </c>
      <c r="N25" s="51">
        <v>36.1</v>
      </c>
      <c r="O25" s="51">
        <v>0</v>
      </c>
      <c r="P25" s="51">
        <v>0.53</v>
      </c>
      <c r="Q25" s="51">
        <v>4.2699999999999996</v>
      </c>
    </row>
    <row r="26" spans="1:17" customFormat="1">
      <c r="A26" s="50" t="s">
        <v>293</v>
      </c>
      <c r="B26" s="51">
        <v>10.039999999999999</v>
      </c>
      <c r="C26" s="51">
        <v>22.63</v>
      </c>
      <c r="D26" s="51">
        <v>21.22</v>
      </c>
      <c r="E26" s="51">
        <v>6.63</v>
      </c>
      <c r="F26" s="51">
        <v>2.91</v>
      </c>
      <c r="G26" s="51">
        <v>38.85</v>
      </c>
      <c r="H26" s="51">
        <v>17.48</v>
      </c>
      <c r="I26" s="51">
        <v>4.41</v>
      </c>
      <c r="J26" s="51">
        <v>0.28000000000000003</v>
      </c>
      <c r="K26" s="51">
        <v>164.68</v>
      </c>
      <c r="L26" s="51">
        <v>22.33</v>
      </c>
      <c r="M26" s="51">
        <v>67.930000000000007</v>
      </c>
      <c r="N26" s="51">
        <v>0</v>
      </c>
      <c r="O26" s="51">
        <v>0</v>
      </c>
      <c r="P26" s="51">
        <v>0.56000000000000005</v>
      </c>
      <c r="Q26" s="51">
        <v>4.3499999999999996</v>
      </c>
    </row>
    <row r="27" spans="1:17" customFormat="1">
      <c r="A27" s="50" t="s">
        <v>294</v>
      </c>
      <c r="B27" s="51">
        <v>16.93</v>
      </c>
      <c r="C27" s="51">
        <v>24.01</v>
      </c>
      <c r="D27" s="51">
        <v>27.47</v>
      </c>
      <c r="E27" s="51">
        <v>8.81</v>
      </c>
      <c r="F27" s="51">
        <v>2.95</v>
      </c>
      <c r="G27" s="51">
        <v>62.82</v>
      </c>
      <c r="H27" s="51">
        <v>22.08</v>
      </c>
      <c r="I27" s="51">
        <v>5.19</v>
      </c>
      <c r="J27" s="51">
        <v>0.21</v>
      </c>
      <c r="K27" s="51">
        <v>144.38</v>
      </c>
      <c r="L27" s="51">
        <v>20.74</v>
      </c>
      <c r="M27" s="51">
        <v>71.209999999999994</v>
      </c>
      <c r="N27" s="51">
        <v>0</v>
      </c>
      <c r="O27" s="51">
        <v>0</v>
      </c>
      <c r="P27" s="51">
        <v>0.71</v>
      </c>
      <c r="Q27" s="51">
        <v>4.5999999999999996</v>
      </c>
    </row>
    <row r="28" spans="1:17" customFormat="1">
      <c r="A28" s="50" t="s">
        <v>295</v>
      </c>
      <c r="B28" s="51">
        <v>20.32</v>
      </c>
      <c r="C28" s="51">
        <v>26.11</v>
      </c>
      <c r="D28" s="51">
        <v>30.82</v>
      </c>
      <c r="E28" s="51">
        <v>8.9600000000000009</v>
      </c>
      <c r="F28" s="51">
        <v>2.69</v>
      </c>
      <c r="G28" s="51">
        <v>93.21</v>
      </c>
      <c r="H28" s="51">
        <v>28.86</v>
      </c>
      <c r="I28" s="51">
        <v>6.4</v>
      </c>
      <c r="J28" s="51">
        <v>0.21</v>
      </c>
      <c r="K28" s="51">
        <v>126.84</v>
      </c>
      <c r="L28" s="51">
        <v>20.079999999999998</v>
      </c>
      <c r="M28" s="51">
        <v>71.760000000000005</v>
      </c>
      <c r="N28" s="51">
        <v>0</v>
      </c>
      <c r="O28" s="51">
        <v>0</v>
      </c>
      <c r="P28" s="51">
        <v>0.81</v>
      </c>
      <c r="Q28" s="51">
        <v>4.6900000000000004</v>
      </c>
    </row>
    <row r="29" spans="1:17" customFormat="1">
      <c r="A29" s="50" t="s">
        <v>296</v>
      </c>
      <c r="B29" s="51">
        <v>21.25</v>
      </c>
      <c r="C29" s="51">
        <v>27.21</v>
      </c>
      <c r="D29" s="51">
        <v>32.58</v>
      </c>
      <c r="E29" s="51">
        <v>9.34</v>
      </c>
      <c r="F29" s="51">
        <v>2.7</v>
      </c>
      <c r="G29" s="51">
        <v>112.61</v>
      </c>
      <c r="H29" s="51">
        <v>33.04</v>
      </c>
      <c r="I29" s="51">
        <v>7.02</v>
      </c>
      <c r="J29" s="51">
        <v>0.14000000000000001</v>
      </c>
      <c r="K29" s="51">
        <v>212.96</v>
      </c>
      <c r="L29" s="51">
        <v>20.07</v>
      </c>
      <c r="M29" s="51">
        <v>74.680000000000007</v>
      </c>
      <c r="N29" s="51">
        <v>0</v>
      </c>
      <c r="O29" s="51">
        <v>0</v>
      </c>
      <c r="P29" s="51">
        <v>0.85</v>
      </c>
      <c r="Q29" s="51">
        <v>4.74</v>
      </c>
    </row>
    <row r="30" spans="1:17" customFormat="1">
      <c r="A30" s="50" t="s">
        <v>297</v>
      </c>
      <c r="B30" s="51">
        <v>20.74</v>
      </c>
      <c r="C30" s="51">
        <v>26.91</v>
      </c>
      <c r="D30" s="51">
        <v>32.020000000000003</v>
      </c>
      <c r="E30" s="51">
        <v>9.35</v>
      </c>
      <c r="F30" s="51">
        <v>2.88</v>
      </c>
      <c r="G30" s="51">
        <v>112.61</v>
      </c>
      <c r="H30" s="51">
        <v>34.43</v>
      </c>
      <c r="I30" s="51">
        <v>7.24</v>
      </c>
      <c r="J30" s="51">
        <v>0.17</v>
      </c>
      <c r="K30" s="51">
        <v>229.82</v>
      </c>
      <c r="L30" s="51">
        <v>18.37</v>
      </c>
      <c r="M30" s="51">
        <v>88.31</v>
      </c>
      <c r="N30" s="51">
        <v>0</v>
      </c>
      <c r="O30" s="51">
        <v>0</v>
      </c>
      <c r="P30" s="51">
        <v>0.86</v>
      </c>
      <c r="Q30" s="51">
        <v>4.7699999999999996</v>
      </c>
    </row>
    <row r="31" spans="1:17" customFormat="1">
      <c r="A31" s="50" t="s">
        <v>298</v>
      </c>
      <c r="B31" s="51">
        <v>17.149999999999999</v>
      </c>
      <c r="C31" s="51">
        <v>26.16</v>
      </c>
      <c r="D31" s="51">
        <v>28.77</v>
      </c>
      <c r="E31" s="51">
        <v>9.1999999999999993</v>
      </c>
      <c r="F31" s="51">
        <v>2.8</v>
      </c>
      <c r="G31" s="51">
        <v>107.8</v>
      </c>
      <c r="H31" s="51">
        <v>34.43</v>
      </c>
      <c r="I31" s="51">
        <v>7.14</v>
      </c>
      <c r="J31" s="51">
        <v>0.13</v>
      </c>
      <c r="K31" s="51">
        <v>241.68</v>
      </c>
      <c r="L31" s="51">
        <v>17.43</v>
      </c>
      <c r="M31" s="51">
        <v>90.7</v>
      </c>
      <c r="N31" s="51">
        <v>0</v>
      </c>
      <c r="O31" s="51">
        <v>0</v>
      </c>
      <c r="P31" s="51">
        <v>0.85</v>
      </c>
      <c r="Q31" s="51">
        <v>4.63</v>
      </c>
    </row>
    <row r="32" spans="1:17" customFormat="1">
      <c r="A32" s="50" t="s">
        <v>299</v>
      </c>
      <c r="B32" s="51">
        <v>17.98</v>
      </c>
      <c r="C32" s="51">
        <v>25.79</v>
      </c>
      <c r="D32" s="51">
        <v>29.24</v>
      </c>
      <c r="E32" s="51">
        <v>8.75</v>
      </c>
      <c r="F32" s="51">
        <v>2.75</v>
      </c>
      <c r="G32" s="51">
        <v>89.93</v>
      </c>
      <c r="H32" s="51">
        <v>34.17</v>
      </c>
      <c r="I32" s="51">
        <v>6.91</v>
      </c>
      <c r="J32" s="51">
        <v>0.13</v>
      </c>
      <c r="K32" s="51">
        <v>239.76</v>
      </c>
      <c r="L32" s="51">
        <v>16.89</v>
      </c>
      <c r="M32" s="51">
        <v>88.71</v>
      </c>
      <c r="N32" s="51">
        <v>0</v>
      </c>
      <c r="O32" s="51">
        <v>0</v>
      </c>
      <c r="P32" s="51">
        <v>0.82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7.18</v>
      </c>
      <c r="C34" s="41">
        <f t="shared" si="0"/>
        <v>22.63</v>
      </c>
      <c r="D34" s="41">
        <f t="shared" si="0"/>
        <v>19</v>
      </c>
      <c r="E34" s="41">
        <f t="shared" si="0"/>
        <v>6.63</v>
      </c>
      <c r="F34" s="41">
        <f t="shared" si="0"/>
        <v>2.58</v>
      </c>
      <c r="G34" s="41">
        <f t="shared" si="0"/>
        <v>25.42</v>
      </c>
      <c r="H34" s="41">
        <f t="shared" si="0"/>
        <v>13.44</v>
      </c>
      <c r="I34" s="41">
        <f t="shared" si="0"/>
        <v>4.41</v>
      </c>
      <c r="J34" s="41">
        <f t="shared" si="0"/>
        <v>0.1</v>
      </c>
      <c r="K34" s="41">
        <f t="shared" si="0"/>
        <v>58.12</v>
      </c>
      <c r="L34" s="41">
        <f t="shared" si="0"/>
        <v>14.93</v>
      </c>
      <c r="M34" s="41">
        <f t="shared" si="0"/>
        <v>38.340000000000003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4.2699999999999996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65.400000000000006</v>
      </c>
      <c r="C35" s="33">
        <f t="shared" si="1"/>
        <v>29.21</v>
      </c>
      <c r="D35" s="33">
        <f t="shared" si="1"/>
        <v>68.73</v>
      </c>
      <c r="E35" s="33">
        <f t="shared" si="1"/>
        <v>10.47</v>
      </c>
      <c r="F35" s="33">
        <f t="shared" si="1"/>
        <v>3.7</v>
      </c>
      <c r="G35" s="33">
        <f t="shared" si="1"/>
        <v>147.97</v>
      </c>
      <c r="H35" s="33">
        <f t="shared" si="1"/>
        <v>49.18</v>
      </c>
      <c r="I35" s="33">
        <f t="shared" si="1"/>
        <v>10.84</v>
      </c>
      <c r="J35" s="33">
        <f t="shared" si="1"/>
        <v>0.67</v>
      </c>
      <c r="K35" s="33">
        <f t="shared" si="1"/>
        <v>311.2</v>
      </c>
      <c r="L35" s="33">
        <f t="shared" si="1"/>
        <v>27.58</v>
      </c>
      <c r="M35" s="33">
        <f t="shared" si="1"/>
        <v>98.21</v>
      </c>
      <c r="N35" s="33">
        <f t="shared" si="1"/>
        <v>710.2</v>
      </c>
      <c r="O35" s="33">
        <f t="shared" si="1"/>
        <v>0</v>
      </c>
      <c r="P35" s="33">
        <f t="shared" si="1"/>
        <v>1.33</v>
      </c>
      <c r="Q35" s="33">
        <f t="shared" si="1"/>
        <v>6.07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31.430416666666659</v>
      </c>
      <c r="C36" s="41">
        <f t="shared" si="2"/>
        <v>26.21875</v>
      </c>
      <c r="D36" s="41">
        <f t="shared" si="2"/>
        <v>40.120416666666678</v>
      </c>
      <c r="E36" s="41">
        <f t="shared" si="2"/>
        <v>8.7304166666666649</v>
      </c>
      <c r="F36" s="41">
        <f t="shared" si="2"/>
        <v>2.9049999999999998</v>
      </c>
      <c r="G36" s="41">
        <f t="shared" si="2"/>
        <v>82.92583333333333</v>
      </c>
      <c r="H36" s="41">
        <f t="shared" si="2"/>
        <v>31.786249999999999</v>
      </c>
      <c r="I36" s="41">
        <f t="shared" si="2"/>
        <v>7.5920833333333322</v>
      </c>
      <c r="J36" s="41">
        <f t="shared" si="2"/>
        <v>0.27999999999999997</v>
      </c>
      <c r="K36" s="41">
        <f t="shared" si="2"/>
        <v>201.52791666666664</v>
      </c>
      <c r="L36" s="41">
        <f t="shared" si="2"/>
        <v>20.737500000000001</v>
      </c>
      <c r="M36" s="41">
        <f t="shared" si="2"/>
        <v>73.376666666666679</v>
      </c>
      <c r="N36" s="41">
        <f t="shared" si="2"/>
        <v>142.47499999999999</v>
      </c>
      <c r="O36" s="41">
        <f t="shared" si="2"/>
        <v>0</v>
      </c>
      <c r="P36" s="41">
        <f t="shared" si="2"/>
        <v>0.87250000000000005</v>
      </c>
      <c r="Q36" s="41">
        <f t="shared" si="2"/>
        <v>5.0504166666666643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18.967641433714721</v>
      </c>
      <c r="C37" s="41">
        <f t="shared" ref="C37:Q37" si="3">STDEV(C9:C32)</f>
        <v>1.8550150884186687</v>
      </c>
      <c r="D37" s="41">
        <f t="shared" si="3"/>
        <v>16.030320043230731</v>
      </c>
      <c r="E37" s="41">
        <f t="shared" si="3"/>
        <v>1.2139854564226902</v>
      </c>
      <c r="F37" s="41">
        <f t="shared" si="3"/>
        <v>0.30625366013784328</v>
      </c>
      <c r="G37" s="41">
        <f t="shared" si="3"/>
        <v>37.191858963870146</v>
      </c>
      <c r="H37" s="41">
        <f t="shared" si="3"/>
        <v>10.888517211503936</v>
      </c>
      <c r="I37" s="41">
        <f t="shared" si="3"/>
        <v>1.9156471926392613</v>
      </c>
      <c r="J37" s="41">
        <f t="shared" si="3"/>
        <v>0.16312172035683647</v>
      </c>
      <c r="K37" s="41">
        <f t="shared" si="3"/>
        <v>64.012092606154155</v>
      </c>
      <c r="L37" s="41">
        <f t="shared" si="3"/>
        <v>4.3076577414403729</v>
      </c>
      <c r="M37" s="41">
        <f t="shared" si="3"/>
        <v>21.530275885602201</v>
      </c>
      <c r="N37" s="41">
        <f t="shared" si="3"/>
        <v>230.6301184185169</v>
      </c>
      <c r="O37" s="41">
        <f t="shared" si="3"/>
        <v>0</v>
      </c>
      <c r="P37" s="41">
        <f t="shared" si="3"/>
        <v>0.24072806234421387</v>
      </c>
      <c r="Q37" s="41">
        <f t="shared" si="3"/>
        <v>0.58080513207898921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300</v>
      </c>
      <c r="B9" s="51">
        <v>22.51</v>
      </c>
      <c r="C9" s="51">
        <v>27.54</v>
      </c>
      <c r="D9" s="51">
        <v>33.79</v>
      </c>
      <c r="E9" s="51">
        <v>9.24</v>
      </c>
      <c r="F9" s="51">
        <v>2.72</v>
      </c>
      <c r="G9" s="51">
        <v>84.55</v>
      </c>
      <c r="H9" s="51">
        <v>35.130000000000003</v>
      </c>
      <c r="I9" s="51">
        <v>6.62</v>
      </c>
      <c r="J9" s="51">
        <v>0.1</v>
      </c>
      <c r="K9" s="51">
        <v>212.53</v>
      </c>
      <c r="L9" s="51">
        <v>16.559999999999999</v>
      </c>
      <c r="M9" s="51">
        <v>90.64</v>
      </c>
      <c r="N9" s="51">
        <v>0</v>
      </c>
      <c r="O9" s="51">
        <v>0</v>
      </c>
      <c r="P9" s="51">
        <v>0.82</v>
      </c>
      <c r="Q9" s="51">
        <v>4.84</v>
      </c>
    </row>
    <row r="10" spans="1:21" customFormat="1">
      <c r="A10" s="50" t="s">
        <v>301</v>
      </c>
      <c r="B10" s="51">
        <v>20.75</v>
      </c>
      <c r="C10" s="51">
        <v>26.98</v>
      </c>
      <c r="D10" s="51">
        <v>32.07</v>
      </c>
      <c r="E10" s="51">
        <v>9.02</v>
      </c>
      <c r="F10" s="51">
        <v>2.61</v>
      </c>
      <c r="G10" s="51">
        <v>84.55</v>
      </c>
      <c r="H10" s="51">
        <v>35.130000000000003</v>
      </c>
      <c r="I10" s="51">
        <v>6.47</v>
      </c>
      <c r="J10" s="51">
        <v>0.09</v>
      </c>
      <c r="K10" s="51">
        <v>354.19</v>
      </c>
      <c r="L10" s="51">
        <v>16.04</v>
      </c>
      <c r="M10" s="51">
        <v>89.52</v>
      </c>
      <c r="N10" s="51">
        <v>0</v>
      </c>
      <c r="O10" s="51">
        <v>0</v>
      </c>
      <c r="P10" s="51">
        <v>0.78</v>
      </c>
      <c r="Q10" s="51">
        <v>4.8</v>
      </c>
    </row>
    <row r="11" spans="1:21" customFormat="1">
      <c r="A11" s="50" t="s">
        <v>302</v>
      </c>
      <c r="B11" s="51">
        <v>23.18</v>
      </c>
      <c r="C11" s="51">
        <v>28.09</v>
      </c>
      <c r="D11" s="51">
        <v>33.22</v>
      </c>
      <c r="E11" s="51">
        <v>7.5</v>
      </c>
      <c r="F11" s="51">
        <v>2.86</v>
      </c>
      <c r="G11" s="51">
        <v>88.34</v>
      </c>
      <c r="H11" s="51">
        <v>31.6</v>
      </c>
      <c r="I11" s="51">
        <v>6.08</v>
      </c>
      <c r="J11" s="51">
        <v>0.25</v>
      </c>
      <c r="K11" s="51">
        <v>114.01</v>
      </c>
      <c r="L11" s="51">
        <v>16.13</v>
      </c>
      <c r="M11" s="51">
        <v>87.61</v>
      </c>
      <c r="N11" s="51">
        <v>0</v>
      </c>
      <c r="O11" s="51">
        <v>0</v>
      </c>
      <c r="P11" s="51">
        <v>0.75</v>
      </c>
      <c r="Q11" s="51">
        <v>4.82</v>
      </c>
    </row>
    <row r="12" spans="1:21" customFormat="1">
      <c r="A12" s="50" t="s">
        <v>303</v>
      </c>
      <c r="B12" s="51">
        <v>24.27</v>
      </c>
      <c r="C12" s="51">
        <v>26.18</v>
      </c>
      <c r="D12" s="51">
        <v>34.24</v>
      </c>
      <c r="E12" s="51">
        <v>7.5</v>
      </c>
      <c r="F12" s="51">
        <v>2.68</v>
      </c>
      <c r="G12" s="51">
        <v>88.34</v>
      </c>
      <c r="H12" s="51">
        <v>33.29</v>
      </c>
      <c r="I12" s="51">
        <v>5.92</v>
      </c>
      <c r="J12" s="51">
        <v>0.3</v>
      </c>
      <c r="K12" s="51">
        <v>203.02</v>
      </c>
      <c r="L12" s="51">
        <v>15.96</v>
      </c>
      <c r="M12" s="51">
        <v>91.96</v>
      </c>
      <c r="N12" s="51">
        <v>0</v>
      </c>
      <c r="O12" s="51">
        <v>0</v>
      </c>
      <c r="P12" s="51">
        <v>0.7</v>
      </c>
      <c r="Q12" s="51">
        <v>4.87</v>
      </c>
    </row>
    <row r="13" spans="1:21" customFormat="1">
      <c r="A13" s="50" t="s">
        <v>304</v>
      </c>
      <c r="B13" s="51">
        <v>23.8</v>
      </c>
      <c r="C13" s="51">
        <v>24.9</v>
      </c>
      <c r="D13" s="51">
        <v>33.43</v>
      </c>
      <c r="E13" s="51">
        <v>7.64</v>
      </c>
      <c r="F13" s="51">
        <v>2.62</v>
      </c>
      <c r="G13" s="51">
        <v>80.27</v>
      </c>
      <c r="H13" s="51">
        <v>33.29</v>
      </c>
      <c r="I13" s="51">
        <v>5.92</v>
      </c>
      <c r="J13" s="51">
        <v>0.11</v>
      </c>
      <c r="K13" s="51">
        <v>230.35</v>
      </c>
      <c r="L13" s="51">
        <v>15.04</v>
      </c>
      <c r="M13" s="51">
        <v>96.96</v>
      </c>
      <c r="N13" s="51">
        <v>0</v>
      </c>
      <c r="O13" s="51">
        <v>0</v>
      </c>
      <c r="P13" s="51">
        <v>0.69</v>
      </c>
      <c r="Q13" s="51">
        <v>4.8600000000000003</v>
      </c>
    </row>
    <row r="14" spans="1:21" customFormat="1">
      <c r="A14" s="50" t="s">
        <v>305</v>
      </c>
      <c r="B14" s="51">
        <v>21.05</v>
      </c>
      <c r="C14" s="51">
        <v>23.47</v>
      </c>
      <c r="D14" s="51">
        <v>30.13</v>
      </c>
      <c r="E14" s="51">
        <v>7.76</v>
      </c>
      <c r="F14" s="51">
        <v>2.64</v>
      </c>
      <c r="G14" s="51">
        <v>69.680000000000007</v>
      </c>
      <c r="H14" s="51">
        <v>31.62</v>
      </c>
      <c r="I14" s="51">
        <v>5.8</v>
      </c>
      <c r="J14" s="51">
        <v>0.2</v>
      </c>
      <c r="K14" s="51">
        <v>256.07</v>
      </c>
      <c r="L14" s="51">
        <v>14.62</v>
      </c>
      <c r="M14" s="51">
        <v>97.52</v>
      </c>
      <c r="N14" s="51">
        <v>0</v>
      </c>
      <c r="O14" s="51">
        <v>0</v>
      </c>
      <c r="P14" s="51">
        <v>0.66</v>
      </c>
      <c r="Q14" s="51">
        <v>4.78</v>
      </c>
    </row>
    <row r="15" spans="1:21" customFormat="1">
      <c r="A15" s="50" t="s">
        <v>306</v>
      </c>
      <c r="B15" s="51">
        <v>26.7</v>
      </c>
      <c r="C15" s="51">
        <v>24.51</v>
      </c>
      <c r="D15" s="51">
        <v>35.21</v>
      </c>
      <c r="E15" s="51">
        <v>7.86</v>
      </c>
      <c r="F15" s="51">
        <v>2.75</v>
      </c>
      <c r="G15" s="51">
        <v>57.41</v>
      </c>
      <c r="H15" s="51">
        <v>30.06</v>
      </c>
      <c r="I15" s="51">
        <v>5.68</v>
      </c>
      <c r="J15" s="51">
        <v>0.24</v>
      </c>
      <c r="K15" s="51">
        <v>266.56</v>
      </c>
      <c r="L15" s="51">
        <v>14.4</v>
      </c>
      <c r="M15" s="51">
        <v>97.83</v>
      </c>
      <c r="N15" s="51">
        <v>12.9</v>
      </c>
      <c r="O15" s="51">
        <v>0</v>
      </c>
      <c r="P15" s="51">
        <v>0.66</v>
      </c>
      <c r="Q15" s="51">
        <v>4.92</v>
      </c>
    </row>
    <row r="16" spans="1:21" customFormat="1">
      <c r="A16" s="50" t="s">
        <v>307</v>
      </c>
      <c r="B16" s="51">
        <v>32.51</v>
      </c>
      <c r="C16" s="51">
        <v>26.09</v>
      </c>
      <c r="D16" s="51">
        <v>41.05</v>
      </c>
      <c r="E16" s="51">
        <v>8.0500000000000007</v>
      </c>
      <c r="F16" s="51">
        <v>2.83</v>
      </c>
      <c r="G16" s="51">
        <v>53.69</v>
      </c>
      <c r="H16" s="51">
        <v>30.06</v>
      </c>
      <c r="I16" s="51">
        <v>5.83</v>
      </c>
      <c r="J16" s="51">
        <v>0.52</v>
      </c>
      <c r="K16" s="51">
        <v>159.32</v>
      </c>
      <c r="L16" s="51">
        <v>17.27</v>
      </c>
      <c r="M16" s="51">
        <v>97.36</v>
      </c>
      <c r="N16" s="51">
        <v>103</v>
      </c>
      <c r="O16" s="51">
        <v>0</v>
      </c>
      <c r="P16" s="51">
        <v>0.74</v>
      </c>
      <c r="Q16" s="51">
        <v>5.09</v>
      </c>
    </row>
    <row r="17" spans="1:17" customFormat="1">
      <c r="A17" s="50" t="s">
        <v>308</v>
      </c>
      <c r="B17" s="51">
        <v>32.700000000000003</v>
      </c>
      <c r="C17" s="51">
        <v>30.19</v>
      </c>
      <c r="D17" s="51">
        <v>43.35</v>
      </c>
      <c r="E17" s="51">
        <v>8.3699999999999992</v>
      </c>
      <c r="F17" s="51">
        <v>2.78</v>
      </c>
      <c r="G17" s="51">
        <v>76.39</v>
      </c>
      <c r="H17" s="51">
        <v>34.65</v>
      </c>
      <c r="I17" s="51">
        <v>6.61</v>
      </c>
      <c r="J17" s="51">
        <v>0.56999999999999995</v>
      </c>
      <c r="K17" s="51">
        <v>39.479999999999997</v>
      </c>
      <c r="L17" s="51">
        <v>20.29</v>
      </c>
      <c r="M17" s="51">
        <v>80.540000000000006</v>
      </c>
      <c r="N17" s="51">
        <v>236.1</v>
      </c>
      <c r="O17" s="51">
        <v>0</v>
      </c>
      <c r="P17" s="51">
        <v>0.82</v>
      </c>
      <c r="Q17" s="51">
        <v>5.15</v>
      </c>
    </row>
    <row r="18" spans="1:17" customFormat="1">
      <c r="A18" s="50" t="s">
        <v>309</v>
      </c>
      <c r="B18" s="51">
        <v>31.4</v>
      </c>
      <c r="C18" s="51">
        <v>29.73</v>
      </c>
      <c r="D18" s="51">
        <v>41.87</v>
      </c>
      <c r="E18" s="51">
        <v>8.5</v>
      </c>
      <c r="F18" s="51">
        <v>2.73</v>
      </c>
      <c r="G18" s="51">
        <v>92.5</v>
      </c>
      <c r="H18" s="51">
        <v>37.89</v>
      </c>
      <c r="I18" s="51">
        <v>6.81</v>
      </c>
      <c r="J18" s="51">
        <v>0.61</v>
      </c>
      <c r="K18" s="51">
        <v>47.68</v>
      </c>
      <c r="L18" s="51">
        <v>22.55</v>
      </c>
      <c r="M18" s="51">
        <v>64.849999999999994</v>
      </c>
      <c r="N18" s="51">
        <v>369.9</v>
      </c>
      <c r="O18" s="51">
        <v>0</v>
      </c>
      <c r="P18" s="51">
        <v>0.83</v>
      </c>
      <c r="Q18" s="51">
        <v>5.12</v>
      </c>
    </row>
    <row r="19" spans="1:17" customFormat="1">
      <c r="A19" s="50" t="s">
        <v>310</v>
      </c>
      <c r="B19" s="51">
        <v>26.98</v>
      </c>
      <c r="C19" s="51">
        <v>30.16</v>
      </c>
      <c r="D19" s="51">
        <v>38.68</v>
      </c>
      <c r="E19" s="51">
        <v>8.2899999999999991</v>
      </c>
      <c r="F19" s="51">
        <v>2.94</v>
      </c>
      <c r="G19" s="51">
        <v>92.5</v>
      </c>
      <c r="H19" s="51">
        <v>37.89</v>
      </c>
      <c r="I19" s="51">
        <v>6.71</v>
      </c>
      <c r="J19" s="51">
        <v>0.35</v>
      </c>
      <c r="K19" s="51">
        <v>324.19</v>
      </c>
      <c r="L19" s="51">
        <v>24.47</v>
      </c>
      <c r="M19" s="51">
        <v>55.54</v>
      </c>
      <c r="N19" s="51">
        <v>516.6</v>
      </c>
      <c r="O19" s="51">
        <v>0</v>
      </c>
      <c r="P19" s="51">
        <v>0.82</v>
      </c>
      <c r="Q19" s="51">
        <v>5.04</v>
      </c>
    </row>
    <row r="20" spans="1:17" customFormat="1">
      <c r="A20" s="50" t="s">
        <v>311</v>
      </c>
      <c r="B20" s="51">
        <v>20.149999999999999</v>
      </c>
      <c r="C20" s="51">
        <v>30.21</v>
      </c>
      <c r="D20" s="51">
        <v>33.29</v>
      </c>
      <c r="E20" s="51">
        <v>8.09</v>
      </c>
      <c r="F20" s="51">
        <v>3.12</v>
      </c>
      <c r="G20" s="51">
        <v>85.63</v>
      </c>
      <c r="H20" s="51">
        <v>36.9</v>
      </c>
      <c r="I20" s="51">
        <v>6.38</v>
      </c>
      <c r="J20" s="51">
        <v>0.34</v>
      </c>
      <c r="K20" s="51">
        <v>290.41000000000003</v>
      </c>
      <c r="L20" s="51">
        <v>26.29</v>
      </c>
      <c r="M20" s="51">
        <v>49.25</v>
      </c>
      <c r="N20" s="51">
        <v>589.29999999999995</v>
      </c>
      <c r="O20" s="51">
        <v>0</v>
      </c>
      <c r="P20" s="51">
        <v>0.79</v>
      </c>
      <c r="Q20" s="51">
        <v>4.8499999999999996</v>
      </c>
    </row>
    <row r="21" spans="1:17" customFormat="1">
      <c r="A21" s="50" t="s">
        <v>312</v>
      </c>
      <c r="B21" s="51">
        <v>13.27</v>
      </c>
      <c r="C21" s="51">
        <v>27.13</v>
      </c>
      <c r="D21" s="51">
        <v>26.17</v>
      </c>
      <c r="E21" s="51">
        <v>7.46</v>
      </c>
      <c r="F21" s="51">
        <v>3.31</v>
      </c>
      <c r="G21" s="51">
        <v>72.38</v>
      </c>
      <c r="H21" s="51">
        <v>31.8</v>
      </c>
      <c r="I21" s="51">
        <v>5.93</v>
      </c>
      <c r="J21" s="51">
        <v>0.67</v>
      </c>
      <c r="K21" s="51">
        <v>345.42</v>
      </c>
      <c r="L21" s="51">
        <v>26.65</v>
      </c>
      <c r="M21" s="51">
        <v>42.11</v>
      </c>
      <c r="N21" s="51">
        <v>588.79999999999995</v>
      </c>
      <c r="O21" s="51">
        <v>0</v>
      </c>
      <c r="P21" s="51">
        <v>0.73</v>
      </c>
      <c r="Q21" s="51">
        <v>4.58</v>
      </c>
    </row>
    <row r="22" spans="1:17" customFormat="1">
      <c r="A22" s="50" t="s">
        <v>313</v>
      </c>
      <c r="B22" s="51">
        <v>11.31</v>
      </c>
      <c r="C22" s="51">
        <v>22.27</v>
      </c>
      <c r="D22" s="51">
        <v>22.05</v>
      </c>
      <c r="E22" s="51">
        <v>7</v>
      </c>
      <c r="F22" s="51">
        <v>3.11</v>
      </c>
      <c r="G22" s="51">
        <v>61.83</v>
      </c>
      <c r="H22" s="51">
        <v>27.9</v>
      </c>
      <c r="I22" s="51">
        <v>5.61</v>
      </c>
      <c r="J22" s="51">
        <v>0.48</v>
      </c>
      <c r="K22" s="51">
        <v>314.87</v>
      </c>
      <c r="L22" s="51">
        <v>26.84</v>
      </c>
      <c r="M22" s="51">
        <v>40.31</v>
      </c>
      <c r="N22" s="51">
        <v>542</v>
      </c>
      <c r="O22" s="51">
        <v>0</v>
      </c>
      <c r="P22" s="51">
        <v>0.67</v>
      </c>
      <c r="Q22" s="51">
        <v>4.49</v>
      </c>
    </row>
    <row r="23" spans="1:17" customFormat="1">
      <c r="A23" s="52">
        <v>45271.625</v>
      </c>
      <c r="B23" s="51">
        <v>8.9</v>
      </c>
      <c r="C23" s="51">
        <v>20.78</v>
      </c>
      <c r="D23" s="51">
        <v>18.989999999999998</v>
      </c>
      <c r="E23" s="51">
        <v>6.93</v>
      </c>
      <c r="F23" s="51">
        <v>3.35</v>
      </c>
      <c r="G23" s="51">
        <v>54.71</v>
      </c>
      <c r="H23" s="51">
        <v>23.71</v>
      </c>
      <c r="I23" s="51">
        <v>5.33</v>
      </c>
      <c r="J23" s="51">
        <v>0.51</v>
      </c>
      <c r="K23" s="51">
        <v>305.5</v>
      </c>
      <c r="L23" s="51">
        <v>26.57</v>
      </c>
      <c r="M23" s="51">
        <v>41.58</v>
      </c>
      <c r="N23" s="51">
        <v>181.7</v>
      </c>
      <c r="O23" s="51">
        <v>0</v>
      </c>
      <c r="P23" s="51">
        <v>0.65</v>
      </c>
      <c r="Q23" s="51">
        <v>4.43</v>
      </c>
    </row>
    <row r="24" spans="1:17" customFormat="1">
      <c r="A24" s="50" t="s">
        <v>314</v>
      </c>
      <c r="B24" s="51">
        <v>8</v>
      </c>
      <c r="C24" s="51">
        <v>20.7</v>
      </c>
      <c r="D24" s="51">
        <v>18.059999999999999</v>
      </c>
      <c r="E24" s="51">
        <v>6.98</v>
      </c>
      <c r="F24" s="51">
        <v>3.31</v>
      </c>
      <c r="G24" s="51">
        <v>53.14</v>
      </c>
      <c r="H24" s="51">
        <v>25.65</v>
      </c>
      <c r="I24" s="51">
        <v>5.17</v>
      </c>
      <c r="J24" s="51">
        <v>0.37</v>
      </c>
      <c r="K24" s="51">
        <v>286.67</v>
      </c>
      <c r="L24" s="51">
        <v>25.46</v>
      </c>
      <c r="M24" s="51">
        <v>43.02</v>
      </c>
      <c r="N24" s="51">
        <v>85.2</v>
      </c>
      <c r="O24" s="51">
        <v>0</v>
      </c>
      <c r="P24" s="51">
        <v>0.65</v>
      </c>
      <c r="Q24" s="51">
        <v>4.41</v>
      </c>
    </row>
    <row r="25" spans="1:17" customFormat="1">
      <c r="A25" s="50" t="s">
        <v>315</v>
      </c>
      <c r="B25" s="51">
        <v>8.1</v>
      </c>
      <c r="C25" s="51">
        <v>22.15</v>
      </c>
      <c r="D25" s="51">
        <v>19.420000000000002</v>
      </c>
      <c r="E25" s="51">
        <v>7.14</v>
      </c>
      <c r="F25" s="51">
        <v>3.09</v>
      </c>
      <c r="G25" s="51">
        <v>66.95</v>
      </c>
      <c r="H25" s="51">
        <v>25.85</v>
      </c>
      <c r="I25" s="51">
        <v>5.07</v>
      </c>
      <c r="J25" s="51">
        <v>0.23</v>
      </c>
      <c r="K25" s="51">
        <v>74.66</v>
      </c>
      <c r="L25" s="51">
        <v>24.91</v>
      </c>
      <c r="M25" s="51">
        <v>52.95</v>
      </c>
      <c r="N25" s="51">
        <v>40.200000000000003</v>
      </c>
      <c r="O25" s="51">
        <v>0</v>
      </c>
      <c r="P25" s="51">
        <v>0.69</v>
      </c>
      <c r="Q25" s="51">
        <v>4.45</v>
      </c>
    </row>
    <row r="26" spans="1:17" customFormat="1">
      <c r="A26" s="50" t="s">
        <v>316</v>
      </c>
      <c r="B26" s="51">
        <v>9.11</v>
      </c>
      <c r="C26" s="51">
        <v>26.53</v>
      </c>
      <c r="D26" s="51">
        <v>22.52</v>
      </c>
      <c r="E26" s="51">
        <v>7.91</v>
      </c>
      <c r="F26" s="51">
        <v>2.82</v>
      </c>
      <c r="G26" s="51">
        <v>92.07</v>
      </c>
      <c r="H26" s="51">
        <v>34.979999999999997</v>
      </c>
      <c r="I26" s="51">
        <v>5.3</v>
      </c>
      <c r="J26" s="51">
        <v>0.22</v>
      </c>
      <c r="K26" s="51">
        <v>151.72</v>
      </c>
      <c r="L26" s="51">
        <v>22.99</v>
      </c>
      <c r="M26" s="51">
        <v>64.61</v>
      </c>
      <c r="N26" s="51">
        <v>0</v>
      </c>
      <c r="O26" s="51">
        <v>0</v>
      </c>
      <c r="P26" s="51">
        <v>0.77</v>
      </c>
      <c r="Q26" s="51">
        <v>4.57</v>
      </c>
    </row>
    <row r="27" spans="1:17" customFormat="1">
      <c r="A27" s="50" t="s">
        <v>317</v>
      </c>
      <c r="B27" s="51">
        <v>13.13</v>
      </c>
      <c r="C27" s="51">
        <v>30.19</v>
      </c>
      <c r="D27" s="51">
        <v>27.65</v>
      </c>
      <c r="E27" s="51">
        <v>10.6</v>
      </c>
      <c r="F27" s="51">
        <v>2.87</v>
      </c>
      <c r="G27" s="51">
        <v>108.94</v>
      </c>
      <c r="H27" s="51">
        <v>37.36</v>
      </c>
      <c r="I27" s="51">
        <v>5.84</v>
      </c>
      <c r="J27" s="51">
        <v>0.25</v>
      </c>
      <c r="K27" s="51">
        <v>52.2</v>
      </c>
      <c r="L27" s="51">
        <v>21.3</v>
      </c>
      <c r="M27" s="51">
        <v>62.23</v>
      </c>
      <c r="N27" s="51">
        <v>0</v>
      </c>
      <c r="O27" s="51">
        <v>0</v>
      </c>
      <c r="P27" s="51">
        <v>0.9</v>
      </c>
      <c r="Q27" s="51">
        <v>4.74</v>
      </c>
    </row>
    <row r="28" spans="1:17" customFormat="1">
      <c r="A28" s="50" t="s">
        <v>318</v>
      </c>
      <c r="B28" s="51">
        <v>17.649999999999999</v>
      </c>
      <c r="C28" s="51">
        <v>33.090000000000003</v>
      </c>
      <c r="D28" s="51">
        <v>32.799999999999997</v>
      </c>
      <c r="E28" s="51">
        <v>10.82</v>
      </c>
      <c r="F28" s="51">
        <v>2.7</v>
      </c>
      <c r="G28" s="51">
        <v>135.81</v>
      </c>
      <c r="H28" s="51">
        <v>42.24</v>
      </c>
      <c r="I28" s="51">
        <v>6.84</v>
      </c>
      <c r="J28" s="51">
        <v>0.3</v>
      </c>
      <c r="K28" s="51">
        <v>157.86000000000001</v>
      </c>
      <c r="L28" s="51">
        <v>20.89</v>
      </c>
      <c r="M28" s="51">
        <v>70.78</v>
      </c>
      <c r="N28" s="51">
        <v>0</v>
      </c>
      <c r="O28" s="51">
        <v>0</v>
      </c>
      <c r="P28" s="51">
        <v>0.99</v>
      </c>
      <c r="Q28" s="51">
        <v>4.91</v>
      </c>
    </row>
    <row r="29" spans="1:17" customFormat="1">
      <c r="A29" s="50" t="s">
        <v>319</v>
      </c>
      <c r="B29" s="51">
        <v>17.690000000000001</v>
      </c>
      <c r="C29" s="51">
        <v>33.36</v>
      </c>
      <c r="D29" s="51">
        <v>32.96</v>
      </c>
      <c r="E29" s="51">
        <v>10.94</v>
      </c>
      <c r="F29" s="51">
        <v>2.66</v>
      </c>
      <c r="G29" s="51">
        <v>140.51</v>
      </c>
      <c r="H29" s="51">
        <v>46.76</v>
      </c>
      <c r="I29" s="51">
        <v>7.36</v>
      </c>
      <c r="J29" s="51">
        <v>0.17</v>
      </c>
      <c r="K29" s="51">
        <v>175.09</v>
      </c>
      <c r="L29" s="51">
        <v>19.09</v>
      </c>
      <c r="M29" s="51">
        <v>84.39</v>
      </c>
      <c r="N29" s="51">
        <v>0</v>
      </c>
      <c r="O29" s="51">
        <v>0</v>
      </c>
      <c r="P29" s="51">
        <v>1.02</v>
      </c>
      <c r="Q29" s="51">
        <v>4.93</v>
      </c>
    </row>
    <row r="30" spans="1:17" customFormat="1">
      <c r="A30" s="50" t="s">
        <v>320</v>
      </c>
      <c r="B30" s="51">
        <v>15.35</v>
      </c>
      <c r="C30" s="51">
        <v>31.03</v>
      </c>
      <c r="D30" s="51">
        <v>29.87</v>
      </c>
      <c r="E30" s="51">
        <v>10.85</v>
      </c>
      <c r="F30" s="51">
        <v>2.7</v>
      </c>
      <c r="G30" s="51">
        <v>140.51</v>
      </c>
      <c r="H30" s="51">
        <v>46.76</v>
      </c>
      <c r="I30" s="51">
        <v>7.46</v>
      </c>
      <c r="J30" s="51">
        <v>0.18</v>
      </c>
      <c r="K30" s="51">
        <v>227.84</v>
      </c>
      <c r="L30" s="51">
        <v>18.05</v>
      </c>
      <c r="M30" s="51">
        <v>85.48</v>
      </c>
      <c r="N30" s="51">
        <v>0</v>
      </c>
      <c r="O30" s="51">
        <v>0</v>
      </c>
      <c r="P30" s="51">
        <v>1.02</v>
      </c>
      <c r="Q30" s="51">
        <v>4.8600000000000003</v>
      </c>
    </row>
    <row r="31" spans="1:17" customFormat="1">
      <c r="A31" s="50" t="s">
        <v>321</v>
      </c>
      <c r="B31" s="51">
        <v>13.39</v>
      </c>
      <c r="C31" s="51">
        <v>27.49</v>
      </c>
      <c r="D31" s="51">
        <v>26.46</v>
      </c>
      <c r="E31" s="51">
        <v>9.93</v>
      </c>
      <c r="F31" s="51">
        <v>2.9</v>
      </c>
      <c r="G31" s="51">
        <v>118.75</v>
      </c>
      <c r="H31" s="51">
        <v>46.16</v>
      </c>
      <c r="I31" s="51">
        <v>7.45</v>
      </c>
      <c r="J31" s="51">
        <v>0.15</v>
      </c>
      <c r="K31" s="51">
        <v>220.13</v>
      </c>
      <c r="L31" s="51">
        <v>17.32</v>
      </c>
      <c r="M31" s="51">
        <v>88.24</v>
      </c>
      <c r="N31" s="51">
        <v>0</v>
      </c>
      <c r="O31" s="51">
        <v>0</v>
      </c>
      <c r="P31" s="51">
        <v>0.97</v>
      </c>
      <c r="Q31" s="51">
        <v>4.74</v>
      </c>
    </row>
    <row r="32" spans="1:17" customFormat="1">
      <c r="A32" s="50" t="s">
        <v>322</v>
      </c>
      <c r="B32" s="51">
        <v>15.39</v>
      </c>
      <c r="C32" s="51">
        <v>26.19</v>
      </c>
      <c r="D32" s="51">
        <v>26.73</v>
      </c>
      <c r="E32" s="51">
        <v>10.31</v>
      </c>
      <c r="F32" s="51">
        <v>2.73</v>
      </c>
      <c r="G32" s="51">
        <v>108</v>
      </c>
      <c r="H32" s="51">
        <v>43.52</v>
      </c>
      <c r="I32" s="51">
        <v>7.37</v>
      </c>
      <c r="J32" s="51">
        <v>0.13</v>
      </c>
      <c r="K32" s="51">
        <v>239.98</v>
      </c>
      <c r="L32" s="51">
        <v>16.690000000000001</v>
      </c>
      <c r="M32" s="51">
        <v>89.91</v>
      </c>
      <c r="N32" s="51">
        <v>0</v>
      </c>
      <c r="O32" s="51">
        <v>0</v>
      </c>
      <c r="P32" s="51">
        <v>0.93</v>
      </c>
      <c r="Q32" s="51">
        <v>4.7300000000000004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</v>
      </c>
      <c r="C34" s="41">
        <f t="shared" si="0"/>
        <v>20.7</v>
      </c>
      <c r="D34" s="41">
        <f t="shared" si="0"/>
        <v>18.059999999999999</v>
      </c>
      <c r="E34" s="41">
        <f t="shared" si="0"/>
        <v>6.93</v>
      </c>
      <c r="F34" s="41">
        <f t="shared" si="0"/>
        <v>2.61</v>
      </c>
      <c r="G34" s="41">
        <f t="shared" si="0"/>
        <v>53.14</v>
      </c>
      <c r="H34" s="41">
        <f t="shared" si="0"/>
        <v>23.71</v>
      </c>
      <c r="I34" s="41">
        <f t="shared" si="0"/>
        <v>5.07</v>
      </c>
      <c r="J34" s="41">
        <f t="shared" si="0"/>
        <v>0.09</v>
      </c>
      <c r="K34" s="41">
        <f t="shared" si="0"/>
        <v>39.479999999999997</v>
      </c>
      <c r="L34" s="41">
        <f t="shared" si="0"/>
        <v>14.4</v>
      </c>
      <c r="M34" s="41">
        <f t="shared" si="0"/>
        <v>40.31</v>
      </c>
      <c r="N34" s="41">
        <f t="shared" si="0"/>
        <v>0</v>
      </c>
      <c r="O34" s="41">
        <f t="shared" si="0"/>
        <v>0</v>
      </c>
      <c r="P34" s="41">
        <f t="shared" si="0"/>
        <v>0.65</v>
      </c>
      <c r="Q34" s="41">
        <f t="shared" si="0"/>
        <v>4.41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32.700000000000003</v>
      </c>
      <c r="C35" s="33">
        <f t="shared" si="1"/>
        <v>33.36</v>
      </c>
      <c r="D35" s="33">
        <f t="shared" si="1"/>
        <v>43.35</v>
      </c>
      <c r="E35" s="33">
        <f t="shared" si="1"/>
        <v>10.94</v>
      </c>
      <c r="F35" s="33">
        <f t="shared" si="1"/>
        <v>3.35</v>
      </c>
      <c r="G35" s="33">
        <f t="shared" si="1"/>
        <v>140.51</v>
      </c>
      <c r="H35" s="33">
        <f t="shared" si="1"/>
        <v>46.76</v>
      </c>
      <c r="I35" s="33">
        <f t="shared" si="1"/>
        <v>7.46</v>
      </c>
      <c r="J35" s="33">
        <f t="shared" si="1"/>
        <v>0.67</v>
      </c>
      <c r="K35" s="33">
        <f t="shared" si="1"/>
        <v>354.19</v>
      </c>
      <c r="L35" s="33">
        <f t="shared" si="1"/>
        <v>26.84</v>
      </c>
      <c r="M35" s="33">
        <f t="shared" si="1"/>
        <v>97.83</v>
      </c>
      <c r="N35" s="33">
        <f t="shared" si="1"/>
        <v>589.29999999999995</v>
      </c>
      <c r="O35" s="33">
        <f t="shared" si="1"/>
        <v>0</v>
      </c>
      <c r="P35" s="33">
        <f t="shared" si="1"/>
        <v>1.02</v>
      </c>
      <c r="Q35" s="33">
        <f t="shared" si="1"/>
        <v>5.15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19.053749999999997</v>
      </c>
      <c r="C36" s="41">
        <f t="shared" si="2"/>
        <v>27.040000000000003</v>
      </c>
      <c r="D36" s="41">
        <f t="shared" si="2"/>
        <v>30.583749999999998</v>
      </c>
      <c r="E36" s="41">
        <f t="shared" si="2"/>
        <v>8.5287499999999987</v>
      </c>
      <c r="F36" s="41">
        <f t="shared" si="2"/>
        <v>2.8679166666666673</v>
      </c>
      <c r="G36" s="41">
        <f t="shared" si="2"/>
        <v>87.810416666666654</v>
      </c>
      <c r="H36" s="41">
        <f t="shared" si="2"/>
        <v>35.008333333333333</v>
      </c>
      <c r="I36" s="41">
        <f t="shared" si="2"/>
        <v>6.2316666666666665</v>
      </c>
      <c r="J36" s="41">
        <f t="shared" si="2"/>
        <v>0.30583333333333335</v>
      </c>
      <c r="K36" s="41">
        <f t="shared" si="2"/>
        <v>210.40624999999997</v>
      </c>
      <c r="L36" s="41">
        <f t="shared" si="2"/>
        <v>20.265833333333333</v>
      </c>
      <c r="M36" s="41">
        <f t="shared" si="2"/>
        <v>73.549583333333331</v>
      </c>
      <c r="N36" s="41">
        <f t="shared" si="2"/>
        <v>136.0708333333333</v>
      </c>
      <c r="O36" s="41">
        <f t="shared" si="2"/>
        <v>0</v>
      </c>
      <c r="P36" s="41">
        <f t="shared" si="2"/>
        <v>0.79374999999999984</v>
      </c>
      <c r="Q36" s="41">
        <f t="shared" si="2"/>
        <v>4.7908333333333326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7.6994843489113345</v>
      </c>
      <c r="C37" s="41">
        <f t="shared" ref="C37:Q37" si="3">STDEV(C9:C32)</f>
        <v>3.5709845189782605</v>
      </c>
      <c r="D37" s="41">
        <f t="shared" si="3"/>
        <v>7.1018624700481379</v>
      </c>
      <c r="E37" s="41">
        <f t="shared" si="3"/>
        <v>1.3484397183089329</v>
      </c>
      <c r="F37" s="41">
        <f t="shared" si="3"/>
        <v>0.22852987944051642</v>
      </c>
      <c r="G37" s="41">
        <f t="shared" si="3"/>
        <v>26.382461974175964</v>
      </c>
      <c r="H37" s="41">
        <f t="shared" si="3"/>
        <v>6.557725392149349</v>
      </c>
      <c r="I37" s="41">
        <f t="shared" si="3"/>
        <v>0.73797411682351355</v>
      </c>
      <c r="J37" s="41">
        <f t="shared" si="3"/>
        <v>0.17090339673187532</v>
      </c>
      <c r="K37" s="41">
        <f t="shared" si="3"/>
        <v>95.438610763445908</v>
      </c>
      <c r="L37" s="41">
        <f t="shared" si="3"/>
        <v>4.3633462594332331</v>
      </c>
      <c r="M37" s="41">
        <f t="shared" si="3"/>
        <v>20.676654022301868</v>
      </c>
      <c r="N37" s="41">
        <f t="shared" si="3"/>
        <v>214.21926694326572</v>
      </c>
      <c r="O37" s="41">
        <f t="shared" si="3"/>
        <v>0</v>
      </c>
      <c r="P37" s="41">
        <f t="shared" si="3"/>
        <v>0.1211471437334893</v>
      </c>
      <c r="Q37" s="41">
        <f t="shared" si="3"/>
        <v>0.21325462769162354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E39" sqref="E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45272.041666666664</v>
      </c>
      <c r="B9" s="54">
        <v>20</v>
      </c>
      <c r="C9" s="54">
        <v>27.65</v>
      </c>
      <c r="D9" s="54">
        <v>31.68</v>
      </c>
      <c r="E9" s="54">
        <v>10.32</v>
      </c>
      <c r="F9" s="54">
        <v>2.63</v>
      </c>
      <c r="G9" s="54">
        <v>108</v>
      </c>
      <c r="H9" s="54">
        <v>44.33</v>
      </c>
      <c r="I9" s="54">
        <v>7.29</v>
      </c>
      <c r="J9" s="54">
        <v>0.16</v>
      </c>
      <c r="K9" s="54">
        <v>243.77</v>
      </c>
      <c r="L9" s="54">
        <v>16.48</v>
      </c>
      <c r="M9" s="54">
        <v>92.05</v>
      </c>
      <c r="N9" s="54">
        <v>0</v>
      </c>
      <c r="O9" s="54">
        <v>0</v>
      </c>
      <c r="P9" s="54">
        <v>0.92</v>
      </c>
      <c r="Q9" s="54">
        <v>4.8600000000000003</v>
      </c>
    </row>
    <row r="10" spans="1:21" customFormat="1">
      <c r="A10" s="53">
        <v>45272.083333333336</v>
      </c>
      <c r="B10" s="54">
        <v>19.52</v>
      </c>
      <c r="C10" s="54">
        <v>26.09</v>
      </c>
      <c r="D10" s="54">
        <v>30.64</v>
      </c>
      <c r="E10" s="54">
        <v>10.14</v>
      </c>
      <c r="F10" s="54">
        <v>2.59</v>
      </c>
      <c r="G10" s="54">
        <v>101.87</v>
      </c>
      <c r="H10" s="54">
        <v>44.33</v>
      </c>
      <c r="I10" s="54">
        <v>7.13</v>
      </c>
      <c r="J10" s="54">
        <v>0.19</v>
      </c>
      <c r="K10" s="54">
        <v>261.16000000000003</v>
      </c>
      <c r="L10" s="54">
        <v>16.03</v>
      </c>
      <c r="M10" s="54">
        <v>92.27</v>
      </c>
      <c r="N10" s="54">
        <v>0</v>
      </c>
      <c r="O10" s="54">
        <v>0</v>
      </c>
      <c r="P10" s="54">
        <v>0.89</v>
      </c>
      <c r="Q10" s="54">
        <v>4.8499999999999996</v>
      </c>
    </row>
    <row r="11" spans="1:21" customFormat="1">
      <c r="A11" s="53">
        <v>45272.125</v>
      </c>
      <c r="B11" s="54">
        <v>19.36</v>
      </c>
      <c r="C11" s="54">
        <v>25.31</v>
      </c>
      <c r="D11" s="54">
        <v>30.1</v>
      </c>
      <c r="E11" s="54">
        <v>7.52</v>
      </c>
      <c r="F11" s="54">
        <v>2.69</v>
      </c>
      <c r="G11" s="54">
        <v>87.8</v>
      </c>
      <c r="H11" s="54">
        <v>39.83</v>
      </c>
      <c r="I11" s="54">
        <v>6.84</v>
      </c>
      <c r="J11" s="54">
        <v>0.26</v>
      </c>
      <c r="K11" s="54">
        <v>285.33</v>
      </c>
      <c r="L11" s="54">
        <v>15.95</v>
      </c>
      <c r="M11" s="54">
        <v>90.92</v>
      </c>
      <c r="N11" s="54">
        <v>0</v>
      </c>
      <c r="O11" s="54">
        <v>0</v>
      </c>
      <c r="P11" s="54">
        <v>0.83</v>
      </c>
      <c r="Q11" s="54">
        <v>4.83</v>
      </c>
    </row>
    <row r="12" spans="1:21" customFormat="1">
      <c r="A12" s="53">
        <v>45272.166666666664</v>
      </c>
      <c r="B12" s="54">
        <v>20.3</v>
      </c>
      <c r="C12" s="54">
        <v>26.47</v>
      </c>
      <c r="D12" s="54">
        <v>31.46</v>
      </c>
      <c r="E12" s="54">
        <v>7.39</v>
      </c>
      <c r="F12" s="54">
        <v>2.69</v>
      </c>
      <c r="G12" s="54">
        <v>79.650000000000006</v>
      </c>
      <c r="H12" s="54">
        <v>37.83</v>
      </c>
      <c r="I12" s="54">
        <v>6.53</v>
      </c>
      <c r="J12" s="54">
        <v>0.13</v>
      </c>
      <c r="K12" s="54">
        <v>142.46</v>
      </c>
      <c r="L12" s="54">
        <v>15.53</v>
      </c>
      <c r="M12" s="54">
        <v>91.97</v>
      </c>
      <c r="N12" s="54">
        <v>0</v>
      </c>
      <c r="O12" s="54">
        <v>0</v>
      </c>
      <c r="P12" s="54">
        <v>0.83</v>
      </c>
      <c r="Q12" s="54">
        <v>4.8899999999999997</v>
      </c>
    </row>
    <row r="13" spans="1:21" customFormat="1">
      <c r="A13" s="53">
        <v>45272.208333333336</v>
      </c>
      <c r="B13" s="54">
        <v>21.84</v>
      </c>
      <c r="C13" s="54">
        <v>26.63</v>
      </c>
      <c r="D13" s="54">
        <v>32.71</v>
      </c>
      <c r="E13" s="54">
        <v>7.71</v>
      </c>
      <c r="F13" s="54">
        <v>2.7</v>
      </c>
      <c r="G13" s="54">
        <v>74.959999999999994</v>
      </c>
      <c r="H13" s="54">
        <v>36.68</v>
      </c>
      <c r="I13" s="54">
        <v>6.58</v>
      </c>
      <c r="J13" s="54">
        <v>0.11</v>
      </c>
      <c r="K13" s="54">
        <v>201.69</v>
      </c>
      <c r="L13" s="54">
        <v>15.3</v>
      </c>
      <c r="M13" s="54">
        <v>93.9</v>
      </c>
      <c r="N13" s="54">
        <v>0</v>
      </c>
      <c r="O13" s="54">
        <v>0</v>
      </c>
      <c r="P13" s="54">
        <v>0.81</v>
      </c>
      <c r="Q13" s="54">
        <v>4.93</v>
      </c>
    </row>
    <row r="14" spans="1:21" customFormat="1">
      <c r="A14" s="53">
        <v>45272.25</v>
      </c>
      <c r="B14" s="54">
        <v>26.46</v>
      </c>
      <c r="C14" s="54">
        <v>26.51</v>
      </c>
      <c r="D14" s="54">
        <v>36.42</v>
      </c>
      <c r="E14" s="54">
        <v>7.95</v>
      </c>
      <c r="F14" s="54">
        <v>2.64</v>
      </c>
      <c r="G14" s="54">
        <v>74.959999999999994</v>
      </c>
      <c r="H14" s="54">
        <v>35.409999999999997</v>
      </c>
      <c r="I14" s="54">
        <v>6.6</v>
      </c>
      <c r="J14" s="54">
        <v>0.14000000000000001</v>
      </c>
      <c r="K14" s="54">
        <v>187.38</v>
      </c>
      <c r="L14" s="54">
        <v>14.86</v>
      </c>
      <c r="M14" s="54">
        <v>95.92</v>
      </c>
      <c r="N14" s="54">
        <v>0</v>
      </c>
      <c r="O14" s="54">
        <v>0</v>
      </c>
      <c r="P14" s="54">
        <v>0.79</v>
      </c>
      <c r="Q14" s="54">
        <v>5.03</v>
      </c>
    </row>
    <row r="15" spans="1:21" customFormat="1">
      <c r="A15" s="53">
        <v>45272.291666666664</v>
      </c>
      <c r="B15" s="54">
        <v>37.71</v>
      </c>
      <c r="C15" s="54">
        <v>28.07</v>
      </c>
      <c r="D15" s="54">
        <v>46.26</v>
      </c>
      <c r="E15" s="54">
        <v>8.06</v>
      </c>
      <c r="F15" s="54">
        <v>2.68</v>
      </c>
      <c r="G15" s="54">
        <v>75.75</v>
      </c>
      <c r="H15" s="54">
        <v>35.409999999999997</v>
      </c>
      <c r="I15" s="54">
        <v>6.64</v>
      </c>
      <c r="J15" s="54">
        <v>0.11</v>
      </c>
      <c r="K15" s="54">
        <v>221.45</v>
      </c>
      <c r="L15" s="54">
        <v>14.87</v>
      </c>
      <c r="M15" s="54">
        <v>96.49</v>
      </c>
      <c r="N15" s="54">
        <v>14</v>
      </c>
      <c r="O15" s="54">
        <v>0</v>
      </c>
      <c r="P15" s="54">
        <v>0.82</v>
      </c>
      <c r="Q15" s="54">
        <v>5.36</v>
      </c>
    </row>
    <row r="16" spans="1:21" customFormat="1">
      <c r="A16" s="53">
        <v>45272.333333333336</v>
      </c>
      <c r="B16" s="54">
        <v>41.43</v>
      </c>
      <c r="C16" s="54">
        <v>29.8</v>
      </c>
      <c r="D16" s="54">
        <v>50.15</v>
      </c>
      <c r="E16" s="54">
        <v>8.1199999999999992</v>
      </c>
      <c r="F16" s="54">
        <v>2.62</v>
      </c>
      <c r="G16" s="54">
        <v>75.75</v>
      </c>
      <c r="H16" s="54">
        <v>34.67</v>
      </c>
      <c r="I16" s="54">
        <v>6.95</v>
      </c>
      <c r="J16" s="54">
        <v>0.33</v>
      </c>
      <c r="K16" s="54">
        <v>352.59</v>
      </c>
      <c r="L16" s="54">
        <v>16.96</v>
      </c>
      <c r="M16" s="54">
        <v>96.48</v>
      </c>
      <c r="N16" s="54">
        <v>98.4</v>
      </c>
      <c r="O16" s="54">
        <v>0</v>
      </c>
      <c r="P16" s="54">
        <v>0.85</v>
      </c>
      <c r="Q16" s="54">
        <v>5.46</v>
      </c>
    </row>
    <row r="17" spans="1:17" customFormat="1">
      <c r="A17" s="53">
        <v>45272.375</v>
      </c>
      <c r="B17" s="54">
        <v>41.52</v>
      </c>
      <c r="C17" s="54">
        <v>28.91</v>
      </c>
      <c r="D17" s="54">
        <v>49.75</v>
      </c>
      <c r="E17" s="54">
        <v>8.2100000000000009</v>
      </c>
      <c r="F17" s="54">
        <v>2.82</v>
      </c>
      <c r="G17" s="54">
        <v>87.01</v>
      </c>
      <c r="H17" s="54">
        <v>39.700000000000003</v>
      </c>
      <c r="I17" s="54">
        <v>7.72</v>
      </c>
      <c r="J17" s="54">
        <v>0.27</v>
      </c>
      <c r="K17" s="54">
        <v>66.08</v>
      </c>
      <c r="L17" s="54">
        <v>20.43</v>
      </c>
      <c r="M17" s="54">
        <v>82.87</v>
      </c>
      <c r="N17" s="54">
        <v>225.5</v>
      </c>
      <c r="O17" s="54">
        <v>0</v>
      </c>
      <c r="P17" s="54">
        <v>0.88</v>
      </c>
      <c r="Q17" s="54">
        <v>5.47</v>
      </c>
    </row>
    <row r="18" spans="1:17" customFormat="1">
      <c r="A18" s="53">
        <v>45272.416666666664</v>
      </c>
      <c r="B18" s="54">
        <v>36.43</v>
      </c>
      <c r="C18" s="54">
        <v>27.41</v>
      </c>
      <c r="D18" s="54">
        <v>44.43</v>
      </c>
      <c r="E18" s="54">
        <v>8.1199999999999992</v>
      </c>
      <c r="F18" s="54">
        <v>2.94</v>
      </c>
      <c r="G18" s="54">
        <v>87.01</v>
      </c>
      <c r="H18" s="54">
        <v>40.33</v>
      </c>
      <c r="I18" s="54">
        <v>7.92</v>
      </c>
      <c r="J18" s="54">
        <v>0.21</v>
      </c>
      <c r="K18" s="54">
        <v>294.75</v>
      </c>
      <c r="L18" s="54">
        <v>22.78</v>
      </c>
      <c r="M18" s="54">
        <v>67.45</v>
      </c>
      <c r="N18" s="54">
        <v>339.3</v>
      </c>
      <c r="O18" s="54">
        <v>0</v>
      </c>
      <c r="P18" s="54">
        <v>0.88</v>
      </c>
      <c r="Q18" s="54">
        <v>5.31</v>
      </c>
    </row>
    <row r="19" spans="1:17" customFormat="1">
      <c r="A19" s="53">
        <v>45272.458333333336</v>
      </c>
      <c r="B19" s="54">
        <v>30.91</v>
      </c>
      <c r="C19" s="54">
        <v>25.65</v>
      </c>
      <c r="D19" s="54">
        <v>38.72</v>
      </c>
      <c r="E19" s="54">
        <v>8.94</v>
      </c>
      <c r="F19" s="54">
        <v>2.73</v>
      </c>
      <c r="G19" s="54">
        <v>83.58</v>
      </c>
      <c r="H19" s="54">
        <v>40.33</v>
      </c>
      <c r="I19" s="54">
        <v>7.73</v>
      </c>
      <c r="J19" s="54">
        <v>0.28000000000000003</v>
      </c>
      <c r="K19" s="54">
        <v>321.94</v>
      </c>
      <c r="L19" s="54">
        <v>24.59</v>
      </c>
      <c r="M19" s="54">
        <v>59.23</v>
      </c>
      <c r="N19" s="54">
        <v>490.6</v>
      </c>
      <c r="O19" s="54">
        <v>0</v>
      </c>
      <c r="P19" s="54">
        <v>0.83</v>
      </c>
      <c r="Q19" s="54">
        <v>5.1100000000000003</v>
      </c>
    </row>
    <row r="20" spans="1:17" customFormat="1">
      <c r="A20" s="53">
        <v>45272.5</v>
      </c>
      <c r="B20" s="54">
        <v>25.33</v>
      </c>
      <c r="C20" s="54">
        <v>24.67</v>
      </c>
      <c r="D20" s="54">
        <v>34.049999999999997</v>
      </c>
      <c r="E20" s="54">
        <v>8.61</v>
      </c>
      <c r="F20" s="54">
        <v>2.9</v>
      </c>
      <c r="G20" s="54">
        <v>75.28</v>
      </c>
      <c r="H20" s="54">
        <v>36.340000000000003</v>
      </c>
      <c r="I20" s="54">
        <v>7.42</v>
      </c>
      <c r="J20" s="54">
        <v>0.3</v>
      </c>
      <c r="K20" s="54">
        <v>215</v>
      </c>
      <c r="L20" s="54">
        <v>26.08</v>
      </c>
      <c r="M20" s="54">
        <v>49.2</v>
      </c>
      <c r="N20" s="54">
        <v>564.79999999999995</v>
      </c>
      <c r="O20" s="54">
        <v>0</v>
      </c>
      <c r="P20" s="54">
        <v>0.81</v>
      </c>
      <c r="Q20" s="54">
        <v>4.9400000000000004</v>
      </c>
    </row>
    <row r="21" spans="1:17" customFormat="1">
      <c r="A21" s="53">
        <v>45272.541666666664</v>
      </c>
      <c r="B21" s="54">
        <v>19.010000000000002</v>
      </c>
      <c r="C21" s="54">
        <v>23.78</v>
      </c>
      <c r="D21" s="54">
        <v>28.85</v>
      </c>
      <c r="E21" s="54">
        <v>8.74</v>
      </c>
      <c r="F21" s="54">
        <v>3.24</v>
      </c>
      <c r="G21" s="54">
        <v>58.38</v>
      </c>
      <c r="H21" s="54">
        <v>31.25</v>
      </c>
      <c r="I21" s="54">
        <v>6.98</v>
      </c>
      <c r="J21" s="54">
        <v>0.53</v>
      </c>
      <c r="K21" s="54">
        <v>285.77999999999997</v>
      </c>
      <c r="L21" s="54">
        <v>26.57</v>
      </c>
      <c r="M21" s="54">
        <v>44.47</v>
      </c>
      <c r="N21" s="54">
        <v>604</v>
      </c>
      <c r="O21" s="54">
        <v>0</v>
      </c>
      <c r="P21" s="54">
        <v>0.76</v>
      </c>
      <c r="Q21" s="54">
        <v>4.79</v>
      </c>
    </row>
    <row r="22" spans="1:17" customFormat="1">
      <c r="A22" s="53">
        <v>45272.583333333336</v>
      </c>
      <c r="B22" s="54">
        <v>11.93</v>
      </c>
      <c r="C22" s="54">
        <v>24.45</v>
      </c>
      <c r="D22" s="54">
        <v>23.69</v>
      </c>
      <c r="E22" s="54">
        <v>8.16</v>
      </c>
      <c r="F22" s="54">
        <v>8.67</v>
      </c>
      <c r="G22" s="54">
        <v>55.4</v>
      </c>
      <c r="H22" s="54">
        <v>27.57</v>
      </c>
      <c r="I22" s="54">
        <v>9.14</v>
      </c>
      <c r="J22" s="54">
        <v>0.41</v>
      </c>
      <c r="K22" s="54">
        <v>307.12</v>
      </c>
      <c r="L22" s="54">
        <v>26.61</v>
      </c>
      <c r="M22" s="54">
        <v>41.33</v>
      </c>
      <c r="N22" s="54">
        <v>455.5</v>
      </c>
      <c r="O22" s="54">
        <v>0</v>
      </c>
      <c r="P22" s="54">
        <v>0.74</v>
      </c>
      <c r="Q22" s="54">
        <v>4.57</v>
      </c>
    </row>
    <row r="23" spans="1:17" customFormat="1">
      <c r="A23" s="53">
        <v>45272.625</v>
      </c>
      <c r="B23" s="54">
        <v>7.84</v>
      </c>
      <c r="C23" s="54">
        <v>25.09</v>
      </c>
      <c r="D23" s="54">
        <v>19.23</v>
      </c>
      <c r="E23" s="11" t="s">
        <v>12</v>
      </c>
      <c r="F23" s="54">
        <v>9.49</v>
      </c>
      <c r="G23" s="54">
        <v>55.89</v>
      </c>
      <c r="H23" s="54">
        <v>22</v>
      </c>
      <c r="I23" s="54">
        <v>47.63</v>
      </c>
      <c r="J23" s="54">
        <v>0.44</v>
      </c>
      <c r="K23" s="54">
        <v>356</v>
      </c>
      <c r="L23" s="54">
        <v>26.31</v>
      </c>
      <c r="M23" s="54">
        <v>42.73</v>
      </c>
      <c r="N23" s="54">
        <v>189.4</v>
      </c>
      <c r="O23" s="54">
        <v>0</v>
      </c>
      <c r="P23" s="54">
        <v>0.62</v>
      </c>
      <c r="Q23" s="54">
        <v>4.83</v>
      </c>
    </row>
    <row r="24" spans="1:17" customFormat="1">
      <c r="A24" s="53">
        <v>45272.666666666664</v>
      </c>
      <c r="B24" s="54">
        <v>5.03</v>
      </c>
      <c r="C24" s="54">
        <v>28.47</v>
      </c>
      <c r="D24" s="54">
        <v>19.62</v>
      </c>
      <c r="E24" s="54">
        <v>10.16</v>
      </c>
      <c r="F24" s="54">
        <v>17.420000000000002</v>
      </c>
      <c r="G24" s="54">
        <v>58.66</v>
      </c>
      <c r="H24" s="54">
        <v>23.82</v>
      </c>
      <c r="I24" s="54">
        <v>80.42</v>
      </c>
      <c r="J24" s="54">
        <v>0.37</v>
      </c>
      <c r="K24" s="54">
        <v>347.76</v>
      </c>
      <c r="L24" s="54">
        <v>25.65</v>
      </c>
      <c r="M24" s="54">
        <v>43.5</v>
      </c>
      <c r="N24" s="54">
        <v>94.7</v>
      </c>
      <c r="O24" s="54">
        <v>0</v>
      </c>
      <c r="P24" s="54">
        <v>0.63</v>
      </c>
      <c r="Q24" s="54">
        <v>5.01</v>
      </c>
    </row>
    <row r="25" spans="1:17" customFormat="1">
      <c r="A25" s="53">
        <v>45272.708333333336</v>
      </c>
      <c r="B25" s="54">
        <v>4.8600000000000003</v>
      </c>
      <c r="C25" s="54">
        <v>27.89</v>
      </c>
      <c r="D25" s="54">
        <v>19.670000000000002</v>
      </c>
      <c r="E25" s="54">
        <v>10.27</v>
      </c>
      <c r="F25" s="54">
        <v>8.31</v>
      </c>
      <c r="G25" s="54">
        <v>66.67</v>
      </c>
      <c r="H25" s="54">
        <v>25.04</v>
      </c>
      <c r="I25" s="54">
        <v>62.02</v>
      </c>
      <c r="J25" s="54">
        <v>0.22</v>
      </c>
      <c r="K25" s="54">
        <v>200.91</v>
      </c>
      <c r="L25" s="54">
        <v>24.95</v>
      </c>
      <c r="M25" s="54">
        <v>54.66</v>
      </c>
      <c r="N25" s="54">
        <v>39.299999999999997</v>
      </c>
      <c r="O25" s="54">
        <v>0</v>
      </c>
      <c r="P25" s="54">
        <v>0.62</v>
      </c>
      <c r="Q25" s="54">
        <v>4.99</v>
      </c>
    </row>
    <row r="26" spans="1:17" customFormat="1">
      <c r="A26" s="53">
        <v>45272.75</v>
      </c>
      <c r="B26" s="54">
        <v>6.98</v>
      </c>
      <c r="C26" s="54">
        <v>27.95</v>
      </c>
      <c r="D26" s="54">
        <v>21.06</v>
      </c>
      <c r="E26" s="54">
        <v>8.4700000000000006</v>
      </c>
      <c r="F26" s="54">
        <v>3.39</v>
      </c>
      <c r="G26" s="54">
        <v>78.84</v>
      </c>
      <c r="H26" s="54">
        <v>28.29</v>
      </c>
      <c r="I26" s="54">
        <v>36.590000000000003</v>
      </c>
      <c r="J26" s="54">
        <v>0.26</v>
      </c>
      <c r="K26" s="54">
        <v>199.45</v>
      </c>
      <c r="L26" s="54">
        <v>23.06</v>
      </c>
      <c r="M26" s="54">
        <v>63.37</v>
      </c>
      <c r="N26" s="54">
        <v>0</v>
      </c>
      <c r="O26" s="54">
        <v>0</v>
      </c>
      <c r="P26" s="54">
        <v>0.67</v>
      </c>
      <c r="Q26" s="54">
        <v>5.0199999999999996</v>
      </c>
    </row>
    <row r="27" spans="1:17" customFormat="1">
      <c r="A27" s="53">
        <v>45272.791666666664</v>
      </c>
      <c r="B27" s="54">
        <v>10.31</v>
      </c>
      <c r="C27" s="54">
        <v>28.04</v>
      </c>
      <c r="D27" s="54">
        <v>24.27</v>
      </c>
      <c r="E27" s="54">
        <v>7.49</v>
      </c>
      <c r="F27" s="54">
        <v>2.84</v>
      </c>
      <c r="G27" s="54">
        <v>95.38</v>
      </c>
      <c r="H27" s="54">
        <v>31.6</v>
      </c>
      <c r="I27" s="54">
        <v>31.14</v>
      </c>
      <c r="J27" s="54">
        <v>0.22</v>
      </c>
      <c r="K27" s="54">
        <v>146.02000000000001</v>
      </c>
      <c r="L27" s="54">
        <v>21.17</v>
      </c>
      <c r="M27" s="54">
        <v>68.180000000000007</v>
      </c>
      <c r="N27" s="54">
        <v>0</v>
      </c>
      <c r="O27" s="54">
        <v>0</v>
      </c>
      <c r="P27" s="54">
        <v>0.75</v>
      </c>
      <c r="Q27" s="54">
        <v>5.0599999999999996</v>
      </c>
    </row>
    <row r="28" spans="1:17" customFormat="1">
      <c r="A28" s="53">
        <v>45272.833333333336</v>
      </c>
      <c r="B28" s="54">
        <v>12.47</v>
      </c>
      <c r="C28" s="54">
        <v>28.86</v>
      </c>
      <c r="D28" s="54">
        <v>26.26</v>
      </c>
      <c r="E28" s="54">
        <v>7.71</v>
      </c>
      <c r="F28" s="54">
        <v>2.82</v>
      </c>
      <c r="G28" s="54">
        <v>114.08</v>
      </c>
      <c r="H28" s="54">
        <v>34.29</v>
      </c>
      <c r="I28" s="54">
        <v>28.17</v>
      </c>
      <c r="J28" s="54">
        <v>0.18</v>
      </c>
      <c r="K28" s="54">
        <v>154.05000000000001</v>
      </c>
      <c r="L28" s="54">
        <v>21</v>
      </c>
      <c r="M28" s="54">
        <v>70.38</v>
      </c>
      <c r="N28" s="54">
        <v>0</v>
      </c>
      <c r="O28" s="54">
        <v>0</v>
      </c>
      <c r="P28" s="54">
        <v>0.81</v>
      </c>
      <c r="Q28" s="54">
        <v>5.17</v>
      </c>
    </row>
    <row r="29" spans="1:17" customFormat="1">
      <c r="A29" s="53">
        <v>45272.875</v>
      </c>
      <c r="B29" s="54">
        <v>13.01</v>
      </c>
      <c r="C29" s="54">
        <v>27.72</v>
      </c>
      <c r="D29" s="54">
        <v>26.2</v>
      </c>
      <c r="E29" s="54">
        <v>7.49</v>
      </c>
      <c r="F29" s="54">
        <v>2.95</v>
      </c>
      <c r="G29" s="54">
        <v>123.37</v>
      </c>
      <c r="H29" s="54">
        <v>36.450000000000003</v>
      </c>
      <c r="I29" s="54">
        <v>23.85</v>
      </c>
      <c r="J29" s="54">
        <v>0.3</v>
      </c>
      <c r="K29" s="54">
        <v>344.43</v>
      </c>
      <c r="L29" s="54">
        <v>20.49</v>
      </c>
      <c r="M29" s="54">
        <v>66.69</v>
      </c>
      <c r="N29" s="54">
        <v>0</v>
      </c>
      <c r="O29" s="54">
        <v>0</v>
      </c>
      <c r="P29" s="54">
        <v>0.82</v>
      </c>
      <c r="Q29" s="54">
        <v>5.22</v>
      </c>
    </row>
    <row r="30" spans="1:17" customFormat="1">
      <c r="A30" s="53">
        <v>45272.916666666664</v>
      </c>
      <c r="B30" s="54">
        <v>12.55</v>
      </c>
      <c r="C30" s="54">
        <v>27.88</v>
      </c>
      <c r="D30" s="54">
        <v>25.98</v>
      </c>
      <c r="E30" s="54">
        <v>7.79</v>
      </c>
      <c r="F30" s="54">
        <v>3.05</v>
      </c>
      <c r="G30" s="54">
        <v>113.93</v>
      </c>
      <c r="H30" s="54">
        <v>36.49</v>
      </c>
      <c r="I30" s="54">
        <v>21.31</v>
      </c>
      <c r="J30" s="54">
        <v>0.21</v>
      </c>
      <c r="K30" s="54">
        <v>157.55000000000001</v>
      </c>
      <c r="L30" s="54">
        <v>20.170000000000002</v>
      </c>
      <c r="M30" s="54">
        <v>70.42</v>
      </c>
      <c r="N30" s="54">
        <v>0</v>
      </c>
      <c r="O30" s="54">
        <v>0</v>
      </c>
      <c r="P30" s="54">
        <v>0.81</v>
      </c>
      <c r="Q30" s="54">
        <v>5.16</v>
      </c>
    </row>
    <row r="31" spans="1:17" customFormat="1">
      <c r="A31" s="53">
        <v>45272.958333333336</v>
      </c>
      <c r="B31" s="54">
        <v>11.56</v>
      </c>
      <c r="C31" s="54">
        <v>26.04</v>
      </c>
      <c r="D31" s="54">
        <v>24.04</v>
      </c>
      <c r="E31" s="54">
        <v>8.0299999999999994</v>
      </c>
      <c r="F31" s="54">
        <v>3.05</v>
      </c>
      <c r="G31" s="54">
        <v>97.12</v>
      </c>
      <c r="H31" s="54">
        <v>36.270000000000003</v>
      </c>
      <c r="I31" s="54">
        <v>19.899999999999999</v>
      </c>
      <c r="J31" s="54">
        <v>0.2</v>
      </c>
      <c r="K31" s="54">
        <v>266.75</v>
      </c>
      <c r="L31" s="54">
        <v>18.829999999999998</v>
      </c>
      <c r="M31" s="54">
        <v>78.94</v>
      </c>
      <c r="N31" s="54">
        <v>0</v>
      </c>
      <c r="O31" s="54">
        <v>0</v>
      </c>
      <c r="P31" s="54">
        <v>0.79</v>
      </c>
      <c r="Q31" s="54">
        <v>5.15</v>
      </c>
    </row>
    <row r="32" spans="1:17" customFormat="1">
      <c r="A32" s="53">
        <v>45273</v>
      </c>
      <c r="B32" s="54">
        <v>10.63</v>
      </c>
      <c r="C32" s="54">
        <v>27.11</v>
      </c>
      <c r="D32" s="54">
        <v>24.04</v>
      </c>
      <c r="E32" s="54">
        <v>8.02</v>
      </c>
      <c r="F32" s="54">
        <v>3.13</v>
      </c>
      <c r="G32" s="54">
        <v>85.9</v>
      </c>
      <c r="H32" s="54">
        <v>36.840000000000003</v>
      </c>
      <c r="I32" s="54">
        <v>17.34</v>
      </c>
      <c r="J32" s="54">
        <v>0.12</v>
      </c>
      <c r="K32" s="54">
        <v>257.52</v>
      </c>
      <c r="L32" s="54">
        <v>18.18</v>
      </c>
      <c r="M32" s="54">
        <v>77.05</v>
      </c>
      <c r="N32" s="54">
        <v>0</v>
      </c>
      <c r="O32" s="54">
        <v>0</v>
      </c>
      <c r="P32" s="54">
        <v>0.77</v>
      </c>
      <c r="Q32" s="54">
        <v>5.12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4.8600000000000003</v>
      </c>
      <c r="C34" s="41">
        <f t="shared" si="0"/>
        <v>23.78</v>
      </c>
      <c r="D34" s="41">
        <f t="shared" si="0"/>
        <v>19.23</v>
      </c>
      <c r="E34" s="41">
        <f t="shared" si="0"/>
        <v>7.39</v>
      </c>
      <c r="F34" s="41">
        <f t="shared" si="0"/>
        <v>2.59</v>
      </c>
      <c r="G34" s="41">
        <f t="shared" si="0"/>
        <v>55.4</v>
      </c>
      <c r="H34" s="41">
        <f t="shared" si="0"/>
        <v>22</v>
      </c>
      <c r="I34" s="41">
        <f t="shared" si="0"/>
        <v>6.53</v>
      </c>
      <c r="J34" s="41">
        <f t="shared" si="0"/>
        <v>0.11</v>
      </c>
      <c r="K34" s="41">
        <f t="shared" si="0"/>
        <v>66.08</v>
      </c>
      <c r="L34" s="41">
        <f t="shared" si="0"/>
        <v>14.86</v>
      </c>
      <c r="M34" s="41">
        <f t="shared" si="0"/>
        <v>41.33</v>
      </c>
      <c r="N34" s="41">
        <f t="shared" si="0"/>
        <v>0</v>
      </c>
      <c r="O34" s="41">
        <f t="shared" si="0"/>
        <v>0</v>
      </c>
      <c r="P34" s="41">
        <f t="shared" si="0"/>
        <v>0.62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41.52</v>
      </c>
      <c r="C35" s="33">
        <f t="shared" si="1"/>
        <v>29.8</v>
      </c>
      <c r="D35" s="33">
        <f t="shared" si="1"/>
        <v>50.15</v>
      </c>
      <c r="E35" s="33">
        <f t="shared" si="1"/>
        <v>10.32</v>
      </c>
      <c r="F35" s="33">
        <f t="shared" si="1"/>
        <v>17.420000000000002</v>
      </c>
      <c r="G35" s="33">
        <f t="shared" si="1"/>
        <v>123.37</v>
      </c>
      <c r="H35" s="33">
        <f t="shared" si="1"/>
        <v>44.33</v>
      </c>
      <c r="I35" s="33">
        <f t="shared" si="1"/>
        <v>80.42</v>
      </c>
      <c r="J35" s="33">
        <f t="shared" si="1"/>
        <v>0.53</v>
      </c>
      <c r="K35" s="33">
        <f t="shared" si="1"/>
        <v>356</v>
      </c>
      <c r="L35" s="33">
        <f t="shared" si="1"/>
        <v>26.61</v>
      </c>
      <c r="M35" s="33">
        <f t="shared" si="1"/>
        <v>96.49</v>
      </c>
      <c r="N35" s="33">
        <f t="shared" si="1"/>
        <v>604</v>
      </c>
      <c r="O35" s="33">
        <f t="shared" si="1"/>
        <v>0</v>
      </c>
      <c r="P35" s="33">
        <f t="shared" si="1"/>
        <v>0.92</v>
      </c>
      <c r="Q35" s="33">
        <f t="shared" si="1"/>
        <v>5.47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19.457916666666666</v>
      </c>
      <c r="C36" s="41">
        <f t="shared" si="2"/>
        <v>26.935416666666669</v>
      </c>
      <c r="D36" s="41">
        <f t="shared" si="2"/>
        <v>30.803333333333327</v>
      </c>
      <c r="E36" s="41">
        <f t="shared" si="2"/>
        <v>8.4095652173913056</v>
      </c>
      <c r="F36" s="41">
        <f t="shared" si="2"/>
        <v>4.2079166666666667</v>
      </c>
      <c r="G36" s="41">
        <f t="shared" si="2"/>
        <v>83.968333333333348</v>
      </c>
      <c r="H36" s="41">
        <f t="shared" si="2"/>
        <v>34.795833333333334</v>
      </c>
      <c r="I36" s="41">
        <f t="shared" si="2"/>
        <v>19.576666666666664</v>
      </c>
      <c r="J36" s="41">
        <f t="shared" si="2"/>
        <v>0.24791666666666665</v>
      </c>
      <c r="K36" s="41">
        <f t="shared" si="2"/>
        <v>242.37250000000003</v>
      </c>
      <c r="L36" s="41">
        <f t="shared" si="2"/>
        <v>20.535416666666666</v>
      </c>
      <c r="M36" s="41">
        <f t="shared" si="2"/>
        <v>72.102916666666673</v>
      </c>
      <c r="N36" s="41">
        <f t="shared" si="2"/>
        <v>129.81250000000003</v>
      </c>
      <c r="O36" s="41">
        <f t="shared" si="2"/>
        <v>0</v>
      </c>
      <c r="P36" s="41">
        <f t="shared" si="2"/>
        <v>0.78874999999999984</v>
      </c>
      <c r="Q36" s="41">
        <f t="shared" si="2"/>
        <v>5.047083333333334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11.311743793285254</v>
      </c>
      <c r="C37" s="41">
        <f t="shared" ref="C37:Q37" si="3">STDEV(C9:C32)</f>
        <v>1.5584160832093883</v>
      </c>
      <c r="D37" s="41">
        <f t="shared" si="3"/>
        <v>9.3240146543944533</v>
      </c>
      <c r="E37" s="41">
        <f t="shared" si="3"/>
        <v>0.93874906251432633</v>
      </c>
      <c r="F37" s="41">
        <f t="shared" si="3"/>
        <v>3.4688589518076749</v>
      </c>
      <c r="G37" s="41">
        <f t="shared" si="3"/>
        <v>18.895619613542962</v>
      </c>
      <c r="H37" s="41">
        <f t="shared" si="3"/>
        <v>5.9610211531587574</v>
      </c>
      <c r="I37" s="41">
        <f t="shared" si="3"/>
        <v>19.72454169119111</v>
      </c>
      <c r="J37" s="41">
        <f t="shared" si="3"/>
        <v>0.10914605956625559</v>
      </c>
      <c r="K37" s="41">
        <f t="shared" si="3"/>
        <v>77.886480003857656</v>
      </c>
      <c r="L37" s="41">
        <f t="shared" si="3"/>
        <v>4.208952135592658</v>
      </c>
      <c r="M37" s="41">
        <f t="shared" si="3"/>
        <v>19.231120946588558</v>
      </c>
      <c r="N37" s="41">
        <f t="shared" si="3"/>
        <v>203.21235907403559</v>
      </c>
      <c r="O37" s="41">
        <f t="shared" si="3"/>
        <v>0</v>
      </c>
      <c r="P37" s="41">
        <f t="shared" si="3"/>
        <v>8.2899231653229891E-2</v>
      </c>
      <c r="Q37" s="41">
        <f t="shared" si="3"/>
        <v>0.21983153958677892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45273.041666666664</v>
      </c>
      <c r="B9" s="54">
        <v>9.15</v>
      </c>
      <c r="C9" s="54">
        <v>26.35</v>
      </c>
      <c r="D9" s="54">
        <v>22.45</v>
      </c>
      <c r="E9" s="54">
        <v>7.98</v>
      </c>
      <c r="F9" s="54">
        <v>3</v>
      </c>
      <c r="G9" s="54">
        <v>79.3</v>
      </c>
      <c r="H9" s="54">
        <v>37.950000000000003</v>
      </c>
      <c r="I9" s="54">
        <v>14.84</v>
      </c>
      <c r="J9" s="54">
        <v>0.2</v>
      </c>
      <c r="K9" s="54">
        <v>264.52</v>
      </c>
      <c r="L9" s="54">
        <v>17.68</v>
      </c>
      <c r="M9" s="54">
        <v>81.790000000000006</v>
      </c>
      <c r="N9" s="54">
        <v>0</v>
      </c>
      <c r="O9" s="54">
        <v>0</v>
      </c>
      <c r="P9" s="54">
        <v>0.73</v>
      </c>
      <c r="Q9" s="54">
        <v>5.15</v>
      </c>
    </row>
    <row r="10" spans="1:21" customFormat="1">
      <c r="A10" s="53">
        <v>45273.083333333336</v>
      </c>
      <c r="B10" s="54">
        <v>8.3000000000000007</v>
      </c>
      <c r="C10" s="54">
        <v>24.94</v>
      </c>
      <c r="D10" s="54">
        <v>21.04</v>
      </c>
      <c r="E10" s="54">
        <v>8.06</v>
      </c>
      <c r="F10" s="54">
        <v>2.89</v>
      </c>
      <c r="G10" s="54">
        <v>67.8</v>
      </c>
      <c r="H10" s="54">
        <v>33.909999999999997</v>
      </c>
      <c r="I10" s="54">
        <v>12.74</v>
      </c>
      <c r="J10" s="54">
        <v>0.1</v>
      </c>
      <c r="K10" s="54">
        <v>227.97</v>
      </c>
      <c r="L10" s="54">
        <v>16.760000000000002</v>
      </c>
      <c r="M10" s="54">
        <v>87.94</v>
      </c>
      <c r="N10" s="54">
        <v>0</v>
      </c>
      <c r="O10" s="54">
        <v>0</v>
      </c>
      <c r="P10" s="54">
        <v>0.68</v>
      </c>
      <c r="Q10" s="54">
        <v>5.0999999999999996</v>
      </c>
    </row>
    <row r="11" spans="1:21" customFormat="1">
      <c r="A11" s="53">
        <v>45273.125</v>
      </c>
      <c r="B11" s="54">
        <v>7.9</v>
      </c>
      <c r="C11" s="54">
        <v>23.41</v>
      </c>
      <c r="D11" s="54">
        <v>19.920000000000002</v>
      </c>
      <c r="E11" s="54">
        <v>7.31</v>
      </c>
      <c r="F11" s="54">
        <v>2.85</v>
      </c>
      <c r="G11" s="54">
        <v>52.1</v>
      </c>
      <c r="H11" s="54">
        <v>31.18</v>
      </c>
      <c r="I11" s="54">
        <v>11.08</v>
      </c>
      <c r="J11" s="54">
        <v>0.17</v>
      </c>
      <c r="K11" s="54">
        <v>283.81</v>
      </c>
      <c r="L11" s="54">
        <v>15.98</v>
      </c>
      <c r="M11" s="54">
        <v>87.59</v>
      </c>
      <c r="N11" s="54">
        <v>0</v>
      </c>
      <c r="O11" s="54">
        <v>0</v>
      </c>
      <c r="P11" s="54">
        <v>0.66</v>
      </c>
      <c r="Q11" s="54">
        <v>5.07</v>
      </c>
    </row>
    <row r="12" spans="1:21" customFormat="1">
      <c r="A12" s="53">
        <v>45273.166666666664</v>
      </c>
      <c r="B12" s="54">
        <v>11.51</v>
      </c>
      <c r="C12" s="54">
        <v>23.92</v>
      </c>
      <c r="D12" s="54">
        <v>22.43</v>
      </c>
      <c r="E12" s="54">
        <v>7.74</v>
      </c>
      <c r="F12" s="54">
        <v>2.87</v>
      </c>
      <c r="G12" s="54">
        <v>54.12</v>
      </c>
      <c r="H12" s="54">
        <v>31.37</v>
      </c>
      <c r="I12" s="54">
        <v>9.82</v>
      </c>
      <c r="J12" s="54">
        <v>0.23</v>
      </c>
      <c r="K12" s="54">
        <v>122.06</v>
      </c>
      <c r="L12" s="54">
        <v>15.97</v>
      </c>
      <c r="M12" s="54">
        <v>86.63</v>
      </c>
      <c r="N12" s="54">
        <v>0</v>
      </c>
      <c r="O12" s="54">
        <v>0</v>
      </c>
      <c r="P12" s="54">
        <v>0.63</v>
      </c>
      <c r="Q12" s="54">
        <v>5.15</v>
      </c>
    </row>
    <row r="13" spans="1:21" customFormat="1">
      <c r="A13" s="53">
        <v>45273.208333333336</v>
      </c>
      <c r="B13" s="54">
        <v>15.16</v>
      </c>
      <c r="C13" s="54">
        <v>25.76</v>
      </c>
      <c r="D13" s="54">
        <v>26.97</v>
      </c>
      <c r="E13" s="54">
        <v>7.41</v>
      </c>
      <c r="F13" s="54">
        <v>2.73</v>
      </c>
      <c r="G13" s="54">
        <v>68.680000000000007</v>
      </c>
      <c r="H13" s="54">
        <v>33.31</v>
      </c>
      <c r="I13" s="54">
        <v>8.93</v>
      </c>
      <c r="J13" s="54">
        <v>0.17</v>
      </c>
      <c r="K13" s="54">
        <v>171.86</v>
      </c>
      <c r="L13" s="54">
        <v>15.94</v>
      </c>
      <c r="M13" s="54">
        <v>92.59</v>
      </c>
      <c r="N13" s="54">
        <v>0</v>
      </c>
      <c r="O13" s="54">
        <v>0</v>
      </c>
      <c r="P13" s="54">
        <v>0.66</v>
      </c>
      <c r="Q13" s="54">
        <v>5.24</v>
      </c>
    </row>
    <row r="14" spans="1:21" customFormat="1">
      <c r="A14" s="53">
        <v>45273.25</v>
      </c>
      <c r="B14" s="54">
        <v>15.92</v>
      </c>
      <c r="C14" s="54">
        <v>25.53</v>
      </c>
      <c r="D14" s="54">
        <v>27.2</v>
      </c>
      <c r="E14" s="54">
        <v>7.71</v>
      </c>
      <c r="F14" s="54">
        <v>2.57</v>
      </c>
      <c r="G14" s="54">
        <v>83.26</v>
      </c>
      <c r="H14" s="54">
        <v>36.270000000000003</v>
      </c>
      <c r="I14" s="54">
        <v>8.76</v>
      </c>
      <c r="J14" s="54">
        <v>0.12</v>
      </c>
      <c r="K14" s="54">
        <v>236.24</v>
      </c>
      <c r="L14" s="54">
        <v>15.12</v>
      </c>
      <c r="M14" s="54">
        <v>95.22</v>
      </c>
      <c r="N14" s="54">
        <v>0</v>
      </c>
      <c r="O14" s="54">
        <v>0</v>
      </c>
      <c r="P14" s="54">
        <v>0.7</v>
      </c>
      <c r="Q14" s="54">
        <v>5.29</v>
      </c>
    </row>
    <row r="15" spans="1:21" customFormat="1">
      <c r="A15" s="53">
        <v>45273.291666666664</v>
      </c>
      <c r="B15" s="54">
        <v>21.3</v>
      </c>
      <c r="C15" s="54">
        <v>25.05</v>
      </c>
      <c r="D15" s="54">
        <v>31.52</v>
      </c>
      <c r="E15" s="54">
        <v>7.94</v>
      </c>
      <c r="F15" s="54">
        <v>2.64</v>
      </c>
      <c r="G15" s="54">
        <v>87.36</v>
      </c>
      <c r="H15" s="54">
        <v>37.909999999999997</v>
      </c>
      <c r="I15" s="54">
        <v>8.67</v>
      </c>
      <c r="J15" s="54">
        <v>0.4</v>
      </c>
      <c r="K15" s="54">
        <v>308.79000000000002</v>
      </c>
      <c r="L15" s="54">
        <v>14.92</v>
      </c>
      <c r="M15" s="54">
        <v>95.35</v>
      </c>
      <c r="N15" s="54">
        <v>13.8</v>
      </c>
      <c r="O15" s="54">
        <v>0</v>
      </c>
      <c r="P15" s="54">
        <v>0.73</v>
      </c>
      <c r="Q15" s="54">
        <v>5.43</v>
      </c>
    </row>
    <row r="16" spans="1:21" customFormat="1">
      <c r="A16" s="53">
        <v>45273.333333333336</v>
      </c>
      <c r="B16" s="54">
        <v>28.05</v>
      </c>
      <c r="C16" s="54">
        <v>29.54</v>
      </c>
      <c r="D16" s="54">
        <v>39.28</v>
      </c>
      <c r="E16" s="54">
        <v>8.52</v>
      </c>
      <c r="F16" s="54">
        <v>2.6</v>
      </c>
      <c r="G16" s="54">
        <v>95.87</v>
      </c>
      <c r="H16" s="54">
        <v>40.869999999999997</v>
      </c>
      <c r="I16" s="54">
        <v>8.7799999999999994</v>
      </c>
      <c r="J16" s="54">
        <v>0.42</v>
      </c>
      <c r="K16" s="54">
        <v>134.5</v>
      </c>
      <c r="L16" s="54">
        <v>17.61</v>
      </c>
      <c r="M16" s="54">
        <v>93.7</v>
      </c>
      <c r="N16" s="54">
        <v>107.5</v>
      </c>
      <c r="O16" s="54">
        <v>0</v>
      </c>
      <c r="P16" s="54">
        <v>0.82</v>
      </c>
      <c r="Q16" s="54">
        <v>5.63</v>
      </c>
    </row>
    <row r="17" spans="1:17" customFormat="1">
      <c r="A17" s="53">
        <v>45273.375</v>
      </c>
      <c r="B17" s="54">
        <v>29.55</v>
      </c>
      <c r="C17" s="54">
        <v>30.53</v>
      </c>
      <c r="D17" s="54">
        <v>40.76</v>
      </c>
      <c r="E17" s="54">
        <v>9.2799999999999994</v>
      </c>
      <c r="F17" s="54">
        <v>2.73</v>
      </c>
      <c r="G17" s="54">
        <v>111.31</v>
      </c>
      <c r="H17" s="54">
        <v>44.88</v>
      </c>
      <c r="I17" s="54">
        <v>9.4499999999999993</v>
      </c>
      <c r="J17" s="54">
        <v>0.38</v>
      </c>
      <c r="K17" s="54">
        <v>63.07</v>
      </c>
      <c r="L17" s="54">
        <v>20.079999999999998</v>
      </c>
      <c r="M17" s="54">
        <v>77.98</v>
      </c>
      <c r="N17" s="54">
        <v>168.8</v>
      </c>
      <c r="O17" s="54">
        <v>0</v>
      </c>
      <c r="P17" s="54">
        <v>0.91</v>
      </c>
      <c r="Q17" s="54">
        <v>5.69</v>
      </c>
    </row>
    <row r="18" spans="1:17" customFormat="1">
      <c r="A18" s="53">
        <v>45273.416666666664</v>
      </c>
      <c r="B18" s="54">
        <v>27.03</v>
      </c>
      <c r="C18" s="54">
        <v>31.93</v>
      </c>
      <c r="D18" s="54">
        <v>39.200000000000003</v>
      </c>
      <c r="E18" s="54">
        <v>9.0299999999999994</v>
      </c>
      <c r="F18" s="54">
        <v>3.04</v>
      </c>
      <c r="G18" s="54">
        <v>121.07</v>
      </c>
      <c r="H18" s="54">
        <v>47.73</v>
      </c>
      <c r="I18" s="54">
        <v>9.52</v>
      </c>
      <c r="J18" s="54">
        <v>0.42</v>
      </c>
      <c r="K18" s="54">
        <v>330.42</v>
      </c>
      <c r="L18" s="54">
        <v>23.36</v>
      </c>
      <c r="M18" s="54">
        <v>67.87</v>
      </c>
      <c r="N18" s="54">
        <v>314.10000000000002</v>
      </c>
      <c r="O18" s="54">
        <v>0</v>
      </c>
      <c r="P18" s="54">
        <v>0.94</v>
      </c>
      <c r="Q18" s="54">
        <v>5.65</v>
      </c>
    </row>
    <row r="19" spans="1:17" customFormat="1">
      <c r="A19" s="53">
        <v>45273.458333333336</v>
      </c>
      <c r="B19" s="54">
        <v>19.29</v>
      </c>
      <c r="C19" s="54">
        <v>32</v>
      </c>
      <c r="D19" s="54">
        <v>33.54</v>
      </c>
      <c r="E19" s="54">
        <v>8.4700000000000006</v>
      </c>
      <c r="F19" s="54">
        <v>3.29</v>
      </c>
      <c r="G19" s="54">
        <v>124.08</v>
      </c>
      <c r="H19" s="54">
        <v>48.87</v>
      </c>
      <c r="I19" s="54">
        <v>9.4</v>
      </c>
      <c r="J19" s="54">
        <v>0.23</v>
      </c>
      <c r="K19" s="54">
        <v>293.16000000000003</v>
      </c>
      <c r="L19" s="54">
        <v>25.34</v>
      </c>
      <c r="M19" s="54">
        <v>57.16</v>
      </c>
      <c r="N19" s="54">
        <v>479</v>
      </c>
      <c r="O19" s="54">
        <v>0</v>
      </c>
      <c r="P19" s="54">
        <v>0.93</v>
      </c>
      <c r="Q19" s="54">
        <v>5.45</v>
      </c>
    </row>
    <row r="20" spans="1:17" customFormat="1">
      <c r="A20" s="53">
        <v>45273.5</v>
      </c>
      <c r="B20" s="54">
        <v>10.94</v>
      </c>
      <c r="C20" s="54">
        <v>30.71</v>
      </c>
      <c r="D20" s="54">
        <v>26.16</v>
      </c>
      <c r="E20" s="54">
        <v>8.2899999999999991</v>
      </c>
      <c r="F20" s="54">
        <v>3.92</v>
      </c>
      <c r="G20" s="54">
        <v>109.48</v>
      </c>
      <c r="H20" s="54">
        <v>48.49</v>
      </c>
      <c r="I20" s="54">
        <v>8.92</v>
      </c>
      <c r="J20" s="54">
        <v>0.36</v>
      </c>
      <c r="K20" s="54">
        <v>215.62</v>
      </c>
      <c r="L20" s="54">
        <v>26.41</v>
      </c>
      <c r="M20" s="54">
        <v>47.58</v>
      </c>
      <c r="N20" s="54">
        <v>527.5</v>
      </c>
      <c r="O20" s="54">
        <v>0</v>
      </c>
      <c r="P20" s="54">
        <v>0.91</v>
      </c>
      <c r="Q20" s="54">
        <v>5.2</v>
      </c>
    </row>
    <row r="21" spans="1:17" customFormat="1">
      <c r="A21" s="53">
        <v>45273.541666666664</v>
      </c>
      <c r="B21" s="54">
        <v>6.48</v>
      </c>
      <c r="C21" s="54">
        <v>27.99</v>
      </c>
      <c r="D21" s="54">
        <v>21.17</v>
      </c>
      <c r="E21" s="54">
        <v>7.73</v>
      </c>
      <c r="F21" s="54">
        <v>4.07</v>
      </c>
      <c r="G21" s="54">
        <v>94.9</v>
      </c>
      <c r="H21" s="54">
        <v>44.02</v>
      </c>
      <c r="I21" s="54">
        <v>8.31</v>
      </c>
      <c r="J21" s="54">
        <v>0.37</v>
      </c>
      <c r="K21" s="54">
        <v>317.42</v>
      </c>
      <c r="L21" s="54">
        <v>27.07</v>
      </c>
      <c r="M21" s="54">
        <v>43.07</v>
      </c>
      <c r="N21" s="54">
        <v>506.1</v>
      </c>
      <c r="O21" s="54">
        <v>0</v>
      </c>
      <c r="P21" s="54">
        <v>0.86</v>
      </c>
      <c r="Q21" s="54">
        <v>5.01</v>
      </c>
    </row>
    <row r="22" spans="1:17" customFormat="1">
      <c r="A22" s="53">
        <v>45273.583333333336</v>
      </c>
      <c r="B22" s="54">
        <v>6.23</v>
      </c>
      <c r="C22" s="54">
        <v>27.28</v>
      </c>
      <c r="D22" s="54">
        <v>20.36</v>
      </c>
      <c r="E22" s="54">
        <v>8.25</v>
      </c>
      <c r="F22" s="54">
        <v>4.03</v>
      </c>
      <c r="G22" s="54">
        <v>86.22</v>
      </c>
      <c r="H22" s="54">
        <v>37.6</v>
      </c>
      <c r="I22" s="54">
        <v>7.55</v>
      </c>
      <c r="J22" s="54">
        <v>0.49</v>
      </c>
      <c r="K22" s="54">
        <v>54.39</v>
      </c>
      <c r="L22" s="54">
        <v>26.63</v>
      </c>
      <c r="M22" s="54">
        <v>43.44</v>
      </c>
      <c r="N22" s="54">
        <v>343.8</v>
      </c>
      <c r="O22" s="54">
        <v>0</v>
      </c>
      <c r="P22" s="54">
        <v>0.83</v>
      </c>
      <c r="Q22" s="54">
        <v>4.96</v>
      </c>
    </row>
    <row r="23" spans="1:17" customFormat="1">
      <c r="A23" s="53">
        <v>45273.625</v>
      </c>
      <c r="B23" s="54">
        <v>6.63</v>
      </c>
      <c r="C23" s="54">
        <v>22.2</v>
      </c>
      <c r="D23" s="54">
        <v>18.2</v>
      </c>
      <c r="E23" s="54">
        <v>7.94</v>
      </c>
      <c r="F23" s="54">
        <v>4.21</v>
      </c>
      <c r="G23" s="54">
        <v>89.87</v>
      </c>
      <c r="H23" s="54">
        <v>37.42</v>
      </c>
      <c r="I23" s="54">
        <v>7.25</v>
      </c>
      <c r="J23" s="54">
        <v>0.59</v>
      </c>
      <c r="K23" s="54">
        <v>288.16000000000003</v>
      </c>
      <c r="L23" s="54">
        <v>26.26</v>
      </c>
      <c r="M23" s="54">
        <v>41.37</v>
      </c>
      <c r="N23" s="54">
        <v>163.69999999999999</v>
      </c>
      <c r="O23" s="54">
        <v>0</v>
      </c>
      <c r="P23" s="54">
        <v>0.75</v>
      </c>
      <c r="Q23" s="54">
        <v>4.97</v>
      </c>
    </row>
    <row r="24" spans="1:17" customFormat="1">
      <c r="A24" s="53">
        <v>45273.666666666664</v>
      </c>
      <c r="B24" s="54">
        <v>6.88</v>
      </c>
      <c r="C24" s="54">
        <v>21.17</v>
      </c>
      <c r="D24" s="54">
        <v>17.86</v>
      </c>
      <c r="E24" s="54">
        <v>7.03</v>
      </c>
      <c r="F24" s="54">
        <v>3.38</v>
      </c>
      <c r="G24" s="54">
        <v>85.44</v>
      </c>
      <c r="H24" s="54">
        <v>33.659999999999997</v>
      </c>
      <c r="I24" s="54">
        <v>7.01</v>
      </c>
      <c r="J24" s="54">
        <v>0.35</v>
      </c>
      <c r="K24" s="54">
        <v>354.62</v>
      </c>
      <c r="L24" s="54">
        <v>26.08</v>
      </c>
      <c r="M24" s="54">
        <v>43.57</v>
      </c>
      <c r="N24" s="54">
        <v>85.8</v>
      </c>
      <c r="O24" s="54">
        <v>0</v>
      </c>
      <c r="P24" s="54">
        <v>0.74</v>
      </c>
      <c r="Q24" s="54">
        <v>4.96</v>
      </c>
    </row>
    <row r="25" spans="1:17" customFormat="1">
      <c r="A25" s="53">
        <v>45273.708333333336</v>
      </c>
      <c r="B25" s="54">
        <v>7.47</v>
      </c>
      <c r="C25" s="54">
        <v>21.33</v>
      </c>
      <c r="D25" s="54">
        <v>18.149999999999999</v>
      </c>
      <c r="E25" s="54">
        <v>6.54</v>
      </c>
      <c r="F25" s="54">
        <v>3.17</v>
      </c>
      <c r="G25" s="54">
        <v>94.76</v>
      </c>
      <c r="H25" s="54">
        <v>36.75</v>
      </c>
      <c r="I25" s="54">
        <v>6.84</v>
      </c>
      <c r="J25" s="54">
        <v>0.36</v>
      </c>
      <c r="K25" s="54">
        <v>68.180000000000007</v>
      </c>
      <c r="L25" s="54">
        <v>25.06</v>
      </c>
      <c r="M25" s="54">
        <v>51.39</v>
      </c>
      <c r="N25" s="54">
        <v>36.9</v>
      </c>
      <c r="O25" s="54">
        <v>0</v>
      </c>
      <c r="P25" s="54">
        <v>0.76</v>
      </c>
      <c r="Q25" s="54">
        <v>4.99</v>
      </c>
    </row>
    <row r="26" spans="1:17" customFormat="1">
      <c r="A26" s="53">
        <v>45273.75</v>
      </c>
      <c r="B26" s="54">
        <v>8.0299999999999994</v>
      </c>
      <c r="C26" s="54">
        <v>23.37</v>
      </c>
      <c r="D26" s="54">
        <v>20</v>
      </c>
      <c r="E26" s="54">
        <v>6.75</v>
      </c>
      <c r="F26" s="54">
        <v>2.79</v>
      </c>
      <c r="G26" s="54">
        <v>104.4</v>
      </c>
      <c r="H26" s="54">
        <v>38.01</v>
      </c>
      <c r="I26" s="54">
        <v>6.99</v>
      </c>
      <c r="J26" s="54">
        <v>0.23</v>
      </c>
      <c r="K26" s="54">
        <v>170.83</v>
      </c>
      <c r="L26" s="54">
        <v>22.98</v>
      </c>
      <c r="M26" s="54">
        <v>66.010000000000005</v>
      </c>
      <c r="N26" s="54">
        <v>0</v>
      </c>
      <c r="O26" s="54">
        <v>0</v>
      </c>
      <c r="P26" s="54">
        <v>0.79</v>
      </c>
      <c r="Q26" s="54">
        <v>5.04</v>
      </c>
    </row>
    <row r="27" spans="1:17" customFormat="1">
      <c r="A27" s="53">
        <v>45273.791666666664</v>
      </c>
      <c r="B27" s="54">
        <v>8.3000000000000007</v>
      </c>
      <c r="C27" s="54">
        <v>26.91</v>
      </c>
      <c r="D27" s="54">
        <v>22.02</v>
      </c>
      <c r="E27" s="54">
        <v>9.1199999999999992</v>
      </c>
      <c r="F27" s="54">
        <v>2.74</v>
      </c>
      <c r="G27" s="54">
        <v>108.57</v>
      </c>
      <c r="H27" s="54">
        <v>41.25</v>
      </c>
      <c r="I27" s="54">
        <v>7.46</v>
      </c>
      <c r="J27" s="54">
        <v>0.19</v>
      </c>
      <c r="K27" s="54">
        <v>200.59</v>
      </c>
      <c r="L27" s="54">
        <v>20.82</v>
      </c>
      <c r="M27" s="54">
        <v>78.849999999999994</v>
      </c>
      <c r="N27" s="54">
        <v>0</v>
      </c>
      <c r="O27" s="54">
        <v>0</v>
      </c>
      <c r="P27" s="54">
        <v>0.9</v>
      </c>
      <c r="Q27" s="54">
        <v>5.08</v>
      </c>
    </row>
    <row r="28" spans="1:17" customFormat="1">
      <c r="A28" s="53">
        <v>45273.833333333336</v>
      </c>
      <c r="B28" s="54">
        <v>8.31</v>
      </c>
      <c r="C28" s="54">
        <v>27.17</v>
      </c>
      <c r="D28" s="54">
        <v>22.13</v>
      </c>
      <c r="E28" s="54">
        <v>9.35</v>
      </c>
      <c r="F28" s="54">
        <v>2.8</v>
      </c>
      <c r="G28" s="54">
        <v>111.27</v>
      </c>
      <c r="H28" s="54">
        <v>43.61</v>
      </c>
      <c r="I28" s="54">
        <v>7.95</v>
      </c>
      <c r="J28" s="54">
        <v>0.21</v>
      </c>
      <c r="K28" s="54">
        <v>220.68</v>
      </c>
      <c r="L28" s="54">
        <v>19.46</v>
      </c>
      <c r="M28" s="54">
        <v>80.819999999999993</v>
      </c>
      <c r="N28" s="54">
        <v>0</v>
      </c>
      <c r="O28" s="54">
        <v>0</v>
      </c>
      <c r="P28" s="54">
        <v>0.93</v>
      </c>
      <c r="Q28" s="54">
        <v>5.0999999999999996</v>
      </c>
    </row>
    <row r="29" spans="1:17" customFormat="1">
      <c r="A29" s="53">
        <v>45273.875</v>
      </c>
      <c r="B29" s="54">
        <v>8.39</v>
      </c>
      <c r="C29" s="54">
        <v>27.26</v>
      </c>
      <c r="D29" s="54">
        <v>22.26</v>
      </c>
      <c r="E29" s="54">
        <v>9.5399999999999991</v>
      </c>
      <c r="F29" s="54">
        <v>2.87</v>
      </c>
      <c r="G29" s="54">
        <v>109.18</v>
      </c>
      <c r="H29" s="54">
        <v>43.25</v>
      </c>
      <c r="I29" s="54">
        <v>8.24</v>
      </c>
      <c r="J29" s="54">
        <v>0.18</v>
      </c>
      <c r="K29" s="54">
        <v>246.12</v>
      </c>
      <c r="L29" s="54">
        <v>18.600000000000001</v>
      </c>
      <c r="M29" s="54">
        <v>85.31</v>
      </c>
      <c r="N29" s="54">
        <v>0</v>
      </c>
      <c r="O29" s="54">
        <v>0</v>
      </c>
      <c r="P29" s="54">
        <v>0.93</v>
      </c>
      <c r="Q29" s="54">
        <v>5.1100000000000003</v>
      </c>
    </row>
    <row r="30" spans="1:17" customFormat="1">
      <c r="A30" s="53">
        <v>45273.916666666664</v>
      </c>
      <c r="B30" s="54">
        <v>8.49</v>
      </c>
      <c r="C30" s="54">
        <v>26.06</v>
      </c>
      <c r="D30" s="54">
        <v>21.69</v>
      </c>
      <c r="E30" s="54">
        <v>9.86</v>
      </c>
      <c r="F30" s="54">
        <v>2.74</v>
      </c>
      <c r="G30" s="54">
        <v>102.99</v>
      </c>
      <c r="H30" s="54">
        <v>43.24</v>
      </c>
      <c r="I30" s="54">
        <v>8.4</v>
      </c>
      <c r="J30" s="54">
        <v>0.15</v>
      </c>
      <c r="K30" s="54">
        <v>228.91</v>
      </c>
      <c r="L30" s="54">
        <v>18.04</v>
      </c>
      <c r="M30" s="54">
        <v>86.82</v>
      </c>
      <c r="N30" s="54">
        <v>0</v>
      </c>
      <c r="O30" s="54">
        <v>0</v>
      </c>
      <c r="P30" s="54">
        <v>0.94</v>
      </c>
      <c r="Q30" s="54">
        <v>5.09</v>
      </c>
    </row>
    <row r="31" spans="1:17" customFormat="1">
      <c r="A31" s="53">
        <v>45273.958333333336</v>
      </c>
      <c r="B31" s="54">
        <v>15.54</v>
      </c>
      <c r="C31" s="54">
        <v>29.35</v>
      </c>
      <c r="D31" s="54">
        <v>29.15</v>
      </c>
      <c r="E31" s="54">
        <v>9.91</v>
      </c>
      <c r="F31" s="54">
        <v>2.64</v>
      </c>
      <c r="G31" s="54">
        <v>102.06</v>
      </c>
      <c r="H31" s="54">
        <v>45.39</v>
      </c>
      <c r="I31" s="54">
        <v>8.44</v>
      </c>
      <c r="J31" s="54">
        <v>0.06</v>
      </c>
      <c r="K31" s="54">
        <v>234.75</v>
      </c>
      <c r="L31" s="54">
        <v>17.940000000000001</v>
      </c>
      <c r="M31" s="54">
        <v>84.39</v>
      </c>
      <c r="N31" s="54">
        <v>0</v>
      </c>
      <c r="O31" s="54">
        <v>0</v>
      </c>
      <c r="P31" s="54">
        <v>0.96</v>
      </c>
      <c r="Q31" s="54">
        <v>5.29</v>
      </c>
    </row>
    <row r="32" spans="1:17" customFormat="1">
      <c r="A32" s="53">
        <v>45274</v>
      </c>
      <c r="B32" s="54">
        <v>26.19</v>
      </c>
      <c r="C32" s="54">
        <v>30.99</v>
      </c>
      <c r="D32" s="54">
        <v>37.76</v>
      </c>
      <c r="E32" s="54">
        <v>9.9700000000000006</v>
      </c>
      <c r="F32" s="54">
        <v>2.98</v>
      </c>
      <c r="G32" s="54">
        <v>116.37</v>
      </c>
      <c r="H32" s="54">
        <v>47.58</v>
      </c>
      <c r="I32" s="54">
        <v>8.7799999999999994</v>
      </c>
      <c r="J32" s="54">
        <v>0.12</v>
      </c>
      <c r="K32" s="54">
        <v>110.16</v>
      </c>
      <c r="L32" s="54">
        <v>17.5</v>
      </c>
      <c r="M32" s="54">
        <v>83.82</v>
      </c>
      <c r="N32" s="54">
        <v>0</v>
      </c>
      <c r="O32" s="54">
        <v>0</v>
      </c>
      <c r="P32" s="54">
        <v>0.97</v>
      </c>
      <c r="Q32" s="54">
        <v>5.56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6.23</v>
      </c>
      <c r="C34" s="41">
        <f t="shared" si="0"/>
        <v>21.17</v>
      </c>
      <c r="D34" s="41">
        <f t="shared" si="0"/>
        <v>17.86</v>
      </c>
      <c r="E34" s="41">
        <f t="shared" si="0"/>
        <v>6.54</v>
      </c>
      <c r="F34" s="41">
        <f t="shared" si="0"/>
        <v>2.57</v>
      </c>
      <c r="G34" s="41">
        <f t="shared" si="0"/>
        <v>52.1</v>
      </c>
      <c r="H34" s="41">
        <f t="shared" si="0"/>
        <v>31.18</v>
      </c>
      <c r="I34" s="41">
        <f t="shared" si="0"/>
        <v>6.84</v>
      </c>
      <c r="J34" s="41">
        <f t="shared" si="0"/>
        <v>0.06</v>
      </c>
      <c r="K34" s="41">
        <f t="shared" si="0"/>
        <v>54.39</v>
      </c>
      <c r="L34" s="41">
        <f t="shared" si="0"/>
        <v>14.92</v>
      </c>
      <c r="M34" s="41">
        <f t="shared" si="0"/>
        <v>41.37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29.55</v>
      </c>
      <c r="C35" s="33">
        <f t="shared" si="1"/>
        <v>32</v>
      </c>
      <c r="D35" s="33">
        <f t="shared" si="1"/>
        <v>40.76</v>
      </c>
      <c r="E35" s="33">
        <f t="shared" si="1"/>
        <v>9.9700000000000006</v>
      </c>
      <c r="F35" s="33">
        <f t="shared" si="1"/>
        <v>4.21</v>
      </c>
      <c r="G35" s="33">
        <f t="shared" si="1"/>
        <v>124.08</v>
      </c>
      <c r="H35" s="33">
        <f t="shared" si="1"/>
        <v>48.87</v>
      </c>
      <c r="I35" s="33">
        <f t="shared" si="1"/>
        <v>14.84</v>
      </c>
      <c r="J35" s="33">
        <f t="shared" si="1"/>
        <v>0.59</v>
      </c>
      <c r="K35" s="33">
        <f t="shared" si="1"/>
        <v>354.62</v>
      </c>
      <c r="L35" s="33">
        <f t="shared" si="1"/>
        <v>27.07</v>
      </c>
      <c r="M35" s="33">
        <f t="shared" si="1"/>
        <v>95.35</v>
      </c>
      <c r="N35" s="33">
        <f t="shared" si="1"/>
        <v>527.5</v>
      </c>
      <c r="O35" s="33">
        <f t="shared" si="1"/>
        <v>0</v>
      </c>
      <c r="P35" s="33">
        <f t="shared" si="1"/>
        <v>0.97</v>
      </c>
      <c r="Q35" s="33">
        <f t="shared" si="1"/>
        <v>5.69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13.376666666666665</v>
      </c>
      <c r="C36" s="41">
        <f t="shared" si="2"/>
        <v>26.697916666666668</v>
      </c>
      <c r="D36" s="41">
        <f t="shared" si="2"/>
        <v>25.884166666666669</v>
      </c>
      <c r="E36" s="41">
        <f t="shared" si="2"/>
        <v>8.3220833333333317</v>
      </c>
      <c r="F36" s="41">
        <f t="shared" si="2"/>
        <v>3.0645833333333337</v>
      </c>
      <c r="G36" s="41">
        <f t="shared" si="2"/>
        <v>94.185833333333335</v>
      </c>
      <c r="H36" s="41">
        <f t="shared" si="2"/>
        <v>40.188333333333333</v>
      </c>
      <c r="I36" s="41">
        <f t="shared" si="2"/>
        <v>8.9220833333333349</v>
      </c>
      <c r="J36" s="41">
        <f t="shared" si="2"/>
        <v>0.27083333333333331</v>
      </c>
      <c r="K36" s="41">
        <f t="shared" si="2"/>
        <v>214.45124999999996</v>
      </c>
      <c r="L36" s="41">
        <f t="shared" si="2"/>
        <v>20.483750000000001</v>
      </c>
      <c r="M36" s="41">
        <f t="shared" si="2"/>
        <v>73.344166666666666</v>
      </c>
      <c r="N36" s="41">
        <f t="shared" si="2"/>
        <v>114.45833333333336</v>
      </c>
      <c r="O36" s="41">
        <f t="shared" si="2"/>
        <v>0</v>
      </c>
      <c r="P36" s="41">
        <f t="shared" si="2"/>
        <v>0.81916666666666682</v>
      </c>
      <c r="Q36" s="41">
        <f t="shared" si="2"/>
        <v>5.2170833333333331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7.7252705970148048</v>
      </c>
      <c r="C37" s="41">
        <f t="shared" ref="C37:Q37" si="3">STDEV(C9:C32)</f>
        <v>3.2314823347358823</v>
      </c>
      <c r="D37" s="41">
        <f t="shared" si="3"/>
        <v>7.3314082618177272</v>
      </c>
      <c r="E37" s="41">
        <f t="shared" si="3"/>
        <v>0.9995563327391126</v>
      </c>
      <c r="F37" s="41">
        <f t="shared" si="3"/>
        <v>0.49839725003312013</v>
      </c>
      <c r="G37" s="41">
        <f t="shared" si="3"/>
        <v>19.644887799798273</v>
      </c>
      <c r="H37" s="41">
        <f t="shared" si="3"/>
        <v>5.5021147449563657</v>
      </c>
      <c r="I37" s="41">
        <f t="shared" si="3"/>
        <v>1.8283515482690871</v>
      </c>
      <c r="J37" s="41">
        <f t="shared" si="3"/>
        <v>0.13793245563985504</v>
      </c>
      <c r="K37" s="41">
        <f t="shared" si="3"/>
        <v>86.855894511616597</v>
      </c>
      <c r="L37" s="41">
        <f t="shared" si="3"/>
        <v>4.2591087172338513</v>
      </c>
      <c r="M37" s="41">
        <f t="shared" si="3"/>
        <v>18.98136223559414</v>
      </c>
      <c r="N37" s="41">
        <f t="shared" si="3"/>
        <v>179.61743625215536</v>
      </c>
      <c r="O37" s="41">
        <f t="shared" si="3"/>
        <v>0</v>
      </c>
      <c r="P37" s="41">
        <f t="shared" si="3"/>
        <v>0.11127391454411434</v>
      </c>
      <c r="Q37" s="41">
        <f t="shared" si="3"/>
        <v>0.23160084040298762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45274.041666666664</v>
      </c>
      <c r="B9" s="54">
        <v>27.06</v>
      </c>
      <c r="C9" s="54">
        <v>30.85</v>
      </c>
      <c r="D9" s="54">
        <v>38.57</v>
      </c>
      <c r="E9" s="54">
        <v>9.43</v>
      </c>
      <c r="F9" s="54">
        <v>2.8</v>
      </c>
      <c r="G9" s="54">
        <v>124.63</v>
      </c>
      <c r="H9" s="54">
        <v>48.23</v>
      </c>
      <c r="I9" s="54">
        <v>8.83</v>
      </c>
      <c r="J9" s="54">
        <v>0.11</v>
      </c>
      <c r="K9" s="54">
        <v>216.98</v>
      </c>
      <c r="L9" s="54">
        <v>17.05</v>
      </c>
      <c r="M9" s="54">
        <v>85.71</v>
      </c>
      <c r="N9" s="54">
        <v>0</v>
      </c>
      <c r="O9" s="54">
        <v>0</v>
      </c>
      <c r="P9" s="54">
        <v>0.97</v>
      </c>
      <c r="Q9" s="54">
        <v>5.62</v>
      </c>
    </row>
    <row r="10" spans="1:21" customFormat="1">
      <c r="A10" s="53">
        <v>45274.083333333336</v>
      </c>
      <c r="B10" s="54">
        <v>28.21</v>
      </c>
      <c r="C10" s="54">
        <v>29.55</v>
      </c>
      <c r="D10" s="54">
        <v>39.229999999999997</v>
      </c>
      <c r="E10" s="54">
        <v>9.31</v>
      </c>
      <c r="F10" s="54">
        <v>2.63</v>
      </c>
      <c r="G10" s="54">
        <v>119.54</v>
      </c>
      <c r="H10" s="54">
        <v>49.47</v>
      </c>
      <c r="I10" s="54">
        <v>9.5299999999999994</v>
      </c>
      <c r="J10" s="54">
        <v>0.24</v>
      </c>
      <c r="K10" s="54">
        <v>184.33</v>
      </c>
      <c r="L10" s="54">
        <v>16.829999999999998</v>
      </c>
      <c r="M10" s="54">
        <v>92.23</v>
      </c>
      <c r="N10" s="54">
        <v>0</v>
      </c>
      <c r="O10" s="54">
        <v>0</v>
      </c>
      <c r="P10" s="54">
        <v>0.98</v>
      </c>
      <c r="Q10" s="54">
        <v>5.64</v>
      </c>
    </row>
    <row r="11" spans="1:21" customFormat="1">
      <c r="A11" s="53">
        <v>45274.125</v>
      </c>
      <c r="B11" s="54">
        <v>26.51</v>
      </c>
      <c r="C11" s="54">
        <v>29.09</v>
      </c>
      <c r="D11" s="54">
        <v>37.81</v>
      </c>
      <c r="E11" s="54">
        <v>8.2100000000000009</v>
      </c>
      <c r="F11" s="54">
        <v>2.73</v>
      </c>
      <c r="G11" s="54">
        <v>121.67</v>
      </c>
      <c r="H11" s="54">
        <v>51.24</v>
      </c>
      <c r="I11" s="54">
        <v>10.02</v>
      </c>
      <c r="J11" s="54">
        <v>0.16</v>
      </c>
      <c r="K11" s="54">
        <v>255.37</v>
      </c>
      <c r="L11" s="54">
        <v>15.8</v>
      </c>
      <c r="M11" s="54">
        <v>93.74</v>
      </c>
      <c r="N11" s="54">
        <v>0</v>
      </c>
      <c r="O11" s="54">
        <v>0</v>
      </c>
      <c r="P11" s="54">
        <v>0.99</v>
      </c>
      <c r="Q11" s="54">
        <v>5.61</v>
      </c>
    </row>
    <row r="12" spans="1:21" customFormat="1">
      <c r="A12" s="53">
        <v>45274.166666666664</v>
      </c>
      <c r="B12" s="54">
        <v>28.89</v>
      </c>
      <c r="C12" s="54">
        <v>27.53</v>
      </c>
      <c r="D12" s="54">
        <v>38.82</v>
      </c>
      <c r="E12" s="54">
        <v>8.64</v>
      </c>
      <c r="F12" s="54">
        <v>2.58</v>
      </c>
      <c r="G12" s="54">
        <v>108.26</v>
      </c>
      <c r="H12" s="54">
        <v>50.66</v>
      </c>
      <c r="I12" s="54">
        <v>10.28</v>
      </c>
      <c r="J12" s="54">
        <v>0.19</v>
      </c>
      <c r="K12" s="54">
        <v>207.91</v>
      </c>
      <c r="L12" s="54">
        <v>15.74</v>
      </c>
      <c r="M12" s="54">
        <v>92.47</v>
      </c>
      <c r="N12" s="54">
        <v>0</v>
      </c>
      <c r="O12" s="54">
        <v>0</v>
      </c>
      <c r="P12" s="54">
        <v>0.98</v>
      </c>
      <c r="Q12" s="54">
        <v>5.66</v>
      </c>
    </row>
    <row r="13" spans="1:21" customFormat="1">
      <c r="A13" s="53">
        <v>45274.208333333336</v>
      </c>
      <c r="B13" s="54">
        <v>31.73</v>
      </c>
      <c r="C13" s="54">
        <v>27.94</v>
      </c>
      <c r="D13" s="54">
        <v>41.4</v>
      </c>
      <c r="E13" s="54">
        <v>8.52</v>
      </c>
      <c r="F13" s="54">
        <v>2.69</v>
      </c>
      <c r="G13" s="54">
        <v>107.13</v>
      </c>
      <c r="H13" s="54">
        <v>48.08</v>
      </c>
      <c r="I13" s="54">
        <v>10.37</v>
      </c>
      <c r="J13" s="54">
        <v>0.1</v>
      </c>
      <c r="K13" s="54">
        <v>216.32</v>
      </c>
      <c r="L13" s="54">
        <v>15.48</v>
      </c>
      <c r="M13" s="54">
        <v>93.58</v>
      </c>
      <c r="N13" s="54">
        <v>0</v>
      </c>
      <c r="O13" s="54">
        <v>0</v>
      </c>
      <c r="P13" s="54">
        <v>0.97</v>
      </c>
      <c r="Q13" s="54">
        <v>5.72</v>
      </c>
    </row>
    <row r="14" spans="1:21" customFormat="1">
      <c r="A14" s="53">
        <v>45274.25</v>
      </c>
      <c r="B14" s="54">
        <v>41.79</v>
      </c>
      <c r="C14" s="54">
        <v>29.4</v>
      </c>
      <c r="D14" s="54">
        <v>50.22</v>
      </c>
      <c r="E14" s="54">
        <v>8.5399999999999991</v>
      </c>
      <c r="F14" s="54">
        <v>2.72</v>
      </c>
      <c r="G14" s="54">
        <v>101.79</v>
      </c>
      <c r="H14" s="54">
        <v>48.72</v>
      </c>
      <c r="I14" s="54">
        <v>10.33</v>
      </c>
      <c r="J14" s="54">
        <v>0.14000000000000001</v>
      </c>
      <c r="K14" s="54">
        <v>198.01</v>
      </c>
      <c r="L14" s="54">
        <v>15.16</v>
      </c>
      <c r="M14" s="54">
        <v>94.57</v>
      </c>
      <c r="N14" s="54">
        <v>0</v>
      </c>
      <c r="O14" s="54">
        <v>0</v>
      </c>
      <c r="P14" s="54">
        <v>0.95</v>
      </c>
      <c r="Q14" s="54">
        <v>6.01</v>
      </c>
    </row>
    <row r="15" spans="1:21" customFormat="1">
      <c r="A15" s="53">
        <v>45274.291666666664</v>
      </c>
      <c r="B15" s="54">
        <v>41.13</v>
      </c>
      <c r="C15" s="54">
        <v>29.07</v>
      </c>
      <c r="D15" s="54">
        <v>49.52</v>
      </c>
      <c r="E15" s="54">
        <v>8.8699999999999992</v>
      </c>
      <c r="F15" s="54">
        <v>2.63</v>
      </c>
      <c r="G15" s="54">
        <v>100.44</v>
      </c>
      <c r="H15" s="54">
        <v>49.02</v>
      </c>
      <c r="I15" s="54">
        <v>10.3</v>
      </c>
      <c r="J15" s="54">
        <v>0.19</v>
      </c>
      <c r="K15" s="54">
        <v>237.81</v>
      </c>
      <c r="L15" s="54">
        <v>14.71</v>
      </c>
      <c r="M15" s="54">
        <v>96.72</v>
      </c>
      <c r="N15" s="54">
        <v>8.1</v>
      </c>
      <c r="O15" s="54">
        <v>0</v>
      </c>
      <c r="P15" s="54">
        <v>0.93</v>
      </c>
      <c r="Q15" s="54">
        <v>5.99</v>
      </c>
    </row>
    <row r="16" spans="1:21" customFormat="1">
      <c r="A16" s="53">
        <v>45274.333333333336</v>
      </c>
      <c r="B16" s="54">
        <v>34.61</v>
      </c>
      <c r="C16" s="54">
        <v>28.8</v>
      </c>
      <c r="D16" s="54">
        <v>43.71</v>
      </c>
      <c r="E16" s="54">
        <v>9.36</v>
      </c>
      <c r="F16" s="54">
        <v>2.66</v>
      </c>
      <c r="G16" s="54">
        <v>93.62</v>
      </c>
      <c r="H16" s="54">
        <v>42.98</v>
      </c>
      <c r="I16" s="54">
        <v>10.130000000000001</v>
      </c>
      <c r="J16" s="54">
        <v>0.38</v>
      </c>
      <c r="K16" s="54">
        <v>216.73</v>
      </c>
      <c r="L16" s="54">
        <v>16.989999999999998</v>
      </c>
      <c r="M16" s="54">
        <v>96.35</v>
      </c>
      <c r="N16" s="54">
        <v>86.9</v>
      </c>
      <c r="O16" s="54">
        <v>0</v>
      </c>
      <c r="P16" s="54">
        <v>0.94</v>
      </c>
      <c r="Q16" s="54">
        <v>5.83</v>
      </c>
    </row>
    <row r="17" spans="1:17" customFormat="1">
      <c r="A17" s="53">
        <v>45274.375</v>
      </c>
      <c r="B17" s="54">
        <v>34.75</v>
      </c>
      <c r="C17" s="54">
        <v>32.94</v>
      </c>
      <c r="D17" s="54">
        <v>45.91</v>
      </c>
      <c r="E17" s="54">
        <v>9.09</v>
      </c>
      <c r="F17" s="54">
        <v>2.78</v>
      </c>
      <c r="G17" s="54">
        <v>95.13</v>
      </c>
      <c r="H17" s="54">
        <v>45.27</v>
      </c>
      <c r="I17" s="54">
        <v>10.5</v>
      </c>
      <c r="J17" s="54">
        <v>0.37</v>
      </c>
      <c r="K17" s="54">
        <v>115.12</v>
      </c>
      <c r="L17" s="54">
        <v>20.58</v>
      </c>
      <c r="M17" s="54">
        <v>80.16</v>
      </c>
      <c r="N17" s="54">
        <v>229.4</v>
      </c>
      <c r="O17" s="54">
        <v>0</v>
      </c>
      <c r="P17" s="54">
        <v>0.96</v>
      </c>
      <c r="Q17" s="54">
        <v>5.82</v>
      </c>
    </row>
    <row r="18" spans="1:17" customFormat="1">
      <c r="A18" s="53">
        <v>45274.416666666664</v>
      </c>
      <c r="B18" s="54">
        <v>30.13</v>
      </c>
      <c r="C18" s="54">
        <v>31.04</v>
      </c>
      <c r="D18" s="54">
        <v>41.73</v>
      </c>
      <c r="E18" s="54">
        <v>8.39</v>
      </c>
      <c r="F18" s="54">
        <v>3.07</v>
      </c>
      <c r="G18" s="54">
        <v>95.4</v>
      </c>
      <c r="H18" s="54">
        <v>39.99</v>
      </c>
      <c r="I18" s="54">
        <v>10.48</v>
      </c>
      <c r="J18" s="54">
        <v>0.43</v>
      </c>
      <c r="K18" s="54">
        <v>74.05</v>
      </c>
      <c r="L18" s="54">
        <v>23.02</v>
      </c>
      <c r="M18" s="54">
        <v>58.49</v>
      </c>
      <c r="N18" s="54">
        <v>306</v>
      </c>
      <c r="O18" s="54">
        <v>0</v>
      </c>
      <c r="P18" s="54">
        <v>0.93</v>
      </c>
      <c r="Q18" s="54">
        <v>5.71</v>
      </c>
    </row>
    <row r="19" spans="1:17" customFormat="1">
      <c r="A19" s="53">
        <v>45274.458333333336</v>
      </c>
      <c r="B19" s="54">
        <v>26.62</v>
      </c>
      <c r="C19" s="54">
        <v>27.13</v>
      </c>
      <c r="D19" s="54">
        <v>36.11</v>
      </c>
      <c r="E19" s="54">
        <v>8.2200000000000006</v>
      </c>
      <c r="F19" s="54">
        <v>2.93</v>
      </c>
      <c r="G19" s="54">
        <v>93.98</v>
      </c>
      <c r="H19" s="54">
        <v>40.11</v>
      </c>
      <c r="I19" s="54">
        <v>9.86</v>
      </c>
      <c r="J19" s="54">
        <v>0.49</v>
      </c>
      <c r="K19" s="54">
        <v>44.05</v>
      </c>
      <c r="L19" s="54">
        <v>24.48</v>
      </c>
      <c r="M19" s="54">
        <v>54.17</v>
      </c>
      <c r="N19" s="54">
        <v>478.2</v>
      </c>
      <c r="O19" s="54">
        <v>0</v>
      </c>
      <c r="P19" s="54">
        <v>0.88</v>
      </c>
      <c r="Q19" s="54">
        <v>5.58</v>
      </c>
    </row>
    <row r="20" spans="1:17" customFormat="1">
      <c r="A20" s="53">
        <v>45274.5</v>
      </c>
      <c r="B20" s="54">
        <v>23.52</v>
      </c>
      <c r="C20" s="54">
        <v>25.98</v>
      </c>
      <c r="D20" s="54">
        <v>33.79</v>
      </c>
      <c r="E20" s="54">
        <v>8.67</v>
      </c>
      <c r="F20" s="54">
        <v>3</v>
      </c>
      <c r="G20" s="54">
        <v>95.2</v>
      </c>
      <c r="H20" s="54">
        <v>36.25</v>
      </c>
      <c r="I20" s="54">
        <v>9.6300000000000008</v>
      </c>
      <c r="J20" s="54">
        <v>0.52</v>
      </c>
      <c r="K20" s="54">
        <v>242.85</v>
      </c>
      <c r="L20" s="54">
        <v>25.85</v>
      </c>
      <c r="M20" s="54">
        <v>47.83</v>
      </c>
      <c r="N20" s="54">
        <v>544</v>
      </c>
      <c r="O20" s="54">
        <v>0</v>
      </c>
      <c r="P20" s="54">
        <v>0.85</v>
      </c>
      <c r="Q20" s="54">
        <v>5.48</v>
      </c>
    </row>
    <row r="21" spans="1:17" customFormat="1">
      <c r="A21" s="53">
        <v>45274.541666666664</v>
      </c>
      <c r="B21" s="54">
        <v>18.170000000000002</v>
      </c>
      <c r="C21" s="54">
        <v>25.81</v>
      </c>
      <c r="D21" s="54">
        <v>28.27</v>
      </c>
      <c r="E21" s="54">
        <v>8.0299999999999994</v>
      </c>
      <c r="F21" s="54">
        <v>3.14</v>
      </c>
      <c r="G21" s="54">
        <v>89.56</v>
      </c>
      <c r="H21" s="54">
        <v>35.229999999999997</v>
      </c>
      <c r="I21" s="54">
        <v>9.08</v>
      </c>
      <c r="J21" s="54">
        <v>0.67</v>
      </c>
      <c r="K21" s="54">
        <v>307.14999999999998</v>
      </c>
      <c r="L21" s="54">
        <v>26.76</v>
      </c>
      <c r="M21" s="54">
        <v>42.52</v>
      </c>
      <c r="N21" s="54">
        <v>569.70000000000005</v>
      </c>
      <c r="O21" s="54">
        <v>0</v>
      </c>
      <c r="P21" s="54">
        <v>0.8</v>
      </c>
      <c r="Q21" s="54">
        <v>5.34</v>
      </c>
    </row>
    <row r="22" spans="1:17" customFormat="1">
      <c r="A22" s="53">
        <v>45274.583333333336</v>
      </c>
      <c r="B22" s="54">
        <v>12.75</v>
      </c>
      <c r="C22" s="54">
        <v>24.48</v>
      </c>
      <c r="D22" s="54">
        <v>23.7</v>
      </c>
      <c r="E22" s="54">
        <v>8.09</v>
      </c>
      <c r="F22" s="54">
        <v>3.58</v>
      </c>
      <c r="G22" s="54">
        <v>77.37</v>
      </c>
      <c r="H22" s="54">
        <v>32.79</v>
      </c>
      <c r="I22" s="54">
        <v>8.43</v>
      </c>
      <c r="J22" s="54">
        <v>0.64</v>
      </c>
      <c r="K22" s="54">
        <v>346.65</v>
      </c>
      <c r="L22" s="54">
        <v>26.84</v>
      </c>
      <c r="M22" s="54">
        <v>37.96</v>
      </c>
      <c r="N22" s="54">
        <v>495.4</v>
      </c>
      <c r="O22" s="54">
        <v>0</v>
      </c>
      <c r="P22" s="54">
        <v>0.75</v>
      </c>
      <c r="Q22" s="54">
        <v>5.19</v>
      </c>
    </row>
    <row r="23" spans="1:17" customFormat="1">
      <c r="A23" s="53">
        <v>45274.625</v>
      </c>
      <c r="B23" s="54">
        <v>8.9600000000000009</v>
      </c>
      <c r="C23" s="54">
        <v>25.24</v>
      </c>
      <c r="D23" s="54">
        <v>21.51</v>
      </c>
      <c r="E23" s="54">
        <v>8.9</v>
      </c>
      <c r="F23" s="54">
        <v>4.88</v>
      </c>
      <c r="G23" s="54">
        <v>72.87</v>
      </c>
      <c r="H23" s="54">
        <v>28.81</v>
      </c>
      <c r="I23" s="54">
        <v>7.81</v>
      </c>
      <c r="J23" s="54">
        <v>0.41</v>
      </c>
      <c r="K23" s="54">
        <v>297.54000000000002</v>
      </c>
      <c r="L23" s="54">
        <v>26.72</v>
      </c>
      <c r="M23" s="54">
        <v>39.380000000000003</v>
      </c>
      <c r="N23" s="54">
        <v>150.80000000000001</v>
      </c>
      <c r="O23" s="54">
        <v>0</v>
      </c>
      <c r="P23" s="54">
        <v>0.73</v>
      </c>
      <c r="Q23" s="54">
        <v>5.07</v>
      </c>
    </row>
    <row r="24" spans="1:17" customFormat="1">
      <c r="A24" s="53">
        <v>45274.666666666664</v>
      </c>
      <c r="B24" s="54">
        <v>6</v>
      </c>
      <c r="C24" s="54">
        <v>26.85</v>
      </c>
      <c r="D24" s="54">
        <v>20.190000000000001</v>
      </c>
      <c r="E24" s="54">
        <v>9.09</v>
      </c>
      <c r="F24" s="54">
        <v>5.16</v>
      </c>
      <c r="G24" s="54">
        <v>77.819999999999993</v>
      </c>
      <c r="H24" s="54">
        <v>28.75</v>
      </c>
      <c r="I24" s="54">
        <v>7.14</v>
      </c>
      <c r="J24" s="54">
        <v>0.37</v>
      </c>
      <c r="K24" s="54">
        <v>355.72</v>
      </c>
      <c r="L24" s="54">
        <v>26.13</v>
      </c>
      <c r="M24" s="54">
        <v>40.22</v>
      </c>
      <c r="N24" s="54">
        <v>80.099999999999994</v>
      </c>
      <c r="O24" s="54">
        <v>0</v>
      </c>
      <c r="P24" s="54">
        <v>0.73</v>
      </c>
      <c r="Q24" s="54">
        <v>4.99</v>
      </c>
    </row>
    <row r="25" spans="1:17" customFormat="1">
      <c r="A25" s="53">
        <v>45274.708333333336</v>
      </c>
      <c r="B25" s="54">
        <v>6.39</v>
      </c>
      <c r="C25" s="54">
        <v>29.26</v>
      </c>
      <c r="D25" s="54">
        <v>21.76</v>
      </c>
      <c r="E25" s="54">
        <v>8.74</v>
      </c>
      <c r="F25" s="54">
        <v>4.43</v>
      </c>
      <c r="G25" s="54">
        <v>89.85</v>
      </c>
      <c r="H25" s="54">
        <v>32.89</v>
      </c>
      <c r="I25" s="54">
        <v>6.77</v>
      </c>
      <c r="J25" s="54">
        <v>0.37</v>
      </c>
      <c r="K25" s="54">
        <v>48.82</v>
      </c>
      <c r="L25" s="54">
        <v>25.18</v>
      </c>
      <c r="M25" s="54">
        <v>46.21</v>
      </c>
      <c r="N25" s="54">
        <v>33.5</v>
      </c>
      <c r="O25" s="54">
        <v>0</v>
      </c>
      <c r="P25" s="54">
        <v>0.74</v>
      </c>
      <c r="Q25" s="54">
        <v>5.0199999999999996</v>
      </c>
    </row>
    <row r="26" spans="1:17" customFormat="1">
      <c r="A26" s="53">
        <v>45274.75</v>
      </c>
      <c r="B26" s="54">
        <v>8.67</v>
      </c>
      <c r="C26" s="54">
        <v>32.65</v>
      </c>
      <c r="D26" s="54">
        <v>25.37</v>
      </c>
      <c r="E26" s="54">
        <v>8.27</v>
      </c>
      <c r="F26" s="54">
        <v>3</v>
      </c>
      <c r="G26" s="54">
        <v>114.38</v>
      </c>
      <c r="H26" s="54">
        <v>37.159999999999997</v>
      </c>
      <c r="I26" s="54">
        <v>6.72</v>
      </c>
      <c r="J26" s="54">
        <v>0.34</v>
      </c>
      <c r="K26" s="54">
        <v>60.05</v>
      </c>
      <c r="L26" s="54">
        <v>23.43</v>
      </c>
      <c r="M26" s="54">
        <v>52.87</v>
      </c>
      <c r="N26" s="54">
        <v>0</v>
      </c>
      <c r="O26" s="54">
        <v>0</v>
      </c>
      <c r="P26" s="54">
        <v>0.84</v>
      </c>
      <c r="Q26" s="54">
        <v>5.09</v>
      </c>
    </row>
    <row r="27" spans="1:17" customFormat="1">
      <c r="A27" s="53">
        <v>45274.791666666664</v>
      </c>
      <c r="B27" s="54">
        <v>11.18</v>
      </c>
      <c r="C27" s="54">
        <v>35.19</v>
      </c>
      <c r="D27" s="54">
        <v>28.7</v>
      </c>
      <c r="E27" s="54">
        <v>9.51</v>
      </c>
      <c r="F27" s="54">
        <v>2.91</v>
      </c>
      <c r="G27" s="54">
        <v>147.38999999999999</v>
      </c>
      <c r="H27" s="54">
        <v>43.77</v>
      </c>
      <c r="I27" s="54">
        <v>7.4</v>
      </c>
      <c r="J27" s="54">
        <v>0.33</v>
      </c>
      <c r="K27" s="54">
        <v>73.12</v>
      </c>
      <c r="L27" s="54">
        <v>21.91</v>
      </c>
      <c r="M27" s="54">
        <v>56.96</v>
      </c>
      <c r="N27" s="54">
        <v>0</v>
      </c>
      <c r="O27" s="54">
        <v>0</v>
      </c>
      <c r="P27" s="54">
        <v>0.93</v>
      </c>
      <c r="Q27" s="54">
        <v>5.2</v>
      </c>
    </row>
    <row r="28" spans="1:17" customFormat="1">
      <c r="A28" s="53">
        <v>45274.833333333336</v>
      </c>
      <c r="B28" s="54">
        <v>12.78</v>
      </c>
      <c r="C28" s="54">
        <v>36.200000000000003</v>
      </c>
      <c r="D28" s="54">
        <v>30.05</v>
      </c>
      <c r="E28" s="54">
        <v>9.3800000000000008</v>
      </c>
      <c r="F28" s="54">
        <v>2.81</v>
      </c>
      <c r="G28" s="54">
        <v>162.69999999999999</v>
      </c>
      <c r="H28" s="54">
        <v>51.03</v>
      </c>
      <c r="I28" s="54">
        <v>8.35</v>
      </c>
      <c r="J28" s="54">
        <v>0.17</v>
      </c>
      <c r="K28" s="54">
        <v>163.13</v>
      </c>
      <c r="L28" s="54">
        <v>20.059999999999999</v>
      </c>
      <c r="M28" s="54">
        <v>70.98</v>
      </c>
      <c r="N28" s="54">
        <v>0</v>
      </c>
      <c r="O28" s="54">
        <v>0</v>
      </c>
      <c r="P28" s="54">
        <v>1.01</v>
      </c>
      <c r="Q28" s="54">
        <v>5.24</v>
      </c>
    </row>
    <row r="29" spans="1:17" customFormat="1">
      <c r="A29" s="53">
        <v>45274.875</v>
      </c>
      <c r="B29" s="54">
        <v>12.68</v>
      </c>
      <c r="C29" s="54">
        <v>32.24</v>
      </c>
      <c r="D29" s="54">
        <v>28.36</v>
      </c>
      <c r="E29" s="54">
        <v>9.02</v>
      </c>
      <c r="F29" s="54">
        <v>2.85</v>
      </c>
      <c r="G29" s="54">
        <v>164.32</v>
      </c>
      <c r="H29" s="54">
        <v>56.32</v>
      </c>
      <c r="I29" s="54">
        <v>8.73</v>
      </c>
      <c r="J29" s="54">
        <v>0.16</v>
      </c>
      <c r="K29" s="54">
        <v>210.74</v>
      </c>
      <c r="L29" s="54">
        <v>18.59</v>
      </c>
      <c r="M29" s="54">
        <v>83.96</v>
      </c>
      <c r="N29" s="54">
        <v>0</v>
      </c>
      <c r="O29" s="54">
        <v>0</v>
      </c>
      <c r="P29" s="54">
        <v>1.04</v>
      </c>
      <c r="Q29" s="54">
        <v>5.25</v>
      </c>
    </row>
    <row r="30" spans="1:17" customFormat="1">
      <c r="A30" s="53">
        <v>45274.916666666664</v>
      </c>
      <c r="B30" s="54">
        <v>16.510000000000002</v>
      </c>
      <c r="C30" s="54">
        <v>31.13</v>
      </c>
      <c r="D30" s="54">
        <v>30.77</v>
      </c>
      <c r="E30" s="54">
        <v>9.24</v>
      </c>
      <c r="F30" s="54">
        <v>2.66</v>
      </c>
      <c r="G30" s="54">
        <v>149.55000000000001</v>
      </c>
      <c r="H30" s="54">
        <v>55.78</v>
      </c>
      <c r="I30" s="54">
        <v>8.9499999999999993</v>
      </c>
      <c r="J30" s="54">
        <v>0.17</v>
      </c>
      <c r="K30" s="54">
        <v>223.23</v>
      </c>
      <c r="L30" s="54">
        <v>17.399999999999999</v>
      </c>
      <c r="M30" s="54">
        <v>84.09</v>
      </c>
      <c r="N30" s="54">
        <v>0</v>
      </c>
      <c r="O30" s="54">
        <v>0</v>
      </c>
      <c r="P30" s="54">
        <v>1.0900000000000001</v>
      </c>
      <c r="Q30" s="54">
        <v>5.34</v>
      </c>
    </row>
    <row r="31" spans="1:17" customFormat="1">
      <c r="A31" s="53">
        <v>45274.958333333336</v>
      </c>
      <c r="B31" s="54">
        <v>17.010000000000002</v>
      </c>
      <c r="C31" s="54">
        <v>31.12</v>
      </c>
      <c r="D31" s="54">
        <v>31.25</v>
      </c>
      <c r="E31" s="54">
        <v>9.4499999999999993</v>
      </c>
      <c r="F31" s="54">
        <v>2.69</v>
      </c>
      <c r="G31" s="54">
        <v>152.08000000000001</v>
      </c>
      <c r="H31" s="54">
        <v>56.71</v>
      </c>
      <c r="I31" s="54">
        <v>9.2899999999999991</v>
      </c>
      <c r="J31" s="54">
        <v>0.14000000000000001</v>
      </c>
      <c r="K31" s="54">
        <v>202.37</v>
      </c>
      <c r="L31" s="54">
        <v>16.54</v>
      </c>
      <c r="M31" s="54">
        <v>90.48</v>
      </c>
      <c r="N31" s="54">
        <v>0</v>
      </c>
      <c r="O31" s="54">
        <v>0</v>
      </c>
      <c r="P31" s="54">
        <v>1.1100000000000001</v>
      </c>
      <c r="Q31" s="54">
        <v>5.36</v>
      </c>
    </row>
    <row r="32" spans="1:17" customFormat="1">
      <c r="A32" s="53">
        <v>45275</v>
      </c>
      <c r="B32" s="54">
        <v>15.2</v>
      </c>
      <c r="C32" s="54">
        <v>28.8</v>
      </c>
      <c r="D32" s="54">
        <v>28.23</v>
      </c>
      <c r="E32" s="54">
        <v>9.1300000000000008</v>
      </c>
      <c r="F32" s="54">
        <v>2.72</v>
      </c>
      <c r="G32" s="54">
        <v>130.65</v>
      </c>
      <c r="H32" s="54">
        <v>56.97</v>
      </c>
      <c r="I32" s="54">
        <v>9.33</v>
      </c>
      <c r="J32" s="54">
        <v>0.11</v>
      </c>
      <c r="K32" s="54">
        <v>242.07</v>
      </c>
      <c r="L32" s="54">
        <v>16.09</v>
      </c>
      <c r="M32" s="54">
        <v>88.77</v>
      </c>
      <c r="N32" s="54">
        <v>0</v>
      </c>
      <c r="O32" s="54">
        <v>0</v>
      </c>
      <c r="P32" s="54">
        <v>1.0900000000000001</v>
      </c>
      <c r="Q32" s="54">
        <v>5.31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</v>
      </c>
      <c r="C34" s="41">
        <f t="shared" si="0"/>
        <v>24.48</v>
      </c>
      <c r="D34" s="41">
        <f t="shared" si="0"/>
        <v>20.190000000000001</v>
      </c>
      <c r="E34" s="41">
        <f t="shared" si="0"/>
        <v>8.0299999999999994</v>
      </c>
      <c r="F34" s="41">
        <f t="shared" si="0"/>
        <v>2.58</v>
      </c>
      <c r="G34" s="41">
        <f t="shared" si="0"/>
        <v>72.87</v>
      </c>
      <c r="H34" s="41">
        <f t="shared" si="0"/>
        <v>28.75</v>
      </c>
      <c r="I34" s="41">
        <f t="shared" si="0"/>
        <v>6.72</v>
      </c>
      <c r="J34" s="41">
        <f t="shared" si="0"/>
        <v>0.1</v>
      </c>
      <c r="K34" s="41">
        <f t="shared" si="0"/>
        <v>44.05</v>
      </c>
      <c r="L34" s="41">
        <f t="shared" si="0"/>
        <v>14.71</v>
      </c>
      <c r="M34" s="41">
        <f t="shared" si="0"/>
        <v>37.96</v>
      </c>
      <c r="N34" s="41">
        <f t="shared" si="0"/>
        <v>0</v>
      </c>
      <c r="O34" s="41">
        <f t="shared" si="0"/>
        <v>0</v>
      </c>
      <c r="P34" s="41">
        <f t="shared" si="0"/>
        <v>0.73</v>
      </c>
      <c r="Q34" s="41">
        <f t="shared" si="0"/>
        <v>4.99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41.79</v>
      </c>
      <c r="C35" s="33">
        <f t="shared" si="1"/>
        <v>36.200000000000003</v>
      </c>
      <c r="D35" s="33">
        <f t="shared" si="1"/>
        <v>50.22</v>
      </c>
      <c r="E35" s="33">
        <f t="shared" si="1"/>
        <v>9.51</v>
      </c>
      <c r="F35" s="33">
        <f t="shared" si="1"/>
        <v>5.16</v>
      </c>
      <c r="G35" s="33">
        <f t="shared" si="1"/>
        <v>164.32</v>
      </c>
      <c r="H35" s="33">
        <f t="shared" si="1"/>
        <v>56.97</v>
      </c>
      <c r="I35" s="33">
        <f t="shared" si="1"/>
        <v>10.5</v>
      </c>
      <c r="J35" s="33">
        <f t="shared" si="1"/>
        <v>0.67</v>
      </c>
      <c r="K35" s="33">
        <f t="shared" si="1"/>
        <v>355.72</v>
      </c>
      <c r="L35" s="33">
        <f t="shared" si="1"/>
        <v>26.84</v>
      </c>
      <c r="M35" s="33">
        <f t="shared" si="1"/>
        <v>96.72</v>
      </c>
      <c r="N35" s="33">
        <f t="shared" si="1"/>
        <v>569.70000000000005</v>
      </c>
      <c r="O35" s="33">
        <f t="shared" si="1"/>
        <v>0</v>
      </c>
      <c r="P35" s="33">
        <f t="shared" si="1"/>
        <v>1.1100000000000001</v>
      </c>
      <c r="Q35" s="33">
        <f t="shared" si="1"/>
        <v>6.01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21.71875</v>
      </c>
      <c r="C36" s="41">
        <f t="shared" si="2"/>
        <v>29.51208333333334</v>
      </c>
      <c r="D36" s="41">
        <f t="shared" si="2"/>
        <v>33.957500000000003</v>
      </c>
      <c r="E36" s="41">
        <f t="shared" si="2"/>
        <v>8.8375000000000004</v>
      </c>
      <c r="F36" s="41">
        <f t="shared" si="2"/>
        <v>3.0854166666666667</v>
      </c>
      <c r="G36" s="41">
        <f t="shared" si="2"/>
        <v>111.88875</v>
      </c>
      <c r="H36" s="41">
        <f t="shared" si="2"/>
        <v>44.426249999999989</v>
      </c>
      <c r="I36" s="41">
        <f t="shared" si="2"/>
        <v>9.0941666666666663</v>
      </c>
      <c r="J36" s="41">
        <f t="shared" si="2"/>
        <v>0.3</v>
      </c>
      <c r="K36" s="41">
        <f t="shared" si="2"/>
        <v>197.505</v>
      </c>
      <c r="L36" s="41">
        <f t="shared" si="2"/>
        <v>20.305833333333332</v>
      </c>
      <c r="M36" s="41">
        <f t="shared" si="2"/>
        <v>71.68416666666667</v>
      </c>
      <c r="N36" s="41">
        <f t="shared" si="2"/>
        <v>124.25416666666668</v>
      </c>
      <c r="O36" s="41">
        <f t="shared" si="2"/>
        <v>0</v>
      </c>
      <c r="P36" s="41">
        <f t="shared" si="2"/>
        <v>0.92458333333333342</v>
      </c>
      <c r="Q36" s="41">
        <f t="shared" si="2"/>
        <v>5.4612499999999997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10.897823999991127</v>
      </c>
      <c r="C37" s="41">
        <f t="shared" ref="C37:Q37" si="3">STDEV(C9:C32)</f>
        <v>2.9906607953348727</v>
      </c>
      <c r="D37" s="41">
        <f t="shared" si="3"/>
        <v>8.8015982985305072</v>
      </c>
      <c r="E37" s="41">
        <f t="shared" si="3"/>
        <v>0.4734907372492807</v>
      </c>
      <c r="F37" s="41">
        <f t="shared" si="3"/>
        <v>0.71304600233735027</v>
      </c>
      <c r="G37" s="41">
        <f t="shared" si="3"/>
        <v>27.117431312317525</v>
      </c>
      <c r="H37" s="41">
        <f t="shared" si="3"/>
        <v>8.8567404017211082</v>
      </c>
      <c r="I37" s="41">
        <f t="shared" si="3"/>
        <v>1.20856694393444</v>
      </c>
      <c r="J37" s="41">
        <f t="shared" si="3"/>
        <v>0.16860037650172005</v>
      </c>
      <c r="K37" s="41">
        <f t="shared" si="3"/>
        <v>89.393397917879511</v>
      </c>
      <c r="L37" s="41">
        <f t="shared" si="3"/>
        <v>4.425319361275001</v>
      </c>
      <c r="M37" s="41">
        <f t="shared" si="3"/>
        <v>21.957347966230923</v>
      </c>
      <c r="N37" s="41">
        <f t="shared" si="3"/>
        <v>198.71419497920093</v>
      </c>
      <c r="O37" s="41">
        <f t="shared" si="3"/>
        <v>0</v>
      </c>
      <c r="P37" s="41">
        <f t="shared" si="3"/>
        <v>0.11363477600998932</v>
      </c>
      <c r="Q37" s="41">
        <f t="shared" si="3"/>
        <v>0.30310440875825895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45275.041666666664</v>
      </c>
      <c r="B9" s="54">
        <v>17.87</v>
      </c>
      <c r="C9" s="54">
        <v>30.16</v>
      </c>
      <c r="D9" s="54">
        <v>31.44</v>
      </c>
      <c r="E9" s="54">
        <v>9.5</v>
      </c>
      <c r="F9" s="54">
        <v>2.64</v>
      </c>
      <c r="G9" s="54">
        <v>116.6</v>
      </c>
      <c r="H9" s="54">
        <v>53.79</v>
      </c>
      <c r="I9" s="54">
        <v>9.11</v>
      </c>
      <c r="J9" s="54">
        <v>0.14000000000000001</v>
      </c>
      <c r="K9" s="54">
        <v>240.33</v>
      </c>
      <c r="L9" s="54">
        <v>15.94</v>
      </c>
      <c r="M9" s="54">
        <v>89.98</v>
      </c>
      <c r="N9" s="54">
        <v>0</v>
      </c>
      <c r="O9" s="54">
        <v>0</v>
      </c>
      <c r="P9" s="54">
        <v>1.08</v>
      </c>
      <c r="Q9" s="54">
        <v>5.4</v>
      </c>
    </row>
    <row r="10" spans="1:21" customFormat="1">
      <c r="A10" s="53">
        <v>45275.083333333336</v>
      </c>
      <c r="B10" s="54">
        <v>18.64</v>
      </c>
      <c r="C10" s="54">
        <v>30.03</v>
      </c>
      <c r="D10" s="54">
        <v>31.99</v>
      </c>
      <c r="E10" s="54">
        <v>8.77</v>
      </c>
      <c r="F10" s="54">
        <v>2.68</v>
      </c>
      <c r="G10" s="54">
        <v>104.75</v>
      </c>
      <c r="H10" s="54">
        <v>51.32</v>
      </c>
      <c r="I10" s="54">
        <v>8.75</v>
      </c>
      <c r="J10" s="54">
        <v>0.16</v>
      </c>
      <c r="K10" s="54">
        <v>288.69</v>
      </c>
      <c r="L10" s="54">
        <v>15.48</v>
      </c>
      <c r="M10" s="54">
        <v>89.5</v>
      </c>
      <c r="N10" s="54">
        <v>0</v>
      </c>
      <c r="O10" s="54">
        <v>0</v>
      </c>
      <c r="P10" s="54">
        <v>1.03</v>
      </c>
      <c r="Q10" s="54">
        <v>5.43</v>
      </c>
    </row>
    <row r="11" spans="1:21" customFormat="1">
      <c r="A11" s="53">
        <v>45275.125</v>
      </c>
      <c r="B11" s="54">
        <v>20.32</v>
      </c>
      <c r="C11" s="54">
        <v>30.05</v>
      </c>
      <c r="D11" s="54">
        <v>33.35</v>
      </c>
      <c r="E11" s="54">
        <v>9.7799999999999994</v>
      </c>
      <c r="F11" s="54">
        <v>2.7</v>
      </c>
      <c r="G11" s="54">
        <v>103.34</v>
      </c>
      <c r="H11" s="54">
        <v>46.71</v>
      </c>
      <c r="I11" s="54">
        <v>8.3800000000000008</v>
      </c>
      <c r="J11" s="54">
        <v>0.2</v>
      </c>
      <c r="K11" s="54">
        <v>161.32</v>
      </c>
      <c r="L11" s="54">
        <v>15.35</v>
      </c>
      <c r="M11" s="54">
        <v>85.71</v>
      </c>
      <c r="N11" s="54">
        <v>0</v>
      </c>
      <c r="O11" s="54">
        <v>0</v>
      </c>
      <c r="P11" s="54">
        <v>0.97</v>
      </c>
      <c r="Q11" s="54">
        <v>5.46</v>
      </c>
    </row>
    <row r="12" spans="1:21" customFormat="1">
      <c r="A12" s="53">
        <v>45275.166666666664</v>
      </c>
      <c r="B12" s="54">
        <v>21.66</v>
      </c>
      <c r="C12" s="54">
        <v>30.14</v>
      </c>
      <c r="D12" s="54">
        <v>34.44</v>
      </c>
      <c r="E12" s="54">
        <v>9.84</v>
      </c>
      <c r="F12" s="54">
        <v>2.67</v>
      </c>
      <c r="G12" s="54">
        <v>98.01</v>
      </c>
      <c r="H12" s="54">
        <v>45.36</v>
      </c>
      <c r="I12" s="54">
        <v>8.69</v>
      </c>
      <c r="J12" s="54">
        <v>0.32</v>
      </c>
      <c r="K12" s="54">
        <v>131.13999999999999</v>
      </c>
      <c r="L12" s="54">
        <v>14.89</v>
      </c>
      <c r="M12" s="54">
        <v>87.44</v>
      </c>
      <c r="N12" s="54">
        <v>0</v>
      </c>
      <c r="O12" s="54">
        <v>0</v>
      </c>
      <c r="P12" s="54">
        <v>0.93</v>
      </c>
      <c r="Q12" s="54">
        <v>5.52</v>
      </c>
    </row>
    <row r="13" spans="1:21" customFormat="1">
      <c r="A13" s="53">
        <v>45275.208333333336</v>
      </c>
      <c r="B13" s="54">
        <v>21.35</v>
      </c>
      <c r="C13" s="54">
        <v>30.12</v>
      </c>
      <c r="D13" s="54">
        <v>34.19</v>
      </c>
      <c r="E13" s="54">
        <v>10.029999999999999</v>
      </c>
      <c r="F13" s="54">
        <v>2.76</v>
      </c>
      <c r="G13" s="54">
        <v>101.57</v>
      </c>
      <c r="H13" s="54">
        <v>46.78</v>
      </c>
      <c r="I13" s="54">
        <v>8.85</v>
      </c>
      <c r="J13" s="54">
        <v>0.23</v>
      </c>
      <c r="K13" s="54">
        <v>61.1</v>
      </c>
      <c r="L13" s="54">
        <v>14.76</v>
      </c>
      <c r="M13" s="54">
        <v>85.13</v>
      </c>
      <c r="N13" s="54">
        <v>0</v>
      </c>
      <c r="O13" s="54">
        <v>0</v>
      </c>
      <c r="P13" s="54">
        <v>0.9</v>
      </c>
      <c r="Q13" s="54">
        <v>5.5</v>
      </c>
    </row>
    <row r="14" spans="1:21" customFormat="1">
      <c r="A14" s="53">
        <v>45275.25</v>
      </c>
      <c r="B14" s="54">
        <v>21.89</v>
      </c>
      <c r="C14" s="54">
        <v>29.1</v>
      </c>
      <c r="D14" s="54">
        <v>33.950000000000003</v>
      </c>
      <c r="E14" s="54">
        <v>9.6999999999999993</v>
      </c>
      <c r="F14" s="54">
        <v>2.81</v>
      </c>
      <c r="G14" s="54">
        <v>100.78</v>
      </c>
      <c r="H14" s="54">
        <v>45.96</v>
      </c>
      <c r="I14" s="54">
        <v>8.91</v>
      </c>
      <c r="J14" s="54">
        <v>0.18</v>
      </c>
      <c r="K14" s="54">
        <v>229.86</v>
      </c>
      <c r="L14" s="54">
        <v>14.51</v>
      </c>
      <c r="M14" s="54">
        <v>91.86</v>
      </c>
      <c r="N14" s="54">
        <v>0</v>
      </c>
      <c r="O14" s="54">
        <v>0</v>
      </c>
      <c r="P14" s="54">
        <v>0.87</v>
      </c>
      <c r="Q14" s="54">
        <v>5.48</v>
      </c>
    </row>
    <row r="15" spans="1:21" customFormat="1">
      <c r="A15" s="53">
        <v>45275.291666666664</v>
      </c>
      <c r="B15" s="54">
        <v>21.66</v>
      </c>
      <c r="C15" s="54">
        <v>28.08</v>
      </c>
      <c r="D15" s="54">
        <v>33.08</v>
      </c>
      <c r="E15" s="54">
        <v>9.57</v>
      </c>
      <c r="F15" s="54">
        <v>2.66</v>
      </c>
      <c r="G15" s="54">
        <v>102.06</v>
      </c>
      <c r="H15" s="54">
        <v>45.87</v>
      </c>
      <c r="I15" s="54">
        <v>8.91</v>
      </c>
      <c r="J15" s="54">
        <v>0.19</v>
      </c>
      <c r="K15" s="54">
        <v>183.45</v>
      </c>
      <c r="L15" s="54">
        <v>14.11</v>
      </c>
      <c r="M15" s="54">
        <v>95.48</v>
      </c>
      <c r="N15" s="54">
        <v>9</v>
      </c>
      <c r="O15" s="54">
        <v>0</v>
      </c>
      <c r="P15" s="54">
        <v>0.84</v>
      </c>
      <c r="Q15" s="54">
        <v>5.44</v>
      </c>
    </row>
    <row r="16" spans="1:21" customFormat="1">
      <c r="A16" s="53">
        <v>45275.333333333336</v>
      </c>
      <c r="B16" s="54">
        <v>26.94</v>
      </c>
      <c r="C16" s="54">
        <v>30.95</v>
      </c>
      <c r="D16" s="54">
        <v>39.130000000000003</v>
      </c>
      <c r="E16" s="54">
        <v>9.77</v>
      </c>
      <c r="F16" s="54">
        <v>2.7</v>
      </c>
      <c r="G16" s="54">
        <v>110.24</v>
      </c>
      <c r="H16" s="54">
        <v>46.45</v>
      </c>
      <c r="I16" s="54">
        <v>8.7100000000000009</v>
      </c>
      <c r="J16" s="54">
        <v>0.32</v>
      </c>
      <c r="K16" s="54">
        <v>104.3</v>
      </c>
      <c r="L16" s="54">
        <v>16.47</v>
      </c>
      <c r="M16" s="54">
        <v>83.44</v>
      </c>
      <c r="N16" s="54">
        <v>88.9</v>
      </c>
      <c r="O16" s="54">
        <v>0</v>
      </c>
      <c r="P16" s="54">
        <v>0.88</v>
      </c>
      <c r="Q16" s="54">
        <v>5.64</v>
      </c>
    </row>
    <row r="17" spans="1:17" customFormat="1">
      <c r="A17" s="53">
        <v>45275.375</v>
      </c>
      <c r="B17" s="54">
        <v>26.42</v>
      </c>
      <c r="C17" s="54">
        <v>33</v>
      </c>
      <c r="D17" s="54">
        <v>39.26</v>
      </c>
      <c r="E17" s="54">
        <v>9.41</v>
      </c>
      <c r="F17" s="54">
        <v>2.71</v>
      </c>
      <c r="G17" s="54">
        <v>120.81</v>
      </c>
      <c r="H17" s="54">
        <v>47.71</v>
      </c>
      <c r="I17" s="54">
        <v>9.19</v>
      </c>
      <c r="J17" s="54">
        <v>0.65</v>
      </c>
      <c r="K17" s="54">
        <v>68.23</v>
      </c>
      <c r="L17" s="54">
        <v>19.73</v>
      </c>
      <c r="M17" s="54">
        <v>68.239999999999995</v>
      </c>
      <c r="N17" s="54">
        <v>244.9</v>
      </c>
      <c r="O17" s="54">
        <v>0</v>
      </c>
      <c r="P17" s="54">
        <v>0.88</v>
      </c>
      <c r="Q17" s="54">
        <v>5.62</v>
      </c>
    </row>
    <row r="18" spans="1:17" customFormat="1">
      <c r="A18" s="53">
        <v>45275.416666666664</v>
      </c>
      <c r="B18" s="54">
        <v>24.01</v>
      </c>
      <c r="C18" s="54">
        <v>30.69</v>
      </c>
      <c r="D18" s="54">
        <v>36.64</v>
      </c>
      <c r="E18" s="54">
        <v>9.66</v>
      </c>
      <c r="F18" s="54">
        <v>2.91</v>
      </c>
      <c r="G18" s="54">
        <v>114.94</v>
      </c>
      <c r="H18" s="54">
        <v>43.42</v>
      </c>
      <c r="I18" s="54">
        <v>9.81</v>
      </c>
      <c r="J18" s="54">
        <v>0.52</v>
      </c>
      <c r="K18" s="54">
        <v>104.77</v>
      </c>
      <c r="L18" s="54">
        <v>22.66</v>
      </c>
      <c r="M18" s="54">
        <v>53.66</v>
      </c>
      <c r="N18" s="54">
        <v>294.10000000000002</v>
      </c>
      <c r="O18" s="54">
        <v>0</v>
      </c>
      <c r="P18" s="54">
        <v>0.87</v>
      </c>
      <c r="Q18" s="54">
        <v>5.53</v>
      </c>
    </row>
    <row r="19" spans="1:17" customFormat="1">
      <c r="A19" s="53">
        <v>45275.458333333336</v>
      </c>
      <c r="B19" s="54">
        <v>20.94</v>
      </c>
      <c r="C19" s="54">
        <v>31</v>
      </c>
      <c r="D19" s="54">
        <v>33.799999999999997</v>
      </c>
      <c r="E19" s="54">
        <v>8.74</v>
      </c>
      <c r="F19" s="54">
        <v>3.16</v>
      </c>
      <c r="G19" s="54">
        <v>109.6</v>
      </c>
      <c r="H19" s="54">
        <v>41.86</v>
      </c>
      <c r="I19" s="54">
        <v>9.56</v>
      </c>
      <c r="J19" s="54">
        <v>0.48</v>
      </c>
      <c r="K19" s="54">
        <v>103.51</v>
      </c>
      <c r="L19" s="54">
        <v>24.4</v>
      </c>
      <c r="M19" s="54">
        <v>47.84</v>
      </c>
      <c r="N19" s="54">
        <v>502.3</v>
      </c>
      <c r="O19" s="54">
        <v>0</v>
      </c>
      <c r="P19" s="54">
        <v>0.86</v>
      </c>
      <c r="Q19" s="54">
        <v>5.49</v>
      </c>
    </row>
    <row r="20" spans="1:17" customFormat="1">
      <c r="A20" s="53">
        <v>45275.5</v>
      </c>
      <c r="B20" s="54">
        <v>13.69</v>
      </c>
      <c r="C20" s="54">
        <v>30.8</v>
      </c>
      <c r="D20" s="54">
        <v>28.42</v>
      </c>
      <c r="E20" s="54">
        <v>9.2200000000000006</v>
      </c>
      <c r="F20" s="54">
        <v>4.1399999999999997</v>
      </c>
      <c r="G20" s="54">
        <v>104.14</v>
      </c>
      <c r="H20" s="54">
        <v>38.86</v>
      </c>
      <c r="I20" s="54">
        <v>8.82</v>
      </c>
      <c r="J20" s="54">
        <v>0.26</v>
      </c>
      <c r="K20" s="54">
        <v>348.09</v>
      </c>
      <c r="L20" s="54">
        <v>26.21</v>
      </c>
      <c r="M20" s="54">
        <v>44.57</v>
      </c>
      <c r="N20" s="54">
        <v>568.1</v>
      </c>
      <c r="O20" s="54">
        <v>0</v>
      </c>
      <c r="P20" s="54">
        <v>0.83</v>
      </c>
      <c r="Q20" s="54">
        <v>5.3</v>
      </c>
    </row>
    <row r="21" spans="1:17" customFormat="1">
      <c r="A21" s="53">
        <v>45275.541666666664</v>
      </c>
      <c r="B21" s="54">
        <v>6.34</v>
      </c>
      <c r="C21" s="54">
        <v>27.4</v>
      </c>
      <c r="D21" s="54">
        <v>20.75</v>
      </c>
      <c r="E21" s="54">
        <v>9.1199999999999992</v>
      </c>
      <c r="F21" s="54">
        <v>3.92</v>
      </c>
      <c r="G21" s="54">
        <v>92.49</v>
      </c>
      <c r="H21" s="54">
        <v>34.5</v>
      </c>
      <c r="I21" s="54">
        <v>7.87</v>
      </c>
      <c r="J21" s="54">
        <v>0.28000000000000003</v>
      </c>
      <c r="K21" s="54">
        <v>93.53</v>
      </c>
      <c r="L21" s="54">
        <v>26.76</v>
      </c>
      <c r="M21" s="54">
        <v>37.46</v>
      </c>
      <c r="N21" s="54">
        <v>565.5</v>
      </c>
      <c r="O21" s="54">
        <v>0</v>
      </c>
      <c r="P21" s="54">
        <v>0.75</v>
      </c>
      <c r="Q21" s="54">
        <v>5.07</v>
      </c>
    </row>
    <row r="22" spans="1:17" customFormat="1">
      <c r="A22" s="53">
        <v>45275.583333333336</v>
      </c>
      <c r="B22" s="54">
        <v>3.42</v>
      </c>
      <c r="C22" s="54">
        <v>27.02</v>
      </c>
      <c r="D22" s="54">
        <v>17.91</v>
      </c>
      <c r="E22" s="54">
        <v>9.1</v>
      </c>
      <c r="F22" s="54">
        <v>4.0199999999999996</v>
      </c>
      <c r="G22" s="54">
        <v>80.150000000000006</v>
      </c>
      <c r="H22" s="54">
        <v>33.64</v>
      </c>
      <c r="I22" s="54">
        <v>6.97</v>
      </c>
      <c r="J22" s="54">
        <v>0.48</v>
      </c>
      <c r="K22" s="54">
        <v>223.58</v>
      </c>
      <c r="L22" s="54">
        <v>26.92</v>
      </c>
      <c r="M22" s="54">
        <v>35.04</v>
      </c>
      <c r="N22" s="54">
        <v>498.5</v>
      </c>
      <c r="O22" s="54">
        <v>0</v>
      </c>
      <c r="P22" s="54">
        <v>0.69</v>
      </c>
      <c r="Q22" s="54">
        <v>5.01</v>
      </c>
    </row>
    <row r="23" spans="1:17" customFormat="1">
      <c r="A23" s="53">
        <v>45275.625</v>
      </c>
      <c r="B23" s="54">
        <v>2.59</v>
      </c>
      <c r="C23" s="54">
        <v>30.36</v>
      </c>
      <c r="D23" s="54">
        <v>18.91</v>
      </c>
      <c r="E23" s="54">
        <v>11.65</v>
      </c>
      <c r="F23" s="54">
        <v>11.9</v>
      </c>
      <c r="G23" s="54">
        <v>74.78</v>
      </c>
      <c r="H23" s="54">
        <v>29.8</v>
      </c>
      <c r="I23" s="54">
        <v>6.33</v>
      </c>
      <c r="J23" s="54">
        <v>0.4</v>
      </c>
      <c r="K23" s="54">
        <v>342.49</v>
      </c>
      <c r="L23" s="54">
        <v>26.18</v>
      </c>
      <c r="M23" s="54">
        <v>35.53</v>
      </c>
      <c r="N23" s="54">
        <v>150.19999999999999</v>
      </c>
      <c r="O23" s="54">
        <v>0</v>
      </c>
      <c r="P23" s="54">
        <v>0.69</v>
      </c>
      <c r="Q23" s="54">
        <v>4.99</v>
      </c>
    </row>
    <row r="24" spans="1:17" customFormat="1">
      <c r="A24" s="53">
        <v>45275.666666666664</v>
      </c>
      <c r="B24" s="54">
        <v>2.78</v>
      </c>
      <c r="C24" s="54">
        <v>27.67</v>
      </c>
      <c r="D24" s="54">
        <v>17.47</v>
      </c>
      <c r="E24" s="54">
        <v>9.14</v>
      </c>
      <c r="F24" s="54">
        <v>4.59</v>
      </c>
      <c r="G24" s="54">
        <v>72.989999999999995</v>
      </c>
      <c r="H24" s="54">
        <v>29.4</v>
      </c>
      <c r="I24" s="54">
        <v>6.01</v>
      </c>
      <c r="J24" s="54">
        <v>0.21</v>
      </c>
      <c r="K24" s="54">
        <v>166.74</v>
      </c>
      <c r="L24" s="54">
        <v>25.46</v>
      </c>
      <c r="M24" s="54">
        <v>38.799999999999997</v>
      </c>
      <c r="N24" s="54">
        <v>71.900000000000006</v>
      </c>
      <c r="O24" s="54">
        <v>0</v>
      </c>
      <c r="P24" s="54">
        <v>0.66</v>
      </c>
      <c r="Q24" s="54">
        <v>4.9400000000000004</v>
      </c>
    </row>
    <row r="25" spans="1:17" customFormat="1">
      <c r="A25" s="53">
        <v>45275.708333333336</v>
      </c>
      <c r="B25" s="54">
        <v>3.53</v>
      </c>
      <c r="C25" s="54">
        <v>24.97</v>
      </c>
      <c r="D25" s="54">
        <v>17.23</v>
      </c>
      <c r="E25" s="54">
        <v>8.15</v>
      </c>
      <c r="F25" s="54">
        <v>3.27</v>
      </c>
      <c r="G25" s="54">
        <v>72.430000000000007</v>
      </c>
      <c r="H25" s="54">
        <v>30.35</v>
      </c>
      <c r="I25" s="54">
        <v>5.88</v>
      </c>
      <c r="J25" s="54">
        <v>0.3</v>
      </c>
      <c r="K25" s="54">
        <v>171.15</v>
      </c>
      <c r="L25" s="54">
        <v>24.41</v>
      </c>
      <c r="M25" s="54">
        <v>50.91</v>
      </c>
      <c r="N25" s="54">
        <v>34.4</v>
      </c>
      <c r="O25" s="54">
        <v>0</v>
      </c>
      <c r="P25" s="54">
        <v>0.66</v>
      </c>
      <c r="Q25" s="54">
        <v>4.8899999999999997</v>
      </c>
    </row>
    <row r="26" spans="1:17" customFormat="1">
      <c r="A26" s="53">
        <v>45275.75</v>
      </c>
      <c r="B26" s="54">
        <v>6.32</v>
      </c>
      <c r="C26" s="54">
        <v>26.25</v>
      </c>
      <c r="D26" s="54">
        <v>19.82</v>
      </c>
      <c r="E26" s="54">
        <v>8.1300000000000008</v>
      </c>
      <c r="F26" s="54">
        <v>2.94</v>
      </c>
      <c r="G26" s="54">
        <v>85.83</v>
      </c>
      <c r="H26" s="54">
        <v>33.770000000000003</v>
      </c>
      <c r="I26" s="54">
        <v>5.8</v>
      </c>
      <c r="J26" s="54">
        <v>0.26</v>
      </c>
      <c r="K26" s="54">
        <v>167.93</v>
      </c>
      <c r="L26" s="54">
        <v>21.94</v>
      </c>
      <c r="M26" s="54">
        <v>60.68</v>
      </c>
      <c r="N26" s="54">
        <v>0</v>
      </c>
      <c r="O26" s="54">
        <v>0</v>
      </c>
      <c r="P26" s="54">
        <v>0.71</v>
      </c>
      <c r="Q26" s="54">
        <v>5.01</v>
      </c>
    </row>
    <row r="27" spans="1:17" customFormat="1">
      <c r="A27" s="53">
        <v>45275.791666666664</v>
      </c>
      <c r="B27" s="54">
        <v>11.05</v>
      </c>
      <c r="C27" s="54">
        <v>30.68</v>
      </c>
      <c r="D27" s="54">
        <v>26.24</v>
      </c>
      <c r="E27" s="54">
        <v>8.6199999999999992</v>
      </c>
      <c r="F27" s="54">
        <v>2.65</v>
      </c>
      <c r="G27" s="54">
        <v>116</v>
      </c>
      <c r="H27" s="54">
        <v>40.590000000000003</v>
      </c>
      <c r="I27" s="54">
        <v>6.32</v>
      </c>
      <c r="J27" s="54">
        <v>0.25</v>
      </c>
      <c r="K27" s="54">
        <v>203.22</v>
      </c>
      <c r="L27" s="54">
        <v>20.079999999999998</v>
      </c>
      <c r="M27" s="54">
        <v>77.180000000000007</v>
      </c>
      <c r="N27" s="54">
        <v>0</v>
      </c>
      <c r="O27" s="54">
        <v>0</v>
      </c>
      <c r="P27" s="54">
        <v>0.83</v>
      </c>
      <c r="Q27" s="54">
        <v>5.18</v>
      </c>
    </row>
    <row r="28" spans="1:17" customFormat="1">
      <c r="A28" s="53">
        <v>45275.833333333336</v>
      </c>
      <c r="B28" s="54">
        <v>15.51</v>
      </c>
      <c r="C28" s="54">
        <v>31.61</v>
      </c>
      <c r="D28" s="54">
        <v>30.3</v>
      </c>
      <c r="E28" s="54">
        <v>8.67</v>
      </c>
      <c r="F28" s="54">
        <v>2.75</v>
      </c>
      <c r="G28" s="54">
        <v>133.03</v>
      </c>
      <c r="H28" s="54">
        <v>43.42</v>
      </c>
      <c r="I28" s="54">
        <v>7.29</v>
      </c>
      <c r="J28" s="54">
        <v>0.18</v>
      </c>
      <c r="K28" s="54">
        <v>221.22</v>
      </c>
      <c r="L28" s="54">
        <v>18.510000000000002</v>
      </c>
      <c r="M28" s="54">
        <v>82.56</v>
      </c>
      <c r="N28" s="54">
        <v>0</v>
      </c>
      <c r="O28" s="54">
        <v>0</v>
      </c>
      <c r="P28" s="54">
        <v>0.98</v>
      </c>
      <c r="Q28" s="54">
        <v>5.32</v>
      </c>
    </row>
    <row r="29" spans="1:17" customFormat="1">
      <c r="A29" s="53">
        <v>45275.875</v>
      </c>
      <c r="B29" s="54">
        <v>17.190000000000001</v>
      </c>
      <c r="C29" s="54">
        <v>32.74</v>
      </c>
      <c r="D29" s="54">
        <v>32.19</v>
      </c>
      <c r="E29" s="54">
        <v>9.6999999999999993</v>
      </c>
      <c r="F29" s="54">
        <v>2.74</v>
      </c>
      <c r="G29" s="54">
        <v>135.19999999999999</v>
      </c>
      <c r="H29" s="54">
        <v>44.46</v>
      </c>
      <c r="I29" s="54">
        <v>8.3699999999999992</v>
      </c>
      <c r="J29" s="54">
        <v>0.19</v>
      </c>
      <c r="K29" s="54">
        <v>199.36</v>
      </c>
      <c r="L29" s="54">
        <v>17.7</v>
      </c>
      <c r="M29" s="54">
        <v>85.54</v>
      </c>
      <c r="N29" s="54">
        <v>0</v>
      </c>
      <c r="O29" s="54">
        <v>0</v>
      </c>
      <c r="P29" s="54">
        <v>1.07</v>
      </c>
      <c r="Q29" s="54">
        <v>5.42</v>
      </c>
    </row>
    <row r="30" spans="1:17" customFormat="1">
      <c r="A30" s="53">
        <v>45275.916666666664</v>
      </c>
      <c r="B30" s="54">
        <v>16.68</v>
      </c>
      <c r="C30" s="54">
        <v>32.520000000000003</v>
      </c>
      <c r="D30" s="54">
        <v>31.72</v>
      </c>
      <c r="E30" s="54">
        <v>9.36</v>
      </c>
      <c r="F30" s="54">
        <v>2.67</v>
      </c>
      <c r="G30" s="54">
        <v>128.4</v>
      </c>
      <c r="H30" s="54">
        <v>44.07</v>
      </c>
      <c r="I30" s="54">
        <v>8.77</v>
      </c>
      <c r="J30" s="54">
        <v>0.17</v>
      </c>
      <c r="K30" s="54">
        <v>184.02</v>
      </c>
      <c r="L30" s="54">
        <v>16.79</v>
      </c>
      <c r="M30" s="54">
        <v>85.69</v>
      </c>
      <c r="N30" s="54">
        <v>0</v>
      </c>
      <c r="O30" s="54">
        <v>0</v>
      </c>
      <c r="P30" s="54">
        <v>1.08</v>
      </c>
      <c r="Q30" s="54">
        <v>5.41</v>
      </c>
    </row>
    <row r="31" spans="1:17" customFormat="1">
      <c r="A31" s="53">
        <v>45275.958333333336</v>
      </c>
      <c r="B31" s="54">
        <v>16.260000000000002</v>
      </c>
      <c r="C31" s="54">
        <v>30.93</v>
      </c>
      <c r="D31" s="54">
        <v>30.46</v>
      </c>
      <c r="E31" s="54">
        <v>9.35</v>
      </c>
      <c r="F31" s="54">
        <v>2.74</v>
      </c>
      <c r="G31" s="54">
        <v>126.3</v>
      </c>
      <c r="H31" s="54">
        <v>45.59</v>
      </c>
      <c r="I31" s="54">
        <v>9.0399999999999991</v>
      </c>
      <c r="J31" s="54">
        <v>0.18</v>
      </c>
      <c r="K31" s="54">
        <v>234.59</v>
      </c>
      <c r="L31" s="54">
        <v>16.329999999999998</v>
      </c>
      <c r="M31" s="54">
        <v>89.53</v>
      </c>
      <c r="N31" s="54">
        <v>0</v>
      </c>
      <c r="O31" s="54">
        <v>0</v>
      </c>
      <c r="P31" s="54">
        <v>1.08</v>
      </c>
      <c r="Q31" s="54">
        <v>5.4</v>
      </c>
    </row>
    <row r="32" spans="1:17" customFormat="1">
      <c r="A32" s="53">
        <v>45276</v>
      </c>
      <c r="B32" s="54">
        <v>22.52</v>
      </c>
      <c r="C32" s="54">
        <v>30.16</v>
      </c>
      <c r="D32" s="54">
        <v>35.1</v>
      </c>
      <c r="E32" s="54">
        <v>9.5299999999999994</v>
      </c>
      <c r="F32" s="54">
        <v>2.74</v>
      </c>
      <c r="G32" s="54">
        <v>127.6</v>
      </c>
      <c r="H32" s="54">
        <v>47.5</v>
      </c>
      <c r="I32" s="54">
        <v>9.41</v>
      </c>
      <c r="J32" s="54">
        <v>0.16</v>
      </c>
      <c r="K32" s="54">
        <v>225.65</v>
      </c>
      <c r="L32" s="54">
        <v>15.54</v>
      </c>
      <c r="M32" s="54">
        <v>93.32</v>
      </c>
      <c r="N32" s="54">
        <v>0</v>
      </c>
      <c r="O32" s="54">
        <v>0</v>
      </c>
      <c r="P32" s="54">
        <v>1.1299999999999999</v>
      </c>
      <c r="Q32" s="54">
        <v>5.56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2.59</v>
      </c>
      <c r="C34" s="41">
        <f t="shared" si="0"/>
        <v>24.97</v>
      </c>
      <c r="D34" s="41">
        <f t="shared" si="0"/>
        <v>17.23</v>
      </c>
      <c r="E34" s="41">
        <f t="shared" si="0"/>
        <v>8.1300000000000008</v>
      </c>
      <c r="F34" s="41">
        <f t="shared" si="0"/>
        <v>2.64</v>
      </c>
      <c r="G34" s="41">
        <f t="shared" si="0"/>
        <v>72.430000000000007</v>
      </c>
      <c r="H34" s="41">
        <f t="shared" si="0"/>
        <v>29.4</v>
      </c>
      <c r="I34" s="41">
        <f t="shared" si="0"/>
        <v>5.8</v>
      </c>
      <c r="J34" s="41">
        <f t="shared" si="0"/>
        <v>0.14000000000000001</v>
      </c>
      <c r="K34" s="41">
        <f t="shared" si="0"/>
        <v>61.1</v>
      </c>
      <c r="L34" s="41">
        <f t="shared" si="0"/>
        <v>14.11</v>
      </c>
      <c r="M34" s="41">
        <f t="shared" si="0"/>
        <v>35.04</v>
      </c>
      <c r="N34" s="41">
        <f t="shared" si="0"/>
        <v>0</v>
      </c>
      <c r="O34" s="41">
        <f t="shared" si="0"/>
        <v>0</v>
      </c>
      <c r="P34" s="41">
        <f t="shared" si="0"/>
        <v>0.66</v>
      </c>
      <c r="Q34" s="41">
        <f t="shared" si="0"/>
        <v>4.8899999999999997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26.94</v>
      </c>
      <c r="C35" s="33">
        <f t="shared" si="1"/>
        <v>33</v>
      </c>
      <c r="D35" s="33">
        <f t="shared" si="1"/>
        <v>39.26</v>
      </c>
      <c r="E35" s="33">
        <f t="shared" si="1"/>
        <v>11.65</v>
      </c>
      <c r="F35" s="33">
        <f t="shared" si="1"/>
        <v>11.9</v>
      </c>
      <c r="G35" s="33">
        <f t="shared" si="1"/>
        <v>135.19999999999999</v>
      </c>
      <c r="H35" s="33">
        <f t="shared" si="1"/>
        <v>53.79</v>
      </c>
      <c r="I35" s="33">
        <f t="shared" si="1"/>
        <v>9.81</v>
      </c>
      <c r="J35" s="33">
        <f t="shared" si="1"/>
        <v>0.65</v>
      </c>
      <c r="K35" s="33">
        <f t="shared" si="1"/>
        <v>348.09</v>
      </c>
      <c r="L35" s="33">
        <f t="shared" si="1"/>
        <v>26.92</v>
      </c>
      <c r="M35" s="33">
        <f t="shared" si="1"/>
        <v>95.48</v>
      </c>
      <c r="N35" s="33">
        <f t="shared" si="1"/>
        <v>568.1</v>
      </c>
      <c r="O35" s="33">
        <f t="shared" si="1"/>
        <v>0</v>
      </c>
      <c r="P35" s="33">
        <f t="shared" si="1"/>
        <v>1.1299999999999999</v>
      </c>
      <c r="Q35" s="33">
        <f t="shared" si="1"/>
        <v>5.64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15.815833333333329</v>
      </c>
      <c r="C36" s="41">
        <f t="shared" si="2"/>
        <v>29.851249999999993</v>
      </c>
      <c r="D36" s="41">
        <f t="shared" si="2"/>
        <v>29.491250000000004</v>
      </c>
      <c r="E36" s="41">
        <f t="shared" si="2"/>
        <v>9.3545833333333324</v>
      </c>
      <c r="F36" s="41">
        <f t="shared" si="2"/>
        <v>3.3945833333333333</v>
      </c>
      <c r="G36" s="41">
        <f t="shared" si="2"/>
        <v>105.50166666666667</v>
      </c>
      <c r="H36" s="41">
        <f t="shared" si="2"/>
        <v>42.1325</v>
      </c>
      <c r="I36" s="41">
        <f t="shared" si="2"/>
        <v>8.15625</v>
      </c>
      <c r="J36" s="41">
        <f t="shared" si="2"/>
        <v>0.27958333333333335</v>
      </c>
      <c r="K36" s="41">
        <f t="shared" si="2"/>
        <v>185.76124999999999</v>
      </c>
      <c r="L36" s="41">
        <f t="shared" si="2"/>
        <v>19.630416666666665</v>
      </c>
      <c r="M36" s="41">
        <f t="shared" si="2"/>
        <v>70.628750000000011</v>
      </c>
      <c r="N36" s="41">
        <f t="shared" si="2"/>
        <v>126.15833333333335</v>
      </c>
      <c r="O36" s="41">
        <f t="shared" si="2"/>
        <v>0</v>
      </c>
      <c r="P36" s="41">
        <f t="shared" si="2"/>
        <v>0.88624999999999965</v>
      </c>
      <c r="Q36" s="41">
        <f t="shared" si="2"/>
        <v>5.3337499999999993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7.8086668219506032</v>
      </c>
      <c r="C37" s="41">
        <f t="shared" ref="C37:Q37" si="3">STDEV(C9:C32)</f>
        <v>2.0260505863036253</v>
      </c>
      <c r="D37" s="41">
        <f t="shared" si="3"/>
        <v>7.0098131913953807</v>
      </c>
      <c r="E37" s="41">
        <f t="shared" si="3"/>
        <v>0.71048042023424918</v>
      </c>
      <c r="F37" s="41">
        <f t="shared" si="3"/>
        <v>1.8951768970242586</v>
      </c>
      <c r="G37" s="41">
        <f t="shared" si="3"/>
        <v>18.751774099643516</v>
      </c>
      <c r="H37" s="41">
        <f t="shared" si="3"/>
        <v>6.8251518537016551</v>
      </c>
      <c r="I37" s="41">
        <f t="shared" si="3"/>
        <v>1.2648657344109551</v>
      </c>
      <c r="J37" s="41">
        <f t="shared" si="3"/>
        <v>0.13427677991070691</v>
      </c>
      <c r="K37" s="41">
        <f t="shared" si="3"/>
        <v>76.864608484659598</v>
      </c>
      <c r="L37" s="41">
        <f t="shared" si="3"/>
        <v>4.6023363435151508</v>
      </c>
      <c r="M37" s="41">
        <f t="shared" si="3"/>
        <v>21.650972528111584</v>
      </c>
      <c r="N37" s="41">
        <f t="shared" si="3"/>
        <v>202.66927850386054</v>
      </c>
      <c r="O37" s="41">
        <f t="shared" si="3"/>
        <v>0</v>
      </c>
      <c r="P37" s="41">
        <f t="shared" si="3"/>
        <v>0.14493814272782726</v>
      </c>
      <c r="Q37" s="41">
        <f t="shared" si="3"/>
        <v>0.22902083634085316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45276.041666666664</v>
      </c>
      <c r="B9" s="54">
        <v>29.22</v>
      </c>
      <c r="C9" s="54">
        <v>30.05</v>
      </c>
      <c r="D9" s="54">
        <v>39.83</v>
      </c>
      <c r="E9" s="54">
        <v>10.029999999999999</v>
      </c>
      <c r="F9" s="54">
        <v>2.79</v>
      </c>
      <c r="G9" s="54">
        <v>124.63</v>
      </c>
      <c r="H9" s="54">
        <v>48.28</v>
      </c>
      <c r="I9" s="54">
        <v>9.77</v>
      </c>
      <c r="J9" s="54">
        <v>0.13</v>
      </c>
      <c r="K9" s="54">
        <v>224.27</v>
      </c>
      <c r="L9" s="54">
        <v>15.28</v>
      </c>
      <c r="M9" s="54">
        <v>95</v>
      </c>
      <c r="N9" s="54">
        <v>0</v>
      </c>
      <c r="O9" s="54">
        <v>0</v>
      </c>
      <c r="P9" s="54">
        <v>1.1599999999999999</v>
      </c>
      <c r="Q9" s="54">
        <v>5.66</v>
      </c>
    </row>
    <row r="10" spans="1:21" customFormat="1">
      <c r="A10" s="53">
        <v>45276.083333333336</v>
      </c>
      <c r="B10" s="54">
        <v>36.869999999999997</v>
      </c>
      <c r="C10" s="54">
        <v>28.5</v>
      </c>
      <c r="D10" s="54">
        <v>45.81</v>
      </c>
      <c r="E10" s="54">
        <v>9.7200000000000006</v>
      </c>
      <c r="F10" s="54">
        <v>2.8</v>
      </c>
      <c r="G10" s="54">
        <v>115.64</v>
      </c>
      <c r="H10" s="54">
        <v>47.84</v>
      </c>
      <c r="I10" s="54">
        <v>9.91</v>
      </c>
      <c r="J10" s="54">
        <v>0.24</v>
      </c>
      <c r="K10" s="54">
        <v>333.81</v>
      </c>
      <c r="L10" s="54">
        <v>14.98</v>
      </c>
      <c r="M10" s="54">
        <v>94.25</v>
      </c>
      <c r="N10" s="54">
        <v>0</v>
      </c>
      <c r="O10" s="54">
        <v>0</v>
      </c>
      <c r="P10" s="54">
        <v>1.17</v>
      </c>
      <c r="Q10" s="54">
        <v>5.85</v>
      </c>
    </row>
    <row r="11" spans="1:21" customFormat="1">
      <c r="A11" s="53">
        <v>45276.125</v>
      </c>
      <c r="B11" s="54">
        <v>37.71</v>
      </c>
      <c r="C11" s="54">
        <v>28.8</v>
      </c>
      <c r="D11" s="54">
        <v>46.61</v>
      </c>
      <c r="E11" s="54">
        <v>8.6999999999999993</v>
      </c>
      <c r="F11" s="54">
        <v>2.75</v>
      </c>
      <c r="G11" s="54">
        <v>118.72</v>
      </c>
      <c r="H11" s="54">
        <v>49.79</v>
      </c>
      <c r="I11" s="54">
        <v>10.47</v>
      </c>
      <c r="J11" s="54">
        <v>0.14000000000000001</v>
      </c>
      <c r="K11" s="54">
        <v>223.87</v>
      </c>
      <c r="L11" s="54">
        <v>14.66</v>
      </c>
      <c r="M11" s="54">
        <v>93.81</v>
      </c>
      <c r="N11" s="54">
        <v>0</v>
      </c>
      <c r="O11" s="54">
        <v>0</v>
      </c>
      <c r="P11" s="54">
        <v>1.17</v>
      </c>
      <c r="Q11" s="54">
        <v>5.89</v>
      </c>
    </row>
    <row r="12" spans="1:21" customFormat="1">
      <c r="A12" s="53">
        <v>45276.166666666664</v>
      </c>
      <c r="B12" s="54">
        <v>38.99</v>
      </c>
      <c r="C12" s="54">
        <v>29.01</v>
      </c>
      <c r="D12" s="54">
        <v>47.78</v>
      </c>
      <c r="E12" s="54">
        <v>8.7200000000000006</v>
      </c>
      <c r="F12" s="54">
        <v>2.68</v>
      </c>
      <c r="G12" s="54">
        <v>110.49</v>
      </c>
      <c r="H12" s="54">
        <v>49.08</v>
      </c>
      <c r="I12" s="54">
        <v>10.71</v>
      </c>
      <c r="J12" s="54">
        <v>0.12</v>
      </c>
      <c r="K12" s="54">
        <v>158.36000000000001</v>
      </c>
      <c r="L12" s="54">
        <v>13.75</v>
      </c>
      <c r="M12" s="54">
        <v>93.52</v>
      </c>
      <c r="N12" s="54">
        <v>0</v>
      </c>
      <c r="O12" s="54">
        <v>0</v>
      </c>
      <c r="P12" s="54">
        <v>1.1499999999999999</v>
      </c>
      <c r="Q12" s="54">
        <v>5.87</v>
      </c>
    </row>
    <row r="13" spans="1:21" customFormat="1">
      <c r="A13" s="53">
        <v>45276.208333333336</v>
      </c>
      <c r="B13" s="54">
        <v>42.03</v>
      </c>
      <c r="C13" s="54">
        <v>29.49</v>
      </c>
      <c r="D13" s="54">
        <v>50.2</v>
      </c>
      <c r="E13" s="54">
        <v>8.33</v>
      </c>
      <c r="F13" s="54">
        <v>2.7</v>
      </c>
      <c r="G13" s="54">
        <v>107.54</v>
      </c>
      <c r="H13" s="54">
        <v>49.63</v>
      </c>
      <c r="I13" s="54">
        <v>10.7</v>
      </c>
      <c r="J13" s="54">
        <v>0.16</v>
      </c>
      <c r="K13" s="54">
        <v>217.5</v>
      </c>
      <c r="L13" s="54">
        <v>13.74</v>
      </c>
      <c r="M13" s="54">
        <v>94.69</v>
      </c>
      <c r="N13" s="54">
        <v>0</v>
      </c>
      <c r="O13" s="54">
        <v>0</v>
      </c>
      <c r="P13" s="54">
        <v>1.1299999999999999</v>
      </c>
      <c r="Q13" s="54">
        <v>5.98</v>
      </c>
    </row>
    <row r="14" spans="1:21" customFormat="1">
      <c r="A14" s="53">
        <v>45276.25</v>
      </c>
      <c r="B14" s="54">
        <v>41.98</v>
      </c>
      <c r="C14" s="54">
        <v>29.1</v>
      </c>
      <c r="D14" s="54">
        <v>49.7</v>
      </c>
      <c r="E14" s="54">
        <v>8.51</v>
      </c>
      <c r="F14" s="54">
        <v>2.69</v>
      </c>
      <c r="G14" s="54">
        <v>98.95</v>
      </c>
      <c r="H14" s="54">
        <v>49.06</v>
      </c>
      <c r="I14" s="54">
        <v>10.37</v>
      </c>
      <c r="J14" s="54">
        <v>0.1</v>
      </c>
      <c r="K14" s="54">
        <v>207.29</v>
      </c>
      <c r="L14" s="54">
        <v>12.91</v>
      </c>
      <c r="M14" s="54">
        <v>95.25</v>
      </c>
      <c r="N14" s="54">
        <v>0</v>
      </c>
      <c r="O14" s="54">
        <v>0</v>
      </c>
      <c r="P14" s="54">
        <v>1.0900000000000001</v>
      </c>
      <c r="Q14" s="54">
        <v>5.97</v>
      </c>
    </row>
    <row r="15" spans="1:21" customFormat="1">
      <c r="A15" s="53">
        <v>45276.291666666664</v>
      </c>
      <c r="B15" s="54">
        <v>51.69</v>
      </c>
      <c r="C15" s="54">
        <v>29.6</v>
      </c>
      <c r="D15" s="54">
        <v>58.27</v>
      </c>
      <c r="E15" s="54">
        <v>9.23</v>
      </c>
      <c r="F15" s="54">
        <v>2.72</v>
      </c>
      <c r="G15" s="54">
        <v>105.19</v>
      </c>
      <c r="H15" s="54">
        <v>51.78</v>
      </c>
      <c r="I15" s="54">
        <v>10.130000000000001</v>
      </c>
      <c r="J15" s="54">
        <v>0.14000000000000001</v>
      </c>
      <c r="K15" s="54">
        <v>220.11</v>
      </c>
      <c r="L15" s="54">
        <v>13.05</v>
      </c>
      <c r="M15" s="54">
        <v>95.21</v>
      </c>
      <c r="N15" s="54">
        <v>8.4</v>
      </c>
      <c r="O15" s="54">
        <v>0</v>
      </c>
      <c r="P15" s="54">
        <v>1.1000000000000001</v>
      </c>
      <c r="Q15" s="54">
        <v>6.18</v>
      </c>
    </row>
    <row r="16" spans="1:21" customFormat="1">
      <c r="A16" s="53">
        <v>45276.333333333336</v>
      </c>
      <c r="B16" s="54">
        <v>57.36</v>
      </c>
      <c r="C16" s="54">
        <v>31.91</v>
      </c>
      <c r="D16" s="54">
        <v>64.02</v>
      </c>
      <c r="E16" s="54">
        <v>9.66</v>
      </c>
      <c r="F16" s="54">
        <v>2.69</v>
      </c>
      <c r="G16" s="54">
        <v>112.41</v>
      </c>
      <c r="H16" s="54">
        <v>52.69</v>
      </c>
      <c r="I16" s="54">
        <v>10.39</v>
      </c>
      <c r="J16" s="54">
        <v>0.24</v>
      </c>
      <c r="K16" s="54">
        <v>313.06</v>
      </c>
      <c r="L16" s="54">
        <v>15.36</v>
      </c>
      <c r="M16" s="54">
        <v>93.7</v>
      </c>
      <c r="N16" s="54">
        <v>83.3</v>
      </c>
      <c r="O16" s="54">
        <v>0</v>
      </c>
      <c r="P16" s="54">
        <v>1.1299999999999999</v>
      </c>
      <c r="Q16" s="54">
        <v>6.37</v>
      </c>
    </row>
    <row r="17" spans="1:17" customFormat="1">
      <c r="A17" s="53">
        <v>45276.375</v>
      </c>
      <c r="B17" s="54">
        <v>58.06</v>
      </c>
      <c r="C17" s="54">
        <v>35.229999999999997</v>
      </c>
      <c r="D17" s="54">
        <v>65.56</v>
      </c>
      <c r="E17" s="54">
        <v>9.66</v>
      </c>
      <c r="F17" s="54">
        <v>2.79</v>
      </c>
      <c r="G17" s="54">
        <v>113.8</v>
      </c>
      <c r="H17" s="54">
        <v>50.65</v>
      </c>
      <c r="I17" s="54">
        <v>10.63</v>
      </c>
      <c r="J17" s="54">
        <v>0.48</v>
      </c>
      <c r="K17" s="54">
        <v>58.88</v>
      </c>
      <c r="L17" s="54">
        <v>18.86</v>
      </c>
      <c r="M17" s="54">
        <v>68.77</v>
      </c>
      <c r="N17" s="54">
        <v>239.2</v>
      </c>
      <c r="O17" s="54">
        <v>0</v>
      </c>
      <c r="P17" s="54">
        <v>1.1399999999999999</v>
      </c>
      <c r="Q17" s="54">
        <v>6.4</v>
      </c>
    </row>
    <row r="18" spans="1:17" customFormat="1">
      <c r="A18" s="53">
        <v>45276.416666666664</v>
      </c>
      <c r="B18" s="54">
        <v>48.15</v>
      </c>
      <c r="C18" s="54">
        <v>33.79</v>
      </c>
      <c r="D18" s="54">
        <v>57.34</v>
      </c>
      <c r="E18" s="54">
        <v>8.94</v>
      </c>
      <c r="F18" s="54">
        <v>2.86</v>
      </c>
      <c r="G18" s="54">
        <v>116.44</v>
      </c>
      <c r="H18" s="54">
        <v>47.14</v>
      </c>
      <c r="I18" s="54">
        <v>10.8</v>
      </c>
      <c r="J18" s="54">
        <v>0.49</v>
      </c>
      <c r="K18" s="54">
        <v>95.65</v>
      </c>
      <c r="L18" s="54">
        <v>22.11</v>
      </c>
      <c r="M18" s="54">
        <v>56.3</v>
      </c>
      <c r="N18" s="54">
        <v>268.39999999999998</v>
      </c>
      <c r="O18" s="54">
        <v>0</v>
      </c>
      <c r="P18" s="54">
        <v>1.1499999999999999</v>
      </c>
      <c r="Q18" s="54">
        <v>6.17</v>
      </c>
    </row>
    <row r="19" spans="1:17" customFormat="1">
      <c r="A19" s="53">
        <v>45276.458333333336</v>
      </c>
      <c r="B19" s="54">
        <v>36.21</v>
      </c>
      <c r="C19" s="54">
        <v>34.61</v>
      </c>
      <c r="D19" s="54">
        <v>48.21</v>
      </c>
      <c r="E19" s="54">
        <v>9.07</v>
      </c>
      <c r="F19" s="54">
        <v>3.01</v>
      </c>
      <c r="G19" s="54">
        <v>119.34</v>
      </c>
      <c r="H19" s="54">
        <v>45.49</v>
      </c>
      <c r="I19" s="54">
        <v>10.65</v>
      </c>
      <c r="J19" s="54">
        <v>0.44</v>
      </c>
      <c r="K19" s="54">
        <v>118.79</v>
      </c>
      <c r="L19" s="54">
        <v>24.56</v>
      </c>
      <c r="M19" s="54">
        <v>44.95</v>
      </c>
      <c r="N19" s="54">
        <v>511.1</v>
      </c>
      <c r="O19" s="54">
        <v>0</v>
      </c>
      <c r="P19" s="54">
        <v>1.1100000000000001</v>
      </c>
      <c r="Q19" s="54">
        <v>5.87</v>
      </c>
    </row>
    <row r="20" spans="1:17" customFormat="1">
      <c r="A20" s="53">
        <v>45276.5</v>
      </c>
      <c r="B20" s="54">
        <v>27.58</v>
      </c>
      <c r="C20" s="54">
        <v>30.49</v>
      </c>
      <c r="D20" s="54">
        <v>39.4</v>
      </c>
      <c r="E20" s="54">
        <v>7.94</v>
      </c>
      <c r="F20" s="54">
        <v>3.07</v>
      </c>
      <c r="G20" s="54">
        <v>115.12</v>
      </c>
      <c r="H20" s="54">
        <v>43.52</v>
      </c>
      <c r="I20" s="54">
        <v>10.56</v>
      </c>
      <c r="J20" s="54">
        <v>0.64</v>
      </c>
      <c r="K20" s="54">
        <v>145.88</v>
      </c>
      <c r="L20" s="54">
        <v>25.55</v>
      </c>
      <c r="M20" s="54">
        <v>37.299999999999997</v>
      </c>
      <c r="N20" s="54">
        <v>559.6</v>
      </c>
      <c r="O20" s="54">
        <v>0</v>
      </c>
      <c r="P20" s="54">
        <v>1.04</v>
      </c>
      <c r="Q20" s="54">
        <v>5.58</v>
      </c>
    </row>
    <row r="21" spans="1:17" customFormat="1">
      <c r="A21" s="53">
        <v>45276.541666666664</v>
      </c>
      <c r="B21" s="54">
        <v>19.600000000000001</v>
      </c>
      <c r="C21" s="54">
        <v>30.38</v>
      </c>
      <c r="D21" s="54">
        <v>32.39</v>
      </c>
      <c r="E21" s="54">
        <v>8.24</v>
      </c>
      <c r="F21" s="54">
        <v>9.59</v>
      </c>
      <c r="G21" s="54">
        <v>99.84</v>
      </c>
      <c r="H21" s="54">
        <v>38.39</v>
      </c>
      <c r="I21" s="54">
        <v>10</v>
      </c>
      <c r="J21" s="54">
        <v>0.56000000000000005</v>
      </c>
      <c r="K21" s="54">
        <v>314.85000000000002</v>
      </c>
      <c r="L21" s="54">
        <v>26.2</v>
      </c>
      <c r="M21" s="54">
        <v>32.96</v>
      </c>
      <c r="N21" s="54">
        <v>553.29999999999995</v>
      </c>
      <c r="O21" s="54">
        <v>0</v>
      </c>
      <c r="P21" s="54">
        <v>0.95</v>
      </c>
      <c r="Q21" s="54">
        <v>5.36</v>
      </c>
    </row>
    <row r="22" spans="1:17" customFormat="1">
      <c r="A22" s="53">
        <v>45276.583333333336</v>
      </c>
      <c r="B22" s="54">
        <v>5.14</v>
      </c>
      <c r="C22" s="54">
        <v>27.25</v>
      </c>
      <c r="D22" s="54">
        <v>19.11</v>
      </c>
      <c r="E22" s="54">
        <v>8.1</v>
      </c>
      <c r="F22" s="54">
        <v>11.71</v>
      </c>
      <c r="G22" s="54">
        <v>80.94</v>
      </c>
      <c r="H22" s="54">
        <v>34.74</v>
      </c>
      <c r="I22" s="54">
        <v>8.07</v>
      </c>
      <c r="J22" s="54">
        <v>0.51</v>
      </c>
      <c r="K22" s="54">
        <v>83.67</v>
      </c>
      <c r="L22" s="54">
        <v>26.36</v>
      </c>
      <c r="M22" s="54">
        <v>32.020000000000003</v>
      </c>
      <c r="N22" s="54">
        <v>479.1</v>
      </c>
      <c r="O22" s="54">
        <v>0</v>
      </c>
      <c r="P22" s="54">
        <v>0.78</v>
      </c>
      <c r="Q22" s="54">
        <v>4.92</v>
      </c>
    </row>
    <row r="23" spans="1:17" customFormat="1">
      <c r="A23" s="53">
        <v>45276.625</v>
      </c>
      <c r="B23" s="54">
        <v>3.84</v>
      </c>
      <c r="C23" s="54">
        <v>26.41</v>
      </c>
      <c r="D23" s="54">
        <v>17.940000000000001</v>
      </c>
      <c r="E23" s="54">
        <v>5.78</v>
      </c>
      <c r="F23" s="54">
        <v>5.19</v>
      </c>
      <c r="G23" s="54">
        <v>76.59</v>
      </c>
      <c r="H23" s="54">
        <v>29.93</v>
      </c>
      <c r="I23" s="54">
        <v>6.21</v>
      </c>
      <c r="J23" s="54">
        <v>0.41</v>
      </c>
      <c r="K23" s="54">
        <v>101.14</v>
      </c>
      <c r="L23" s="54">
        <v>25.87</v>
      </c>
      <c r="M23" s="54">
        <v>32.840000000000003</v>
      </c>
      <c r="N23" s="54">
        <v>150.4</v>
      </c>
      <c r="O23" s="54">
        <v>0</v>
      </c>
      <c r="P23" s="54">
        <v>0.67</v>
      </c>
      <c r="Q23" s="54">
        <v>4.9000000000000004</v>
      </c>
    </row>
    <row r="24" spans="1:17" customFormat="1">
      <c r="A24" s="53">
        <v>45276.666666666664</v>
      </c>
      <c r="B24" s="54">
        <v>4.09</v>
      </c>
      <c r="C24" s="54">
        <v>25.03</v>
      </c>
      <c r="D24" s="54">
        <v>17.690000000000001</v>
      </c>
      <c r="E24" s="54">
        <v>6.04</v>
      </c>
      <c r="F24" s="54">
        <v>5.96</v>
      </c>
      <c r="G24" s="54">
        <v>73.67</v>
      </c>
      <c r="H24" s="54">
        <v>27.79</v>
      </c>
      <c r="I24" s="54">
        <v>6.08</v>
      </c>
      <c r="J24" s="54">
        <v>0.28999999999999998</v>
      </c>
      <c r="K24" s="54">
        <v>167.03</v>
      </c>
      <c r="L24" s="54">
        <v>25.16</v>
      </c>
      <c r="M24" s="54">
        <v>37.799999999999997</v>
      </c>
      <c r="N24" s="54">
        <v>67.400000000000006</v>
      </c>
      <c r="O24" s="54">
        <v>0</v>
      </c>
      <c r="P24" s="54">
        <v>0.69</v>
      </c>
      <c r="Q24" s="54">
        <v>4.9400000000000004</v>
      </c>
    </row>
    <row r="25" spans="1:17" customFormat="1">
      <c r="A25" s="53">
        <v>45276.708333333336</v>
      </c>
      <c r="B25" s="54">
        <v>4.6500000000000004</v>
      </c>
      <c r="C25" s="54">
        <v>27.29</v>
      </c>
      <c r="D25" s="54">
        <v>19.34</v>
      </c>
      <c r="E25" s="54">
        <v>5.89</v>
      </c>
      <c r="F25" s="54">
        <v>5.07</v>
      </c>
      <c r="G25" s="54">
        <v>78.77</v>
      </c>
      <c r="H25" s="54">
        <v>31.1</v>
      </c>
      <c r="I25" s="54">
        <v>5.94</v>
      </c>
      <c r="J25" s="54">
        <v>0.25</v>
      </c>
      <c r="K25" s="54">
        <v>178.9</v>
      </c>
      <c r="L25" s="54">
        <v>24.39</v>
      </c>
      <c r="M25" s="54">
        <v>48.83</v>
      </c>
      <c r="N25" s="54">
        <v>32.200000000000003</v>
      </c>
      <c r="O25" s="54">
        <v>0</v>
      </c>
      <c r="P25" s="54">
        <v>0.74</v>
      </c>
      <c r="Q25" s="54">
        <v>5.0199999999999996</v>
      </c>
    </row>
    <row r="26" spans="1:17" customFormat="1">
      <c r="A26" s="53">
        <v>45276.75</v>
      </c>
      <c r="B26" s="54">
        <v>6.19</v>
      </c>
      <c r="C26" s="54">
        <v>30.39</v>
      </c>
      <c r="D26" s="54">
        <v>22.19</v>
      </c>
      <c r="E26" s="54">
        <v>5.86</v>
      </c>
      <c r="F26" s="54">
        <v>3.31</v>
      </c>
      <c r="G26" s="54">
        <v>97.64</v>
      </c>
      <c r="H26" s="54">
        <v>37.15</v>
      </c>
      <c r="I26" s="54">
        <v>5.92</v>
      </c>
      <c r="J26" s="54">
        <v>0.25</v>
      </c>
      <c r="K26" s="54">
        <v>174.52</v>
      </c>
      <c r="L26" s="54">
        <v>21.79</v>
      </c>
      <c r="M26" s="54">
        <v>66.16</v>
      </c>
      <c r="N26" s="54">
        <v>0</v>
      </c>
      <c r="O26" s="54">
        <v>0</v>
      </c>
      <c r="P26" s="54">
        <v>0.81</v>
      </c>
      <c r="Q26" s="54">
        <v>5.08</v>
      </c>
    </row>
    <row r="27" spans="1:17" customFormat="1">
      <c r="A27" s="53">
        <v>45276.791666666664</v>
      </c>
      <c r="B27" s="54">
        <v>7.45</v>
      </c>
      <c r="C27" s="54">
        <v>31.41</v>
      </c>
      <c r="D27" s="54">
        <v>23.68</v>
      </c>
      <c r="E27" s="54">
        <v>6.52</v>
      </c>
      <c r="F27" s="54">
        <v>2.84</v>
      </c>
      <c r="G27" s="54">
        <v>110.86</v>
      </c>
      <c r="H27" s="54">
        <v>39.47</v>
      </c>
      <c r="I27" s="54">
        <v>6.55</v>
      </c>
      <c r="J27" s="54">
        <v>0.26</v>
      </c>
      <c r="K27" s="54">
        <v>199.48</v>
      </c>
      <c r="L27" s="54">
        <v>19.510000000000002</v>
      </c>
      <c r="M27" s="54">
        <v>74.8</v>
      </c>
      <c r="N27" s="54">
        <v>0</v>
      </c>
      <c r="O27" s="54">
        <v>0</v>
      </c>
      <c r="P27" s="54">
        <v>0.89</v>
      </c>
      <c r="Q27" s="54">
        <v>5.14</v>
      </c>
    </row>
    <row r="28" spans="1:17" customFormat="1">
      <c r="A28" s="53">
        <v>45276.833333333336</v>
      </c>
      <c r="B28" s="54">
        <v>7.35</v>
      </c>
      <c r="C28" s="54">
        <v>30.75</v>
      </c>
      <c r="D28" s="54">
        <v>23.31</v>
      </c>
      <c r="E28" s="54">
        <v>6.79</v>
      </c>
      <c r="F28" s="54">
        <v>2.93</v>
      </c>
      <c r="G28" s="54">
        <v>114.15</v>
      </c>
      <c r="H28" s="54">
        <v>38.76</v>
      </c>
      <c r="I28" s="54">
        <v>7.11</v>
      </c>
      <c r="J28" s="54">
        <v>0.2</v>
      </c>
      <c r="K28" s="54">
        <v>196.33</v>
      </c>
      <c r="L28" s="54">
        <v>18.07</v>
      </c>
      <c r="M28" s="54">
        <v>82.07</v>
      </c>
      <c r="N28" s="54">
        <v>0</v>
      </c>
      <c r="O28" s="54">
        <v>0</v>
      </c>
      <c r="P28" s="54">
        <v>0.94</v>
      </c>
      <c r="Q28" s="54">
        <v>5.14</v>
      </c>
    </row>
    <row r="29" spans="1:17" customFormat="1">
      <c r="A29" s="53">
        <v>45276.875</v>
      </c>
      <c r="B29" s="54">
        <v>7.97</v>
      </c>
      <c r="C29" s="54">
        <v>28.84</v>
      </c>
      <c r="D29" s="54">
        <v>22.56</v>
      </c>
      <c r="E29" s="54">
        <v>6.88</v>
      </c>
      <c r="F29" s="54">
        <v>2.78</v>
      </c>
      <c r="G29" s="54">
        <v>104.79</v>
      </c>
      <c r="H29" s="54">
        <v>40.409999999999997</v>
      </c>
      <c r="I29" s="54">
        <v>7.66</v>
      </c>
      <c r="J29" s="54">
        <v>0.2</v>
      </c>
      <c r="K29" s="54">
        <v>226.7</v>
      </c>
      <c r="L29" s="54">
        <v>17.32</v>
      </c>
      <c r="M29" s="54">
        <v>83.08</v>
      </c>
      <c r="N29" s="54">
        <v>0</v>
      </c>
      <c r="O29" s="54">
        <v>0</v>
      </c>
      <c r="P29" s="54">
        <v>0.97</v>
      </c>
      <c r="Q29" s="54">
        <v>5.14</v>
      </c>
    </row>
    <row r="30" spans="1:17" customFormat="1">
      <c r="A30" s="53">
        <v>45276.916666666664</v>
      </c>
      <c r="B30" s="54">
        <v>8.85</v>
      </c>
      <c r="C30" s="54">
        <v>25.68</v>
      </c>
      <c r="D30" s="54">
        <v>21.67</v>
      </c>
      <c r="E30" s="54">
        <v>6.49</v>
      </c>
      <c r="F30" s="54">
        <v>2.84</v>
      </c>
      <c r="G30" s="54">
        <v>105.52</v>
      </c>
      <c r="H30" s="54">
        <v>41.91</v>
      </c>
      <c r="I30" s="54">
        <v>7.97</v>
      </c>
      <c r="J30" s="54">
        <v>0.2</v>
      </c>
      <c r="K30" s="54">
        <v>215.82</v>
      </c>
      <c r="L30" s="54">
        <v>16.57</v>
      </c>
      <c r="M30" s="54">
        <v>82.59</v>
      </c>
      <c r="N30" s="54">
        <v>0</v>
      </c>
      <c r="O30" s="54">
        <v>0</v>
      </c>
      <c r="P30" s="54">
        <v>0.99</v>
      </c>
      <c r="Q30" s="54">
        <v>5.1100000000000003</v>
      </c>
    </row>
    <row r="31" spans="1:17" customFormat="1">
      <c r="A31" s="53">
        <v>45276.958333333336</v>
      </c>
      <c r="B31" s="54">
        <v>21.83</v>
      </c>
      <c r="C31" s="54">
        <v>30.88</v>
      </c>
      <c r="D31" s="54">
        <v>34.979999999999997</v>
      </c>
      <c r="E31" s="54">
        <v>7.04</v>
      </c>
      <c r="F31" s="54">
        <v>2.5099999999999998</v>
      </c>
      <c r="G31" s="54">
        <v>121.74</v>
      </c>
      <c r="H31" s="54">
        <v>48.89</v>
      </c>
      <c r="I31" s="54">
        <v>8.59</v>
      </c>
      <c r="J31" s="54">
        <v>0.16</v>
      </c>
      <c r="K31" s="54">
        <v>229.24</v>
      </c>
      <c r="L31" s="54">
        <v>16.55</v>
      </c>
      <c r="M31" s="54">
        <v>85.31</v>
      </c>
      <c r="N31" s="54">
        <v>0</v>
      </c>
      <c r="O31" s="54">
        <v>0</v>
      </c>
      <c r="P31" s="54">
        <v>1.0900000000000001</v>
      </c>
      <c r="Q31" s="54">
        <v>5.5</v>
      </c>
    </row>
    <row r="32" spans="1:17" customFormat="1">
      <c r="A32" s="53">
        <v>45277</v>
      </c>
      <c r="B32" s="54">
        <v>26.13</v>
      </c>
      <c r="C32" s="54">
        <v>32.909999999999997</v>
      </c>
      <c r="D32" s="54">
        <v>39.5</v>
      </c>
      <c r="E32" s="54">
        <v>6.94</v>
      </c>
      <c r="F32" s="54">
        <v>2.63</v>
      </c>
      <c r="G32" s="54">
        <v>136.75</v>
      </c>
      <c r="H32" s="54">
        <v>52.25</v>
      </c>
      <c r="I32" s="54">
        <v>9.11</v>
      </c>
      <c r="J32" s="54">
        <v>0.16</v>
      </c>
      <c r="K32" s="54">
        <v>326.92</v>
      </c>
      <c r="L32" s="54">
        <v>15.68</v>
      </c>
      <c r="M32" s="54">
        <v>86.3</v>
      </c>
      <c r="N32" s="54">
        <v>0</v>
      </c>
      <c r="O32" s="54">
        <v>0</v>
      </c>
      <c r="P32" s="54">
        <v>1.1299999999999999</v>
      </c>
      <c r="Q32" s="54">
        <v>5.61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3.84</v>
      </c>
      <c r="C34" s="41">
        <f t="shared" si="0"/>
        <v>25.03</v>
      </c>
      <c r="D34" s="41">
        <f t="shared" si="0"/>
        <v>17.690000000000001</v>
      </c>
      <c r="E34" s="41">
        <f t="shared" si="0"/>
        <v>5.78</v>
      </c>
      <c r="F34" s="41">
        <f t="shared" si="0"/>
        <v>2.5099999999999998</v>
      </c>
      <c r="G34" s="41">
        <f t="shared" si="0"/>
        <v>73.67</v>
      </c>
      <c r="H34" s="41">
        <f t="shared" si="0"/>
        <v>27.79</v>
      </c>
      <c r="I34" s="41">
        <f t="shared" si="0"/>
        <v>5.92</v>
      </c>
      <c r="J34" s="41">
        <f t="shared" si="0"/>
        <v>0.1</v>
      </c>
      <c r="K34" s="41">
        <f t="shared" si="0"/>
        <v>58.88</v>
      </c>
      <c r="L34" s="41">
        <f t="shared" si="0"/>
        <v>12.91</v>
      </c>
      <c r="M34" s="41">
        <f t="shared" si="0"/>
        <v>32.020000000000003</v>
      </c>
      <c r="N34" s="41">
        <f t="shared" si="0"/>
        <v>0</v>
      </c>
      <c r="O34" s="41">
        <f t="shared" si="0"/>
        <v>0</v>
      </c>
      <c r="P34" s="41">
        <f t="shared" si="0"/>
        <v>0.67</v>
      </c>
      <c r="Q34" s="41">
        <f t="shared" si="0"/>
        <v>4.9000000000000004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58.06</v>
      </c>
      <c r="C35" s="33">
        <f t="shared" si="1"/>
        <v>35.229999999999997</v>
      </c>
      <c r="D35" s="33">
        <f t="shared" si="1"/>
        <v>65.56</v>
      </c>
      <c r="E35" s="33">
        <f t="shared" si="1"/>
        <v>10.029999999999999</v>
      </c>
      <c r="F35" s="33">
        <f t="shared" si="1"/>
        <v>11.71</v>
      </c>
      <c r="G35" s="33">
        <f t="shared" si="1"/>
        <v>136.75</v>
      </c>
      <c r="H35" s="33">
        <f t="shared" si="1"/>
        <v>52.69</v>
      </c>
      <c r="I35" s="33">
        <f t="shared" si="1"/>
        <v>10.8</v>
      </c>
      <c r="J35" s="33">
        <f t="shared" si="1"/>
        <v>0.64</v>
      </c>
      <c r="K35" s="33">
        <f t="shared" si="1"/>
        <v>333.81</v>
      </c>
      <c r="L35" s="33">
        <f t="shared" si="1"/>
        <v>26.36</v>
      </c>
      <c r="M35" s="33">
        <f t="shared" si="1"/>
        <v>95.25</v>
      </c>
      <c r="N35" s="33">
        <f t="shared" si="1"/>
        <v>559.6</v>
      </c>
      <c r="O35" s="33">
        <f t="shared" si="1"/>
        <v>0</v>
      </c>
      <c r="P35" s="33">
        <f t="shared" si="1"/>
        <v>1.17</v>
      </c>
      <c r="Q35" s="33">
        <f t="shared" si="1"/>
        <v>6.4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26.205833333333342</v>
      </c>
      <c r="C36" s="41">
        <f t="shared" si="2"/>
        <v>29.908333333333335</v>
      </c>
      <c r="D36" s="41">
        <f t="shared" si="2"/>
        <v>37.795416666666668</v>
      </c>
      <c r="E36" s="41">
        <f t="shared" si="2"/>
        <v>7.8783333333333312</v>
      </c>
      <c r="F36" s="41">
        <f t="shared" si="2"/>
        <v>3.7879166666666673</v>
      </c>
      <c r="G36" s="41">
        <f t="shared" si="2"/>
        <v>106.64708333333333</v>
      </c>
      <c r="H36" s="41">
        <f t="shared" si="2"/>
        <v>43.572499999999991</v>
      </c>
      <c r="I36" s="41">
        <f t="shared" si="2"/>
        <v>8.9291666666666671</v>
      </c>
      <c r="J36" s="41">
        <f t="shared" si="2"/>
        <v>0.28208333333333341</v>
      </c>
      <c r="K36" s="41">
        <f t="shared" si="2"/>
        <v>197.16958333333332</v>
      </c>
      <c r="L36" s="41">
        <f t="shared" si="2"/>
        <v>19.095000000000002</v>
      </c>
      <c r="M36" s="41">
        <f t="shared" si="2"/>
        <v>71.146249999999981</v>
      </c>
      <c r="N36" s="41">
        <f t="shared" si="2"/>
        <v>123.01666666666667</v>
      </c>
      <c r="O36" s="41">
        <f t="shared" si="2"/>
        <v>0</v>
      </c>
      <c r="P36" s="41">
        <f t="shared" si="2"/>
        <v>1.0079166666666666</v>
      </c>
      <c r="Q36" s="41">
        <f t="shared" si="2"/>
        <v>5.5687500000000005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18.460689590178568</v>
      </c>
      <c r="C37" s="41">
        <f t="shared" ref="C37:Q37" si="3">STDEV(C9:C32)</f>
        <v>2.6139386684310049</v>
      </c>
      <c r="D37" s="41">
        <f t="shared" si="3"/>
        <v>15.583163428121269</v>
      </c>
      <c r="E37" s="41">
        <f t="shared" si="3"/>
        <v>1.387226405980404</v>
      </c>
      <c r="F37" s="41">
        <f t="shared" si="3"/>
        <v>2.3171496342567588</v>
      </c>
      <c r="G37" s="41">
        <f t="shared" si="3"/>
        <v>15.892619418860869</v>
      </c>
      <c r="H37" s="41">
        <f t="shared" si="3"/>
        <v>7.4785968516537702</v>
      </c>
      <c r="I37" s="41">
        <f t="shared" si="3"/>
        <v>1.8064038661208099</v>
      </c>
      <c r="J37" s="41">
        <f t="shared" si="3"/>
        <v>0.15811331013099328</v>
      </c>
      <c r="K37" s="41">
        <f t="shared" si="3"/>
        <v>75.497840019731285</v>
      </c>
      <c r="L37" s="41">
        <f t="shared" si="3"/>
        <v>4.79112131742255</v>
      </c>
      <c r="M37" s="41">
        <f t="shared" si="3"/>
        <v>24.070089108142419</v>
      </c>
      <c r="N37" s="41">
        <f t="shared" si="3"/>
        <v>199.0546214455735</v>
      </c>
      <c r="O37" s="41">
        <f t="shared" si="3"/>
        <v>0</v>
      </c>
      <c r="P37" s="41">
        <f t="shared" si="3"/>
        <v>0.16330763625125158</v>
      </c>
      <c r="Q37" s="41">
        <f t="shared" si="3"/>
        <v>0.48390901498380373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45277.041666666664</v>
      </c>
      <c r="B9" s="54">
        <v>34.01</v>
      </c>
      <c r="C9" s="54">
        <v>34.799999999999997</v>
      </c>
      <c r="D9" s="54">
        <v>46.34</v>
      </c>
      <c r="E9" s="54">
        <v>7.32</v>
      </c>
      <c r="F9" s="54">
        <v>2.68</v>
      </c>
      <c r="G9" s="54">
        <v>141.28</v>
      </c>
      <c r="H9" s="54">
        <v>54.75</v>
      </c>
      <c r="I9" s="54">
        <v>9.76</v>
      </c>
      <c r="J9" s="54">
        <v>0.18</v>
      </c>
      <c r="K9" s="54">
        <v>216.8</v>
      </c>
      <c r="L9" s="54">
        <v>15.96</v>
      </c>
      <c r="M9" s="54">
        <v>86.66</v>
      </c>
      <c r="N9" s="54">
        <v>0</v>
      </c>
      <c r="O9" s="54">
        <v>0</v>
      </c>
      <c r="P9" s="54">
        <v>1.21</v>
      </c>
      <c r="Q9" s="54">
        <v>5.89</v>
      </c>
    </row>
    <row r="10" spans="1:21" customFormat="1">
      <c r="A10" s="53">
        <v>45277.083333333336</v>
      </c>
      <c r="B10" s="54">
        <v>35.380000000000003</v>
      </c>
      <c r="C10" s="54">
        <v>34.950000000000003</v>
      </c>
      <c r="D10" s="54">
        <v>47.73</v>
      </c>
      <c r="E10" s="54">
        <v>7.66</v>
      </c>
      <c r="F10" s="54">
        <v>2.79</v>
      </c>
      <c r="G10" s="54">
        <v>144.12</v>
      </c>
      <c r="H10" s="54">
        <v>56.86</v>
      </c>
      <c r="I10" s="54">
        <v>10.99</v>
      </c>
      <c r="J10" s="54">
        <v>0.17</v>
      </c>
      <c r="K10" s="54">
        <v>153.77000000000001</v>
      </c>
      <c r="L10" s="54">
        <v>15.29</v>
      </c>
      <c r="M10" s="54">
        <v>87.44</v>
      </c>
      <c r="N10" s="54">
        <v>0</v>
      </c>
      <c r="O10" s="54">
        <v>0</v>
      </c>
      <c r="P10" s="54">
        <v>1.37</v>
      </c>
      <c r="Q10" s="54">
        <v>5.9</v>
      </c>
    </row>
    <row r="11" spans="1:21" customFormat="1">
      <c r="A11" s="53">
        <v>45277.125</v>
      </c>
      <c r="B11" s="54">
        <v>38.92</v>
      </c>
      <c r="C11" s="54">
        <v>35.06</v>
      </c>
      <c r="D11" s="54">
        <v>50.88</v>
      </c>
      <c r="E11" s="54">
        <v>7.05</v>
      </c>
      <c r="F11" s="54">
        <v>2.63</v>
      </c>
      <c r="G11" s="54">
        <v>153.63</v>
      </c>
      <c r="H11" s="54">
        <v>65.83</v>
      </c>
      <c r="I11" s="54">
        <v>12.7</v>
      </c>
      <c r="J11" s="54">
        <v>0.18</v>
      </c>
      <c r="K11" s="54">
        <v>235.87</v>
      </c>
      <c r="L11" s="54">
        <v>15.47</v>
      </c>
      <c r="M11" s="54">
        <v>89.89</v>
      </c>
      <c r="N11" s="54">
        <v>0</v>
      </c>
      <c r="O11" s="54">
        <v>0</v>
      </c>
      <c r="P11" s="54">
        <v>1.53</v>
      </c>
      <c r="Q11" s="54">
        <v>5.99</v>
      </c>
    </row>
    <row r="12" spans="1:21" customFormat="1">
      <c r="A12" s="53">
        <v>45277.166666666664</v>
      </c>
      <c r="B12" s="54">
        <v>37.369999999999997</v>
      </c>
      <c r="C12" s="54">
        <v>34.29</v>
      </c>
      <c r="D12" s="54">
        <v>49.24</v>
      </c>
      <c r="E12" s="54">
        <v>7.01</v>
      </c>
      <c r="F12" s="54">
        <v>2.81</v>
      </c>
      <c r="G12" s="54">
        <v>164.38</v>
      </c>
      <c r="H12" s="54">
        <v>69.900000000000006</v>
      </c>
      <c r="I12" s="54">
        <v>13.7</v>
      </c>
      <c r="J12" s="54">
        <v>0.09</v>
      </c>
      <c r="K12" s="54">
        <v>216.13</v>
      </c>
      <c r="L12" s="54">
        <v>13.99</v>
      </c>
      <c r="M12" s="54">
        <v>93.51</v>
      </c>
      <c r="N12" s="54">
        <v>0</v>
      </c>
      <c r="O12" s="54">
        <v>0</v>
      </c>
      <c r="P12" s="54">
        <v>1.58</v>
      </c>
      <c r="Q12" s="54">
        <v>5.95</v>
      </c>
    </row>
    <row r="13" spans="1:21" customFormat="1">
      <c r="A13" s="53">
        <v>45277.208333333336</v>
      </c>
      <c r="B13" s="54">
        <v>46.27</v>
      </c>
      <c r="C13" s="54">
        <v>32.82</v>
      </c>
      <c r="D13" s="54">
        <v>55.6</v>
      </c>
      <c r="E13" s="54">
        <v>7.09</v>
      </c>
      <c r="F13" s="54">
        <v>2.64</v>
      </c>
      <c r="G13" s="54">
        <v>163.1</v>
      </c>
      <c r="H13" s="54">
        <v>70.87</v>
      </c>
      <c r="I13" s="54">
        <v>14.32</v>
      </c>
      <c r="J13" s="54">
        <v>0.25</v>
      </c>
      <c r="K13" s="54">
        <v>99.54</v>
      </c>
      <c r="L13" s="54">
        <v>14.16</v>
      </c>
      <c r="M13" s="54">
        <v>90.42</v>
      </c>
      <c r="N13" s="54">
        <v>0</v>
      </c>
      <c r="O13" s="54">
        <v>0</v>
      </c>
      <c r="P13" s="54">
        <v>1.6</v>
      </c>
      <c r="Q13" s="54">
        <v>6.09</v>
      </c>
    </row>
    <row r="14" spans="1:21" customFormat="1">
      <c r="A14" s="53">
        <v>45277.25</v>
      </c>
      <c r="B14" s="54">
        <v>46.7</v>
      </c>
      <c r="C14" s="54">
        <v>33.53</v>
      </c>
      <c r="D14" s="54">
        <v>56.32</v>
      </c>
      <c r="E14" s="54">
        <v>6.93</v>
      </c>
      <c r="F14" s="54">
        <v>2.7</v>
      </c>
      <c r="G14" s="54">
        <v>163.08000000000001</v>
      </c>
      <c r="H14" s="54">
        <v>71.77</v>
      </c>
      <c r="I14" s="54">
        <v>14.29</v>
      </c>
      <c r="J14" s="54">
        <v>0.1</v>
      </c>
      <c r="K14" s="54">
        <v>135.91999999999999</v>
      </c>
      <c r="L14" s="54">
        <v>14.01</v>
      </c>
      <c r="M14" s="54">
        <v>86.28</v>
      </c>
      <c r="N14" s="54">
        <v>0</v>
      </c>
      <c r="O14" s="54">
        <v>0</v>
      </c>
      <c r="P14" s="54">
        <v>1.55</v>
      </c>
      <c r="Q14" s="54">
        <v>6.1</v>
      </c>
    </row>
    <row r="15" spans="1:21" customFormat="1">
      <c r="A15" s="53">
        <v>45277.291666666664</v>
      </c>
      <c r="B15" s="54">
        <v>47.71</v>
      </c>
      <c r="C15" s="54">
        <v>33.92</v>
      </c>
      <c r="D15" s="54">
        <v>57.13</v>
      </c>
      <c r="E15" s="54">
        <v>6.61</v>
      </c>
      <c r="F15" s="54">
        <v>2.83</v>
      </c>
      <c r="G15" s="54">
        <v>148.13</v>
      </c>
      <c r="H15" s="54">
        <v>68.040000000000006</v>
      </c>
      <c r="I15" s="54">
        <v>13.25</v>
      </c>
      <c r="J15" s="54">
        <v>0.15</v>
      </c>
      <c r="K15" s="54">
        <v>212.07</v>
      </c>
      <c r="L15" s="54">
        <v>13.63</v>
      </c>
      <c r="M15" s="54">
        <v>93.47</v>
      </c>
      <c r="N15" s="54">
        <v>7.4</v>
      </c>
      <c r="O15" s="54">
        <v>0</v>
      </c>
      <c r="P15" s="54">
        <v>1.41</v>
      </c>
      <c r="Q15" s="54">
        <v>6.12</v>
      </c>
    </row>
    <row r="16" spans="1:21" customFormat="1">
      <c r="A16" s="53">
        <v>45277.333333333336</v>
      </c>
      <c r="B16" s="54">
        <v>46.75</v>
      </c>
      <c r="C16" s="54">
        <v>34.630000000000003</v>
      </c>
      <c r="D16" s="54">
        <v>56.55</v>
      </c>
      <c r="E16" s="54">
        <v>6.56</v>
      </c>
      <c r="F16" s="54">
        <v>2.57</v>
      </c>
      <c r="G16" s="54">
        <v>123.68</v>
      </c>
      <c r="H16" s="54">
        <v>59.66</v>
      </c>
      <c r="I16" s="54">
        <v>12.33</v>
      </c>
      <c r="J16" s="54">
        <v>0.41</v>
      </c>
      <c r="K16" s="54">
        <v>61.71</v>
      </c>
      <c r="L16" s="54">
        <v>15.41</v>
      </c>
      <c r="M16" s="54">
        <v>86.9</v>
      </c>
      <c r="N16" s="54">
        <v>74.2</v>
      </c>
      <c r="O16" s="54">
        <v>0</v>
      </c>
      <c r="P16" s="54">
        <v>1.32</v>
      </c>
      <c r="Q16" s="54">
        <v>6.08</v>
      </c>
    </row>
    <row r="17" spans="1:17" customFormat="1">
      <c r="A17" s="53">
        <v>45277.375</v>
      </c>
      <c r="B17" s="54">
        <v>45.61</v>
      </c>
      <c r="C17" s="54">
        <v>34.54</v>
      </c>
      <c r="D17" s="54">
        <v>55.97</v>
      </c>
      <c r="E17" s="54">
        <v>7.29</v>
      </c>
      <c r="F17" s="54">
        <v>2.7</v>
      </c>
      <c r="G17" s="54">
        <v>124.36</v>
      </c>
      <c r="H17" s="54">
        <v>59.79</v>
      </c>
      <c r="I17" s="54">
        <v>11.93</v>
      </c>
      <c r="J17" s="54">
        <v>0.42</v>
      </c>
      <c r="K17" s="54">
        <v>59.39</v>
      </c>
      <c r="L17" s="54">
        <v>18.66</v>
      </c>
      <c r="M17" s="54">
        <v>72.11</v>
      </c>
      <c r="N17" s="54">
        <v>210.8</v>
      </c>
      <c r="O17" s="54">
        <v>0</v>
      </c>
      <c r="P17" s="54">
        <v>1.28</v>
      </c>
      <c r="Q17" s="54">
        <v>6.04</v>
      </c>
    </row>
    <row r="18" spans="1:17" customFormat="1">
      <c r="A18" s="53">
        <v>45277.416666666664</v>
      </c>
      <c r="B18" s="54">
        <v>38.770000000000003</v>
      </c>
      <c r="C18" s="54">
        <v>32.71</v>
      </c>
      <c r="D18" s="54">
        <v>49.54</v>
      </c>
      <c r="E18" s="54">
        <v>7.03</v>
      </c>
      <c r="F18" s="54">
        <v>2.83</v>
      </c>
      <c r="G18" s="54">
        <v>112.65</v>
      </c>
      <c r="H18" s="54">
        <v>50.42</v>
      </c>
      <c r="I18" s="54">
        <v>11.65</v>
      </c>
      <c r="J18" s="54">
        <v>0.31</v>
      </c>
      <c r="K18" s="54">
        <v>112.78</v>
      </c>
      <c r="L18" s="54">
        <v>22.71</v>
      </c>
      <c r="M18" s="54">
        <v>56.78</v>
      </c>
      <c r="N18" s="54">
        <v>256.39999999999998</v>
      </c>
      <c r="O18" s="54">
        <v>0</v>
      </c>
      <c r="P18" s="54">
        <v>1.21</v>
      </c>
      <c r="Q18" s="54">
        <v>5.87</v>
      </c>
    </row>
    <row r="19" spans="1:17" customFormat="1">
      <c r="A19" s="53">
        <v>45277.458333333336</v>
      </c>
      <c r="B19" s="54">
        <v>31.76</v>
      </c>
      <c r="C19" s="54">
        <v>31.15</v>
      </c>
      <c r="D19" s="54">
        <v>43.09</v>
      </c>
      <c r="E19" s="54">
        <v>6.21</v>
      </c>
      <c r="F19" s="54">
        <v>2.93</v>
      </c>
      <c r="G19" s="54">
        <v>102.89</v>
      </c>
      <c r="H19" s="54">
        <v>45.23</v>
      </c>
      <c r="I19" s="54">
        <v>11.03</v>
      </c>
      <c r="J19" s="54">
        <v>0.47</v>
      </c>
      <c r="K19" s="54">
        <v>143.72999999999999</v>
      </c>
      <c r="L19" s="54">
        <v>25</v>
      </c>
      <c r="M19" s="54">
        <v>41.03</v>
      </c>
      <c r="N19" s="54">
        <v>491.8</v>
      </c>
      <c r="O19" s="54">
        <v>0</v>
      </c>
      <c r="P19" s="54">
        <v>1.1399999999999999</v>
      </c>
      <c r="Q19" s="54">
        <v>5.69</v>
      </c>
    </row>
    <row r="20" spans="1:17" customFormat="1">
      <c r="A20" s="53">
        <v>45277.5</v>
      </c>
      <c r="B20" s="54">
        <v>25.49</v>
      </c>
      <c r="C20" s="54">
        <v>30</v>
      </c>
      <c r="D20" s="54">
        <v>36.380000000000003</v>
      </c>
      <c r="E20" s="54">
        <v>6.2</v>
      </c>
      <c r="F20" s="54">
        <v>3.65</v>
      </c>
      <c r="G20" s="54">
        <v>83.73</v>
      </c>
      <c r="H20" s="54">
        <v>35.85</v>
      </c>
      <c r="I20" s="54">
        <v>10.33</v>
      </c>
      <c r="J20" s="54">
        <v>0.48</v>
      </c>
      <c r="K20" s="54">
        <v>338.48</v>
      </c>
      <c r="L20" s="54">
        <v>26.01</v>
      </c>
      <c r="M20" s="54">
        <v>33.11</v>
      </c>
      <c r="N20" s="54">
        <v>551.5</v>
      </c>
      <c r="O20" s="54">
        <v>0</v>
      </c>
      <c r="P20" s="54">
        <v>1.05</v>
      </c>
      <c r="Q20" s="54">
        <v>5.53</v>
      </c>
    </row>
    <row r="21" spans="1:17" customFormat="1">
      <c r="A21" s="53">
        <v>45277.541666666664</v>
      </c>
      <c r="B21" s="54">
        <v>15.19</v>
      </c>
      <c r="C21" s="54">
        <v>30.32</v>
      </c>
      <c r="D21" s="54">
        <v>29.38</v>
      </c>
      <c r="E21" s="54">
        <v>5.86</v>
      </c>
      <c r="F21" s="54">
        <v>4.3499999999999996</v>
      </c>
      <c r="G21" s="54">
        <v>64.489999999999995</v>
      </c>
      <c r="H21" s="54">
        <v>30.54</v>
      </c>
      <c r="I21" s="54">
        <v>9.07</v>
      </c>
      <c r="J21" s="54">
        <v>0.51</v>
      </c>
      <c r="K21" s="54">
        <v>36.61</v>
      </c>
      <c r="L21" s="54">
        <v>26.27</v>
      </c>
      <c r="M21" s="54">
        <v>33.119999999999997</v>
      </c>
      <c r="N21" s="54">
        <v>536.4</v>
      </c>
      <c r="O21" s="54">
        <v>0</v>
      </c>
      <c r="P21" s="54">
        <v>0.94</v>
      </c>
      <c r="Q21" s="54">
        <v>5.29</v>
      </c>
    </row>
    <row r="22" spans="1:17" customFormat="1">
      <c r="A22" s="53">
        <v>45277.583333333336</v>
      </c>
      <c r="B22" s="54">
        <v>9.14</v>
      </c>
      <c r="C22" s="54">
        <v>29.55</v>
      </c>
      <c r="D22" s="54">
        <v>24.12</v>
      </c>
      <c r="E22" s="54">
        <v>6.23</v>
      </c>
      <c r="F22" s="54">
        <v>5.79</v>
      </c>
      <c r="G22" s="54">
        <v>59.69</v>
      </c>
      <c r="H22" s="54">
        <v>29.84</v>
      </c>
      <c r="I22" s="54">
        <v>7.95</v>
      </c>
      <c r="J22" s="54">
        <v>0.56999999999999995</v>
      </c>
      <c r="K22" s="54">
        <v>41.95</v>
      </c>
      <c r="L22" s="54">
        <v>26.15</v>
      </c>
      <c r="M22" s="54">
        <v>33.58</v>
      </c>
      <c r="N22" s="54">
        <v>432.3</v>
      </c>
      <c r="O22" s="54">
        <v>0</v>
      </c>
      <c r="P22" s="54">
        <v>0.86</v>
      </c>
      <c r="Q22" s="54">
        <v>5.09</v>
      </c>
    </row>
    <row r="23" spans="1:17" customFormat="1">
      <c r="A23" s="53">
        <v>45277.625</v>
      </c>
      <c r="B23" s="54">
        <v>6.29</v>
      </c>
      <c r="C23" s="54">
        <v>28.22</v>
      </c>
      <c r="D23" s="54">
        <v>21.14</v>
      </c>
      <c r="E23" s="54">
        <v>6.49</v>
      </c>
      <c r="F23" s="54">
        <v>6.48</v>
      </c>
      <c r="G23" s="54">
        <v>55.76</v>
      </c>
      <c r="H23" s="54">
        <v>27.8</v>
      </c>
      <c r="I23" s="54">
        <v>7.19</v>
      </c>
      <c r="J23" s="54">
        <v>0.77</v>
      </c>
      <c r="K23" s="54">
        <v>326.76</v>
      </c>
      <c r="L23" s="54">
        <v>25.98</v>
      </c>
      <c r="M23" s="54">
        <v>34.700000000000003</v>
      </c>
      <c r="N23" s="54">
        <v>162.69999999999999</v>
      </c>
      <c r="O23" s="54">
        <v>0</v>
      </c>
      <c r="P23" s="54">
        <v>0.73</v>
      </c>
      <c r="Q23" s="54">
        <v>4.9800000000000004</v>
      </c>
    </row>
    <row r="24" spans="1:17" customFormat="1">
      <c r="A24" s="53">
        <v>45277.666666666664</v>
      </c>
      <c r="B24" s="54">
        <v>5.97</v>
      </c>
      <c r="C24" s="54">
        <v>27.24</v>
      </c>
      <c r="D24" s="54">
        <v>20.37</v>
      </c>
      <c r="E24" s="54">
        <v>5.59</v>
      </c>
      <c r="F24" s="54">
        <v>5.15</v>
      </c>
      <c r="G24" s="54">
        <v>56.76</v>
      </c>
      <c r="H24" s="54">
        <v>27.41</v>
      </c>
      <c r="I24" s="54">
        <v>6.62</v>
      </c>
      <c r="J24" s="54">
        <v>0.57999999999999996</v>
      </c>
      <c r="K24" s="54">
        <v>41.17</v>
      </c>
      <c r="L24" s="54">
        <v>25.06</v>
      </c>
      <c r="M24" s="54">
        <v>36.74</v>
      </c>
      <c r="N24" s="54">
        <v>76.8</v>
      </c>
      <c r="O24" s="54">
        <v>0</v>
      </c>
      <c r="P24" s="54">
        <v>0.7</v>
      </c>
      <c r="Q24" s="54">
        <v>4.96</v>
      </c>
    </row>
    <row r="25" spans="1:17" customFormat="1">
      <c r="A25" s="53">
        <v>45277.708333333336</v>
      </c>
      <c r="B25" s="54">
        <v>6.63</v>
      </c>
      <c r="C25" s="54">
        <v>27.02</v>
      </c>
      <c r="D25" s="54">
        <v>20.149999999999999</v>
      </c>
      <c r="E25" s="54">
        <v>5.22</v>
      </c>
      <c r="F25" s="54">
        <v>4.37</v>
      </c>
      <c r="G25" s="54">
        <v>65.23</v>
      </c>
      <c r="H25" s="54">
        <v>27.59</v>
      </c>
      <c r="I25" s="54">
        <v>6.14</v>
      </c>
      <c r="J25" s="54">
        <v>0.51</v>
      </c>
      <c r="K25" s="54">
        <v>49.29</v>
      </c>
      <c r="L25" s="54">
        <v>24.23</v>
      </c>
      <c r="M25" s="54">
        <v>42.62</v>
      </c>
      <c r="N25" s="54">
        <v>35.5</v>
      </c>
      <c r="O25" s="54">
        <v>0</v>
      </c>
      <c r="P25" s="54">
        <v>0.69</v>
      </c>
      <c r="Q25" s="54">
        <v>4.96</v>
      </c>
    </row>
    <row r="26" spans="1:17" customFormat="1">
      <c r="A26" s="53">
        <v>45277.75</v>
      </c>
      <c r="B26" s="54">
        <v>8.8699999999999992</v>
      </c>
      <c r="C26" s="54">
        <v>27.5</v>
      </c>
      <c r="D26" s="54">
        <v>22.83</v>
      </c>
      <c r="E26" s="54">
        <v>5.37</v>
      </c>
      <c r="F26" s="54">
        <v>2.85</v>
      </c>
      <c r="G26" s="54">
        <v>79.650000000000006</v>
      </c>
      <c r="H26" s="54">
        <v>31.24</v>
      </c>
      <c r="I26" s="54">
        <v>6.07</v>
      </c>
      <c r="J26" s="54">
        <v>0.33</v>
      </c>
      <c r="K26" s="54">
        <v>58.92</v>
      </c>
      <c r="L26" s="54">
        <v>22.44</v>
      </c>
      <c r="M26" s="54">
        <v>51.52</v>
      </c>
      <c r="N26" s="54">
        <v>0</v>
      </c>
      <c r="O26" s="54">
        <v>0</v>
      </c>
      <c r="P26" s="54">
        <v>0.73</v>
      </c>
      <c r="Q26" s="54">
        <v>5.04</v>
      </c>
    </row>
    <row r="27" spans="1:17" customFormat="1">
      <c r="A27" s="53">
        <v>45277.791666666664</v>
      </c>
      <c r="B27" s="54">
        <v>9.91</v>
      </c>
      <c r="C27" s="54">
        <v>29.41</v>
      </c>
      <c r="D27" s="54">
        <v>24.55</v>
      </c>
      <c r="E27" s="54">
        <v>6.51</v>
      </c>
      <c r="F27" s="54">
        <v>2.83</v>
      </c>
      <c r="G27" s="54">
        <v>95.72</v>
      </c>
      <c r="H27" s="54">
        <v>35.74</v>
      </c>
      <c r="I27" s="54">
        <v>6.51</v>
      </c>
      <c r="J27" s="54">
        <v>0.2</v>
      </c>
      <c r="K27" s="54">
        <v>132.59</v>
      </c>
      <c r="L27" s="54">
        <v>20.54</v>
      </c>
      <c r="M27" s="54">
        <v>65.16</v>
      </c>
      <c r="N27" s="54">
        <v>0</v>
      </c>
      <c r="O27" s="54">
        <v>0</v>
      </c>
      <c r="P27" s="54">
        <v>0.81</v>
      </c>
      <c r="Q27" s="54">
        <v>5.09</v>
      </c>
    </row>
    <row r="28" spans="1:17" customFormat="1">
      <c r="A28" s="53">
        <v>45277.833333333336</v>
      </c>
      <c r="B28" s="54">
        <v>11.16</v>
      </c>
      <c r="C28" s="54">
        <v>30.82</v>
      </c>
      <c r="D28" s="54">
        <v>26.4</v>
      </c>
      <c r="E28" s="54">
        <v>6.82</v>
      </c>
      <c r="F28" s="54">
        <v>2.68</v>
      </c>
      <c r="G28" s="54">
        <v>112.24</v>
      </c>
      <c r="H28" s="54">
        <v>40.31</v>
      </c>
      <c r="I28" s="54">
        <v>7.18</v>
      </c>
      <c r="J28" s="54">
        <v>0.22</v>
      </c>
      <c r="K28" s="54">
        <v>143.44</v>
      </c>
      <c r="L28" s="54">
        <v>18.899999999999999</v>
      </c>
      <c r="M28" s="54">
        <v>66.540000000000006</v>
      </c>
      <c r="N28" s="54">
        <v>0</v>
      </c>
      <c r="O28" s="54">
        <v>0</v>
      </c>
      <c r="P28" s="54">
        <v>0.91</v>
      </c>
      <c r="Q28" s="54">
        <v>5.14</v>
      </c>
    </row>
    <row r="29" spans="1:17" customFormat="1">
      <c r="A29" s="53">
        <v>45277.875</v>
      </c>
      <c r="B29" s="54">
        <v>12.39</v>
      </c>
      <c r="C29" s="54">
        <v>31.41</v>
      </c>
      <c r="D29" s="54">
        <v>27.67</v>
      </c>
      <c r="E29" s="54">
        <v>6.89</v>
      </c>
      <c r="F29" s="54">
        <v>2.71</v>
      </c>
      <c r="G29" s="54">
        <v>121.93</v>
      </c>
      <c r="H29" s="54">
        <v>46.22</v>
      </c>
      <c r="I29" s="54">
        <v>7.98</v>
      </c>
      <c r="J29" s="54">
        <v>0.17</v>
      </c>
      <c r="K29" s="54">
        <v>235.14</v>
      </c>
      <c r="L29" s="54">
        <v>18.27</v>
      </c>
      <c r="M29" s="54">
        <v>79.540000000000006</v>
      </c>
      <c r="N29" s="54">
        <v>0</v>
      </c>
      <c r="O29" s="54">
        <v>0</v>
      </c>
      <c r="P29" s="54">
        <v>0.95</v>
      </c>
      <c r="Q29" s="54">
        <v>5.21</v>
      </c>
    </row>
    <row r="30" spans="1:17" customFormat="1">
      <c r="A30" s="53">
        <v>45277.916666666664</v>
      </c>
      <c r="B30" s="54">
        <v>11.95</v>
      </c>
      <c r="C30" s="54">
        <v>30.13</v>
      </c>
      <c r="D30" s="54">
        <v>26.68</v>
      </c>
      <c r="E30" s="54">
        <v>6.84</v>
      </c>
      <c r="F30" s="54">
        <v>2.72</v>
      </c>
      <c r="G30" s="54">
        <v>119.83</v>
      </c>
      <c r="H30" s="54">
        <v>47.45</v>
      </c>
      <c r="I30" s="54">
        <v>8.2899999999999991</v>
      </c>
      <c r="J30" s="54">
        <v>0.17</v>
      </c>
      <c r="K30" s="54">
        <v>240.65</v>
      </c>
      <c r="L30" s="54">
        <v>16.71</v>
      </c>
      <c r="M30" s="54">
        <v>84.93</v>
      </c>
      <c r="N30" s="54">
        <v>0</v>
      </c>
      <c r="O30" s="54">
        <v>0</v>
      </c>
      <c r="P30" s="54">
        <v>0.97</v>
      </c>
      <c r="Q30" s="54">
        <v>5.17</v>
      </c>
    </row>
    <row r="31" spans="1:17" customFormat="1">
      <c r="A31" s="53">
        <v>45277.958333333336</v>
      </c>
      <c r="B31" s="54">
        <v>16.46</v>
      </c>
      <c r="C31" s="54">
        <v>30.83</v>
      </c>
      <c r="D31" s="54">
        <v>30.66</v>
      </c>
      <c r="E31" s="54">
        <v>6.21</v>
      </c>
      <c r="F31" s="54">
        <v>2.87</v>
      </c>
      <c r="G31" s="54">
        <v>108.2</v>
      </c>
      <c r="H31" s="54">
        <v>45.88</v>
      </c>
      <c r="I31" s="54">
        <v>8.5299999999999994</v>
      </c>
      <c r="J31" s="54">
        <v>0.17</v>
      </c>
      <c r="K31" s="54">
        <v>193.32</v>
      </c>
      <c r="L31" s="54">
        <v>16.600000000000001</v>
      </c>
      <c r="M31" s="54">
        <v>79.209999999999994</v>
      </c>
      <c r="N31" s="54">
        <v>0</v>
      </c>
      <c r="O31" s="54">
        <v>0</v>
      </c>
      <c r="P31" s="54">
        <v>1</v>
      </c>
      <c r="Q31" s="54">
        <v>5.27</v>
      </c>
    </row>
    <row r="32" spans="1:17" customFormat="1">
      <c r="A32" s="53">
        <v>45278</v>
      </c>
      <c r="B32" s="54">
        <v>19.62</v>
      </c>
      <c r="C32" s="54">
        <v>32.49</v>
      </c>
      <c r="D32" s="54">
        <v>33.979999999999997</v>
      </c>
      <c r="E32" s="54">
        <v>6.59</v>
      </c>
      <c r="F32" s="54">
        <v>2.68</v>
      </c>
      <c r="G32" s="54">
        <v>112.3</v>
      </c>
      <c r="H32" s="54">
        <v>46.8</v>
      </c>
      <c r="I32" s="54">
        <v>8.7100000000000009</v>
      </c>
      <c r="J32" s="54">
        <v>0.16</v>
      </c>
      <c r="K32" s="54">
        <v>221.71</v>
      </c>
      <c r="L32" s="54">
        <v>16.940000000000001</v>
      </c>
      <c r="M32" s="54">
        <v>79.180000000000007</v>
      </c>
      <c r="N32" s="54">
        <v>0</v>
      </c>
      <c r="O32" s="54">
        <v>0</v>
      </c>
      <c r="P32" s="54">
        <v>1.01</v>
      </c>
      <c r="Q32" s="54">
        <v>5.4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5.97</v>
      </c>
      <c r="C34" s="41">
        <f t="shared" si="0"/>
        <v>27.02</v>
      </c>
      <c r="D34" s="41">
        <f t="shared" si="0"/>
        <v>20.149999999999999</v>
      </c>
      <c r="E34" s="41">
        <f t="shared" si="0"/>
        <v>5.22</v>
      </c>
      <c r="F34" s="41">
        <f t="shared" si="0"/>
        <v>2.57</v>
      </c>
      <c r="G34" s="41">
        <f t="shared" si="0"/>
        <v>55.76</v>
      </c>
      <c r="H34" s="41">
        <f t="shared" si="0"/>
        <v>27.41</v>
      </c>
      <c r="I34" s="41">
        <f t="shared" si="0"/>
        <v>6.07</v>
      </c>
      <c r="J34" s="41">
        <f t="shared" si="0"/>
        <v>0.09</v>
      </c>
      <c r="K34" s="41">
        <f t="shared" si="0"/>
        <v>36.61</v>
      </c>
      <c r="L34" s="41">
        <f t="shared" si="0"/>
        <v>13.63</v>
      </c>
      <c r="M34" s="41">
        <f t="shared" si="0"/>
        <v>33.11</v>
      </c>
      <c r="N34" s="41">
        <f t="shared" si="0"/>
        <v>0</v>
      </c>
      <c r="O34" s="41">
        <f t="shared" si="0"/>
        <v>0</v>
      </c>
      <c r="P34" s="41">
        <f t="shared" si="0"/>
        <v>0.69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47.71</v>
      </c>
      <c r="C35" s="33">
        <f t="shared" si="1"/>
        <v>35.06</v>
      </c>
      <c r="D35" s="33">
        <f t="shared" si="1"/>
        <v>57.13</v>
      </c>
      <c r="E35" s="33">
        <f t="shared" si="1"/>
        <v>7.66</v>
      </c>
      <c r="F35" s="33">
        <f t="shared" si="1"/>
        <v>6.48</v>
      </c>
      <c r="G35" s="33">
        <f t="shared" si="1"/>
        <v>164.38</v>
      </c>
      <c r="H35" s="33">
        <f t="shared" si="1"/>
        <v>71.77</v>
      </c>
      <c r="I35" s="33">
        <f t="shared" si="1"/>
        <v>14.32</v>
      </c>
      <c r="J35" s="33">
        <f t="shared" si="1"/>
        <v>0.77</v>
      </c>
      <c r="K35" s="33">
        <f t="shared" si="1"/>
        <v>338.48</v>
      </c>
      <c r="L35" s="33">
        <f t="shared" si="1"/>
        <v>26.27</v>
      </c>
      <c r="M35" s="33">
        <f t="shared" si="1"/>
        <v>93.51</v>
      </c>
      <c r="N35" s="33">
        <f t="shared" si="1"/>
        <v>551.5</v>
      </c>
      <c r="O35" s="33">
        <f t="shared" si="1"/>
        <v>0</v>
      </c>
      <c r="P35" s="33">
        <f t="shared" si="1"/>
        <v>1.6</v>
      </c>
      <c r="Q35" s="33">
        <f t="shared" si="1"/>
        <v>6.12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25.346666666666668</v>
      </c>
      <c r="C36" s="41">
        <f t="shared" si="2"/>
        <v>31.555833333333336</v>
      </c>
      <c r="D36" s="41">
        <f t="shared" si="2"/>
        <v>38.029166666666661</v>
      </c>
      <c r="E36" s="41">
        <f t="shared" si="2"/>
        <v>6.5658333333333339</v>
      </c>
      <c r="F36" s="41">
        <f t="shared" si="2"/>
        <v>3.3016666666666676</v>
      </c>
      <c r="G36" s="41">
        <f t="shared" si="2"/>
        <v>111.53458333333333</v>
      </c>
      <c r="H36" s="41">
        <f t="shared" si="2"/>
        <v>47.741250000000008</v>
      </c>
      <c r="I36" s="41">
        <f t="shared" si="2"/>
        <v>9.8549999999999986</v>
      </c>
      <c r="J36" s="41">
        <f t="shared" si="2"/>
        <v>0.31541666666666668</v>
      </c>
      <c r="K36" s="41">
        <f t="shared" si="2"/>
        <v>154.4891666666667</v>
      </c>
      <c r="L36" s="41">
        <f t="shared" si="2"/>
        <v>19.516250000000003</v>
      </c>
      <c r="M36" s="41">
        <f t="shared" si="2"/>
        <v>66.851666666666674</v>
      </c>
      <c r="N36" s="41">
        <f t="shared" si="2"/>
        <v>118.15833333333335</v>
      </c>
      <c r="O36" s="41">
        <f t="shared" si="2"/>
        <v>0</v>
      </c>
      <c r="P36" s="41">
        <f t="shared" si="2"/>
        <v>1.1062500000000002</v>
      </c>
      <c r="Q36" s="41">
        <f t="shared" si="2"/>
        <v>5.5354166666666664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15.622328687592903</v>
      </c>
      <c r="C37" s="41">
        <f t="shared" ref="C37:Q37" si="3">STDEV(C9:C32)</f>
        <v>2.6050618229610825</v>
      </c>
      <c r="D37" s="41">
        <f t="shared" si="3"/>
        <v>13.717084528828078</v>
      </c>
      <c r="E37" s="41">
        <f t="shared" si="3"/>
        <v>0.6183000303543752</v>
      </c>
      <c r="F37" s="41">
        <f t="shared" si="3"/>
        <v>1.0987568733194173</v>
      </c>
      <c r="G37" s="41">
        <f t="shared" si="3"/>
        <v>35.471675654413076</v>
      </c>
      <c r="H37" s="41">
        <f t="shared" si="3"/>
        <v>15.077592159429379</v>
      </c>
      <c r="I37" s="41">
        <f t="shared" si="3"/>
        <v>2.7017112129650247</v>
      </c>
      <c r="J37" s="41">
        <f t="shared" si="3"/>
        <v>0.18474375124260198</v>
      </c>
      <c r="K37" s="41">
        <f t="shared" si="3"/>
        <v>89.48669480487834</v>
      </c>
      <c r="L37" s="41">
        <f t="shared" si="3"/>
        <v>4.6157055257024195</v>
      </c>
      <c r="M37" s="41">
        <f t="shared" si="3"/>
        <v>22.687312996793857</v>
      </c>
      <c r="N37" s="41">
        <f t="shared" si="3"/>
        <v>190.52811253635687</v>
      </c>
      <c r="O37" s="41">
        <f t="shared" si="3"/>
        <v>0</v>
      </c>
      <c r="P37" s="41">
        <f t="shared" si="3"/>
        <v>0.29545561720693331</v>
      </c>
      <c r="Q37" s="41">
        <f t="shared" si="3"/>
        <v>0.43986143239677755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45278.041666666664</v>
      </c>
      <c r="B9" s="54">
        <v>19.28</v>
      </c>
      <c r="C9" s="54">
        <v>32.1</v>
      </c>
      <c r="D9" s="54">
        <v>33.24</v>
      </c>
      <c r="E9" s="54">
        <v>5.96</v>
      </c>
      <c r="F9" s="54">
        <v>2.65</v>
      </c>
      <c r="G9" s="54">
        <v>113.17</v>
      </c>
      <c r="H9" s="54">
        <v>44.58</v>
      </c>
      <c r="I9" s="54">
        <v>8.59</v>
      </c>
      <c r="J9" s="54">
        <v>0.22</v>
      </c>
      <c r="K9" s="54">
        <v>252.59</v>
      </c>
      <c r="L9" s="54">
        <v>15.49</v>
      </c>
      <c r="M9" s="54">
        <v>84.58</v>
      </c>
      <c r="N9" s="54">
        <v>0</v>
      </c>
      <c r="O9" s="54">
        <v>0</v>
      </c>
      <c r="P9" s="54">
        <v>1.01</v>
      </c>
      <c r="Q9" s="54">
        <v>5.4</v>
      </c>
    </row>
    <row r="10" spans="1:21" customFormat="1">
      <c r="A10" s="53">
        <v>45278.083333333336</v>
      </c>
      <c r="B10" s="54">
        <v>29.9</v>
      </c>
      <c r="C10" s="54">
        <v>32.950000000000003</v>
      </c>
      <c r="D10" s="54">
        <v>42.55</v>
      </c>
      <c r="E10" s="54">
        <v>6.22</v>
      </c>
      <c r="F10" s="54">
        <v>2.67</v>
      </c>
      <c r="G10" s="54">
        <v>114.13</v>
      </c>
      <c r="H10" s="54">
        <v>45.33</v>
      </c>
      <c r="I10" s="54">
        <v>8.94</v>
      </c>
      <c r="J10" s="54">
        <v>0.15</v>
      </c>
      <c r="K10" s="54">
        <v>200.48</v>
      </c>
      <c r="L10" s="54">
        <v>15.34</v>
      </c>
      <c r="M10" s="54">
        <v>82.42</v>
      </c>
      <c r="N10" s="54">
        <v>0</v>
      </c>
      <c r="O10" s="54">
        <v>0</v>
      </c>
      <c r="P10" s="54">
        <v>1.02</v>
      </c>
      <c r="Q10" s="54">
        <v>5.65</v>
      </c>
    </row>
    <row r="11" spans="1:21" customFormat="1">
      <c r="A11" s="53">
        <v>45278.125</v>
      </c>
      <c r="B11" s="54">
        <v>29.91</v>
      </c>
      <c r="C11" s="54">
        <v>32.92</v>
      </c>
      <c r="D11" s="54">
        <v>42.54</v>
      </c>
      <c r="E11" s="54">
        <v>5.62</v>
      </c>
      <c r="F11" s="54">
        <v>2.72</v>
      </c>
      <c r="G11" s="54">
        <v>115.94</v>
      </c>
      <c r="H11" s="54">
        <v>46.22</v>
      </c>
      <c r="I11" s="54">
        <v>8.9700000000000006</v>
      </c>
      <c r="J11" s="54">
        <v>0.11</v>
      </c>
      <c r="K11" s="54">
        <v>146.93</v>
      </c>
      <c r="L11" s="54">
        <v>15.17</v>
      </c>
      <c r="M11" s="54">
        <v>79.78</v>
      </c>
      <c r="N11" s="54">
        <v>0</v>
      </c>
      <c r="O11" s="54">
        <v>0</v>
      </c>
      <c r="P11" s="54">
        <v>0.98</v>
      </c>
      <c r="Q11" s="54">
        <v>5.66</v>
      </c>
    </row>
    <row r="12" spans="1:21" customFormat="1">
      <c r="A12" s="53">
        <v>45278.166666666664</v>
      </c>
      <c r="B12" s="54">
        <v>25.78</v>
      </c>
      <c r="C12" s="54">
        <v>30.11</v>
      </c>
      <c r="D12" s="54">
        <v>37.619999999999997</v>
      </c>
      <c r="E12" s="54">
        <v>5.72</v>
      </c>
      <c r="F12" s="54">
        <v>2.62</v>
      </c>
      <c r="G12" s="54">
        <v>93.01</v>
      </c>
      <c r="H12" s="54">
        <v>42.84</v>
      </c>
      <c r="I12" s="54">
        <v>8.94</v>
      </c>
      <c r="J12" s="54">
        <v>0.08</v>
      </c>
      <c r="K12" s="54">
        <v>201.74</v>
      </c>
      <c r="L12" s="54">
        <v>14.56</v>
      </c>
      <c r="M12" s="54">
        <v>87</v>
      </c>
      <c r="N12" s="54">
        <v>0</v>
      </c>
      <c r="O12" s="54">
        <v>0</v>
      </c>
      <c r="P12" s="54">
        <v>0.9</v>
      </c>
      <c r="Q12" s="54">
        <v>5.53</v>
      </c>
    </row>
    <row r="13" spans="1:21" customFormat="1">
      <c r="A13" s="53">
        <v>45278.208333333336</v>
      </c>
      <c r="B13" s="54">
        <v>25</v>
      </c>
      <c r="C13" s="54">
        <v>30.16</v>
      </c>
      <c r="D13" s="54">
        <v>37.159999999999997</v>
      </c>
      <c r="E13" s="54">
        <v>5.46</v>
      </c>
      <c r="F13" s="54">
        <v>2.58</v>
      </c>
      <c r="G13" s="54">
        <v>89.01</v>
      </c>
      <c r="H13" s="54">
        <v>38.89</v>
      </c>
      <c r="I13" s="54">
        <v>8.58</v>
      </c>
      <c r="J13" s="54">
        <v>0.25</v>
      </c>
      <c r="K13" s="54">
        <v>147.34</v>
      </c>
      <c r="L13" s="54">
        <v>14.14</v>
      </c>
      <c r="M13" s="54">
        <v>85.78</v>
      </c>
      <c r="N13" s="54">
        <v>0</v>
      </c>
      <c r="O13" s="54">
        <v>0</v>
      </c>
      <c r="P13" s="54">
        <v>0.83</v>
      </c>
      <c r="Q13" s="54">
        <v>5.52</v>
      </c>
    </row>
    <row r="14" spans="1:21" customFormat="1">
      <c r="A14" s="53">
        <v>45278.25</v>
      </c>
      <c r="B14" s="54">
        <v>23.34</v>
      </c>
      <c r="C14" s="54">
        <v>30.12</v>
      </c>
      <c r="D14" s="54">
        <v>35.81</v>
      </c>
      <c r="E14" s="54">
        <v>5.57</v>
      </c>
      <c r="F14" s="54">
        <v>2.64</v>
      </c>
      <c r="G14" s="54">
        <v>78.19</v>
      </c>
      <c r="H14" s="54">
        <v>36.979999999999997</v>
      </c>
      <c r="I14" s="54">
        <v>7.88</v>
      </c>
      <c r="J14" s="54">
        <v>0.25</v>
      </c>
      <c r="K14" s="54">
        <v>53.1</v>
      </c>
      <c r="L14" s="54">
        <v>14.19</v>
      </c>
      <c r="M14" s="54">
        <v>81.55</v>
      </c>
      <c r="N14" s="54">
        <v>0</v>
      </c>
      <c r="O14" s="54">
        <v>0</v>
      </c>
      <c r="P14" s="54">
        <v>0.77</v>
      </c>
      <c r="Q14" s="54">
        <v>5.47</v>
      </c>
    </row>
    <row r="15" spans="1:21" customFormat="1">
      <c r="A15" s="53">
        <v>45278.291666666664</v>
      </c>
      <c r="B15" s="54">
        <v>25.3</v>
      </c>
      <c r="C15" s="54">
        <v>30.45</v>
      </c>
      <c r="D15" s="54">
        <v>37.53</v>
      </c>
      <c r="E15" s="54">
        <v>5.76</v>
      </c>
      <c r="F15" s="54">
        <v>2.62</v>
      </c>
      <c r="G15" s="54">
        <v>75.459999999999994</v>
      </c>
      <c r="H15" s="54">
        <v>36.71</v>
      </c>
      <c r="I15" s="54">
        <v>7.43</v>
      </c>
      <c r="J15" s="54">
        <v>0.22</v>
      </c>
      <c r="K15" s="54">
        <v>47.03</v>
      </c>
      <c r="L15" s="54">
        <v>14.1</v>
      </c>
      <c r="M15" s="54">
        <v>83</v>
      </c>
      <c r="N15" s="54">
        <v>2.4</v>
      </c>
      <c r="O15" s="54">
        <v>0</v>
      </c>
      <c r="P15" s="54">
        <v>0.75</v>
      </c>
      <c r="Q15" s="54">
        <v>5.53</v>
      </c>
    </row>
    <row r="16" spans="1:21" customFormat="1">
      <c r="A16" s="53">
        <v>45278.333333333336</v>
      </c>
      <c r="B16" s="54">
        <v>27.12</v>
      </c>
      <c r="C16" s="54">
        <v>32.9</v>
      </c>
      <c r="D16" s="54">
        <v>39.450000000000003</v>
      </c>
      <c r="E16" s="54">
        <v>5.35</v>
      </c>
      <c r="F16" s="54">
        <v>2.88</v>
      </c>
      <c r="G16" s="54">
        <v>77.22</v>
      </c>
      <c r="H16" s="54">
        <v>37.86</v>
      </c>
      <c r="I16" s="54">
        <v>7.81</v>
      </c>
      <c r="J16" s="54">
        <v>0.61</v>
      </c>
      <c r="K16" s="54">
        <v>51.32</v>
      </c>
      <c r="L16" s="54">
        <v>15.6</v>
      </c>
      <c r="M16" s="54">
        <v>80.209999999999994</v>
      </c>
      <c r="N16" s="54">
        <v>73.7</v>
      </c>
      <c r="O16" s="54">
        <v>0</v>
      </c>
      <c r="P16" s="54">
        <v>0.79</v>
      </c>
      <c r="Q16" s="54">
        <v>5.56</v>
      </c>
    </row>
    <row r="17" spans="1:17" customFormat="1">
      <c r="A17" s="53">
        <v>45278.375</v>
      </c>
      <c r="B17" s="54">
        <v>23.26</v>
      </c>
      <c r="C17" s="54">
        <v>33.49</v>
      </c>
      <c r="D17" s="54">
        <v>37.5</v>
      </c>
      <c r="E17" s="54">
        <v>5.37</v>
      </c>
      <c r="F17" s="54">
        <v>2.97</v>
      </c>
      <c r="G17" s="54">
        <v>78.81</v>
      </c>
      <c r="H17" s="54">
        <v>35.44</v>
      </c>
      <c r="I17" s="54">
        <v>7.94</v>
      </c>
      <c r="J17" s="54">
        <v>0.78</v>
      </c>
      <c r="K17" s="54">
        <v>54.28</v>
      </c>
      <c r="L17" s="54">
        <v>18.34</v>
      </c>
      <c r="M17" s="54">
        <v>70.55</v>
      </c>
      <c r="N17" s="54">
        <v>217.3</v>
      </c>
      <c r="O17" s="54">
        <v>0</v>
      </c>
      <c r="P17" s="54">
        <v>0.79</v>
      </c>
      <c r="Q17" s="54">
        <v>5.47</v>
      </c>
    </row>
    <row r="18" spans="1:17" customFormat="1">
      <c r="A18" s="53">
        <v>45278.416666666664</v>
      </c>
      <c r="B18" s="54">
        <v>17.43</v>
      </c>
      <c r="C18" s="54">
        <v>32.06</v>
      </c>
      <c r="D18" s="54">
        <v>32.08</v>
      </c>
      <c r="E18" s="54">
        <v>5.33</v>
      </c>
      <c r="F18" s="54">
        <v>2.94</v>
      </c>
      <c r="G18" s="54">
        <v>77.739999999999995</v>
      </c>
      <c r="H18" s="54">
        <v>32.090000000000003</v>
      </c>
      <c r="I18" s="54">
        <v>7.74</v>
      </c>
      <c r="J18" s="54">
        <v>0.79</v>
      </c>
      <c r="K18" s="54">
        <v>57.4</v>
      </c>
      <c r="L18" s="54">
        <v>20.75</v>
      </c>
      <c r="M18" s="54">
        <v>56.77</v>
      </c>
      <c r="N18" s="54">
        <v>248.1</v>
      </c>
      <c r="O18" s="54">
        <v>0</v>
      </c>
      <c r="P18" s="54">
        <v>0.78</v>
      </c>
      <c r="Q18" s="54">
        <v>5.34</v>
      </c>
    </row>
    <row r="19" spans="1:17" customFormat="1">
      <c r="A19" s="53">
        <v>45278.458333333336</v>
      </c>
      <c r="B19" s="54">
        <v>14.68</v>
      </c>
      <c r="C19" s="54">
        <v>32.57</v>
      </c>
      <c r="D19" s="54">
        <v>29.61</v>
      </c>
      <c r="E19" s="54">
        <v>6.12</v>
      </c>
      <c r="F19" s="54">
        <v>3.27</v>
      </c>
      <c r="G19" s="54">
        <v>79.78</v>
      </c>
      <c r="H19" s="54">
        <v>31.36</v>
      </c>
      <c r="I19" s="54">
        <v>7.58</v>
      </c>
      <c r="J19" s="54">
        <v>0.87</v>
      </c>
      <c r="K19" s="54">
        <v>58.84</v>
      </c>
      <c r="L19" s="54">
        <v>22.39</v>
      </c>
      <c r="M19" s="54">
        <v>45.54</v>
      </c>
      <c r="N19" s="54">
        <v>436.2</v>
      </c>
      <c r="O19" s="54">
        <v>0</v>
      </c>
      <c r="P19" s="54">
        <v>0.75</v>
      </c>
      <c r="Q19" s="54">
        <v>5.26</v>
      </c>
    </row>
    <row r="20" spans="1:17" customFormat="1">
      <c r="A20" s="53">
        <v>45278.5</v>
      </c>
      <c r="B20" s="54">
        <v>12.2</v>
      </c>
      <c r="C20" s="54">
        <v>33.04</v>
      </c>
      <c r="D20" s="54">
        <v>28.25</v>
      </c>
      <c r="E20" s="54">
        <v>6.87</v>
      </c>
      <c r="F20" s="54">
        <v>3.51</v>
      </c>
      <c r="G20" s="54">
        <v>80.37</v>
      </c>
      <c r="H20" s="54">
        <v>30.78</v>
      </c>
      <c r="I20" s="54">
        <v>7.07</v>
      </c>
      <c r="J20" s="54">
        <v>0.77</v>
      </c>
      <c r="K20" s="54">
        <v>66.150000000000006</v>
      </c>
      <c r="L20" s="54">
        <v>24.1</v>
      </c>
      <c r="M20" s="54">
        <v>38.590000000000003</v>
      </c>
      <c r="N20" s="54">
        <v>499.8</v>
      </c>
      <c r="O20" s="54">
        <v>0</v>
      </c>
      <c r="P20" s="54">
        <v>0.72</v>
      </c>
      <c r="Q20" s="54">
        <v>5.19</v>
      </c>
    </row>
    <row r="21" spans="1:17" customFormat="1">
      <c r="A21" s="53">
        <v>45278.541666666664</v>
      </c>
      <c r="B21" s="54">
        <v>9.15</v>
      </c>
      <c r="C21" s="54">
        <v>32.159999999999997</v>
      </c>
      <c r="D21" s="54">
        <v>25.49</v>
      </c>
      <c r="E21" s="54">
        <v>6.32</v>
      </c>
      <c r="F21" s="54">
        <v>3.56</v>
      </c>
      <c r="G21" s="54">
        <v>76.16</v>
      </c>
      <c r="H21" s="54">
        <v>31.19</v>
      </c>
      <c r="I21" s="54">
        <v>6.56</v>
      </c>
      <c r="J21" s="54">
        <v>0.59</v>
      </c>
      <c r="K21" s="54">
        <v>52.43</v>
      </c>
      <c r="L21" s="54">
        <v>24.57</v>
      </c>
      <c r="M21" s="54">
        <v>36.35</v>
      </c>
      <c r="N21" s="54">
        <v>483.3</v>
      </c>
      <c r="O21" s="54">
        <v>0</v>
      </c>
      <c r="P21" s="54">
        <v>0.69</v>
      </c>
      <c r="Q21" s="54">
        <v>5.09</v>
      </c>
    </row>
    <row r="22" spans="1:17" customFormat="1">
      <c r="A22" s="53">
        <v>45278.583333333336</v>
      </c>
      <c r="B22" s="54">
        <v>8.34</v>
      </c>
      <c r="C22" s="54">
        <v>28.38</v>
      </c>
      <c r="D22" s="54">
        <v>22.87</v>
      </c>
      <c r="E22" s="54">
        <v>6.16</v>
      </c>
      <c r="F22" s="54">
        <v>3.63</v>
      </c>
      <c r="G22" s="54">
        <v>75.2</v>
      </c>
      <c r="H22" s="54">
        <v>32.51</v>
      </c>
      <c r="I22" s="54">
        <v>6.35</v>
      </c>
      <c r="J22" s="54">
        <v>0.42</v>
      </c>
      <c r="K22" s="54">
        <v>353.64</v>
      </c>
      <c r="L22" s="54">
        <v>24.98</v>
      </c>
      <c r="M22" s="54">
        <v>36.090000000000003</v>
      </c>
      <c r="N22" s="54">
        <v>450.5</v>
      </c>
      <c r="O22" s="54">
        <v>0</v>
      </c>
      <c r="P22" s="54">
        <v>0.66</v>
      </c>
      <c r="Q22" s="54">
        <v>5.0599999999999996</v>
      </c>
    </row>
    <row r="23" spans="1:17" customFormat="1">
      <c r="A23" s="53">
        <v>45278.625</v>
      </c>
      <c r="B23" s="54">
        <v>6.26</v>
      </c>
      <c r="C23" s="54">
        <v>26.39</v>
      </c>
      <c r="D23" s="54">
        <v>20.16</v>
      </c>
      <c r="E23" s="54">
        <v>5.96</v>
      </c>
      <c r="F23" s="54">
        <v>3.99</v>
      </c>
      <c r="G23" s="54">
        <v>70.930000000000007</v>
      </c>
      <c r="H23" s="54">
        <v>31.59</v>
      </c>
      <c r="I23" s="54">
        <v>6.1</v>
      </c>
      <c r="J23" s="54">
        <v>0.65</v>
      </c>
      <c r="K23" s="54">
        <v>30.83</v>
      </c>
      <c r="L23" s="54">
        <v>24.4</v>
      </c>
      <c r="M23" s="54">
        <v>37.42</v>
      </c>
      <c r="N23" s="54">
        <v>159.4</v>
      </c>
      <c r="O23" s="54">
        <v>0</v>
      </c>
      <c r="P23" s="54">
        <v>0.71</v>
      </c>
      <c r="Q23" s="54">
        <v>4.99</v>
      </c>
    </row>
    <row r="24" spans="1:17" customFormat="1">
      <c r="A24" s="53">
        <v>45278.666666666664</v>
      </c>
      <c r="B24" s="54">
        <v>5.21</v>
      </c>
      <c r="C24" s="54">
        <v>24.69</v>
      </c>
      <c r="D24" s="54">
        <v>18.41</v>
      </c>
      <c r="E24" s="54">
        <v>6.48</v>
      </c>
      <c r="F24" s="54">
        <v>3.68</v>
      </c>
      <c r="G24" s="54">
        <v>72.650000000000006</v>
      </c>
      <c r="H24" s="54">
        <v>32.200000000000003</v>
      </c>
      <c r="I24" s="54">
        <v>5.96</v>
      </c>
      <c r="J24" s="54">
        <v>0.59</v>
      </c>
      <c r="K24" s="54">
        <v>47.16</v>
      </c>
      <c r="L24" s="54">
        <v>23.71</v>
      </c>
      <c r="M24" s="54">
        <v>38.880000000000003</v>
      </c>
      <c r="N24" s="54">
        <v>70.5</v>
      </c>
      <c r="O24" s="54">
        <v>0</v>
      </c>
      <c r="P24" s="54">
        <v>0.72</v>
      </c>
      <c r="Q24" s="54">
        <v>4.96</v>
      </c>
    </row>
    <row r="25" spans="1:17" customFormat="1">
      <c r="A25" s="53">
        <v>45278.708333333336</v>
      </c>
      <c r="B25" s="54">
        <v>5.37</v>
      </c>
      <c r="C25" s="54">
        <v>25.96</v>
      </c>
      <c r="D25" s="54">
        <v>19.22</v>
      </c>
      <c r="E25" s="54">
        <v>6.18</v>
      </c>
      <c r="F25" s="54">
        <v>3.43</v>
      </c>
      <c r="G25" s="54">
        <v>77.48</v>
      </c>
      <c r="H25" s="54">
        <v>32.86</v>
      </c>
      <c r="I25" s="54">
        <v>5.88</v>
      </c>
      <c r="J25" s="54">
        <v>0.53</v>
      </c>
      <c r="K25" s="54">
        <v>46.02</v>
      </c>
      <c r="L25" s="54">
        <v>23.03</v>
      </c>
      <c r="M25" s="54">
        <v>43.7</v>
      </c>
      <c r="N25" s="54">
        <v>34.1</v>
      </c>
      <c r="O25" s="54">
        <v>0</v>
      </c>
      <c r="P25" s="54">
        <v>0.75</v>
      </c>
      <c r="Q25" s="54">
        <v>4.99</v>
      </c>
    </row>
    <row r="26" spans="1:17" customFormat="1">
      <c r="A26" s="53">
        <v>45278.75</v>
      </c>
      <c r="B26" s="54">
        <v>6.19</v>
      </c>
      <c r="C26" s="54">
        <v>31.48</v>
      </c>
      <c r="D26" s="54">
        <v>22.76</v>
      </c>
      <c r="E26" s="54">
        <v>6.15</v>
      </c>
      <c r="F26" s="54">
        <v>3.61</v>
      </c>
      <c r="G26" s="54">
        <v>87.78</v>
      </c>
      <c r="H26" s="54">
        <v>36.4</v>
      </c>
      <c r="I26" s="54">
        <v>5.93</v>
      </c>
      <c r="J26" s="54">
        <v>0.28999999999999998</v>
      </c>
      <c r="K26" s="54">
        <v>56.44</v>
      </c>
      <c r="L26" s="54">
        <v>21.26</v>
      </c>
      <c r="M26" s="54">
        <v>48.89</v>
      </c>
      <c r="N26" s="54">
        <v>0</v>
      </c>
      <c r="O26" s="54">
        <v>0</v>
      </c>
      <c r="P26" s="54">
        <v>0.85</v>
      </c>
      <c r="Q26" s="54">
        <v>5.04</v>
      </c>
    </row>
    <row r="27" spans="1:17" customFormat="1">
      <c r="A27" s="53">
        <v>45278.791666666664</v>
      </c>
      <c r="B27" s="54">
        <v>8.33</v>
      </c>
      <c r="C27" s="54">
        <v>35.06</v>
      </c>
      <c r="D27" s="54">
        <v>26.35</v>
      </c>
      <c r="E27" s="54">
        <v>5.56</v>
      </c>
      <c r="F27" s="54">
        <v>2.96</v>
      </c>
      <c r="G27" s="54">
        <v>105.66</v>
      </c>
      <c r="H27" s="54">
        <v>45.86</v>
      </c>
      <c r="I27" s="54">
        <v>6.63</v>
      </c>
      <c r="J27" s="54">
        <v>0.22</v>
      </c>
      <c r="K27" s="54">
        <v>159.76</v>
      </c>
      <c r="L27" s="54">
        <v>19.7</v>
      </c>
      <c r="M27" s="54">
        <v>65.650000000000006</v>
      </c>
      <c r="N27" s="54">
        <v>0</v>
      </c>
      <c r="O27" s="54">
        <v>0</v>
      </c>
      <c r="P27" s="54">
        <v>0.98</v>
      </c>
      <c r="Q27" s="54">
        <v>5.13</v>
      </c>
    </row>
    <row r="28" spans="1:17" customFormat="1">
      <c r="A28" s="53">
        <v>45278.833333333336</v>
      </c>
      <c r="B28" s="54">
        <v>8.35</v>
      </c>
      <c r="C28" s="54">
        <v>34.79</v>
      </c>
      <c r="D28" s="54">
        <v>26.22</v>
      </c>
      <c r="E28" s="54">
        <v>5.4</v>
      </c>
      <c r="F28" s="54">
        <v>2.92</v>
      </c>
      <c r="G28" s="54">
        <v>116.62</v>
      </c>
      <c r="H28" s="54">
        <v>50.08</v>
      </c>
      <c r="I28" s="54">
        <v>7.68</v>
      </c>
      <c r="J28" s="54">
        <v>0.21</v>
      </c>
      <c r="K28" s="54">
        <v>184</v>
      </c>
      <c r="L28" s="54">
        <v>17.420000000000002</v>
      </c>
      <c r="M28" s="54">
        <v>79.13</v>
      </c>
      <c r="N28" s="54">
        <v>0</v>
      </c>
      <c r="O28" s="54">
        <v>0</v>
      </c>
      <c r="P28" s="54">
        <v>1.07</v>
      </c>
      <c r="Q28" s="54">
        <v>5.14</v>
      </c>
    </row>
    <row r="29" spans="1:17" customFormat="1">
      <c r="A29" s="53">
        <v>45278.875</v>
      </c>
      <c r="B29" s="54">
        <v>7.78</v>
      </c>
      <c r="C29" s="54">
        <v>32.44</v>
      </c>
      <c r="D29" s="54">
        <v>24.54</v>
      </c>
      <c r="E29" s="54">
        <v>5.4</v>
      </c>
      <c r="F29" s="54">
        <v>2.8</v>
      </c>
      <c r="G29" s="54">
        <v>111.14</v>
      </c>
      <c r="H29" s="54">
        <v>48.84</v>
      </c>
      <c r="I29" s="54">
        <v>8.36</v>
      </c>
      <c r="J29" s="54">
        <v>0.17</v>
      </c>
      <c r="K29" s="54">
        <v>222.44</v>
      </c>
      <c r="L29" s="54">
        <v>15.79</v>
      </c>
      <c r="M29" s="54">
        <v>83.31</v>
      </c>
      <c r="N29" s="54">
        <v>0</v>
      </c>
      <c r="O29" s="54">
        <v>0</v>
      </c>
      <c r="P29" s="54">
        <v>1.0900000000000001</v>
      </c>
      <c r="Q29" s="54">
        <v>5.0999999999999996</v>
      </c>
    </row>
    <row r="30" spans="1:17" customFormat="1">
      <c r="A30" s="53">
        <v>45278.916666666664</v>
      </c>
      <c r="B30" s="54">
        <v>6.76</v>
      </c>
      <c r="C30" s="54">
        <v>28.96</v>
      </c>
      <c r="D30" s="54">
        <v>21.9</v>
      </c>
      <c r="E30" s="54">
        <v>5.08</v>
      </c>
      <c r="F30" s="54">
        <v>2.83</v>
      </c>
      <c r="G30" s="54">
        <v>102.1</v>
      </c>
      <c r="H30" s="54">
        <v>48.87</v>
      </c>
      <c r="I30" s="54">
        <v>8.5299999999999994</v>
      </c>
      <c r="J30" s="54">
        <v>0.18</v>
      </c>
      <c r="K30" s="54">
        <v>201.2</v>
      </c>
      <c r="L30" s="54">
        <v>15.1</v>
      </c>
      <c r="M30" s="54">
        <v>84.92</v>
      </c>
      <c r="N30" s="54">
        <v>0</v>
      </c>
      <c r="O30" s="54">
        <v>0</v>
      </c>
      <c r="P30" s="54">
        <v>1.0900000000000001</v>
      </c>
      <c r="Q30" s="54">
        <v>5.0599999999999996</v>
      </c>
    </row>
    <row r="31" spans="1:17" customFormat="1">
      <c r="A31" s="53">
        <v>45278.958333333336</v>
      </c>
      <c r="B31" s="54">
        <v>18.71</v>
      </c>
      <c r="C31" s="54">
        <v>31.61</v>
      </c>
      <c r="D31" s="54">
        <v>32.869999999999997</v>
      </c>
      <c r="E31" s="54">
        <v>5.51</v>
      </c>
      <c r="F31" s="54">
        <v>2.77</v>
      </c>
      <c r="G31" s="54">
        <v>105.82</v>
      </c>
      <c r="H31" s="54">
        <v>50.4</v>
      </c>
      <c r="I31" s="54">
        <v>9.0399999999999991</v>
      </c>
      <c r="J31" s="54">
        <v>0.1</v>
      </c>
      <c r="K31" s="54">
        <v>218.59</v>
      </c>
      <c r="L31" s="54">
        <v>14.74</v>
      </c>
      <c r="M31" s="54">
        <v>82.11</v>
      </c>
      <c r="N31" s="54">
        <v>0</v>
      </c>
      <c r="O31" s="54">
        <v>0</v>
      </c>
      <c r="P31" s="54">
        <v>1.1499999999999999</v>
      </c>
      <c r="Q31" s="54">
        <v>5.3</v>
      </c>
    </row>
    <row r="32" spans="1:17" customFormat="1">
      <c r="A32" s="53">
        <v>45279</v>
      </c>
      <c r="B32" s="54">
        <v>25.84</v>
      </c>
      <c r="C32" s="54">
        <v>34.119999999999997</v>
      </c>
      <c r="D32" s="54">
        <v>39.78</v>
      </c>
      <c r="E32" s="54">
        <v>5.85</v>
      </c>
      <c r="F32" s="54">
        <v>2.75</v>
      </c>
      <c r="G32" s="54">
        <v>119.56</v>
      </c>
      <c r="H32" s="54">
        <v>52.08</v>
      </c>
      <c r="I32" s="54">
        <v>9.4</v>
      </c>
      <c r="J32" s="54">
        <v>0.23</v>
      </c>
      <c r="K32" s="54">
        <v>226.16</v>
      </c>
      <c r="L32" s="54">
        <v>14.72</v>
      </c>
      <c r="M32" s="54">
        <v>79.97</v>
      </c>
      <c r="N32" s="54">
        <v>0</v>
      </c>
      <c r="O32" s="54">
        <v>0</v>
      </c>
      <c r="P32" s="54">
        <v>1.1499999999999999</v>
      </c>
      <c r="Q32" s="54">
        <v>5.52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5.21</v>
      </c>
      <c r="C34" s="41">
        <f t="shared" si="0"/>
        <v>24.69</v>
      </c>
      <c r="D34" s="41">
        <f t="shared" si="0"/>
        <v>18.41</v>
      </c>
      <c r="E34" s="41">
        <f t="shared" si="0"/>
        <v>5.08</v>
      </c>
      <c r="F34" s="41">
        <f t="shared" si="0"/>
        <v>2.58</v>
      </c>
      <c r="G34" s="41">
        <f t="shared" si="0"/>
        <v>70.930000000000007</v>
      </c>
      <c r="H34" s="41">
        <f t="shared" si="0"/>
        <v>30.78</v>
      </c>
      <c r="I34" s="41">
        <f t="shared" si="0"/>
        <v>5.88</v>
      </c>
      <c r="J34" s="41">
        <f t="shared" si="0"/>
        <v>0.08</v>
      </c>
      <c r="K34" s="41">
        <f t="shared" si="0"/>
        <v>30.83</v>
      </c>
      <c r="L34" s="41">
        <f t="shared" si="0"/>
        <v>14.1</v>
      </c>
      <c r="M34" s="41">
        <f t="shared" si="0"/>
        <v>36.090000000000003</v>
      </c>
      <c r="N34" s="41">
        <f t="shared" si="0"/>
        <v>0</v>
      </c>
      <c r="O34" s="41">
        <f t="shared" si="0"/>
        <v>0</v>
      </c>
      <c r="P34" s="41">
        <f t="shared" si="0"/>
        <v>0.66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29.91</v>
      </c>
      <c r="C35" s="33">
        <f t="shared" si="1"/>
        <v>35.06</v>
      </c>
      <c r="D35" s="33">
        <f t="shared" si="1"/>
        <v>42.55</v>
      </c>
      <c r="E35" s="33">
        <f t="shared" si="1"/>
        <v>6.87</v>
      </c>
      <c r="F35" s="33">
        <f t="shared" si="1"/>
        <v>3.99</v>
      </c>
      <c r="G35" s="33">
        <f t="shared" si="1"/>
        <v>119.56</v>
      </c>
      <c r="H35" s="33">
        <f t="shared" si="1"/>
        <v>52.08</v>
      </c>
      <c r="I35" s="33">
        <f t="shared" si="1"/>
        <v>9.4</v>
      </c>
      <c r="J35" s="33">
        <f t="shared" si="1"/>
        <v>0.87</v>
      </c>
      <c r="K35" s="33">
        <f t="shared" si="1"/>
        <v>353.64</v>
      </c>
      <c r="L35" s="33">
        <f t="shared" si="1"/>
        <v>24.98</v>
      </c>
      <c r="M35" s="33">
        <f t="shared" si="1"/>
        <v>87</v>
      </c>
      <c r="N35" s="33">
        <f t="shared" si="1"/>
        <v>499.8</v>
      </c>
      <c r="O35" s="33">
        <f t="shared" si="1"/>
        <v>0</v>
      </c>
      <c r="P35" s="33">
        <f t="shared" si="1"/>
        <v>1.1499999999999999</v>
      </c>
      <c r="Q35" s="33">
        <f t="shared" si="1"/>
        <v>5.66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16.228749999999994</v>
      </c>
      <c r="C36" s="41">
        <f t="shared" si="2"/>
        <v>31.204583333333336</v>
      </c>
      <c r="D36" s="41">
        <f t="shared" si="2"/>
        <v>30.579583333333332</v>
      </c>
      <c r="E36" s="41">
        <f t="shared" si="2"/>
        <v>5.8083333333333336</v>
      </c>
      <c r="F36" s="41">
        <f t="shared" si="2"/>
        <v>3.0416666666666665</v>
      </c>
      <c r="G36" s="41">
        <f t="shared" si="2"/>
        <v>91.413750000000007</v>
      </c>
      <c r="H36" s="41">
        <f t="shared" si="2"/>
        <v>39.665000000000013</v>
      </c>
      <c r="I36" s="41">
        <f t="shared" si="2"/>
        <v>7.6620833333333342</v>
      </c>
      <c r="J36" s="41">
        <f t="shared" si="2"/>
        <v>0.38666666666666671</v>
      </c>
      <c r="K36" s="41">
        <f t="shared" si="2"/>
        <v>130.66125</v>
      </c>
      <c r="L36" s="41">
        <f t="shared" si="2"/>
        <v>18.482916666666664</v>
      </c>
      <c r="M36" s="41">
        <f t="shared" si="2"/>
        <v>66.341250000000002</v>
      </c>
      <c r="N36" s="41">
        <f t="shared" si="2"/>
        <v>111.47083333333335</v>
      </c>
      <c r="O36" s="41">
        <f t="shared" si="2"/>
        <v>0</v>
      </c>
      <c r="P36" s="41">
        <f t="shared" si="2"/>
        <v>0.87499999999999989</v>
      </c>
      <c r="Q36" s="41">
        <f t="shared" si="2"/>
        <v>5.29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8.8671201699704056</v>
      </c>
      <c r="C37" s="41">
        <f t="shared" ref="C37:Q37" si="3">STDEV(C9:C32)</f>
        <v>2.718125919543148</v>
      </c>
      <c r="D37" s="41">
        <f t="shared" si="3"/>
        <v>7.7120591504850147</v>
      </c>
      <c r="E37" s="41">
        <f t="shared" si="3"/>
        <v>0.43749948240135</v>
      </c>
      <c r="F37" s="41">
        <f t="shared" si="3"/>
        <v>0.42309076697731363</v>
      </c>
      <c r="G37" s="41">
        <f t="shared" si="3"/>
        <v>17.002779264502301</v>
      </c>
      <c r="H37" s="41">
        <f t="shared" si="3"/>
        <v>7.3375170542723973</v>
      </c>
      <c r="I37" s="41">
        <f t="shared" si="3"/>
        <v>1.1213035084093037</v>
      </c>
      <c r="J37" s="41">
        <f t="shared" si="3"/>
        <v>0.25586454749860649</v>
      </c>
      <c r="K37" s="41">
        <f t="shared" si="3"/>
        <v>89.577802049998368</v>
      </c>
      <c r="L37" s="41">
        <f t="shared" si="3"/>
        <v>4.0724498333223949</v>
      </c>
      <c r="M37" s="41">
        <f t="shared" si="3"/>
        <v>19.829287586689826</v>
      </c>
      <c r="N37" s="41">
        <f t="shared" si="3"/>
        <v>177.43749292336031</v>
      </c>
      <c r="O37" s="41">
        <f t="shared" si="3"/>
        <v>0</v>
      </c>
      <c r="P37" s="41">
        <f t="shared" si="3"/>
        <v>0.15926461437276188</v>
      </c>
      <c r="Q37" s="41">
        <f t="shared" si="3"/>
        <v>0.23146039195396845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45279.041666666664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3">
        <v>45279.041666666664</v>
      </c>
      <c r="B9" s="54">
        <v>29.88</v>
      </c>
      <c r="C9" s="54">
        <v>34.15</v>
      </c>
      <c r="D9" s="54">
        <v>43.06</v>
      </c>
      <c r="E9" s="54">
        <v>5.96</v>
      </c>
      <c r="F9" s="54">
        <v>2.66</v>
      </c>
      <c r="G9" s="54">
        <v>118.38</v>
      </c>
      <c r="H9" s="54">
        <v>50.72</v>
      </c>
      <c r="I9" s="54">
        <v>9.31</v>
      </c>
      <c r="J9" s="54">
        <v>0.27</v>
      </c>
      <c r="K9" s="54">
        <v>52.68</v>
      </c>
      <c r="L9" s="54">
        <v>14.6</v>
      </c>
      <c r="M9" s="54">
        <v>68.5</v>
      </c>
      <c r="N9" s="54">
        <v>0</v>
      </c>
      <c r="O9" s="54">
        <v>0</v>
      </c>
      <c r="P9" s="54">
        <v>1.1100000000000001</v>
      </c>
      <c r="Q9" s="54">
        <v>5.6</v>
      </c>
    </row>
    <row r="10" spans="1:21" customFormat="1">
      <c r="A10" s="53">
        <v>45279.083333333336</v>
      </c>
      <c r="B10" s="54">
        <v>28.42</v>
      </c>
      <c r="C10" s="54">
        <v>33.42</v>
      </c>
      <c r="D10" s="54">
        <v>41.6</v>
      </c>
      <c r="E10" s="54">
        <v>5.58</v>
      </c>
      <c r="F10" s="54">
        <v>2.67</v>
      </c>
      <c r="G10" s="54">
        <v>113.68</v>
      </c>
      <c r="H10" s="54">
        <v>51.04</v>
      </c>
      <c r="I10" s="54">
        <v>9.1</v>
      </c>
      <c r="J10" s="54">
        <v>0.28999999999999998</v>
      </c>
      <c r="K10" s="54">
        <v>31.5</v>
      </c>
      <c r="L10" s="54">
        <v>14.63</v>
      </c>
      <c r="M10" s="54">
        <v>63.59</v>
      </c>
      <c r="N10" s="54">
        <v>0</v>
      </c>
      <c r="O10" s="54">
        <v>0</v>
      </c>
      <c r="P10" s="54">
        <v>1.07</v>
      </c>
      <c r="Q10" s="54">
        <v>5.57</v>
      </c>
    </row>
    <row r="11" spans="1:21" customFormat="1">
      <c r="A11" s="53">
        <v>45279.125</v>
      </c>
      <c r="B11" s="54">
        <v>24.25</v>
      </c>
      <c r="C11" s="54">
        <v>32.14</v>
      </c>
      <c r="D11" s="54">
        <v>37.590000000000003</v>
      </c>
      <c r="E11" s="54">
        <v>7.19</v>
      </c>
      <c r="F11" s="54">
        <v>2.72</v>
      </c>
      <c r="G11" s="54">
        <v>97.02</v>
      </c>
      <c r="H11" s="54">
        <v>47.96</v>
      </c>
      <c r="I11" s="54">
        <v>8.65</v>
      </c>
      <c r="J11" s="54">
        <v>0.41</v>
      </c>
      <c r="K11" s="54">
        <v>34.14</v>
      </c>
      <c r="L11" s="54">
        <v>14.33</v>
      </c>
      <c r="M11" s="54">
        <v>63.37</v>
      </c>
      <c r="N11" s="54">
        <v>0</v>
      </c>
      <c r="O11" s="54">
        <v>0</v>
      </c>
      <c r="P11" s="54">
        <v>1</v>
      </c>
      <c r="Q11" s="54">
        <v>5.48</v>
      </c>
    </row>
    <row r="12" spans="1:21" customFormat="1">
      <c r="A12" s="53">
        <v>45279.166666666664</v>
      </c>
      <c r="B12" s="54">
        <v>20.21</v>
      </c>
      <c r="C12" s="54">
        <v>30.47</v>
      </c>
      <c r="D12" s="54">
        <v>33.479999999999997</v>
      </c>
      <c r="E12" s="54">
        <v>6.65</v>
      </c>
      <c r="F12" s="54">
        <v>2.96</v>
      </c>
      <c r="G12" s="54">
        <v>74.95</v>
      </c>
      <c r="H12" s="54">
        <v>40.39</v>
      </c>
      <c r="I12" s="54">
        <v>8.0500000000000007</v>
      </c>
      <c r="J12" s="54">
        <v>0.43</v>
      </c>
      <c r="K12" s="54">
        <v>40.81</v>
      </c>
      <c r="L12" s="54">
        <v>13.61</v>
      </c>
      <c r="M12" s="54">
        <v>66.12</v>
      </c>
      <c r="N12" s="54">
        <v>0</v>
      </c>
      <c r="O12" s="54">
        <v>0</v>
      </c>
      <c r="P12" s="54">
        <v>0.92</v>
      </c>
      <c r="Q12" s="54">
        <v>5.37</v>
      </c>
    </row>
    <row r="13" spans="1:21" customFormat="1">
      <c r="A13" s="53">
        <v>45279.208333333336</v>
      </c>
      <c r="B13" s="54">
        <v>17.989999999999998</v>
      </c>
      <c r="C13" s="54">
        <v>29.25</v>
      </c>
      <c r="D13" s="54">
        <v>31.01</v>
      </c>
      <c r="E13" s="54">
        <v>6.12</v>
      </c>
      <c r="F13" s="54">
        <v>2.98</v>
      </c>
      <c r="G13" s="54">
        <v>74.39</v>
      </c>
      <c r="H13" s="54">
        <v>36.35</v>
      </c>
      <c r="I13" s="54">
        <v>7.38</v>
      </c>
      <c r="J13" s="54">
        <v>0.44</v>
      </c>
      <c r="K13" s="54">
        <v>70.22</v>
      </c>
      <c r="L13" s="54">
        <v>13.37</v>
      </c>
      <c r="M13" s="54">
        <v>71.930000000000007</v>
      </c>
      <c r="N13" s="54">
        <v>0</v>
      </c>
      <c r="O13" s="54">
        <v>0</v>
      </c>
      <c r="P13" s="54">
        <v>0.86</v>
      </c>
      <c r="Q13" s="54">
        <v>5.29</v>
      </c>
    </row>
    <row r="14" spans="1:21" customFormat="1">
      <c r="A14" s="53">
        <v>45279.25</v>
      </c>
      <c r="B14" s="54">
        <v>19.54</v>
      </c>
      <c r="C14" s="54">
        <v>29.24</v>
      </c>
      <c r="D14" s="54">
        <v>32.29</v>
      </c>
      <c r="E14" s="54">
        <v>6.47</v>
      </c>
      <c r="F14" s="54">
        <v>2.9</v>
      </c>
      <c r="G14" s="54">
        <v>70.53</v>
      </c>
      <c r="H14" s="54">
        <v>37.229999999999997</v>
      </c>
      <c r="I14" s="54">
        <v>7</v>
      </c>
      <c r="J14" s="54">
        <v>0.32</v>
      </c>
      <c r="K14" s="54">
        <v>40.57</v>
      </c>
      <c r="L14" s="54">
        <v>12.49</v>
      </c>
      <c r="M14" s="54">
        <v>76.53</v>
      </c>
      <c r="N14" s="54">
        <v>0</v>
      </c>
      <c r="O14" s="54">
        <v>0</v>
      </c>
      <c r="P14" s="54">
        <v>0.82</v>
      </c>
      <c r="Q14" s="54">
        <v>5.3</v>
      </c>
    </row>
    <row r="15" spans="1:21" customFormat="1">
      <c r="A15" s="53">
        <v>45279.291666666664</v>
      </c>
      <c r="B15" s="54">
        <v>20.59</v>
      </c>
      <c r="C15" s="54">
        <v>29.36</v>
      </c>
      <c r="D15" s="54">
        <v>33.21</v>
      </c>
      <c r="E15" s="54">
        <v>6.35</v>
      </c>
      <c r="F15" s="54">
        <v>2.75</v>
      </c>
      <c r="G15" s="54">
        <v>70.03</v>
      </c>
      <c r="H15" s="54">
        <v>37.96</v>
      </c>
      <c r="I15" s="54">
        <v>6.75</v>
      </c>
      <c r="J15" s="54">
        <v>0.36</v>
      </c>
      <c r="K15" s="54">
        <v>42.37</v>
      </c>
      <c r="L15" s="54">
        <v>12.02</v>
      </c>
      <c r="M15" s="54">
        <v>77.349999999999994</v>
      </c>
      <c r="N15" s="54">
        <v>1.6</v>
      </c>
      <c r="O15" s="54">
        <v>0</v>
      </c>
      <c r="P15" s="54">
        <v>0.82</v>
      </c>
      <c r="Q15" s="54">
        <v>5.34</v>
      </c>
    </row>
    <row r="16" spans="1:21" customFormat="1">
      <c r="A16" s="53">
        <v>45279.333333333336</v>
      </c>
      <c r="B16" s="54">
        <v>22.26</v>
      </c>
      <c r="C16" s="54">
        <v>29.84</v>
      </c>
      <c r="D16" s="54">
        <v>34.79</v>
      </c>
      <c r="E16" s="54">
        <v>6.47</v>
      </c>
      <c r="F16" s="54">
        <v>2.76</v>
      </c>
      <c r="G16" s="54">
        <v>79.400000000000006</v>
      </c>
      <c r="H16" s="54">
        <v>37.19</v>
      </c>
      <c r="I16" s="54">
        <v>7.16</v>
      </c>
      <c r="J16" s="54">
        <v>0.55000000000000004</v>
      </c>
      <c r="K16" s="54">
        <v>41.95</v>
      </c>
      <c r="L16" s="54">
        <v>13.86</v>
      </c>
      <c r="M16" s="54">
        <v>75.14</v>
      </c>
      <c r="N16" s="54">
        <v>74.099999999999994</v>
      </c>
      <c r="O16" s="54">
        <v>0</v>
      </c>
      <c r="P16" s="54">
        <v>0.87</v>
      </c>
      <c r="Q16" s="54">
        <v>5.39</v>
      </c>
    </row>
    <row r="17" spans="1:17" customFormat="1">
      <c r="A17" s="53">
        <v>45279.375</v>
      </c>
      <c r="B17" s="54">
        <v>21.54</v>
      </c>
      <c r="C17" s="54">
        <v>31.49</v>
      </c>
      <c r="D17" s="54">
        <v>34.32</v>
      </c>
      <c r="E17" s="54">
        <v>6.39</v>
      </c>
      <c r="F17" s="54">
        <v>2.78</v>
      </c>
      <c r="G17" s="54">
        <v>87.72</v>
      </c>
      <c r="H17" s="54">
        <v>38.9</v>
      </c>
      <c r="I17" s="54">
        <v>7.46</v>
      </c>
      <c r="J17" s="54">
        <v>0.69</v>
      </c>
      <c r="K17" s="54">
        <v>38.99</v>
      </c>
      <c r="L17" s="54">
        <v>17.78</v>
      </c>
      <c r="M17" s="54">
        <v>63.84</v>
      </c>
      <c r="N17" s="54">
        <v>258.8</v>
      </c>
      <c r="O17" s="54">
        <v>0</v>
      </c>
      <c r="P17" s="54">
        <v>0.86</v>
      </c>
      <c r="Q17" s="54">
        <v>5.37</v>
      </c>
    </row>
    <row r="18" spans="1:17" customFormat="1">
      <c r="A18" s="53">
        <v>45279.416666666664</v>
      </c>
      <c r="B18" s="54">
        <v>18.72</v>
      </c>
      <c r="C18" s="54">
        <v>29.77</v>
      </c>
      <c r="D18" s="54">
        <v>31.91</v>
      </c>
      <c r="E18" s="54">
        <v>6.85</v>
      </c>
      <c r="F18" s="54">
        <v>2.78</v>
      </c>
      <c r="G18" s="54">
        <v>72.83</v>
      </c>
      <c r="H18" s="54">
        <v>34.840000000000003</v>
      </c>
      <c r="I18" s="54">
        <v>7.33</v>
      </c>
      <c r="J18" s="54">
        <v>0.95</v>
      </c>
      <c r="K18" s="54">
        <v>53.06</v>
      </c>
      <c r="L18" s="54">
        <v>20.079999999999998</v>
      </c>
      <c r="M18" s="54">
        <v>49.4</v>
      </c>
      <c r="N18" s="54">
        <v>237.5</v>
      </c>
      <c r="O18" s="54">
        <v>0</v>
      </c>
      <c r="P18" s="54">
        <v>0.86</v>
      </c>
      <c r="Q18" s="54">
        <v>5.3</v>
      </c>
    </row>
    <row r="19" spans="1:17" customFormat="1">
      <c r="A19" s="53">
        <v>45279.458333333336</v>
      </c>
      <c r="B19" s="54">
        <v>17.57</v>
      </c>
      <c r="C19" s="54">
        <v>29.08</v>
      </c>
      <c r="D19" s="54">
        <v>30.63</v>
      </c>
      <c r="E19" s="54">
        <v>8.32</v>
      </c>
      <c r="F19" s="54">
        <v>3.17</v>
      </c>
      <c r="G19" s="54">
        <v>73.73</v>
      </c>
      <c r="H19" s="54">
        <v>33.85</v>
      </c>
      <c r="I19" s="54">
        <v>7.22</v>
      </c>
      <c r="J19" s="54">
        <v>0.99</v>
      </c>
      <c r="K19" s="54">
        <v>49</v>
      </c>
      <c r="L19" s="54">
        <v>21.55</v>
      </c>
      <c r="M19" s="54">
        <v>39.93</v>
      </c>
      <c r="N19" s="54">
        <v>500.2</v>
      </c>
      <c r="O19" s="54">
        <v>0</v>
      </c>
      <c r="P19" s="54">
        <v>0.83</v>
      </c>
      <c r="Q19" s="54">
        <v>5.28</v>
      </c>
    </row>
    <row r="20" spans="1:17" customFormat="1">
      <c r="A20" s="53">
        <v>45279.5</v>
      </c>
      <c r="B20" s="54">
        <v>15.5</v>
      </c>
      <c r="C20" s="54">
        <v>28.6</v>
      </c>
      <c r="D20" s="54">
        <v>28.73</v>
      </c>
      <c r="E20" s="54">
        <v>8.15</v>
      </c>
      <c r="F20" s="54">
        <v>3.3</v>
      </c>
      <c r="G20" s="54">
        <v>70.27</v>
      </c>
      <c r="H20" s="54">
        <v>30.74</v>
      </c>
      <c r="I20" s="54">
        <v>6.9</v>
      </c>
      <c r="J20" s="54">
        <v>0.83</v>
      </c>
      <c r="K20" s="54">
        <v>44.24</v>
      </c>
      <c r="L20" s="54">
        <v>23.01</v>
      </c>
      <c r="M20" s="54">
        <v>33.25</v>
      </c>
      <c r="N20" s="54">
        <v>566.20000000000005</v>
      </c>
      <c r="O20" s="54">
        <v>0</v>
      </c>
      <c r="P20" s="54">
        <v>0.79</v>
      </c>
      <c r="Q20" s="54">
        <v>5.22</v>
      </c>
    </row>
    <row r="21" spans="1:17" customFormat="1">
      <c r="A21" s="53">
        <v>45279.541666666664</v>
      </c>
      <c r="B21" s="54">
        <v>12.19</v>
      </c>
      <c r="C21" s="54">
        <v>27.35</v>
      </c>
      <c r="D21" s="54">
        <v>25.42</v>
      </c>
      <c r="E21" s="54">
        <v>8.25</v>
      </c>
      <c r="F21" s="54">
        <v>4.2</v>
      </c>
      <c r="G21" s="54">
        <v>68.67</v>
      </c>
      <c r="H21" s="54">
        <v>30.44</v>
      </c>
      <c r="I21" s="54">
        <v>6.53</v>
      </c>
      <c r="J21" s="54">
        <v>0.78</v>
      </c>
      <c r="K21" s="54">
        <v>41.45</v>
      </c>
      <c r="L21" s="54">
        <v>23.64</v>
      </c>
      <c r="M21" s="54">
        <v>30.47</v>
      </c>
      <c r="N21" s="54">
        <v>567.1</v>
      </c>
      <c r="O21" s="54">
        <v>0</v>
      </c>
      <c r="P21" s="54">
        <v>0.76</v>
      </c>
      <c r="Q21" s="54">
        <v>5.14</v>
      </c>
    </row>
    <row r="22" spans="1:17" customFormat="1">
      <c r="A22" s="53">
        <v>45279.583333333336</v>
      </c>
      <c r="B22" s="54">
        <v>8.2100000000000009</v>
      </c>
      <c r="C22" s="54">
        <v>27.1</v>
      </c>
      <c r="D22" s="54">
        <v>22.09</v>
      </c>
      <c r="E22" s="54">
        <v>7.73</v>
      </c>
      <c r="F22" s="54">
        <v>4.8099999999999996</v>
      </c>
      <c r="G22" s="54">
        <v>70.66</v>
      </c>
      <c r="H22" s="54">
        <v>29.15</v>
      </c>
      <c r="I22" s="54">
        <v>6.17</v>
      </c>
      <c r="J22" s="54">
        <v>0.66</v>
      </c>
      <c r="K22" s="54">
        <v>100.12</v>
      </c>
      <c r="L22" s="54">
        <v>24.36</v>
      </c>
      <c r="M22" s="54">
        <v>27.93</v>
      </c>
      <c r="N22" s="54">
        <v>498</v>
      </c>
      <c r="O22" s="54">
        <v>0</v>
      </c>
      <c r="P22" s="54">
        <v>0.76</v>
      </c>
      <c r="Q22" s="54">
        <v>5.03</v>
      </c>
    </row>
    <row r="23" spans="1:17" customFormat="1">
      <c r="A23" s="53">
        <v>45279.625</v>
      </c>
      <c r="B23" s="54">
        <v>5.77</v>
      </c>
      <c r="C23" s="54">
        <v>25.71</v>
      </c>
      <c r="D23" s="54">
        <v>19.41</v>
      </c>
      <c r="E23" s="54">
        <v>7.69</v>
      </c>
      <c r="F23" s="54">
        <v>5.96</v>
      </c>
      <c r="G23" s="54">
        <v>65.709999999999994</v>
      </c>
      <c r="H23" s="54">
        <v>29.37</v>
      </c>
      <c r="I23" s="54">
        <v>5.97</v>
      </c>
      <c r="J23" s="54">
        <v>0.69</v>
      </c>
      <c r="K23" s="54">
        <v>330.37</v>
      </c>
      <c r="L23" s="54">
        <v>23.87</v>
      </c>
      <c r="M23" s="54">
        <v>26.86</v>
      </c>
      <c r="N23" s="54">
        <v>159.69999999999999</v>
      </c>
      <c r="O23" s="54">
        <v>0</v>
      </c>
      <c r="P23" s="54">
        <v>0.63</v>
      </c>
      <c r="Q23" s="54">
        <v>4.95</v>
      </c>
    </row>
    <row r="24" spans="1:17" customFormat="1">
      <c r="A24" s="53">
        <v>45279.666666666664</v>
      </c>
      <c r="B24" s="54">
        <v>5.42</v>
      </c>
      <c r="C24" s="54">
        <v>26.06</v>
      </c>
      <c r="D24" s="54">
        <v>19.309999999999999</v>
      </c>
      <c r="E24" s="54">
        <v>7.79</v>
      </c>
      <c r="F24" s="54">
        <v>5.4</v>
      </c>
      <c r="G24" s="54">
        <v>62.92</v>
      </c>
      <c r="H24" s="54">
        <v>29.57</v>
      </c>
      <c r="I24" s="54">
        <v>5.63</v>
      </c>
      <c r="J24" s="54">
        <v>0.46</v>
      </c>
      <c r="K24" s="54">
        <v>66.400000000000006</v>
      </c>
      <c r="L24" s="54">
        <v>23.48</v>
      </c>
      <c r="M24" s="54">
        <v>27.28</v>
      </c>
      <c r="N24" s="54">
        <v>77.7</v>
      </c>
      <c r="O24" s="54">
        <v>0</v>
      </c>
      <c r="P24" s="54">
        <v>0.65</v>
      </c>
      <c r="Q24" s="54">
        <v>4.92</v>
      </c>
    </row>
    <row r="25" spans="1:17" customFormat="1">
      <c r="A25" s="53">
        <v>45279.708333333336</v>
      </c>
      <c r="B25" s="54">
        <v>6.15</v>
      </c>
      <c r="C25" s="54">
        <v>29.17</v>
      </c>
      <c r="D25" s="54">
        <v>21.52</v>
      </c>
      <c r="E25" s="54">
        <v>7.35</v>
      </c>
      <c r="F25" s="54">
        <v>4.4000000000000004</v>
      </c>
      <c r="G25" s="54">
        <v>69.72</v>
      </c>
      <c r="H25" s="54">
        <v>30.88</v>
      </c>
      <c r="I25" s="54">
        <v>5.55</v>
      </c>
      <c r="J25" s="54">
        <v>0.39</v>
      </c>
      <c r="K25" s="54">
        <v>67.900000000000006</v>
      </c>
      <c r="L25" s="54">
        <v>22.89</v>
      </c>
      <c r="M25" s="54">
        <v>32.619999999999997</v>
      </c>
      <c r="N25" s="54">
        <v>34.200000000000003</v>
      </c>
      <c r="O25" s="54">
        <v>0</v>
      </c>
      <c r="P25" s="54">
        <v>0.69</v>
      </c>
      <c r="Q25" s="54">
        <v>4.96</v>
      </c>
    </row>
    <row r="26" spans="1:17" customFormat="1">
      <c r="A26" s="53">
        <v>45279.75</v>
      </c>
      <c r="B26" s="54">
        <v>7.42</v>
      </c>
      <c r="C26" s="54">
        <v>31.49</v>
      </c>
      <c r="D26" s="54">
        <v>23.62</v>
      </c>
      <c r="E26" s="54">
        <v>6.99</v>
      </c>
      <c r="F26" s="54">
        <v>3.25</v>
      </c>
      <c r="G26" s="54">
        <v>147.58000000000001</v>
      </c>
      <c r="H26" s="54">
        <v>47.43</v>
      </c>
      <c r="I26" s="54">
        <v>7.33</v>
      </c>
      <c r="J26" s="54">
        <v>0.28000000000000003</v>
      </c>
      <c r="K26" s="54">
        <v>178.94</v>
      </c>
      <c r="L26" s="54">
        <v>20.45</v>
      </c>
      <c r="M26" s="54">
        <v>47.15</v>
      </c>
      <c r="N26" s="54">
        <v>0</v>
      </c>
      <c r="O26" s="54">
        <v>0</v>
      </c>
      <c r="P26" s="54">
        <v>0.81</v>
      </c>
      <c r="Q26" s="54">
        <v>5</v>
      </c>
    </row>
    <row r="27" spans="1:17" customFormat="1">
      <c r="A27" s="53">
        <v>45279.791666666664</v>
      </c>
      <c r="B27" s="54">
        <v>11.25</v>
      </c>
      <c r="C27" s="54">
        <v>34.409999999999997</v>
      </c>
      <c r="D27" s="54">
        <v>28.35</v>
      </c>
      <c r="E27" s="54">
        <v>6.2</v>
      </c>
      <c r="F27" s="54">
        <v>2.8</v>
      </c>
      <c r="G27" s="54">
        <v>224.41</v>
      </c>
      <c r="H27" s="54">
        <v>55.83</v>
      </c>
      <c r="I27" s="54">
        <v>10.76</v>
      </c>
      <c r="J27" s="54">
        <v>0.28000000000000003</v>
      </c>
      <c r="K27" s="54">
        <v>199.17</v>
      </c>
      <c r="L27" s="54">
        <v>17.899999999999999</v>
      </c>
      <c r="M27" s="54">
        <v>66.41</v>
      </c>
      <c r="N27" s="54">
        <v>0</v>
      </c>
      <c r="O27" s="54">
        <v>0</v>
      </c>
      <c r="P27" s="54">
        <v>0.9</v>
      </c>
      <c r="Q27" s="54">
        <v>5.13</v>
      </c>
    </row>
    <row r="28" spans="1:17" customFormat="1">
      <c r="A28" s="53">
        <v>45279.833333333336</v>
      </c>
      <c r="B28" s="54">
        <v>12.7</v>
      </c>
      <c r="C28" s="54">
        <v>33.89</v>
      </c>
      <c r="D28" s="54">
        <v>28.82</v>
      </c>
      <c r="E28" s="54">
        <v>6.06</v>
      </c>
      <c r="F28" s="54">
        <v>2.75</v>
      </c>
      <c r="G28" s="54">
        <v>141.77000000000001</v>
      </c>
      <c r="H28" s="54">
        <v>55.76</v>
      </c>
      <c r="I28" s="54">
        <v>12.03</v>
      </c>
      <c r="J28" s="54">
        <v>0.19</v>
      </c>
      <c r="K28" s="54">
        <v>192.5</v>
      </c>
      <c r="L28" s="54">
        <v>16.32</v>
      </c>
      <c r="M28" s="54">
        <v>73.23</v>
      </c>
      <c r="N28" s="54">
        <v>0</v>
      </c>
      <c r="O28" s="54">
        <v>0</v>
      </c>
      <c r="P28" s="54">
        <v>0.98</v>
      </c>
      <c r="Q28" s="54">
        <v>5.17</v>
      </c>
    </row>
    <row r="29" spans="1:17" customFormat="1">
      <c r="A29" s="53">
        <v>45279.875</v>
      </c>
      <c r="B29" s="54">
        <v>21.35</v>
      </c>
      <c r="C29" s="54">
        <v>34.29</v>
      </c>
      <c r="D29" s="54">
        <v>36.39</v>
      </c>
      <c r="E29" s="54">
        <v>6.09</v>
      </c>
      <c r="F29" s="54">
        <v>2.65</v>
      </c>
      <c r="G29" s="54">
        <v>110.72</v>
      </c>
      <c r="H29" s="54">
        <v>52.52</v>
      </c>
      <c r="I29" s="54">
        <v>12.1</v>
      </c>
      <c r="J29" s="54">
        <v>0.23</v>
      </c>
      <c r="K29" s="54">
        <v>202.3</v>
      </c>
      <c r="L29" s="54">
        <v>15.25</v>
      </c>
      <c r="M29" s="54">
        <v>72.91</v>
      </c>
      <c r="N29" s="54">
        <v>0</v>
      </c>
      <c r="O29" s="54">
        <v>0</v>
      </c>
      <c r="P29" s="54">
        <v>1.1100000000000001</v>
      </c>
      <c r="Q29" s="54">
        <v>5.32</v>
      </c>
    </row>
    <row r="30" spans="1:17" customFormat="1">
      <c r="A30" s="53">
        <v>45279.916666666664</v>
      </c>
      <c r="B30" s="54">
        <v>34.979999999999997</v>
      </c>
      <c r="C30" s="54">
        <v>35.44</v>
      </c>
      <c r="D30" s="54">
        <v>47.89</v>
      </c>
      <c r="E30" s="54">
        <v>6.66</v>
      </c>
      <c r="F30" s="54">
        <v>2.63</v>
      </c>
      <c r="G30" s="54">
        <v>124.08</v>
      </c>
      <c r="H30" s="54">
        <v>53.02</v>
      </c>
      <c r="I30" s="54">
        <v>13.08</v>
      </c>
      <c r="J30" s="54">
        <v>0.22</v>
      </c>
      <c r="K30" s="54">
        <v>198.95</v>
      </c>
      <c r="L30" s="54">
        <v>15.04</v>
      </c>
      <c r="M30" s="54">
        <v>81.650000000000006</v>
      </c>
      <c r="N30" s="54">
        <v>0</v>
      </c>
      <c r="O30" s="54">
        <v>0</v>
      </c>
      <c r="P30" s="54">
        <v>1.22</v>
      </c>
      <c r="Q30" s="54">
        <v>5.66</v>
      </c>
    </row>
    <row r="31" spans="1:17" customFormat="1">
      <c r="A31" s="53">
        <v>45279.958333333336</v>
      </c>
      <c r="B31" s="54">
        <v>42.57</v>
      </c>
      <c r="C31" s="54">
        <v>36.06</v>
      </c>
      <c r="D31" s="54">
        <v>54.33</v>
      </c>
      <c r="E31" s="54">
        <v>6.85</v>
      </c>
      <c r="F31" s="54">
        <v>2.65</v>
      </c>
      <c r="G31" s="54">
        <v>130.5</v>
      </c>
      <c r="H31" s="54">
        <v>55.12</v>
      </c>
      <c r="I31" s="54">
        <v>13.66</v>
      </c>
      <c r="J31" s="54">
        <v>0.14000000000000001</v>
      </c>
      <c r="K31" s="54">
        <v>164.3</v>
      </c>
      <c r="L31" s="54">
        <v>14.5</v>
      </c>
      <c r="M31" s="54">
        <v>79.17</v>
      </c>
      <c r="N31" s="54">
        <v>0</v>
      </c>
      <c r="O31" s="54">
        <v>0</v>
      </c>
      <c r="P31" s="54">
        <v>1.3</v>
      </c>
      <c r="Q31" s="54">
        <v>5.82</v>
      </c>
    </row>
    <row r="32" spans="1:17" customFormat="1">
      <c r="A32" s="53">
        <v>45280</v>
      </c>
      <c r="B32" s="54">
        <v>50.48</v>
      </c>
      <c r="C32" s="54">
        <v>36.630000000000003</v>
      </c>
      <c r="D32" s="54">
        <v>60.97</v>
      </c>
      <c r="E32" s="54">
        <v>6.94</v>
      </c>
      <c r="F32" s="54">
        <v>2.84</v>
      </c>
      <c r="G32" s="54">
        <v>135.32</v>
      </c>
      <c r="H32" s="54">
        <v>58.12</v>
      </c>
      <c r="I32" s="54">
        <v>13.78</v>
      </c>
      <c r="J32" s="54">
        <v>0.11</v>
      </c>
      <c r="K32" s="54">
        <v>244.43</v>
      </c>
      <c r="L32" s="54">
        <v>13.84</v>
      </c>
      <c r="M32" s="54">
        <v>77.16</v>
      </c>
      <c r="N32" s="54">
        <v>0</v>
      </c>
      <c r="O32" s="54">
        <v>0</v>
      </c>
      <c r="P32" s="54">
        <v>1.31</v>
      </c>
      <c r="Q32" s="54">
        <v>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5.42</v>
      </c>
      <c r="C34" s="41">
        <f t="shared" si="0"/>
        <v>25.71</v>
      </c>
      <c r="D34" s="41">
        <f t="shared" si="0"/>
        <v>19.309999999999999</v>
      </c>
      <c r="E34" s="41">
        <f t="shared" si="0"/>
        <v>5.58</v>
      </c>
      <c r="F34" s="41">
        <f t="shared" si="0"/>
        <v>2.63</v>
      </c>
      <c r="G34" s="41">
        <f t="shared" si="0"/>
        <v>62.92</v>
      </c>
      <c r="H34" s="41">
        <f t="shared" si="0"/>
        <v>29.15</v>
      </c>
      <c r="I34" s="41">
        <f t="shared" si="0"/>
        <v>5.55</v>
      </c>
      <c r="J34" s="41">
        <f t="shared" si="0"/>
        <v>0.11</v>
      </c>
      <c r="K34" s="41">
        <f t="shared" si="0"/>
        <v>31.5</v>
      </c>
      <c r="L34" s="41">
        <f t="shared" si="0"/>
        <v>12.02</v>
      </c>
      <c r="M34" s="41">
        <f t="shared" si="0"/>
        <v>26.86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4.92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50.48</v>
      </c>
      <c r="C35" s="33">
        <f t="shared" si="1"/>
        <v>36.630000000000003</v>
      </c>
      <c r="D35" s="33">
        <f t="shared" si="1"/>
        <v>60.97</v>
      </c>
      <c r="E35" s="33">
        <f t="shared" si="1"/>
        <v>8.32</v>
      </c>
      <c r="F35" s="33">
        <f t="shared" si="1"/>
        <v>5.96</v>
      </c>
      <c r="G35" s="33">
        <f t="shared" si="1"/>
        <v>224.41</v>
      </c>
      <c r="H35" s="33">
        <f t="shared" si="1"/>
        <v>58.12</v>
      </c>
      <c r="I35" s="33">
        <f t="shared" si="1"/>
        <v>13.78</v>
      </c>
      <c r="J35" s="33">
        <f t="shared" si="1"/>
        <v>0.99</v>
      </c>
      <c r="K35" s="33">
        <f t="shared" si="1"/>
        <v>330.37</v>
      </c>
      <c r="L35" s="33">
        <f t="shared" si="1"/>
        <v>24.36</v>
      </c>
      <c r="M35" s="33">
        <f t="shared" si="1"/>
        <v>81.650000000000006</v>
      </c>
      <c r="N35" s="33">
        <f t="shared" si="1"/>
        <v>567.1</v>
      </c>
      <c r="O35" s="33">
        <f t="shared" si="1"/>
        <v>0</v>
      </c>
      <c r="P35" s="33">
        <f t="shared" si="1"/>
        <v>1.31</v>
      </c>
      <c r="Q35" s="33">
        <f t="shared" si="1"/>
        <v>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19.79</v>
      </c>
      <c r="C36" s="41">
        <f t="shared" si="2"/>
        <v>31.017083333333332</v>
      </c>
      <c r="D36" s="41">
        <f t="shared" si="2"/>
        <v>33.364166666666669</v>
      </c>
      <c r="E36" s="41">
        <f t="shared" si="2"/>
        <v>6.8791666666666664</v>
      </c>
      <c r="F36" s="41">
        <f t="shared" si="2"/>
        <v>3.2820833333333339</v>
      </c>
      <c r="G36" s="41">
        <f t="shared" si="2"/>
        <v>98.124583333333348</v>
      </c>
      <c r="H36" s="41">
        <f t="shared" si="2"/>
        <v>41.849166666666669</v>
      </c>
      <c r="I36" s="41">
        <f t="shared" si="2"/>
        <v>8.5374999999999996</v>
      </c>
      <c r="J36" s="41">
        <f t="shared" si="2"/>
        <v>0.45666666666666672</v>
      </c>
      <c r="K36" s="41">
        <f t="shared" si="2"/>
        <v>105.265</v>
      </c>
      <c r="L36" s="41">
        <f t="shared" si="2"/>
        <v>17.619583333333331</v>
      </c>
      <c r="M36" s="41">
        <f t="shared" si="2"/>
        <v>57.991250000000008</v>
      </c>
      <c r="N36" s="41">
        <f t="shared" si="2"/>
        <v>123.96249999999998</v>
      </c>
      <c r="O36" s="41">
        <f t="shared" si="2"/>
        <v>0</v>
      </c>
      <c r="P36" s="41">
        <f t="shared" si="2"/>
        <v>0.91374999999999995</v>
      </c>
      <c r="Q36" s="41">
        <f t="shared" si="2"/>
        <v>5.3170833333333327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11.39238952680406</v>
      </c>
      <c r="C37" s="41">
        <f t="shared" ref="C37:Q37" si="3">STDEV(C9:C32)</f>
        <v>3.1696570643836353</v>
      </c>
      <c r="D37" s="41">
        <f t="shared" si="3"/>
        <v>10.437650042313011</v>
      </c>
      <c r="E37" s="41">
        <f t="shared" si="3"/>
        <v>0.77840369914370133</v>
      </c>
      <c r="F37" s="41">
        <f t="shared" si="3"/>
        <v>0.94434692946416821</v>
      </c>
      <c r="G37" s="41">
        <f t="shared" si="3"/>
        <v>38.479702269837809</v>
      </c>
      <c r="H37" s="41">
        <f t="shared" si="3"/>
        <v>10.117075069950523</v>
      </c>
      <c r="I37" s="41">
        <f t="shared" si="3"/>
        <v>2.6064022346321862</v>
      </c>
      <c r="J37" s="41">
        <f t="shared" si="3"/>
        <v>0.25455274787217552</v>
      </c>
      <c r="K37" s="41">
        <f t="shared" si="3"/>
        <v>84.797428796130262</v>
      </c>
      <c r="L37" s="41">
        <f t="shared" si="3"/>
        <v>4.2443430168787817</v>
      </c>
      <c r="M37" s="41">
        <f t="shared" si="3"/>
        <v>19.477975591733681</v>
      </c>
      <c r="N37" s="41">
        <f t="shared" si="3"/>
        <v>201.42709720673247</v>
      </c>
      <c r="O37" s="41">
        <f t="shared" si="3"/>
        <v>0</v>
      </c>
      <c r="P37" s="41">
        <f t="shared" si="3"/>
        <v>0.18906664341489252</v>
      </c>
      <c r="Q37" s="41">
        <f t="shared" si="3"/>
        <v>0.27361475879764263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323</v>
      </c>
      <c r="B9" s="51">
        <v>57.83</v>
      </c>
      <c r="C9" s="51">
        <v>36.24</v>
      </c>
      <c r="D9" s="51">
        <v>66.66</v>
      </c>
      <c r="E9" s="51">
        <v>6.89</v>
      </c>
      <c r="F9" s="51">
        <v>2.75</v>
      </c>
      <c r="G9" s="51">
        <v>150.56</v>
      </c>
      <c r="H9" s="51">
        <v>59.36</v>
      </c>
      <c r="I9" s="51">
        <v>13.94</v>
      </c>
      <c r="J9" s="51">
        <v>0.14000000000000001</v>
      </c>
      <c r="K9" s="51">
        <v>158.5</v>
      </c>
      <c r="L9" s="51">
        <v>13.78</v>
      </c>
      <c r="M9" s="51">
        <v>79.75</v>
      </c>
      <c r="N9" s="51">
        <v>0</v>
      </c>
      <c r="O9" s="51">
        <v>0</v>
      </c>
      <c r="P9" s="51">
        <v>1.33</v>
      </c>
      <c r="Q9" s="51">
        <v>6.15</v>
      </c>
    </row>
    <row r="10" spans="1:21" customFormat="1">
      <c r="A10" s="50" t="s">
        <v>324</v>
      </c>
      <c r="B10" s="51">
        <v>57.11</v>
      </c>
      <c r="C10" s="51">
        <v>36.270000000000003</v>
      </c>
      <c r="D10" s="51">
        <v>66.02</v>
      </c>
      <c r="E10" s="51">
        <v>6.93</v>
      </c>
      <c r="F10" s="51">
        <v>2.68</v>
      </c>
      <c r="G10" s="51">
        <v>158.53</v>
      </c>
      <c r="H10" s="51">
        <v>57.92</v>
      </c>
      <c r="I10" s="51">
        <v>13.88</v>
      </c>
      <c r="J10" s="51">
        <v>0.18</v>
      </c>
      <c r="K10" s="51">
        <v>346.87</v>
      </c>
      <c r="L10" s="51">
        <v>13.92</v>
      </c>
      <c r="M10" s="51">
        <v>68.16</v>
      </c>
      <c r="N10" s="51">
        <v>0</v>
      </c>
      <c r="O10" s="51">
        <v>0</v>
      </c>
      <c r="P10" s="51">
        <v>1.27</v>
      </c>
      <c r="Q10" s="51">
        <v>6.15</v>
      </c>
    </row>
    <row r="11" spans="1:21" customFormat="1">
      <c r="A11" s="50" t="s">
        <v>325</v>
      </c>
      <c r="B11" s="51">
        <v>46.28</v>
      </c>
      <c r="C11" s="51">
        <v>34.54</v>
      </c>
      <c r="D11" s="51">
        <v>56.51</v>
      </c>
      <c r="E11" s="51">
        <v>5.93</v>
      </c>
      <c r="F11" s="51">
        <v>2.77</v>
      </c>
      <c r="G11" s="51">
        <v>88.2</v>
      </c>
      <c r="H11" s="51">
        <v>49.72</v>
      </c>
      <c r="I11" s="51">
        <v>12.66</v>
      </c>
      <c r="J11" s="51">
        <v>0.28000000000000003</v>
      </c>
      <c r="K11" s="51">
        <v>67.239999999999995</v>
      </c>
      <c r="L11" s="51">
        <v>13.29</v>
      </c>
      <c r="M11" s="51">
        <v>64.67</v>
      </c>
      <c r="N11" s="51">
        <v>0</v>
      </c>
      <c r="O11" s="51">
        <v>0</v>
      </c>
      <c r="P11" s="51">
        <v>1.1100000000000001</v>
      </c>
      <c r="Q11" s="51">
        <v>5.93</v>
      </c>
    </row>
    <row r="12" spans="1:21" customFormat="1">
      <c r="A12" s="50" t="s">
        <v>326</v>
      </c>
      <c r="B12" s="51">
        <v>35.25</v>
      </c>
      <c r="C12" s="51">
        <v>33.630000000000003</v>
      </c>
      <c r="D12" s="51">
        <v>47.19</v>
      </c>
      <c r="E12" s="51">
        <v>5.77</v>
      </c>
      <c r="F12" s="51">
        <v>2.83</v>
      </c>
      <c r="G12" s="51">
        <v>55.14</v>
      </c>
      <c r="H12" s="51">
        <v>36.520000000000003</v>
      </c>
      <c r="I12" s="51">
        <v>11.36</v>
      </c>
      <c r="J12" s="51">
        <v>0.14000000000000001</v>
      </c>
      <c r="K12" s="51">
        <v>177.47</v>
      </c>
      <c r="L12" s="51">
        <v>12.93</v>
      </c>
      <c r="M12" s="51">
        <v>78.72</v>
      </c>
      <c r="N12" s="51">
        <v>0</v>
      </c>
      <c r="O12" s="51">
        <v>0</v>
      </c>
      <c r="P12" s="51">
        <v>0.98</v>
      </c>
      <c r="Q12" s="51">
        <v>5.69</v>
      </c>
    </row>
    <row r="13" spans="1:21" customFormat="1">
      <c r="A13" s="50" t="s">
        <v>327</v>
      </c>
      <c r="B13" s="51">
        <v>26.08</v>
      </c>
      <c r="C13" s="51">
        <v>30.06</v>
      </c>
      <c r="D13" s="51">
        <v>37.94</v>
      </c>
      <c r="E13" s="51">
        <v>5.66</v>
      </c>
      <c r="F13" s="51">
        <v>2.73</v>
      </c>
      <c r="G13" s="51">
        <v>60.22</v>
      </c>
      <c r="H13" s="51">
        <v>33.200000000000003</v>
      </c>
      <c r="I13" s="51">
        <v>10.39</v>
      </c>
      <c r="J13" s="51">
        <v>0.15</v>
      </c>
      <c r="K13" s="51">
        <v>281.52</v>
      </c>
      <c r="L13" s="51">
        <v>11.48</v>
      </c>
      <c r="M13" s="51">
        <v>85.63</v>
      </c>
      <c r="N13" s="51">
        <v>0</v>
      </c>
      <c r="O13" s="51">
        <v>0</v>
      </c>
      <c r="P13" s="51">
        <v>0.87</v>
      </c>
      <c r="Q13" s="51">
        <v>5.43</v>
      </c>
    </row>
    <row r="14" spans="1:21" customFormat="1">
      <c r="A14" s="50" t="s">
        <v>328</v>
      </c>
      <c r="B14" s="51">
        <v>28.83</v>
      </c>
      <c r="C14" s="51">
        <v>29.28</v>
      </c>
      <c r="D14" s="51">
        <v>39.54</v>
      </c>
      <c r="E14" s="51">
        <v>5.46</v>
      </c>
      <c r="F14" s="51">
        <v>2.66</v>
      </c>
      <c r="G14" s="51">
        <v>52.05</v>
      </c>
      <c r="H14" s="51">
        <v>28.97</v>
      </c>
      <c r="I14" s="51">
        <v>9.85</v>
      </c>
      <c r="J14" s="51">
        <v>0.1</v>
      </c>
      <c r="K14" s="51">
        <v>277.14</v>
      </c>
      <c r="L14" s="51">
        <v>10.92</v>
      </c>
      <c r="M14" s="51">
        <v>89.12</v>
      </c>
      <c r="N14" s="51">
        <v>0</v>
      </c>
      <c r="O14" s="51">
        <v>0</v>
      </c>
      <c r="P14" s="51">
        <v>0.8</v>
      </c>
      <c r="Q14" s="51">
        <v>5.44</v>
      </c>
    </row>
    <row r="15" spans="1:21" customFormat="1">
      <c r="A15" s="50" t="s">
        <v>329</v>
      </c>
      <c r="B15" s="51">
        <v>38.76</v>
      </c>
      <c r="C15" s="51">
        <v>29.71</v>
      </c>
      <c r="D15" s="51">
        <v>47.93</v>
      </c>
      <c r="E15" s="51">
        <v>5.97</v>
      </c>
      <c r="F15" s="51">
        <v>2.5</v>
      </c>
      <c r="G15" s="51">
        <v>53.97</v>
      </c>
      <c r="H15" s="51">
        <v>28.12</v>
      </c>
      <c r="I15" s="51">
        <v>9.44</v>
      </c>
      <c r="J15" s="51">
        <v>0.14000000000000001</v>
      </c>
      <c r="K15" s="51">
        <v>271.27999999999997</v>
      </c>
      <c r="L15" s="51">
        <v>10.64</v>
      </c>
      <c r="M15" s="51">
        <v>88.58</v>
      </c>
      <c r="N15" s="51">
        <v>5.6</v>
      </c>
      <c r="O15" s="51">
        <v>0</v>
      </c>
      <c r="P15" s="51">
        <v>0.76</v>
      </c>
      <c r="Q15" s="51">
        <v>5.68</v>
      </c>
    </row>
    <row r="16" spans="1:21" customFormat="1">
      <c r="A16" s="50" t="s">
        <v>330</v>
      </c>
      <c r="B16" s="51">
        <v>41.7</v>
      </c>
      <c r="C16" s="51">
        <v>31.24</v>
      </c>
      <c r="D16" s="51">
        <v>50.66</v>
      </c>
      <c r="E16" s="51">
        <v>6.16</v>
      </c>
      <c r="F16" s="51">
        <v>2.67</v>
      </c>
      <c r="G16" s="51">
        <v>53.99</v>
      </c>
      <c r="H16" s="51">
        <v>28.36</v>
      </c>
      <c r="I16" s="51">
        <v>9.07</v>
      </c>
      <c r="J16" s="51">
        <v>0.52</v>
      </c>
      <c r="K16" s="51">
        <v>160.56</v>
      </c>
      <c r="L16" s="51">
        <v>13.41</v>
      </c>
      <c r="M16" s="51">
        <v>81.290000000000006</v>
      </c>
      <c r="N16" s="51">
        <v>74.8</v>
      </c>
      <c r="O16" s="51">
        <v>0</v>
      </c>
      <c r="P16" s="51">
        <v>0.77</v>
      </c>
      <c r="Q16" s="51">
        <v>5.75</v>
      </c>
    </row>
    <row r="17" spans="1:17" customFormat="1">
      <c r="A17" s="50" t="s">
        <v>331</v>
      </c>
      <c r="B17" s="51">
        <v>39.200000000000003</v>
      </c>
      <c r="C17" s="51">
        <v>33.29</v>
      </c>
      <c r="D17" s="51">
        <v>49.69</v>
      </c>
      <c r="E17" s="51">
        <v>6.02</v>
      </c>
      <c r="F17" s="51">
        <v>2.81</v>
      </c>
      <c r="G17" s="51">
        <v>72.89</v>
      </c>
      <c r="H17" s="51">
        <v>31.17</v>
      </c>
      <c r="I17" s="51">
        <v>9.01</v>
      </c>
      <c r="J17" s="51">
        <v>0.7</v>
      </c>
      <c r="K17" s="51">
        <v>27.71</v>
      </c>
      <c r="L17" s="51">
        <v>17.149999999999999</v>
      </c>
      <c r="M17" s="51">
        <v>67.62</v>
      </c>
      <c r="N17" s="51">
        <v>254.8</v>
      </c>
      <c r="O17" s="51">
        <v>0</v>
      </c>
      <c r="P17" s="51">
        <v>0.77</v>
      </c>
      <c r="Q17" s="51">
        <v>5.74</v>
      </c>
    </row>
    <row r="18" spans="1:17" customFormat="1">
      <c r="A18" s="50" t="s">
        <v>332</v>
      </c>
      <c r="B18" s="51">
        <v>31.86</v>
      </c>
      <c r="C18" s="51">
        <v>34.4</v>
      </c>
      <c r="D18" s="51">
        <v>44.4</v>
      </c>
      <c r="E18" s="51">
        <v>6.27</v>
      </c>
      <c r="F18" s="51">
        <v>3.05</v>
      </c>
      <c r="G18" s="51">
        <v>65.239999999999995</v>
      </c>
      <c r="H18" s="51">
        <v>28.89</v>
      </c>
      <c r="I18" s="51">
        <v>8.66</v>
      </c>
      <c r="J18" s="51">
        <v>0.86</v>
      </c>
      <c r="K18" s="51">
        <v>46.8</v>
      </c>
      <c r="L18" s="51">
        <v>19.399999999999999</v>
      </c>
      <c r="M18" s="51">
        <v>51.72</v>
      </c>
      <c r="N18" s="51">
        <v>230.3</v>
      </c>
      <c r="O18" s="51">
        <v>0</v>
      </c>
      <c r="P18" s="51">
        <v>0.77</v>
      </c>
      <c r="Q18" s="51">
        <v>5.56</v>
      </c>
    </row>
    <row r="19" spans="1:17" customFormat="1">
      <c r="A19" s="50" t="s">
        <v>333</v>
      </c>
      <c r="B19" s="51">
        <v>26.72</v>
      </c>
      <c r="C19" s="51">
        <v>35.61</v>
      </c>
      <c r="D19" s="51">
        <v>40.98</v>
      </c>
      <c r="E19" s="51">
        <v>7.76</v>
      </c>
      <c r="F19" s="51">
        <v>3.06</v>
      </c>
      <c r="G19" s="51">
        <v>68.33</v>
      </c>
      <c r="H19" s="51">
        <v>28.95</v>
      </c>
      <c r="I19" s="51">
        <v>8.2100000000000009</v>
      </c>
      <c r="J19" s="51">
        <v>1.02</v>
      </c>
      <c r="K19" s="51">
        <v>46.46</v>
      </c>
      <c r="L19" s="51">
        <v>21.48</v>
      </c>
      <c r="M19" s="51">
        <v>41.56</v>
      </c>
      <c r="N19" s="51">
        <v>492.7</v>
      </c>
      <c r="O19" s="51">
        <v>0</v>
      </c>
      <c r="P19" s="51">
        <v>0.75</v>
      </c>
      <c r="Q19" s="51">
        <v>5.48</v>
      </c>
    </row>
    <row r="20" spans="1:17" customFormat="1">
      <c r="A20" s="50" t="s">
        <v>334</v>
      </c>
      <c r="B20" s="51">
        <v>19.829999999999998</v>
      </c>
      <c r="C20" s="51">
        <v>36.39</v>
      </c>
      <c r="D20" s="51">
        <v>35.869999999999997</v>
      </c>
      <c r="E20" s="51">
        <v>10.4</v>
      </c>
      <c r="F20" s="51">
        <v>3.11</v>
      </c>
      <c r="G20" s="51">
        <v>67.25</v>
      </c>
      <c r="H20" s="51">
        <v>28.02</v>
      </c>
      <c r="I20" s="51">
        <v>7.46</v>
      </c>
      <c r="J20" s="51">
        <v>0.81</v>
      </c>
      <c r="K20" s="51">
        <v>51.61</v>
      </c>
      <c r="L20" s="51">
        <v>23.06</v>
      </c>
      <c r="M20" s="51">
        <v>36.549999999999997</v>
      </c>
      <c r="N20" s="51">
        <v>552.9</v>
      </c>
      <c r="O20" s="51">
        <v>0</v>
      </c>
      <c r="P20" s="51">
        <v>0.7</v>
      </c>
      <c r="Q20" s="51">
        <v>5.33</v>
      </c>
    </row>
    <row r="21" spans="1:17" customFormat="1">
      <c r="A21" s="50" t="s">
        <v>335</v>
      </c>
      <c r="B21" s="51">
        <v>16.559999999999999</v>
      </c>
      <c r="C21" s="51">
        <v>36.36</v>
      </c>
      <c r="D21" s="51">
        <v>33.57</v>
      </c>
      <c r="E21" s="51">
        <v>16.39</v>
      </c>
      <c r="F21" s="51">
        <v>4.63</v>
      </c>
      <c r="G21" s="51">
        <v>71.540000000000006</v>
      </c>
      <c r="H21" s="51">
        <v>28.55</v>
      </c>
      <c r="I21" s="51">
        <v>6.79</v>
      </c>
      <c r="J21" s="51">
        <v>0.66</v>
      </c>
      <c r="K21" s="51">
        <v>62.99</v>
      </c>
      <c r="L21" s="51">
        <v>23.94</v>
      </c>
      <c r="M21" s="51">
        <v>30.85</v>
      </c>
      <c r="N21" s="51">
        <v>548.1</v>
      </c>
      <c r="O21" s="51">
        <v>0</v>
      </c>
      <c r="P21" s="51">
        <v>0.66</v>
      </c>
      <c r="Q21" s="51">
        <v>5.25</v>
      </c>
    </row>
    <row r="22" spans="1:17" customFormat="1">
      <c r="A22" s="50" t="s">
        <v>336</v>
      </c>
      <c r="B22" s="51">
        <v>4.46</v>
      </c>
      <c r="C22" s="51">
        <v>35.93</v>
      </c>
      <c r="D22" s="51">
        <v>23.7</v>
      </c>
      <c r="E22" s="51">
        <v>14</v>
      </c>
      <c r="F22" s="51">
        <v>7.25</v>
      </c>
      <c r="G22" s="11" t="s">
        <v>12</v>
      </c>
      <c r="H22" s="11" t="s">
        <v>12</v>
      </c>
      <c r="I22" s="51">
        <v>16.71</v>
      </c>
      <c r="J22" s="51">
        <v>0.59</v>
      </c>
      <c r="K22" s="51">
        <v>47.15</v>
      </c>
      <c r="L22" s="51">
        <v>24.36</v>
      </c>
      <c r="M22" s="51">
        <v>29.46</v>
      </c>
      <c r="N22" s="51">
        <v>473.4</v>
      </c>
      <c r="O22" s="51">
        <v>0</v>
      </c>
      <c r="P22" s="51">
        <v>0.48</v>
      </c>
      <c r="Q22" s="51">
        <v>5.08</v>
      </c>
    </row>
    <row r="23" spans="1:17" customFormat="1">
      <c r="A23" s="50" t="s">
        <v>337</v>
      </c>
      <c r="B23" s="51">
        <v>4.59</v>
      </c>
      <c r="C23" s="51">
        <v>42.85</v>
      </c>
      <c r="D23" s="51">
        <v>26.06</v>
      </c>
      <c r="E23" s="51">
        <v>22.17</v>
      </c>
      <c r="F23" s="51">
        <v>10.039999999999999</v>
      </c>
      <c r="G23" s="51">
        <v>45.49</v>
      </c>
      <c r="H23" s="51">
        <v>20.260000000000002</v>
      </c>
      <c r="I23" s="51">
        <v>67.959999999999994</v>
      </c>
      <c r="J23" s="51">
        <v>0.56000000000000005</v>
      </c>
      <c r="K23" s="51">
        <v>99.43</v>
      </c>
      <c r="L23" s="51">
        <v>23.99</v>
      </c>
      <c r="M23" s="51">
        <v>27.89</v>
      </c>
      <c r="N23" s="51">
        <v>135.30000000000001</v>
      </c>
      <c r="O23" s="51">
        <v>0</v>
      </c>
      <c r="P23" s="51">
        <v>0.49</v>
      </c>
      <c r="Q23" s="51">
        <v>4.99</v>
      </c>
    </row>
    <row r="24" spans="1:17" customFormat="1">
      <c r="A24" s="50" t="s">
        <v>338</v>
      </c>
      <c r="B24" s="51">
        <v>4.37</v>
      </c>
      <c r="C24" s="51">
        <v>41.24</v>
      </c>
      <c r="D24" s="51">
        <v>25.37</v>
      </c>
      <c r="E24" s="51">
        <v>6.31</v>
      </c>
      <c r="F24" s="51">
        <v>3.93</v>
      </c>
      <c r="G24" s="51">
        <v>58.87</v>
      </c>
      <c r="H24" s="51">
        <v>28.77</v>
      </c>
      <c r="I24" s="51">
        <v>56.38</v>
      </c>
      <c r="J24" s="51">
        <v>0.54</v>
      </c>
      <c r="K24" s="51">
        <v>86.41</v>
      </c>
      <c r="L24" s="51">
        <v>23.63</v>
      </c>
      <c r="M24" s="51">
        <v>28.98</v>
      </c>
      <c r="N24" s="51">
        <v>63.1</v>
      </c>
      <c r="O24" s="51">
        <v>0</v>
      </c>
      <c r="P24" s="51">
        <v>0.49</v>
      </c>
      <c r="Q24" s="51">
        <v>5.01</v>
      </c>
    </row>
    <row r="25" spans="1:17" customFormat="1">
      <c r="A25" s="50" t="s">
        <v>339</v>
      </c>
      <c r="B25" s="51">
        <v>5.44</v>
      </c>
      <c r="C25" s="51">
        <v>36.11</v>
      </c>
      <c r="D25" s="51">
        <v>24.05</v>
      </c>
      <c r="E25" s="51">
        <v>6.39</v>
      </c>
      <c r="F25" s="51">
        <v>3.19</v>
      </c>
      <c r="G25" s="51">
        <v>65.44</v>
      </c>
      <c r="H25" s="51">
        <v>30.19</v>
      </c>
      <c r="I25" s="51">
        <v>46.46</v>
      </c>
      <c r="J25" s="51">
        <v>0.33</v>
      </c>
      <c r="K25" s="51">
        <v>84.71</v>
      </c>
      <c r="L25" s="51">
        <v>22.72</v>
      </c>
      <c r="M25" s="51">
        <v>38.590000000000003</v>
      </c>
      <c r="N25" s="51">
        <v>30.8</v>
      </c>
      <c r="O25" s="51">
        <v>0</v>
      </c>
      <c r="P25" s="51">
        <v>0.52</v>
      </c>
      <c r="Q25" s="51">
        <v>5</v>
      </c>
    </row>
    <row r="26" spans="1:17" customFormat="1">
      <c r="A26" s="50" t="s">
        <v>340</v>
      </c>
      <c r="B26" s="51">
        <v>8.16</v>
      </c>
      <c r="C26" s="51">
        <v>37.29</v>
      </c>
      <c r="D26" s="51">
        <v>27.37</v>
      </c>
      <c r="E26" s="51">
        <v>5.66</v>
      </c>
      <c r="F26" s="51">
        <v>3.03</v>
      </c>
      <c r="G26" s="51">
        <v>94.55</v>
      </c>
      <c r="H26" s="51">
        <v>37.9</v>
      </c>
      <c r="I26" s="51">
        <v>41.11</v>
      </c>
      <c r="J26" s="51">
        <v>0.23</v>
      </c>
      <c r="K26" s="51">
        <v>165.97</v>
      </c>
      <c r="L26" s="51">
        <v>20.75</v>
      </c>
      <c r="M26" s="51">
        <v>51.64</v>
      </c>
      <c r="N26" s="51">
        <v>0</v>
      </c>
      <c r="O26" s="51">
        <v>0</v>
      </c>
      <c r="P26" s="51">
        <v>0.57999999999999996</v>
      </c>
      <c r="Q26" s="51">
        <v>5.07</v>
      </c>
    </row>
    <row r="27" spans="1:17" customFormat="1">
      <c r="A27" s="50" t="s">
        <v>341</v>
      </c>
      <c r="B27" s="51">
        <v>10.69</v>
      </c>
      <c r="C27" s="51">
        <v>40.840000000000003</v>
      </c>
      <c r="D27" s="51">
        <v>31.2</v>
      </c>
      <c r="E27" s="51">
        <v>7.43</v>
      </c>
      <c r="F27" s="51">
        <v>2.81</v>
      </c>
      <c r="G27" s="51">
        <v>113.59</v>
      </c>
      <c r="H27" s="51">
        <v>47.78</v>
      </c>
      <c r="I27" s="51">
        <v>36.869999999999997</v>
      </c>
      <c r="J27" s="51">
        <v>0.22</v>
      </c>
      <c r="K27" s="51">
        <v>174.76</v>
      </c>
      <c r="L27" s="51">
        <v>18.07</v>
      </c>
      <c r="M27" s="51">
        <v>72.62</v>
      </c>
      <c r="N27" s="51">
        <v>0</v>
      </c>
      <c r="O27" s="51">
        <v>0</v>
      </c>
      <c r="P27" s="51">
        <v>0.76</v>
      </c>
      <c r="Q27" s="51">
        <v>5.15</v>
      </c>
    </row>
    <row r="28" spans="1:17" customFormat="1">
      <c r="A28" s="50" t="s">
        <v>342</v>
      </c>
      <c r="B28" s="51">
        <v>10.28</v>
      </c>
      <c r="C28" s="51">
        <v>40.53</v>
      </c>
      <c r="D28" s="51">
        <v>30.77</v>
      </c>
      <c r="E28" s="51">
        <v>6.78</v>
      </c>
      <c r="F28" s="51">
        <v>2.81</v>
      </c>
      <c r="G28" s="51">
        <v>118.76</v>
      </c>
      <c r="H28" s="51">
        <v>54.11</v>
      </c>
      <c r="I28" s="51">
        <v>32.31</v>
      </c>
      <c r="J28" s="51">
        <v>0.18</v>
      </c>
      <c r="K28" s="51">
        <v>228.74</v>
      </c>
      <c r="L28" s="51">
        <v>16.309999999999999</v>
      </c>
      <c r="M28" s="51">
        <v>75.77</v>
      </c>
      <c r="N28" s="51">
        <v>0</v>
      </c>
      <c r="O28" s="51">
        <v>0</v>
      </c>
      <c r="P28" s="51">
        <v>0.9</v>
      </c>
      <c r="Q28" s="51">
        <v>5.17</v>
      </c>
    </row>
    <row r="29" spans="1:17" customFormat="1">
      <c r="A29" s="50" t="s">
        <v>343</v>
      </c>
      <c r="B29" s="51">
        <v>10.15</v>
      </c>
      <c r="C29" s="51">
        <v>38.909999999999997</v>
      </c>
      <c r="D29" s="51">
        <v>29.82</v>
      </c>
      <c r="E29" s="51">
        <v>7.16</v>
      </c>
      <c r="F29" s="51">
        <v>2.83</v>
      </c>
      <c r="G29" s="51">
        <v>118.76</v>
      </c>
      <c r="H29" s="51">
        <v>54.11</v>
      </c>
      <c r="I29" s="51">
        <v>28.56</v>
      </c>
      <c r="J29" s="51">
        <v>0.16</v>
      </c>
      <c r="K29" s="51">
        <v>181.62</v>
      </c>
      <c r="L29" s="51">
        <v>15.13</v>
      </c>
      <c r="M29" s="51">
        <v>79.63</v>
      </c>
      <c r="N29" s="51">
        <v>0</v>
      </c>
      <c r="O29" s="51">
        <v>0</v>
      </c>
      <c r="P29" s="51">
        <v>1</v>
      </c>
      <c r="Q29" s="51">
        <v>5.16</v>
      </c>
    </row>
    <row r="30" spans="1:17" customFormat="1">
      <c r="A30" s="50" t="s">
        <v>344</v>
      </c>
      <c r="B30" s="51">
        <v>16.09</v>
      </c>
      <c r="C30" s="51">
        <v>38.520000000000003</v>
      </c>
      <c r="D30" s="51">
        <v>34.270000000000003</v>
      </c>
      <c r="E30" s="51">
        <v>7.32</v>
      </c>
      <c r="F30" s="51">
        <v>2.75</v>
      </c>
      <c r="G30" s="51">
        <v>127.74</v>
      </c>
      <c r="H30" s="51">
        <v>60.35</v>
      </c>
      <c r="I30" s="51">
        <v>24.01</v>
      </c>
      <c r="J30" s="51">
        <v>0.2</v>
      </c>
      <c r="K30" s="51">
        <v>240.47</v>
      </c>
      <c r="L30" s="51">
        <v>14.64</v>
      </c>
      <c r="M30" s="51">
        <v>85.16</v>
      </c>
      <c r="N30" s="51">
        <v>0</v>
      </c>
      <c r="O30" s="51">
        <v>0</v>
      </c>
      <c r="P30" s="51">
        <v>1.0900000000000001</v>
      </c>
      <c r="Q30" s="51">
        <v>5.25</v>
      </c>
    </row>
    <row r="31" spans="1:17" customFormat="1">
      <c r="A31" s="50" t="s">
        <v>345</v>
      </c>
      <c r="B31" s="51">
        <v>15.37</v>
      </c>
      <c r="C31" s="51">
        <v>37.46</v>
      </c>
      <c r="D31" s="51">
        <v>33.25</v>
      </c>
      <c r="E31" s="51">
        <v>6.93</v>
      </c>
      <c r="F31" s="51">
        <v>2.73</v>
      </c>
      <c r="G31" s="51">
        <v>127.74</v>
      </c>
      <c r="H31" s="51">
        <v>63.39</v>
      </c>
      <c r="I31" s="51">
        <v>21.64</v>
      </c>
      <c r="J31" s="51">
        <v>0.19</v>
      </c>
      <c r="K31" s="51">
        <v>242.8</v>
      </c>
      <c r="L31" s="51">
        <v>13.89</v>
      </c>
      <c r="M31" s="51">
        <v>87.98</v>
      </c>
      <c r="N31" s="51">
        <v>0</v>
      </c>
      <c r="O31" s="51">
        <v>0</v>
      </c>
      <c r="P31" s="51">
        <v>1.1599999999999999</v>
      </c>
      <c r="Q31" s="51">
        <v>5.26</v>
      </c>
    </row>
    <row r="32" spans="1:17" customFormat="1">
      <c r="A32" s="50" t="s">
        <v>346</v>
      </c>
      <c r="B32" s="51">
        <v>14.31</v>
      </c>
      <c r="C32" s="51">
        <v>35.18</v>
      </c>
      <c r="D32" s="51">
        <v>31.21</v>
      </c>
      <c r="E32" s="51">
        <v>6.66</v>
      </c>
      <c r="F32" s="51">
        <v>2.83</v>
      </c>
      <c r="G32" s="51">
        <v>123.11</v>
      </c>
      <c r="H32" s="51">
        <v>63.77</v>
      </c>
      <c r="I32" s="51">
        <v>20.21</v>
      </c>
      <c r="J32" s="51">
        <v>0.15</v>
      </c>
      <c r="K32" s="51">
        <v>249.25</v>
      </c>
      <c r="L32" s="51">
        <v>13.02</v>
      </c>
      <c r="M32" s="51">
        <v>90.43</v>
      </c>
      <c r="N32" s="51">
        <v>0</v>
      </c>
      <c r="O32" s="51">
        <v>0</v>
      </c>
      <c r="P32" s="51">
        <v>1.18</v>
      </c>
      <c r="Q32" s="51">
        <v>5.21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4.37</v>
      </c>
      <c r="C34" s="41">
        <f t="shared" si="0"/>
        <v>29.28</v>
      </c>
      <c r="D34" s="41">
        <f t="shared" si="0"/>
        <v>23.7</v>
      </c>
      <c r="E34" s="41">
        <f t="shared" si="0"/>
        <v>5.46</v>
      </c>
      <c r="F34" s="41">
        <f t="shared" si="0"/>
        <v>2.5</v>
      </c>
      <c r="G34" s="41">
        <f t="shared" si="0"/>
        <v>45.49</v>
      </c>
      <c r="H34" s="41">
        <f t="shared" si="0"/>
        <v>20.260000000000002</v>
      </c>
      <c r="I34" s="41">
        <f t="shared" si="0"/>
        <v>6.79</v>
      </c>
      <c r="J34" s="41">
        <f t="shared" si="0"/>
        <v>0.1</v>
      </c>
      <c r="K34" s="41">
        <f t="shared" si="0"/>
        <v>27.71</v>
      </c>
      <c r="L34" s="41">
        <f t="shared" si="0"/>
        <v>10.64</v>
      </c>
      <c r="M34" s="41">
        <f t="shared" si="0"/>
        <v>27.89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57.83</v>
      </c>
      <c r="C35" s="33">
        <f t="shared" si="1"/>
        <v>42.85</v>
      </c>
      <c r="D35" s="33">
        <f t="shared" si="1"/>
        <v>66.66</v>
      </c>
      <c r="E35" s="33">
        <f t="shared" si="1"/>
        <v>22.17</v>
      </c>
      <c r="F35" s="33">
        <f t="shared" si="1"/>
        <v>10.039999999999999</v>
      </c>
      <c r="G35" s="33">
        <f t="shared" si="1"/>
        <v>158.53</v>
      </c>
      <c r="H35" s="33">
        <f t="shared" si="1"/>
        <v>63.77</v>
      </c>
      <c r="I35" s="33">
        <f t="shared" si="1"/>
        <v>67.959999999999994</v>
      </c>
      <c r="J35" s="33">
        <f t="shared" si="1"/>
        <v>1.02</v>
      </c>
      <c r="K35" s="33">
        <f t="shared" si="1"/>
        <v>346.87</v>
      </c>
      <c r="L35" s="33">
        <f t="shared" si="1"/>
        <v>24.36</v>
      </c>
      <c r="M35" s="33">
        <f t="shared" si="1"/>
        <v>90.43</v>
      </c>
      <c r="N35" s="33">
        <f t="shared" si="1"/>
        <v>552.9</v>
      </c>
      <c r="O35" s="33">
        <f t="shared" si="1"/>
        <v>0</v>
      </c>
      <c r="P35" s="33">
        <f t="shared" si="1"/>
        <v>1.33</v>
      </c>
      <c r="Q35" s="33">
        <f t="shared" si="1"/>
        <v>6.15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23.746666666666666</v>
      </c>
      <c r="C36" s="41">
        <f t="shared" si="2"/>
        <v>35.911666666666669</v>
      </c>
      <c r="D36" s="41">
        <f t="shared" si="2"/>
        <v>38.91791666666667</v>
      </c>
      <c r="E36" s="41">
        <f t="shared" si="2"/>
        <v>8.0175000000000001</v>
      </c>
      <c r="F36" s="41">
        <f t="shared" si="2"/>
        <v>3.4354166666666668</v>
      </c>
      <c r="G36" s="41">
        <f t="shared" si="2"/>
        <v>87.476521739130419</v>
      </c>
      <c r="H36" s="41">
        <f t="shared" si="2"/>
        <v>40.364347826086963</v>
      </c>
      <c r="I36" s="41">
        <f t="shared" si="2"/>
        <v>21.789166666666663</v>
      </c>
      <c r="J36" s="41">
        <f t="shared" si="2"/>
        <v>0.37708333333333338</v>
      </c>
      <c r="K36" s="41">
        <f t="shared" si="2"/>
        <v>157.39416666666662</v>
      </c>
      <c r="L36" s="41">
        <f t="shared" si="2"/>
        <v>17.162916666666664</v>
      </c>
      <c r="M36" s="41">
        <f t="shared" si="2"/>
        <v>63.848750000000017</v>
      </c>
      <c r="N36" s="41">
        <f t="shared" si="2"/>
        <v>119.24166666666667</v>
      </c>
      <c r="O36" s="41">
        <f t="shared" si="2"/>
        <v>0</v>
      </c>
      <c r="P36" s="41">
        <f t="shared" si="2"/>
        <v>0.84124999999999994</v>
      </c>
      <c r="Q36" s="41">
        <f t="shared" si="2"/>
        <v>5.4137500000000003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16.578350121577927</v>
      </c>
      <c r="C37" s="41">
        <f t="shared" ref="C37:Q37" si="3">STDEV(C9:C32)</f>
        <v>3.6014703116640034</v>
      </c>
      <c r="D37" s="41">
        <f t="shared" si="3"/>
        <v>12.419233323381105</v>
      </c>
      <c r="E37" s="41">
        <f t="shared" si="3"/>
        <v>3.9990142807186011</v>
      </c>
      <c r="F37" s="41">
        <f t="shared" si="3"/>
        <v>1.7162471170162712</v>
      </c>
      <c r="G37" s="41">
        <f t="shared" si="3"/>
        <v>34.589343946142002</v>
      </c>
      <c r="H37" s="41">
        <f t="shared" si="3"/>
        <v>14.211854151340416</v>
      </c>
      <c r="I37" s="41">
        <f t="shared" si="3"/>
        <v>16.915183793078434</v>
      </c>
      <c r="J37" s="41">
        <f t="shared" si="3"/>
        <v>0.27518340392745599</v>
      </c>
      <c r="K37" s="41">
        <f t="shared" si="3"/>
        <v>93.979216014785109</v>
      </c>
      <c r="L37" s="41">
        <f t="shared" si="3"/>
        <v>4.7136660514855739</v>
      </c>
      <c r="M37" s="41">
        <f t="shared" si="3"/>
        <v>22.558201499483584</v>
      </c>
      <c r="N37" s="41">
        <f t="shared" si="3"/>
        <v>195.44274579543233</v>
      </c>
      <c r="O37" s="41">
        <f t="shared" si="3"/>
        <v>0</v>
      </c>
      <c r="P37" s="41">
        <f t="shared" si="3"/>
        <v>0.2521095776253553</v>
      </c>
      <c r="Q37" s="41">
        <f t="shared" si="3"/>
        <v>0.34931999158612581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347</v>
      </c>
      <c r="B9" s="51">
        <v>13.18</v>
      </c>
      <c r="C9" s="51">
        <v>32.4</v>
      </c>
      <c r="D9" s="51">
        <v>28.85</v>
      </c>
      <c r="E9" s="51">
        <v>6.73</v>
      </c>
      <c r="F9" s="51">
        <v>2.63</v>
      </c>
      <c r="G9" s="51">
        <v>120.28</v>
      </c>
      <c r="H9" s="51">
        <v>65.44</v>
      </c>
      <c r="I9" s="51">
        <v>19.47</v>
      </c>
      <c r="J9" s="51">
        <v>0.13</v>
      </c>
      <c r="K9" s="51">
        <v>205.86</v>
      </c>
      <c r="L9" s="51">
        <v>12.87</v>
      </c>
      <c r="M9" s="51">
        <v>89.98</v>
      </c>
      <c r="N9" s="51">
        <v>0</v>
      </c>
      <c r="O9" s="51">
        <v>0</v>
      </c>
      <c r="P9" s="51">
        <v>1.22</v>
      </c>
      <c r="Q9" s="51">
        <v>5.17</v>
      </c>
    </row>
    <row r="10" spans="1:21" customFormat="1">
      <c r="A10" s="50" t="s">
        <v>348</v>
      </c>
      <c r="B10" s="51">
        <v>28.98</v>
      </c>
      <c r="C10" s="51">
        <v>34.65</v>
      </c>
      <c r="D10" s="51">
        <v>42.69</v>
      </c>
      <c r="E10" s="51">
        <v>6.95</v>
      </c>
      <c r="F10" s="51">
        <v>2.67</v>
      </c>
      <c r="G10" s="51">
        <v>131.79</v>
      </c>
      <c r="H10" s="51">
        <v>70.17</v>
      </c>
      <c r="I10" s="51">
        <v>18.37</v>
      </c>
      <c r="J10" s="51">
        <v>0.1</v>
      </c>
      <c r="K10" s="51">
        <v>188.84</v>
      </c>
      <c r="L10" s="51">
        <v>12.55</v>
      </c>
      <c r="M10" s="51">
        <v>86.81</v>
      </c>
      <c r="N10" s="51">
        <v>0</v>
      </c>
      <c r="O10" s="51">
        <v>0</v>
      </c>
      <c r="P10" s="51">
        <v>1.32</v>
      </c>
      <c r="Q10" s="51">
        <v>5.41</v>
      </c>
    </row>
    <row r="11" spans="1:21" customFormat="1">
      <c r="A11" s="50" t="s">
        <v>349</v>
      </c>
      <c r="B11" s="51">
        <v>39.69</v>
      </c>
      <c r="C11" s="51">
        <v>36.270000000000003</v>
      </c>
      <c r="D11" s="51">
        <v>52.06</v>
      </c>
      <c r="E11" s="51">
        <v>6.79</v>
      </c>
      <c r="F11" s="51">
        <v>2.66</v>
      </c>
      <c r="G11" s="51">
        <v>135.94</v>
      </c>
      <c r="H11" s="51">
        <v>73.34</v>
      </c>
      <c r="I11" s="51">
        <v>18.5</v>
      </c>
      <c r="J11" s="51">
        <v>0.12</v>
      </c>
      <c r="K11" s="51">
        <v>231.8</v>
      </c>
      <c r="L11" s="51">
        <v>12.32</v>
      </c>
      <c r="M11" s="51">
        <v>87.91</v>
      </c>
      <c r="N11" s="51">
        <v>0</v>
      </c>
      <c r="O11" s="51">
        <v>0</v>
      </c>
      <c r="P11" s="51">
        <v>1.39</v>
      </c>
      <c r="Q11" s="51">
        <v>5.67</v>
      </c>
    </row>
    <row r="12" spans="1:21" customFormat="1">
      <c r="A12" s="50" t="s">
        <v>350</v>
      </c>
      <c r="B12" s="51">
        <v>38.9</v>
      </c>
      <c r="C12" s="51">
        <v>35.770000000000003</v>
      </c>
      <c r="D12" s="51">
        <v>51.24</v>
      </c>
      <c r="E12" s="51">
        <v>6.89</v>
      </c>
      <c r="F12" s="51">
        <v>2.64</v>
      </c>
      <c r="G12" s="51">
        <v>135.94</v>
      </c>
      <c r="H12" s="51">
        <v>76.08</v>
      </c>
      <c r="I12" s="51">
        <v>18.670000000000002</v>
      </c>
      <c r="J12" s="51">
        <v>0.13</v>
      </c>
      <c r="K12" s="51">
        <v>266.33999999999997</v>
      </c>
      <c r="L12" s="51">
        <v>11.61</v>
      </c>
      <c r="M12" s="51">
        <v>91.57</v>
      </c>
      <c r="N12" s="51">
        <v>0</v>
      </c>
      <c r="O12" s="51">
        <v>0</v>
      </c>
      <c r="P12" s="51">
        <v>1.38</v>
      </c>
      <c r="Q12" s="51">
        <v>5.65</v>
      </c>
    </row>
    <row r="13" spans="1:21" customFormat="1">
      <c r="A13" s="50" t="s">
        <v>351</v>
      </c>
      <c r="B13" s="51">
        <v>38.32</v>
      </c>
      <c r="C13" s="51">
        <v>35.51</v>
      </c>
      <c r="D13" s="51">
        <v>50.51</v>
      </c>
      <c r="E13" s="51">
        <v>6.48</v>
      </c>
      <c r="F13" s="51">
        <v>2.74</v>
      </c>
      <c r="G13" s="51">
        <v>131.13999999999999</v>
      </c>
      <c r="H13" s="51">
        <v>76.08</v>
      </c>
      <c r="I13" s="51">
        <v>18.21</v>
      </c>
      <c r="J13" s="51">
        <v>0.11</v>
      </c>
      <c r="K13" s="51">
        <v>174.78</v>
      </c>
      <c r="L13" s="51">
        <v>11.88</v>
      </c>
      <c r="M13" s="51">
        <v>84.88</v>
      </c>
      <c r="N13" s="51">
        <v>0</v>
      </c>
      <c r="O13" s="51">
        <v>0</v>
      </c>
      <c r="P13" s="51">
        <v>1.36</v>
      </c>
      <c r="Q13" s="51">
        <v>5.63</v>
      </c>
    </row>
    <row r="14" spans="1:21" customFormat="1">
      <c r="A14" s="50" t="s">
        <v>352</v>
      </c>
      <c r="B14" s="51">
        <v>37.630000000000003</v>
      </c>
      <c r="C14" s="51">
        <v>36.01</v>
      </c>
      <c r="D14" s="51">
        <v>50.32</v>
      </c>
      <c r="E14" s="51">
        <v>6.54</v>
      </c>
      <c r="F14" s="51">
        <v>2.91</v>
      </c>
      <c r="G14" s="51">
        <v>125.89</v>
      </c>
      <c r="H14" s="51">
        <v>67.790000000000006</v>
      </c>
      <c r="I14" s="51">
        <v>17.05</v>
      </c>
      <c r="J14" s="51">
        <v>0.14000000000000001</v>
      </c>
      <c r="K14" s="51">
        <v>222.44</v>
      </c>
      <c r="L14" s="51">
        <v>11.58</v>
      </c>
      <c r="M14" s="51">
        <v>87.71</v>
      </c>
      <c r="N14" s="51">
        <v>0</v>
      </c>
      <c r="O14" s="51">
        <v>0</v>
      </c>
      <c r="P14" s="51">
        <v>1.26</v>
      </c>
      <c r="Q14" s="51">
        <v>5.61</v>
      </c>
    </row>
    <row r="15" spans="1:21" customFormat="1">
      <c r="A15" s="50" t="s">
        <v>353</v>
      </c>
      <c r="B15" s="51">
        <v>33.44</v>
      </c>
      <c r="C15" s="51">
        <v>34.6</v>
      </c>
      <c r="D15" s="51">
        <v>46.25</v>
      </c>
      <c r="E15" s="51">
        <v>6.36</v>
      </c>
      <c r="F15" s="51">
        <v>2.82</v>
      </c>
      <c r="G15" s="51">
        <v>109.78</v>
      </c>
      <c r="H15" s="51">
        <v>64.819999999999993</v>
      </c>
      <c r="I15" s="51">
        <v>15.2</v>
      </c>
      <c r="J15" s="51">
        <v>0.15</v>
      </c>
      <c r="K15" s="51">
        <v>265.76</v>
      </c>
      <c r="L15" s="51">
        <v>10.84</v>
      </c>
      <c r="M15" s="51">
        <v>92.84</v>
      </c>
      <c r="N15" s="51">
        <v>9.4</v>
      </c>
      <c r="O15" s="51">
        <v>0</v>
      </c>
      <c r="P15" s="51">
        <v>1.1100000000000001</v>
      </c>
      <c r="Q15" s="51">
        <v>5.55</v>
      </c>
    </row>
    <row r="16" spans="1:21" customFormat="1">
      <c r="A16" s="50" t="s">
        <v>354</v>
      </c>
      <c r="B16" s="51">
        <v>26.4</v>
      </c>
      <c r="C16" s="51">
        <v>32.32</v>
      </c>
      <c r="D16" s="51">
        <v>38.299999999999997</v>
      </c>
      <c r="E16" s="51">
        <v>6.14</v>
      </c>
      <c r="F16" s="51">
        <v>2.75</v>
      </c>
      <c r="G16" s="51">
        <v>88.88</v>
      </c>
      <c r="H16" s="51">
        <v>52.27</v>
      </c>
      <c r="I16" s="51">
        <v>13.88</v>
      </c>
      <c r="J16" s="51">
        <v>0.26</v>
      </c>
      <c r="K16" s="51">
        <v>273.98</v>
      </c>
      <c r="L16" s="51">
        <v>14.16</v>
      </c>
      <c r="M16" s="51">
        <v>87.56</v>
      </c>
      <c r="N16" s="51">
        <v>55.4</v>
      </c>
      <c r="O16" s="51">
        <v>0</v>
      </c>
      <c r="P16" s="51">
        <v>1.05</v>
      </c>
      <c r="Q16" s="51">
        <v>5.38</v>
      </c>
    </row>
    <row r="17" spans="1:17" customFormat="1">
      <c r="A17" s="50" t="s">
        <v>355</v>
      </c>
      <c r="B17" s="51">
        <v>20.65</v>
      </c>
      <c r="C17" s="51">
        <v>32.549999999999997</v>
      </c>
      <c r="D17" s="51">
        <v>34.92</v>
      </c>
      <c r="E17" s="51">
        <v>6.01</v>
      </c>
      <c r="F17" s="51">
        <v>3.04</v>
      </c>
      <c r="G17" s="51">
        <v>88.13</v>
      </c>
      <c r="H17" s="51">
        <v>52.11</v>
      </c>
      <c r="I17" s="51">
        <v>13.55</v>
      </c>
      <c r="J17" s="51">
        <v>0.39</v>
      </c>
      <c r="K17" s="51">
        <v>138.01</v>
      </c>
      <c r="L17" s="51">
        <v>17.84</v>
      </c>
      <c r="M17" s="51">
        <v>68.09</v>
      </c>
      <c r="N17" s="51">
        <v>224.1</v>
      </c>
      <c r="O17" s="51">
        <v>0</v>
      </c>
      <c r="P17" s="51">
        <v>1.01</v>
      </c>
      <c r="Q17" s="51">
        <v>5.27</v>
      </c>
    </row>
    <row r="18" spans="1:17" customFormat="1">
      <c r="A18" s="50" t="s">
        <v>356</v>
      </c>
      <c r="B18" s="51">
        <v>15.5</v>
      </c>
      <c r="C18" s="51">
        <v>31.3</v>
      </c>
      <c r="D18" s="51">
        <v>30.14</v>
      </c>
      <c r="E18" s="51">
        <v>6.25</v>
      </c>
      <c r="F18" s="51">
        <v>3.06</v>
      </c>
      <c r="G18" s="51">
        <v>76.58</v>
      </c>
      <c r="H18" s="51">
        <v>47.22</v>
      </c>
      <c r="I18" s="51">
        <v>12.53</v>
      </c>
      <c r="J18" s="51">
        <v>0.43</v>
      </c>
      <c r="K18" s="51">
        <v>61.04</v>
      </c>
      <c r="L18" s="51">
        <v>20.45</v>
      </c>
      <c r="M18" s="51">
        <v>53.05</v>
      </c>
      <c r="N18" s="51">
        <v>180.3</v>
      </c>
      <c r="O18" s="51">
        <v>0</v>
      </c>
      <c r="P18" s="51">
        <v>0.9</v>
      </c>
      <c r="Q18" s="51">
        <v>5.16</v>
      </c>
    </row>
    <row r="19" spans="1:17" customFormat="1">
      <c r="A19" s="50" t="s">
        <v>357</v>
      </c>
      <c r="B19" s="51">
        <v>13.38</v>
      </c>
      <c r="C19" s="51">
        <v>30.37</v>
      </c>
      <c r="D19" s="51">
        <v>27.73</v>
      </c>
      <c r="E19" s="51">
        <v>8.9600000000000009</v>
      </c>
      <c r="F19" s="51">
        <v>2.9</v>
      </c>
      <c r="G19" s="51">
        <v>74.2</v>
      </c>
      <c r="H19" s="51">
        <v>42.04</v>
      </c>
      <c r="I19" s="51">
        <v>11.5</v>
      </c>
      <c r="J19" s="51">
        <v>0.66</v>
      </c>
      <c r="K19" s="51">
        <v>87.19</v>
      </c>
      <c r="L19" s="51">
        <v>22.4</v>
      </c>
      <c r="M19" s="51">
        <v>42.41</v>
      </c>
      <c r="N19" s="51">
        <v>506.4</v>
      </c>
      <c r="O19" s="51">
        <v>0</v>
      </c>
      <c r="P19" s="51">
        <v>0.81</v>
      </c>
      <c r="Q19" s="51">
        <v>5.0999999999999996</v>
      </c>
    </row>
    <row r="20" spans="1:17" customFormat="1">
      <c r="A20" s="50" t="s">
        <v>358</v>
      </c>
      <c r="B20" s="51">
        <v>11.52</v>
      </c>
      <c r="C20" s="51">
        <v>29.44</v>
      </c>
      <c r="D20" s="51">
        <v>25.97</v>
      </c>
      <c r="E20" s="51">
        <v>9.1999999999999993</v>
      </c>
      <c r="F20" s="51">
        <v>3.01</v>
      </c>
      <c r="G20" s="51">
        <v>73.41</v>
      </c>
      <c r="H20" s="51">
        <v>37.409999999999997</v>
      </c>
      <c r="I20" s="51">
        <v>10.78</v>
      </c>
      <c r="J20" s="51">
        <v>0.62</v>
      </c>
      <c r="K20" s="51">
        <v>51.57</v>
      </c>
      <c r="L20" s="51">
        <v>23.98</v>
      </c>
      <c r="M20" s="51">
        <v>37.06</v>
      </c>
      <c r="N20" s="51">
        <v>533.20000000000005</v>
      </c>
      <c r="O20" s="51">
        <v>0</v>
      </c>
      <c r="P20" s="51">
        <v>0.76</v>
      </c>
      <c r="Q20" s="51">
        <v>5.0599999999999996</v>
      </c>
    </row>
    <row r="21" spans="1:17" customFormat="1">
      <c r="A21" s="50" t="s">
        <v>359</v>
      </c>
      <c r="B21" s="51">
        <v>9.66</v>
      </c>
      <c r="C21" s="51">
        <v>28.6</v>
      </c>
      <c r="D21" s="51">
        <v>23.82</v>
      </c>
      <c r="E21" s="51">
        <v>9.76</v>
      </c>
      <c r="F21" s="51">
        <v>3.19</v>
      </c>
      <c r="G21" s="51">
        <v>78.75</v>
      </c>
      <c r="H21" s="51">
        <v>36.979999999999997</v>
      </c>
      <c r="I21" s="51">
        <v>10.1</v>
      </c>
      <c r="J21" s="51">
        <v>0.56999999999999995</v>
      </c>
      <c r="K21" s="51">
        <v>195.18</v>
      </c>
      <c r="L21" s="51">
        <v>24.98</v>
      </c>
      <c r="M21" s="51">
        <v>32.08</v>
      </c>
      <c r="N21" s="51">
        <v>534.79999999999995</v>
      </c>
      <c r="O21" s="51">
        <v>0</v>
      </c>
      <c r="P21" s="51">
        <v>0.73</v>
      </c>
      <c r="Q21" s="51">
        <v>5.0199999999999996</v>
      </c>
    </row>
    <row r="22" spans="1:17" customFormat="1">
      <c r="A22" s="50" t="s">
        <v>360</v>
      </c>
      <c r="B22" s="51">
        <v>8.65</v>
      </c>
      <c r="C22" s="51">
        <v>28.05</v>
      </c>
      <c r="D22" s="51">
        <v>22.95</v>
      </c>
      <c r="E22" s="51">
        <v>9.7799999999999994</v>
      </c>
      <c r="F22" s="51">
        <v>3.27</v>
      </c>
      <c r="G22" s="51">
        <v>78.75</v>
      </c>
      <c r="H22" s="51">
        <v>35.9</v>
      </c>
      <c r="I22" s="51">
        <v>9.5</v>
      </c>
      <c r="J22" s="51">
        <v>0.28000000000000003</v>
      </c>
      <c r="K22" s="51">
        <v>351.33</v>
      </c>
      <c r="L22" s="51">
        <v>26.02</v>
      </c>
      <c r="M22" s="51">
        <v>28.25</v>
      </c>
      <c r="N22" s="51">
        <v>482.6</v>
      </c>
      <c r="O22" s="51">
        <v>0</v>
      </c>
      <c r="P22" s="51">
        <v>0.7</v>
      </c>
      <c r="Q22" s="51">
        <v>5</v>
      </c>
    </row>
    <row r="23" spans="1:17" customFormat="1">
      <c r="A23" s="50" t="s">
        <v>361</v>
      </c>
      <c r="B23" s="51">
        <v>6.95</v>
      </c>
      <c r="C23" s="51">
        <v>28.06</v>
      </c>
      <c r="D23" s="51">
        <v>21.45</v>
      </c>
      <c r="E23" s="51">
        <v>10.81</v>
      </c>
      <c r="F23" s="51">
        <v>5.59</v>
      </c>
      <c r="G23" s="51">
        <v>73.510000000000005</v>
      </c>
      <c r="H23" s="51">
        <v>33.299999999999997</v>
      </c>
      <c r="I23" s="51">
        <v>9.01</v>
      </c>
      <c r="J23" s="51">
        <v>0.51</v>
      </c>
      <c r="K23" s="51">
        <v>323.77</v>
      </c>
      <c r="L23" s="51">
        <v>25.3</v>
      </c>
      <c r="M23" s="51">
        <v>26.55</v>
      </c>
      <c r="N23" s="51">
        <v>159.9</v>
      </c>
      <c r="O23" s="51">
        <v>0</v>
      </c>
      <c r="P23" s="51">
        <v>0.67</v>
      </c>
      <c r="Q23" s="51">
        <v>4.99</v>
      </c>
    </row>
    <row r="24" spans="1:17" customFormat="1">
      <c r="A24" s="50" t="s">
        <v>362</v>
      </c>
      <c r="B24" s="51">
        <v>4.88</v>
      </c>
      <c r="C24" s="51">
        <v>27.1</v>
      </c>
      <c r="D24" s="51">
        <v>19.420000000000002</v>
      </c>
      <c r="E24" s="51">
        <v>10.46</v>
      </c>
      <c r="F24" s="51">
        <v>5.27</v>
      </c>
      <c r="G24" s="51">
        <v>71.63</v>
      </c>
      <c r="H24" s="51">
        <v>29.62</v>
      </c>
      <c r="I24" s="51">
        <v>8.23</v>
      </c>
      <c r="J24" s="51">
        <v>0.26</v>
      </c>
      <c r="K24" s="51">
        <v>89.51</v>
      </c>
      <c r="L24" s="51">
        <v>24.91</v>
      </c>
      <c r="M24" s="51">
        <v>27.45</v>
      </c>
      <c r="N24" s="51">
        <v>57.8</v>
      </c>
      <c r="O24" s="51">
        <v>0</v>
      </c>
      <c r="P24" s="51">
        <v>0.64</v>
      </c>
      <c r="Q24" s="51">
        <v>4.92</v>
      </c>
    </row>
    <row r="25" spans="1:17" customFormat="1">
      <c r="A25" s="50" t="s">
        <v>363</v>
      </c>
      <c r="B25" s="51">
        <v>5.28</v>
      </c>
      <c r="C25" s="51">
        <v>28.54</v>
      </c>
      <c r="D25" s="51">
        <v>20.5</v>
      </c>
      <c r="E25" s="51">
        <v>9.9700000000000006</v>
      </c>
      <c r="F25" s="51">
        <v>4.53</v>
      </c>
      <c r="G25" s="51">
        <v>71.510000000000005</v>
      </c>
      <c r="H25" s="51">
        <v>29.15</v>
      </c>
      <c r="I25" s="51">
        <v>7.59</v>
      </c>
      <c r="J25" s="51">
        <v>0.25</v>
      </c>
      <c r="K25" s="51">
        <v>170.73</v>
      </c>
      <c r="L25" s="51">
        <v>24.13</v>
      </c>
      <c r="M25" s="51">
        <v>43.14</v>
      </c>
      <c r="N25" s="51">
        <v>29.5</v>
      </c>
      <c r="O25" s="51">
        <v>0</v>
      </c>
      <c r="P25" s="51">
        <v>0.63</v>
      </c>
      <c r="Q25" s="51">
        <v>4.93</v>
      </c>
    </row>
    <row r="26" spans="1:17" customFormat="1">
      <c r="A26" s="50" t="s">
        <v>364</v>
      </c>
      <c r="B26" s="51">
        <v>5.93</v>
      </c>
      <c r="C26" s="51">
        <v>31.55</v>
      </c>
      <c r="D26" s="51">
        <v>22.59</v>
      </c>
      <c r="E26" s="51">
        <v>9.34</v>
      </c>
      <c r="F26" s="51">
        <v>3.39</v>
      </c>
      <c r="G26" s="51">
        <v>85.28</v>
      </c>
      <c r="H26" s="51">
        <v>35.1</v>
      </c>
      <c r="I26" s="51">
        <v>7.33</v>
      </c>
      <c r="J26" s="51">
        <v>0.28000000000000003</v>
      </c>
      <c r="K26" s="51">
        <v>165.7</v>
      </c>
      <c r="L26" s="51">
        <v>20.86</v>
      </c>
      <c r="M26" s="51">
        <v>65.489999999999995</v>
      </c>
      <c r="N26" s="51">
        <v>0</v>
      </c>
      <c r="O26" s="51">
        <v>0</v>
      </c>
      <c r="P26" s="51">
        <v>0.66</v>
      </c>
      <c r="Q26" s="51">
        <v>4.97</v>
      </c>
    </row>
    <row r="27" spans="1:17" customFormat="1">
      <c r="A27" s="50" t="s">
        <v>365</v>
      </c>
      <c r="B27" s="51">
        <v>9.86</v>
      </c>
      <c r="C27" s="51">
        <v>34.75</v>
      </c>
      <c r="D27" s="51">
        <v>27.41</v>
      </c>
      <c r="E27" s="51">
        <v>7.81</v>
      </c>
      <c r="F27" s="51">
        <v>3.03</v>
      </c>
      <c r="G27" s="51">
        <v>85.28</v>
      </c>
      <c r="H27" s="51">
        <v>36.24</v>
      </c>
      <c r="I27" s="51">
        <v>8.02</v>
      </c>
      <c r="J27" s="51">
        <v>0.24</v>
      </c>
      <c r="K27" s="51">
        <v>170.5</v>
      </c>
      <c r="L27" s="51">
        <v>18.170000000000002</v>
      </c>
      <c r="M27" s="51">
        <v>68.66</v>
      </c>
      <c r="N27" s="51">
        <v>0</v>
      </c>
      <c r="O27" s="51">
        <v>0</v>
      </c>
      <c r="P27" s="51">
        <v>0.78</v>
      </c>
      <c r="Q27" s="51">
        <v>5.01</v>
      </c>
    </row>
    <row r="28" spans="1:17" customFormat="1">
      <c r="A28" s="50" t="s">
        <v>366</v>
      </c>
      <c r="B28" s="51">
        <v>12.06</v>
      </c>
      <c r="C28" s="51">
        <v>36.090000000000003</v>
      </c>
      <c r="D28" s="51">
        <v>29.55</v>
      </c>
      <c r="E28" s="51">
        <v>7.36</v>
      </c>
      <c r="F28" s="51">
        <v>2.74</v>
      </c>
      <c r="G28" s="51">
        <v>98.53</v>
      </c>
      <c r="H28" s="51">
        <v>41.69</v>
      </c>
      <c r="I28" s="51">
        <v>9.19</v>
      </c>
      <c r="J28" s="51">
        <v>0.17</v>
      </c>
      <c r="K28" s="51">
        <v>201.18</v>
      </c>
      <c r="L28" s="51">
        <v>16.829999999999998</v>
      </c>
      <c r="M28" s="51">
        <v>76.819999999999993</v>
      </c>
      <c r="N28" s="51">
        <v>0</v>
      </c>
      <c r="O28" s="51">
        <v>0</v>
      </c>
      <c r="P28" s="51">
        <v>0.83</v>
      </c>
      <c r="Q28" s="51">
        <v>5.09</v>
      </c>
    </row>
    <row r="29" spans="1:17" customFormat="1">
      <c r="A29" s="50" t="s">
        <v>367</v>
      </c>
      <c r="B29" s="51">
        <v>11.46</v>
      </c>
      <c r="C29" s="51">
        <v>34.72</v>
      </c>
      <c r="D29" s="51">
        <v>28.69</v>
      </c>
      <c r="E29" s="51">
        <v>7.33</v>
      </c>
      <c r="F29" s="51">
        <v>2.61</v>
      </c>
      <c r="G29" s="51">
        <v>100.77</v>
      </c>
      <c r="H29" s="51">
        <v>44.81</v>
      </c>
      <c r="I29" s="51">
        <v>9.92</v>
      </c>
      <c r="J29" s="51">
        <v>0.18</v>
      </c>
      <c r="K29" s="51">
        <v>183.46</v>
      </c>
      <c r="L29" s="51">
        <v>15.74</v>
      </c>
      <c r="M29" s="51">
        <v>82.36</v>
      </c>
      <c r="N29" s="51">
        <v>0</v>
      </c>
      <c r="O29" s="51">
        <v>0</v>
      </c>
      <c r="P29" s="51">
        <v>0.9</v>
      </c>
      <c r="Q29" s="51">
        <v>5.09</v>
      </c>
    </row>
    <row r="30" spans="1:17" customFormat="1">
      <c r="A30" s="50" t="s">
        <v>368</v>
      </c>
      <c r="B30" s="51">
        <v>13.59</v>
      </c>
      <c r="C30" s="51">
        <v>33.840000000000003</v>
      </c>
      <c r="D30" s="51">
        <v>29.7</v>
      </c>
      <c r="E30" s="51">
        <v>7.38</v>
      </c>
      <c r="F30" s="51">
        <v>2.62</v>
      </c>
      <c r="G30" s="51">
        <v>117.02</v>
      </c>
      <c r="H30" s="51">
        <v>46.85</v>
      </c>
      <c r="I30" s="51">
        <v>10.74</v>
      </c>
      <c r="J30" s="51">
        <v>0.15</v>
      </c>
      <c r="K30" s="51">
        <v>227.39</v>
      </c>
      <c r="L30" s="51">
        <v>15.13</v>
      </c>
      <c r="M30" s="51">
        <v>86.39</v>
      </c>
      <c r="N30" s="51">
        <v>0</v>
      </c>
      <c r="O30" s="51">
        <v>0</v>
      </c>
      <c r="P30" s="51">
        <v>0.95</v>
      </c>
      <c r="Q30" s="51">
        <v>5.12</v>
      </c>
    </row>
    <row r="31" spans="1:17" customFormat="1">
      <c r="A31" s="50" t="s">
        <v>369</v>
      </c>
      <c r="B31" s="51">
        <v>14.44</v>
      </c>
      <c r="C31" s="51">
        <v>33.04</v>
      </c>
      <c r="D31" s="51">
        <v>30.05</v>
      </c>
      <c r="E31" s="51">
        <v>7.31</v>
      </c>
      <c r="F31" s="51">
        <v>2.62</v>
      </c>
      <c r="G31" s="51">
        <v>128.75</v>
      </c>
      <c r="H31" s="51">
        <v>54.8</v>
      </c>
      <c r="I31" s="51">
        <v>11.26</v>
      </c>
      <c r="J31" s="51">
        <v>0.16</v>
      </c>
      <c r="K31" s="51">
        <v>255.29</v>
      </c>
      <c r="L31" s="51">
        <v>14.49</v>
      </c>
      <c r="M31" s="51">
        <v>85.67</v>
      </c>
      <c r="N31" s="51">
        <v>0</v>
      </c>
      <c r="O31" s="51">
        <v>0</v>
      </c>
      <c r="P31" s="51">
        <v>1</v>
      </c>
      <c r="Q31" s="51">
        <v>5.14</v>
      </c>
    </row>
    <row r="32" spans="1:17" customFormat="1">
      <c r="A32" s="50" t="s">
        <v>370</v>
      </c>
      <c r="B32" s="51">
        <v>14.91</v>
      </c>
      <c r="C32" s="51">
        <v>32.229999999999997</v>
      </c>
      <c r="D32" s="51">
        <v>30.02</v>
      </c>
      <c r="E32" s="51">
        <v>7.58</v>
      </c>
      <c r="F32" s="51">
        <v>2.65</v>
      </c>
      <c r="G32" s="51">
        <v>128.75</v>
      </c>
      <c r="H32" s="51">
        <v>54.8</v>
      </c>
      <c r="I32" s="51">
        <v>11.54</v>
      </c>
      <c r="J32" s="51">
        <v>0.16</v>
      </c>
      <c r="K32" s="51">
        <v>244.12</v>
      </c>
      <c r="L32" s="51">
        <v>13.75</v>
      </c>
      <c r="M32" s="51">
        <v>88.75</v>
      </c>
      <c r="N32" s="51">
        <v>0</v>
      </c>
      <c r="O32" s="51">
        <v>0</v>
      </c>
      <c r="P32" s="51">
        <v>1.07</v>
      </c>
      <c r="Q32" s="51">
        <v>5.15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4.88</v>
      </c>
      <c r="C34" s="41">
        <f t="shared" si="0"/>
        <v>27.1</v>
      </c>
      <c r="D34" s="41">
        <f t="shared" si="0"/>
        <v>19.420000000000002</v>
      </c>
      <c r="E34" s="41">
        <f t="shared" si="0"/>
        <v>6.01</v>
      </c>
      <c r="F34" s="41">
        <f t="shared" si="0"/>
        <v>2.61</v>
      </c>
      <c r="G34" s="41">
        <f t="shared" si="0"/>
        <v>71.510000000000005</v>
      </c>
      <c r="H34" s="41">
        <f t="shared" si="0"/>
        <v>29.15</v>
      </c>
      <c r="I34" s="41">
        <f t="shared" si="0"/>
        <v>7.33</v>
      </c>
      <c r="J34" s="41">
        <f t="shared" si="0"/>
        <v>0.1</v>
      </c>
      <c r="K34" s="41">
        <f t="shared" si="0"/>
        <v>51.57</v>
      </c>
      <c r="L34" s="41">
        <f t="shared" si="0"/>
        <v>10.84</v>
      </c>
      <c r="M34" s="41">
        <f t="shared" si="0"/>
        <v>26.55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4.92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39.69</v>
      </c>
      <c r="C35" s="33">
        <f t="shared" si="1"/>
        <v>36.270000000000003</v>
      </c>
      <c r="D35" s="33">
        <f t="shared" si="1"/>
        <v>52.06</v>
      </c>
      <c r="E35" s="33">
        <f t="shared" si="1"/>
        <v>10.81</v>
      </c>
      <c r="F35" s="33">
        <f t="shared" si="1"/>
        <v>5.59</v>
      </c>
      <c r="G35" s="33">
        <f t="shared" si="1"/>
        <v>135.94</v>
      </c>
      <c r="H35" s="33">
        <f t="shared" si="1"/>
        <v>76.08</v>
      </c>
      <c r="I35" s="33">
        <f t="shared" si="1"/>
        <v>19.47</v>
      </c>
      <c r="J35" s="33">
        <f t="shared" si="1"/>
        <v>0.66</v>
      </c>
      <c r="K35" s="33">
        <f t="shared" si="1"/>
        <v>351.33</v>
      </c>
      <c r="L35" s="33">
        <f t="shared" si="1"/>
        <v>26.02</v>
      </c>
      <c r="M35" s="33">
        <f t="shared" si="1"/>
        <v>92.84</v>
      </c>
      <c r="N35" s="33">
        <f t="shared" si="1"/>
        <v>534.79999999999995</v>
      </c>
      <c r="O35" s="33">
        <f t="shared" si="1"/>
        <v>0</v>
      </c>
      <c r="P35" s="33">
        <f t="shared" si="1"/>
        <v>1.39</v>
      </c>
      <c r="Q35" s="33">
        <f t="shared" si="1"/>
        <v>5.67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18.135833333333327</v>
      </c>
      <c r="C36" s="41">
        <f t="shared" si="2"/>
        <v>32.406666666666666</v>
      </c>
      <c r="D36" s="41">
        <f t="shared" si="2"/>
        <v>32.713749999999997</v>
      </c>
      <c r="E36" s="41">
        <f t="shared" si="2"/>
        <v>7.8412500000000023</v>
      </c>
      <c r="F36" s="41">
        <f t="shared" si="2"/>
        <v>3.1391666666666667</v>
      </c>
      <c r="G36" s="41">
        <f t="shared" si="2"/>
        <v>100.43708333333332</v>
      </c>
      <c r="H36" s="41">
        <f t="shared" si="2"/>
        <v>50.167083333333323</v>
      </c>
      <c r="I36" s="41">
        <f t="shared" si="2"/>
        <v>12.505833333333335</v>
      </c>
      <c r="J36" s="41">
        <f t="shared" si="2"/>
        <v>0.26874999999999999</v>
      </c>
      <c r="K36" s="41">
        <f t="shared" si="2"/>
        <v>197.74041666666665</v>
      </c>
      <c r="L36" s="41">
        <f t="shared" si="2"/>
        <v>17.616250000000001</v>
      </c>
      <c r="M36" s="41">
        <f t="shared" si="2"/>
        <v>67.561666666666667</v>
      </c>
      <c r="N36" s="41">
        <f t="shared" si="2"/>
        <v>115.55833333333334</v>
      </c>
      <c r="O36" s="41">
        <f t="shared" si="2"/>
        <v>0</v>
      </c>
      <c r="P36" s="41">
        <f t="shared" si="2"/>
        <v>0.96374999999999977</v>
      </c>
      <c r="Q36" s="41">
        <f t="shared" si="2"/>
        <v>5.2120833333333332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11.756772670388267</v>
      </c>
      <c r="C37" s="41">
        <f t="shared" ref="C37:Q37" si="3">STDEV(C9:C32)</f>
        <v>2.9192325773359773</v>
      </c>
      <c r="D37" s="41">
        <f t="shared" si="3"/>
        <v>10.554907291624238</v>
      </c>
      <c r="E37" s="41">
        <f t="shared" si="3"/>
        <v>1.5123241902851696</v>
      </c>
      <c r="F37" s="41">
        <f t="shared" si="3"/>
        <v>0.81579471344986809</v>
      </c>
      <c r="G37" s="41">
        <f t="shared" si="3"/>
        <v>24.247203958783452</v>
      </c>
      <c r="H37" s="41">
        <f t="shared" si="3"/>
        <v>15.302159688200556</v>
      </c>
      <c r="I37" s="41">
        <f t="shared" si="3"/>
        <v>3.9777554482141122</v>
      </c>
      <c r="J37" s="41">
        <f t="shared" si="3"/>
        <v>0.17042944479218927</v>
      </c>
      <c r="K37" s="41">
        <f t="shared" si="3"/>
        <v>76.237349084756502</v>
      </c>
      <c r="L37" s="41">
        <f t="shared" si="3"/>
        <v>5.2600643180891558</v>
      </c>
      <c r="M37" s="41">
        <f t="shared" si="3"/>
        <v>24.241011721365098</v>
      </c>
      <c r="N37" s="41">
        <f t="shared" si="3"/>
        <v>192.786549947292</v>
      </c>
      <c r="O37" s="41">
        <f t="shared" si="3"/>
        <v>0</v>
      </c>
      <c r="P37" s="41">
        <f t="shared" si="3"/>
        <v>0.25366551924172603</v>
      </c>
      <c r="Q37" s="41">
        <f t="shared" si="3"/>
        <v>0.24692859673202808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371</v>
      </c>
      <c r="B9" s="51">
        <v>18.38</v>
      </c>
      <c r="C9" s="51">
        <v>32.26</v>
      </c>
      <c r="D9" s="51">
        <v>32.950000000000003</v>
      </c>
      <c r="E9" s="51">
        <v>7.38</v>
      </c>
      <c r="F9" s="51">
        <v>2.63</v>
      </c>
      <c r="G9" s="51">
        <v>120.07</v>
      </c>
      <c r="H9" s="51">
        <v>56.51</v>
      </c>
      <c r="I9" s="51">
        <v>12.92</v>
      </c>
      <c r="J9" s="51">
        <v>0.17</v>
      </c>
      <c r="K9" s="51">
        <v>220.21</v>
      </c>
      <c r="L9" s="51">
        <v>13.67</v>
      </c>
      <c r="M9" s="51">
        <v>89.72</v>
      </c>
      <c r="N9" s="51">
        <v>0</v>
      </c>
      <c r="O9" s="51">
        <v>0</v>
      </c>
      <c r="P9" s="51">
        <v>1.25</v>
      </c>
      <c r="Q9" s="51">
        <v>5.22</v>
      </c>
    </row>
    <row r="10" spans="1:21" customFormat="1">
      <c r="A10" s="50" t="s">
        <v>372</v>
      </c>
      <c r="B10" s="51">
        <v>18.829999999999998</v>
      </c>
      <c r="C10" s="51">
        <v>32.01</v>
      </c>
      <c r="D10" s="51">
        <v>33.17</v>
      </c>
      <c r="E10" s="51">
        <v>7.43</v>
      </c>
      <c r="F10" s="51">
        <v>2.63</v>
      </c>
      <c r="G10" s="51">
        <v>120.07</v>
      </c>
      <c r="H10" s="51">
        <v>56.82</v>
      </c>
      <c r="I10" s="51">
        <v>13.91</v>
      </c>
      <c r="J10" s="51">
        <v>0.15</v>
      </c>
      <c r="K10" s="51">
        <v>223.44</v>
      </c>
      <c r="L10" s="51">
        <v>13.12</v>
      </c>
      <c r="M10" s="51">
        <v>89.97</v>
      </c>
      <c r="N10" s="51">
        <v>0</v>
      </c>
      <c r="O10" s="51">
        <v>0</v>
      </c>
      <c r="P10" s="51">
        <v>1.27</v>
      </c>
      <c r="Q10" s="51">
        <v>5.22</v>
      </c>
    </row>
    <row r="11" spans="1:21" customFormat="1">
      <c r="A11" s="50" t="s">
        <v>373</v>
      </c>
      <c r="B11" s="51">
        <v>20.05</v>
      </c>
      <c r="C11" s="51">
        <v>32.21</v>
      </c>
      <c r="D11" s="51">
        <v>34.25</v>
      </c>
      <c r="E11" s="51">
        <v>6.17</v>
      </c>
      <c r="F11" s="51">
        <v>2.64</v>
      </c>
      <c r="G11" s="51">
        <v>118.3</v>
      </c>
      <c r="H11" s="51">
        <v>56.82</v>
      </c>
      <c r="I11" s="51">
        <v>14.1</v>
      </c>
      <c r="J11" s="51">
        <v>0.16</v>
      </c>
      <c r="K11" s="51">
        <v>158.80000000000001</v>
      </c>
      <c r="L11" s="51">
        <v>12.98</v>
      </c>
      <c r="M11" s="51">
        <v>83.99</v>
      </c>
      <c r="N11" s="51">
        <v>0</v>
      </c>
      <c r="O11" s="51">
        <v>0</v>
      </c>
      <c r="P11" s="51">
        <v>1.29</v>
      </c>
      <c r="Q11" s="51">
        <v>5.22</v>
      </c>
    </row>
    <row r="12" spans="1:21" customFormat="1">
      <c r="A12" s="50" t="s">
        <v>374</v>
      </c>
      <c r="B12" s="51">
        <v>28.34</v>
      </c>
      <c r="C12" s="51">
        <v>34.07</v>
      </c>
      <c r="D12" s="51">
        <v>41.88</v>
      </c>
      <c r="E12" s="51">
        <v>6.35</v>
      </c>
      <c r="F12" s="51">
        <v>2.71</v>
      </c>
      <c r="G12" s="51">
        <v>124.58</v>
      </c>
      <c r="H12" s="51">
        <v>66.06</v>
      </c>
      <c r="I12" s="51">
        <v>14.78</v>
      </c>
      <c r="J12" s="51">
        <v>0.15</v>
      </c>
      <c r="K12" s="51">
        <v>244.15</v>
      </c>
      <c r="L12" s="51">
        <v>13.13</v>
      </c>
      <c r="M12" s="51">
        <v>87.62</v>
      </c>
      <c r="N12" s="51">
        <v>0</v>
      </c>
      <c r="O12" s="51">
        <v>0</v>
      </c>
      <c r="P12" s="51">
        <v>1.37</v>
      </c>
      <c r="Q12" s="51">
        <v>5.34</v>
      </c>
    </row>
    <row r="13" spans="1:21" customFormat="1">
      <c r="A13" s="50" t="s">
        <v>375</v>
      </c>
      <c r="B13" s="51">
        <v>28.74</v>
      </c>
      <c r="C13" s="51">
        <v>34.06</v>
      </c>
      <c r="D13" s="51">
        <v>42.19</v>
      </c>
      <c r="E13" s="51">
        <v>6.46</v>
      </c>
      <c r="F13" s="51">
        <v>2.76</v>
      </c>
      <c r="G13" s="51">
        <v>130.78</v>
      </c>
      <c r="H13" s="51">
        <v>66.06</v>
      </c>
      <c r="I13" s="51">
        <v>15.5</v>
      </c>
      <c r="J13" s="51">
        <v>0.25</v>
      </c>
      <c r="K13" s="51">
        <v>265.24</v>
      </c>
      <c r="L13" s="51">
        <v>12.18</v>
      </c>
      <c r="M13" s="51">
        <v>91.31</v>
      </c>
      <c r="N13" s="51">
        <v>0</v>
      </c>
      <c r="O13" s="51">
        <v>0</v>
      </c>
      <c r="P13" s="51">
        <v>1.37</v>
      </c>
      <c r="Q13" s="51">
        <v>5.38</v>
      </c>
    </row>
    <row r="14" spans="1:21" customFormat="1">
      <c r="A14" s="50" t="s">
        <v>376</v>
      </c>
      <c r="B14" s="51">
        <v>25.14</v>
      </c>
      <c r="C14" s="51">
        <v>32.22</v>
      </c>
      <c r="D14" s="51">
        <v>38.35</v>
      </c>
      <c r="E14" s="51">
        <v>5.94</v>
      </c>
      <c r="F14" s="51">
        <v>2.68</v>
      </c>
      <c r="G14" s="51">
        <v>130.78</v>
      </c>
      <c r="H14" s="51">
        <v>62.12</v>
      </c>
      <c r="I14" s="51">
        <v>15.53</v>
      </c>
      <c r="J14" s="51">
        <v>0.19</v>
      </c>
      <c r="K14" s="51">
        <v>227.86</v>
      </c>
      <c r="L14" s="51">
        <v>11.42</v>
      </c>
      <c r="M14" s="51">
        <v>92.33</v>
      </c>
      <c r="N14" s="51">
        <v>0</v>
      </c>
      <c r="O14" s="51">
        <v>0</v>
      </c>
      <c r="P14" s="51">
        <v>1.34</v>
      </c>
      <c r="Q14" s="51">
        <v>5.29</v>
      </c>
    </row>
    <row r="15" spans="1:21" customFormat="1">
      <c r="A15" s="50" t="s">
        <v>377</v>
      </c>
      <c r="B15" s="51">
        <v>34.630000000000003</v>
      </c>
      <c r="C15" s="51">
        <v>32.04</v>
      </c>
      <c r="D15" s="51">
        <v>45.86</v>
      </c>
      <c r="E15" s="51">
        <v>6.24</v>
      </c>
      <c r="F15" s="51">
        <v>2.5499999999999998</v>
      </c>
      <c r="G15" s="51">
        <v>140.78</v>
      </c>
      <c r="H15" s="51">
        <v>65.58</v>
      </c>
      <c r="I15" s="51">
        <v>15.07</v>
      </c>
      <c r="J15" s="51">
        <v>0.17</v>
      </c>
      <c r="K15" s="51">
        <v>260.69</v>
      </c>
      <c r="L15" s="51">
        <v>11.43</v>
      </c>
      <c r="M15" s="51">
        <v>90.66</v>
      </c>
      <c r="N15" s="51">
        <v>4.5</v>
      </c>
      <c r="O15" s="51">
        <v>0</v>
      </c>
      <c r="P15" s="51">
        <v>1.27</v>
      </c>
      <c r="Q15" s="51">
        <v>5.44</v>
      </c>
    </row>
    <row r="16" spans="1:21" customFormat="1">
      <c r="A16" s="50" t="s">
        <v>378</v>
      </c>
      <c r="B16" s="51">
        <v>40.630000000000003</v>
      </c>
      <c r="C16" s="51">
        <v>32.53</v>
      </c>
      <c r="D16" s="51">
        <v>50.75</v>
      </c>
      <c r="E16" s="51">
        <v>6.76</v>
      </c>
      <c r="F16" s="51">
        <v>2.62</v>
      </c>
      <c r="G16" s="51">
        <v>145.82</v>
      </c>
      <c r="H16" s="51">
        <v>66.099999999999994</v>
      </c>
      <c r="I16" s="51">
        <v>14.91</v>
      </c>
      <c r="J16" s="51">
        <v>0.35</v>
      </c>
      <c r="K16" s="51">
        <v>256.31</v>
      </c>
      <c r="L16" s="51">
        <v>13.89</v>
      </c>
      <c r="M16" s="51">
        <v>91.82</v>
      </c>
      <c r="N16" s="51">
        <v>58.8</v>
      </c>
      <c r="O16" s="51">
        <v>0</v>
      </c>
      <c r="P16" s="51">
        <v>1.27</v>
      </c>
      <c r="Q16" s="51">
        <v>5.55</v>
      </c>
    </row>
    <row r="17" spans="1:17" customFormat="1">
      <c r="A17" s="50" t="s">
        <v>379</v>
      </c>
      <c r="B17" s="51">
        <v>38.15</v>
      </c>
      <c r="C17" s="51">
        <v>35.67</v>
      </c>
      <c r="D17" s="51">
        <v>49.32</v>
      </c>
      <c r="E17" s="51">
        <v>6.91</v>
      </c>
      <c r="F17" s="51">
        <v>2.74</v>
      </c>
      <c r="G17" s="51">
        <v>145.82</v>
      </c>
      <c r="H17" s="51">
        <v>66.099999999999994</v>
      </c>
      <c r="I17" s="51">
        <v>15.01</v>
      </c>
      <c r="J17" s="51">
        <v>0.36</v>
      </c>
      <c r="K17" s="51">
        <v>184.53</v>
      </c>
      <c r="L17" s="51">
        <v>18.920000000000002</v>
      </c>
      <c r="M17" s="51">
        <v>73.56</v>
      </c>
      <c r="N17" s="51">
        <v>209</v>
      </c>
      <c r="O17" s="51">
        <v>0</v>
      </c>
      <c r="P17" s="51">
        <v>1.27</v>
      </c>
      <c r="Q17" s="51">
        <v>5.52</v>
      </c>
    </row>
    <row r="18" spans="1:17" customFormat="1">
      <c r="A18" s="50" t="s">
        <v>380</v>
      </c>
      <c r="B18" s="51">
        <v>27.72</v>
      </c>
      <c r="C18" s="51">
        <v>34.869999999999997</v>
      </c>
      <c r="D18" s="51">
        <v>41.8</v>
      </c>
      <c r="E18" s="51">
        <v>6.99</v>
      </c>
      <c r="F18" s="51">
        <v>2.95</v>
      </c>
      <c r="G18" s="51">
        <v>141.12</v>
      </c>
      <c r="H18" s="51">
        <v>66.23</v>
      </c>
      <c r="I18" s="51">
        <v>14.65</v>
      </c>
      <c r="J18" s="51">
        <v>0.3</v>
      </c>
      <c r="K18" s="51">
        <v>158.77000000000001</v>
      </c>
      <c r="L18" s="51">
        <v>22.39</v>
      </c>
      <c r="M18" s="51">
        <v>50.75</v>
      </c>
      <c r="N18" s="51">
        <v>198.5</v>
      </c>
      <c r="O18" s="51">
        <v>0</v>
      </c>
      <c r="P18" s="51">
        <v>1.21</v>
      </c>
      <c r="Q18" s="51">
        <v>5.36</v>
      </c>
    </row>
    <row r="19" spans="1:17" customFormat="1">
      <c r="A19" s="50" t="s">
        <v>381</v>
      </c>
      <c r="B19" s="51">
        <v>16.489999999999998</v>
      </c>
      <c r="C19" s="51">
        <v>35.21</v>
      </c>
      <c r="D19" s="51">
        <v>32.770000000000003</v>
      </c>
      <c r="E19" s="51">
        <v>6.16</v>
      </c>
      <c r="F19" s="51">
        <v>3.4</v>
      </c>
      <c r="G19" s="51">
        <v>131.94</v>
      </c>
      <c r="H19" s="51">
        <v>66.23</v>
      </c>
      <c r="I19" s="51">
        <v>13.98</v>
      </c>
      <c r="J19" s="51">
        <v>0.56999999999999995</v>
      </c>
      <c r="K19" s="51">
        <v>107.15</v>
      </c>
      <c r="L19" s="51">
        <v>23.84</v>
      </c>
      <c r="M19" s="51">
        <v>38.299999999999997</v>
      </c>
      <c r="N19" s="51">
        <v>434.7</v>
      </c>
      <c r="O19" s="51">
        <v>0</v>
      </c>
      <c r="P19" s="51">
        <v>1.1200000000000001</v>
      </c>
      <c r="Q19" s="51">
        <v>5.19</v>
      </c>
    </row>
    <row r="20" spans="1:17" customFormat="1">
      <c r="A20" s="50" t="s">
        <v>382</v>
      </c>
      <c r="B20" s="51">
        <v>8.25</v>
      </c>
      <c r="C20" s="51">
        <v>33.69</v>
      </c>
      <c r="D20" s="51">
        <v>25.57</v>
      </c>
      <c r="E20" s="51">
        <v>5.79</v>
      </c>
      <c r="F20" s="51">
        <v>4.66</v>
      </c>
      <c r="G20" s="51">
        <v>113.19</v>
      </c>
      <c r="H20" s="51">
        <v>57.27</v>
      </c>
      <c r="I20" s="51">
        <v>12.72</v>
      </c>
      <c r="J20" s="51">
        <v>0.28999999999999998</v>
      </c>
      <c r="K20" s="51">
        <v>134.13</v>
      </c>
      <c r="L20" s="51">
        <v>25.42</v>
      </c>
      <c r="M20" s="51">
        <v>33.46</v>
      </c>
      <c r="N20" s="51">
        <v>504.8</v>
      </c>
      <c r="O20" s="51">
        <v>0</v>
      </c>
      <c r="P20" s="51">
        <v>1.03</v>
      </c>
      <c r="Q20" s="51">
        <v>5.0199999999999996</v>
      </c>
    </row>
    <row r="21" spans="1:17" customFormat="1">
      <c r="A21" s="50" t="s">
        <v>383</v>
      </c>
      <c r="B21" s="51">
        <v>5.12</v>
      </c>
      <c r="C21" s="51">
        <v>29.55</v>
      </c>
      <c r="D21" s="51">
        <v>20.9</v>
      </c>
      <c r="E21" s="51">
        <v>6.17</v>
      </c>
      <c r="F21" s="51">
        <v>5.46</v>
      </c>
      <c r="G21" s="51">
        <v>96.36</v>
      </c>
      <c r="H21" s="51">
        <v>48.56</v>
      </c>
      <c r="I21" s="51">
        <v>11.28</v>
      </c>
      <c r="J21" s="51">
        <v>0.51</v>
      </c>
      <c r="K21" s="51">
        <v>67.7</v>
      </c>
      <c r="L21" s="51">
        <v>26.24</v>
      </c>
      <c r="M21" s="51">
        <v>31.72</v>
      </c>
      <c r="N21" s="51">
        <v>509.4</v>
      </c>
      <c r="O21" s="51">
        <v>0</v>
      </c>
      <c r="P21" s="51">
        <v>0.93</v>
      </c>
      <c r="Q21" s="51">
        <v>4.95</v>
      </c>
    </row>
    <row r="22" spans="1:17" customFormat="1">
      <c r="A22" s="50" t="s">
        <v>384</v>
      </c>
      <c r="B22" s="51">
        <v>4.8499999999999996</v>
      </c>
      <c r="C22" s="51">
        <v>26.99</v>
      </c>
      <c r="D22" s="51">
        <v>19.3</v>
      </c>
      <c r="E22" s="51">
        <v>6.27</v>
      </c>
      <c r="F22" s="51">
        <v>5.99</v>
      </c>
      <c r="G22" s="51">
        <v>88.01</v>
      </c>
      <c r="H22" s="51">
        <v>42.82</v>
      </c>
      <c r="I22" s="51">
        <v>10.17</v>
      </c>
      <c r="J22" s="51">
        <v>0.6</v>
      </c>
      <c r="K22" s="51">
        <v>309.60000000000002</v>
      </c>
      <c r="L22" s="51">
        <v>26.99</v>
      </c>
      <c r="M22" s="51">
        <v>29.48</v>
      </c>
      <c r="N22" s="51">
        <v>452.6</v>
      </c>
      <c r="O22" s="51">
        <v>0</v>
      </c>
      <c r="P22" s="51">
        <v>0.87</v>
      </c>
      <c r="Q22" s="51">
        <v>4.9000000000000004</v>
      </c>
    </row>
    <row r="23" spans="1:17" customFormat="1">
      <c r="A23" s="50" t="s">
        <v>385</v>
      </c>
      <c r="B23" s="51">
        <v>4.72</v>
      </c>
      <c r="C23" s="51">
        <v>24.84</v>
      </c>
      <c r="D23" s="51">
        <v>18.07</v>
      </c>
      <c r="E23" s="51">
        <v>6.14</v>
      </c>
      <c r="F23" s="51">
        <v>6.73</v>
      </c>
      <c r="G23" s="51">
        <v>81.81</v>
      </c>
      <c r="H23" s="51">
        <v>41.4</v>
      </c>
      <c r="I23" s="51">
        <v>9.26</v>
      </c>
      <c r="J23" s="51">
        <v>0.5</v>
      </c>
      <c r="K23" s="51">
        <v>344.8</v>
      </c>
      <c r="L23" s="51">
        <v>26.01</v>
      </c>
      <c r="M23" s="51">
        <v>31.36</v>
      </c>
      <c r="N23" s="51">
        <v>182.1</v>
      </c>
      <c r="O23" s="51">
        <v>0</v>
      </c>
      <c r="P23" s="51">
        <v>0.7</v>
      </c>
      <c r="Q23" s="51">
        <v>4.8899999999999997</v>
      </c>
    </row>
    <row r="24" spans="1:17" customFormat="1">
      <c r="A24" s="50" t="s">
        <v>386</v>
      </c>
      <c r="B24" s="51">
        <v>5.07</v>
      </c>
      <c r="C24" s="51">
        <v>23.5</v>
      </c>
      <c r="D24" s="51">
        <v>17.510000000000002</v>
      </c>
      <c r="E24" s="51">
        <v>5.13</v>
      </c>
      <c r="F24" s="51">
        <v>5.0199999999999996</v>
      </c>
      <c r="G24" s="51">
        <v>84.19</v>
      </c>
      <c r="H24" s="51">
        <v>41.39</v>
      </c>
      <c r="I24" s="51">
        <v>8.5500000000000007</v>
      </c>
      <c r="J24" s="51">
        <v>0.26</v>
      </c>
      <c r="K24" s="51">
        <v>295.45999999999998</v>
      </c>
      <c r="L24" s="51">
        <v>25.78</v>
      </c>
      <c r="M24" s="51">
        <v>32.94</v>
      </c>
      <c r="N24" s="51">
        <v>92.1</v>
      </c>
      <c r="O24" s="51">
        <v>0</v>
      </c>
      <c r="P24" s="51">
        <v>0.68</v>
      </c>
      <c r="Q24" s="51">
        <v>4.88</v>
      </c>
    </row>
    <row r="25" spans="1:17" customFormat="1">
      <c r="A25" s="50" t="s">
        <v>387</v>
      </c>
      <c r="B25" s="51">
        <v>5.51</v>
      </c>
      <c r="C25" s="51">
        <v>27.09</v>
      </c>
      <c r="D25" s="51">
        <v>19.920000000000002</v>
      </c>
      <c r="E25" s="51">
        <v>5.85</v>
      </c>
      <c r="F25" s="51">
        <v>3.69</v>
      </c>
      <c r="G25" s="51">
        <v>105.89</v>
      </c>
      <c r="H25" s="51">
        <v>51.18</v>
      </c>
      <c r="I25" s="51">
        <v>8.3800000000000008</v>
      </c>
      <c r="J25" s="51">
        <v>0.31</v>
      </c>
      <c r="K25" s="51">
        <v>103.26</v>
      </c>
      <c r="L25" s="51">
        <v>25.02</v>
      </c>
      <c r="M25" s="51">
        <v>43.26</v>
      </c>
      <c r="N25" s="51">
        <v>33.5</v>
      </c>
      <c r="O25" s="51">
        <v>0</v>
      </c>
      <c r="P25" s="51">
        <v>0.73</v>
      </c>
      <c r="Q25" s="51">
        <v>4.8899999999999997</v>
      </c>
    </row>
    <row r="26" spans="1:17" customFormat="1">
      <c r="A26" s="50" t="s">
        <v>388</v>
      </c>
      <c r="B26" s="51">
        <v>6.67</v>
      </c>
      <c r="C26" s="51">
        <v>31.39</v>
      </c>
      <c r="D26" s="51">
        <v>23.1</v>
      </c>
      <c r="E26" s="51">
        <v>5.71</v>
      </c>
      <c r="F26" s="51">
        <v>2.82</v>
      </c>
      <c r="G26" s="51">
        <v>133.24</v>
      </c>
      <c r="H26" s="51">
        <v>55.43</v>
      </c>
      <c r="I26" s="51">
        <v>8.6</v>
      </c>
      <c r="J26" s="51">
        <v>0.2</v>
      </c>
      <c r="K26" s="51">
        <v>167.56</v>
      </c>
      <c r="L26" s="51">
        <v>21.93</v>
      </c>
      <c r="M26" s="51">
        <v>55.28</v>
      </c>
      <c r="N26" s="51">
        <v>0.1</v>
      </c>
      <c r="O26" s="51">
        <v>0</v>
      </c>
      <c r="P26" s="51">
        <v>0.78</v>
      </c>
      <c r="Q26" s="51">
        <v>4.95</v>
      </c>
    </row>
    <row r="27" spans="1:17" customFormat="1">
      <c r="A27" s="50" t="s">
        <v>389</v>
      </c>
      <c r="B27" s="51">
        <v>7.09</v>
      </c>
      <c r="C27" s="51">
        <v>34.68</v>
      </c>
      <c r="D27" s="51">
        <v>25.14</v>
      </c>
      <c r="E27" s="51">
        <v>7.16</v>
      </c>
      <c r="F27" s="51">
        <v>2.85</v>
      </c>
      <c r="G27" s="51">
        <v>157.68</v>
      </c>
      <c r="H27" s="51">
        <v>62.02</v>
      </c>
      <c r="I27" s="51">
        <v>9.35</v>
      </c>
      <c r="J27" s="51">
        <v>0.27</v>
      </c>
      <c r="K27" s="51">
        <v>184.98</v>
      </c>
      <c r="L27" s="51">
        <v>19.739999999999998</v>
      </c>
      <c r="M27" s="51">
        <v>72.680000000000007</v>
      </c>
      <c r="N27" s="51">
        <v>0</v>
      </c>
      <c r="O27" s="51">
        <v>0</v>
      </c>
      <c r="P27" s="51">
        <v>0.88</v>
      </c>
      <c r="Q27" s="51">
        <v>4.9800000000000004</v>
      </c>
    </row>
    <row r="28" spans="1:17" customFormat="1">
      <c r="A28" s="50" t="s">
        <v>390</v>
      </c>
      <c r="B28" s="51">
        <v>7.92</v>
      </c>
      <c r="C28" s="51">
        <v>36.01</v>
      </c>
      <c r="D28" s="51">
        <v>26.52</v>
      </c>
      <c r="E28" s="51">
        <v>7.39</v>
      </c>
      <c r="F28" s="51">
        <v>2.74</v>
      </c>
      <c r="G28" s="51">
        <v>157.68</v>
      </c>
      <c r="H28" s="51">
        <v>63</v>
      </c>
      <c r="I28" s="51">
        <v>10.58</v>
      </c>
      <c r="J28" s="51">
        <v>0.21</v>
      </c>
      <c r="K28" s="51">
        <v>211.72</v>
      </c>
      <c r="L28" s="51">
        <v>17.8</v>
      </c>
      <c r="M28" s="51">
        <v>76.37</v>
      </c>
      <c r="N28" s="51">
        <v>0</v>
      </c>
      <c r="O28" s="51">
        <v>0</v>
      </c>
      <c r="P28" s="51">
        <v>1</v>
      </c>
      <c r="Q28" s="51">
        <v>5.03</v>
      </c>
    </row>
    <row r="29" spans="1:17" customFormat="1">
      <c r="A29" s="50" t="s">
        <v>391</v>
      </c>
      <c r="B29" s="51">
        <v>8.09</v>
      </c>
      <c r="C29" s="51">
        <v>36.369999999999997</v>
      </c>
      <c r="D29" s="51">
        <v>26.83</v>
      </c>
      <c r="E29" s="51">
        <v>7.49</v>
      </c>
      <c r="F29" s="51">
        <v>2.86</v>
      </c>
      <c r="G29" s="51">
        <v>156.09</v>
      </c>
      <c r="H29" s="51">
        <v>65.28</v>
      </c>
      <c r="I29" s="51">
        <v>11.57</v>
      </c>
      <c r="J29" s="51">
        <v>0.16</v>
      </c>
      <c r="K29" s="51">
        <v>171.45</v>
      </c>
      <c r="L29" s="51">
        <v>16.670000000000002</v>
      </c>
      <c r="M29" s="51">
        <v>82.86</v>
      </c>
      <c r="N29" s="51">
        <v>0</v>
      </c>
      <c r="O29" s="51">
        <v>0</v>
      </c>
      <c r="P29" s="51">
        <v>1.0900000000000001</v>
      </c>
      <c r="Q29" s="51">
        <v>5.03</v>
      </c>
    </row>
    <row r="30" spans="1:17" customFormat="1">
      <c r="A30" s="50" t="s">
        <v>392</v>
      </c>
      <c r="B30" s="51">
        <v>7.09</v>
      </c>
      <c r="C30" s="51">
        <v>34.29</v>
      </c>
      <c r="D30" s="51">
        <v>24.93</v>
      </c>
      <c r="E30" s="51">
        <v>7.35</v>
      </c>
      <c r="F30" s="51">
        <v>2.79</v>
      </c>
      <c r="G30" s="51">
        <v>154.01</v>
      </c>
      <c r="H30" s="51">
        <v>69.42</v>
      </c>
      <c r="I30" s="51">
        <v>12.15</v>
      </c>
      <c r="J30" s="51">
        <v>0.14000000000000001</v>
      </c>
      <c r="K30" s="51">
        <v>215.04</v>
      </c>
      <c r="L30" s="51">
        <v>16.38</v>
      </c>
      <c r="M30" s="51">
        <v>85.28</v>
      </c>
      <c r="N30" s="51">
        <v>0</v>
      </c>
      <c r="O30" s="51">
        <v>0</v>
      </c>
      <c r="P30" s="51">
        <v>1.1499999999999999</v>
      </c>
      <c r="Q30" s="51">
        <v>5.04</v>
      </c>
    </row>
    <row r="31" spans="1:17" customFormat="1">
      <c r="A31" s="50" t="s">
        <v>393</v>
      </c>
      <c r="B31" s="51">
        <v>7.49</v>
      </c>
      <c r="C31" s="51">
        <v>32.549999999999997</v>
      </c>
      <c r="D31" s="51">
        <v>24.1</v>
      </c>
      <c r="E31" s="51">
        <v>7.34</v>
      </c>
      <c r="F31" s="51">
        <v>2.61</v>
      </c>
      <c r="G31" s="51">
        <v>145.9</v>
      </c>
      <c r="H31" s="51">
        <v>69.459999999999994</v>
      </c>
      <c r="I31" s="51">
        <v>12.42</v>
      </c>
      <c r="J31" s="51">
        <v>0.1</v>
      </c>
      <c r="K31" s="51">
        <v>219.9</v>
      </c>
      <c r="L31" s="51">
        <v>15.35</v>
      </c>
      <c r="M31" s="51">
        <v>86.6</v>
      </c>
      <c r="N31" s="51">
        <v>0</v>
      </c>
      <c r="O31" s="51">
        <v>0</v>
      </c>
      <c r="P31" s="51">
        <v>1.2</v>
      </c>
      <c r="Q31" s="51">
        <v>5.01</v>
      </c>
    </row>
    <row r="32" spans="1:17" customFormat="1">
      <c r="A32" s="50" t="s">
        <v>394</v>
      </c>
      <c r="B32" s="51">
        <v>7.54</v>
      </c>
      <c r="C32" s="51">
        <v>31.6</v>
      </c>
      <c r="D32" s="51">
        <v>23.91</v>
      </c>
      <c r="E32" s="51">
        <v>7.08</v>
      </c>
      <c r="F32" s="51">
        <v>2.61</v>
      </c>
      <c r="G32" s="51">
        <v>139.58000000000001</v>
      </c>
      <c r="H32" s="51">
        <v>69.61</v>
      </c>
      <c r="I32" s="51">
        <v>12.74</v>
      </c>
      <c r="J32" s="51">
        <v>0.22</v>
      </c>
      <c r="K32" s="51">
        <v>250.22</v>
      </c>
      <c r="L32" s="51">
        <v>15.33</v>
      </c>
      <c r="M32" s="51">
        <v>88.23</v>
      </c>
      <c r="N32" s="51">
        <v>0</v>
      </c>
      <c r="O32" s="51">
        <v>0</v>
      </c>
      <c r="P32" s="51">
        <v>1.22</v>
      </c>
      <c r="Q32" s="51">
        <v>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4.72</v>
      </c>
      <c r="C34" s="41">
        <f t="shared" si="0"/>
        <v>23.5</v>
      </c>
      <c r="D34" s="41">
        <f t="shared" si="0"/>
        <v>17.510000000000002</v>
      </c>
      <c r="E34" s="41">
        <f t="shared" si="0"/>
        <v>5.13</v>
      </c>
      <c r="F34" s="41">
        <f t="shared" si="0"/>
        <v>2.5499999999999998</v>
      </c>
      <c r="G34" s="41">
        <f t="shared" si="0"/>
        <v>81.81</v>
      </c>
      <c r="H34" s="41">
        <f t="shared" si="0"/>
        <v>41.39</v>
      </c>
      <c r="I34" s="41">
        <f t="shared" si="0"/>
        <v>8.3800000000000008</v>
      </c>
      <c r="J34" s="41">
        <f t="shared" si="0"/>
        <v>0.1</v>
      </c>
      <c r="K34" s="41">
        <f t="shared" si="0"/>
        <v>67.7</v>
      </c>
      <c r="L34" s="41">
        <f t="shared" si="0"/>
        <v>11.42</v>
      </c>
      <c r="M34" s="41">
        <f t="shared" si="0"/>
        <v>29.48</v>
      </c>
      <c r="N34" s="41">
        <f t="shared" si="0"/>
        <v>0</v>
      </c>
      <c r="O34" s="41">
        <f t="shared" si="0"/>
        <v>0</v>
      </c>
      <c r="P34" s="41">
        <f t="shared" si="0"/>
        <v>0.68</v>
      </c>
      <c r="Q34" s="41">
        <f t="shared" si="0"/>
        <v>4.88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40.630000000000003</v>
      </c>
      <c r="C35" s="33">
        <f t="shared" si="1"/>
        <v>36.369999999999997</v>
      </c>
      <c r="D35" s="33">
        <f t="shared" si="1"/>
        <v>50.75</v>
      </c>
      <c r="E35" s="33">
        <f t="shared" si="1"/>
        <v>7.49</v>
      </c>
      <c r="F35" s="33">
        <f t="shared" si="1"/>
        <v>6.73</v>
      </c>
      <c r="G35" s="33">
        <f t="shared" si="1"/>
        <v>157.68</v>
      </c>
      <c r="H35" s="33">
        <f t="shared" si="1"/>
        <v>69.61</v>
      </c>
      <c r="I35" s="33">
        <f t="shared" si="1"/>
        <v>15.53</v>
      </c>
      <c r="J35" s="33">
        <f t="shared" si="1"/>
        <v>0.6</v>
      </c>
      <c r="K35" s="33">
        <f t="shared" si="1"/>
        <v>344.8</v>
      </c>
      <c r="L35" s="33">
        <f t="shared" si="1"/>
        <v>26.99</v>
      </c>
      <c r="M35" s="33">
        <f t="shared" si="1"/>
        <v>92.33</v>
      </c>
      <c r="N35" s="33">
        <f t="shared" si="1"/>
        <v>509.4</v>
      </c>
      <c r="O35" s="33">
        <f t="shared" si="1"/>
        <v>0</v>
      </c>
      <c r="P35" s="33">
        <f t="shared" si="1"/>
        <v>1.37</v>
      </c>
      <c r="Q35" s="33">
        <f t="shared" si="1"/>
        <v>5.55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15.937916666666668</v>
      </c>
      <c r="C36" s="41">
        <f t="shared" si="2"/>
        <v>32.070833333333326</v>
      </c>
      <c r="D36" s="41">
        <f t="shared" si="2"/>
        <v>30.795416666666664</v>
      </c>
      <c r="E36" s="41">
        <f t="shared" si="2"/>
        <v>6.5691666666666668</v>
      </c>
      <c r="F36" s="41">
        <f t="shared" si="2"/>
        <v>3.3808333333333329</v>
      </c>
      <c r="G36" s="41">
        <f t="shared" si="2"/>
        <v>127.65375</v>
      </c>
      <c r="H36" s="41">
        <f t="shared" si="2"/>
        <v>59.644583333333337</v>
      </c>
      <c r="I36" s="41">
        <f t="shared" si="2"/>
        <v>12.422083333333333</v>
      </c>
      <c r="J36" s="41">
        <f t="shared" si="2"/>
        <v>0.27458333333333323</v>
      </c>
      <c r="K36" s="41">
        <f t="shared" si="2"/>
        <v>207.62375</v>
      </c>
      <c r="L36" s="41">
        <f t="shared" si="2"/>
        <v>18.567916666666665</v>
      </c>
      <c r="M36" s="41">
        <f t="shared" si="2"/>
        <v>67.89791666666666</v>
      </c>
      <c r="N36" s="41">
        <f t="shared" si="2"/>
        <v>111.67083333333331</v>
      </c>
      <c r="O36" s="41">
        <f t="shared" si="2"/>
        <v>0</v>
      </c>
      <c r="P36" s="41">
        <f t="shared" si="2"/>
        <v>1.0954166666666665</v>
      </c>
      <c r="Q36" s="41">
        <f t="shared" si="2"/>
        <v>5.1375000000000002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11.771769834490977</v>
      </c>
      <c r="C37" s="41">
        <f t="shared" ref="C37:Q37" si="3">STDEV(C9:C32)</f>
        <v>3.4318279026815386</v>
      </c>
      <c r="D37" s="41">
        <f t="shared" si="3"/>
        <v>10.1963505744081</v>
      </c>
      <c r="E37" s="41">
        <f t="shared" si="3"/>
        <v>0.66989237725283368</v>
      </c>
      <c r="F37" s="41">
        <f t="shared" si="3"/>
        <v>1.2238709674338799</v>
      </c>
      <c r="G37" s="41">
        <f t="shared" si="3"/>
        <v>23.126188770854959</v>
      </c>
      <c r="H37" s="41">
        <f t="shared" si="3"/>
        <v>8.9113610823813385</v>
      </c>
      <c r="I37" s="41">
        <f t="shared" si="3"/>
        <v>2.4082701335672261</v>
      </c>
      <c r="J37" s="41">
        <f t="shared" si="3"/>
        <v>0.14188112497153543</v>
      </c>
      <c r="K37" s="41">
        <f t="shared" si="3"/>
        <v>67.348467385970466</v>
      </c>
      <c r="L37" s="41">
        <f t="shared" si="3"/>
        <v>5.4771858683298138</v>
      </c>
      <c r="M37" s="41">
        <f t="shared" si="3"/>
        <v>24.42979524005505</v>
      </c>
      <c r="N37" s="41">
        <f t="shared" si="3"/>
        <v>179.1476521929101</v>
      </c>
      <c r="O37" s="41">
        <f t="shared" si="3"/>
        <v>0</v>
      </c>
      <c r="P37" s="41">
        <f t="shared" si="3"/>
        <v>0.22237804017848439</v>
      </c>
      <c r="Q37" s="41">
        <f t="shared" si="3"/>
        <v>0.21117167959001137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395</v>
      </c>
      <c r="B9" s="51">
        <v>8.11</v>
      </c>
      <c r="C9" s="51">
        <v>30.44</v>
      </c>
      <c r="D9" s="51">
        <v>23.76</v>
      </c>
      <c r="E9" s="51">
        <v>7.07</v>
      </c>
      <c r="F9" s="51">
        <v>2.69</v>
      </c>
      <c r="G9" s="51">
        <v>138.30000000000001</v>
      </c>
      <c r="H9" s="51">
        <v>70</v>
      </c>
      <c r="I9" s="51">
        <v>12.83</v>
      </c>
      <c r="J9" s="51">
        <v>0.13</v>
      </c>
      <c r="K9" s="51">
        <v>197.86</v>
      </c>
      <c r="L9" s="51">
        <v>14.63</v>
      </c>
      <c r="M9" s="51">
        <v>87.45</v>
      </c>
      <c r="N9" s="51">
        <v>0</v>
      </c>
      <c r="O9" s="51">
        <v>0</v>
      </c>
      <c r="P9" s="51">
        <v>1.21</v>
      </c>
      <c r="Q9" s="51">
        <v>5</v>
      </c>
    </row>
    <row r="10" spans="1:21" customFormat="1">
      <c r="A10" s="50" t="s">
        <v>396</v>
      </c>
      <c r="B10" s="51">
        <v>26.9</v>
      </c>
      <c r="C10" s="51">
        <v>35.04</v>
      </c>
      <c r="D10" s="51">
        <v>41.23</v>
      </c>
      <c r="E10" s="51">
        <v>6.75</v>
      </c>
      <c r="F10" s="51">
        <v>2.78</v>
      </c>
      <c r="G10" s="51">
        <v>141.46</v>
      </c>
      <c r="H10" s="51">
        <v>70</v>
      </c>
      <c r="I10" s="51">
        <v>12.54</v>
      </c>
      <c r="J10" s="51">
        <v>0.12</v>
      </c>
      <c r="K10" s="51">
        <v>204.09</v>
      </c>
      <c r="L10" s="51">
        <v>14.57</v>
      </c>
      <c r="M10" s="51">
        <v>91.75</v>
      </c>
      <c r="N10" s="51">
        <v>0</v>
      </c>
      <c r="O10" s="51">
        <v>0</v>
      </c>
      <c r="P10" s="51">
        <v>1.17</v>
      </c>
      <c r="Q10" s="51">
        <v>5.3</v>
      </c>
    </row>
    <row r="11" spans="1:21" customFormat="1">
      <c r="A11" s="50" t="s">
        <v>397</v>
      </c>
      <c r="B11" s="51">
        <v>36.549999999999997</v>
      </c>
      <c r="C11" s="51">
        <v>36.26</v>
      </c>
      <c r="D11" s="51">
        <v>49.61</v>
      </c>
      <c r="E11" s="51">
        <v>7.2</v>
      </c>
      <c r="F11" s="51">
        <v>2.6</v>
      </c>
      <c r="G11" s="51">
        <v>141.46</v>
      </c>
      <c r="H11" s="51">
        <v>67.84</v>
      </c>
      <c r="I11" s="51">
        <v>12.52</v>
      </c>
      <c r="J11" s="51">
        <v>0.33</v>
      </c>
      <c r="K11" s="51">
        <v>347.74</v>
      </c>
      <c r="L11" s="51">
        <v>14.36</v>
      </c>
      <c r="M11" s="51">
        <v>92.1</v>
      </c>
      <c r="N11" s="51">
        <v>0</v>
      </c>
      <c r="O11" s="51">
        <v>0</v>
      </c>
      <c r="P11" s="51">
        <v>1.17</v>
      </c>
      <c r="Q11" s="51">
        <v>5.46</v>
      </c>
    </row>
    <row r="12" spans="1:21" customFormat="1">
      <c r="A12" s="50" t="s">
        <v>398</v>
      </c>
      <c r="B12" s="51">
        <v>36.01</v>
      </c>
      <c r="C12" s="51">
        <v>36.700000000000003</v>
      </c>
      <c r="D12" s="51">
        <v>49.41</v>
      </c>
      <c r="E12" s="51">
        <v>7.33</v>
      </c>
      <c r="F12" s="51">
        <v>2.63</v>
      </c>
      <c r="G12" s="51">
        <v>138.56</v>
      </c>
      <c r="H12" s="51">
        <v>69.489999999999995</v>
      </c>
      <c r="I12" s="51">
        <v>12.88</v>
      </c>
      <c r="J12" s="51">
        <v>0.12</v>
      </c>
      <c r="K12" s="51">
        <v>184.77</v>
      </c>
      <c r="L12" s="51">
        <v>14.43</v>
      </c>
      <c r="M12" s="51">
        <v>88.82</v>
      </c>
      <c r="N12" s="51">
        <v>0</v>
      </c>
      <c r="O12" s="51">
        <v>0</v>
      </c>
      <c r="P12" s="51">
        <v>1.18</v>
      </c>
      <c r="Q12" s="51">
        <v>5.49</v>
      </c>
    </row>
    <row r="13" spans="1:21" customFormat="1">
      <c r="A13" s="50" t="s">
        <v>399</v>
      </c>
      <c r="B13" s="51">
        <v>29.93</v>
      </c>
      <c r="C13" s="51">
        <v>35.65</v>
      </c>
      <c r="D13" s="51">
        <v>43.89</v>
      </c>
      <c r="E13" s="51">
        <v>7.25</v>
      </c>
      <c r="F13" s="51">
        <v>2.65</v>
      </c>
      <c r="G13" s="51">
        <v>138.56</v>
      </c>
      <c r="H13" s="51">
        <v>71.63</v>
      </c>
      <c r="I13" s="51">
        <v>13.11</v>
      </c>
      <c r="J13" s="51">
        <v>0.2</v>
      </c>
      <c r="K13" s="51">
        <v>162.5</v>
      </c>
      <c r="L13" s="51">
        <v>14.1</v>
      </c>
      <c r="M13" s="51">
        <v>90.1</v>
      </c>
      <c r="N13" s="51">
        <v>0</v>
      </c>
      <c r="O13" s="51">
        <v>0</v>
      </c>
      <c r="P13" s="51">
        <v>1.1399999999999999</v>
      </c>
      <c r="Q13" s="51">
        <v>5.41</v>
      </c>
    </row>
    <row r="14" spans="1:21" customFormat="1">
      <c r="A14" s="50" t="s">
        <v>400</v>
      </c>
      <c r="B14" s="51">
        <v>29.42</v>
      </c>
      <c r="C14" s="51">
        <v>35.49</v>
      </c>
      <c r="D14" s="51">
        <v>43.37</v>
      </c>
      <c r="E14" s="51">
        <v>7.31</v>
      </c>
      <c r="F14" s="51">
        <v>2.69</v>
      </c>
      <c r="G14" s="51">
        <v>135.13999999999999</v>
      </c>
      <c r="H14" s="51">
        <v>71.63</v>
      </c>
      <c r="I14" s="51">
        <v>13.1</v>
      </c>
      <c r="J14" s="51">
        <v>0.18</v>
      </c>
      <c r="K14" s="51">
        <v>64.27</v>
      </c>
      <c r="L14" s="51">
        <v>14.79</v>
      </c>
      <c r="M14" s="51">
        <v>85.08</v>
      </c>
      <c r="N14" s="51">
        <v>0</v>
      </c>
      <c r="O14" s="51">
        <v>0</v>
      </c>
      <c r="P14" s="51">
        <v>1.1100000000000001</v>
      </c>
      <c r="Q14" s="51">
        <v>5.39</v>
      </c>
    </row>
    <row r="15" spans="1:21" customFormat="1">
      <c r="A15" s="50" t="s">
        <v>401</v>
      </c>
      <c r="B15" s="51">
        <v>29.9</v>
      </c>
      <c r="C15" s="51">
        <v>37.69</v>
      </c>
      <c r="D15" s="51">
        <v>44.37</v>
      </c>
      <c r="E15" s="51">
        <v>7.28</v>
      </c>
      <c r="F15" s="51">
        <v>2.75</v>
      </c>
      <c r="G15" s="51">
        <v>137.61000000000001</v>
      </c>
      <c r="H15" s="51">
        <v>74.849999999999994</v>
      </c>
      <c r="I15" s="51">
        <v>12.99</v>
      </c>
      <c r="J15" s="51">
        <v>0.19</v>
      </c>
      <c r="K15" s="51">
        <v>140.03</v>
      </c>
      <c r="L15" s="51">
        <v>15.04</v>
      </c>
      <c r="M15" s="51">
        <v>79.44</v>
      </c>
      <c r="N15" s="51">
        <v>0.2</v>
      </c>
      <c r="O15" s="51">
        <v>0</v>
      </c>
      <c r="P15" s="51">
        <v>1.0900000000000001</v>
      </c>
      <c r="Q15" s="51">
        <v>5.42</v>
      </c>
    </row>
    <row r="16" spans="1:21" customFormat="1">
      <c r="A16" s="50" t="s">
        <v>402</v>
      </c>
      <c r="B16" s="51">
        <v>27.08</v>
      </c>
      <c r="C16" s="51">
        <v>37.94</v>
      </c>
      <c r="D16" s="51">
        <v>42.85</v>
      </c>
      <c r="E16" s="51">
        <v>7.47</v>
      </c>
      <c r="F16" s="51">
        <v>2.6</v>
      </c>
      <c r="G16" s="51">
        <v>139.28</v>
      </c>
      <c r="H16" s="51">
        <v>74.849999999999994</v>
      </c>
      <c r="I16" s="51">
        <v>13.25</v>
      </c>
      <c r="J16" s="51">
        <v>0.22</v>
      </c>
      <c r="K16" s="51">
        <v>88.57</v>
      </c>
      <c r="L16" s="51">
        <v>15.74</v>
      </c>
      <c r="M16" s="51">
        <v>79.84</v>
      </c>
      <c r="N16" s="51">
        <v>23.2</v>
      </c>
      <c r="O16" s="51">
        <v>0</v>
      </c>
      <c r="P16" s="51">
        <v>1.08</v>
      </c>
      <c r="Q16" s="51">
        <v>5.37</v>
      </c>
    </row>
    <row r="17" spans="1:17" customFormat="1">
      <c r="A17" s="50" t="s">
        <v>403</v>
      </c>
      <c r="B17" s="51">
        <v>23.41</v>
      </c>
      <c r="C17" s="51">
        <v>37.700000000000003</v>
      </c>
      <c r="D17" s="51">
        <v>39.82</v>
      </c>
      <c r="E17" s="51">
        <v>7.25</v>
      </c>
      <c r="F17" s="51">
        <v>2.78</v>
      </c>
      <c r="G17" s="51">
        <v>139.28</v>
      </c>
      <c r="H17" s="51">
        <v>73.95</v>
      </c>
      <c r="I17" s="51">
        <v>13.29</v>
      </c>
      <c r="J17" s="51">
        <v>0.26</v>
      </c>
      <c r="K17" s="51">
        <v>192</v>
      </c>
      <c r="L17" s="51">
        <v>17.23</v>
      </c>
      <c r="M17" s="51">
        <v>74.56</v>
      </c>
      <c r="N17" s="51">
        <v>80.400000000000006</v>
      </c>
      <c r="O17" s="51">
        <v>0</v>
      </c>
      <c r="P17" s="51">
        <v>1.06</v>
      </c>
      <c r="Q17" s="51">
        <v>5.31</v>
      </c>
    </row>
    <row r="18" spans="1:17" customFormat="1">
      <c r="A18" s="50" t="s">
        <v>404</v>
      </c>
      <c r="B18" s="51">
        <v>15.98</v>
      </c>
      <c r="C18" s="51">
        <v>36.130000000000003</v>
      </c>
      <c r="D18" s="51">
        <v>33.04</v>
      </c>
      <c r="E18" s="51">
        <v>7.34</v>
      </c>
      <c r="F18" s="51">
        <v>3.07</v>
      </c>
      <c r="G18" s="51">
        <v>136.18</v>
      </c>
      <c r="H18" s="51">
        <v>72.72</v>
      </c>
      <c r="I18" s="51">
        <v>13.29</v>
      </c>
      <c r="J18" s="51">
        <v>0.27</v>
      </c>
      <c r="K18" s="51">
        <v>162.5</v>
      </c>
      <c r="L18" s="51">
        <v>20.239999999999998</v>
      </c>
      <c r="M18" s="51">
        <v>68.239999999999995</v>
      </c>
      <c r="N18" s="51">
        <v>154.80000000000001</v>
      </c>
      <c r="O18" s="51">
        <v>0</v>
      </c>
      <c r="P18" s="51">
        <v>1.04</v>
      </c>
      <c r="Q18" s="51">
        <v>5.2</v>
      </c>
    </row>
    <row r="19" spans="1:17" customFormat="1">
      <c r="A19" s="50" t="s">
        <v>405</v>
      </c>
      <c r="B19" s="51">
        <v>9.61</v>
      </c>
      <c r="C19" s="51">
        <v>34.82</v>
      </c>
      <c r="D19" s="51">
        <v>27.25</v>
      </c>
      <c r="E19" s="51">
        <v>5.48</v>
      </c>
      <c r="F19" s="51">
        <v>3.35</v>
      </c>
      <c r="G19" s="51">
        <v>127.73</v>
      </c>
      <c r="H19" s="51">
        <v>68.67</v>
      </c>
      <c r="I19" s="51">
        <v>13.03</v>
      </c>
      <c r="J19" s="51">
        <v>0.26</v>
      </c>
      <c r="K19" s="51">
        <v>198.75</v>
      </c>
      <c r="L19" s="51">
        <v>22.42</v>
      </c>
      <c r="M19" s="51">
        <v>57.26</v>
      </c>
      <c r="N19" s="51">
        <v>462.3</v>
      </c>
      <c r="O19" s="51">
        <v>0</v>
      </c>
      <c r="P19" s="51">
        <v>0.99</v>
      </c>
      <c r="Q19" s="51">
        <v>5.0599999999999996</v>
      </c>
    </row>
    <row r="20" spans="1:17" customFormat="1">
      <c r="A20" s="50" t="s">
        <v>406</v>
      </c>
      <c r="B20" s="51">
        <v>6.05</v>
      </c>
      <c r="C20" s="51">
        <v>29.83</v>
      </c>
      <c r="D20" s="51">
        <v>21.79</v>
      </c>
      <c r="E20" s="51">
        <v>4.83</v>
      </c>
      <c r="F20" s="51">
        <v>3.51</v>
      </c>
      <c r="G20" s="51">
        <v>126.48</v>
      </c>
      <c r="H20" s="51">
        <v>66.95</v>
      </c>
      <c r="I20" s="51">
        <v>12.08</v>
      </c>
      <c r="J20" s="51">
        <v>0.3</v>
      </c>
      <c r="K20" s="51">
        <v>186.22</v>
      </c>
      <c r="L20" s="51">
        <v>24.04</v>
      </c>
      <c r="M20" s="51">
        <v>47.47</v>
      </c>
      <c r="N20" s="51">
        <v>407.7</v>
      </c>
      <c r="O20" s="51">
        <v>0</v>
      </c>
      <c r="P20" s="51">
        <v>0.91</v>
      </c>
      <c r="Q20" s="51">
        <v>4.96</v>
      </c>
    </row>
    <row r="21" spans="1:17" customFormat="1">
      <c r="A21" s="50" t="s">
        <v>407</v>
      </c>
      <c r="B21" s="51">
        <v>5</v>
      </c>
      <c r="C21" s="51">
        <v>26.26</v>
      </c>
      <c r="D21" s="51">
        <v>19.079999999999998</v>
      </c>
      <c r="E21" s="51">
        <v>5.45</v>
      </c>
      <c r="F21" s="51">
        <v>3.88</v>
      </c>
      <c r="G21" s="51">
        <v>103.38</v>
      </c>
      <c r="H21" s="51">
        <v>56.64</v>
      </c>
      <c r="I21" s="51">
        <v>11.29</v>
      </c>
      <c r="J21" s="51">
        <v>0.36</v>
      </c>
      <c r="K21" s="51">
        <v>231.74</v>
      </c>
      <c r="L21" s="51">
        <v>25.74</v>
      </c>
      <c r="M21" s="51">
        <v>42.23</v>
      </c>
      <c r="N21" s="51">
        <v>498.7</v>
      </c>
      <c r="O21" s="51">
        <v>0</v>
      </c>
      <c r="P21" s="51">
        <v>0.84</v>
      </c>
      <c r="Q21" s="51">
        <v>4.91</v>
      </c>
    </row>
    <row r="22" spans="1:17" customFormat="1">
      <c r="A22" s="50" t="s">
        <v>408</v>
      </c>
      <c r="B22" s="51">
        <v>4.53</v>
      </c>
      <c r="C22" s="51">
        <v>22.92</v>
      </c>
      <c r="D22" s="51">
        <v>16.96</v>
      </c>
      <c r="E22" s="51">
        <v>6.25</v>
      </c>
      <c r="F22" s="51">
        <v>4.13</v>
      </c>
      <c r="G22" s="51">
        <v>89.25</v>
      </c>
      <c r="H22" s="51">
        <v>44.71</v>
      </c>
      <c r="I22" s="51">
        <v>10.51</v>
      </c>
      <c r="J22" s="51">
        <v>0.45</v>
      </c>
      <c r="K22" s="51">
        <v>174.17</v>
      </c>
      <c r="L22" s="51">
        <v>26.55</v>
      </c>
      <c r="M22" s="51">
        <v>36.54</v>
      </c>
      <c r="N22" s="51">
        <v>459.2</v>
      </c>
      <c r="O22" s="51">
        <v>0</v>
      </c>
      <c r="P22" s="51">
        <v>0.78</v>
      </c>
      <c r="Q22" s="51">
        <v>4.8899999999999997</v>
      </c>
    </row>
    <row r="23" spans="1:17" customFormat="1">
      <c r="A23" s="50" t="s">
        <v>409</v>
      </c>
      <c r="B23" s="51">
        <v>4.32</v>
      </c>
      <c r="C23" s="51">
        <v>21.65</v>
      </c>
      <c r="D23" s="51">
        <v>16.13</v>
      </c>
      <c r="E23" s="51">
        <v>5.92</v>
      </c>
      <c r="F23" s="51">
        <v>4.29</v>
      </c>
      <c r="G23" s="51">
        <v>81.02</v>
      </c>
      <c r="H23" s="51">
        <v>41.78</v>
      </c>
      <c r="I23" s="51">
        <v>9.83</v>
      </c>
      <c r="J23" s="51">
        <v>0.32</v>
      </c>
      <c r="K23" s="51">
        <v>174.45</v>
      </c>
      <c r="L23" s="51">
        <v>26.12</v>
      </c>
      <c r="M23" s="51">
        <v>37.96</v>
      </c>
      <c r="N23" s="51">
        <v>176.3</v>
      </c>
      <c r="O23" s="51">
        <v>0</v>
      </c>
      <c r="P23" s="51">
        <v>0.78</v>
      </c>
      <c r="Q23" s="51">
        <v>4.88</v>
      </c>
    </row>
    <row r="24" spans="1:17" customFormat="1">
      <c r="A24" s="50" t="s">
        <v>410</v>
      </c>
      <c r="B24" s="51">
        <v>4.3499999999999996</v>
      </c>
      <c r="C24" s="51">
        <v>22.07</v>
      </c>
      <c r="D24" s="51">
        <v>16.3</v>
      </c>
      <c r="E24" s="51">
        <v>7.15</v>
      </c>
      <c r="F24" s="51">
        <v>5.97</v>
      </c>
      <c r="G24" s="51">
        <v>78.75</v>
      </c>
      <c r="H24" s="51">
        <v>39.01</v>
      </c>
      <c r="I24" s="51">
        <v>9.36</v>
      </c>
      <c r="J24" s="51">
        <v>0.28000000000000003</v>
      </c>
      <c r="K24" s="51">
        <v>149.56</v>
      </c>
      <c r="L24" s="51">
        <v>25.37</v>
      </c>
      <c r="M24" s="51">
        <v>39.69</v>
      </c>
      <c r="N24" s="51">
        <v>89.6</v>
      </c>
      <c r="O24" s="51">
        <v>0</v>
      </c>
      <c r="P24" s="51">
        <v>0.77</v>
      </c>
      <c r="Q24" s="51">
        <v>4.88</v>
      </c>
    </row>
    <row r="25" spans="1:17" customFormat="1">
      <c r="A25" s="50" t="s">
        <v>411</v>
      </c>
      <c r="B25" s="51">
        <v>4.3600000000000003</v>
      </c>
      <c r="C25" s="51">
        <v>23.22</v>
      </c>
      <c r="D25" s="51">
        <v>16.98</v>
      </c>
      <c r="E25" s="51">
        <v>7.1</v>
      </c>
      <c r="F25" s="51">
        <v>6.31</v>
      </c>
      <c r="G25" s="51">
        <v>79.400000000000006</v>
      </c>
      <c r="H25" s="51">
        <v>44.77</v>
      </c>
      <c r="I25" s="51">
        <v>8.91</v>
      </c>
      <c r="J25" s="51">
        <v>0.21</v>
      </c>
      <c r="K25" s="51">
        <v>150.84</v>
      </c>
      <c r="L25" s="51">
        <v>24.32</v>
      </c>
      <c r="M25" s="51">
        <v>48.05</v>
      </c>
      <c r="N25" s="51">
        <v>32.700000000000003</v>
      </c>
      <c r="O25" s="51">
        <v>0</v>
      </c>
      <c r="P25" s="51">
        <v>0.77</v>
      </c>
      <c r="Q25" s="51">
        <v>4.8899999999999997</v>
      </c>
    </row>
    <row r="26" spans="1:17" customFormat="1">
      <c r="A26" s="50" t="s">
        <v>412</v>
      </c>
      <c r="B26" s="51">
        <v>4.6900000000000004</v>
      </c>
      <c r="C26" s="51">
        <v>26.6</v>
      </c>
      <c r="D26" s="51">
        <v>19.010000000000002</v>
      </c>
      <c r="E26" s="51">
        <v>6.54</v>
      </c>
      <c r="F26" s="51">
        <v>4.62</v>
      </c>
      <c r="G26" s="51">
        <v>102</v>
      </c>
      <c r="H26" s="51">
        <v>55.61</v>
      </c>
      <c r="I26" s="51">
        <v>8.4600000000000009</v>
      </c>
      <c r="J26" s="51">
        <v>0.25</v>
      </c>
      <c r="K26" s="51">
        <v>173.24</v>
      </c>
      <c r="L26" s="51">
        <v>22.43</v>
      </c>
      <c r="M26" s="51">
        <v>58.94</v>
      </c>
      <c r="N26" s="51">
        <v>0</v>
      </c>
      <c r="O26" s="51">
        <v>0</v>
      </c>
      <c r="P26" s="51">
        <v>0.83</v>
      </c>
      <c r="Q26" s="51">
        <v>4.91</v>
      </c>
    </row>
    <row r="27" spans="1:17" customFormat="1">
      <c r="A27" s="50" t="s">
        <v>413</v>
      </c>
      <c r="B27" s="51">
        <v>4.66</v>
      </c>
      <c r="C27" s="51">
        <v>26.9</v>
      </c>
      <c r="D27" s="51">
        <v>19.059999999999999</v>
      </c>
      <c r="E27" s="51">
        <v>6.34</v>
      </c>
      <c r="F27" s="51">
        <v>4.4000000000000004</v>
      </c>
      <c r="G27" s="51">
        <v>111.78</v>
      </c>
      <c r="H27" s="51">
        <v>59.07</v>
      </c>
      <c r="I27" s="51">
        <v>8.73</v>
      </c>
      <c r="J27" s="51">
        <v>0.19</v>
      </c>
      <c r="K27" s="51">
        <v>184.08</v>
      </c>
      <c r="L27" s="51">
        <v>20.059999999999999</v>
      </c>
      <c r="M27" s="51">
        <v>68.010000000000005</v>
      </c>
      <c r="N27" s="51">
        <v>0</v>
      </c>
      <c r="O27" s="51">
        <v>0</v>
      </c>
      <c r="P27" s="51">
        <v>0.87</v>
      </c>
      <c r="Q27" s="51">
        <v>4.92</v>
      </c>
    </row>
    <row r="28" spans="1:17" customFormat="1">
      <c r="A28" s="50" t="s">
        <v>414</v>
      </c>
      <c r="B28" s="51">
        <v>4.6399999999999997</v>
      </c>
      <c r="C28" s="51">
        <v>26.34</v>
      </c>
      <c r="D28" s="51">
        <v>18.77</v>
      </c>
      <c r="E28" s="51">
        <v>6.22</v>
      </c>
      <c r="F28" s="51">
        <v>4.1900000000000004</v>
      </c>
      <c r="G28" s="51">
        <v>130.83000000000001</v>
      </c>
      <c r="H28" s="51">
        <v>68.61</v>
      </c>
      <c r="I28" s="51">
        <v>9.0399999999999991</v>
      </c>
      <c r="J28" s="51">
        <v>0.25</v>
      </c>
      <c r="K28" s="51">
        <v>184.38</v>
      </c>
      <c r="L28" s="51">
        <v>18.510000000000002</v>
      </c>
      <c r="M28" s="51">
        <v>70.63</v>
      </c>
      <c r="N28" s="51">
        <v>0</v>
      </c>
      <c r="O28" s="51">
        <v>0</v>
      </c>
      <c r="P28" s="51">
        <v>0.91</v>
      </c>
      <c r="Q28" s="51">
        <v>4.91</v>
      </c>
    </row>
    <row r="29" spans="1:17" customFormat="1">
      <c r="A29" s="50" t="s">
        <v>415</v>
      </c>
      <c r="B29" s="51">
        <v>4.5599999999999996</v>
      </c>
      <c r="C29" s="51">
        <v>25.57</v>
      </c>
      <c r="D29" s="51">
        <v>18.34</v>
      </c>
      <c r="E29" s="51">
        <v>6.32</v>
      </c>
      <c r="F29" s="51">
        <v>4.45</v>
      </c>
      <c r="G29" s="51">
        <v>132.01</v>
      </c>
      <c r="H29" s="51">
        <v>70.040000000000006</v>
      </c>
      <c r="I29" s="51">
        <v>9.16</v>
      </c>
      <c r="J29" s="51">
        <v>0.13</v>
      </c>
      <c r="K29" s="51">
        <v>190.24</v>
      </c>
      <c r="L29" s="51">
        <v>17.850000000000001</v>
      </c>
      <c r="M29" s="51">
        <v>74.75</v>
      </c>
      <c r="N29" s="51">
        <v>0</v>
      </c>
      <c r="O29" s="51">
        <v>0</v>
      </c>
      <c r="P29" s="51">
        <v>0.93</v>
      </c>
      <c r="Q29" s="51">
        <v>4.9000000000000004</v>
      </c>
    </row>
    <row r="30" spans="1:17" customFormat="1">
      <c r="A30" s="50" t="s">
        <v>416</v>
      </c>
      <c r="B30" s="51">
        <v>4.57</v>
      </c>
      <c r="C30" s="51">
        <v>23.77</v>
      </c>
      <c r="D30" s="51">
        <v>17.43</v>
      </c>
      <c r="E30" s="51">
        <v>5.8</v>
      </c>
      <c r="F30" s="51">
        <v>3.5</v>
      </c>
      <c r="G30" s="51">
        <v>132.01</v>
      </c>
      <c r="H30" s="51">
        <v>72.47</v>
      </c>
      <c r="I30" s="51">
        <v>9.5299999999999994</v>
      </c>
      <c r="J30" s="51">
        <v>0.13</v>
      </c>
      <c r="K30" s="51">
        <v>159.22</v>
      </c>
      <c r="L30" s="51">
        <v>16.73</v>
      </c>
      <c r="M30" s="51">
        <v>78.67</v>
      </c>
      <c r="N30" s="51">
        <v>0</v>
      </c>
      <c r="O30" s="51">
        <v>0</v>
      </c>
      <c r="P30" s="51">
        <v>0.95</v>
      </c>
      <c r="Q30" s="51">
        <v>4.88</v>
      </c>
    </row>
    <row r="31" spans="1:17" customFormat="1">
      <c r="A31" s="50" t="s">
        <v>417</v>
      </c>
      <c r="B31" s="51">
        <v>4.79</v>
      </c>
      <c r="C31" s="51">
        <v>24.63</v>
      </c>
      <c r="D31" s="51">
        <v>18.059999999999999</v>
      </c>
      <c r="E31" s="51">
        <v>6.07</v>
      </c>
      <c r="F31" s="51">
        <v>3.31</v>
      </c>
      <c r="G31" s="51">
        <v>128.72999999999999</v>
      </c>
      <c r="H31" s="51">
        <v>73.569999999999993</v>
      </c>
      <c r="I31" s="51">
        <v>9.83</v>
      </c>
      <c r="J31" s="51">
        <v>0.08</v>
      </c>
      <c r="K31" s="51">
        <v>250.47</v>
      </c>
      <c r="L31" s="51">
        <v>16.149999999999999</v>
      </c>
      <c r="M31" s="51">
        <v>85.64</v>
      </c>
      <c r="N31" s="51">
        <v>0</v>
      </c>
      <c r="O31" s="51">
        <v>0</v>
      </c>
      <c r="P31" s="51">
        <v>0.97</v>
      </c>
      <c r="Q31" s="51">
        <v>4.88</v>
      </c>
    </row>
    <row r="32" spans="1:17" customFormat="1">
      <c r="A32" s="50" t="s">
        <v>418</v>
      </c>
      <c r="B32" s="51">
        <v>5.08</v>
      </c>
      <c r="C32" s="51">
        <v>24.98</v>
      </c>
      <c r="D32" s="51">
        <v>18.47</v>
      </c>
      <c r="E32" s="51">
        <v>6.13</v>
      </c>
      <c r="F32" s="51">
        <v>2.99</v>
      </c>
      <c r="G32" s="51">
        <v>128.72999999999999</v>
      </c>
      <c r="H32" s="51">
        <v>74.48</v>
      </c>
      <c r="I32" s="51">
        <v>9.89</v>
      </c>
      <c r="J32" s="51">
        <v>0.17</v>
      </c>
      <c r="K32" s="51">
        <v>263.63</v>
      </c>
      <c r="L32" s="51">
        <v>15.41</v>
      </c>
      <c r="M32" s="51">
        <v>89.32</v>
      </c>
      <c r="N32" s="51">
        <v>0</v>
      </c>
      <c r="O32" s="51">
        <v>0</v>
      </c>
      <c r="P32" s="51">
        <v>0.98</v>
      </c>
      <c r="Q32" s="51">
        <v>4.9000000000000004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4.32</v>
      </c>
      <c r="C34" s="41">
        <f t="shared" si="0"/>
        <v>21.65</v>
      </c>
      <c r="D34" s="41">
        <f t="shared" si="0"/>
        <v>16.13</v>
      </c>
      <c r="E34" s="41">
        <f t="shared" si="0"/>
        <v>4.83</v>
      </c>
      <c r="F34" s="41">
        <f t="shared" si="0"/>
        <v>2.6</v>
      </c>
      <c r="G34" s="41">
        <f t="shared" si="0"/>
        <v>78.75</v>
      </c>
      <c r="H34" s="41">
        <f t="shared" si="0"/>
        <v>39.01</v>
      </c>
      <c r="I34" s="41">
        <f t="shared" si="0"/>
        <v>8.4600000000000009</v>
      </c>
      <c r="J34" s="41">
        <f t="shared" si="0"/>
        <v>0.08</v>
      </c>
      <c r="K34" s="41">
        <f t="shared" si="0"/>
        <v>64.27</v>
      </c>
      <c r="L34" s="41">
        <f t="shared" si="0"/>
        <v>14.1</v>
      </c>
      <c r="M34" s="41">
        <f t="shared" si="0"/>
        <v>36.54</v>
      </c>
      <c r="N34" s="41">
        <f t="shared" si="0"/>
        <v>0</v>
      </c>
      <c r="O34" s="41">
        <f t="shared" si="0"/>
        <v>0</v>
      </c>
      <c r="P34" s="41">
        <f t="shared" si="0"/>
        <v>0.77</v>
      </c>
      <c r="Q34" s="41">
        <f t="shared" si="0"/>
        <v>4.88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36.549999999999997</v>
      </c>
      <c r="C35" s="33">
        <f t="shared" si="1"/>
        <v>37.94</v>
      </c>
      <c r="D35" s="33">
        <f t="shared" si="1"/>
        <v>49.61</v>
      </c>
      <c r="E35" s="33">
        <f t="shared" si="1"/>
        <v>7.47</v>
      </c>
      <c r="F35" s="33">
        <f t="shared" si="1"/>
        <v>6.31</v>
      </c>
      <c r="G35" s="33">
        <f t="shared" si="1"/>
        <v>141.46</v>
      </c>
      <c r="H35" s="33">
        <f t="shared" si="1"/>
        <v>74.849999999999994</v>
      </c>
      <c r="I35" s="33">
        <f t="shared" si="1"/>
        <v>13.29</v>
      </c>
      <c r="J35" s="33">
        <f t="shared" si="1"/>
        <v>0.45</v>
      </c>
      <c r="K35" s="33">
        <f t="shared" si="1"/>
        <v>347.74</v>
      </c>
      <c r="L35" s="33">
        <f t="shared" si="1"/>
        <v>26.55</v>
      </c>
      <c r="M35" s="33">
        <f t="shared" si="1"/>
        <v>92.1</v>
      </c>
      <c r="N35" s="33">
        <f t="shared" si="1"/>
        <v>498.7</v>
      </c>
      <c r="O35" s="33">
        <f t="shared" si="1"/>
        <v>0</v>
      </c>
      <c r="P35" s="33">
        <f t="shared" si="1"/>
        <v>1.21</v>
      </c>
      <c r="Q35" s="33">
        <f t="shared" si="1"/>
        <v>5.49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13.937500000000002</v>
      </c>
      <c r="C36" s="41">
        <f t="shared" si="2"/>
        <v>29.941666666666674</v>
      </c>
      <c r="D36" s="41">
        <f t="shared" si="2"/>
        <v>28.124166666666664</v>
      </c>
      <c r="E36" s="41">
        <f t="shared" si="2"/>
        <v>6.5770833333333343</v>
      </c>
      <c r="F36" s="41">
        <f t="shared" si="2"/>
        <v>3.5891666666666668</v>
      </c>
      <c r="G36" s="41">
        <f t="shared" si="2"/>
        <v>122.41375000000001</v>
      </c>
      <c r="H36" s="41">
        <f t="shared" si="2"/>
        <v>64.722499999999982</v>
      </c>
      <c r="I36" s="41">
        <f t="shared" si="2"/>
        <v>11.227083333333331</v>
      </c>
      <c r="J36" s="41">
        <f t="shared" si="2"/>
        <v>0.22500000000000001</v>
      </c>
      <c r="K36" s="41">
        <f t="shared" si="2"/>
        <v>183.97166666666666</v>
      </c>
      <c r="L36" s="41">
        <f t="shared" si="2"/>
        <v>19.034583333333334</v>
      </c>
      <c r="M36" s="41">
        <f t="shared" si="2"/>
        <v>69.689166666666679</v>
      </c>
      <c r="N36" s="41">
        <f t="shared" si="2"/>
        <v>99.379166666666663</v>
      </c>
      <c r="O36" s="41">
        <f t="shared" si="2"/>
        <v>0</v>
      </c>
      <c r="P36" s="41">
        <f t="shared" si="2"/>
        <v>0.9804166666666666</v>
      </c>
      <c r="Q36" s="41">
        <f t="shared" si="2"/>
        <v>5.0883333333333329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12.048303957855209</v>
      </c>
      <c r="C37" s="41">
        <f t="shared" ref="C37:Q37" si="3">STDEV(C9:C32)</f>
        <v>5.9112719639586944</v>
      </c>
      <c r="D37" s="41">
        <f t="shared" si="3"/>
        <v>12.407512772042812</v>
      </c>
      <c r="E37" s="41">
        <f t="shared" si="3"/>
        <v>0.73787874087268679</v>
      </c>
      <c r="F37" s="41">
        <f t="shared" si="3"/>
        <v>1.0410943935262955</v>
      </c>
      <c r="G37" s="41">
        <f t="shared" si="3"/>
        <v>21.358522545487133</v>
      </c>
      <c r="H37" s="41">
        <f t="shared" si="3"/>
        <v>11.423984399727477</v>
      </c>
      <c r="I37" s="41">
        <f t="shared" si="3"/>
        <v>1.8217561502612227</v>
      </c>
      <c r="J37" s="41">
        <f t="shared" si="3"/>
        <v>8.8906399241488493E-2</v>
      </c>
      <c r="K37" s="41">
        <f t="shared" si="3"/>
        <v>55.275723476017113</v>
      </c>
      <c r="L37" s="41">
        <f t="shared" si="3"/>
        <v>4.4406119624945042</v>
      </c>
      <c r="M37" s="41">
        <f t="shared" si="3"/>
        <v>18.984080955109267</v>
      </c>
      <c r="N37" s="41">
        <f t="shared" si="3"/>
        <v>171.13715318210529</v>
      </c>
      <c r="O37" s="41">
        <f t="shared" si="3"/>
        <v>0</v>
      </c>
      <c r="P37" s="41">
        <f t="shared" si="3"/>
        <v>0.14378362870667205</v>
      </c>
      <c r="Q37" s="41">
        <f t="shared" si="3"/>
        <v>0.2342177854358948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419</v>
      </c>
      <c r="B9" s="51">
        <v>5.12</v>
      </c>
      <c r="C9" s="51">
        <v>24.56</v>
      </c>
      <c r="D9" s="51">
        <v>18.21</v>
      </c>
      <c r="E9" s="51">
        <v>6.03</v>
      </c>
      <c r="F9" s="51">
        <v>3.06</v>
      </c>
      <c r="G9" s="51">
        <v>121.64</v>
      </c>
      <c r="H9" s="51">
        <v>74.48</v>
      </c>
      <c r="I9" s="51">
        <v>9.86</v>
      </c>
      <c r="J9" s="51">
        <v>0.13</v>
      </c>
      <c r="K9" s="51">
        <v>254.87</v>
      </c>
      <c r="L9" s="51">
        <v>14.68</v>
      </c>
      <c r="M9" s="51">
        <v>91.92</v>
      </c>
      <c r="N9" s="51">
        <v>0</v>
      </c>
      <c r="O9" s="51">
        <v>0</v>
      </c>
      <c r="P9" s="51">
        <v>0.97</v>
      </c>
      <c r="Q9" s="51">
        <v>4.8899999999999997</v>
      </c>
    </row>
    <row r="10" spans="1:21" customFormat="1">
      <c r="A10" s="50" t="s">
        <v>420</v>
      </c>
      <c r="B10" s="51">
        <v>5.17</v>
      </c>
      <c r="C10" s="51">
        <v>24.34</v>
      </c>
      <c r="D10" s="51">
        <v>18.170000000000002</v>
      </c>
      <c r="E10" s="51">
        <v>6.47</v>
      </c>
      <c r="F10" s="51">
        <v>3</v>
      </c>
      <c r="G10" s="51">
        <v>114.81</v>
      </c>
      <c r="H10" s="51">
        <v>73.3</v>
      </c>
      <c r="I10" s="51">
        <v>9.66</v>
      </c>
      <c r="J10" s="51">
        <v>0.15</v>
      </c>
      <c r="K10" s="51">
        <v>236.25</v>
      </c>
      <c r="L10" s="51">
        <v>14.42</v>
      </c>
      <c r="M10" s="51">
        <v>92.04</v>
      </c>
      <c r="N10" s="51">
        <v>0</v>
      </c>
      <c r="O10" s="51">
        <v>0</v>
      </c>
      <c r="P10" s="51">
        <v>0.97</v>
      </c>
      <c r="Q10" s="51">
        <v>4.91</v>
      </c>
    </row>
    <row r="11" spans="1:21" customFormat="1">
      <c r="A11" s="50" t="s">
        <v>421</v>
      </c>
      <c r="B11" s="51">
        <v>5.84</v>
      </c>
      <c r="C11" s="51">
        <v>24.4</v>
      </c>
      <c r="D11" s="51">
        <v>18.79</v>
      </c>
      <c r="E11" s="51">
        <v>5.57</v>
      </c>
      <c r="F11" s="51">
        <v>3.13</v>
      </c>
      <c r="G11" s="51">
        <v>105.09</v>
      </c>
      <c r="H11" s="51">
        <v>69.400000000000006</v>
      </c>
      <c r="I11" s="51">
        <v>9.31</v>
      </c>
      <c r="J11" s="51">
        <v>0.14000000000000001</v>
      </c>
      <c r="K11" s="51">
        <v>253.58</v>
      </c>
      <c r="L11" s="51">
        <v>14.28</v>
      </c>
      <c r="M11" s="51">
        <v>93.22</v>
      </c>
      <c r="N11" s="51">
        <v>0</v>
      </c>
      <c r="O11" s="51">
        <v>0</v>
      </c>
      <c r="P11" s="51">
        <v>0.96</v>
      </c>
      <c r="Q11" s="51">
        <v>4.92</v>
      </c>
    </row>
    <row r="12" spans="1:21" customFormat="1">
      <c r="A12" s="50" t="s">
        <v>422</v>
      </c>
      <c r="B12" s="51">
        <v>6.74</v>
      </c>
      <c r="C12" s="51">
        <v>24.78</v>
      </c>
      <c r="D12" s="51">
        <v>19.68</v>
      </c>
      <c r="E12" s="51">
        <v>5.58</v>
      </c>
      <c r="F12" s="51">
        <v>2.84</v>
      </c>
      <c r="G12" s="51">
        <v>98.15</v>
      </c>
      <c r="H12" s="51">
        <v>64.86</v>
      </c>
      <c r="I12" s="51">
        <v>8.9499999999999993</v>
      </c>
      <c r="J12" s="51">
        <v>0.2</v>
      </c>
      <c r="K12" s="51">
        <v>308</v>
      </c>
      <c r="L12" s="51">
        <v>14.07</v>
      </c>
      <c r="M12" s="51">
        <v>94.03</v>
      </c>
      <c r="N12" s="51">
        <v>0</v>
      </c>
      <c r="O12" s="51">
        <v>0</v>
      </c>
      <c r="P12" s="51">
        <v>0.94</v>
      </c>
      <c r="Q12" s="51">
        <v>4.93</v>
      </c>
    </row>
    <row r="13" spans="1:21" customFormat="1">
      <c r="A13" s="50" t="s">
        <v>423</v>
      </c>
      <c r="B13" s="51">
        <v>13.53</v>
      </c>
      <c r="C13" s="51">
        <v>29.03</v>
      </c>
      <c r="D13" s="51">
        <v>27.37</v>
      </c>
      <c r="E13" s="51">
        <v>5.59</v>
      </c>
      <c r="F13" s="51">
        <v>2.65</v>
      </c>
      <c r="G13" s="51">
        <v>100.86</v>
      </c>
      <c r="H13" s="51">
        <v>63.3</v>
      </c>
      <c r="I13" s="51">
        <v>8.66</v>
      </c>
      <c r="J13" s="51">
        <v>0.16</v>
      </c>
      <c r="K13" s="51">
        <v>74.209999999999994</v>
      </c>
      <c r="L13" s="51">
        <v>13.75</v>
      </c>
      <c r="M13" s="51">
        <v>94.36</v>
      </c>
      <c r="N13" s="51">
        <v>0</v>
      </c>
      <c r="O13" s="51">
        <v>0</v>
      </c>
      <c r="P13" s="51">
        <v>0.96</v>
      </c>
      <c r="Q13" s="51">
        <v>5.03</v>
      </c>
    </row>
    <row r="14" spans="1:21" customFormat="1">
      <c r="A14" s="50" t="s">
        <v>424</v>
      </c>
      <c r="B14" s="51">
        <v>19.34</v>
      </c>
      <c r="C14" s="51">
        <v>32.03</v>
      </c>
      <c r="D14" s="51">
        <v>33.590000000000003</v>
      </c>
      <c r="E14" s="51">
        <v>5.83</v>
      </c>
      <c r="F14" s="51">
        <v>2.73</v>
      </c>
      <c r="G14" s="51">
        <v>192.91</v>
      </c>
      <c r="H14" s="51">
        <v>78.72</v>
      </c>
      <c r="I14" s="51">
        <v>10.02</v>
      </c>
      <c r="J14" s="51">
        <v>0.13</v>
      </c>
      <c r="K14" s="51">
        <v>165.76</v>
      </c>
      <c r="L14" s="51">
        <v>13.77</v>
      </c>
      <c r="M14" s="51">
        <v>94.14</v>
      </c>
      <c r="N14" s="51">
        <v>0</v>
      </c>
      <c r="O14" s="51">
        <v>0</v>
      </c>
      <c r="P14" s="51">
        <v>1.08</v>
      </c>
      <c r="Q14" s="51">
        <v>5.15</v>
      </c>
    </row>
    <row r="15" spans="1:21" customFormat="1">
      <c r="A15" s="50" t="s">
        <v>425</v>
      </c>
      <c r="B15" s="51">
        <v>28.07</v>
      </c>
      <c r="C15" s="51">
        <v>32.85</v>
      </c>
      <c r="D15" s="51">
        <v>40.409999999999997</v>
      </c>
      <c r="E15" s="51">
        <v>5.84</v>
      </c>
      <c r="F15" s="51">
        <v>2.7</v>
      </c>
      <c r="G15" s="51">
        <v>192.91</v>
      </c>
      <c r="H15" s="51">
        <v>89.61</v>
      </c>
      <c r="I15" s="51">
        <v>11.11</v>
      </c>
      <c r="J15" s="51">
        <v>0.19</v>
      </c>
      <c r="K15" s="51">
        <v>235.21</v>
      </c>
      <c r="L15" s="51">
        <v>13.55</v>
      </c>
      <c r="M15" s="51">
        <v>95.76</v>
      </c>
      <c r="N15" s="51">
        <v>10.3</v>
      </c>
      <c r="O15" s="51">
        <v>0</v>
      </c>
      <c r="P15" s="51">
        <v>1.1499999999999999</v>
      </c>
      <c r="Q15" s="51">
        <v>5.26</v>
      </c>
    </row>
    <row r="16" spans="1:21" customFormat="1">
      <c r="A16" s="50" t="s">
        <v>426</v>
      </c>
      <c r="B16" s="51">
        <v>30.6</v>
      </c>
      <c r="C16" s="51">
        <v>35.369999999999997</v>
      </c>
      <c r="D16" s="51">
        <v>44.26</v>
      </c>
      <c r="E16" s="51">
        <v>6.27</v>
      </c>
      <c r="F16" s="51">
        <v>2.63</v>
      </c>
      <c r="G16" s="51">
        <v>192.62</v>
      </c>
      <c r="H16" s="51">
        <v>91.19</v>
      </c>
      <c r="I16" s="51">
        <v>11.74</v>
      </c>
      <c r="J16" s="51">
        <v>0.37</v>
      </c>
      <c r="K16" s="51">
        <v>90.23</v>
      </c>
      <c r="L16" s="51">
        <v>15.13</v>
      </c>
      <c r="M16" s="51">
        <v>94.35</v>
      </c>
      <c r="N16" s="51">
        <v>60.3</v>
      </c>
      <c r="O16" s="51">
        <v>0</v>
      </c>
      <c r="P16" s="51">
        <v>1.22</v>
      </c>
      <c r="Q16" s="51">
        <v>5.35</v>
      </c>
    </row>
    <row r="17" spans="1:17" customFormat="1">
      <c r="A17" s="50" t="s">
        <v>427</v>
      </c>
      <c r="B17" s="51">
        <v>30.19</v>
      </c>
      <c r="C17" s="51">
        <v>36.450000000000003</v>
      </c>
      <c r="D17" s="51">
        <v>44.61</v>
      </c>
      <c r="E17" s="51">
        <v>6.53</v>
      </c>
      <c r="F17" s="51">
        <v>2.59</v>
      </c>
      <c r="G17" s="51">
        <v>169.99</v>
      </c>
      <c r="H17" s="51">
        <v>91.19</v>
      </c>
      <c r="I17" s="51">
        <v>12.34</v>
      </c>
      <c r="J17" s="51">
        <v>0.55000000000000004</v>
      </c>
      <c r="K17" s="51">
        <v>47.11</v>
      </c>
      <c r="L17" s="51">
        <v>18.04</v>
      </c>
      <c r="M17" s="51">
        <v>86.6</v>
      </c>
      <c r="N17" s="51">
        <v>183.8</v>
      </c>
      <c r="O17" s="51">
        <v>0</v>
      </c>
      <c r="P17" s="51">
        <v>1.23</v>
      </c>
      <c r="Q17" s="51">
        <v>5.33</v>
      </c>
    </row>
    <row r="18" spans="1:17" customFormat="1">
      <c r="A18" s="50" t="s">
        <v>428</v>
      </c>
      <c r="B18" s="51">
        <v>26.14</v>
      </c>
      <c r="C18" s="51">
        <v>35.1</v>
      </c>
      <c r="D18" s="51">
        <v>40.65</v>
      </c>
      <c r="E18" s="51">
        <v>6.21</v>
      </c>
      <c r="F18" s="51">
        <v>2.87</v>
      </c>
      <c r="G18" s="51">
        <v>164.83</v>
      </c>
      <c r="H18" s="51">
        <v>86.56</v>
      </c>
      <c r="I18" s="51">
        <v>12.37</v>
      </c>
      <c r="J18" s="51">
        <v>0.31</v>
      </c>
      <c r="K18" s="51">
        <v>95.68</v>
      </c>
      <c r="L18" s="51">
        <v>21.5</v>
      </c>
      <c r="M18" s="51">
        <v>73.34</v>
      </c>
      <c r="N18" s="51">
        <v>184.4</v>
      </c>
      <c r="O18" s="51">
        <v>0</v>
      </c>
      <c r="P18" s="51">
        <v>1.21</v>
      </c>
      <c r="Q18" s="51">
        <v>5.29</v>
      </c>
    </row>
    <row r="19" spans="1:17" customFormat="1">
      <c r="A19" s="50" t="s">
        <v>429</v>
      </c>
      <c r="B19" s="51">
        <v>18.989999999999998</v>
      </c>
      <c r="C19" s="51">
        <v>31.99</v>
      </c>
      <c r="D19" s="51">
        <v>33.29</v>
      </c>
      <c r="E19" s="51">
        <v>7.47</v>
      </c>
      <c r="F19" s="51">
        <v>3.04</v>
      </c>
      <c r="G19" s="51">
        <v>122.9</v>
      </c>
      <c r="H19" s="51">
        <v>81.14</v>
      </c>
      <c r="I19" s="51">
        <v>11.98</v>
      </c>
      <c r="J19" s="51">
        <v>0.69</v>
      </c>
      <c r="K19" s="51">
        <v>83.67</v>
      </c>
      <c r="L19" s="51">
        <v>23.1</v>
      </c>
      <c r="M19" s="51">
        <v>57.98</v>
      </c>
      <c r="N19" s="51">
        <v>431.3</v>
      </c>
      <c r="O19" s="51">
        <v>0</v>
      </c>
      <c r="P19" s="51">
        <v>1.1499999999999999</v>
      </c>
      <c r="Q19" s="51">
        <v>5.19</v>
      </c>
    </row>
    <row r="20" spans="1:17" customFormat="1">
      <c r="A20" s="50" t="s">
        <v>430</v>
      </c>
      <c r="B20" s="51">
        <v>14</v>
      </c>
      <c r="C20" s="51">
        <v>31.72</v>
      </c>
      <c r="D20" s="51">
        <v>29.1</v>
      </c>
      <c r="E20" s="51">
        <v>7.97</v>
      </c>
      <c r="F20" s="51">
        <v>3.7</v>
      </c>
      <c r="G20" s="51">
        <v>108.39</v>
      </c>
      <c r="H20" s="51">
        <v>72.38</v>
      </c>
      <c r="I20" s="51">
        <v>11.63</v>
      </c>
      <c r="J20" s="51">
        <v>0.56000000000000005</v>
      </c>
      <c r="K20" s="51">
        <v>102.65</v>
      </c>
      <c r="L20" s="51">
        <v>25.05</v>
      </c>
      <c r="M20" s="51">
        <v>51.46</v>
      </c>
      <c r="N20" s="51">
        <v>463.6</v>
      </c>
      <c r="O20" s="51">
        <v>0</v>
      </c>
      <c r="P20" s="51">
        <v>1.1100000000000001</v>
      </c>
      <c r="Q20" s="51">
        <v>5.08</v>
      </c>
    </row>
    <row r="21" spans="1:17" customFormat="1">
      <c r="A21" s="50" t="s">
        <v>431</v>
      </c>
      <c r="B21" s="51">
        <v>7.06</v>
      </c>
      <c r="C21" s="51">
        <v>31.29</v>
      </c>
      <c r="D21" s="51">
        <v>23.36</v>
      </c>
      <c r="E21" s="51">
        <v>8.5500000000000007</v>
      </c>
      <c r="F21" s="51">
        <v>5.31</v>
      </c>
      <c r="G21" s="51">
        <v>90.67</v>
      </c>
      <c r="H21" s="51">
        <v>57.18</v>
      </c>
      <c r="I21" s="51">
        <v>10.73</v>
      </c>
      <c r="J21" s="51">
        <v>0.63</v>
      </c>
      <c r="K21" s="51">
        <v>50.66</v>
      </c>
      <c r="L21" s="51">
        <v>25.88</v>
      </c>
      <c r="M21" s="51">
        <v>46.08</v>
      </c>
      <c r="N21" s="51">
        <v>453.2</v>
      </c>
      <c r="O21" s="51">
        <v>0</v>
      </c>
      <c r="P21" s="51">
        <v>1.04</v>
      </c>
      <c r="Q21" s="51">
        <v>5</v>
      </c>
    </row>
    <row r="22" spans="1:17" customFormat="1">
      <c r="A22" s="50" t="s">
        <v>432</v>
      </c>
      <c r="B22" s="51">
        <v>4.9000000000000004</v>
      </c>
      <c r="C22" s="51">
        <v>29.57</v>
      </c>
      <c r="D22" s="51">
        <v>20.73</v>
      </c>
      <c r="E22" s="51">
        <v>8.84</v>
      </c>
      <c r="F22" s="51">
        <v>6.25</v>
      </c>
      <c r="G22" s="51">
        <v>80.81</v>
      </c>
      <c r="H22" s="51">
        <v>51.08</v>
      </c>
      <c r="I22" s="51">
        <v>9.81</v>
      </c>
      <c r="J22" s="51">
        <v>0.46</v>
      </c>
      <c r="K22" s="51">
        <v>104.37</v>
      </c>
      <c r="L22" s="51">
        <v>26.67</v>
      </c>
      <c r="M22" s="51">
        <v>42.17</v>
      </c>
      <c r="N22" s="51">
        <v>409.1</v>
      </c>
      <c r="O22" s="51">
        <v>0</v>
      </c>
      <c r="P22" s="51">
        <v>0.98</v>
      </c>
      <c r="Q22" s="51">
        <v>4.9400000000000004</v>
      </c>
    </row>
    <row r="23" spans="1:17" customFormat="1">
      <c r="A23" s="50" t="s">
        <v>433</v>
      </c>
      <c r="B23" s="51">
        <v>4.59</v>
      </c>
      <c r="C23" s="51">
        <v>28.03</v>
      </c>
      <c r="D23" s="51">
        <v>19.66</v>
      </c>
      <c r="E23" s="51">
        <v>8.57</v>
      </c>
      <c r="F23" s="51">
        <v>6.04</v>
      </c>
      <c r="G23" s="51">
        <v>84.04</v>
      </c>
      <c r="H23" s="51">
        <v>50.21</v>
      </c>
      <c r="I23" s="51">
        <v>9.0500000000000007</v>
      </c>
      <c r="J23" s="51">
        <v>0.31</v>
      </c>
      <c r="K23" s="51">
        <v>80.86</v>
      </c>
      <c r="L23" s="51">
        <v>26.55</v>
      </c>
      <c r="M23" s="51">
        <v>41.15</v>
      </c>
      <c r="N23" s="51">
        <v>178.1</v>
      </c>
      <c r="O23" s="51">
        <v>0</v>
      </c>
      <c r="P23" s="51">
        <v>0.85</v>
      </c>
      <c r="Q23" s="51">
        <v>4.9000000000000004</v>
      </c>
    </row>
    <row r="24" spans="1:17" customFormat="1">
      <c r="A24" s="50" t="s">
        <v>434</v>
      </c>
      <c r="B24" s="51">
        <v>4.62</v>
      </c>
      <c r="C24" s="51">
        <v>26.06</v>
      </c>
      <c r="D24" s="51">
        <v>18.670000000000002</v>
      </c>
      <c r="E24" s="51">
        <v>8.4600000000000009</v>
      </c>
      <c r="F24" s="51">
        <v>6.43</v>
      </c>
      <c r="G24" s="51">
        <v>87.73</v>
      </c>
      <c r="H24" s="51">
        <v>49.5</v>
      </c>
      <c r="I24" s="51">
        <v>8.49</v>
      </c>
      <c r="J24" s="51">
        <v>0.27</v>
      </c>
      <c r="K24" s="51">
        <v>170.15</v>
      </c>
      <c r="L24" s="51">
        <v>26.21</v>
      </c>
      <c r="M24" s="51">
        <v>43.5</v>
      </c>
      <c r="N24" s="51">
        <v>71.5</v>
      </c>
      <c r="O24" s="51">
        <v>0</v>
      </c>
      <c r="P24" s="51">
        <v>0.81</v>
      </c>
      <c r="Q24" s="51">
        <v>4.88</v>
      </c>
    </row>
    <row r="25" spans="1:17" customFormat="1">
      <c r="A25" s="50" t="s">
        <v>435</v>
      </c>
      <c r="B25" s="51">
        <v>5.03</v>
      </c>
      <c r="C25" s="51">
        <v>25.53</v>
      </c>
      <c r="D25" s="51">
        <v>18.399999999999999</v>
      </c>
      <c r="E25" s="51">
        <v>8.41</v>
      </c>
      <c r="F25" s="51">
        <v>5.64</v>
      </c>
      <c r="G25" s="51">
        <v>89.19</v>
      </c>
      <c r="H25" s="51">
        <v>46.92</v>
      </c>
      <c r="I25" s="51">
        <v>8.07</v>
      </c>
      <c r="J25" s="51">
        <v>0.24</v>
      </c>
      <c r="K25" s="51">
        <v>167.1</v>
      </c>
      <c r="L25" s="51">
        <v>25.44</v>
      </c>
      <c r="M25" s="51">
        <v>53.67</v>
      </c>
      <c r="N25" s="51">
        <v>33.799999999999997</v>
      </c>
      <c r="O25" s="51">
        <v>0</v>
      </c>
      <c r="P25" s="51">
        <v>0.77</v>
      </c>
      <c r="Q25" s="51">
        <v>4.87</v>
      </c>
    </row>
    <row r="26" spans="1:17" customFormat="1">
      <c r="A26" s="50" t="s">
        <v>436</v>
      </c>
      <c r="B26" s="51">
        <v>5.56</v>
      </c>
      <c r="C26" s="51">
        <v>25.78</v>
      </c>
      <c r="D26" s="51">
        <v>19.28</v>
      </c>
      <c r="E26" s="51">
        <v>7.56</v>
      </c>
      <c r="F26" s="51">
        <v>3.46</v>
      </c>
      <c r="G26" s="51">
        <v>111.37</v>
      </c>
      <c r="H26" s="51">
        <v>48.71</v>
      </c>
      <c r="I26" s="51">
        <v>7.82</v>
      </c>
      <c r="J26" s="51">
        <v>0.25</v>
      </c>
      <c r="K26" s="51">
        <v>174.79</v>
      </c>
      <c r="L26" s="51">
        <v>22.57</v>
      </c>
      <c r="M26" s="51">
        <v>77.56</v>
      </c>
      <c r="N26" s="51">
        <v>0</v>
      </c>
      <c r="O26" s="51">
        <v>0</v>
      </c>
      <c r="P26" s="51">
        <v>0.78</v>
      </c>
      <c r="Q26" s="51">
        <v>4.88</v>
      </c>
    </row>
    <row r="27" spans="1:17" customFormat="1">
      <c r="A27" s="50" t="s">
        <v>437</v>
      </c>
      <c r="B27" s="51">
        <v>5.83</v>
      </c>
      <c r="C27" s="51">
        <v>25.72</v>
      </c>
      <c r="D27" s="51">
        <v>19.37</v>
      </c>
      <c r="E27" s="51">
        <v>5.14</v>
      </c>
      <c r="F27" s="51">
        <v>3.21</v>
      </c>
      <c r="G27" s="51">
        <v>111.37</v>
      </c>
      <c r="H27" s="51">
        <v>48.71</v>
      </c>
      <c r="I27" s="51">
        <v>7.97</v>
      </c>
      <c r="J27" s="51">
        <v>0.19</v>
      </c>
      <c r="K27" s="51">
        <v>170.29</v>
      </c>
      <c r="L27" s="51">
        <v>19.809999999999999</v>
      </c>
      <c r="M27" s="51">
        <v>80.760000000000005</v>
      </c>
      <c r="N27" s="51">
        <v>0</v>
      </c>
      <c r="O27" s="51">
        <v>0</v>
      </c>
      <c r="P27" s="51">
        <v>0.79</v>
      </c>
      <c r="Q27" s="51">
        <v>4.9000000000000004</v>
      </c>
    </row>
    <row r="28" spans="1:17" customFormat="1">
      <c r="A28" s="50" t="s">
        <v>438</v>
      </c>
      <c r="B28" s="51">
        <v>6.11</v>
      </c>
      <c r="C28" s="51">
        <v>25.18</v>
      </c>
      <c r="D28" s="51">
        <v>19.399999999999999</v>
      </c>
      <c r="E28" s="51">
        <v>5.2</v>
      </c>
      <c r="F28" s="51">
        <v>2.91</v>
      </c>
      <c r="G28" s="51">
        <v>98.61</v>
      </c>
      <c r="H28" s="51">
        <v>46.37</v>
      </c>
      <c r="I28" s="51">
        <v>8.1999999999999993</v>
      </c>
      <c r="J28" s="51">
        <v>0.17</v>
      </c>
      <c r="K28" s="51">
        <v>169.1</v>
      </c>
      <c r="L28" s="51">
        <v>18.59</v>
      </c>
      <c r="M28" s="51">
        <v>85.78</v>
      </c>
      <c r="N28" s="51">
        <v>0</v>
      </c>
      <c r="O28" s="51">
        <v>0</v>
      </c>
      <c r="P28" s="51">
        <v>0.8</v>
      </c>
      <c r="Q28" s="51">
        <v>4.92</v>
      </c>
    </row>
    <row r="29" spans="1:17" customFormat="1">
      <c r="A29" s="50" t="s">
        <v>439</v>
      </c>
      <c r="B29" s="51">
        <v>6.39</v>
      </c>
      <c r="C29" s="51">
        <v>25.76</v>
      </c>
      <c r="D29" s="51">
        <v>19.93</v>
      </c>
      <c r="E29" s="51">
        <v>5.63</v>
      </c>
      <c r="F29" s="51">
        <v>2.77</v>
      </c>
      <c r="G29" s="51">
        <v>87.67</v>
      </c>
      <c r="H29" s="51">
        <v>46.37</v>
      </c>
      <c r="I29" s="51">
        <v>8.39</v>
      </c>
      <c r="J29" s="51">
        <v>0.18</v>
      </c>
      <c r="K29" s="51">
        <v>176.18</v>
      </c>
      <c r="L29" s="51">
        <v>17.63</v>
      </c>
      <c r="M29" s="51">
        <v>85.1</v>
      </c>
      <c r="N29" s="51">
        <v>0</v>
      </c>
      <c r="O29" s="51">
        <v>0</v>
      </c>
      <c r="P29" s="51">
        <v>0.82</v>
      </c>
      <c r="Q29" s="51">
        <v>4.9000000000000004</v>
      </c>
    </row>
    <row r="30" spans="1:17" customFormat="1">
      <c r="A30" s="50" t="s">
        <v>440</v>
      </c>
      <c r="B30" s="51">
        <v>12.67</v>
      </c>
      <c r="C30" s="51">
        <v>29.7</v>
      </c>
      <c r="D30" s="51">
        <v>27.03</v>
      </c>
      <c r="E30" s="51">
        <v>5.65</v>
      </c>
      <c r="F30" s="51">
        <v>2.72</v>
      </c>
      <c r="G30" s="51">
        <v>92.35</v>
      </c>
      <c r="H30" s="51">
        <v>49.64</v>
      </c>
      <c r="I30" s="51">
        <v>8.7200000000000006</v>
      </c>
      <c r="J30" s="51">
        <v>0.22</v>
      </c>
      <c r="K30" s="51">
        <v>180.01</v>
      </c>
      <c r="L30" s="51">
        <v>17.149999999999999</v>
      </c>
      <c r="M30" s="51">
        <v>87.73</v>
      </c>
      <c r="N30" s="51">
        <v>0</v>
      </c>
      <c r="O30" s="51">
        <v>0</v>
      </c>
      <c r="P30" s="51">
        <v>0.94</v>
      </c>
      <c r="Q30" s="51">
        <v>4.99</v>
      </c>
    </row>
    <row r="31" spans="1:17" customFormat="1">
      <c r="A31" s="50" t="s">
        <v>441</v>
      </c>
      <c r="B31" s="51">
        <v>28.9</v>
      </c>
      <c r="C31" s="51">
        <v>35.21</v>
      </c>
      <c r="D31" s="51">
        <v>42.93</v>
      </c>
      <c r="E31" s="51">
        <v>5.57</v>
      </c>
      <c r="F31" s="51">
        <v>2.63</v>
      </c>
      <c r="G31" s="51">
        <v>140.27000000000001</v>
      </c>
      <c r="H31" s="51">
        <v>57.04</v>
      </c>
      <c r="I31" s="51">
        <v>9.8699999999999992</v>
      </c>
      <c r="J31" s="51">
        <v>0.2</v>
      </c>
      <c r="K31" s="51">
        <v>171.82</v>
      </c>
      <c r="L31" s="51">
        <v>16.82</v>
      </c>
      <c r="M31" s="51">
        <v>89.79</v>
      </c>
      <c r="N31" s="51">
        <v>0</v>
      </c>
      <c r="O31" s="51">
        <v>0</v>
      </c>
      <c r="P31" s="51">
        <v>1.19</v>
      </c>
      <c r="Q31" s="51">
        <v>5.28</v>
      </c>
    </row>
    <row r="32" spans="1:17" customFormat="1">
      <c r="A32" s="50" t="s">
        <v>442</v>
      </c>
      <c r="B32" s="51">
        <v>53.69</v>
      </c>
      <c r="C32" s="51">
        <v>37.659999999999997</v>
      </c>
      <c r="D32" s="51">
        <v>64.09</v>
      </c>
      <c r="E32" s="51">
        <v>6.26</v>
      </c>
      <c r="F32" s="51">
        <v>2.58</v>
      </c>
      <c r="G32" s="51">
        <v>154.97</v>
      </c>
      <c r="H32" s="51">
        <v>68.25</v>
      </c>
      <c r="I32" s="51">
        <v>12.15</v>
      </c>
      <c r="J32" s="51">
        <v>0.18</v>
      </c>
      <c r="K32" s="51">
        <v>212.49</v>
      </c>
      <c r="L32" s="51">
        <v>16.32</v>
      </c>
      <c r="M32" s="51">
        <v>92.74</v>
      </c>
      <c r="N32" s="51">
        <v>0</v>
      </c>
      <c r="O32" s="51">
        <v>0</v>
      </c>
      <c r="P32" s="51">
        <v>1.46</v>
      </c>
      <c r="Q32" s="51">
        <v>5.59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4.59</v>
      </c>
      <c r="C34" s="41">
        <f t="shared" si="0"/>
        <v>24.34</v>
      </c>
      <c r="D34" s="41">
        <f t="shared" si="0"/>
        <v>18.170000000000002</v>
      </c>
      <c r="E34" s="41">
        <f t="shared" si="0"/>
        <v>5.14</v>
      </c>
      <c r="F34" s="41">
        <f t="shared" si="0"/>
        <v>2.58</v>
      </c>
      <c r="G34" s="41">
        <f t="shared" si="0"/>
        <v>80.81</v>
      </c>
      <c r="H34" s="41">
        <f t="shared" si="0"/>
        <v>46.37</v>
      </c>
      <c r="I34" s="41">
        <f t="shared" si="0"/>
        <v>7.82</v>
      </c>
      <c r="J34" s="41">
        <f t="shared" si="0"/>
        <v>0.13</v>
      </c>
      <c r="K34" s="41">
        <f t="shared" si="0"/>
        <v>47.11</v>
      </c>
      <c r="L34" s="41">
        <f t="shared" si="0"/>
        <v>13.55</v>
      </c>
      <c r="M34" s="41">
        <f t="shared" si="0"/>
        <v>41.15</v>
      </c>
      <c r="N34" s="41">
        <f t="shared" si="0"/>
        <v>0</v>
      </c>
      <c r="O34" s="41">
        <f t="shared" si="0"/>
        <v>0</v>
      </c>
      <c r="P34" s="41">
        <f t="shared" si="0"/>
        <v>0.77</v>
      </c>
      <c r="Q34" s="41">
        <f t="shared" si="0"/>
        <v>4.87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53.69</v>
      </c>
      <c r="C35" s="33">
        <f t="shared" si="1"/>
        <v>37.659999999999997</v>
      </c>
      <c r="D35" s="33">
        <f t="shared" si="1"/>
        <v>64.09</v>
      </c>
      <c r="E35" s="33">
        <f t="shared" si="1"/>
        <v>8.84</v>
      </c>
      <c r="F35" s="33">
        <f t="shared" si="1"/>
        <v>6.43</v>
      </c>
      <c r="G35" s="33">
        <f t="shared" si="1"/>
        <v>192.91</v>
      </c>
      <c r="H35" s="33">
        <f t="shared" si="1"/>
        <v>91.19</v>
      </c>
      <c r="I35" s="33">
        <f t="shared" si="1"/>
        <v>12.37</v>
      </c>
      <c r="J35" s="33">
        <f t="shared" si="1"/>
        <v>0.69</v>
      </c>
      <c r="K35" s="33">
        <f t="shared" si="1"/>
        <v>308</v>
      </c>
      <c r="L35" s="33">
        <f t="shared" si="1"/>
        <v>26.67</v>
      </c>
      <c r="M35" s="33">
        <f t="shared" si="1"/>
        <v>95.76</v>
      </c>
      <c r="N35" s="33">
        <f t="shared" si="1"/>
        <v>463.6</v>
      </c>
      <c r="O35" s="33">
        <f t="shared" si="1"/>
        <v>0</v>
      </c>
      <c r="P35" s="33">
        <f t="shared" si="1"/>
        <v>1.46</v>
      </c>
      <c r="Q35" s="33">
        <f t="shared" si="1"/>
        <v>5.59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14.545000000000002</v>
      </c>
      <c r="C36" s="41">
        <f t="shared" si="2"/>
        <v>29.504583333333333</v>
      </c>
      <c r="D36" s="41">
        <f t="shared" si="2"/>
        <v>28.374166666666664</v>
      </c>
      <c r="E36" s="41">
        <f t="shared" si="2"/>
        <v>6.633333333333332</v>
      </c>
      <c r="F36" s="41">
        <f t="shared" si="2"/>
        <v>3.537083333333332</v>
      </c>
      <c r="G36" s="41">
        <f t="shared" si="2"/>
        <v>121.42291666666665</v>
      </c>
      <c r="H36" s="41">
        <f t="shared" si="2"/>
        <v>64.837916666666672</v>
      </c>
      <c r="I36" s="41">
        <f t="shared" si="2"/>
        <v>9.8708333333333318</v>
      </c>
      <c r="J36" s="41">
        <f t="shared" si="2"/>
        <v>0.28666666666666668</v>
      </c>
      <c r="K36" s="41">
        <f t="shared" si="2"/>
        <v>157.29333333333338</v>
      </c>
      <c r="L36" s="41">
        <f t="shared" si="2"/>
        <v>19.207499999999996</v>
      </c>
      <c r="M36" s="41">
        <f t="shared" si="2"/>
        <v>76.884583333333339</v>
      </c>
      <c r="N36" s="41">
        <f t="shared" si="2"/>
        <v>103.30833333333334</v>
      </c>
      <c r="O36" s="41">
        <f t="shared" si="2"/>
        <v>0</v>
      </c>
      <c r="P36" s="41">
        <f t="shared" si="2"/>
        <v>1.0075000000000003</v>
      </c>
      <c r="Q36" s="41">
        <f t="shared" si="2"/>
        <v>5.0575000000000001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12.598885043837255</v>
      </c>
      <c r="C37" s="41">
        <f t="shared" ref="C37:Q37" si="3">STDEV(C9:C32)</f>
        <v>4.3508129966575186</v>
      </c>
      <c r="D37" s="41">
        <f t="shared" si="3"/>
        <v>12.153707581269794</v>
      </c>
      <c r="E37" s="41">
        <f t="shared" si="3"/>
        <v>1.2331742944854656</v>
      </c>
      <c r="F37" s="41">
        <f t="shared" si="3"/>
        <v>1.298914192589393</v>
      </c>
      <c r="G37" s="41">
        <f t="shared" si="3"/>
        <v>36.910162201376004</v>
      </c>
      <c r="H37" s="41">
        <f t="shared" si="3"/>
        <v>15.744501864119904</v>
      </c>
      <c r="I37" s="41">
        <f t="shared" si="3"/>
        <v>1.525131260685082</v>
      </c>
      <c r="J37" s="41">
        <f t="shared" si="3"/>
        <v>0.16763486891265292</v>
      </c>
      <c r="K37" s="41">
        <f t="shared" si="3"/>
        <v>70.601398906368829</v>
      </c>
      <c r="L37" s="41">
        <f t="shared" si="3"/>
        <v>4.8130007362306371</v>
      </c>
      <c r="M37" s="41">
        <f t="shared" si="3"/>
        <v>19.971572618657657</v>
      </c>
      <c r="N37" s="41">
        <f t="shared" si="3"/>
        <v>165.11620392045552</v>
      </c>
      <c r="O37" s="41">
        <f t="shared" si="3"/>
        <v>0</v>
      </c>
      <c r="P37" s="41">
        <f t="shared" si="3"/>
        <v>0.18007848530450404</v>
      </c>
      <c r="Q37" s="41">
        <f t="shared" si="3"/>
        <v>0.19928677174189172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443</v>
      </c>
      <c r="B9" s="51">
        <v>67.31</v>
      </c>
      <c r="C9" s="51">
        <v>38.28</v>
      </c>
      <c r="D9" s="51">
        <v>75.09</v>
      </c>
      <c r="E9" s="51">
        <v>6.68</v>
      </c>
      <c r="F9" s="51">
        <v>2.62</v>
      </c>
      <c r="G9" s="51">
        <v>170.15</v>
      </c>
      <c r="H9" s="51">
        <v>70.709999999999994</v>
      </c>
      <c r="I9" s="51">
        <v>13.94</v>
      </c>
      <c r="J9" s="51">
        <v>0.33</v>
      </c>
      <c r="K9" s="51">
        <v>187.52</v>
      </c>
      <c r="L9" s="51">
        <v>15.71</v>
      </c>
      <c r="M9" s="51">
        <v>91.39</v>
      </c>
      <c r="N9" s="51">
        <v>0</v>
      </c>
      <c r="O9" s="51">
        <v>0</v>
      </c>
      <c r="P9" s="51">
        <v>1.57</v>
      </c>
      <c r="Q9" s="51">
        <v>5.82</v>
      </c>
    </row>
    <row r="10" spans="1:21" customFormat="1">
      <c r="A10" s="50" t="s">
        <v>444</v>
      </c>
      <c r="B10" s="51">
        <v>65.39</v>
      </c>
      <c r="C10" s="51">
        <v>37.18</v>
      </c>
      <c r="D10" s="51">
        <v>73.22</v>
      </c>
      <c r="E10" s="51">
        <v>6.89</v>
      </c>
      <c r="F10" s="51">
        <v>2.56</v>
      </c>
      <c r="G10" s="51">
        <v>170.15</v>
      </c>
      <c r="H10" s="51">
        <v>70.709999999999994</v>
      </c>
      <c r="I10" s="51">
        <v>14.37</v>
      </c>
      <c r="J10" s="51">
        <v>0.22</v>
      </c>
      <c r="K10" s="51">
        <v>177.83</v>
      </c>
      <c r="L10" s="51">
        <v>15.09</v>
      </c>
      <c r="M10" s="51">
        <v>92.7</v>
      </c>
      <c r="N10" s="51">
        <v>0</v>
      </c>
      <c r="O10" s="51">
        <v>0</v>
      </c>
      <c r="P10" s="51">
        <v>1.57</v>
      </c>
      <c r="Q10" s="51">
        <v>5.82</v>
      </c>
    </row>
    <row r="11" spans="1:21" customFormat="1">
      <c r="A11" s="50" t="s">
        <v>445</v>
      </c>
      <c r="B11" s="51">
        <v>60.17</v>
      </c>
      <c r="C11" s="51">
        <v>36.15</v>
      </c>
      <c r="D11" s="51">
        <v>67.41</v>
      </c>
      <c r="E11" s="51">
        <v>6.7</v>
      </c>
      <c r="F11" s="51">
        <v>2.87</v>
      </c>
      <c r="G11" s="51">
        <v>135.96</v>
      </c>
      <c r="H11" s="51">
        <v>66.209999999999994</v>
      </c>
      <c r="I11" s="51">
        <v>14.79</v>
      </c>
      <c r="J11" s="51">
        <v>0.17</v>
      </c>
      <c r="K11" s="51">
        <v>221.88</v>
      </c>
      <c r="L11" s="51">
        <v>14.68</v>
      </c>
      <c r="M11" s="51">
        <v>93.42</v>
      </c>
      <c r="N11" s="51">
        <v>0</v>
      </c>
      <c r="O11" s="51">
        <v>0</v>
      </c>
      <c r="P11" s="51">
        <v>1.59</v>
      </c>
      <c r="Q11" s="51">
        <v>5.69</v>
      </c>
    </row>
    <row r="12" spans="1:21" customFormat="1">
      <c r="A12" s="50" t="s">
        <v>446</v>
      </c>
      <c r="B12" s="51">
        <v>64.44</v>
      </c>
      <c r="C12" s="51">
        <v>34.299999999999997</v>
      </c>
      <c r="D12" s="51">
        <v>70.84</v>
      </c>
      <c r="E12" s="51">
        <v>6.69</v>
      </c>
      <c r="F12" s="51">
        <v>2.54</v>
      </c>
      <c r="G12" s="51">
        <v>132.81</v>
      </c>
      <c r="H12" s="51">
        <v>66.209999999999994</v>
      </c>
      <c r="I12" s="51">
        <v>15.08</v>
      </c>
      <c r="J12" s="51">
        <v>0.12</v>
      </c>
      <c r="K12" s="51">
        <v>206.37</v>
      </c>
      <c r="L12" s="51">
        <v>14.49</v>
      </c>
      <c r="M12" s="51">
        <v>95.28</v>
      </c>
      <c r="N12" s="51">
        <v>0</v>
      </c>
      <c r="O12" s="51">
        <v>0</v>
      </c>
      <c r="P12" s="51">
        <v>1.6</v>
      </c>
      <c r="Q12" s="51">
        <v>5.75</v>
      </c>
    </row>
    <row r="13" spans="1:21" customFormat="1">
      <c r="A13" s="50" t="s">
        <v>447</v>
      </c>
      <c r="B13" s="51">
        <v>66.67</v>
      </c>
      <c r="C13" s="51">
        <v>33.770000000000003</v>
      </c>
      <c r="D13" s="51">
        <v>72.459999999999994</v>
      </c>
      <c r="E13" s="51">
        <v>6.81</v>
      </c>
      <c r="F13" s="51">
        <v>2.56</v>
      </c>
      <c r="G13" s="51">
        <v>123</v>
      </c>
      <c r="H13" s="51">
        <v>67.599999999999994</v>
      </c>
      <c r="I13" s="51">
        <v>15.07</v>
      </c>
      <c r="J13" s="51">
        <v>0.15</v>
      </c>
      <c r="K13" s="51">
        <v>247.21</v>
      </c>
      <c r="L13" s="51">
        <v>14.18</v>
      </c>
      <c r="M13" s="51">
        <v>96.08</v>
      </c>
      <c r="N13" s="51">
        <v>0</v>
      </c>
      <c r="O13" s="51">
        <v>0</v>
      </c>
      <c r="P13" s="51">
        <v>1.6</v>
      </c>
      <c r="Q13" s="51">
        <v>5.81</v>
      </c>
    </row>
    <row r="14" spans="1:21" customFormat="1">
      <c r="A14" s="50" t="s">
        <v>448</v>
      </c>
      <c r="B14" s="51">
        <v>67.400000000000006</v>
      </c>
      <c r="C14" s="51">
        <v>32.99</v>
      </c>
      <c r="D14" s="51">
        <v>72.19</v>
      </c>
      <c r="E14" s="51">
        <v>6.73</v>
      </c>
      <c r="F14" s="51">
        <v>2.52</v>
      </c>
      <c r="G14" s="51">
        <v>120.35</v>
      </c>
      <c r="H14" s="51">
        <v>67.599999999999994</v>
      </c>
      <c r="I14" s="51">
        <v>15.03</v>
      </c>
      <c r="J14" s="51">
        <v>0.13</v>
      </c>
      <c r="K14" s="51">
        <v>186.11</v>
      </c>
      <c r="L14" s="51">
        <v>13.91</v>
      </c>
      <c r="M14" s="51">
        <v>96.87</v>
      </c>
      <c r="N14" s="51">
        <v>0</v>
      </c>
      <c r="O14" s="51">
        <v>0</v>
      </c>
      <c r="P14" s="51">
        <v>1.56</v>
      </c>
      <c r="Q14" s="51">
        <v>5.81</v>
      </c>
    </row>
    <row r="15" spans="1:21" customFormat="1">
      <c r="A15" s="50" t="s">
        <v>449</v>
      </c>
      <c r="B15" s="51">
        <v>62.44</v>
      </c>
      <c r="C15" s="51">
        <v>31.91</v>
      </c>
      <c r="D15" s="51">
        <v>67.680000000000007</v>
      </c>
      <c r="E15" s="51">
        <v>7.17</v>
      </c>
      <c r="F15" s="51">
        <v>2.67</v>
      </c>
      <c r="G15" s="51">
        <v>112.83</v>
      </c>
      <c r="H15" s="51">
        <v>64.8</v>
      </c>
      <c r="I15" s="51">
        <v>14.78</v>
      </c>
      <c r="J15" s="51">
        <v>0.14000000000000001</v>
      </c>
      <c r="K15" s="51">
        <v>207.87</v>
      </c>
      <c r="L15" s="51">
        <v>13.66</v>
      </c>
      <c r="M15" s="51">
        <v>98.06</v>
      </c>
      <c r="N15" s="51">
        <v>3.9</v>
      </c>
      <c r="O15" s="51">
        <v>0</v>
      </c>
      <c r="P15" s="51">
        <v>1.49</v>
      </c>
      <c r="Q15" s="51">
        <v>5.75</v>
      </c>
    </row>
    <row r="16" spans="1:21" customFormat="1">
      <c r="A16" s="50" t="s">
        <v>450</v>
      </c>
      <c r="B16" s="51">
        <v>57.32</v>
      </c>
      <c r="C16" s="51">
        <v>31.86</v>
      </c>
      <c r="D16" s="51">
        <v>63.6</v>
      </c>
      <c r="E16" s="51">
        <v>7.35</v>
      </c>
      <c r="F16" s="51">
        <v>2.5</v>
      </c>
      <c r="G16" s="51">
        <v>105.65</v>
      </c>
      <c r="H16" s="51">
        <v>62.8</v>
      </c>
      <c r="I16" s="51">
        <v>14.44</v>
      </c>
      <c r="J16" s="51">
        <v>0.26</v>
      </c>
      <c r="K16" s="51">
        <v>272.95999999999998</v>
      </c>
      <c r="L16" s="51">
        <v>15.06</v>
      </c>
      <c r="M16" s="51">
        <v>98.2</v>
      </c>
      <c r="N16" s="51">
        <v>53</v>
      </c>
      <c r="O16" s="51">
        <v>0</v>
      </c>
      <c r="P16" s="51">
        <v>1.43</v>
      </c>
      <c r="Q16" s="51">
        <v>5.68</v>
      </c>
    </row>
    <row r="17" spans="1:17" customFormat="1">
      <c r="A17" s="50" t="s">
        <v>451</v>
      </c>
      <c r="B17" s="51">
        <v>48.19</v>
      </c>
      <c r="C17" s="51">
        <v>35.090000000000003</v>
      </c>
      <c r="D17" s="51">
        <v>57.08</v>
      </c>
      <c r="E17" s="51">
        <v>6.89</v>
      </c>
      <c r="F17" s="51">
        <v>2.61</v>
      </c>
      <c r="G17" s="51">
        <v>105.65</v>
      </c>
      <c r="H17" s="51">
        <v>60.89</v>
      </c>
      <c r="I17" s="51">
        <v>14.05</v>
      </c>
      <c r="J17" s="51">
        <v>0.32</v>
      </c>
      <c r="K17" s="51">
        <v>287.75</v>
      </c>
      <c r="L17" s="51">
        <v>19.87</v>
      </c>
      <c r="M17" s="51">
        <v>88.12</v>
      </c>
      <c r="N17" s="51">
        <v>172.5</v>
      </c>
      <c r="O17" s="51">
        <v>0</v>
      </c>
      <c r="P17" s="51">
        <v>1.36</v>
      </c>
      <c r="Q17" s="51">
        <v>5.56</v>
      </c>
    </row>
    <row r="18" spans="1:17" customFormat="1">
      <c r="A18" s="50" t="s">
        <v>452</v>
      </c>
      <c r="B18" s="51">
        <v>36.6</v>
      </c>
      <c r="C18" s="51">
        <v>36.17</v>
      </c>
      <c r="D18" s="51">
        <v>49.02</v>
      </c>
      <c r="E18" s="51">
        <v>7.24</v>
      </c>
      <c r="F18" s="51">
        <v>2.76</v>
      </c>
      <c r="G18" s="51">
        <v>105.52</v>
      </c>
      <c r="H18" s="51">
        <v>61.53</v>
      </c>
      <c r="I18" s="51">
        <v>13.88</v>
      </c>
      <c r="J18" s="51">
        <v>0.28000000000000003</v>
      </c>
      <c r="K18" s="51">
        <v>147.75</v>
      </c>
      <c r="L18" s="51">
        <v>23.2</v>
      </c>
      <c r="M18" s="51">
        <v>71.099999999999994</v>
      </c>
      <c r="N18" s="51">
        <v>183.3</v>
      </c>
      <c r="O18" s="51">
        <v>0</v>
      </c>
      <c r="P18" s="51">
        <v>1.29</v>
      </c>
      <c r="Q18" s="51">
        <v>5.43</v>
      </c>
    </row>
    <row r="19" spans="1:17" customFormat="1">
      <c r="A19" s="50" t="s">
        <v>453</v>
      </c>
      <c r="B19" s="51">
        <v>21.18</v>
      </c>
      <c r="C19" s="51">
        <v>37.090000000000003</v>
      </c>
      <c r="D19" s="51">
        <v>37.520000000000003</v>
      </c>
      <c r="E19" s="51">
        <v>7.02</v>
      </c>
      <c r="F19" s="51">
        <v>3.48</v>
      </c>
      <c r="G19" s="51">
        <v>103.28</v>
      </c>
      <c r="H19" s="51">
        <v>61.9</v>
      </c>
      <c r="I19" s="51">
        <v>13.22</v>
      </c>
      <c r="J19" s="51">
        <v>0.32</v>
      </c>
      <c r="K19" s="51">
        <v>199.33</v>
      </c>
      <c r="L19" s="51">
        <v>25.37</v>
      </c>
      <c r="M19" s="51">
        <v>56.93</v>
      </c>
      <c r="N19" s="51">
        <v>401.2</v>
      </c>
      <c r="O19" s="51">
        <v>0</v>
      </c>
      <c r="P19" s="51">
        <v>1.21</v>
      </c>
      <c r="Q19" s="51">
        <v>5.21</v>
      </c>
    </row>
    <row r="20" spans="1:17" customFormat="1">
      <c r="A20" s="50" t="s">
        <v>454</v>
      </c>
      <c r="B20" s="51">
        <v>8.65</v>
      </c>
      <c r="C20" s="51">
        <v>35.909999999999997</v>
      </c>
      <c r="D20" s="51">
        <v>27.05</v>
      </c>
      <c r="E20" s="51">
        <v>7.75</v>
      </c>
      <c r="F20" s="51">
        <v>5.05</v>
      </c>
      <c r="G20" s="51">
        <v>107.61</v>
      </c>
      <c r="H20" s="51">
        <v>61.9</v>
      </c>
      <c r="I20" s="51">
        <v>12.75</v>
      </c>
      <c r="J20" s="51">
        <v>0.3</v>
      </c>
      <c r="K20" s="51">
        <v>294.91000000000003</v>
      </c>
      <c r="L20" s="51">
        <v>27.03</v>
      </c>
      <c r="M20" s="51">
        <v>49.31</v>
      </c>
      <c r="N20" s="51">
        <v>433.3</v>
      </c>
      <c r="O20" s="51">
        <v>0</v>
      </c>
      <c r="P20" s="51">
        <v>1.1399999999999999</v>
      </c>
      <c r="Q20" s="51">
        <v>5</v>
      </c>
    </row>
    <row r="21" spans="1:17" customFormat="1">
      <c r="A21" s="50" t="s">
        <v>455</v>
      </c>
      <c r="B21" s="51">
        <v>4.32</v>
      </c>
      <c r="C21" s="51">
        <v>31.25</v>
      </c>
      <c r="D21" s="51">
        <v>21.14</v>
      </c>
      <c r="E21" s="51">
        <v>7.65</v>
      </c>
      <c r="F21" s="51">
        <v>4.9800000000000004</v>
      </c>
      <c r="G21" s="51">
        <v>107.61</v>
      </c>
      <c r="H21" s="51">
        <v>60.8</v>
      </c>
      <c r="I21" s="51">
        <v>11.9</v>
      </c>
      <c r="J21" s="51">
        <v>0.41</v>
      </c>
      <c r="K21" s="51">
        <v>218.56</v>
      </c>
      <c r="L21" s="51">
        <v>27.66</v>
      </c>
      <c r="M21" s="51">
        <v>45.39</v>
      </c>
      <c r="N21" s="51">
        <v>429.1</v>
      </c>
      <c r="O21" s="51">
        <v>0</v>
      </c>
      <c r="P21" s="51">
        <v>1.07</v>
      </c>
      <c r="Q21" s="51">
        <v>4.8899999999999997</v>
      </c>
    </row>
    <row r="22" spans="1:17" customFormat="1">
      <c r="A22" s="50" t="s">
        <v>456</v>
      </c>
      <c r="B22" s="51">
        <v>4.17</v>
      </c>
      <c r="C22" s="51">
        <v>24.42</v>
      </c>
      <c r="D22" s="51">
        <v>17.45</v>
      </c>
      <c r="E22" s="51">
        <v>7</v>
      </c>
      <c r="F22" s="51">
        <v>4.2300000000000004</v>
      </c>
      <c r="G22" s="51">
        <v>104.22</v>
      </c>
      <c r="H22" s="51">
        <v>59.08</v>
      </c>
      <c r="I22" s="51">
        <v>11.34</v>
      </c>
      <c r="J22" s="51">
        <v>0.32</v>
      </c>
      <c r="K22" s="51">
        <v>274.81</v>
      </c>
      <c r="L22" s="51">
        <v>28.19</v>
      </c>
      <c r="M22" s="51">
        <v>43.19</v>
      </c>
      <c r="N22" s="51">
        <v>397.3</v>
      </c>
      <c r="O22" s="51">
        <v>0</v>
      </c>
      <c r="P22" s="51">
        <v>1</v>
      </c>
      <c r="Q22" s="51">
        <v>4.87</v>
      </c>
    </row>
    <row r="23" spans="1:17" customFormat="1">
      <c r="A23" s="50" t="s">
        <v>457</v>
      </c>
      <c r="B23" s="51">
        <v>4.1100000000000003</v>
      </c>
      <c r="C23" s="51">
        <v>21.54</v>
      </c>
      <c r="D23" s="51">
        <v>15.87</v>
      </c>
      <c r="E23" s="51">
        <v>6.94</v>
      </c>
      <c r="F23" s="51">
        <v>5.6</v>
      </c>
      <c r="G23" s="51">
        <v>98.26</v>
      </c>
      <c r="H23" s="51">
        <v>55.42</v>
      </c>
      <c r="I23" s="51">
        <v>10.87</v>
      </c>
      <c r="J23" s="51">
        <v>0.3</v>
      </c>
      <c r="K23" s="51">
        <v>279.95999999999998</v>
      </c>
      <c r="L23" s="51">
        <v>27.99</v>
      </c>
      <c r="M23" s="51">
        <v>41.22</v>
      </c>
      <c r="N23" s="51">
        <v>193.2</v>
      </c>
      <c r="O23" s="51">
        <v>0</v>
      </c>
      <c r="P23" s="51">
        <v>0.94</v>
      </c>
      <c r="Q23" s="51">
        <v>4.8499999999999996</v>
      </c>
    </row>
    <row r="24" spans="1:17" customFormat="1">
      <c r="A24" s="50" t="s">
        <v>458</v>
      </c>
      <c r="B24" s="51">
        <v>4.1500000000000004</v>
      </c>
      <c r="C24" s="51">
        <v>19.93</v>
      </c>
      <c r="D24" s="51">
        <v>15</v>
      </c>
      <c r="E24" s="51">
        <v>7.4</v>
      </c>
      <c r="F24" s="51">
        <v>6.52</v>
      </c>
      <c r="G24" s="51">
        <v>94.9</v>
      </c>
      <c r="H24" s="51">
        <v>55.41</v>
      </c>
      <c r="I24" s="51">
        <v>10.35</v>
      </c>
      <c r="J24" s="51">
        <v>0.24</v>
      </c>
      <c r="K24" s="51">
        <v>337.67</v>
      </c>
      <c r="L24" s="51">
        <v>27.3</v>
      </c>
      <c r="M24" s="51">
        <v>43.96</v>
      </c>
      <c r="N24" s="51">
        <v>75.8</v>
      </c>
      <c r="O24" s="51">
        <v>0</v>
      </c>
      <c r="P24" s="51">
        <v>0.91</v>
      </c>
      <c r="Q24" s="51">
        <v>4.8899999999999997</v>
      </c>
    </row>
    <row r="25" spans="1:17" customFormat="1">
      <c r="A25" s="50" t="s">
        <v>459</v>
      </c>
      <c r="B25" s="51">
        <v>4.5199999999999996</v>
      </c>
      <c r="C25" s="51">
        <v>22.57</v>
      </c>
      <c r="D25" s="51">
        <v>16.75</v>
      </c>
      <c r="E25" s="51">
        <v>7</v>
      </c>
      <c r="F25" s="51">
        <v>3.84</v>
      </c>
      <c r="G25" s="51">
        <v>98.84</v>
      </c>
      <c r="H25" s="51">
        <v>54.14</v>
      </c>
      <c r="I25" s="51">
        <v>9.92</v>
      </c>
      <c r="J25" s="51">
        <v>0.27</v>
      </c>
      <c r="K25" s="51">
        <v>280.45999999999998</v>
      </c>
      <c r="L25" s="51">
        <v>26.36</v>
      </c>
      <c r="M25" s="51">
        <v>53.87</v>
      </c>
      <c r="N25" s="51">
        <v>34.1</v>
      </c>
      <c r="O25" s="51">
        <v>0</v>
      </c>
      <c r="P25" s="51">
        <v>0.9</v>
      </c>
      <c r="Q25" s="51">
        <v>4.8899999999999997</v>
      </c>
    </row>
    <row r="26" spans="1:17" customFormat="1">
      <c r="A26" s="50" t="s">
        <v>460</v>
      </c>
      <c r="B26" s="51">
        <v>5.01</v>
      </c>
      <c r="C26" s="51">
        <v>28.66</v>
      </c>
      <c r="D26" s="51">
        <v>20.34</v>
      </c>
      <c r="E26" s="51">
        <v>7.04</v>
      </c>
      <c r="F26" s="51">
        <v>3.64</v>
      </c>
      <c r="G26" s="51">
        <v>127.8</v>
      </c>
      <c r="H26" s="51">
        <v>59.17</v>
      </c>
      <c r="I26" s="51">
        <v>9.73</v>
      </c>
      <c r="J26" s="51">
        <v>0.31</v>
      </c>
      <c r="K26" s="51">
        <v>167.75</v>
      </c>
      <c r="L26" s="51">
        <v>23.7</v>
      </c>
      <c r="M26" s="51">
        <v>71.45</v>
      </c>
      <c r="N26" s="51">
        <v>0</v>
      </c>
      <c r="O26" s="51">
        <v>0</v>
      </c>
      <c r="P26" s="51">
        <v>0.98</v>
      </c>
      <c r="Q26" s="51">
        <v>4.92</v>
      </c>
    </row>
    <row r="27" spans="1:17" customFormat="1">
      <c r="A27" s="50" t="s">
        <v>461</v>
      </c>
      <c r="B27" s="51">
        <v>5.75</v>
      </c>
      <c r="C27" s="51">
        <v>32.1</v>
      </c>
      <c r="D27" s="51">
        <v>22.73</v>
      </c>
      <c r="E27" s="51">
        <v>7.52</v>
      </c>
      <c r="F27" s="51">
        <v>3.24</v>
      </c>
      <c r="G27" s="51">
        <v>147.30000000000001</v>
      </c>
      <c r="H27" s="51">
        <v>62.28</v>
      </c>
      <c r="I27" s="51">
        <v>9.91</v>
      </c>
      <c r="J27" s="51">
        <v>0.26</v>
      </c>
      <c r="K27" s="51">
        <v>188.84</v>
      </c>
      <c r="L27" s="51">
        <v>21.11</v>
      </c>
      <c r="M27" s="51">
        <v>77.959999999999994</v>
      </c>
      <c r="N27" s="51">
        <v>0</v>
      </c>
      <c r="O27" s="51">
        <v>0</v>
      </c>
      <c r="P27" s="51">
        <v>1.04</v>
      </c>
      <c r="Q27" s="51">
        <v>4.9400000000000004</v>
      </c>
    </row>
    <row r="28" spans="1:17" customFormat="1">
      <c r="A28" s="50" t="s">
        <v>462</v>
      </c>
      <c r="B28" s="51">
        <v>7.41</v>
      </c>
      <c r="C28" s="51">
        <v>35.5</v>
      </c>
      <c r="D28" s="51">
        <v>25.84</v>
      </c>
      <c r="E28" s="51">
        <v>7.69</v>
      </c>
      <c r="F28" s="51">
        <v>2.78</v>
      </c>
      <c r="G28" s="51">
        <v>153.76</v>
      </c>
      <c r="H28" s="51">
        <v>65.459999999999994</v>
      </c>
      <c r="I28" s="51">
        <v>10.58</v>
      </c>
      <c r="J28" s="51">
        <v>0.2</v>
      </c>
      <c r="K28" s="51">
        <v>174.91</v>
      </c>
      <c r="L28" s="51">
        <v>19.739999999999998</v>
      </c>
      <c r="M28" s="51">
        <v>83.02</v>
      </c>
      <c r="N28" s="51">
        <v>0</v>
      </c>
      <c r="O28" s="51">
        <v>0</v>
      </c>
      <c r="P28" s="51">
        <v>1.1399999999999999</v>
      </c>
      <c r="Q28" s="51">
        <v>4.96</v>
      </c>
    </row>
    <row r="29" spans="1:17" customFormat="1">
      <c r="A29" s="50" t="s">
        <v>463</v>
      </c>
      <c r="B29" s="51">
        <v>7.83</v>
      </c>
      <c r="C29" s="51">
        <v>35.92</v>
      </c>
      <c r="D29" s="51">
        <v>26.31</v>
      </c>
      <c r="E29" s="51">
        <v>7.42</v>
      </c>
      <c r="F29" s="51">
        <v>2.6</v>
      </c>
      <c r="G29" s="51">
        <v>157.63</v>
      </c>
      <c r="H29" s="51">
        <v>67.540000000000006</v>
      </c>
      <c r="I29" s="51">
        <v>11.17</v>
      </c>
      <c r="J29" s="51">
        <v>0.22</v>
      </c>
      <c r="K29" s="51">
        <v>170.75</v>
      </c>
      <c r="L29" s="51">
        <v>18.84</v>
      </c>
      <c r="M29" s="51">
        <v>84.33</v>
      </c>
      <c r="N29" s="51">
        <v>0</v>
      </c>
      <c r="O29" s="51">
        <v>0</v>
      </c>
      <c r="P29" s="51">
        <v>1.19</v>
      </c>
      <c r="Q29" s="51">
        <v>4.96</v>
      </c>
    </row>
    <row r="30" spans="1:17" customFormat="1">
      <c r="A30" s="50" t="s">
        <v>464</v>
      </c>
      <c r="B30" s="51">
        <v>14.14</v>
      </c>
      <c r="C30" s="51">
        <v>38.43</v>
      </c>
      <c r="D30" s="51">
        <v>32.770000000000003</v>
      </c>
      <c r="E30" s="51">
        <v>7.52</v>
      </c>
      <c r="F30" s="51">
        <v>2.52</v>
      </c>
      <c r="G30" s="51">
        <v>173.56</v>
      </c>
      <c r="H30" s="51">
        <v>70.45</v>
      </c>
      <c r="I30" s="51">
        <v>11.98</v>
      </c>
      <c r="J30" s="51">
        <v>0.16</v>
      </c>
      <c r="K30" s="51">
        <v>178.65</v>
      </c>
      <c r="L30" s="51">
        <v>18.48</v>
      </c>
      <c r="M30" s="51">
        <v>88.41</v>
      </c>
      <c r="N30" s="51">
        <v>0</v>
      </c>
      <c r="O30" s="51">
        <v>0</v>
      </c>
      <c r="P30" s="51">
        <v>1.28</v>
      </c>
      <c r="Q30" s="51">
        <v>5</v>
      </c>
    </row>
    <row r="31" spans="1:17" customFormat="1">
      <c r="A31" s="50" t="s">
        <v>465</v>
      </c>
      <c r="B31" s="51">
        <v>22.85</v>
      </c>
      <c r="C31" s="51">
        <v>39.770000000000003</v>
      </c>
      <c r="D31" s="51">
        <v>38.130000000000003</v>
      </c>
      <c r="E31" s="51">
        <v>7.5</v>
      </c>
      <c r="F31" s="51">
        <v>2.72</v>
      </c>
      <c r="G31" s="51">
        <v>180.08</v>
      </c>
      <c r="H31" s="51">
        <v>74.900000000000006</v>
      </c>
      <c r="I31" s="51">
        <v>13.04</v>
      </c>
      <c r="J31" s="51">
        <v>0.15</v>
      </c>
      <c r="K31" s="51">
        <v>238.39</v>
      </c>
      <c r="L31" s="51">
        <v>17.82</v>
      </c>
      <c r="M31" s="51">
        <v>91.58</v>
      </c>
      <c r="N31" s="51">
        <v>0</v>
      </c>
      <c r="O31" s="51">
        <v>0</v>
      </c>
      <c r="P31" s="51">
        <v>1.33</v>
      </c>
      <c r="Q31" s="51">
        <v>5.12</v>
      </c>
    </row>
    <row r="32" spans="1:17" customFormat="1">
      <c r="A32" s="50" t="s">
        <v>466</v>
      </c>
      <c r="B32" s="51">
        <v>23.18</v>
      </c>
      <c r="C32" s="51">
        <v>35.42</v>
      </c>
      <c r="D32" s="51">
        <v>38.450000000000003</v>
      </c>
      <c r="E32" s="51">
        <v>7.34</v>
      </c>
      <c r="F32" s="51">
        <v>2.66</v>
      </c>
      <c r="G32" s="51">
        <v>180.08</v>
      </c>
      <c r="H32" s="51">
        <v>76.41</v>
      </c>
      <c r="I32" s="51">
        <v>13.29</v>
      </c>
      <c r="J32" s="51">
        <v>0.17</v>
      </c>
      <c r="K32" s="51">
        <v>190.95</v>
      </c>
      <c r="L32" s="51">
        <v>16.95</v>
      </c>
      <c r="M32" s="51">
        <v>92.65</v>
      </c>
      <c r="N32" s="51">
        <v>0</v>
      </c>
      <c r="O32" s="51">
        <v>0</v>
      </c>
      <c r="P32" s="51">
        <v>1.34</v>
      </c>
      <c r="Q32" s="51">
        <v>5.13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4.1100000000000003</v>
      </c>
      <c r="C34" s="41">
        <f t="shared" si="0"/>
        <v>19.93</v>
      </c>
      <c r="D34" s="41">
        <f t="shared" si="0"/>
        <v>15</v>
      </c>
      <c r="E34" s="41">
        <f t="shared" si="0"/>
        <v>6.68</v>
      </c>
      <c r="F34" s="41">
        <f t="shared" si="0"/>
        <v>2.5</v>
      </c>
      <c r="G34" s="41">
        <f t="shared" si="0"/>
        <v>94.9</v>
      </c>
      <c r="H34" s="41">
        <f t="shared" si="0"/>
        <v>54.14</v>
      </c>
      <c r="I34" s="41">
        <f t="shared" si="0"/>
        <v>9.73</v>
      </c>
      <c r="J34" s="41">
        <f t="shared" si="0"/>
        <v>0.12</v>
      </c>
      <c r="K34" s="41">
        <f t="shared" si="0"/>
        <v>147.75</v>
      </c>
      <c r="L34" s="41">
        <f t="shared" si="0"/>
        <v>13.66</v>
      </c>
      <c r="M34" s="41">
        <f t="shared" si="0"/>
        <v>41.22</v>
      </c>
      <c r="N34" s="41">
        <f t="shared" si="0"/>
        <v>0</v>
      </c>
      <c r="O34" s="41">
        <f t="shared" si="0"/>
        <v>0</v>
      </c>
      <c r="P34" s="41">
        <f t="shared" si="0"/>
        <v>0.9</v>
      </c>
      <c r="Q34" s="41">
        <f t="shared" si="0"/>
        <v>4.8499999999999996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67.400000000000006</v>
      </c>
      <c r="C35" s="33">
        <f t="shared" si="1"/>
        <v>39.770000000000003</v>
      </c>
      <c r="D35" s="33">
        <f t="shared" si="1"/>
        <v>75.09</v>
      </c>
      <c r="E35" s="33">
        <f t="shared" si="1"/>
        <v>7.75</v>
      </c>
      <c r="F35" s="33">
        <f t="shared" si="1"/>
        <v>6.52</v>
      </c>
      <c r="G35" s="33">
        <f t="shared" si="1"/>
        <v>180.08</v>
      </c>
      <c r="H35" s="33">
        <f t="shared" si="1"/>
        <v>76.41</v>
      </c>
      <c r="I35" s="33">
        <f t="shared" si="1"/>
        <v>15.08</v>
      </c>
      <c r="J35" s="33">
        <f t="shared" si="1"/>
        <v>0.41</v>
      </c>
      <c r="K35" s="33">
        <f t="shared" si="1"/>
        <v>337.67</v>
      </c>
      <c r="L35" s="33">
        <f t="shared" si="1"/>
        <v>28.19</v>
      </c>
      <c r="M35" s="33">
        <f t="shared" si="1"/>
        <v>98.2</v>
      </c>
      <c r="N35" s="33">
        <f t="shared" si="1"/>
        <v>433.3</v>
      </c>
      <c r="O35" s="33">
        <f t="shared" si="1"/>
        <v>0</v>
      </c>
      <c r="P35" s="33">
        <f t="shared" si="1"/>
        <v>1.6</v>
      </c>
      <c r="Q35" s="33">
        <f t="shared" si="1"/>
        <v>5.82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30.549999999999994</v>
      </c>
      <c r="C36" s="41">
        <f t="shared" si="2"/>
        <v>32.758749999999999</v>
      </c>
      <c r="D36" s="41">
        <f t="shared" si="2"/>
        <v>42.664166666666667</v>
      </c>
      <c r="E36" s="41">
        <f t="shared" si="2"/>
        <v>7.1641666666666675</v>
      </c>
      <c r="F36" s="41">
        <f t="shared" si="2"/>
        <v>3.3362499999999997</v>
      </c>
      <c r="G36" s="41">
        <f t="shared" si="2"/>
        <v>129.87500000000003</v>
      </c>
      <c r="H36" s="41">
        <f t="shared" si="2"/>
        <v>64.33</v>
      </c>
      <c r="I36" s="41">
        <f t="shared" si="2"/>
        <v>12.728333333333337</v>
      </c>
      <c r="J36" s="41">
        <f t="shared" si="2"/>
        <v>0.23958333333333329</v>
      </c>
      <c r="K36" s="41">
        <f t="shared" si="2"/>
        <v>222.46624999999997</v>
      </c>
      <c r="L36" s="41">
        <f t="shared" si="2"/>
        <v>20.266250000000003</v>
      </c>
      <c r="M36" s="41">
        <f t="shared" si="2"/>
        <v>76.853750000000005</v>
      </c>
      <c r="N36" s="41">
        <f t="shared" si="2"/>
        <v>99.029166666666683</v>
      </c>
      <c r="O36" s="41">
        <f t="shared" si="2"/>
        <v>0</v>
      </c>
      <c r="P36" s="41">
        <f t="shared" si="2"/>
        <v>1.2720833333333335</v>
      </c>
      <c r="Q36" s="41">
        <f t="shared" si="2"/>
        <v>5.28125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26.426071612511119</v>
      </c>
      <c r="C37" s="41">
        <f t="shared" ref="C37:Q37" si="3">STDEV(C9:C32)</f>
        <v>5.5225894308502994</v>
      </c>
      <c r="D37" s="41">
        <f t="shared" si="3"/>
        <v>22.428395417739818</v>
      </c>
      <c r="E37" s="41">
        <f t="shared" si="3"/>
        <v>0.34220406658659469</v>
      </c>
      <c r="F37" s="41">
        <f t="shared" si="3"/>
        <v>1.135738842072114</v>
      </c>
      <c r="G37" s="41">
        <f t="shared" si="3"/>
        <v>29.211581681720332</v>
      </c>
      <c r="H37" s="41">
        <f t="shared" si="3"/>
        <v>5.8392874788683642</v>
      </c>
      <c r="I37" s="41">
        <f t="shared" si="3"/>
        <v>1.8619663908297641</v>
      </c>
      <c r="J37" s="41">
        <f t="shared" si="3"/>
        <v>7.8821712229820359E-2</v>
      </c>
      <c r="K37" s="41">
        <f t="shared" si="3"/>
        <v>50.528054008123362</v>
      </c>
      <c r="L37" s="41">
        <f t="shared" si="3"/>
        <v>5.2733116502696351</v>
      </c>
      <c r="M37" s="41">
        <f t="shared" si="3"/>
        <v>20.636808990880443</v>
      </c>
      <c r="N37" s="41">
        <f t="shared" si="3"/>
        <v>156.8349796807118</v>
      </c>
      <c r="O37" s="41">
        <f t="shared" si="3"/>
        <v>0</v>
      </c>
      <c r="P37" s="41">
        <f t="shared" si="3"/>
        <v>0.24176846931232043</v>
      </c>
      <c r="Q37" s="41">
        <f t="shared" si="3"/>
        <v>0.38925025480988279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467</v>
      </c>
      <c r="B9" s="51">
        <v>21.52</v>
      </c>
      <c r="C9" s="51">
        <v>33.79</v>
      </c>
      <c r="D9" s="51">
        <v>36.270000000000003</v>
      </c>
      <c r="E9" s="51">
        <v>7.13</v>
      </c>
      <c r="F9" s="51">
        <v>2.4700000000000002</v>
      </c>
      <c r="G9" s="51">
        <v>175.43</v>
      </c>
      <c r="H9" s="51">
        <v>76.41</v>
      </c>
      <c r="I9" s="51">
        <v>13.46</v>
      </c>
      <c r="J9" s="51">
        <v>0.2</v>
      </c>
      <c r="K9" s="51">
        <v>214.95</v>
      </c>
      <c r="L9" s="51">
        <v>16.61</v>
      </c>
      <c r="M9" s="51">
        <v>93.54</v>
      </c>
      <c r="N9" s="51">
        <v>0</v>
      </c>
      <c r="O9" s="51">
        <v>0</v>
      </c>
      <c r="P9" s="51">
        <v>1.33</v>
      </c>
      <c r="Q9" s="51">
        <v>5.14</v>
      </c>
    </row>
    <row r="10" spans="1:21" customFormat="1">
      <c r="A10" s="50" t="s">
        <v>468</v>
      </c>
      <c r="B10" s="51">
        <v>19.73</v>
      </c>
      <c r="C10" s="51">
        <v>30.5</v>
      </c>
      <c r="D10" s="51">
        <v>33.11</v>
      </c>
      <c r="E10" s="51">
        <v>7.18</v>
      </c>
      <c r="F10" s="51">
        <v>2.68</v>
      </c>
      <c r="G10" s="51">
        <v>171.83</v>
      </c>
      <c r="H10" s="51">
        <v>74.38</v>
      </c>
      <c r="I10" s="51">
        <v>13.54</v>
      </c>
      <c r="J10" s="51">
        <v>0.15</v>
      </c>
      <c r="K10" s="51">
        <v>245.31</v>
      </c>
      <c r="L10" s="51">
        <v>16.489999999999998</v>
      </c>
      <c r="M10" s="51">
        <v>93.42</v>
      </c>
      <c r="N10" s="51">
        <v>0</v>
      </c>
      <c r="O10" s="51">
        <v>0</v>
      </c>
      <c r="P10" s="51">
        <v>1.32</v>
      </c>
      <c r="Q10" s="51">
        <v>5.08</v>
      </c>
    </row>
    <row r="11" spans="1:21" customFormat="1">
      <c r="A11" s="50" t="s">
        <v>469</v>
      </c>
      <c r="B11" s="51">
        <v>19.95</v>
      </c>
      <c r="C11" s="51">
        <v>30.5</v>
      </c>
      <c r="D11" s="51">
        <v>33.29</v>
      </c>
      <c r="E11" s="51">
        <v>5.63</v>
      </c>
      <c r="F11" s="51">
        <v>2.5499999999999998</v>
      </c>
      <c r="G11" s="51">
        <v>152.27000000000001</v>
      </c>
      <c r="H11" s="51">
        <v>72.760000000000005</v>
      </c>
      <c r="I11" s="51">
        <v>13.48</v>
      </c>
      <c r="J11" s="51">
        <v>0.13</v>
      </c>
      <c r="K11" s="51">
        <v>207.02</v>
      </c>
      <c r="L11" s="51">
        <v>15.96</v>
      </c>
      <c r="M11" s="51">
        <v>93.5</v>
      </c>
      <c r="N11" s="51">
        <v>0</v>
      </c>
      <c r="O11" s="51">
        <v>0</v>
      </c>
      <c r="P11" s="51">
        <v>1.29</v>
      </c>
      <c r="Q11" s="51">
        <v>5.1100000000000003</v>
      </c>
    </row>
    <row r="12" spans="1:21" customFormat="1">
      <c r="A12" s="50" t="s">
        <v>470</v>
      </c>
      <c r="B12" s="51">
        <v>28.75</v>
      </c>
      <c r="C12" s="51">
        <v>33.450000000000003</v>
      </c>
      <c r="D12" s="51">
        <v>41.89</v>
      </c>
      <c r="E12" s="51">
        <v>5.68</v>
      </c>
      <c r="F12" s="51">
        <v>2.67</v>
      </c>
      <c r="G12" s="51">
        <v>126.34</v>
      </c>
      <c r="H12" s="51">
        <v>72.7</v>
      </c>
      <c r="I12" s="51">
        <v>13.24</v>
      </c>
      <c r="J12" s="51">
        <v>0.15</v>
      </c>
      <c r="K12" s="51">
        <v>170.07</v>
      </c>
      <c r="L12" s="51">
        <v>15.84</v>
      </c>
      <c r="M12" s="51">
        <v>92.16</v>
      </c>
      <c r="N12" s="51">
        <v>0</v>
      </c>
      <c r="O12" s="51">
        <v>0</v>
      </c>
      <c r="P12" s="51">
        <v>1.28</v>
      </c>
      <c r="Q12" s="51">
        <v>5.25</v>
      </c>
    </row>
    <row r="13" spans="1:21" customFormat="1">
      <c r="A13" s="50" t="s">
        <v>471</v>
      </c>
      <c r="B13" s="51">
        <v>37.54</v>
      </c>
      <c r="C13" s="51">
        <v>35.270000000000003</v>
      </c>
      <c r="D13" s="51">
        <v>49.89</v>
      </c>
      <c r="E13" s="51">
        <v>5.89</v>
      </c>
      <c r="F13" s="51">
        <v>2.58</v>
      </c>
      <c r="G13" s="51">
        <v>126.38</v>
      </c>
      <c r="H13" s="51">
        <v>72.7</v>
      </c>
      <c r="I13" s="51">
        <v>12.99</v>
      </c>
      <c r="J13" s="51">
        <v>0.21</v>
      </c>
      <c r="K13" s="51">
        <v>182.64</v>
      </c>
      <c r="L13" s="51">
        <v>15.53</v>
      </c>
      <c r="M13" s="51">
        <v>94.9</v>
      </c>
      <c r="N13" s="51">
        <v>0</v>
      </c>
      <c r="O13" s="51">
        <v>0</v>
      </c>
      <c r="P13" s="51">
        <v>1.26</v>
      </c>
      <c r="Q13" s="51">
        <v>5.36</v>
      </c>
    </row>
    <row r="14" spans="1:21" customFormat="1">
      <c r="A14" s="50" t="s">
        <v>472</v>
      </c>
      <c r="B14" s="51">
        <v>38.5</v>
      </c>
      <c r="C14" s="51">
        <v>36.21</v>
      </c>
      <c r="D14" s="51">
        <v>51</v>
      </c>
      <c r="E14" s="51">
        <v>6.11</v>
      </c>
      <c r="F14" s="51">
        <v>2.54</v>
      </c>
      <c r="G14" s="51">
        <v>128</v>
      </c>
      <c r="H14" s="51">
        <v>74.3</v>
      </c>
      <c r="I14" s="51">
        <v>13.16</v>
      </c>
      <c r="J14" s="51">
        <v>0.15</v>
      </c>
      <c r="K14" s="51">
        <v>217.5</v>
      </c>
      <c r="L14" s="51">
        <v>15.48</v>
      </c>
      <c r="M14" s="51">
        <v>95.4</v>
      </c>
      <c r="N14" s="51">
        <v>0</v>
      </c>
      <c r="O14" s="51">
        <v>0</v>
      </c>
      <c r="P14" s="51">
        <v>1.25</v>
      </c>
      <c r="Q14" s="51">
        <v>5.43</v>
      </c>
    </row>
    <row r="15" spans="1:21" customFormat="1">
      <c r="A15" s="50" t="s">
        <v>473</v>
      </c>
      <c r="B15" s="51">
        <v>33.159999999999997</v>
      </c>
      <c r="C15" s="51">
        <v>35.07</v>
      </c>
      <c r="D15" s="51">
        <v>46.27</v>
      </c>
      <c r="E15" s="51">
        <v>6.04</v>
      </c>
      <c r="F15" s="51">
        <v>2.61</v>
      </c>
      <c r="G15" s="51">
        <v>128</v>
      </c>
      <c r="H15" s="51">
        <v>74.3</v>
      </c>
      <c r="I15" s="51">
        <v>13.04</v>
      </c>
      <c r="J15" s="51">
        <v>0.16</v>
      </c>
      <c r="K15" s="51">
        <v>273.41000000000003</v>
      </c>
      <c r="L15" s="51">
        <v>14.68</v>
      </c>
      <c r="M15" s="51">
        <v>97.04</v>
      </c>
      <c r="N15" s="51">
        <v>3.5</v>
      </c>
      <c r="O15" s="51">
        <v>0</v>
      </c>
      <c r="P15" s="51">
        <v>1.21</v>
      </c>
      <c r="Q15" s="51">
        <v>5.34</v>
      </c>
    </row>
    <row r="16" spans="1:21" customFormat="1">
      <c r="A16" s="50" t="s">
        <v>474</v>
      </c>
      <c r="B16" s="51">
        <v>26.52</v>
      </c>
      <c r="C16" s="51">
        <v>32.590000000000003</v>
      </c>
      <c r="D16" s="51">
        <v>39.619999999999997</v>
      </c>
      <c r="E16" s="51">
        <v>5.91</v>
      </c>
      <c r="F16" s="51">
        <v>2.5499999999999998</v>
      </c>
      <c r="G16" s="51">
        <v>123.97</v>
      </c>
      <c r="H16" s="51">
        <v>70.39</v>
      </c>
      <c r="I16" s="51">
        <v>12.99</v>
      </c>
      <c r="J16" s="51">
        <v>0.16</v>
      </c>
      <c r="K16" s="51">
        <v>254.79</v>
      </c>
      <c r="L16" s="51">
        <v>16.36</v>
      </c>
      <c r="M16" s="51">
        <v>96.8</v>
      </c>
      <c r="N16" s="51">
        <v>52</v>
      </c>
      <c r="O16" s="51">
        <v>0</v>
      </c>
      <c r="P16" s="51">
        <v>1.19</v>
      </c>
      <c r="Q16" s="51">
        <v>5.22</v>
      </c>
    </row>
    <row r="17" spans="1:17" customFormat="1">
      <c r="A17" s="50" t="s">
        <v>475</v>
      </c>
      <c r="B17" s="51">
        <v>24.65</v>
      </c>
      <c r="C17" s="51">
        <v>32.880000000000003</v>
      </c>
      <c r="D17" s="51">
        <v>38.090000000000003</v>
      </c>
      <c r="E17" s="51">
        <v>5.67</v>
      </c>
      <c r="F17" s="51">
        <v>2.77</v>
      </c>
      <c r="G17" s="51">
        <v>132.47999999999999</v>
      </c>
      <c r="H17" s="51">
        <v>72.48</v>
      </c>
      <c r="I17" s="51">
        <v>13.29</v>
      </c>
      <c r="J17" s="51">
        <v>0.28000000000000003</v>
      </c>
      <c r="K17" s="51">
        <v>188.46</v>
      </c>
      <c r="L17" s="51">
        <v>20.34</v>
      </c>
      <c r="M17" s="51">
        <v>89.15</v>
      </c>
      <c r="N17" s="51">
        <v>171.4</v>
      </c>
      <c r="O17" s="51">
        <v>0</v>
      </c>
      <c r="P17" s="51">
        <v>1.19</v>
      </c>
      <c r="Q17" s="51">
        <v>5.17</v>
      </c>
    </row>
    <row r="18" spans="1:17" customFormat="1">
      <c r="A18" s="50" t="s">
        <v>476</v>
      </c>
      <c r="B18" s="51">
        <v>20.87</v>
      </c>
      <c r="C18" s="51">
        <v>30.77</v>
      </c>
      <c r="D18" s="51">
        <v>34.17</v>
      </c>
      <c r="E18" s="51">
        <v>5.75</v>
      </c>
      <c r="F18" s="51">
        <v>2.75</v>
      </c>
      <c r="G18" s="51">
        <v>132.47999999999999</v>
      </c>
      <c r="H18" s="51">
        <v>72.48</v>
      </c>
      <c r="I18" s="51">
        <v>13.28</v>
      </c>
      <c r="J18" s="51">
        <v>0.43</v>
      </c>
      <c r="K18" s="51">
        <v>172.72</v>
      </c>
      <c r="L18" s="51">
        <v>22.95</v>
      </c>
      <c r="M18" s="51">
        <v>69.77</v>
      </c>
      <c r="N18" s="51">
        <v>183.6</v>
      </c>
      <c r="O18" s="51">
        <v>0</v>
      </c>
      <c r="P18" s="51">
        <v>1.17</v>
      </c>
      <c r="Q18" s="51">
        <v>5.14</v>
      </c>
    </row>
    <row r="19" spans="1:17" customFormat="1">
      <c r="A19" s="50" t="s">
        <v>477</v>
      </c>
      <c r="B19" s="51">
        <v>15.35</v>
      </c>
      <c r="C19" s="51">
        <v>29.89</v>
      </c>
      <c r="D19" s="51">
        <v>28.53</v>
      </c>
      <c r="E19" s="51">
        <v>9.6</v>
      </c>
      <c r="F19" s="51">
        <v>4.59</v>
      </c>
      <c r="G19" s="51">
        <v>121.68</v>
      </c>
      <c r="H19" s="51">
        <v>71.92</v>
      </c>
      <c r="I19" s="51">
        <v>13.08</v>
      </c>
      <c r="J19" s="51">
        <v>0.28000000000000003</v>
      </c>
      <c r="K19" s="51">
        <v>113.65</v>
      </c>
      <c r="L19" s="51">
        <v>25.31</v>
      </c>
      <c r="M19" s="51">
        <v>60.28</v>
      </c>
      <c r="N19" s="51">
        <v>385.9</v>
      </c>
      <c r="O19" s="51">
        <v>0</v>
      </c>
      <c r="P19" s="51">
        <v>1.1299999999999999</v>
      </c>
      <c r="Q19" s="51">
        <v>5.07</v>
      </c>
    </row>
    <row r="20" spans="1:17" customFormat="1">
      <c r="A20" s="50" t="s">
        <v>478</v>
      </c>
      <c r="B20" s="51">
        <v>5.0199999999999996</v>
      </c>
      <c r="C20" s="51">
        <v>27.06</v>
      </c>
      <c r="D20" s="51">
        <v>19.510000000000002</v>
      </c>
      <c r="E20" s="51">
        <v>10.19</v>
      </c>
      <c r="F20" s="51">
        <v>10.46</v>
      </c>
      <c r="G20" s="51">
        <v>121.68</v>
      </c>
      <c r="H20" s="51">
        <v>68.67</v>
      </c>
      <c r="I20" s="51">
        <v>12.63</v>
      </c>
      <c r="J20" s="51">
        <v>0.25</v>
      </c>
      <c r="K20" s="51">
        <v>249.52</v>
      </c>
      <c r="L20" s="51">
        <v>27</v>
      </c>
      <c r="M20" s="51">
        <v>52.91</v>
      </c>
      <c r="N20" s="51">
        <v>428.7</v>
      </c>
      <c r="O20" s="51">
        <v>0</v>
      </c>
      <c r="P20" s="51">
        <v>1.02</v>
      </c>
      <c r="Q20" s="51">
        <v>4.95</v>
      </c>
    </row>
    <row r="21" spans="1:17" customFormat="1">
      <c r="A21" s="50" t="s">
        <v>479</v>
      </c>
      <c r="B21" s="51">
        <v>2.7</v>
      </c>
      <c r="C21" s="51">
        <v>21.72</v>
      </c>
      <c r="D21" s="51">
        <v>14.57</v>
      </c>
      <c r="E21" s="51">
        <v>8.5399999999999991</v>
      </c>
      <c r="F21" s="51">
        <v>6.97</v>
      </c>
      <c r="G21" s="51">
        <v>112.7</v>
      </c>
      <c r="H21" s="51">
        <v>64.86</v>
      </c>
      <c r="I21" s="51">
        <v>9.9</v>
      </c>
      <c r="J21" s="51">
        <v>0.25</v>
      </c>
      <c r="K21" s="51">
        <v>328.65</v>
      </c>
      <c r="L21" s="51">
        <v>28.01</v>
      </c>
      <c r="M21" s="51">
        <v>47.41</v>
      </c>
      <c r="N21" s="51">
        <v>432.3</v>
      </c>
      <c r="O21" s="51">
        <v>0</v>
      </c>
      <c r="P21" s="51">
        <v>0.9</v>
      </c>
      <c r="Q21" s="51">
        <v>4.87</v>
      </c>
    </row>
    <row r="22" spans="1:17" customFormat="1">
      <c r="A22" s="50" t="s">
        <v>480</v>
      </c>
      <c r="B22" s="51">
        <v>2.92</v>
      </c>
      <c r="C22" s="51">
        <v>23.14</v>
      </c>
      <c r="D22" s="51">
        <v>15.79</v>
      </c>
      <c r="E22" s="51">
        <v>9.07</v>
      </c>
      <c r="F22" s="51">
        <v>8.06</v>
      </c>
      <c r="G22" s="51">
        <v>97.78</v>
      </c>
      <c r="H22" s="51">
        <v>61.81</v>
      </c>
      <c r="I22" s="51">
        <v>9.41</v>
      </c>
      <c r="J22" s="51">
        <v>0.57999999999999996</v>
      </c>
      <c r="K22" s="51">
        <v>321.95999999999998</v>
      </c>
      <c r="L22" s="51">
        <v>28.14</v>
      </c>
      <c r="M22" s="51">
        <v>44.69</v>
      </c>
      <c r="N22" s="51">
        <v>396.2</v>
      </c>
      <c r="O22" s="51">
        <v>0</v>
      </c>
      <c r="P22" s="51">
        <v>0.87</v>
      </c>
      <c r="Q22" s="51">
        <v>4.88</v>
      </c>
    </row>
    <row r="23" spans="1:17" customFormat="1">
      <c r="A23" s="50" t="s">
        <v>481</v>
      </c>
      <c r="B23" s="51">
        <v>3.29</v>
      </c>
      <c r="C23" s="51">
        <v>24.31</v>
      </c>
      <c r="D23" s="51">
        <v>16.690000000000001</v>
      </c>
      <c r="E23" s="51">
        <v>9.1999999999999993</v>
      </c>
      <c r="F23" s="51">
        <v>7.93</v>
      </c>
      <c r="G23" s="51">
        <v>97.82</v>
      </c>
      <c r="H23" s="51">
        <v>54.87</v>
      </c>
      <c r="I23" s="51">
        <v>8.85</v>
      </c>
      <c r="J23" s="51">
        <v>0.4</v>
      </c>
      <c r="K23" s="51">
        <v>339.87</v>
      </c>
      <c r="L23" s="51">
        <v>27.97</v>
      </c>
      <c r="M23" s="51">
        <v>42.72</v>
      </c>
      <c r="N23" s="51">
        <v>199.9</v>
      </c>
      <c r="O23" s="51">
        <v>0</v>
      </c>
      <c r="P23" s="51">
        <v>0.75</v>
      </c>
      <c r="Q23" s="51">
        <v>4.87</v>
      </c>
    </row>
    <row r="24" spans="1:17" customFormat="1">
      <c r="A24" s="50" t="s">
        <v>482</v>
      </c>
      <c r="B24" s="51">
        <v>3.48</v>
      </c>
      <c r="C24" s="51">
        <v>25.75</v>
      </c>
      <c r="D24" s="51">
        <v>17.59</v>
      </c>
      <c r="E24" s="51">
        <v>9.64</v>
      </c>
      <c r="F24" s="51">
        <v>7.88</v>
      </c>
      <c r="G24" s="51">
        <v>110.59</v>
      </c>
      <c r="H24" s="51">
        <v>58.67</v>
      </c>
      <c r="I24" s="51">
        <v>8.57</v>
      </c>
      <c r="J24" s="51">
        <v>0.25</v>
      </c>
      <c r="K24" s="51">
        <v>332.76</v>
      </c>
      <c r="L24" s="51">
        <v>27.44</v>
      </c>
      <c r="M24" s="51">
        <v>49.27</v>
      </c>
      <c r="N24" s="51">
        <v>76.099999999999994</v>
      </c>
      <c r="O24" s="51">
        <v>0</v>
      </c>
      <c r="P24" s="51">
        <v>0.75</v>
      </c>
      <c r="Q24" s="51">
        <v>4.87</v>
      </c>
    </row>
    <row r="25" spans="1:17" customFormat="1">
      <c r="A25" s="50" t="s">
        <v>483</v>
      </c>
      <c r="B25" s="51">
        <v>4.0199999999999996</v>
      </c>
      <c r="C25" s="51">
        <v>30.56</v>
      </c>
      <c r="D25" s="51">
        <v>20.54</v>
      </c>
      <c r="E25" s="51">
        <v>9.76</v>
      </c>
      <c r="F25" s="51">
        <v>6.62</v>
      </c>
      <c r="G25" s="51">
        <v>122.01</v>
      </c>
      <c r="H25" s="51">
        <v>61.48</v>
      </c>
      <c r="I25" s="51">
        <v>8.57</v>
      </c>
      <c r="J25" s="51">
        <v>0.3</v>
      </c>
      <c r="K25" s="51">
        <v>59.12</v>
      </c>
      <c r="L25" s="51">
        <v>26.46</v>
      </c>
      <c r="M25" s="51">
        <v>49</v>
      </c>
      <c r="N25" s="51">
        <v>32.200000000000003</v>
      </c>
      <c r="O25" s="51">
        <v>0</v>
      </c>
      <c r="P25" s="51">
        <v>0.81</v>
      </c>
      <c r="Q25" s="51">
        <v>4.8499999999999996</v>
      </c>
    </row>
    <row r="26" spans="1:17" customFormat="1">
      <c r="A26" s="50" t="s">
        <v>484</v>
      </c>
      <c r="B26" s="51">
        <v>4.28</v>
      </c>
      <c r="C26" s="51">
        <v>38.799999999999997</v>
      </c>
      <c r="D26" s="51">
        <v>24.88</v>
      </c>
      <c r="E26" s="51">
        <v>9.34</v>
      </c>
      <c r="F26" s="51">
        <v>3.59</v>
      </c>
      <c r="G26" s="51">
        <v>214.75</v>
      </c>
      <c r="H26" s="51">
        <v>69.180000000000007</v>
      </c>
      <c r="I26" s="51">
        <v>9.1300000000000008</v>
      </c>
      <c r="J26" s="51">
        <v>0.25</v>
      </c>
      <c r="K26" s="51">
        <v>157.82</v>
      </c>
      <c r="L26" s="51">
        <v>24.63</v>
      </c>
      <c r="M26" s="51">
        <v>64.94</v>
      </c>
      <c r="N26" s="51">
        <v>0</v>
      </c>
      <c r="O26" s="51">
        <v>0</v>
      </c>
      <c r="P26" s="51">
        <v>0.93</v>
      </c>
      <c r="Q26" s="51">
        <v>4.8899999999999997</v>
      </c>
    </row>
    <row r="27" spans="1:17" customFormat="1">
      <c r="A27" s="50" t="s">
        <v>485</v>
      </c>
      <c r="B27" s="51">
        <v>5.04</v>
      </c>
      <c r="C27" s="51">
        <v>36.42</v>
      </c>
      <c r="D27" s="51">
        <v>23.84</v>
      </c>
      <c r="E27" s="51">
        <v>5.04</v>
      </c>
      <c r="F27" s="51">
        <v>3.11</v>
      </c>
      <c r="G27" s="51">
        <v>214.75</v>
      </c>
      <c r="H27" s="51">
        <v>73.83</v>
      </c>
      <c r="I27" s="51">
        <v>10.18</v>
      </c>
      <c r="J27" s="51">
        <v>0.25</v>
      </c>
      <c r="K27" s="51">
        <v>175.45</v>
      </c>
      <c r="L27" s="51">
        <v>21.72</v>
      </c>
      <c r="M27" s="51">
        <v>76.39</v>
      </c>
      <c r="N27" s="51">
        <v>0</v>
      </c>
      <c r="O27" s="51">
        <v>0</v>
      </c>
      <c r="P27" s="51">
        <v>0.96</v>
      </c>
      <c r="Q27" s="51">
        <v>4.87</v>
      </c>
    </row>
    <row r="28" spans="1:17" customFormat="1">
      <c r="A28" s="50" t="s">
        <v>486</v>
      </c>
      <c r="B28" s="51">
        <v>5.88</v>
      </c>
      <c r="C28" s="51">
        <v>34.07</v>
      </c>
      <c r="D28" s="51">
        <v>23.71</v>
      </c>
      <c r="E28" s="51">
        <v>5.22</v>
      </c>
      <c r="F28" s="51">
        <v>2.63</v>
      </c>
      <c r="G28" s="51">
        <v>185.43</v>
      </c>
      <c r="H28" s="51">
        <v>76.569999999999993</v>
      </c>
      <c r="I28" s="51">
        <v>10.93</v>
      </c>
      <c r="J28" s="51">
        <v>0.16</v>
      </c>
      <c r="K28" s="51">
        <v>199.28</v>
      </c>
      <c r="L28" s="51">
        <v>19.829999999999998</v>
      </c>
      <c r="M28" s="51">
        <v>82.39</v>
      </c>
      <c r="N28" s="51">
        <v>0</v>
      </c>
      <c r="O28" s="51">
        <v>0</v>
      </c>
      <c r="P28" s="51">
        <v>1.08</v>
      </c>
      <c r="Q28" s="51">
        <v>4.95</v>
      </c>
    </row>
    <row r="29" spans="1:17" customFormat="1">
      <c r="A29" s="50" t="s">
        <v>487</v>
      </c>
      <c r="B29" s="51">
        <v>6.09</v>
      </c>
      <c r="C29" s="51">
        <v>32.479999999999997</v>
      </c>
      <c r="D29" s="51">
        <v>23.15</v>
      </c>
      <c r="E29" s="51">
        <v>4.96</v>
      </c>
      <c r="F29" s="51">
        <v>2.94</v>
      </c>
      <c r="G29" s="51">
        <v>169.52</v>
      </c>
      <c r="H29" s="51">
        <v>76.67</v>
      </c>
      <c r="I29" s="51">
        <v>11.64</v>
      </c>
      <c r="J29" s="51">
        <v>0.18</v>
      </c>
      <c r="K29" s="51">
        <v>188.84</v>
      </c>
      <c r="L29" s="51">
        <v>18.399999999999999</v>
      </c>
      <c r="M29" s="51">
        <v>85.41</v>
      </c>
      <c r="N29" s="51">
        <v>0</v>
      </c>
      <c r="O29" s="51">
        <v>0</v>
      </c>
      <c r="P29" s="51">
        <v>1.1100000000000001</v>
      </c>
      <c r="Q29" s="51">
        <v>4.95</v>
      </c>
    </row>
    <row r="30" spans="1:17" customFormat="1">
      <c r="A30" s="50" t="s">
        <v>488</v>
      </c>
      <c r="B30" s="51">
        <v>8.09</v>
      </c>
      <c r="C30" s="51">
        <v>30.25</v>
      </c>
      <c r="D30" s="51">
        <v>23.65</v>
      </c>
      <c r="E30" s="51">
        <v>4.96</v>
      </c>
      <c r="F30" s="51">
        <v>2.6</v>
      </c>
      <c r="G30" s="51">
        <v>140.6</v>
      </c>
      <c r="H30" s="51">
        <v>77.099999999999994</v>
      </c>
      <c r="I30" s="51">
        <v>11.89</v>
      </c>
      <c r="J30" s="51">
        <v>0.2</v>
      </c>
      <c r="K30" s="51">
        <v>207.89</v>
      </c>
      <c r="L30" s="51">
        <v>18.100000000000001</v>
      </c>
      <c r="M30" s="51">
        <v>88.84</v>
      </c>
      <c r="N30" s="51">
        <v>0</v>
      </c>
      <c r="O30" s="51">
        <v>0</v>
      </c>
      <c r="P30" s="51">
        <v>1.1499999999999999</v>
      </c>
      <c r="Q30" s="51">
        <v>4.9400000000000004</v>
      </c>
    </row>
    <row r="31" spans="1:17" customFormat="1">
      <c r="A31" s="50" t="s">
        <v>489</v>
      </c>
      <c r="B31" s="51">
        <v>8.4499999999999993</v>
      </c>
      <c r="C31" s="51">
        <v>29.69</v>
      </c>
      <c r="D31" s="51">
        <v>23.64</v>
      </c>
      <c r="E31" s="51">
        <v>4.9000000000000004</v>
      </c>
      <c r="F31" s="51">
        <v>2.71</v>
      </c>
      <c r="G31" s="51">
        <v>141.22999999999999</v>
      </c>
      <c r="H31" s="51">
        <v>77.099999999999994</v>
      </c>
      <c r="I31" s="51">
        <v>12.06</v>
      </c>
      <c r="J31" s="51">
        <v>0.17</v>
      </c>
      <c r="K31" s="51">
        <v>203.37</v>
      </c>
      <c r="L31" s="51">
        <v>17.170000000000002</v>
      </c>
      <c r="M31" s="51">
        <v>90.25</v>
      </c>
      <c r="N31" s="51">
        <v>0</v>
      </c>
      <c r="O31" s="51">
        <v>0</v>
      </c>
      <c r="P31" s="51">
        <v>1.1599999999999999</v>
      </c>
      <c r="Q31" s="51">
        <v>4.96</v>
      </c>
    </row>
    <row r="32" spans="1:17" customFormat="1">
      <c r="A32" s="50" t="s">
        <v>490</v>
      </c>
      <c r="B32" s="51">
        <v>8.07</v>
      </c>
      <c r="C32" s="51">
        <v>29.66</v>
      </c>
      <c r="D32" s="51">
        <v>23.02</v>
      </c>
      <c r="E32" s="51">
        <v>5.16</v>
      </c>
      <c r="F32" s="51">
        <v>2.78</v>
      </c>
      <c r="G32" s="51">
        <v>141.22999999999999</v>
      </c>
      <c r="H32" s="51">
        <v>76.27</v>
      </c>
      <c r="I32" s="51">
        <v>12.11</v>
      </c>
      <c r="J32" s="51">
        <v>0.18</v>
      </c>
      <c r="K32" s="51">
        <v>245.48</v>
      </c>
      <c r="L32" s="51">
        <v>17.04</v>
      </c>
      <c r="M32" s="51">
        <v>90.65</v>
      </c>
      <c r="N32" s="51">
        <v>0</v>
      </c>
      <c r="O32" s="51">
        <v>0</v>
      </c>
      <c r="P32" s="51">
        <v>1.1599999999999999</v>
      </c>
      <c r="Q32" s="51">
        <v>4.96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2.7</v>
      </c>
      <c r="C34" s="41">
        <f t="shared" si="0"/>
        <v>21.72</v>
      </c>
      <c r="D34" s="41">
        <f t="shared" si="0"/>
        <v>14.57</v>
      </c>
      <c r="E34" s="41">
        <f t="shared" si="0"/>
        <v>4.9000000000000004</v>
      </c>
      <c r="F34" s="41">
        <f t="shared" si="0"/>
        <v>2.4700000000000002</v>
      </c>
      <c r="G34" s="41">
        <f t="shared" si="0"/>
        <v>97.78</v>
      </c>
      <c r="H34" s="41">
        <f t="shared" si="0"/>
        <v>54.87</v>
      </c>
      <c r="I34" s="41">
        <f t="shared" si="0"/>
        <v>8.57</v>
      </c>
      <c r="J34" s="41">
        <f t="shared" si="0"/>
        <v>0.13</v>
      </c>
      <c r="K34" s="41">
        <f t="shared" si="0"/>
        <v>59.12</v>
      </c>
      <c r="L34" s="41">
        <f t="shared" si="0"/>
        <v>14.68</v>
      </c>
      <c r="M34" s="41">
        <f t="shared" si="0"/>
        <v>42.72</v>
      </c>
      <c r="N34" s="41">
        <f t="shared" si="0"/>
        <v>0</v>
      </c>
      <c r="O34" s="41">
        <f t="shared" si="0"/>
        <v>0</v>
      </c>
      <c r="P34" s="41">
        <f t="shared" si="0"/>
        <v>0.75</v>
      </c>
      <c r="Q34" s="41">
        <f t="shared" si="0"/>
        <v>4.8499999999999996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38.5</v>
      </c>
      <c r="C35" s="33">
        <f t="shared" si="1"/>
        <v>38.799999999999997</v>
      </c>
      <c r="D35" s="33">
        <f t="shared" si="1"/>
        <v>51</v>
      </c>
      <c r="E35" s="33">
        <f t="shared" si="1"/>
        <v>10.19</v>
      </c>
      <c r="F35" s="33">
        <f t="shared" si="1"/>
        <v>10.46</v>
      </c>
      <c r="G35" s="33">
        <f t="shared" si="1"/>
        <v>214.75</v>
      </c>
      <c r="H35" s="33">
        <f t="shared" si="1"/>
        <v>77.099999999999994</v>
      </c>
      <c r="I35" s="33">
        <f t="shared" si="1"/>
        <v>13.54</v>
      </c>
      <c r="J35" s="33">
        <f t="shared" si="1"/>
        <v>0.57999999999999996</v>
      </c>
      <c r="K35" s="33">
        <f t="shared" si="1"/>
        <v>339.87</v>
      </c>
      <c r="L35" s="33">
        <f t="shared" si="1"/>
        <v>28.14</v>
      </c>
      <c r="M35" s="33">
        <f t="shared" si="1"/>
        <v>97.04</v>
      </c>
      <c r="N35" s="33">
        <f t="shared" si="1"/>
        <v>432.3</v>
      </c>
      <c r="O35" s="33">
        <f t="shared" si="1"/>
        <v>0</v>
      </c>
      <c r="P35" s="33">
        <f t="shared" si="1"/>
        <v>1.33</v>
      </c>
      <c r="Q35" s="33">
        <f t="shared" si="1"/>
        <v>5.43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14.744583333333331</v>
      </c>
      <c r="C36" s="41">
        <f t="shared" si="2"/>
        <v>31.03458333333333</v>
      </c>
      <c r="D36" s="41">
        <f t="shared" si="2"/>
        <v>29.279583333333331</v>
      </c>
      <c r="E36" s="41">
        <f t="shared" si="2"/>
        <v>6.9404166666666667</v>
      </c>
      <c r="F36" s="41">
        <f t="shared" si="2"/>
        <v>4.126666666666666</v>
      </c>
      <c r="G36" s="41">
        <f t="shared" si="2"/>
        <v>141.20625000000001</v>
      </c>
      <c r="H36" s="41">
        <f t="shared" si="2"/>
        <v>70.91249999999998</v>
      </c>
      <c r="I36" s="41">
        <f t="shared" si="2"/>
        <v>11.725833333333334</v>
      </c>
      <c r="J36" s="41">
        <f t="shared" si="2"/>
        <v>0.23833333333333329</v>
      </c>
      <c r="K36" s="41">
        <f t="shared" si="2"/>
        <v>218.77208333333331</v>
      </c>
      <c r="L36" s="41">
        <f t="shared" si="2"/>
        <v>20.727499999999999</v>
      </c>
      <c r="M36" s="41">
        <f t="shared" si="2"/>
        <v>76.701250000000016</v>
      </c>
      <c r="N36" s="41">
        <f t="shared" si="2"/>
        <v>98.408333333333317</v>
      </c>
      <c r="O36" s="41">
        <f t="shared" si="2"/>
        <v>0</v>
      </c>
      <c r="P36" s="41">
        <f t="shared" si="2"/>
        <v>1.0945833333333332</v>
      </c>
      <c r="Q36" s="41">
        <f t="shared" si="2"/>
        <v>5.046666666666666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11.850429813950312</v>
      </c>
      <c r="C37" s="41">
        <f t="shared" ref="C37:Q37" si="3">STDEV(C9:C32)</f>
        <v>4.3005914448320572</v>
      </c>
      <c r="D37" s="41">
        <f t="shared" si="3"/>
        <v>10.87165539939474</v>
      </c>
      <c r="E37" s="41">
        <f t="shared" si="3"/>
        <v>1.8959097372723357</v>
      </c>
      <c r="F37" s="41">
        <f t="shared" si="3"/>
        <v>2.4015278952958394</v>
      </c>
      <c r="G37" s="41">
        <f t="shared" si="3"/>
        <v>32.09690311656118</v>
      </c>
      <c r="H37" s="41">
        <f t="shared" si="3"/>
        <v>6.1991389654569078</v>
      </c>
      <c r="I37" s="41">
        <f t="shared" si="3"/>
        <v>1.7827968175744606</v>
      </c>
      <c r="J37" s="41">
        <f t="shared" si="3"/>
        <v>0.10556953886529911</v>
      </c>
      <c r="K37" s="41">
        <f t="shared" si="3"/>
        <v>68.416481359084628</v>
      </c>
      <c r="L37" s="41">
        <f t="shared" si="3"/>
        <v>4.8950074388183502</v>
      </c>
      <c r="M37" s="41">
        <f t="shared" si="3"/>
        <v>19.727223589331519</v>
      </c>
      <c r="N37" s="41">
        <f t="shared" si="3"/>
        <v>155.58174956305589</v>
      </c>
      <c r="O37" s="41">
        <f t="shared" si="3"/>
        <v>0</v>
      </c>
      <c r="P37" s="41">
        <f t="shared" si="3"/>
        <v>0.179176356327132</v>
      </c>
      <c r="Q37" s="41">
        <f t="shared" si="3"/>
        <v>0.17583754030273466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491</v>
      </c>
      <c r="B9" s="51">
        <v>8.4600000000000009</v>
      </c>
      <c r="C9" s="51">
        <v>29.16</v>
      </c>
      <c r="D9" s="51">
        <v>22.93</v>
      </c>
      <c r="E9" s="51">
        <v>5.09</v>
      </c>
      <c r="F9" s="51">
        <v>2.65</v>
      </c>
      <c r="G9" s="51">
        <v>125.83</v>
      </c>
      <c r="H9" s="51">
        <v>74.47</v>
      </c>
      <c r="I9" s="51">
        <v>11.97</v>
      </c>
      <c r="J9" s="51">
        <v>0.14000000000000001</v>
      </c>
      <c r="K9" s="51">
        <v>234.4</v>
      </c>
      <c r="L9" s="51">
        <v>16.329999999999998</v>
      </c>
      <c r="M9" s="51">
        <v>92.56</v>
      </c>
      <c r="N9" s="51">
        <v>0</v>
      </c>
      <c r="O9" s="51">
        <v>0</v>
      </c>
      <c r="P9" s="51">
        <v>1.1399999999999999</v>
      </c>
      <c r="Q9" s="51">
        <v>4.95</v>
      </c>
    </row>
    <row r="10" spans="1:21" customFormat="1">
      <c r="A10" s="50" t="s">
        <v>492</v>
      </c>
      <c r="B10" s="51">
        <v>10.32</v>
      </c>
      <c r="C10" s="51">
        <v>29.13</v>
      </c>
      <c r="D10" s="51">
        <v>24.84</v>
      </c>
      <c r="E10" s="51">
        <v>5.15</v>
      </c>
      <c r="F10" s="51">
        <v>2.61</v>
      </c>
      <c r="G10" s="51">
        <v>125.83</v>
      </c>
      <c r="H10" s="51">
        <v>71.95</v>
      </c>
      <c r="I10" s="51">
        <v>11.8</v>
      </c>
      <c r="J10" s="51">
        <v>0.11</v>
      </c>
      <c r="K10" s="51">
        <v>209.4</v>
      </c>
      <c r="L10" s="51">
        <v>16.13</v>
      </c>
      <c r="M10" s="51">
        <v>93.17</v>
      </c>
      <c r="N10" s="51">
        <v>0</v>
      </c>
      <c r="O10" s="51">
        <v>0</v>
      </c>
      <c r="P10" s="51">
        <v>1.1100000000000001</v>
      </c>
      <c r="Q10" s="51">
        <v>4.91</v>
      </c>
    </row>
    <row r="11" spans="1:21" customFormat="1">
      <c r="A11" s="50" t="s">
        <v>493</v>
      </c>
      <c r="B11" s="51">
        <v>22.59</v>
      </c>
      <c r="C11" s="51">
        <v>34.33</v>
      </c>
      <c r="D11" s="51">
        <v>37.4</v>
      </c>
      <c r="E11" s="51">
        <v>6.95</v>
      </c>
      <c r="F11" s="51">
        <v>2.56</v>
      </c>
      <c r="G11" s="51">
        <v>125.14</v>
      </c>
      <c r="H11" s="51">
        <v>67.53</v>
      </c>
      <c r="I11" s="51">
        <v>11.62</v>
      </c>
      <c r="J11" s="51">
        <v>0.15</v>
      </c>
      <c r="K11" s="51">
        <v>90.38</v>
      </c>
      <c r="L11" s="51">
        <v>15.94</v>
      </c>
      <c r="M11" s="51">
        <v>92.14</v>
      </c>
      <c r="N11" s="51">
        <v>0</v>
      </c>
      <c r="O11" s="51">
        <v>0</v>
      </c>
      <c r="P11" s="51">
        <v>1.0900000000000001</v>
      </c>
      <c r="Q11" s="51">
        <v>5.1100000000000003</v>
      </c>
    </row>
    <row r="12" spans="1:21" customFormat="1">
      <c r="A12" s="50" t="s">
        <v>494</v>
      </c>
      <c r="B12" s="51">
        <v>23.06</v>
      </c>
      <c r="C12" s="51">
        <v>35.47</v>
      </c>
      <c r="D12" s="51">
        <v>38.04</v>
      </c>
      <c r="E12" s="51">
        <v>7.11</v>
      </c>
      <c r="F12" s="51">
        <v>2.7</v>
      </c>
      <c r="G12" s="51">
        <v>136.44</v>
      </c>
      <c r="H12" s="51">
        <v>69.59</v>
      </c>
      <c r="I12" s="51">
        <v>11.94</v>
      </c>
      <c r="J12" s="51">
        <v>0.25</v>
      </c>
      <c r="K12" s="51">
        <v>93.87</v>
      </c>
      <c r="L12" s="51">
        <v>16.079999999999998</v>
      </c>
      <c r="M12" s="51">
        <v>89.31</v>
      </c>
      <c r="N12" s="51">
        <v>0</v>
      </c>
      <c r="O12" s="51">
        <v>0</v>
      </c>
      <c r="P12" s="51">
        <v>1.08</v>
      </c>
      <c r="Q12" s="51">
        <v>5.13</v>
      </c>
    </row>
    <row r="13" spans="1:21" customFormat="1">
      <c r="A13" s="50" t="s">
        <v>495</v>
      </c>
      <c r="B13" s="51">
        <v>21.75</v>
      </c>
      <c r="C13" s="51">
        <v>31.52</v>
      </c>
      <c r="D13" s="51">
        <v>35.020000000000003</v>
      </c>
      <c r="E13" s="51">
        <v>6.34</v>
      </c>
      <c r="F13" s="51">
        <v>2.91</v>
      </c>
      <c r="G13" s="51">
        <v>136.44</v>
      </c>
      <c r="H13" s="51">
        <v>73.19</v>
      </c>
      <c r="I13" s="51">
        <v>12.13</v>
      </c>
      <c r="J13" s="51">
        <v>0.15</v>
      </c>
      <c r="K13" s="51">
        <v>206.79</v>
      </c>
      <c r="L13" s="51">
        <v>15.85</v>
      </c>
      <c r="M13" s="51">
        <v>92.97</v>
      </c>
      <c r="N13" s="51">
        <v>0</v>
      </c>
      <c r="O13" s="51">
        <v>0</v>
      </c>
      <c r="P13" s="51">
        <v>1.06</v>
      </c>
      <c r="Q13" s="51">
        <v>5.1100000000000003</v>
      </c>
    </row>
    <row r="14" spans="1:21" customFormat="1">
      <c r="A14" s="50" t="s">
        <v>496</v>
      </c>
      <c r="B14" s="51">
        <v>19.690000000000001</v>
      </c>
      <c r="C14" s="51">
        <v>30.61</v>
      </c>
      <c r="D14" s="51">
        <v>33.130000000000003</v>
      </c>
      <c r="E14" s="51">
        <v>6.42</v>
      </c>
      <c r="F14" s="51">
        <v>2.6</v>
      </c>
      <c r="G14" s="51">
        <v>136.03</v>
      </c>
      <c r="H14" s="51">
        <v>73.25</v>
      </c>
      <c r="I14" s="51">
        <v>12.15</v>
      </c>
      <c r="J14" s="51">
        <v>0.12</v>
      </c>
      <c r="K14" s="51">
        <v>254.45</v>
      </c>
      <c r="L14" s="51">
        <v>14.79</v>
      </c>
      <c r="M14" s="51">
        <v>96.28</v>
      </c>
      <c r="N14" s="51">
        <v>0</v>
      </c>
      <c r="O14" s="51">
        <v>0</v>
      </c>
      <c r="P14" s="51">
        <v>1.03</v>
      </c>
      <c r="Q14" s="51">
        <v>5.1100000000000003</v>
      </c>
    </row>
    <row r="15" spans="1:21" customFormat="1">
      <c r="A15" s="50" t="s">
        <v>497</v>
      </c>
      <c r="B15" s="51">
        <v>19.510000000000002</v>
      </c>
      <c r="C15" s="51">
        <v>27.99</v>
      </c>
      <c r="D15" s="51">
        <v>31.59</v>
      </c>
      <c r="E15" s="51">
        <v>6.54</v>
      </c>
      <c r="F15" s="51">
        <v>2.58</v>
      </c>
      <c r="G15" s="51">
        <v>128.22</v>
      </c>
      <c r="H15" s="51">
        <v>73.25</v>
      </c>
      <c r="I15" s="51">
        <v>11.98</v>
      </c>
      <c r="J15" s="51">
        <v>0.14000000000000001</v>
      </c>
      <c r="K15" s="51">
        <v>268.76</v>
      </c>
      <c r="L15" s="51">
        <v>14.39</v>
      </c>
      <c r="M15" s="51">
        <v>96.54</v>
      </c>
      <c r="N15" s="51">
        <v>3.6</v>
      </c>
      <c r="O15" s="51">
        <v>0</v>
      </c>
      <c r="P15" s="51">
        <v>0.98</v>
      </c>
      <c r="Q15" s="51">
        <v>5.09</v>
      </c>
    </row>
    <row r="16" spans="1:21" customFormat="1">
      <c r="A16" s="50" t="s">
        <v>498</v>
      </c>
      <c r="B16" s="51">
        <v>26.39</v>
      </c>
      <c r="C16" s="51">
        <v>32.08</v>
      </c>
      <c r="D16" s="51">
        <v>39.28</v>
      </c>
      <c r="E16" s="51">
        <v>6.48</v>
      </c>
      <c r="F16" s="51">
        <v>2.5499999999999998</v>
      </c>
      <c r="G16" s="51">
        <v>125.71</v>
      </c>
      <c r="H16" s="51">
        <v>68.78</v>
      </c>
      <c r="I16" s="51">
        <v>11.96</v>
      </c>
      <c r="J16" s="51">
        <v>0.32</v>
      </c>
      <c r="K16" s="51">
        <v>58.68</v>
      </c>
      <c r="L16" s="51">
        <v>16.41</v>
      </c>
      <c r="M16" s="51">
        <v>94.76</v>
      </c>
      <c r="N16" s="51">
        <v>51</v>
      </c>
      <c r="O16" s="51">
        <v>0</v>
      </c>
      <c r="P16" s="51">
        <v>1</v>
      </c>
      <c r="Q16" s="51">
        <v>5.2</v>
      </c>
    </row>
    <row r="17" spans="1:17" customFormat="1">
      <c r="A17" s="50" t="s">
        <v>499</v>
      </c>
      <c r="B17" s="51">
        <v>26.35</v>
      </c>
      <c r="C17" s="51">
        <v>36.590000000000003</v>
      </c>
      <c r="D17" s="51">
        <v>40.81</v>
      </c>
      <c r="E17" s="51">
        <v>6.92</v>
      </c>
      <c r="F17" s="51">
        <v>2.69</v>
      </c>
      <c r="G17" s="51">
        <v>148.25</v>
      </c>
      <c r="H17" s="51">
        <v>69.790000000000006</v>
      </c>
      <c r="I17" s="51">
        <v>12.37</v>
      </c>
      <c r="J17" s="51">
        <v>0.46</v>
      </c>
      <c r="K17" s="51">
        <v>59.12</v>
      </c>
      <c r="L17" s="51">
        <v>19.02</v>
      </c>
      <c r="M17" s="51">
        <v>83.17</v>
      </c>
      <c r="N17" s="51">
        <v>174.8</v>
      </c>
      <c r="O17" s="51">
        <v>0</v>
      </c>
      <c r="P17" s="51">
        <v>1.04</v>
      </c>
      <c r="Q17" s="51">
        <v>5.23</v>
      </c>
    </row>
    <row r="18" spans="1:17" customFormat="1">
      <c r="A18" s="50" t="s">
        <v>500</v>
      </c>
      <c r="B18" s="51">
        <v>23.51</v>
      </c>
      <c r="C18" s="51">
        <v>34.81</v>
      </c>
      <c r="D18" s="51">
        <v>38.39</v>
      </c>
      <c r="E18" s="51">
        <v>7.24</v>
      </c>
      <c r="F18" s="51">
        <v>2.77</v>
      </c>
      <c r="G18" s="51">
        <v>148.25</v>
      </c>
      <c r="H18" s="51">
        <v>70.540000000000006</v>
      </c>
      <c r="I18" s="51">
        <v>12.43</v>
      </c>
      <c r="J18" s="51">
        <v>0.45</v>
      </c>
      <c r="K18" s="51">
        <v>56.15</v>
      </c>
      <c r="L18" s="51">
        <v>21.75</v>
      </c>
      <c r="M18" s="51">
        <v>70.319999999999993</v>
      </c>
      <c r="N18" s="51">
        <v>182.6</v>
      </c>
      <c r="O18" s="51">
        <v>0</v>
      </c>
      <c r="P18" s="51">
        <v>1.03</v>
      </c>
      <c r="Q18" s="51">
        <v>5.2</v>
      </c>
    </row>
    <row r="19" spans="1:17" customFormat="1">
      <c r="A19" s="50" t="s">
        <v>501</v>
      </c>
      <c r="B19" s="51">
        <v>18.91</v>
      </c>
      <c r="C19" s="51">
        <v>34.75</v>
      </c>
      <c r="D19" s="51">
        <v>34.67</v>
      </c>
      <c r="E19" s="51">
        <v>7</v>
      </c>
      <c r="F19" s="51">
        <v>3.13</v>
      </c>
      <c r="G19" s="51">
        <v>130</v>
      </c>
      <c r="H19" s="51">
        <v>70.540000000000006</v>
      </c>
      <c r="I19" s="51">
        <v>12.26</v>
      </c>
      <c r="J19" s="51">
        <v>0.45</v>
      </c>
      <c r="K19" s="51">
        <v>276.64</v>
      </c>
      <c r="L19" s="51">
        <v>24.52</v>
      </c>
      <c r="M19" s="51">
        <v>60.14</v>
      </c>
      <c r="N19" s="51">
        <v>392</v>
      </c>
      <c r="O19" s="51">
        <v>0</v>
      </c>
      <c r="P19" s="51">
        <v>1.01</v>
      </c>
      <c r="Q19" s="51">
        <v>5.12</v>
      </c>
    </row>
    <row r="20" spans="1:17" customFormat="1">
      <c r="A20" s="50" t="s">
        <v>502</v>
      </c>
      <c r="B20" s="51">
        <v>11.15</v>
      </c>
      <c r="C20" s="51">
        <v>34.53</v>
      </c>
      <c r="D20" s="51">
        <v>28.34</v>
      </c>
      <c r="E20" s="51">
        <v>7.33</v>
      </c>
      <c r="F20" s="51">
        <v>4.0199999999999996</v>
      </c>
      <c r="G20" s="51">
        <v>130</v>
      </c>
      <c r="H20" s="51">
        <v>67.319999999999993</v>
      </c>
      <c r="I20" s="51">
        <v>11.84</v>
      </c>
      <c r="J20" s="51">
        <v>0.28999999999999998</v>
      </c>
      <c r="K20" s="51">
        <v>286.70999999999998</v>
      </c>
      <c r="L20" s="51">
        <v>26.77</v>
      </c>
      <c r="M20" s="51">
        <v>51.67</v>
      </c>
      <c r="N20" s="51">
        <v>423.9</v>
      </c>
      <c r="O20" s="51">
        <v>0</v>
      </c>
      <c r="P20" s="51">
        <v>0.95</v>
      </c>
      <c r="Q20" s="51">
        <v>5</v>
      </c>
    </row>
    <row r="21" spans="1:17" customFormat="1">
      <c r="A21" s="50" t="s">
        <v>503</v>
      </c>
      <c r="B21" s="51">
        <v>5.56</v>
      </c>
      <c r="C21" s="51">
        <v>31.86</v>
      </c>
      <c r="D21" s="51">
        <v>22.45</v>
      </c>
      <c r="E21" s="51">
        <v>7.11</v>
      </c>
      <c r="F21" s="51">
        <v>5.52</v>
      </c>
      <c r="G21" s="51">
        <v>113.57</v>
      </c>
      <c r="H21" s="51">
        <v>64.099999999999994</v>
      </c>
      <c r="I21" s="51">
        <v>11.21</v>
      </c>
      <c r="J21" s="51">
        <v>0.25</v>
      </c>
      <c r="K21" s="51">
        <v>258.36</v>
      </c>
      <c r="L21" s="51">
        <v>27.5</v>
      </c>
      <c r="M21" s="51">
        <v>45.36</v>
      </c>
      <c r="N21" s="51">
        <v>419.4</v>
      </c>
      <c r="O21" s="51">
        <v>0</v>
      </c>
      <c r="P21" s="51">
        <v>0.9</v>
      </c>
      <c r="Q21" s="51">
        <v>4.88</v>
      </c>
    </row>
    <row r="22" spans="1:17" customFormat="1">
      <c r="A22" s="50" t="s">
        <v>504</v>
      </c>
      <c r="B22" s="51">
        <v>4.08</v>
      </c>
      <c r="C22" s="51">
        <v>27.78</v>
      </c>
      <c r="D22" s="51">
        <v>18.920000000000002</v>
      </c>
      <c r="E22" s="51">
        <v>7</v>
      </c>
      <c r="F22" s="51">
        <v>6.01</v>
      </c>
      <c r="G22" s="51">
        <v>96.02</v>
      </c>
      <c r="H22" s="51">
        <v>57.22</v>
      </c>
      <c r="I22" s="51">
        <v>10.45</v>
      </c>
      <c r="J22" s="51">
        <v>0.27</v>
      </c>
      <c r="K22" s="51">
        <v>355.46</v>
      </c>
      <c r="L22" s="51">
        <v>28.07</v>
      </c>
      <c r="M22" s="51">
        <v>41.77</v>
      </c>
      <c r="N22" s="51">
        <v>369.1</v>
      </c>
      <c r="O22" s="51">
        <v>0</v>
      </c>
      <c r="P22" s="51">
        <v>0.82</v>
      </c>
      <c r="Q22" s="51">
        <v>4.82</v>
      </c>
    </row>
    <row r="23" spans="1:17" customFormat="1">
      <c r="A23" s="50" t="s">
        <v>505</v>
      </c>
      <c r="B23" s="51">
        <v>4.12</v>
      </c>
      <c r="C23" s="51">
        <v>22.05</v>
      </c>
      <c r="D23" s="51">
        <v>16.170000000000002</v>
      </c>
      <c r="E23" s="51">
        <v>6.47</v>
      </c>
      <c r="F23" s="51">
        <v>4.63</v>
      </c>
      <c r="G23" s="51">
        <v>81.489999999999995</v>
      </c>
      <c r="H23" s="51">
        <v>52.44</v>
      </c>
      <c r="I23" s="51">
        <v>9.75</v>
      </c>
      <c r="J23" s="51">
        <v>0.52</v>
      </c>
      <c r="K23" s="51">
        <v>288.47000000000003</v>
      </c>
      <c r="L23" s="51">
        <v>27.59</v>
      </c>
      <c r="M23" s="51">
        <v>39.68</v>
      </c>
      <c r="N23" s="51">
        <v>203.5</v>
      </c>
      <c r="O23" s="51">
        <v>0</v>
      </c>
      <c r="P23" s="51">
        <v>0.76</v>
      </c>
      <c r="Q23" s="51">
        <v>4.8499999999999996</v>
      </c>
    </row>
    <row r="24" spans="1:17" customFormat="1">
      <c r="A24" s="50" t="s">
        <v>506</v>
      </c>
      <c r="B24" s="51">
        <v>4.04</v>
      </c>
      <c r="C24" s="51">
        <v>20.260000000000002</v>
      </c>
      <c r="D24" s="51">
        <v>15.15</v>
      </c>
      <c r="E24" s="51">
        <v>6.04</v>
      </c>
      <c r="F24" s="51">
        <v>4.4400000000000004</v>
      </c>
      <c r="G24" s="51">
        <v>103.45</v>
      </c>
      <c r="H24" s="51">
        <v>55.18</v>
      </c>
      <c r="I24" s="51">
        <v>9.35</v>
      </c>
      <c r="J24" s="51">
        <v>0.32</v>
      </c>
      <c r="K24" s="51">
        <v>322.31</v>
      </c>
      <c r="L24" s="51">
        <v>27.27</v>
      </c>
      <c r="M24" s="51">
        <v>42.6</v>
      </c>
      <c r="N24" s="51">
        <v>82.2</v>
      </c>
      <c r="O24" s="51">
        <v>0</v>
      </c>
      <c r="P24" s="51">
        <v>0.75</v>
      </c>
      <c r="Q24" s="51">
        <v>4.9400000000000004</v>
      </c>
    </row>
    <row r="25" spans="1:17" customFormat="1">
      <c r="A25" s="50" t="s">
        <v>507</v>
      </c>
      <c r="B25" s="51">
        <v>4.1900000000000004</v>
      </c>
      <c r="C25" s="51">
        <v>23.07</v>
      </c>
      <c r="D25" s="51">
        <v>16.760000000000002</v>
      </c>
      <c r="E25" s="51">
        <v>6.07</v>
      </c>
      <c r="F25" s="51">
        <v>3.88</v>
      </c>
      <c r="G25" s="51">
        <v>136.82</v>
      </c>
      <c r="H25" s="51">
        <v>58.43</v>
      </c>
      <c r="I25" s="51">
        <v>9.16</v>
      </c>
      <c r="J25" s="51">
        <v>0.27</v>
      </c>
      <c r="K25" s="51">
        <v>168.57</v>
      </c>
      <c r="L25" s="51">
        <v>26.28</v>
      </c>
      <c r="M25" s="51">
        <v>56.82</v>
      </c>
      <c r="N25" s="51">
        <v>33.200000000000003</v>
      </c>
      <c r="O25" s="51">
        <v>0</v>
      </c>
      <c r="P25" s="51">
        <v>0.77</v>
      </c>
      <c r="Q25" s="51">
        <v>4.97</v>
      </c>
    </row>
    <row r="26" spans="1:17" customFormat="1">
      <c r="A26" s="50" t="s">
        <v>508</v>
      </c>
      <c r="B26" s="51">
        <v>4.9000000000000004</v>
      </c>
      <c r="C26" s="51">
        <v>24.98</v>
      </c>
      <c r="D26" s="51">
        <v>18.329999999999998</v>
      </c>
      <c r="E26" s="51">
        <v>6.26</v>
      </c>
      <c r="F26" s="51">
        <v>3.3</v>
      </c>
      <c r="G26" s="51">
        <v>154.16</v>
      </c>
      <c r="H26" s="51">
        <v>62.99</v>
      </c>
      <c r="I26" s="51">
        <v>9.31</v>
      </c>
      <c r="J26" s="51">
        <v>0.24</v>
      </c>
      <c r="K26" s="51">
        <v>182.7</v>
      </c>
      <c r="L26" s="51">
        <v>23.65</v>
      </c>
      <c r="M26" s="51">
        <v>73.36</v>
      </c>
      <c r="N26" s="51">
        <v>0</v>
      </c>
      <c r="O26" s="51">
        <v>0</v>
      </c>
      <c r="P26" s="51">
        <v>0.83</v>
      </c>
      <c r="Q26" s="51">
        <v>4.95</v>
      </c>
    </row>
    <row r="27" spans="1:17" customFormat="1">
      <c r="A27" s="50" t="s">
        <v>509</v>
      </c>
      <c r="B27" s="51">
        <v>5.01</v>
      </c>
      <c r="C27" s="51">
        <v>27.48</v>
      </c>
      <c r="D27" s="51">
        <v>19.72</v>
      </c>
      <c r="E27" s="51">
        <v>8.83</v>
      </c>
      <c r="F27" s="51">
        <v>3.27</v>
      </c>
      <c r="G27" s="51">
        <v>162.27000000000001</v>
      </c>
      <c r="H27" s="51">
        <v>65.72</v>
      </c>
      <c r="I27" s="51">
        <v>9.82</v>
      </c>
      <c r="J27" s="51">
        <v>0.21</v>
      </c>
      <c r="K27" s="51">
        <v>171.98</v>
      </c>
      <c r="L27" s="51">
        <v>20.96</v>
      </c>
      <c r="M27" s="51">
        <v>80.64</v>
      </c>
      <c r="N27" s="51">
        <v>0</v>
      </c>
      <c r="O27" s="51">
        <v>0</v>
      </c>
      <c r="P27" s="51">
        <v>0.94</v>
      </c>
      <c r="Q27" s="51">
        <v>4.99</v>
      </c>
    </row>
    <row r="28" spans="1:17" customFormat="1">
      <c r="A28" s="50" t="s">
        <v>510</v>
      </c>
      <c r="B28" s="51">
        <v>5.31</v>
      </c>
      <c r="C28" s="51">
        <v>28.57</v>
      </c>
      <c r="D28" s="51">
        <v>20.54</v>
      </c>
      <c r="E28" s="51">
        <v>8.86</v>
      </c>
      <c r="F28" s="51">
        <v>3.11</v>
      </c>
      <c r="G28" s="51">
        <v>162.27000000000001</v>
      </c>
      <c r="H28" s="51">
        <v>69.180000000000007</v>
      </c>
      <c r="I28" s="51">
        <v>10.31</v>
      </c>
      <c r="J28" s="51">
        <v>0.18</v>
      </c>
      <c r="K28" s="51">
        <v>199.66</v>
      </c>
      <c r="L28" s="51">
        <v>19.61</v>
      </c>
      <c r="M28" s="51">
        <v>84.79</v>
      </c>
      <c r="N28" s="51">
        <v>0</v>
      </c>
      <c r="O28" s="51">
        <v>0</v>
      </c>
      <c r="P28" s="51">
        <v>1</v>
      </c>
      <c r="Q28" s="51">
        <v>4.97</v>
      </c>
    </row>
    <row r="29" spans="1:17" customFormat="1">
      <c r="A29" s="50" t="s">
        <v>511</v>
      </c>
      <c r="B29" s="51">
        <v>9.3000000000000007</v>
      </c>
      <c r="C29" s="51">
        <v>33.25</v>
      </c>
      <c r="D29" s="51">
        <v>26.18</v>
      </c>
      <c r="E29" s="51">
        <v>9.1199999999999992</v>
      </c>
      <c r="F29" s="51">
        <v>2.65</v>
      </c>
      <c r="G29" s="51">
        <v>163.58000000000001</v>
      </c>
      <c r="H29" s="51">
        <v>69.39</v>
      </c>
      <c r="I29" s="51">
        <v>10.89</v>
      </c>
      <c r="J29" s="51">
        <v>0.14000000000000001</v>
      </c>
      <c r="K29" s="51">
        <v>217.32</v>
      </c>
      <c r="L29" s="51">
        <v>18.86</v>
      </c>
      <c r="M29" s="51">
        <v>86.43</v>
      </c>
      <c r="N29" s="51">
        <v>0</v>
      </c>
      <c r="O29" s="51">
        <v>0</v>
      </c>
      <c r="P29" s="51">
        <v>1.0900000000000001</v>
      </c>
      <c r="Q29" s="51">
        <v>4.9800000000000004</v>
      </c>
    </row>
    <row r="30" spans="1:17" customFormat="1">
      <c r="A30" s="50" t="s">
        <v>512</v>
      </c>
      <c r="B30" s="51">
        <v>11.39</v>
      </c>
      <c r="C30" s="51">
        <v>34.97</v>
      </c>
      <c r="D30" s="51">
        <v>28.76</v>
      </c>
      <c r="E30" s="51">
        <v>8.91</v>
      </c>
      <c r="F30" s="51">
        <v>2.6</v>
      </c>
      <c r="G30" s="51">
        <v>163.58000000000001</v>
      </c>
      <c r="H30" s="51">
        <v>72.7</v>
      </c>
      <c r="I30" s="51">
        <v>11.28</v>
      </c>
      <c r="J30" s="51">
        <v>0.17</v>
      </c>
      <c r="K30" s="51">
        <v>209.56</v>
      </c>
      <c r="L30" s="51">
        <v>18.079999999999998</v>
      </c>
      <c r="M30" s="51">
        <v>88.86</v>
      </c>
      <c r="N30" s="51">
        <v>0</v>
      </c>
      <c r="O30" s="51">
        <v>0</v>
      </c>
      <c r="P30" s="51">
        <v>1.1299999999999999</v>
      </c>
      <c r="Q30" s="51">
        <v>4.97</v>
      </c>
    </row>
    <row r="31" spans="1:17" customFormat="1">
      <c r="A31" s="50" t="s">
        <v>513</v>
      </c>
      <c r="B31" s="51">
        <v>16.829999999999998</v>
      </c>
      <c r="C31" s="51">
        <v>36.07</v>
      </c>
      <c r="D31" s="51">
        <v>33.69</v>
      </c>
      <c r="E31" s="51">
        <v>9.0399999999999991</v>
      </c>
      <c r="F31" s="51">
        <v>2.6</v>
      </c>
      <c r="G31" s="51">
        <v>160.33000000000001</v>
      </c>
      <c r="H31" s="51">
        <v>72.7</v>
      </c>
      <c r="I31" s="51">
        <v>11.69</v>
      </c>
      <c r="J31" s="51">
        <v>0.2</v>
      </c>
      <c r="K31" s="51">
        <v>164.62</v>
      </c>
      <c r="L31" s="51">
        <v>17.600000000000001</v>
      </c>
      <c r="M31" s="51">
        <v>92.03</v>
      </c>
      <c r="N31" s="51">
        <v>0</v>
      </c>
      <c r="O31" s="51">
        <v>0</v>
      </c>
      <c r="P31" s="51">
        <v>1.18</v>
      </c>
      <c r="Q31" s="51">
        <v>5.0199999999999996</v>
      </c>
    </row>
    <row r="32" spans="1:17" customFormat="1">
      <c r="A32" s="50" t="s">
        <v>514</v>
      </c>
      <c r="B32" s="51">
        <v>28.81</v>
      </c>
      <c r="C32" s="51">
        <v>37.200000000000003</v>
      </c>
      <c r="D32" s="51">
        <v>41.63</v>
      </c>
      <c r="E32" s="51">
        <v>8.93</v>
      </c>
      <c r="F32" s="51">
        <v>2.82</v>
      </c>
      <c r="G32" s="51">
        <v>159.22999999999999</v>
      </c>
      <c r="H32" s="51">
        <v>75.33</v>
      </c>
      <c r="I32" s="51">
        <v>12.35</v>
      </c>
      <c r="J32" s="51">
        <v>0.21</v>
      </c>
      <c r="K32" s="51">
        <v>233.08</v>
      </c>
      <c r="L32" s="51">
        <v>17.34</v>
      </c>
      <c r="M32" s="51">
        <v>92.29</v>
      </c>
      <c r="N32" s="51">
        <v>0</v>
      </c>
      <c r="O32" s="51">
        <v>0</v>
      </c>
      <c r="P32" s="51">
        <v>1.24</v>
      </c>
      <c r="Q32" s="51">
        <v>5.15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4.04</v>
      </c>
      <c r="C34" s="41">
        <f t="shared" si="0"/>
        <v>20.260000000000002</v>
      </c>
      <c r="D34" s="41">
        <f t="shared" si="0"/>
        <v>15.15</v>
      </c>
      <c r="E34" s="41">
        <f t="shared" si="0"/>
        <v>5.09</v>
      </c>
      <c r="F34" s="41">
        <f t="shared" si="0"/>
        <v>2.5499999999999998</v>
      </c>
      <c r="G34" s="41">
        <f t="shared" si="0"/>
        <v>81.489999999999995</v>
      </c>
      <c r="H34" s="41">
        <f t="shared" si="0"/>
        <v>52.44</v>
      </c>
      <c r="I34" s="41">
        <f t="shared" si="0"/>
        <v>9.16</v>
      </c>
      <c r="J34" s="41">
        <f t="shared" si="0"/>
        <v>0.11</v>
      </c>
      <c r="K34" s="41">
        <f t="shared" si="0"/>
        <v>56.15</v>
      </c>
      <c r="L34" s="41">
        <f t="shared" si="0"/>
        <v>14.39</v>
      </c>
      <c r="M34" s="41">
        <f t="shared" si="0"/>
        <v>39.68</v>
      </c>
      <c r="N34" s="41">
        <f t="shared" si="0"/>
        <v>0</v>
      </c>
      <c r="O34" s="41">
        <f t="shared" si="0"/>
        <v>0</v>
      </c>
      <c r="P34" s="41">
        <f t="shared" si="0"/>
        <v>0.75</v>
      </c>
      <c r="Q34" s="41">
        <f t="shared" si="0"/>
        <v>4.82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28.81</v>
      </c>
      <c r="C35" s="33">
        <f t="shared" si="1"/>
        <v>37.200000000000003</v>
      </c>
      <c r="D35" s="33">
        <f t="shared" si="1"/>
        <v>41.63</v>
      </c>
      <c r="E35" s="33">
        <f t="shared" si="1"/>
        <v>9.1199999999999992</v>
      </c>
      <c r="F35" s="33">
        <f t="shared" si="1"/>
        <v>6.01</v>
      </c>
      <c r="G35" s="33">
        <f t="shared" si="1"/>
        <v>163.58000000000001</v>
      </c>
      <c r="H35" s="33">
        <f t="shared" si="1"/>
        <v>75.33</v>
      </c>
      <c r="I35" s="33">
        <f t="shared" si="1"/>
        <v>12.43</v>
      </c>
      <c r="J35" s="33">
        <f t="shared" si="1"/>
        <v>0.52</v>
      </c>
      <c r="K35" s="33">
        <f t="shared" si="1"/>
        <v>355.46</v>
      </c>
      <c r="L35" s="33">
        <f t="shared" si="1"/>
        <v>28.07</v>
      </c>
      <c r="M35" s="33">
        <f t="shared" si="1"/>
        <v>96.54</v>
      </c>
      <c r="N35" s="33">
        <f t="shared" si="1"/>
        <v>423.9</v>
      </c>
      <c r="O35" s="33">
        <f t="shared" si="1"/>
        <v>0</v>
      </c>
      <c r="P35" s="33">
        <f t="shared" si="1"/>
        <v>1.24</v>
      </c>
      <c r="Q35" s="33">
        <f t="shared" si="1"/>
        <v>5.23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13.967916666666666</v>
      </c>
      <c r="C36" s="41">
        <f t="shared" si="2"/>
        <v>30.771250000000009</v>
      </c>
      <c r="D36" s="41">
        <f t="shared" si="2"/>
        <v>28.447499999999994</v>
      </c>
      <c r="E36" s="41">
        <f t="shared" si="2"/>
        <v>7.1337499999999991</v>
      </c>
      <c r="F36" s="41">
        <f t="shared" si="2"/>
        <v>3.274999999999999</v>
      </c>
      <c r="G36" s="41">
        <f t="shared" si="2"/>
        <v>135.53791666666666</v>
      </c>
      <c r="H36" s="41">
        <f t="shared" si="2"/>
        <v>67.732500000000002</v>
      </c>
      <c r="I36" s="41">
        <f t="shared" si="2"/>
        <v>11.250833333333334</v>
      </c>
      <c r="J36" s="41">
        <f t="shared" si="2"/>
        <v>0.25041666666666668</v>
      </c>
      <c r="K36" s="41">
        <f t="shared" si="2"/>
        <v>202.81000000000003</v>
      </c>
      <c r="L36" s="41">
        <f t="shared" si="2"/>
        <v>20.449583333333329</v>
      </c>
      <c r="M36" s="41">
        <f t="shared" si="2"/>
        <v>76.569166666666646</v>
      </c>
      <c r="N36" s="41">
        <f t="shared" si="2"/>
        <v>97.30416666666666</v>
      </c>
      <c r="O36" s="41">
        <f t="shared" si="2"/>
        <v>0</v>
      </c>
      <c r="P36" s="41">
        <f t="shared" si="2"/>
        <v>0.99708333333333321</v>
      </c>
      <c r="Q36" s="41">
        <f t="shared" si="2"/>
        <v>5.0270833333333336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8.6216875071539505</v>
      </c>
      <c r="C37" s="41">
        <f t="shared" ref="C37:Q37" si="3">STDEV(C9:C32)</f>
        <v>4.7939276014376251</v>
      </c>
      <c r="D37" s="41">
        <f t="shared" si="3"/>
        <v>8.6899298291058145</v>
      </c>
      <c r="E37" s="41">
        <f t="shared" si="3"/>
        <v>1.207717259237806</v>
      </c>
      <c r="F37" s="41">
        <f t="shared" si="3"/>
        <v>0.97939200305708873</v>
      </c>
      <c r="G37" s="41">
        <f t="shared" si="3"/>
        <v>22.218798147586448</v>
      </c>
      <c r="H37" s="41">
        <f t="shared" si="3"/>
        <v>6.3202072406857397</v>
      </c>
      <c r="I37" s="41">
        <f t="shared" si="3"/>
        <v>1.0868019165409575</v>
      </c>
      <c r="J37" s="41">
        <f t="shared" si="3"/>
        <v>0.11778680691850837</v>
      </c>
      <c r="K37" s="41">
        <f t="shared" si="3"/>
        <v>83.71145784128386</v>
      </c>
      <c r="L37" s="41">
        <f t="shared" si="3"/>
        <v>4.7454779199155359</v>
      </c>
      <c r="M37" s="41">
        <f t="shared" si="3"/>
        <v>20.015756601209045</v>
      </c>
      <c r="N37" s="41">
        <f t="shared" si="3"/>
        <v>152.37754164992739</v>
      </c>
      <c r="O37" s="41">
        <f t="shared" si="3"/>
        <v>0</v>
      </c>
      <c r="P37" s="41">
        <f t="shared" si="3"/>
        <v>0.13495503813804402</v>
      </c>
      <c r="Q37" s="41">
        <f t="shared" si="3"/>
        <v>0.11479581747669078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515</v>
      </c>
      <c r="B9" s="51">
        <v>33.71</v>
      </c>
      <c r="C9" s="51">
        <v>32.83</v>
      </c>
      <c r="D9" s="51">
        <v>45.2</v>
      </c>
      <c r="E9" s="51">
        <v>8.65</v>
      </c>
      <c r="F9" s="51">
        <v>2.8</v>
      </c>
      <c r="G9" s="51">
        <v>157.78</v>
      </c>
      <c r="H9" s="51">
        <v>76.42</v>
      </c>
      <c r="I9" s="51">
        <v>12.89</v>
      </c>
      <c r="J9" s="51">
        <v>0.19</v>
      </c>
      <c r="K9" s="51">
        <v>247.82</v>
      </c>
      <c r="L9" s="51">
        <v>16.559999999999999</v>
      </c>
      <c r="M9" s="51">
        <v>93.93</v>
      </c>
      <c r="N9" s="51">
        <v>0</v>
      </c>
      <c r="O9" s="51">
        <v>0</v>
      </c>
      <c r="P9" s="51">
        <v>1.25</v>
      </c>
      <c r="Q9" s="51">
        <v>5.25</v>
      </c>
    </row>
    <row r="10" spans="1:21" customFormat="1">
      <c r="A10" s="50" t="s">
        <v>516</v>
      </c>
      <c r="B10" s="51">
        <v>32.46</v>
      </c>
      <c r="C10" s="51">
        <v>31.09</v>
      </c>
      <c r="D10" s="51">
        <v>43.62</v>
      </c>
      <c r="E10" s="51">
        <v>8.82</v>
      </c>
      <c r="F10" s="51">
        <v>2.61</v>
      </c>
      <c r="G10" s="51">
        <v>155.19</v>
      </c>
      <c r="H10" s="51">
        <v>76.42</v>
      </c>
      <c r="I10" s="51">
        <v>12.93</v>
      </c>
      <c r="J10" s="51">
        <v>0.19</v>
      </c>
      <c r="K10" s="51">
        <v>270.88</v>
      </c>
      <c r="L10" s="51">
        <v>15.84</v>
      </c>
      <c r="M10" s="51">
        <v>93.86</v>
      </c>
      <c r="N10" s="51">
        <v>0</v>
      </c>
      <c r="O10" s="51">
        <v>0</v>
      </c>
      <c r="P10" s="51">
        <v>1.25</v>
      </c>
      <c r="Q10" s="51">
        <v>5.29</v>
      </c>
    </row>
    <row r="11" spans="1:21" customFormat="1">
      <c r="A11" s="50" t="s">
        <v>517</v>
      </c>
      <c r="B11" s="51">
        <v>28.47</v>
      </c>
      <c r="C11" s="51">
        <v>30.09</v>
      </c>
      <c r="D11" s="51">
        <v>39.299999999999997</v>
      </c>
      <c r="E11" s="51">
        <v>8</v>
      </c>
      <c r="F11" s="51">
        <v>2.85</v>
      </c>
      <c r="G11" s="51">
        <v>144.58000000000001</v>
      </c>
      <c r="H11" s="51">
        <v>72.55</v>
      </c>
      <c r="I11" s="51">
        <v>13.16</v>
      </c>
      <c r="J11" s="51">
        <v>0.16</v>
      </c>
      <c r="K11" s="51">
        <v>211.89</v>
      </c>
      <c r="L11" s="51">
        <v>15.72</v>
      </c>
      <c r="M11" s="51">
        <v>95.31</v>
      </c>
      <c r="N11" s="51">
        <v>0</v>
      </c>
      <c r="O11" s="51">
        <v>0</v>
      </c>
      <c r="P11" s="51">
        <v>1.24</v>
      </c>
      <c r="Q11" s="51">
        <v>5.23</v>
      </c>
    </row>
    <row r="12" spans="1:21" customFormat="1">
      <c r="A12" s="50" t="s">
        <v>518</v>
      </c>
      <c r="B12" s="51">
        <v>24.31</v>
      </c>
      <c r="C12" s="51">
        <v>28.27</v>
      </c>
      <c r="D12" s="51">
        <v>35.6</v>
      </c>
      <c r="E12" s="51">
        <v>7.69</v>
      </c>
      <c r="F12" s="51">
        <v>2.7</v>
      </c>
      <c r="G12" s="51">
        <v>132.66</v>
      </c>
      <c r="H12" s="51">
        <v>72.55</v>
      </c>
      <c r="I12" s="51">
        <v>13.2</v>
      </c>
      <c r="J12" s="51">
        <v>0.15</v>
      </c>
      <c r="K12" s="51">
        <v>179.32</v>
      </c>
      <c r="L12" s="51">
        <v>15.42</v>
      </c>
      <c r="M12" s="51">
        <v>95.28</v>
      </c>
      <c r="N12" s="51">
        <v>0</v>
      </c>
      <c r="O12" s="51">
        <v>0</v>
      </c>
      <c r="P12" s="51">
        <v>1.23</v>
      </c>
      <c r="Q12" s="51">
        <v>5.18</v>
      </c>
    </row>
    <row r="13" spans="1:21" customFormat="1">
      <c r="A13" s="50" t="s">
        <v>519</v>
      </c>
      <c r="B13" s="51">
        <v>30.91</v>
      </c>
      <c r="C13" s="51">
        <v>29.69</v>
      </c>
      <c r="D13" s="51">
        <v>41.65</v>
      </c>
      <c r="E13" s="51">
        <v>7.48</v>
      </c>
      <c r="F13" s="51">
        <v>2.79</v>
      </c>
      <c r="G13" s="51">
        <v>129.52000000000001</v>
      </c>
      <c r="H13" s="51">
        <v>71.33</v>
      </c>
      <c r="I13" s="51">
        <v>14.29</v>
      </c>
      <c r="J13" s="51">
        <v>0.12</v>
      </c>
      <c r="K13" s="51">
        <v>131.77000000000001</v>
      </c>
      <c r="L13" s="51">
        <v>15.39</v>
      </c>
      <c r="M13" s="51">
        <v>92.51</v>
      </c>
      <c r="N13" s="51">
        <v>0</v>
      </c>
      <c r="O13" s="51">
        <v>0</v>
      </c>
      <c r="P13" s="51">
        <v>1.17</v>
      </c>
      <c r="Q13" s="51">
        <v>5.22</v>
      </c>
    </row>
    <row r="14" spans="1:21" customFormat="1">
      <c r="A14" s="50" t="s">
        <v>520</v>
      </c>
      <c r="B14" s="51">
        <v>31.65</v>
      </c>
      <c r="C14" s="51">
        <v>31.6</v>
      </c>
      <c r="D14" s="51">
        <v>42.98</v>
      </c>
      <c r="E14" s="51">
        <v>8.02</v>
      </c>
      <c r="F14" s="51">
        <v>2.74</v>
      </c>
      <c r="G14" s="51">
        <v>129.52000000000001</v>
      </c>
      <c r="H14" s="51">
        <v>71.33</v>
      </c>
      <c r="I14" s="51">
        <v>14.42</v>
      </c>
      <c r="J14" s="51">
        <v>0.18</v>
      </c>
      <c r="K14" s="51">
        <v>166.86</v>
      </c>
      <c r="L14" s="51">
        <v>15.25</v>
      </c>
      <c r="M14" s="51">
        <v>94.16</v>
      </c>
      <c r="N14" s="51">
        <v>0</v>
      </c>
      <c r="O14" s="51">
        <v>0</v>
      </c>
      <c r="P14" s="51">
        <v>1.1499999999999999</v>
      </c>
      <c r="Q14" s="51">
        <v>5.27</v>
      </c>
    </row>
    <row r="15" spans="1:21" customFormat="1">
      <c r="A15" s="50" t="s">
        <v>521</v>
      </c>
      <c r="B15" s="51">
        <v>30.42</v>
      </c>
      <c r="C15" s="51">
        <v>31.89</v>
      </c>
      <c r="D15" s="51">
        <v>42.41</v>
      </c>
      <c r="E15" s="51">
        <v>7.8</v>
      </c>
      <c r="F15" s="51">
        <v>2.71</v>
      </c>
      <c r="G15" s="51">
        <v>120.69</v>
      </c>
      <c r="H15" s="51">
        <v>72.27</v>
      </c>
      <c r="I15" s="51">
        <v>14.13</v>
      </c>
      <c r="J15" s="51">
        <v>0.14000000000000001</v>
      </c>
      <c r="K15" s="51">
        <v>233.12</v>
      </c>
      <c r="L15" s="51">
        <v>14.84</v>
      </c>
      <c r="M15" s="51">
        <v>96.85</v>
      </c>
      <c r="N15" s="51">
        <v>9.5</v>
      </c>
      <c r="O15" s="51">
        <v>0</v>
      </c>
      <c r="P15" s="51">
        <v>1.1399999999999999</v>
      </c>
      <c r="Q15" s="51">
        <v>5.27</v>
      </c>
    </row>
    <row r="16" spans="1:21" customFormat="1">
      <c r="A16" s="50" t="s">
        <v>522</v>
      </c>
      <c r="B16" s="51">
        <v>26.48</v>
      </c>
      <c r="C16" s="51">
        <v>30.88</v>
      </c>
      <c r="D16" s="51">
        <v>38.43</v>
      </c>
      <c r="E16" s="51">
        <v>7.98</v>
      </c>
      <c r="F16" s="51">
        <v>2.5099999999999998</v>
      </c>
      <c r="G16" s="51">
        <v>119.75</v>
      </c>
      <c r="H16" s="51">
        <v>72.27</v>
      </c>
      <c r="I16" s="51">
        <v>13.84</v>
      </c>
      <c r="J16" s="51">
        <v>0.27</v>
      </c>
      <c r="K16" s="51">
        <v>273.2</v>
      </c>
      <c r="L16" s="51">
        <v>16.14</v>
      </c>
      <c r="M16" s="51">
        <v>96.79</v>
      </c>
      <c r="N16" s="51">
        <v>58</v>
      </c>
      <c r="O16" s="51">
        <v>0</v>
      </c>
      <c r="P16" s="51">
        <v>1.1000000000000001</v>
      </c>
      <c r="Q16" s="51">
        <v>5.19</v>
      </c>
    </row>
    <row r="17" spans="1:17" customFormat="1">
      <c r="A17" s="50" t="s">
        <v>523</v>
      </c>
      <c r="B17" s="51">
        <v>23.23</v>
      </c>
      <c r="C17" s="51">
        <v>32.729999999999997</v>
      </c>
      <c r="D17" s="51">
        <v>36.6</v>
      </c>
      <c r="E17" s="51">
        <v>7.95</v>
      </c>
      <c r="F17" s="51">
        <v>2.65</v>
      </c>
      <c r="G17" s="51">
        <v>129.5</v>
      </c>
      <c r="H17" s="51">
        <v>69.16</v>
      </c>
      <c r="I17" s="51">
        <v>13.81</v>
      </c>
      <c r="J17" s="51">
        <v>0.26</v>
      </c>
      <c r="K17" s="51">
        <v>149.94</v>
      </c>
      <c r="L17" s="51">
        <v>20.82</v>
      </c>
      <c r="M17" s="51">
        <v>84.71</v>
      </c>
      <c r="N17" s="51">
        <v>167.3</v>
      </c>
      <c r="O17" s="51">
        <v>0</v>
      </c>
      <c r="P17" s="51">
        <v>1.0900000000000001</v>
      </c>
      <c r="Q17" s="51">
        <v>5.15</v>
      </c>
    </row>
    <row r="18" spans="1:17" customFormat="1">
      <c r="A18" s="50" t="s">
        <v>524</v>
      </c>
      <c r="B18" s="51">
        <v>18.100000000000001</v>
      </c>
      <c r="C18" s="51">
        <v>33.18</v>
      </c>
      <c r="D18" s="51">
        <v>32.83</v>
      </c>
      <c r="E18" s="51">
        <v>7.9</v>
      </c>
      <c r="F18" s="51">
        <v>3.02</v>
      </c>
      <c r="G18" s="51">
        <v>129.5</v>
      </c>
      <c r="H18" s="51">
        <v>70.819999999999993</v>
      </c>
      <c r="I18" s="51">
        <v>13.52</v>
      </c>
      <c r="J18" s="51">
        <v>0.34</v>
      </c>
      <c r="K18" s="51">
        <v>268.51</v>
      </c>
      <c r="L18" s="51">
        <v>23.03</v>
      </c>
      <c r="M18" s="51">
        <v>66.27</v>
      </c>
      <c r="N18" s="51">
        <v>161.9</v>
      </c>
      <c r="O18" s="51">
        <v>0</v>
      </c>
      <c r="P18" s="51">
        <v>1.07</v>
      </c>
      <c r="Q18" s="51">
        <v>5.0599999999999996</v>
      </c>
    </row>
    <row r="19" spans="1:17" customFormat="1">
      <c r="A19" s="50" t="s">
        <v>525</v>
      </c>
      <c r="B19" s="51">
        <v>13.76</v>
      </c>
      <c r="C19" s="51">
        <v>25.2</v>
      </c>
      <c r="D19" s="51">
        <v>25.55</v>
      </c>
      <c r="E19" s="51">
        <v>6.12</v>
      </c>
      <c r="F19" s="51">
        <v>2.98</v>
      </c>
      <c r="G19" s="51">
        <v>118.91</v>
      </c>
      <c r="H19" s="51">
        <v>70.819999999999993</v>
      </c>
      <c r="I19" s="51">
        <v>12.98</v>
      </c>
      <c r="J19" s="51">
        <v>0.33</v>
      </c>
      <c r="K19" s="51">
        <v>274.77</v>
      </c>
      <c r="L19" s="51">
        <v>25.19</v>
      </c>
      <c r="M19" s="51">
        <v>60.04</v>
      </c>
      <c r="N19" s="51">
        <v>390.2</v>
      </c>
      <c r="O19" s="51">
        <v>0</v>
      </c>
      <c r="P19" s="51">
        <v>1</v>
      </c>
      <c r="Q19" s="51">
        <v>4.96</v>
      </c>
    </row>
    <row r="20" spans="1:17" customFormat="1">
      <c r="A20" s="50" t="s">
        <v>526</v>
      </c>
      <c r="B20" s="51">
        <v>10.29</v>
      </c>
      <c r="C20" s="51">
        <v>25.39</v>
      </c>
      <c r="D20" s="51">
        <v>22.87</v>
      </c>
      <c r="E20" s="51">
        <v>5.89</v>
      </c>
      <c r="F20" s="51">
        <v>3.4</v>
      </c>
      <c r="G20" s="51">
        <v>105.46</v>
      </c>
      <c r="H20" s="51">
        <v>66.099999999999994</v>
      </c>
      <c r="I20" s="51">
        <v>12.32</v>
      </c>
      <c r="J20" s="51">
        <v>0.34</v>
      </c>
      <c r="K20" s="51">
        <v>344.22</v>
      </c>
      <c r="L20" s="51">
        <v>26.9</v>
      </c>
      <c r="M20" s="51">
        <v>49.86</v>
      </c>
      <c r="N20" s="51">
        <v>418.8</v>
      </c>
      <c r="O20" s="51">
        <v>0</v>
      </c>
      <c r="P20" s="51">
        <v>0.94</v>
      </c>
      <c r="Q20" s="51">
        <v>4.96</v>
      </c>
    </row>
    <row r="21" spans="1:17" customFormat="1">
      <c r="A21" s="50" t="s">
        <v>527</v>
      </c>
      <c r="B21" s="51">
        <v>6.99</v>
      </c>
      <c r="C21" s="51">
        <v>22.33</v>
      </c>
      <c r="D21" s="51">
        <v>18.32</v>
      </c>
      <c r="E21" s="51">
        <v>6.13</v>
      </c>
      <c r="F21" s="51">
        <v>3.36</v>
      </c>
      <c r="G21" s="51">
        <v>93.88</v>
      </c>
      <c r="H21" s="51">
        <v>60.76</v>
      </c>
      <c r="I21" s="51">
        <v>11.53</v>
      </c>
      <c r="J21" s="51">
        <v>0.35</v>
      </c>
      <c r="K21" s="51">
        <v>189.49</v>
      </c>
      <c r="L21" s="51">
        <v>28.05</v>
      </c>
      <c r="M21" s="51">
        <v>46.12</v>
      </c>
      <c r="N21" s="51">
        <v>404.7</v>
      </c>
      <c r="O21" s="51">
        <v>0</v>
      </c>
      <c r="P21" s="51">
        <v>0.87</v>
      </c>
      <c r="Q21" s="51">
        <v>4.9000000000000004</v>
      </c>
    </row>
    <row r="22" spans="1:17" customFormat="1">
      <c r="A22" s="50" t="s">
        <v>528</v>
      </c>
      <c r="B22" s="51">
        <v>5.52</v>
      </c>
      <c r="C22" s="51">
        <v>20.77</v>
      </c>
      <c r="D22" s="51">
        <v>16.63</v>
      </c>
      <c r="E22" s="51">
        <v>5.85</v>
      </c>
      <c r="F22" s="51">
        <v>4.09</v>
      </c>
      <c r="G22" s="51">
        <v>80.72</v>
      </c>
      <c r="H22" s="51">
        <v>54.4</v>
      </c>
      <c r="I22" s="51">
        <v>10.77</v>
      </c>
      <c r="J22" s="51">
        <v>0.41</v>
      </c>
      <c r="K22" s="51">
        <v>319.83</v>
      </c>
      <c r="L22" s="51">
        <v>28.04</v>
      </c>
      <c r="M22" s="51">
        <v>40.369999999999997</v>
      </c>
      <c r="N22" s="51">
        <v>357.9</v>
      </c>
      <c r="O22" s="51">
        <v>0</v>
      </c>
      <c r="P22" s="51">
        <v>0.82</v>
      </c>
      <c r="Q22" s="51">
        <v>4.87</v>
      </c>
    </row>
    <row r="23" spans="1:17" customFormat="1">
      <c r="A23" s="50" t="s">
        <v>529</v>
      </c>
      <c r="B23" s="51">
        <v>4.87</v>
      </c>
      <c r="C23" s="51">
        <v>21.95</v>
      </c>
      <c r="D23" s="51">
        <v>16.39</v>
      </c>
      <c r="E23" s="51">
        <v>6.54</v>
      </c>
      <c r="F23" s="51">
        <v>6.55</v>
      </c>
      <c r="G23" s="51">
        <v>71.67</v>
      </c>
      <c r="H23" s="51">
        <v>45.13</v>
      </c>
      <c r="I23" s="51">
        <v>10.09</v>
      </c>
      <c r="J23" s="51">
        <v>0.39</v>
      </c>
      <c r="K23" s="51">
        <v>359.49</v>
      </c>
      <c r="L23" s="51">
        <v>27.74</v>
      </c>
      <c r="M23" s="51">
        <v>41.08</v>
      </c>
      <c r="N23" s="51">
        <v>208.3</v>
      </c>
      <c r="O23" s="51">
        <v>0</v>
      </c>
      <c r="P23" s="51">
        <v>0.85</v>
      </c>
      <c r="Q23" s="51">
        <v>4.8499999999999996</v>
      </c>
    </row>
    <row r="24" spans="1:17" customFormat="1">
      <c r="A24" s="50" t="s">
        <v>530</v>
      </c>
      <c r="B24" s="51">
        <v>4.72</v>
      </c>
      <c r="C24" s="51">
        <v>23.15</v>
      </c>
      <c r="D24" s="51">
        <v>17.23</v>
      </c>
      <c r="E24" s="51">
        <v>6.09</v>
      </c>
      <c r="F24" s="51">
        <v>6.11</v>
      </c>
      <c r="G24" s="51">
        <v>80.16</v>
      </c>
      <c r="H24" s="51">
        <v>41.03</v>
      </c>
      <c r="I24" s="51">
        <v>9.2100000000000009</v>
      </c>
      <c r="J24" s="51">
        <v>0.18</v>
      </c>
      <c r="K24" s="51">
        <v>308.85000000000002</v>
      </c>
      <c r="L24" s="51">
        <v>27.24</v>
      </c>
      <c r="M24" s="51">
        <v>43.42</v>
      </c>
      <c r="N24" s="51">
        <v>89.7</v>
      </c>
      <c r="O24" s="51">
        <v>0</v>
      </c>
      <c r="P24" s="51">
        <v>0.82</v>
      </c>
      <c r="Q24" s="51">
        <v>4.87</v>
      </c>
    </row>
    <row r="25" spans="1:17" customFormat="1">
      <c r="A25" s="50" t="s">
        <v>531</v>
      </c>
      <c r="B25" s="51">
        <v>5.15</v>
      </c>
      <c r="C25" s="51">
        <v>26.06</v>
      </c>
      <c r="D25" s="51">
        <v>19.09</v>
      </c>
      <c r="E25" s="51">
        <v>6.5</v>
      </c>
      <c r="F25" s="51">
        <v>4.66</v>
      </c>
      <c r="G25" s="51">
        <v>86.22</v>
      </c>
      <c r="H25" s="51">
        <v>42.83</v>
      </c>
      <c r="I25" s="51">
        <v>8.4700000000000006</v>
      </c>
      <c r="J25" s="51">
        <v>0.36</v>
      </c>
      <c r="K25" s="51">
        <v>151.62</v>
      </c>
      <c r="L25" s="51">
        <v>26.1</v>
      </c>
      <c r="M25" s="51">
        <v>49.68</v>
      </c>
      <c r="N25" s="51">
        <v>30.6</v>
      </c>
      <c r="O25" s="51">
        <v>0</v>
      </c>
      <c r="P25" s="51">
        <v>0.78</v>
      </c>
      <c r="Q25" s="51">
        <v>4.8600000000000003</v>
      </c>
    </row>
    <row r="26" spans="1:17" customFormat="1">
      <c r="A26" s="50" t="s">
        <v>532</v>
      </c>
      <c r="B26" s="51">
        <v>6.3</v>
      </c>
      <c r="C26" s="51">
        <v>31.47</v>
      </c>
      <c r="D26" s="51">
        <v>22.84</v>
      </c>
      <c r="E26" s="51">
        <v>6.56</v>
      </c>
      <c r="F26" s="51">
        <v>3.55</v>
      </c>
      <c r="G26" s="51">
        <v>123.98</v>
      </c>
      <c r="H26" s="51">
        <v>48.59</v>
      </c>
      <c r="I26" s="51">
        <v>8.09</v>
      </c>
      <c r="J26" s="51">
        <v>0.24</v>
      </c>
      <c r="K26" s="51">
        <v>150.76</v>
      </c>
      <c r="L26" s="51">
        <v>24.48</v>
      </c>
      <c r="M26" s="51">
        <v>62.65</v>
      </c>
      <c r="N26" s="51">
        <v>0</v>
      </c>
      <c r="O26" s="51">
        <v>0</v>
      </c>
      <c r="P26" s="51">
        <v>0.87</v>
      </c>
      <c r="Q26" s="51">
        <v>4.8899999999999997</v>
      </c>
    </row>
    <row r="27" spans="1:17" customFormat="1">
      <c r="A27" s="50" t="s">
        <v>533</v>
      </c>
      <c r="B27" s="51">
        <v>7.77</v>
      </c>
      <c r="C27" s="51">
        <v>34.29</v>
      </c>
      <c r="D27" s="51">
        <v>25.49</v>
      </c>
      <c r="E27" s="51">
        <v>6.74</v>
      </c>
      <c r="F27" s="51">
        <v>2.8</v>
      </c>
      <c r="G27" s="51">
        <v>150.27000000000001</v>
      </c>
      <c r="H27" s="51">
        <v>58.13</v>
      </c>
      <c r="I27" s="51">
        <v>8.99</v>
      </c>
      <c r="J27" s="51">
        <v>0.25</v>
      </c>
      <c r="K27" s="51">
        <v>180.34</v>
      </c>
      <c r="L27" s="51">
        <v>21.93</v>
      </c>
      <c r="M27" s="51">
        <v>69.42</v>
      </c>
      <c r="N27" s="51">
        <v>0</v>
      </c>
      <c r="O27" s="51">
        <v>0</v>
      </c>
      <c r="P27" s="51">
        <v>0.96</v>
      </c>
      <c r="Q27" s="51">
        <v>4.9000000000000004</v>
      </c>
    </row>
    <row r="28" spans="1:17" customFormat="1">
      <c r="A28" s="50" t="s">
        <v>534</v>
      </c>
      <c r="B28" s="51">
        <v>8.9700000000000006</v>
      </c>
      <c r="C28" s="51">
        <v>35.369999999999997</v>
      </c>
      <c r="D28" s="51">
        <v>26.5</v>
      </c>
      <c r="E28" s="51">
        <v>6.55</v>
      </c>
      <c r="F28" s="51">
        <v>2.86</v>
      </c>
      <c r="G28" s="51">
        <v>157.11000000000001</v>
      </c>
      <c r="H28" s="51">
        <v>62.67</v>
      </c>
      <c r="I28" s="51">
        <v>10.050000000000001</v>
      </c>
      <c r="J28" s="51">
        <v>0.23</v>
      </c>
      <c r="K28" s="51">
        <v>193.07</v>
      </c>
      <c r="L28" s="51">
        <v>20.22</v>
      </c>
      <c r="M28" s="51">
        <v>79.89</v>
      </c>
      <c r="N28" s="51">
        <v>0</v>
      </c>
      <c r="O28" s="51">
        <v>0</v>
      </c>
      <c r="P28" s="51">
        <v>1.02</v>
      </c>
      <c r="Q28" s="51">
        <v>4.92</v>
      </c>
    </row>
    <row r="29" spans="1:17" customFormat="1">
      <c r="A29" s="50" t="s">
        <v>535</v>
      </c>
      <c r="B29" s="51">
        <v>10.02</v>
      </c>
      <c r="C29" s="51">
        <v>29.65</v>
      </c>
      <c r="D29" s="51">
        <v>24.88</v>
      </c>
      <c r="E29" s="51">
        <v>6.3</v>
      </c>
      <c r="F29" s="51">
        <v>2.69</v>
      </c>
      <c r="G29" s="51">
        <v>157.11000000000001</v>
      </c>
      <c r="H29" s="51">
        <v>63.09</v>
      </c>
      <c r="I29" s="51">
        <v>10.52</v>
      </c>
      <c r="J29" s="51">
        <v>0.2</v>
      </c>
      <c r="K29" s="51">
        <v>170.59</v>
      </c>
      <c r="L29" s="51">
        <v>18.88</v>
      </c>
      <c r="M29" s="51">
        <v>86.2</v>
      </c>
      <c r="N29" s="51">
        <v>0</v>
      </c>
      <c r="O29" s="51">
        <v>0</v>
      </c>
      <c r="P29" s="51">
        <v>1.07</v>
      </c>
      <c r="Q29" s="51">
        <v>4.9400000000000004</v>
      </c>
    </row>
    <row r="30" spans="1:17" customFormat="1">
      <c r="A30" s="50" t="s">
        <v>536</v>
      </c>
      <c r="B30" s="51">
        <v>10.71</v>
      </c>
      <c r="C30" s="51">
        <v>29.59</v>
      </c>
      <c r="D30" s="51">
        <v>24.97</v>
      </c>
      <c r="E30" s="51">
        <v>6.3</v>
      </c>
      <c r="F30" s="51">
        <v>2.6</v>
      </c>
      <c r="G30" s="51">
        <v>145.66</v>
      </c>
      <c r="H30" s="51">
        <v>63.09</v>
      </c>
      <c r="I30" s="51">
        <v>10.93</v>
      </c>
      <c r="J30" s="51">
        <v>0.17</v>
      </c>
      <c r="K30" s="51">
        <v>198.83</v>
      </c>
      <c r="L30" s="51">
        <v>18.010000000000002</v>
      </c>
      <c r="M30" s="51">
        <v>87.47</v>
      </c>
      <c r="N30" s="51">
        <v>0</v>
      </c>
      <c r="O30" s="51">
        <v>0</v>
      </c>
      <c r="P30" s="51">
        <v>1.0900000000000001</v>
      </c>
      <c r="Q30" s="51">
        <v>4.95</v>
      </c>
    </row>
    <row r="31" spans="1:17" customFormat="1">
      <c r="A31" s="50" t="s">
        <v>537</v>
      </c>
      <c r="B31" s="51">
        <v>12.16</v>
      </c>
      <c r="C31" s="51">
        <v>26.66</v>
      </c>
      <c r="D31" s="51">
        <v>24.68</v>
      </c>
      <c r="E31" s="51">
        <v>6.23</v>
      </c>
      <c r="F31" s="51">
        <v>2.85</v>
      </c>
      <c r="G31" s="51">
        <v>140.80000000000001</v>
      </c>
      <c r="H31" s="51">
        <v>64.260000000000005</v>
      </c>
      <c r="I31" s="51">
        <v>10.96</v>
      </c>
      <c r="J31" s="51">
        <v>0.15</v>
      </c>
      <c r="K31" s="51">
        <v>214.15</v>
      </c>
      <c r="L31" s="51">
        <v>17.600000000000001</v>
      </c>
      <c r="M31" s="51">
        <v>93.23</v>
      </c>
      <c r="N31" s="51">
        <v>0</v>
      </c>
      <c r="O31" s="51">
        <v>0</v>
      </c>
      <c r="P31" s="51">
        <v>1.08</v>
      </c>
      <c r="Q31" s="51">
        <v>4.96</v>
      </c>
    </row>
    <row r="32" spans="1:17" customFormat="1">
      <c r="A32" s="50" t="s">
        <v>538</v>
      </c>
      <c r="B32" s="51">
        <v>13.54</v>
      </c>
      <c r="C32" s="51">
        <v>27.29</v>
      </c>
      <c r="D32" s="51">
        <v>26.21</v>
      </c>
      <c r="E32" s="51">
        <v>6.2</v>
      </c>
      <c r="F32" s="51">
        <v>2.72</v>
      </c>
      <c r="G32" s="51">
        <v>144.86000000000001</v>
      </c>
      <c r="H32" s="51">
        <v>64.260000000000005</v>
      </c>
      <c r="I32" s="51">
        <v>10.81</v>
      </c>
      <c r="J32" s="51">
        <v>0.13</v>
      </c>
      <c r="K32" s="51">
        <v>237.17</v>
      </c>
      <c r="L32" s="51">
        <v>16.72</v>
      </c>
      <c r="M32" s="51">
        <v>92.93</v>
      </c>
      <c r="N32" s="51">
        <v>0</v>
      </c>
      <c r="O32" s="51">
        <v>0</v>
      </c>
      <c r="P32" s="51">
        <v>1.06</v>
      </c>
      <c r="Q32" s="51">
        <v>4.9800000000000004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4.72</v>
      </c>
      <c r="C34" s="41">
        <f t="shared" si="0"/>
        <v>20.77</v>
      </c>
      <c r="D34" s="41">
        <f t="shared" si="0"/>
        <v>16.39</v>
      </c>
      <c r="E34" s="41">
        <f t="shared" si="0"/>
        <v>5.85</v>
      </c>
      <c r="F34" s="41">
        <f t="shared" si="0"/>
        <v>2.5099999999999998</v>
      </c>
      <c r="G34" s="41">
        <f t="shared" si="0"/>
        <v>71.67</v>
      </c>
      <c r="H34" s="41">
        <f t="shared" si="0"/>
        <v>41.03</v>
      </c>
      <c r="I34" s="41">
        <f t="shared" si="0"/>
        <v>8.09</v>
      </c>
      <c r="J34" s="41">
        <f t="shared" si="0"/>
        <v>0.12</v>
      </c>
      <c r="K34" s="41">
        <f t="shared" si="0"/>
        <v>131.77000000000001</v>
      </c>
      <c r="L34" s="41">
        <f t="shared" si="0"/>
        <v>14.84</v>
      </c>
      <c r="M34" s="41">
        <f t="shared" si="0"/>
        <v>40.369999999999997</v>
      </c>
      <c r="N34" s="41">
        <f t="shared" si="0"/>
        <v>0</v>
      </c>
      <c r="O34" s="41">
        <f t="shared" si="0"/>
        <v>0</v>
      </c>
      <c r="P34" s="41">
        <f t="shared" si="0"/>
        <v>0.78</v>
      </c>
      <c r="Q34" s="41">
        <f t="shared" si="0"/>
        <v>4.8499999999999996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33.71</v>
      </c>
      <c r="C35" s="33">
        <f t="shared" si="1"/>
        <v>35.369999999999997</v>
      </c>
      <c r="D35" s="33">
        <f t="shared" si="1"/>
        <v>45.2</v>
      </c>
      <c r="E35" s="33">
        <f t="shared" si="1"/>
        <v>8.82</v>
      </c>
      <c r="F35" s="33">
        <f t="shared" si="1"/>
        <v>6.55</v>
      </c>
      <c r="G35" s="33">
        <f t="shared" si="1"/>
        <v>157.78</v>
      </c>
      <c r="H35" s="33">
        <f t="shared" si="1"/>
        <v>76.42</v>
      </c>
      <c r="I35" s="33">
        <f t="shared" si="1"/>
        <v>14.42</v>
      </c>
      <c r="J35" s="33">
        <f t="shared" si="1"/>
        <v>0.41</v>
      </c>
      <c r="K35" s="33">
        <f t="shared" si="1"/>
        <v>359.49</v>
      </c>
      <c r="L35" s="33">
        <f t="shared" si="1"/>
        <v>28.05</v>
      </c>
      <c r="M35" s="33">
        <f t="shared" si="1"/>
        <v>96.85</v>
      </c>
      <c r="N35" s="33">
        <f t="shared" si="1"/>
        <v>418.8</v>
      </c>
      <c r="O35" s="33">
        <f t="shared" si="1"/>
        <v>0</v>
      </c>
      <c r="P35" s="33">
        <f t="shared" si="1"/>
        <v>1.25</v>
      </c>
      <c r="Q35" s="33">
        <f t="shared" si="1"/>
        <v>5.29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16.68791666666667</v>
      </c>
      <c r="C36" s="41">
        <f t="shared" si="2"/>
        <v>28.809166666666659</v>
      </c>
      <c r="D36" s="41">
        <f t="shared" si="2"/>
        <v>29.594583333333336</v>
      </c>
      <c r="E36" s="41">
        <f t="shared" si="2"/>
        <v>7.0120833333333339</v>
      </c>
      <c r="F36" s="41">
        <f t="shared" si="2"/>
        <v>3.2749999999999986</v>
      </c>
      <c r="G36" s="41">
        <f t="shared" si="2"/>
        <v>125.22916666666669</v>
      </c>
      <c r="H36" s="41">
        <f t="shared" si="2"/>
        <v>63.761666666666656</v>
      </c>
      <c r="I36" s="41">
        <f t="shared" si="2"/>
        <v>11.746250000000002</v>
      </c>
      <c r="J36" s="41">
        <f t="shared" si="2"/>
        <v>0.23875000000000005</v>
      </c>
      <c r="K36" s="41">
        <f t="shared" si="2"/>
        <v>226.10374999999996</v>
      </c>
      <c r="L36" s="41">
        <f t="shared" si="2"/>
        <v>20.671250000000004</v>
      </c>
      <c r="M36" s="41">
        <f t="shared" si="2"/>
        <v>75.501250000000013</v>
      </c>
      <c r="N36" s="41">
        <f t="shared" si="2"/>
        <v>95.704166666666666</v>
      </c>
      <c r="O36" s="41">
        <f t="shared" si="2"/>
        <v>0</v>
      </c>
      <c r="P36" s="41">
        <f t="shared" si="2"/>
        <v>1.0383333333333336</v>
      </c>
      <c r="Q36" s="41">
        <f t="shared" si="2"/>
        <v>5.0383333333333331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10.493706179613461</v>
      </c>
      <c r="C37" s="41">
        <f t="shared" ref="C37:Q37" si="3">STDEV(C9:C32)</f>
        <v>4.0992395017556635</v>
      </c>
      <c r="D37" s="41">
        <f t="shared" si="3"/>
        <v>9.6515008876369848</v>
      </c>
      <c r="E37" s="41">
        <f t="shared" si="3"/>
        <v>0.93584177019438741</v>
      </c>
      <c r="F37" s="41">
        <f t="shared" si="3"/>
        <v>1.0688433406989675</v>
      </c>
      <c r="G37" s="41">
        <f t="shared" si="3"/>
        <v>26.402851940267919</v>
      </c>
      <c r="H37" s="41">
        <f t="shared" si="3"/>
        <v>10.49154552657679</v>
      </c>
      <c r="I37" s="41">
        <f t="shared" si="3"/>
        <v>1.9580398639189256</v>
      </c>
      <c r="J37" s="41">
        <f t="shared" si="3"/>
        <v>8.9749046258708415E-2</v>
      </c>
      <c r="K37" s="41">
        <f t="shared" si="3"/>
        <v>64.850107224778228</v>
      </c>
      <c r="L37" s="41">
        <f t="shared" si="3"/>
        <v>4.8986034500528239</v>
      </c>
      <c r="M37" s="41">
        <f t="shared" si="3"/>
        <v>21.005822859905763</v>
      </c>
      <c r="N37" s="41">
        <f t="shared" si="3"/>
        <v>148.8692991948092</v>
      </c>
      <c r="O37" s="41">
        <f t="shared" si="3"/>
        <v>0</v>
      </c>
      <c r="P37" s="41">
        <f t="shared" si="3"/>
        <v>0.14630720112642789</v>
      </c>
      <c r="Q37" s="41">
        <f t="shared" si="3"/>
        <v>0.15862634976755025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29/12/2023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 t="s">
        <v>539</v>
      </c>
      <c r="B9" s="51">
        <v>21.84</v>
      </c>
      <c r="C9" s="51">
        <v>30.91</v>
      </c>
      <c r="D9" s="51">
        <v>35.020000000000003</v>
      </c>
      <c r="E9" s="51">
        <v>6.5</v>
      </c>
      <c r="F9" s="51">
        <v>2.57</v>
      </c>
      <c r="G9" s="51">
        <v>144.86000000000001</v>
      </c>
      <c r="H9" s="51">
        <v>63.16</v>
      </c>
      <c r="I9" s="51">
        <v>10.77</v>
      </c>
      <c r="J9" s="51">
        <v>0.17</v>
      </c>
      <c r="K9" s="51">
        <v>161.16</v>
      </c>
      <c r="L9" s="51">
        <v>16.7</v>
      </c>
      <c r="M9" s="51">
        <v>90.18</v>
      </c>
      <c r="N9" s="51">
        <v>0</v>
      </c>
      <c r="O9" s="51">
        <v>0</v>
      </c>
      <c r="P9" s="51">
        <v>1.08</v>
      </c>
      <c r="Q9" s="51">
        <v>5.13</v>
      </c>
    </row>
    <row r="10" spans="1:21">
      <c r="A10" s="50" t="s">
        <v>540</v>
      </c>
      <c r="B10" s="51">
        <v>31.87</v>
      </c>
      <c r="C10" s="51">
        <v>33.28</v>
      </c>
      <c r="D10" s="51">
        <v>44.25</v>
      </c>
      <c r="E10" s="51">
        <v>6.77</v>
      </c>
      <c r="F10" s="51">
        <v>2.65</v>
      </c>
      <c r="G10" s="51">
        <v>139.72999999999999</v>
      </c>
      <c r="H10" s="51">
        <v>63.44</v>
      </c>
      <c r="I10" s="51">
        <v>10.76</v>
      </c>
      <c r="J10" s="51">
        <v>0.16</v>
      </c>
      <c r="K10" s="51">
        <v>216.3</v>
      </c>
      <c r="L10" s="51">
        <v>16.54</v>
      </c>
      <c r="M10" s="51">
        <v>90.8</v>
      </c>
      <c r="N10" s="51">
        <v>0</v>
      </c>
      <c r="O10" s="51">
        <v>0</v>
      </c>
      <c r="P10" s="51">
        <v>1.08</v>
      </c>
      <c r="Q10" s="51">
        <v>5.26</v>
      </c>
    </row>
    <row r="11" spans="1:21">
      <c r="A11" s="50" t="s">
        <v>541</v>
      </c>
      <c r="B11" s="51">
        <v>40.78</v>
      </c>
      <c r="C11" s="51">
        <v>33.770000000000003</v>
      </c>
      <c r="D11" s="51">
        <v>51.66</v>
      </c>
      <c r="E11" s="51">
        <v>5.18</v>
      </c>
      <c r="F11" s="51">
        <v>2.5099999999999998</v>
      </c>
      <c r="G11" s="51">
        <v>129.71</v>
      </c>
      <c r="H11" s="51">
        <v>63.44</v>
      </c>
      <c r="I11" s="51">
        <v>10.56</v>
      </c>
      <c r="J11" s="51">
        <v>0.18</v>
      </c>
      <c r="K11" s="51">
        <v>135.24</v>
      </c>
      <c r="L11" s="51">
        <v>16.48</v>
      </c>
      <c r="M11" s="51">
        <v>91.16</v>
      </c>
      <c r="N11" s="51">
        <v>0</v>
      </c>
      <c r="O11" s="51">
        <v>0</v>
      </c>
      <c r="P11" s="51">
        <v>1.1000000000000001</v>
      </c>
      <c r="Q11" s="51">
        <v>5.36</v>
      </c>
    </row>
    <row r="12" spans="1:21">
      <c r="A12" s="50" t="s">
        <v>542</v>
      </c>
      <c r="B12" s="51">
        <v>40.71</v>
      </c>
      <c r="C12" s="51">
        <v>33.86</v>
      </c>
      <c r="D12" s="51">
        <v>51.62</v>
      </c>
      <c r="E12" s="51">
        <v>4.8600000000000003</v>
      </c>
      <c r="F12" s="51">
        <v>2.61</v>
      </c>
      <c r="G12" s="51">
        <v>131.44999999999999</v>
      </c>
      <c r="H12" s="51">
        <v>64.69</v>
      </c>
      <c r="I12" s="51">
        <v>11.59</v>
      </c>
      <c r="J12" s="51">
        <v>0.15</v>
      </c>
      <c r="K12" s="51">
        <v>218.7</v>
      </c>
      <c r="L12" s="51">
        <v>16.170000000000002</v>
      </c>
      <c r="M12" s="51">
        <v>95.71</v>
      </c>
      <c r="N12" s="51">
        <v>0</v>
      </c>
      <c r="O12" s="51">
        <v>0</v>
      </c>
      <c r="P12" s="51">
        <v>1.1299999999999999</v>
      </c>
      <c r="Q12" s="51">
        <v>5.36</v>
      </c>
    </row>
    <row r="13" spans="1:21">
      <c r="A13" s="50" t="s">
        <v>543</v>
      </c>
      <c r="B13" s="51">
        <v>38.96</v>
      </c>
      <c r="C13" s="51">
        <v>32.590000000000003</v>
      </c>
      <c r="D13" s="51">
        <v>49.62</v>
      </c>
      <c r="E13" s="51">
        <v>5.13</v>
      </c>
      <c r="F13" s="51">
        <v>2.58</v>
      </c>
      <c r="G13" s="51">
        <v>131.44999999999999</v>
      </c>
      <c r="H13" s="51">
        <v>64.78</v>
      </c>
      <c r="I13" s="51">
        <v>11.8</v>
      </c>
      <c r="J13" s="51">
        <v>0.11</v>
      </c>
      <c r="K13" s="51">
        <v>203.06</v>
      </c>
      <c r="L13" s="51">
        <v>15.32</v>
      </c>
      <c r="M13" s="51">
        <v>94.86</v>
      </c>
      <c r="N13" s="51">
        <v>0</v>
      </c>
      <c r="O13" s="51">
        <v>0</v>
      </c>
      <c r="P13" s="51">
        <v>1.1299999999999999</v>
      </c>
      <c r="Q13" s="51">
        <v>5.35</v>
      </c>
    </row>
    <row r="14" spans="1:21">
      <c r="A14" s="50" t="s">
        <v>544</v>
      </c>
      <c r="B14" s="51">
        <v>45.39</v>
      </c>
      <c r="C14" s="51">
        <v>31.98</v>
      </c>
      <c r="D14" s="51">
        <v>52.83</v>
      </c>
      <c r="E14" s="51">
        <v>4.7699999999999996</v>
      </c>
      <c r="F14" s="51">
        <v>2.78</v>
      </c>
      <c r="G14" s="51">
        <v>117.9</v>
      </c>
      <c r="H14" s="51">
        <v>64.78</v>
      </c>
      <c r="I14" s="51">
        <v>11.75</v>
      </c>
      <c r="J14" s="51">
        <v>0.14000000000000001</v>
      </c>
      <c r="K14" s="51">
        <v>249.62</v>
      </c>
      <c r="L14" s="51">
        <v>14.87</v>
      </c>
      <c r="M14" s="51">
        <v>96.09</v>
      </c>
      <c r="N14" s="51">
        <v>0</v>
      </c>
      <c r="O14" s="51">
        <v>0</v>
      </c>
      <c r="P14" s="51">
        <v>1.1000000000000001</v>
      </c>
      <c r="Q14" s="51">
        <v>5.4</v>
      </c>
    </row>
    <row r="15" spans="1:21">
      <c r="A15" s="50" t="s">
        <v>545</v>
      </c>
      <c r="B15" s="51">
        <v>52.41</v>
      </c>
      <c r="C15" s="51">
        <v>28.35</v>
      </c>
      <c r="D15" s="51">
        <v>58.19</v>
      </c>
      <c r="E15" s="51">
        <v>4.74</v>
      </c>
      <c r="F15" s="51">
        <v>2.64</v>
      </c>
      <c r="G15" s="51">
        <v>112.86</v>
      </c>
      <c r="H15" s="51">
        <v>63.16</v>
      </c>
      <c r="I15" s="51">
        <v>11.63</v>
      </c>
      <c r="J15" s="51">
        <v>0.15</v>
      </c>
      <c r="K15" s="51">
        <v>158.51</v>
      </c>
      <c r="L15" s="51">
        <v>14.81</v>
      </c>
      <c r="M15" s="51">
        <v>96.66</v>
      </c>
      <c r="N15" s="51">
        <v>4.5</v>
      </c>
      <c r="O15" s="51">
        <v>0</v>
      </c>
      <c r="P15" s="51">
        <v>1.06</v>
      </c>
      <c r="Q15" s="51">
        <v>5.49</v>
      </c>
    </row>
    <row r="16" spans="1:21">
      <c r="A16" s="50" t="s">
        <v>546</v>
      </c>
      <c r="B16" s="51">
        <v>57.62</v>
      </c>
      <c r="C16" s="51">
        <v>30.12</v>
      </c>
      <c r="D16" s="51">
        <v>63.2</v>
      </c>
      <c r="E16" s="51">
        <v>5.2</v>
      </c>
      <c r="F16" s="51">
        <v>2.59</v>
      </c>
      <c r="G16" s="51">
        <v>125.35</v>
      </c>
      <c r="H16" s="51">
        <v>62.71</v>
      </c>
      <c r="I16" s="51">
        <v>12.13</v>
      </c>
      <c r="J16" s="51">
        <v>0.27</v>
      </c>
      <c r="K16" s="51">
        <v>175.87</v>
      </c>
      <c r="L16" s="51">
        <v>16.32</v>
      </c>
      <c r="M16" s="51">
        <v>96.41</v>
      </c>
      <c r="N16" s="51">
        <v>48.5</v>
      </c>
      <c r="O16" s="51">
        <v>0</v>
      </c>
      <c r="P16" s="51">
        <v>1.1000000000000001</v>
      </c>
      <c r="Q16" s="51">
        <v>5.58</v>
      </c>
    </row>
    <row r="17" spans="1:17">
      <c r="A17" s="50" t="s">
        <v>547</v>
      </c>
      <c r="B17" s="51">
        <v>55.91</v>
      </c>
      <c r="C17" s="51">
        <v>30.83</v>
      </c>
      <c r="D17" s="51">
        <v>62.29</v>
      </c>
      <c r="E17" s="51">
        <v>5.35</v>
      </c>
      <c r="F17" s="51">
        <v>2.63</v>
      </c>
      <c r="G17" s="51">
        <v>125.35</v>
      </c>
      <c r="H17" s="51">
        <v>65.5</v>
      </c>
      <c r="I17" s="51">
        <v>12.37</v>
      </c>
      <c r="J17" s="51">
        <v>0.32</v>
      </c>
      <c r="K17" s="51">
        <v>163.19</v>
      </c>
      <c r="L17" s="51">
        <v>20.02</v>
      </c>
      <c r="M17" s="51">
        <v>86.86</v>
      </c>
      <c r="N17" s="51">
        <v>166.7</v>
      </c>
      <c r="O17" s="51">
        <v>0</v>
      </c>
      <c r="P17" s="51">
        <v>1.1000000000000001</v>
      </c>
      <c r="Q17" s="51">
        <v>5.55</v>
      </c>
    </row>
    <row r="18" spans="1:17">
      <c r="A18" s="50" t="s">
        <v>548</v>
      </c>
      <c r="B18" s="51">
        <v>45.28</v>
      </c>
      <c r="C18" s="51">
        <v>29.53</v>
      </c>
      <c r="D18" s="51">
        <v>52.46</v>
      </c>
      <c r="E18" s="51">
        <v>5.2</v>
      </c>
      <c r="F18" s="51">
        <v>2.9</v>
      </c>
      <c r="G18" s="51">
        <v>117.02</v>
      </c>
      <c r="H18" s="51">
        <v>65.5</v>
      </c>
      <c r="I18" s="51">
        <v>12.9</v>
      </c>
      <c r="J18" s="51">
        <v>0.28999999999999998</v>
      </c>
      <c r="K18" s="51">
        <v>207.53</v>
      </c>
      <c r="L18" s="51">
        <v>22.99</v>
      </c>
      <c r="M18" s="51">
        <v>72.25</v>
      </c>
      <c r="N18" s="51">
        <v>178.1</v>
      </c>
      <c r="O18" s="51">
        <v>0</v>
      </c>
      <c r="P18" s="51">
        <v>1.06</v>
      </c>
      <c r="Q18" s="51">
        <v>5.43</v>
      </c>
    </row>
    <row r="19" spans="1:17">
      <c r="A19" s="50" t="s">
        <v>549</v>
      </c>
      <c r="B19" s="51">
        <v>34.159999999999997</v>
      </c>
      <c r="C19" s="51">
        <v>32.01</v>
      </c>
      <c r="D19" s="51">
        <v>43.41</v>
      </c>
      <c r="E19" s="51">
        <v>6.34</v>
      </c>
      <c r="F19" s="51">
        <v>3</v>
      </c>
      <c r="G19" s="51">
        <v>103.94</v>
      </c>
      <c r="H19" s="51">
        <v>60.3</v>
      </c>
      <c r="I19" s="51">
        <v>12.49</v>
      </c>
      <c r="J19" s="51">
        <v>0.33</v>
      </c>
      <c r="K19" s="51">
        <v>105.98</v>
      </c>
      <c r="L19" s="51">
        <v>25.3</v>
      </c>
      <c r="M19" s="51">
        <v>57.79</v>
      </c>
      <c r="N19" s="51">
        <v>353.3</v>
      </c>
      <c r="O19" s="51">
        <v>0</v>
      </c>
      <c r="P19" s="51">
        <v>1.01</v>
      </c>
      <c r="Q19" s="51">
        <v>5.29</v>
      </c>
    </row>
    <row r="20" spans="1:17">
      <c r="A20" s="50" t="s">
        <v>550</v>
      </c>
      <c r="B20" s="51">
        <v>19.350000000000001</v>
      </c>
      <c r="C20" s="51">
        <v>32.9</v>
      </c>
      <c r="D20" s="51">
        <v>33.89</v>
      </c>
      <c r="E20" s="51">
        <v>5.95</v>
      </c>
      <c r="F20" s="51">
        <v>3.39</v>
      </c>
      <c r="G20" s="51">
        <v>91.71</v>
      </c>
      <c r="H20" s="51">
        <v>58.15</v>
      </c>
      <c r="I20" s="51">
        <v>11.23</v>
      </c>
      <c r="J20" s="51">
        <v>0.43</v>
      </c>
      <c r="K20" s="51">
        <v>293.19</v>
      </c>
      <c r="L20" s="51">
        <v>26.71</v>
      </c>
      <c r="M20" s="51">
        <v>47.84</v>
      </c>
      <c r="N20" s="51">
        <v>400.2</v>
      </c>
      <c r="O20" s="51">
        <v>0</v>
      </c>
      <c r="P20" s="51">
        <v>0.95</v>
      </c>
      <c r="Q20" s="51">
        <v>5.12</v>
      </c>
    </row>
    <row r="21" spans="1:17">
      <c r="A21" s="50" t="s">
        <v>551</v>
      </c>
      <c r="B21" s="51">
        <v>10.29</v>
      </c>
      <c r="C21" s="51">
        <v>32.71</v>
      </c>
      <c r="D21" s="51">
        <v>26.7</v>
      </c>
      <c r="E21" s="51">
        <v>5.97</v>
      </c>
      <c r="F21" s="51">
        <v>3.97</v>
      </c>
      <c r="G21" s="51">
        <v>88.36</v>
      </c>
      <c r="H21" s="51">
        <v>53.12</v>
      </c>
      <c r="I21" s="51">
        <v>10.09</v>
      </c>
      <c r="J21" s="51">
        <v>0.31</v>
      </c>
      <c r="K21" s="51">
        <v>193.77</v>
      </c>
      <c r="L21" s="51">
        <v>27.1</v>
      </c>
      <c r="M21" s="51">
        <v>44.74</v>
      </c>
      <c r="N21" s="51">
        <v>371.4</v>
      </c>
      <c r="O21" s="51">
        <v>0</v>
      </c>
      <c r="P21" s="51">
        <v>0.87</v>
      </c>
      <c r="Q21" s="51">
        <v>4.99</v>
      </c>
    </row>
    <row r="22" spans="1:17">
      <c r="A22" s="50" t="s">
        <v>552</v>
      </c>
      <c r="B22" s="51">
        <v>5.42</v>
      </c>
      <c r="C22" s="51">
        <v>29.91</v>
      </c>
      <c r="D22" s="51">
        <v>21.32</v>
      </c>
      <c r="E22" s="51">
        <v>6</v>
      </c>
      <c r="F22" s="51">
        <v>4.54</v>
      </c>
      <c r="G22" s="51">
        <v>87.21</v>
      </c>
      <c r="H22" s="51">
        <v>48.49</v>
      </c>
      <c r="I22" s="51">
        <v>9.23</v>
      </c>
      <c r="J22" s="51">
        <v>0.28999999999999998</v>
      </c>
      <c r="K22" s="51">
        <v>105.54</v>
      </c>
      <c r="L22" s="51">
        <v>27.38</v>
      </c>
      <c r="M22" s="51">
        <v>43.49</v>
      </c>
      <c r="N22" s="51">
        <v>297.7</v>
      </c>
      <c r="O22" s="51">
        <v>0</v>
      </c>
      <c r="P22" s="51">
        <v>0.81</v>
      </c>
      <c r="Q22" s="51">
        <v>4.88</v>
      </c>
    </row>
    <row r="23" spans="1:17">
      <c r="A23" s="50" t="s">
        <v>553</v>
      </c>
      <c r="B23" s="51">
        <v>4.71</v>
      </c>
      <c r="C23" s="51">
        <v>27.78</v>
      </c>
      <c r="D23" s="51">
        <v>19.64</v>
      </c>
      <c r="E23" s="51">
        <v>5.94</v>
      </c>
      <c r="F23" s="51">
        <v>5.28</v>
      </c>
      <c r="G23" s="51">
        <v>85.76</v>
      </c>
      <c r="H23" s="51">
        <v>48.34</v>
      </c>
      <c r="I23" s="51">
        <v>8.57</v>
      </c>
      <c r="J23" s="51">
        <v>0.27</v>
      </c>
      <c r="K23" s="51">
        <v>170.59</v>
      </c>
      <c r="L23" s="51">
        <v>26.67</v>
      </c>
      <c r="M23" s="51">
        <v>44.37</v>
      </c>
      <c r="N23" s="51">
        <v>139.30000000000001</v>
      </c>
      <c r="O23" s="51">
        <v>0</v>
      </c>
      <c r="P23" s="51">
        <v>0.68</v>
      </c>
      <c r="Q23" s="51">
        <v>4.84</v>
      </c>
    </row>
    <row r="24" spans="1:17">
      <c r="A24" s="50" t="s">
        <v>554</v>
      </c>
      <c r="B24" s="51">
        <v>4.82</v>
      </c>
      <c r="C24" s="51">
        <v>25.02</v>
      </c>
      <c r="D24" s="51">
        <v>18.04</v>
      </c>
      <c r="E24" s="51">
        <v>5.79</v>
      </c>
      <c r="F24" s="51">
        <v>4.21</v>
      </c>
      <c r="G24" s="51">
        <v>85.76</v>
      </c>
      <c r="H24" s="51">
        <v>45.78</v>
      </c>
      <c r="I24" s="51">
        <v>7.96</v>
      </c>
      <c r="J24" s="51">
        <v>0.25</v>
      </c>
      <c r="K24" s="51">
        <v>127.48</v>
      </c>
      <c r="L24" s="51">
        <v>26.52</v>
      </c>
      <c r="M24" s="51">
        <v>47.26</v>
      </c>
      <c r="N24" s="51">
        <v>110.6</v>
      </c>
      <c r="O24" s="51">
        <v>0</v>
      </c>
      <c r="P24" s="51">
        <v>0.66</v>
      </c>
      <c r="Q24" s="51">
        <v>4.8</v>
      </c>
    </row>
    <row r="25" spans="1:17">
      <c r="A25" s="50" t="s">
        <v>555</v>
      </c>
      <c r="B25" s="51">
        <v>5.04</v>
      </c>
      <c r="C25" s="51">
        <v>19.670000000000002</v>
      </c>
      <c r="D25" s="51">
        <v>15.53</v>
      </c>
      <c r="E25" s="51">
        <v>5.69</v>
      </c>
      <c r="F25" s="51">
        <v>3.44</v>
      </c>
      <c r="G25" s="51">
        <v>88.61</v>
      </c>
      <c r="H25" s="51">
        <v>45.97</v>
      </c>
      <c r="I25" s="51">
        <v>7.69</v>
      </c>
      <c r="J25" s="51">
        <v>0.24</v>
      </c>
      <c r="K25" s="51">
        <v>163.08000000000001</v>
      </c>
      <c r="L25" s="51">
        <v>25.56</v>
      </c>
      <c r="M25" s="51">
        <v>55.34</v>
      </c>
      <c r="N25" s="51">
        <v>46.9</v>
      </c>
      <c r="O25" s="51">
        <v>0</v>
      </c>
      <c r="P25" s="51">
        <v>0.63</v>
      </c>
      <c r="Q25" s="51">
        <v>4.8499999999999996</v>
      </c>
    </row>
    <row r="26" spans="1:17">
      <c r="A26" s="50" t="s">
        <v>556</v>
      </c>
      <c r="B26" s="51">
        <v>5.64</v>
      </c>
      <c r="C26" s="51">
        <v>22.14</v>
      </c>
      <c r="D26" s="51">
        <v>17.440000000000001</v>
      </c>
      <c r="E26" s="51">
        <v>5.9</v>
      </c>
      <c r="F26" s="51">
        <v>2.96</v>
      </c>
      <c r="G26" s="51">
        <v>92.9</v>
      </c>
      <c r="H26" s="51">
        <v>47.83</v>
      </c>
      <c r="I26" s="51">
        <v>7.53</v>
      </c>
      <c r="J26" s="51">
        <v>0.21</v>
      </c>
      <c r="K26" s="51">
        <v>173.64</v>
      </c>
      <c r="L26" s="51">
        <v>23.76</v>
      </c>
      <c r="M26" s="51">
        <v>74.260000000000005</v>
      </c>
      <c r="N26" s="51">
        <v>1.2</v>
      </c>
      <c r="O26" s="51">
        <v>0</v>
      </c>
      <c r="P26" s="51">
        <v>0.65</v>
      </c>
      <c r="Q26" s="51">
        <v>4.8899999999999997</v>
      </c>
    </row>
    <row r="27" spans="1:17">
      <c r="A27" s="50" t="s">
        <v>557</v>
      </c>
      <c r="B27" s="51">
        <v>7.87</v>
      </c>
      <c r="C27" s="51">
        <v>22.5</v>
      </c>
      <c r="D27" s="51">
        <v>19.420000000000002</v>
      </c>
      <c r="E27" s="51">
        <v>7.36</v>
      </c>
      <c r="F27" s="51">
        <v>3.15</v>
      </c>
      <c r="G27" s="51">
        <v>99.11</v>
      </c>
      <c r="H27" s="51">
        <v>49.42</v>
      </c>
      <c r="I27" s="51">
        <v>7.47</v>
      </c>
      <c r="J27" s="51">
        <v>0.16</v>
      </c>
      <c r="K27" s="51">
        <v>165.09</v>
      </c>
      <c r="L27" s="51">
        <v>21.2</v>
      </c>
      <c r="M27" s="51">
        <v>78.34</v>
      </c>
      <c r="N27" s="51">
        <v>0</v>
      </c>
      <c r="O27" s="51">
        <v>0</v>
      </c>
      <c r="P27" s="51">
        <v>0.71</v>
      </c>
      <c r="Q27" s="51">
        <v>4.9000000000000004</v>
      </c>
    </row>
    <row r="28" spans="1:17">
      <c r="A28" s="50" t="s">
        <v>558</v>
      </c>
      <c r="B28" s="51">
        <v>11.23</v>
      </c>
      <c r="C28" s="51">
        <v>27.54</v>
      </c>
      <c r="D28" s="51">
        <v>24.74</v>
      </c>
      <c r="E28" s="51">
        <v>7.56</v>
      </c>
      <c r="F28" s="51">
        <v>2.48</v>
      </c>
      <c r="G28" s="51">
        <v>117.68</v>
      </c>
      <c r="H28" s="51">
        <v>54.57</v>
      </c>
      <c r="I28" s="51">
        <v>8.36</v>
      </c>
      <c r="J28" s="51">
        <v>0.21</v>
      </c>
      <c r="K28" s="51">
        <v>166.23</v>
      </c>
      <c r="L28" s="51">
        <v>20.399999999999999</v>
      </c>
      <c r="M28" s="51">
        <v>80.099999999999994</v>
      </c>
      <c r="N28" s="51">
        <v>0</v>
      </c>
      <c r="O28" s="51">
        <v>0</v>
      </c>
      <c r="P28" s="51">
        <v>0.85</v>
      </c>
      <c r="Q28" s="51">
        <v>5</v>
      </c>
    </row>
    <row r="29" spans="1:17">
      <c r="A29" s="50" t="s">
        <v>559</v>
      </c>
      <c r="B29" s="51">
        <v>13.71</v>
      </c>
      <c r="C29" s="51">
        <v>31.2</v>
      </c>
      <c r="D29" s="51">
        <v>28.65</v>
      </c>
      <c r="E29" s="51">
        <v>7.88</v>
      </c>
      <c r="F29" s="51">
        <v>2.63</v>
      </c>
      <c r="G29" s="51">
        <v>135.03</v>
      </c>
      <c r="H29" s="51">
        <v>57.84</v>
      </c>
      <c r="I29" s="51">
        <v>9.7100000000000009</v>
      </c>
      <c r="J29" s="51">
        <v>0.19</v>
      </c>
      <c r="K29" s="51">
        <v>224.42</v>
      </c>
      <c r="L29" s="51">
        <v>19.29</v>
      </c>
      <c r="M29" s="51">
        <v>85.57</v>
      </c>
      <c r="N29" s="51">
        <v>0</v>
      </c>
      <c r="O29" s="51">
        <v>0</v>
      </c>
      <c r="P29" s="51">
        <v>0.98</v>
      </c>
      <c r="Q29" s="51">
        <v>5.03</v>
      </c>
    </row>
    <row r="30" spans="1:17">
      <c r="A30" s="50" t="s">
        <v>560</v>
      </c>
      <c r="B30" s="51">
        <v>13.84</v>
      </c>
      <c r="C30" s="51">
        <v>31.89</v>
      </c>
      <c r="D30" s="51">
        <v>29.11</v>
      </c>
      <c r="E30" s="51">
        <v>7.87</v>
      </c>
      <c r="F30" s="51">
        <v>2.57</v>
      </c>
      <c r="G30" s="51">
        <v>137.68</v>
      </c>
      <c r="H30" s="51">
        <v>58.47</v>
      </c>
      <c r="I30" s="51">
        <v>10.35</v>
      </c>
      <c r="J30" s="51">
        <v>0.15</v>
      </c>
      <c r="K30" s="51">
        <v>220.12</v>
      </c>
      <c r="L30" s="51">
        <v>18.21</v>
      </c>
      <c r="M30" s="51">
        <v>89.83</v>
      </c>
      <c r="N30" s="51">
        <v>0</v>
      </c>
      <c r="O30" s="51">
        <v>0</v>
      </c>
      <c r="P30" s="51">
        <v>1</v>
      </c>
      <c r="Q30" s="51">
        <v>5.04</v>
      </c>
    </row>
    <row r="31" spans="1:17">
      <c r="A31" s="50" t="s">
        <v>561</v>
      </c>
      <c r="B31" s="51">
        <v>13.74</v>
      </c>
      <c r="C31" s="51">
        <v>31.62</v>
      </c>
      <c r="D31" s="51">
        <v>28.89</v>
      </c>
      <c r="E31" s="51">
        <v>7.7</v>
      </c>
      <c r="F31" s="51">
        <v>2.63</v>
      </c>
      <c r="G31" s="51">
        <v>137.68</v>
      </c>
      <c r="H31" s="51">
        <v>58.99</v>
      </c>
      <c r="I31" s="51">
        <v>10.62</v>
      </c>
      <c r="J31" s="51">
        <v>0.13</v>
      </c>
      <c r="K31" s="51">
        <v>221.19</v>
      </c>
      <c r="L31" s="51">
        <v>17.899999999999999</v>
      </c>
      <c r="M31" s="51">
        <v>89.19</v>
      </c>
      <c r="N31" s="51">
        <v>0</v>
      </c>
      <c r="O31" s="51">
        <v>0</v>
      </c>
      <c r="P31" s="51">
        <v>1.01</v>
      </c>
      <c r="Q31" s="51">
        <v>5</v>
      </c>
    </row>
    <row r="32" spans="1:17">
      <c r="A32" s="50" t="s">
        <v>562</v>
      </c>
      <c r="B32" s="51">
        <v>18.309999999999999</v>
      </c>
      <c r="C32" s="51">
        <v>33.17</v>
      </c>
      <c r="D32" s="51">
        <v>33.369999999999997</v>
      </c>
      <c r="E32" s="51">
        <v>7.85</v>
      </c>
      <c r="F32" s="51">
        <v>2.61</v>
      </c>
      <c r="G32" s="51">
        <v>132.74</v>
      </c>
      <c r="H32" s="51">
        <v>59.99</v>
      </c>
      <c r="I32" s="51">
        <v>10.64</v>
      </c>
      <c r="J32" s="51">
        <v>0.14000000000000001</v>
      </c>
      <c r="K32" s="51">
        <v>191.97</v>
      </c>
      <c r="L32" s="51">
        <v>17.62</v>
      </c>
      <c r="M32" s="51">
        <v>87.13</v>
      </c>
      <c r="N32" s="51">
        <v>0</v>
      </c>
      <c r="O32" s="51">
        <v>0</v>
      </c>
      <c r="P32" s="51">
        <v>1</v>
      </c>
      <c r="Q32" s="51">
        <v>4.9800000000000004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4.71</v>
      </c>
      <c r="C34" s="41">
        <f t="shared" si="0"/>
        <v>19.670000000000002</v>
      </c>
      <c r="D34" s="41">
        <f t="shared" si="0"/>
        <v>15.53</v>
      </c>
      <c r="E34" s="41">
        <f t="shared" si="0"/>
        <v>4.74</v>
      </c>
      <c r="F34" s="41">
        <f t="shared" si="0"/>
        <v>2.48</v>
      </c>
      <c r="G34" s="41">
        <f t="shared" si="0"/>
        <v>85.76</v>
      </c>
      <c r="H34" s="41">
        <f t="shared" si="0"/>
        <v>45.78</v>
      </c>
      <c r="I34" s="41">
        <f t="shared" si="0"/>
        <v>7.47</v>
      </c>
      <c r="J34" s="41">
        <f t="shared" si="0"/>
        <v>0.11</v>
      </c>
      <c r="K34" s="41">
        <f t="shared" si="0"/>
        <v>105.54</v>
      </c>
      <c r="L34" s="41">
        <f t="shared" si="0"/>
        <v>14.81</v>
      </c>
      <c r="M34" s="41">
        <f t="shared" si="0"/>
        <v>43.49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4.8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57.62</v>
      </c>
      <c r="C35" s="33">
        <f t="shared" si="1"/>
        <v>33.86</v>
      </c>
      <c r="D35" s="33">
        <f t="shared" si="1"/>
        <v>63.2</v>
      </c>
      <c r="E35" s="33">
        <f t="shared" si="1"/>
        <v>7.88</v>
      </c>
      <c r="F35" s="33">
        <f t="shared" si="1"/>
        <v>5.28</v>
      </c>
      <c r="G35" s="33">
        <f t="shared" si="1"/>
        <v>144.86000000000001</v>
      </c>
      <c r="H35" s="33">
        <f t="shared" si="1"/>
        <v>65.5</v>
      </c>
      <c r="I35" s="33">
        <f t="shared" si="1"/>
        <v>12.9</v>
      </c>
      <c r="J35" s="33">
        <f t="shared" si="1"/>
        <v>0.43</v>
      </c>
      <c r="K35" s="33">
        <f t="shared" si="1"/>
        <v>293.19</v>
      </c>
      <c r="L35" s="33">
        <f t="shared" si="1"/>
        <v>27.38</v>
      </c>
      <c r="M35" s="33">
        <f t="shared" si="1"/>
        <v>96.66</v>
      </c>
      <c r="N35" s="33">
        <f t="shared" si="1"/>
        <v>400.2</v>
      </c>
      <c r="O35" s="33">
        <f t="shared" si="1"/>
        <v>0</v>
      </c>
      <c r="P35" s="33">
        <f t="shared" si="1"/>
        <v>1.1299999999999999</v>
      </c>
      <c r="Q35" s="33">
        <f t="shared" si="1"/>
        <v>5.58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24.954166666666666</v>
      </c>
      <c r="C36" s="41">
        <f t="shared" si="2"/>
        <v>29.803333333333327</v>
      </c>
      <c r="D36" s="41">
        <f t="shared" si="2"/>
        <v>36.720416666666665</v>
      </c>
      <c r="E36" s="41">
        <f t="shared" si="2"/>
        <v>6.145833333333333</v>
      </c>
      <c r="F36" s="41">
        <f t="shared" si="2"/>
        <v>3.0549999999999993</v>
      </c>
      <c r="G36" s="41">
        <f t="shared" si="2"/>
        <v>114.99374999999998</v>
      </c>
      <c r="H36" s="41">
        <f t="shared" si="2"/>
        <v>57.850833333333327</v>
      </c>
      <c r="I36" s="41">
        <f t="shared" si="2"/>
        <v>10.341666666666667</v>
      </c>
      <c r="J36" s="41">
        <f t="shared" si="2"/>
        <v>0.21875000000000003</v>
      </c>
      <c r="K36" s="41">
        <f t="shared" si="2"/>
        <v>183.81125</v>
      </c>
      <c r="L36" s="41">
        <f t="shared" si="2"/>
        <v>20.576666666666664</v>
      </c>
      <c r="M36" s="41">
        <f t="shared" si="2"/>
        <v>76.50958333333331</v>
      </c>
      <c r="N36" s="41">
        <f t="shared" si="2"/>
        <v>88.266666666666652</v>
      </c>
      <c r="O36" s="41">
        <f t="shared" si="2"/>
        <v>0</v>
      </c>
      <c r="P36" s="41">
        <f t="shared" si="2"/>
        <v>0.94791666666666685</v>
      </c>
      <c r="Q36" s="41">
        <f t="shared" si="2"/>
        <v>5.1466666666666665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18.12993774820044</v>
      </c>
      <c r="C37" s="41">
        <f t="shared" ref="C37:Q37" si="3">STDEV(C9:C32)</f>
        <v>3.9123690884243492</v>
      </c>
      <c r="D37" s="41">
        <f t="shared" si="3"/>
        <v>15.442147147158417</v>
      </c>
      <c r="E37" s="41">
        <f t="shared" si="3"/>
        <v>1.0583864530774953</v>
      </c>
      <c r="F37" s="41">
        <f t="shared" si="3"/>
        <v>0.7378700250810063</v>
      </c>
      <c r="G37" s="41">
        <f t="shared" si="3"/>
        <v>20.364037101351627</v>
      </c>
      <c r="H37" s="41">
        <f t="shared" si="3"/>
        <v>6.8658264752619189</v>
      </c>
      <c r="I37" s="41">
        <f t="shared" si="3"/>
        <v>1.6782798301850044</v>
      </c>
      <c r="J37" s="41">
        <f t="shared" si="3"/>
        <v>8.0881690301865872E-2</v>
      </c>
      <c r="K37" s="41">
        <f t="shared" si="3"/>
        <v>44.112639647049406</v>
      </c>
      <c r="L37" s="41">
        <f t="shared" si="3"/>
        <v>4.4963740625247182</v>
      </c>
      <c r="M37" s="41">
        <f t="shared" si="3"/>
        <v>19.543575499306812</v>
      </c>
      <c r="N37" s="41">
        <f t="shared" si="3"/>
        <v>135.17765658783892</v>
      </c>
      <c r="O37" s="41">
        <f t="shared" si="3"/>
        <v>0</v>
      </c>
      <c r="P37" s="41">
        <f t="shared" si="3"/>
        <v>0.17052295948095861</v>
      </c>
      <c r="Q37" s="41">
        <f t="shared" si="3"/>
        <v>0.24671170759950389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563</v>
      </c>
      <c r="B9" s="51">
        <v>22.31</v>
      </c>
      <c r="C9" s="51">
        <v>33.89</v>
      </c>
      <c r="D9" s="51">
        <v>36.94</v>
      </c>
      <c r="E9" s="51">
        <v>7.73</v>
      </c>
      <c r="F9" s="51">
        <v>2.5499999999999998</v>
      </c>
      <c r="G9" s="51">
        <v>125.82</v>
      </c>
      <c r="H9" s="51">
        <v>59.99</v>
      </c>
      <c r="I9" s="51">
        <v>10.53</v>
      </c>
      <c r="J9" s="51">
        <v>0.16</v>
      </c>
      <c r="K9" s="51">
        <v>208.77</v>
      </c>
      <c r="L9" s="51">
        <v>17.170000000000002</v>
      </c>
      <c r="M9" s="51">
        <v>91.52</v>
      </c>
      <c r="N9" s="51">
        <v>0</v>
      </c>
      <c r="O9" s="51">
        <v>0</v>
      </c>
      <c r="P9" s="51">
        <v>1</v>
      </c>
      <c r="Q9" s="51">
        <v>5.0599999999999996</v>
      </c>
    </row>
    <row r="10" spans="1:21" customFormat="1">
      <c r="A10" s="50" t="s">
        <v>564</v>
      </c>
      <c r="B10" s="51">
        <v>21.62</v>
      </c>
      <c r="C10" s="51">
        <v>30.71</v>
      </c>
      <c r="D10" s="51">
        <v>34.74</v>
      </c>
      <c r="E10" s="51">
        <v>7.44</v>
      </c>
      <c r="F10" s="51">
        <v>2.92</v>
      </c>
      <c r="G10" s="51">
        <v>119.88</v>
      </c>
      <c r="H10" s="51">
        <v>58.99</v>
      </c>
      <c r="I10" s="51">
        <v>11.25</v>
      </c>
      <c r="J10" s="51">
        <v>0.16</v>
      </c>
      <c r="K10" s="51">
        <v>200.38</v>
      </c>
      <c r="L10" s="51">
        <v>16.739999999999998</v>
      </c>
      <c r="M10" s="51">
        <v>93.43</v>
      </c>
      <c r="N10" s="51">
        <v>0</v>
      </c>
      <c r="O10" s="51">
        <v>0</v>
      </c>
      <c r="P10" s="51">
        <v>0.98</v>
      </c>
      <c r="Q10" s="51">
        <v>5.03</v>
      </c>
    </row>
    <row r="11" spans="1:21" customFormat="1">
      <c r="A11" s="50" t="s">
        <v>565</v>
      </c>
      <c r="B11" s="51">
        <v>20.34</v>
      </c>
      <c r="C11" s="51">
        <v>26.86</v>
      </c>
      <c r="D11" s="51">
        <v>31.3</v>
      </c>
      <c r="E11" s="51">
        <v>7.82</v>
      </c>
      <c r="F11" s="51">
        <v>2.67</v>
      </c>
      <c r="G11" s="51">
        <v>103.07</v>
      </c>
      <c r="H11" s="51">
        <v>58.75</v>
      </c>
      <c r="I11" s="51">
        <v>11.25</v>
      </c>
      <c r="J11" s="51">
        <v>0.14000000000000001</v>
      </c>
      <c r="K11" s="51">
        <v>281.57</v>
      </c>
      <c r="L11" s="51">
        <v>16.22</v>
      </c>
      <c r="M11" s="51">
        <v>95.11</v>
      </c>
      <c r="N11" s="51">
        <v>0</v>
      </c>
      <c r="O11" s="51">
        <v>0</v>
      </c>
      <c r="P11" s="51">
        <v>0.95</v>
      </c>
      <c r="Q11" s="51">
        <v>5.0599999999999996</v>
      </c>
    </row>
    <row r="12" spans="1:21" customFormat="1">
      <c r="A12" s="50" t="s">
        <v>566</v>
      </c>
      <c r="B12" s="51">
        <v>21.37</v>
      </c>
      <c r="C12" s="51">
        <v>26.39</v>
      </c>
      <c r="D12" s="51">
        <v>32.17</v>
      </c>
      <c r="E12" s="51">
        <v>7.36</v>
      </c>
      <c r="F12" s="51">
        <v>2.61</v>
      </c>
      <c r="G12" s="51">
        <v>97.63</v>
      </c>
      <c r="H12" s="51">
        <v>57.72</v>
      </c>
      <c r="I12" s="51">
        <v>11.21</v>
      </c>
      <c r="J12" s="51">
        <v>0.14000000000000001</v>
      </c>
      <c r="K12" s="51">
        <v>233.37</v>
      </c>
      <c r="L12" s="51">
        <v>15.95</v>
      </c>
      <c r="M12" s="51">
        <v>96.98</v>
      </c>
      <c r="N12" s="51">
        <v>0</v>
      </c>
      <c r="O12" s="51">
        <v>0</v>
      </c>
      <c r="P12" s="51">
        <v>0.95</v>
      </c>
      <c r="Q12" s="51">
        <v>5.1100000000000003</v>
      </c>
    </row>
    <row r="13" spans="1:21" customFormat="1">
      <c r="A13" s="50" t="s">
        <v>567</v>
      </c>
      <c r="B13" s="51">
        <v>25.84</v>
      </c>
      <c r="C13" s="51">
        <v>26.24</v>
      </c>
      <c r="D13" s="51">
        <v>35.78</v>
      </c>
      <c r="E13" s="51">
        <v>7.21</v>
      </c>
      <c r="F13" s="51">
        <v>2.75</v>
      </c>
      <c r="G13" s="51">
        <v>95.01</v>
      </c>
      <c r="H13" s="51">
        <v>55.42</v>
      </c>
      <c r="I13" s="51">
        <v>11.2</v>
      </c>
      <c r="J13" s="51">
        <v>0.11</v>
      </c>
      <c r="K13" s="51">
        <v>216.4</v>
      </c>
      <c r="L13" s="51">
        <v>15.5</v>
      </c>
      <c r="M13" s="51">
        <v>96.62</v>
      </c>
      <c r="N13" s="51">
        <v>0</v>
      </c>
      <c r="O13" s="51">
        <v>0</v>
      </c>
      <c r="P13" s="51">
        <v>0.95</v>
      </c>
      <c r="Q13" s="51">
        <v>5.16</v>
      </c>
    </row>
    <row r="14" spans="1:21" customFormat="1">
      <c r="A14" s="50" t="s">
        <v>568</v>
      </c>
      <c r="B14" s="51">
        <v>25.24</v>
      </c>
      <c r="C14" s="51">
        <v>25.52</v>
      </c>
      <c r="D14" s="51">
        <v>34.93</v>
      </c>
      <c r="E14" s="51">
        <v>7.26</v>
      </c>
      <c r="F14" s="51">
        <v>2.54</v>
      </c>
      <c r="G14" s="51">
        <v>93.22</v>
      </c>
      <c r="H14" s="51">
        <v>55.42</v>
      </c>
      <c r="I14" s="51">
        <v>11.23</v>
      </c>
      <c r="J14" s="51">
        <v>0.1</v>
      </c>
      <c r="K14" s="51">
        <v>219.62</v>
      </c>
      <c r="L14" s="51">
        <v>15.29</v>
      </c>
      <c r="M14" s="51">
        <v>97.5</v>
      </c>
      <c r="N14" s="51">
        <v>0</v>
      </c>
      <c r="O14" s="51">
        <v>0</v>
      </c>
      <c r="P14" s="51">
        <v>0.93</v>
      </c>
      <c r="Q14" s="51">
        <v>5.14</v>
      </c>
    </row>
    <row r="15" spans="1:21" customFormat="1">
      <c r="A15" s="50" t="s">
        <v>569</v>
      </c>
      <c r="B15" s="51">
        <v>21.89</v>
      </c>
      <c r="C15" s="51">
        <v>24.26</v>
      </c>
      <c r="D15" s="51">
        <v>31.14</v>
      </c>
      <c r="E15" s="51">
        <v>7.15</v>
      </c>
      <c r="F15" s="51">
        <v>2.8</v>
      </c>
      <c r="G15" s="51">
        <v>90.95</v>
      </c>
      <c r="H15" s="51">
        <v>53.09</v>
      </c>
      <c r="I15" s="51">
        <v>11.13</v>
      </c>
      <c r="J15" s="51">
        <v>0.13</v>
      </c>
      <c r="K15" s="51">
        <v>234.28</v>
      </c>
      <c r="L15" s="51">
        <v>15.06</v>
      </c>
      <c r="M15" s="51">
        <v>97.69</v>
      </c>
      <c r="N15" s="51">
        <v>2.2999999999999998</v>
      </c>
      <c r="O15" s="51">
        <v>0</v>
      </c>
      <c r="P15" s="51">
        <v>0.92</v>
      </c>
      <c r="Q15" s="51">
        <v>5.1100000000000003</v>
      </c>
    </row>
    <row r="16" spans="1:21" customFormat="1">
      <c r="A16" s="50" t="s">
        <v>570</v>
      </c>
      <c r="B16" s="51">
        <v>19.84</v>
      </c>
      <c r="C16" s="51">
        <v>25.47</v>
      </c>
      <c r="D16" s="51">
        <v>30.57</v>
      </c>
      <c r="E16" s="51">
        <v>7.15</v>
      </c>
      <c r="F16" s="51">
        <v>2.73</v>
      </c>
      <c r="G16" s="51">
        <v>90.95</v>
      </c>
      <c r="H16" s="51">
        <v>55.09</v>
      </c>
      <c r="I16" s="51">
        <v>11.08</v>
      </c>
      <c r="J16" s="51">
        <v>0.19</v>
      </c>
      <c r="K16" s="51">
        <v>198.06</v>
      </c>
      <c r="L16" s="51">
        <v>16.760000000000002</v>
      </c>
      <c r="M16" s="51">
        <v>98.01</v>
      </c>
      <c r="N16" s="51">
        <v>47.9</v>
      </c>
      <c r="O16" s="51">
        <v>0</v>
      </c>
      <c r="P16" s="51">
        <v>0.94</v>
      </c>
      <c r="Q16" s="51">
        <v>5.07</v>
      </c>
    </row>
    <row r="17" spans="1:17" customFormat="1">
      <c r="A17" s="50" t="s">
        <v>571</v>
      </c>
      <c r="B17" s="51">
        <v>22.9</v>
      </c>
      <c r="C17" s="51">
        <v>30.82</v>
      </c>
      <c r="D17" s="51">
        <v>35.49</v>
      </c>
      <c r="E17" s="51">
        <v>7.96</v>
      </c>
      <c r="F17" s="51">
        <v>2.61</v>
      </c>
      <c r="G17" s="51">
        <v>117.46</v>
      </c>
      <c r="H17" s="51">
        <v>65.23</v>
      </c>
      <c r="I17" s="51">
        <v>12.38</v>
      </c>
      <c r="J17" s="51">
        <v>0.32</v>
      </c>
      <c r="K17" s="51">
        <v>155.35</v>
      </c>
      <c r="L17" s="51">
        <v>20.25</v>
      </c>
      <c r="M17" s="51">
        <v>88.45</v>
      </c>
      <c r="N17" s="51">
        <v>141.9</v>
      </c>
      <c r="O17" s="51">
        <v>0</v>
      </c>
      <c r="P17" s="51">
        <v>1.0900000000000001</v>
      </c>
      <c r="Q17" s="51">
        <v>5.0999999999999996</v>
      </c>
    </row>
    <row r="18" spans="1:17" customFormat="1">
      <c r="A18" s="50" t="s">
        <v>572</v>
      </c>
      <c r="B18" s="51">
        <v>21.87</v>
      </c>
      <c r="C18" s="51">
        <v>34.36</v>
      </c>
      <c r="D18" s="51">
        <v>35.78</v>
      </c>
      <c r="E18" s="51">
        <v>8</v>
      </c>
      <c r="F18" s="51">
        <v>2.87</v>
      </c>
      <c r="G18" s="51">
        <v>222.3</v>
      </c>
      <c r="H18" s="51">
        <v>87.4</v>
      </c>
      <c r="I18" s="51">
        <v>14.29</v>
      </c>
      <c r="J18" s="51">
        <v>0.3</v>
      </c>
      <c r="K18" s="51">
        <v>168</v>
      </c>
      <c r="L18" s="51">
        <v>23.13</v>
      </c>
      <c r="M18" s="51">
        <v>73.989999999999995</v>
      </c>
      <c r="N18" s="51">
        <v>179.2</v>
      </c>
      <c r="O18" s="51">
        <v>0</v>
      </c>
      <c r="P18" s="51">
        <v>1.18</v>
      </c>
      <c r="Q18" s="51">
        <v>5.08</v>
      </c>
    </row>
    <row r="19" spans="1:17" customFormat="1">
      <c r="A19" s="50" t="s">
        <v>573</v>
      </c>
      <c r="B19" s="51">
        <v>13.95</v>
      </c>
      <c r="C19" s="51">
        <v>33.89</v>
      </c>
      <c r="D19" s="51">
        <v>30.24</v>
      </c>
      <c r="E19" s="51">
        <v>6.45</v>
      </c>
      <c r="F19" s="51">
        <v>3.28</v>
      </c>
      <c r="G19" s="51">
        <v>222.3</v>
      </c>
      <c r="H19" s="51">
        <v>87.4</v>
      </c>
      <c r="I19" s="51">
        <v>14.51</v>
      </c>
      <c r="J19" s="51">
        <v>0.31</v>
      </c>
      <c r="K19" s="51">
        <v>260.75</v>
      </c>
      <c r="L19" s="51">
        <v>25.25</v>
      </c>
      <c r="M19" s="51">
        <v>60.56</v>
      </c>
      <c r="N19" s="51">
        <v>343.1</v>
      </c>
      <c r="O19" s="51">
        <v>0</v>
      </c>
      <c r="P19" s="51">
        <v>1.1399999999999999</v>
      </c>
      <c r="Q19" s="51">
        <v>4.9800000000000004</v>
      </c>
    </row>
    <row r="20" spans="1:17" customFormat="1">
      <c r="A20" s="50" t="s">
        <v>574</v>
      </c>
      <c r="B20" s="51">
        <v>8.49</v>
      </c>
      <c r="C20" s="51">
        <v>28.08</v>
      </c>
      <c r="D20" s="51">
        <v>22.83</v>
      </c>
      <c r="E20" s="51">
        <v>5.99</v>
      </c>
      <c r="F20" s="51">
        <v>3.54</v>
      </c>
      <c r="G20" s="51">
        <v>86.38</v>
      </c>
      <c r="H20" s="51">
        <v>74.16</v>
      </c>
      <c r="I20" s="51">
        <v>13.51</v>
      </c>
      <c r="J20" s="51">
        <v>0.3</v>
      </c>
      <c r="K20" s="51">
        <v>148.44999999999999</v>
      </c>
      <c r="L20" s="51">
        <v>26.5</v>
      </c>
      <c r="M20" s="51">
        <v>52.12</v>
      </c>
      <c r="N20" s="51">
        <v>386.3</v>
      </c>
      <c r="O20" s="51">
        <v>0</v>
      </c>
      <c r="P20" s="51">
        <v>1.03</v>
      </c>
      <c r="Q20" s="51">
        <v>4.83</v>
      </c>
    </row>
    <row r="21" spans="1:17" customFormat="1">
      <c r="A21" s="50" t="s">
        <v>575</v>
      </c>
      <c r="B21" s="51">
        <v>6.46</v>
      </c>
      <c r="C21" s="51">
        <v>21.62</v>
      </c>
      <c r="D21" s="51">
        <v>17.829999999999998</v>
      </c>
      <c r="E21" s="51">
        <v>5.68</v>
      </c>
      <c r="F21" s="51">
        <v>3.68</v>
      </c>
      <c r="G21" s="51">
        <v>78.78</v>
      </c>
      <c r="H21" s="51">
        <v>57.71</v>
      </c>
      <c r="I21" s="51">
        <v>12.43</v>
      </c>
      <c r="J21" s="51">
        <v>0.6</v>
      </c>
      <c r="K21" s="51">
        <v>328.24</v>
      </c>
      <c r="L21" s="51">
        <v>27.08</v>
      </c>
      <c r="M21" s="51">
        <v>46.85</v>
      </c>
      <c r="N21" s="51">
        <v>397.5</v>
      </c>
      <c r="O21" s="51">
        <v>0</v>
      </c>
      <c r="P21" s="51">
        <v>0.95</v>
      </c>
      <c r="Q21" s="51">
        <v>4.8499999999999996</v>
      </c>
    </row>
    <row r="22" spans="1:17" customFormat="1">
      <c r="A22" s="50" t="s">
        <v>576</v>
      </c>
      <c r="B22" s="51">
        <v>5.36</v>
      </c>
      <c r="C22" s="51">
        <v>20.22</v>
      </c>
      <c r="D22" s="51">
        <v>16.21</v>
      </c>
      <c r="E22" s="51">
        <v>5.41</v>
      </c>
      <c r="F22" s="51">
        <v>4.01</v>
      </c>
      <c r="G22" s="51">
        <v>84.24</v>
      </c>
      <c r="H22" s="51">
        <v>52.61</v>
      </c>
      <c r="I22" s="51">
        <v>11.46</v>
      </c>
      <c r="J22" s="51">
        <v>0.39</v>
      </c>
      <c r="K22" s="51">
        <v>311.75</v>
      </c>
      <c r="L22" s="51">
        <v>27.12</v>
      </c>
      <c r="M22" s="51">
        <v>46.24</v>
      </c>
      <c r="N22" s="51">
        <v>327.3</v>
      </c>
      <c r="O22" s="51">
        <v>0</v>
      </c>
      <c r="P22" s="51">
        <v>0.89</v>
      </c>
      <c r="Q22" s="51">
        <v>4.8899999999999997</v>
      </c>
    </row>
    <row r="23" spans="1:17" customFormat="1">
      <c r="A23" s="50" t="s">
        <v>577</v>
      </c>
      <c r="B23" s="51">
        <v>4.71</v>
      </c>
      <c r="C23" s="51">
        <v>18.38</v>
      </c>
      <c r="D23" s="51">
        <v>14.71</v>
      </c>
      <c r="E23" s="51">
        <v>5.37</v>
      </c>
      <c r="F23" s="51">
        <v>4.34</v>
      </c>
      <c r="G23" s="51">
        <v>86.85</v>
      </c>
      <c r="H23" s="51">
        <v>52.25</v>
      </c>
      <c r="I23" s="51">
        <v>10.69</v>
      </c>
      <c r="J23" s="51">
        <v>0.21</v>
      </c>
      <c r="K23" s="51">
        <v>286.36</v>
      </c>
      <c r="L23" s="51">
        <v>26.98</v>
      </c>
      <c r="M23" s="51">
        <v>48.41</v>
      </c>
      <c r="N23" s="51">
        <v>179.3</v>
      </c>
      <c r="O23" s="51">
        <v>0</v>
      </c>
      <c r="P23" s="51">
        <v>0.83</v>
      </c>
      <c r="Q23" s="51">
        <v>4.8499999999999996</v>
      </c>
    </row>
    <row r="24" spans="1:17" customFormat="1">
      <c r="A24" s="50" t="s">
        <v>578</v>
      </c>
      <c r="B24" s="51">
        <v>4.66</v>
      </c>
      <c r="C24" s="51">
        <v>18.34</v>
      </c>
      <c r="D24" s="51">
        <v>14.39</v>
      </c>
      <c r="E24" s="51">
        <v>5.9</v>
      </c>
      <c r="F24" s="51">
        <v>6.32</v>
      </c>
      <c r="G24" s="51">
        <v>95.36</v>
      </c>
      <c r="H24" s="51">
        <v>52.12</v>
      </c>
      <c r="I24" s="51">
        <v>10.199999999999999</v>
      </c>
      <c r="J24" s="51">
        <v>0.21</v>
      </c>
      <c r="K24" s="51">
        <v>189.42</v>
      </c>
      <c r="L24" s="51">
        <v>26.2</v>
      </c>
      <c r="M24" s="51">
        <v>51.15</v>
      </c>
      <c r="N24" s="51">
        <v>86.7</v>
      </c>
      <c r="O24" s="51">
        <v>0</v>
      </c>
      <c r="P24" s="51">
        <v>0.83</v>
      </c>
      <c r="Q24" s="51">
        <v>4.8499999999999996</v>
      </c>
    </row>
    <row r="25" spans="1:17" customFormat="1">
      <c r="A25" s="50" t="s">
        <v>579</v>
      </c>
      <c r="B25" s="51">
        <v>4.7300000000000004</v>
      </c>
      <c r="C25" s="51">
        <v>22.54</v>
      </c>
      <c r="D25" s="51">
        <v>16.920000000000002</v>
      </c>
      <c r="E25" s="51">
        <v>6.15</v>
      </c>
      <c r="F25" s="51">
        <v>6.45</v>
      </c>
      <c r="G25" s="51">
        <v>137.84</v>
      </c>
      <c r="H25" s="51">
        <v>58.56</v>
      </c>
      <c r="I25" s="51">
        <v>9.75</v>
      </c>
      <c r="J25" s="51">
        <v>0.24</v>
      </c>
      <c r="K25" s="51">
        <v>161.38</v>
      </c>
      <c r="L25" s="51">
        <v>25.58</v>
      </c>
      <c r="M25" s="51">
        <v>60.88</v>
      </c>
      <c r="N25" s="51">
        <v>31.8</v>
      </c>
      <c r="O25" s="51">
        <v>0</v>
      </c>
      <c r="P25" s="51">
        <v>0.87</v>
      </c>
      <c r="Q25" s="51">
        <v>4.87</v>
      </c>
    </row>
    <row r="26" spans="1:17" customFormat="1">
      <c r="A26" s="50" t="s">
        <v>580</v>
      </c>
      <c r="B26" s="51">
        <v>5.58</v>
      </c>
      <c r="C26" s="51">
        <v>28.28</v>
      </c>
      <c r="D26" s="51">
        <v>20.6</v>
      </c>
      <c r="E26" s="51">
        <v>5.51</v>
      </c>
      <c r="F26" s="51">
        <v>3.73</v>
      </c>
      <c r="G26" s="51">
        <v>179.66</v>
      </c>
      <c r="H26" s="51">
        <v>66.48</v>
      </c>
      <c r="I26" s="51">
        <v>9.61</v>
      </c>
      <c r="J26" s="51">
        <v>0.27</v>
      </c>
      <c r="K26" s="51">
        <v>169.17</v>
      </c>
      <c r="L26" s="51">
        <v>23.55</v>
      </c>
      <c r="M26" s="51">
        <v>72.8</v>
      </c>
      <c r="N26" s="51">
        <v>0</v>
      </c>
      <c r="O26" s="51">
        <v>0</v>
      </c>
      <c r="P26" s="51">
        <v>0.96</v>
      </c>
      <c r="Q26" s="51">
        <v>4.88</v>
      </c>
    </row>
    <row r="27" spans="1:17" customFormat="1">
      <c r="A27" s="50" t="s">
        <v>581</v>
      </c>
      <c r="B27" s="51">
        <v>6.57</v>
      </c>
      <c r="C27" s="51">
        <v>29.93</v>
      </c>
      <c r="D27" s="51">
        <v>22.25</v>
      </c>
      <c r="E27" s="51">
        <v>8.2799999999999994</v>
      </c>
      <c r="F27" s="51">
        <v>2.89</v>
      </c>
      <c r="G27" s="51">
        <v>179.66</v>
      </c>
      <c r="H27" s="51">
        <v>72.16</v>
      </c>
      <c r="I27" s="51">
        <v>10.58</v>
      </c>
      <c r="J27" s="51">
        <v>0.27</v>
      </c>
      <c r="K27" s="51">
        <v>188.69</v>
      </c>
      <c r="L27" s="51">
        <v>21.64</v>
      </c>
      <c r="M27" s="51">
        <v>81.14</v>
      </c>
      <c r="N27" s="51">
        <v>0</v>
      </c>
      <c r="O27" s="51">
        <v>0</v>
      </c>
      <c r="P27" s="51">
        <v>1.08</v>
      </c>
      <c r="Q27" s="51">
        <v>4.87</v>
      </c>
    </row>
    <row r="28" spans="1:17" customFormat="1">
      <c r="A28" s="50" t="s">
        <v>582</v>
      </c>
      <c r="B28" s="51">
        <v>6.72</v>
      </c>
      <c r="C28" s="51">
        <v>30.46</v>
      </c>
      <c r="D28" s="51">
        <v>22.6</v>
      </c>
      <c r="E28" s="51">
        <v>8.86</v>
      </c>
      <c r="F28" s="51">
        <v>2.83</v>
      </c>
      <c r="G28" s="51">
        <v>169.79</v>
      </c>
      <c r="H28" s="51">
        <v>72.16</v>
      </c>
      <c r="I28" s="51">
        <v>12.11</v>
      </c>
      <c r="J28" s="51">
        <v>0.2</v>
      </c>
      <c r="K28" s="51">
        <v>173.58</v>
      </c>
      <c r="L28" s="51">
        <v>19.82</v>
      </c>
      <c r="M28" s="51">
        <v>83.07</v>
      </c>
      <c r="N28" s="51">
        <v>0</v>
      </c>
      <c r="O28" s="51">
        <v>0</v>
      </c>
      <c r="P28" s="51">
        <v>1.1399999999999999</v>
      </c>
      <c r="Q28" s="51">
        <v>4.8499999999999996</v>
      </c>
    </row>
    <row r="29" spans="1:17" customFormat="1">
      <c r="A29" s="50" t="s">
        <v>583</v>
      </c>
      <c r="B29" s="51">
        <v>6.69</v>
      </c>
      <c r="C29" s="51">
        <v>29.61</v>
      </c>
      <c r="D29" s="51">
        <v>22.03</v>
      </c>
      <c r="E29" s="51">
        <v>8.5500000000000007</v>
      </c>
      <c r="F29" s="51">
        <v>2.87</v>
      </c>
      <c r="G29" s="51">
        <v>162.44</v>
      </c>
      <c r="H29" s="51">
        <v>71.819999999999993</v>
      </c>
      <c r="I29" s="51">
        <v>12.12</v>
      </c>
      <c r="J29" s="51">
        <v>0.19</v>
      </c>
      <c r="K29" s="51">
        <v>214.81</v>
      </c>
      <c r="L29" s="51">
        <v>19.420000000000002</v>
      </c>
      <c r="M29" s="51">
        <v>87.09</v>
      </c>
      <c r="N29" s="51">
        <v>0</v>
      </c>
      <c r="O29" s="51">
        <v>0</v>
      </c>
      <c r="P29" s="51">
        <v>1.1299999999999999</v>
      </c>
      <c r="Q29" s="51">
        <v>4.82</v>
      </c>
    </row>
    <row r="30" spans="1:17" customFormat="1">
      <c r="A30" s="50" t="s">
        <v>584</v>
      </c>
      <c r="B30" s="51">
        <v>7.02</v>
      </c>
      <c r="C30" s="51">
        <v>24.28</v>
      </c>
      <c r="D30" s="51">
        <v>19.489999999999998</v>
      </c>
      <c r="E30" s="51">
        <v>8.06</v>
      </c>
      <c r="F30" s="51">
        <v>2.96</v>
      </c>
      <c r="G30" s="51">
        <v>162.44</v>
      </c>
      <c r="H30" s="51">
        <v>71.819999999999993</v>
      </c>
      <c r="I30" s="51">
        <v>12.16</v>
      </c>
      <c r="J30" s="51">
        <v>0.15</v>
      </c>
      <c r="K30" s="51">
        <v>237.05</v>
      </c>
      <c r="L30" s="51">
        <v>18.5</v>
      </c>
      <c r="M30" s="51">
        <v>89.13</v>
      </c>
      <c r="N30" s="51">
        <v>0</v>
      </c>
      <c r="O30" s="51">
        <v>0</v>
      </c>
      <c r="P30" s="51">
        <v>1.1200000000000001</v>
      </c>
      <c r="Q30" s="51">
        <v>4.8</v>
      </c>
    </row>
    <row r="31" spans="1:17" customFormat="1">
      <c r="A31" s="50" t="s">
        <v>585</v>
      </c>
      <c r="B31" s="51">
        <v>7.23</v>
      </c>
      <c r="C31" s="51">
        <v>23.74</v>
      </c>
      <c r="D31" s="51">
        <v>19.440000000000001</v>
      </c>
      <c r="E31" s="51">
        <v>7.97</v>
      </c>
      <c r="F31" s="51">
        <v>2.64</v>
      </c>
      <c r="G31" s="51">
        <v>149.19</v>
      </c>
      <c r="H31" s="51">
        <v>72.92</v>
      </c>
      <c r="I31" s="51">
        <v>12.06</v>
      </c>
      <c r="J31" s="51">
        <v>0.15</v>
      </c>
      <c r="K31" s="51">
        <v>245.96</v>
      </c>
      <c r="L31" s="51">
        <v>18.18</v>
      </c>
      <c r="M31" s="51">
        <v>89.58</v>
      </c>
      <c r="N31" s="51">
        <v>0</v>
      </c>
      <c r="O31" s="51">
        <v>0</v>
      </c>
      <c r="P31" s="51">
        <v>1.1299999999999999</v>
      </c>
      <c r="Q31" s="51">
        <v>4.8499999999999996</v>
      </c>
    </row>
    <row r="32" spans="1:17" customFormat="1">
      <c r="A32" s="50" t="s">
        <v>586</v>
      </c>
      <c r="B32" s="51">
        <v>7.28</v>
      </c>
      <c r="C32" s="51">
        <v>22.19</v>
      </c>
      <c r="D32" s="51">
        <v>18.670000000000002</v>
      </c>
      <c r="E32" s="51">
        <v>7.78</v>
      </c>
      <c r="F32" s="51">
        <v>2.86</v>
      </c>
      <c r="G32" s="51">
        <v>123.86</v>
      </c>
      <c r="H32" s="51">
        <v>72.92</v>
      </c>
      <c r="I32" s="51">
        <v>12.07</v>
      </c>
      <c r="J32" s="51">
        <v>0.16</v>
      </c>
      <c r="K32" s="51">
        <v>243.05</v>
      </c>
      <c r="L32" s="51">
        <v>17.54</v>
      </c>
      <c r="M32" s="51">
        <v>89.93</v>
      </c>
      <c r="N32" s="51">
        <v>0</v>
      </c>
      <c r="O32" s="51">
        <v>0</v>
      </c>
      <c r="P32" s="51">
        <v>1.1100000000000001</v>
      </c>
      <c r="Q32" s="51">
        <v>4.88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4.66</v>
      </c>
      <c r="C34" s="41">
        <f t="shared" si="0"/>
        <v>18.34</v>
      </c>
      <c r="D34" s="41">
        <f t="shared" si="0"/>
        <v>14.39</v>
      </c>
      <c r="E34" s="41">
        <f t="shared" si="0"/>
        <v>5.37</v>
      </c>
      <c r="F34" s="41">
        <f t="shared" si="0"/>
        <v>2.54</v>
      </c>
      <c r="G34" s="41">
        <f t="shared" si="0"/>
        <v>78.78</v>
      </c>
      <c r="H34" s="41">
        <f t="shared" si="0"/>
        <v>52.12</v>
      </c>
      <c r="I34" s="41">
        <f t="shared" si="0"/>
        <v>9.61</v>
      </c>
      <c r="J34" s="41">
        <f t="shared" si="0"/>
        <v>0.1</v>
      </c>
      <c r="K34" s="41">
        <f t="shared" si="0"/>
        <v>148.44999999999999</v>
      </c>
      <c r="L34" s="41">
        <f t="shared" si="0"/>
        <v>15.06</v>
      </c>
      <c r="M34" s="41">
        <f t="shared" si="0"/>
        <v>46.24</v>
      </c>
      <c r="N34" s="41">
        <f t="shared" si="0"/>
        <v>0</v>
      </c>
      <c r="O34" s="41">
        <f t="shared" si="0"/>
        <v>0</v>
      </c>
      <c r="P34" s="41">
        <f t="shared" si="0"/>
        <v>0.83</v>
      </c>
      <c r="Q34" s="41">
        <f t="shared" si="0"/>
        <v>4.8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25.84</v>
      </c>
      <c r="C35" s="33">
        <f t="shared" si="1"/>
        <v>34.36</v>
      </c>
      <c r="D35" s="33">
        <f t="shared" si="1"/>
        <v>36.94</v>
      </c>
      <c r="E35" s="33">
        <f t="shared" si="1"/>
        <v>8.86</v>
      </c>
      <c r="F35" s="33">
        <f t="shared" si="1"/>
        <v>6.45</v>
      </c>
      <c r="G35" s="33">
        <f t="shared" si="1"/>
        <v>222.3</v>
      </c>
      <c r="H35" s="33">
        <f t="shared" si="1"/>
        <v>87.4</v>
      </c>
      <c r="I35" s="33">
        <f t="shared" si="1"/>
        <v>14.51</v>
      </c>
      <c r="J35" s="33">
        <f t="shared" si="1"/>
        <v>0.6</v>
      </c>
      <c r="K35" s="33">
        <f t="shared" si="1"/>
        <v>328.24</v>
      </c>
      <c r="L35" s="33">
        <f t="shared" si="1"/>
        <v>27.12</v>
      </c>
      <c r="M35" s="33">
        <f t="shared" si="1"/>
        <v>98.01</v>
      </c>
      <c r="N35" s="33">
        <f t="shared" si="1"/>
        <v>397.5</v>
      </c>
      <c r="O35" s="33">
        <f t="shared" si="1"/>
        <v>0</v>
      </c>
      <c r="P35" s="33">
        <f t="shared" si="1"/>
        <v>1.18</v>
      </c>
      <c r="Q35" s="33">
        <f t="shared" si="1"/>
        <v>5.16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13.277916666666668</v>
      </c>
      <c r="C36" s="41">
        <f t="shared" si="2"/>
        <v>26.50333333333333</v>
      </c>
      <c r="D36" s="41">
        <f t="shared" si="2"/>
        <v>25.710416666666664</v>
      </c>
      <c r="E36" s="41">
        <f t="shared" si="2"/>
        <v>7.1266666666666678</v>
      </c>
      <c r="F36" s="41">
        <f t="shared" si="2"/>
        <v>3.3104166666666668</v>
      </c>
      <c r="G36" s="41">
        <f t="shared" si="2"/>
        <v>128.12833333333333</v>
      </c>
      <c r="H36" s="41">
        <f t="shared" si="2"/>
        <v>64.257916666666674</v>
      </c>
      <c r="I36" s="41">
        <f t="shared" si="2"/>
        <v>11.617083333333332</v>
      </c>
      <c r="J36" s="41">
        <f t="shared" si="2"/>
        <v>0.22500000000000001</v>
      </c>
      <c r="K36" s="41">
        <f t="shared" si="2"/>
        <v>219.76916666666671</v>
      </c>
      <c r="L36" s="41">
        <f t="shared" si="2"/>
        <v>20.642916666666668</v>
      </c>
      <c r="M36" s="41">
        <f t="shared" si="2"/>
        <v>78.677083333333343</v>
      </c>
      <c r="N36" s="41">
        <f t="shared" si="2"/>
        <v>88.470833333333346</v>
      </c>
      <c r="O36" s="41">
        <f t="shared" si="2"/>
        <v>0</v>
      </c>
      <c r="P36" s="41">
        <f t="shared" si="2"/>
        <v>1.0041666666666667</v>
      </c>
      <c r="Q36" s="41">
        <f t="shared" si="2"/>
        <v>4.957916666666665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8.0938274813033591</v>
      </c>
      <c r="C37" s="41">
        <f t="shared" ref="C37:Q37" si="3">STDEV(C9:C32)</f>
        <v>4.6625153378152744</v>
      </c>
      <c r="D37" s="41">
        <f t="shared" si="3"/>
        <v>7.8397867535143977</v>
      </c>
      <c r="E37" s="41">
        <f t="shared" si="3"/>
        <v>1.0590753418478474</v>
      </c>
      <c r="F37" s="41">
        <f t="shared" si="3"/>
        <v>1.0637892859619962</v>
      </c>
      <c r="G37" s="41">
        <f t="shared" si="3"/>
        <v>43.439705706692543</v>
      </c>
      <c r="H37" s="41">
        <f t="shared" si="3"/>
        <v>10.531398180912454</v>
      </c>
      <c r="I37" s="41">
        <f t="shared" si="3"/>
        <v>1.2420196706650453</v>
      </c>
      <c r="J37" s="41">
        <f t="shared" si="3"/>
        <v>0.11021717691429284</v>
      </c>
      <c r="K37" s="41">
        <f t="shared" si="3"/>
        <v>48.897456492636145</v>
      </c>
      <c r="L37" s="41">
        <f t="shared" si="3"/>
        <v>4.3877640925514561</v>
      </c>
      <c r="M37" s="41">
        <f t="shared" si="3"/>
        <v>18.756172660282157</v>
      </c>
      <c r="N37" s="41">
        <f t="shared" si="3"/>
        <v>138.2265452363294</v>
      </c>
      <c r="O37" s="41">
        <f t="shared" si="3"/>
        <v>0</v>
      </c>
      <c r="P37" s="41">
        <f t="shared" si="3"/>
        <v>0.10644111115977617</v>
      </c>
      <c r="Q37" s="41">
        <f t="shared" si="3"/>
        <v>0.12250924247894704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31/12/2023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587</v>
      </c>
      <c r="B9" s="51">
        <v>6.56</v>
      </c>
      <c r="C9" s="51">
        <v>20.97</v>
      </c>
      <c r="D9" s="51">
        <v>17.239999999999998</v>
      </c>
      <c r="E9" s="51">
        <v>8.57</v>
      </c>
      <c r="F9" s="51">
        <v>3.03</v>
      </c>
      <c r="G9" s="51">
        <v>108.9</v>
      </c>
      <c r="H9" s="51">
        <v>70.2</v>
      </c>
      <c r="I9" s="51">
        <v>11.68</v>
      </c>
      <c r="J9" s="51">
        <v>0.14000000000000001</v>
      </c>
      <c r="K9" s="51">
        <v>176.52</v>
      </c>
      <c r="L9" s="51">
        <v>17.41</v>
      </c>
      <c r="M9" s="51">
        <v>90.84</v>
      </c>
      <c r="N9" s="51">
        <v>0</v>
      </c>
      <c r="O9" s="51">
        <v>0</v>
      </c>
      <c r="P9" s="51">
        <v>1.05</v>
      </c>
      <c r="Q9" s="51">
        <v>4.8899999999999997</v>
      </c>
    </row>
    <row r="10" spans="1:21" customFormat="1">
      <c r="A10" s="50" t="s">
        <v>588</v>
      </c>
      <c r="B10" s="51">
        <v>6.14</v>
      </c>
      <c r="C10" s="51">
        <v>20.63</v>
      </c>
      <c r="D10" s="51">
        <v>17.05</v>
      </c>
      <c r="E10" s="51">
        <v>8.1999999999999993</v>
      </c>
      <c r="F10" s="51">
        <v>3.01</v>
      </c>
      <c r="G10" s="51">
        <v>97</v>
      </c>
      <c r="H10" s="51">
        <v>67.44</v>
      </c>
      <c r="I10" s="51">
        <v>11.04</v>
      </c>
      <c r="J10" s="51">
        <v>0.11</v>
      </c>
      <c r="K10" s="51">
        <v>223.87</v>
      </c>
      <c r="L10" s="51">
        <v>16.93</v>
      </c>
      <c r="M10" s="51">
        <v>92.55</v>
      </c>
      <c r="N10" s="51">
        <v>0</v>
      </c>
      <c r="O10" s="51">
        <v>0</v>
      </c>
      <c r="P10" s="51">
        <v>1</v>
      </c>
      <c r="Q10" s="51">
        <v>4.87</v>
      </c>
    </row>
    <row r="11" spans="1:21" customFormat="1">
      <c r="A11" s="50" t="s">
        <v>589</v>
      </c>
      <c r="B11" s="51">
        <v>5.92</v>
      </c>
      <c r="C11" s="51">
        <v>20.71</v>
      </c>
      <c r="D11" s="51">
        <v>16.920000000000002</v>
      </c>
      <c r="E11" s="51">
        <v>6.56</v>
      </c>
      <c r="F11" s="51">
        <v>3.02</v>
      </c>
      <c r="G11" s="51">
        <v>86.22</v>
      </c>
      <c r="H11" s="51">
        <v>64.89</v>
      </c>
      <c r="I11" s="51">
        <v>10.44</v>
      </c>
      <c r="J11" s="51">
        <v>0.13</v>
      </c>
      <c r="K11" s="51">
        <v>288.44</v>
      </c>
      <c r="L11" s="51">
        <v>16.32</v>
      </c>
      <c r="M11" s="51">
        <v>93.87</v>
      </c>
      <c r="N11" s="51">
        <v>0</v>
      </c>
      <c r="O11" s="51">
        <v>0</v>
      </c>
      <c r="P11" s="51">
        <v>0.97</v>
      </c>
      <c r="Q11" s="51">
        <v>4.87</v>
      </c>
    </row>
    <row r="12" spans="1:21" customFormat="1">
      <c r="A12" s="50" t="s">
        <v>590</v>
      </c>
      <c r="B12" s="51">
        <v>8.76</v>
      </c>
      <c r="C12" s="51">
        <v>25.03</v>
      </c>
      <c r="D12" s="51">
        <v>21.45</v>
      </c>
      <c r="E12" s="51">
        <v>6.75</v>
      </c>
      <c r="F12" s="51">
        <v>2.65</v>
      </c>
      <c r="G12" s="51">
        <v>90.11</v>
      </c>
      <c r="H12" s="51">
        <v>63.32</v>
      </c>
      <c r="I12" s="51">
        <v>9.9600000000000009</v>
      </c>
      <c r="J12" s="51">
        <v>0.18</v>
      </c>
      <c r="K12" s="51">
        <v>177.02</v>
      </c>
      <c r="L12" s="51">
        <v>16.62</v>
      </c>
      <c r="M12" s="51">
        <v>89.62</v>
      </c>
      <c r="N12" s="51">
        <v>0</v>
      </c>
      <c r="O12" s="51">
        <v>0</v>
      </c>
      <c r="P12" s="51">
        <v>0.93</v>
      </c>
      <c r="Q12" s="51">
        <v>4.88</v>
      </c>
    </row>
    <row r="13" spans="1:21" customFormat="1">
      <c r="A13" s="50" t="s">
        <v>591</v>
      </c>
      <c r="B13" s="51">
        <v>10.46</v>
      </c>
      <c r="C13" s="51">
        <v>26.39</v>
      </c>
      <c r="D13" s="51">
        <v>23.47</v>
      </c>
      <c r="E13" s="51">
        <v>6.75</v>
      </c>
      <c r="F13" s="51">
        <v>2.61</v>
      </c>
      <c r="G13" s="51">
        <v>90.94</v>
      </c>
      <c r="H13" s="51">
        <v>60</v>
      </c>
      <c r="I13" s="51">
        <v>9.66</v>
      </c>
      <c r="J13" s="51">
        <v>0.16</v>
      </c>
      <c r="K13" s="51">
        <v>162.15</v>
      </c>
      <c r="L13" s="51">
        <v>16.559999999999999</v>
      </c>
      <c r="M13" s="51">
        <v>93.34</v>
      </c>
      <c r="N13" s="51">
        <v>0</v>
      </c>
      <c r="O13" s="51">
        <v>0</v>
      </c>
      <c r="P13" s="51">
        <v>0.91</v>
      </c>
      <c r="Q13" s="51">
        <v>4.93</v>
      </c>
    </row>
    <row r="14" spans="1:21" customFormat="1">
      <c r="A14" s="50" t="s">
        <v>592</v>
      </c>
      <c r="B14" s="51">
        <v>13.58</v>
      </c>
      <c r="C14" s="51">
        <v>26.89</v>
      </c>
      <c r="D14" s="51">
        <v>26.19</v>
      </c>
      <c r="E14" s="51">
        <v>7.16</v>
      </c>
      <c r="F14" s="51">
        <v>2.56</v>
      </c>
      <c r="G14" s="51">
        <v>92.35</v>
      </c>
      <c r="H14" s="51">
        <v>60</v>
      </c>
      <c r="I14" s="51">
        <v>9.32</v>
      </c>
      <c r="J14" s="51">
        <v>0.16</v>
      </c>
      <c r="K14" s="51">
        <v>168.65</v>
      </c>
      <c r="L14" s="51">
        <v>15.89</v>
      </c>
      <c r="M14" s="51">
        <v>94.11</v>
      </c>
      <c r="N14" s="51">
        <v>0</v>
      </c>
      <c r="O14" s="51">
        <v>0</v>
      </c>
      <c r="P14" s="51">
        <v>0.88</v>
      </c>
      <c r="Q14" s="51">
        <v>4.9400000000000004</v>
      </c>
    </row>
    <row r="15" spans="1:21" customFormat="1">
      <c r="A15" s="50" t="s">
        <v>593</v>
      </c>
      <c r="B15" s="51">
        <v>15.49</v>
      </c>
      <c r="C15" s="51">
        <v>27.29</v>
      </c>
      <c r="D15" s="51">
        <v>28.03</v>
      </c>
      <c r="E15" s="51">
        <v>7.2</v>
      </c>
      <c r="F15" s="51">
        <v>2.91</v>
      </c>
      <c r="G15" s="51">
        <v>92.35</v>
      </c>
      <c r="H15" s="51">
        <v>58.81</v>
      </c>
      <c r="I15" s="51">
        <v>8.9600000000000009</v>
      </c>
      <c r="J15" s="51">
        <v>0.14000000000000001</v>
      </c>
      <c r="K15" s="51">
        <v>166.8</v>
      </c>
      <c r="L15" s="51">
        <v>15.65</v>
      </c>
      <c r="M15" s="51">
        <v>94.02</v>
      </c>
      <c r="N15" s="51">
        <v>7.3</v>
      </c>
      <c r="O15" s="51">
        <v>0</v>
      </c>
      <c r="P15" s="51">
        <v>0.85</v>
      </c>
      <c r="Q15" s="51">
        <v>4.96</v>
      </c>
    </row>
    <row r="16" spans="1:21" customFormat="1">
      <c r="A16" s="50" t="s">
        <v>594</v>
      </c>
      <c r="B16" s="51">
        <v>14.72</v>
      </c>
      <c r="C16" s="51">
        <v>25.66</v>
      </c>
      <c r="D16" s="51">
        <v>25.35</v>
      </c>
      <c r="E16" s="51">
        <v>7.16</v>
      </c>
      <c r="F16" s="51">
        <v>2.68</v>
      </c>
      <c r="G16" s="51">
        <v>84.16</v>
      </c>
      <c r="H16" s="51">
        <v>58.61</v>
      </c>
      <c r="I16" s="51">
        <v>8.73</v>
      </c>
      <c r="J16" s="51">
        <v>0.27</v>
      </c>
      <c r="K16" s="51">
        <v>170.29</v>
      </c>
      <c r="L16" s="51">
        <v>17.29</v>
      </c>
      <c r="M16" s="51">
        <v>93.94</v>
      </c>
      <c r="N16" s="51">
        <v>49.6</v>
      </c>
      <c r="O16" s="51">
        <v>0</v>
      </c>
      <c r="P16" s="51">
        <v>0.81</v>
      </c>
      <c r="Q16" s="51">
        <v>4.95</v>
      </c>
    </row>
    <row r="17" spans="1:17" customFormat="1">
      <c r="A17" s="50" t="s">
        <v>595</v>
      </c>
      <c r="B17" s="51">
        <v>12.77</v>
      </c>
      <c r="C17" s="51">
        <v>24.19</v>
      </c>
      <c r="D17" s="51">
        <v>23.99</v>
      </c>
      <c r="E17" s="51">
        <v>6.89</v>
      </c>
      <c r="F17" s="51">
        <v>2.82</v>
      </c>
      <c r="G17" s="51">
        <v>92.44</v>
      </c>
      <c r="H17" s="51">
        <v>57.57</v>
      </c>
      <c r="I17" s="51">
        <v>8.68</v>
      </c>
      <c r="J17" s="51">
        <v>0.4</v>
      </c>
      <c r="K17" s="51">
        <v>147.96</v>
      </c>
      <c r="L17" s="51">
        <v>20.61</v>
      </c>
      <c r="M17" s="51">
        <v>86.2</v>
      </c>
      <c r="N17" s="51">
        <v>150.80000000000001</v>
      </c>
      <c r="O17" s="51">
        <v>0</v>
      </c>
      <c r="P17" s="51">
        <v>0.8</v>
      </c>
      <c r="Q17" s="51">
        <v>4.95</v>
      </c>
    </row>
    <row r="18" spans="1:17" customFormat="1">
      <c r="A18" s="50" t="s">
        <v>596</v>
      </c>
      <c r="B18" s="51">
        <v>11.15</v>
      </c>
      <c r="C18" s="51">
        <v>22.4</v>
      </c>
      <c r="D18" s="51">
        <v>20.97</v>
      </c>
      <c r="E18" s="51">
        <v>7.27</v>
      </c>
      <c r="F18" s="51">
        <v>2.97</v>
      </c>
      <c r="G18" s="51">
        <v>92.44</v>
      </c>
      <c r="H18" s="51">
        <v>56.47</v>
      </c>
      <c r="I18" s="51">
        <v>8.7899999999999991</v>
      </c>
      <c r="J18" s="51">
        <v>0.25</v>
      </c>
      <c r="K18" s="51">
        <v>154.29</v>
      </c>
      <c r="L18" s="51">
        <v>23.6</v>
      </c>
      <c r="M18" s="51">
        <v>71.47</v>
      </c>
      <c r="N18" s="51">
        <v>180.9</v>
      </c>
      <c r="O18" s="51">
        <v>0</v>
      </c>
      <c r="P18" s="51">
        <v>0.78</v>
      </c>
      <c r="Q18" s="51">
        <v>4.92</v>
      </c>
    </row>
    <row r="19" spans="1:17" customFormat="1">
      <c r="A19" s="50" t="s">
        <v>597</v>
      </c>
      <c r="B19" s="51">
        <v>9.41</v>
      </c>
      <c r="C19" s="51">
        <v>21.08</v>
      </c>
      <c r="D19" s="51">
        <v>19.91</v>
      </c>
      <c r="E19" s="51">
        <v>5.99</v>
      </c>
      <c r="F19" s="51">
        <v>3.24</v>
      </c>
      <c r="G19" s="51">
        <v>84.37</v>
      </c>
      <c r="H19" s="51">
        <v>55.49</v>
      </c>
      <c r="I19" s="51">
        <v>8.7100000000000009</v>
      </c>
      <c r="J19" s="51">
        <v>0.22</v>
      </c>
      <c r="K19" s="51">
        <v>296.52</v>
      </c>
      <c r="L19" s="51">
        <v>25.1</v>
      </c>
      <c r="M19" s="51">
        <v>57.87</v>
      </c>
      <c r="N19" s="51">
        <v>349.8</v>
      </c>
      <c r="O19" s="51">
        <v>0</v>
      </c>
      <c r="P19" s="51">
        <v>0.77</v>
      </c>
      <c r="Q19" s="51">
        <v>4.91</v>
      </c>
    </row>
    <row r="20" spans="1:17" customFormat="1">
      <c r="A20" s="50" t="s">
        <v>598</v>
      </c>
      <c r="B20" s="51">
        <v>7.31</v>
      </c>
      <c r="C20" s="51">
        <v>22.32</v>
      </c>
      <c r="D20" s="51">
        <v>17.89</v>
      </c>
      <c r="E20" s="51">
        <v>6.66</v>
      </c>
      <c r="F20" s="51">
        <v>4.3499999999999996</v>
      </c>
      <c r="G20" s="51">
        <v>84.36</v>
      </c>
      <c r="H20" s="51">
        <v>54.03</v>
      </c>
      <c r="I20" s="51">
        <v>8.41</v>
      </c>
      <c r="J20" s="51">
        <v>0.52</v>
      </c>
      <c r="K20" s="51">
        <v>321.7</v>
      </c>
      <c r="L20" s="51">
        <v>26.33</v>
      </c>
      <c r="M20" s="51">
        <v>51.83</v>
      </c>
      <c r="N20" s="51">
        <v>390</v>
      </c>
      <c r="O20" s="51">
        <v>0</v>
      </c>
      <c r="P20" s="51">
        <v>0.75</v>
      </c>
      <c r="Q20" s="51">
        <v>4.87</v>
      </c>
    </row>
    <row r="21" spans="1:17" customFormat="1">
      <c r="A21" s="50" t="s">
        <v>599</v>
      </c>
      <c r="B21" s="51">
        <v>4.78</v>
      </c>
      <c r="C21" s="51">
        <v>22.18</v>
      </c>
      <c r="D21" s="51">
        <v>16.760000000000002</v>
      </c>
      <c r="E21" s="51">
        <v>6.76</v>
      </c>
      <c r="F21" s="51">
        <v>5.68</v>
      </c>
      <c r="G21" s="51">
        <v>86.08</v>
      </c>
      <c r="H21" s="51">
        <v>54.03</v>
      </c>
      <c r="I21" s="51">
        <v>8.01</v>
      </c>
      <c r="J21" s="51">
        <v>0.4</v>
      </c>
      <c r="K21" s="51">
        <v>303.10000000000002</v>
      </c>
      <c r="L21" s="51">
        <v>27.43</v>
      </c>
      <c r="M21" s="51">
        <v>46.93</v>
      </c>
      <c r="N21" s="51">
        <v>394.4</v>
      </c>
      <c r="O21" s="51">
        <v>0</v>
      </c>
      <c r="P21" s="51">
        <v>0.73</v>
      </c>
      <c r="Q21" s="51">
        <v>4.84</v>
      </c>
    </row>
    <row r="22" spans="1:17" customFormat="1">
      <c r="A22" s="50" t="s">
        <v>600</v>
      </c>
      <c r="B22" s="51">
        <v>4.1399999999999997</v>
      </c>
      <c r="C22" s="51">
        <v>23.97</v>
      </c>
      <c r="D22" s="51">
        <v>17.190000000000001</v>
      </c>
      <c r="E22" s="51">
        <v>7.18</v>
      </c>
      <c r="F22" s="51">
        <v>6.21</v>
      </c>
      <c r="G22" s="51">
        <v>106.06</v>
      </c>
      <c r="H22" s="51">
        <v>57.9</v>
      </c>
      <c r="I22" s="51">
        <v>7.81</v>
      </c>
      <c r="J22" s="51">
        <v>0.44</v>
      </c>
      <c r="K22" s="51">
        <v>335.9</v>
      </c>
      <c r="L22" s="51">
        <v>27.05</v>
      </c>
      <c r="M22" s="51">
        <v>46.28</v>
      </c>
      <c r="N22" s="51">
        <v>262</v>
      </c>
      <c r="O22" s="51">
        <v>0</v>
      </c>
      <c r="P22" s="51">
        <v>0.79</v>
      </c>
      <c r="Q22" s="51">
        <v>4.8099999999999996</v>
      </c>
    </row>
    <row r="23" spans="1:17" customFormat="1">
      <c r="A23" s="50" t="s">
        <v>601</v>
      </c>
      <c r="B23" s="51">
        <v>4.18</v>
      </c>
      <c r="C23" s="51">
        <v>24.1</v>
      </c>
      <c r="D23" s="51">
        <v>17.29</v>
      </c>
      <c r="E23" s="51">
        <v>7.74</v>
      </c>
      <c r="F23" s="51">
        <v>6.48</v>
      </c>
      <c r="G23" s="51">
        <v>114.96</v>
      </c>
      <c r="H23" s="51">
        <v>66.319999999999993</v>
      </c>
      <c r="I23" s="51">
        <v>8.23</v>
      </c>
      <c r="J23" s="51">
        <v>0.45</v>
      </c>
      <c r="K23" s="51">
        <v>291.33999999999997</v>
      </c>
      <c r="L23" s="51">
        <v>27.32</v>
      </c>
      <c r="M23" s="51">
        <v>47.43</v>
      </c>
      <c r="N23" s="51">
        <v>159.6</v>
      </c>
      <c r="O23" s="51">
        <v>0</v>
      </c>
      <c r="P23" s="51">
        <v>0.88</v>
      </c>
      <c r="Q23" s="51">
        <v>4.8099999999999996</v>
      </c>
    </row>
    <row r="24" spans="1:17" customFormat="1">
      <c r="A24" s="50" t="s">
        <v>602</v>
      </c>
      <c r="B24" s="51">
        <v>4.2699999999999996</v>
      </c>
      <c r="C24" s="51">
        <v>25.78</v>
      </c>
      <c r="D24" s="51">
        <v>18.25</v>
      </c>
      <c r="E24" s="51">
        <v>8</v>
      </c>
      <c r="F24" s="51">
        <v>6.49</v>
      </c>
      <c r="G24" s="51">
        <v>135.91999999999999</v>
      </c>
      <c r="H24" s="51">
        <v>68.739999999999995</v>
      </c>
      <c r="I24" s="51">
        <v>8.58</v>
      </c>
      <c r="J24" s="51">
        <v>0.33</v>
      </c>
      <c r="K24" s="51">
        <v>83.3</v>
      </c>
      <c r="L24" s="51">
        <v>26.8</v>
      </c>
      <c r="M24" s="51">
        <v>48.84</v>
      </c>
      <c r="N24" s="51">
        <v>82.1</v>
      </c>
      <c r="O24" s="51">
        <v>0</v>
      </c>
      <c r="P24" s="51">
        <v>0.93</v>
      </c>
      <c r="Q24" s="51">
        <v>4.79</v>
      </c>
    </row>
    <row r="25" spans="1:17" customFormat="1">
      <c r="A25" s="50" t="s">
        <v>603</v>
      </c>
      <c r="B25" s="51">
        <v>4.93</v>
      </c>
      <c r="C25" s="51">
        <v>26.48</v>
      </c>
      <c r="D25" s="51">
        <v>18.75</v>
      </c>
      <c r="E25" s="51">
        <v>7.57</v>
      </c>
      <c r="F25" s="51">
        <v>4.72</v>
      </c>
      <c r="G25" s="51">
        <v>142.77000000000001</v>
      </c>
      <c r="H25" s="51">
        <v>68.739999999999995</v>
      </c>
      <c r="I25" s="51">
        <v>8.76</v>
      </c>
      <c r="J25" s="51">
        <v>0.26</v>
      </c>
      <c r="K25" s="51">
        <v>143.61000000000001</v>
      </c>
      <c r="L25" s="51">
        <v>25.82</v>
      </c>
      <c r="M25" s="51">
        <v>54.53</v>
      </c>
      <c r="N25" s="51">
        <v>31.3</v>
      </c>
      <c r="O25" s="51">
        <v>0</v>
      </c>
      <c r="P25" s="51">
        <v>0.95</v>
      </c>
      <c r="Q25" s="51">
        <v>4.78</v>
      </c>
    </row>
    <row r="26" spans="1:17" customFormat="1">
      <c r="A26" s="50" t="s">
        <v>604</v>
      </c>
      <c r="B26" s="51">
        <v>5.17</v>
      </c>
      <c r="C26" s="51">
        <v>22.38</v>
      </c>
      <c r="D26" s="51">
        <v>17.059999999999999</v>
      </c>
      <c r="E26" s="51">
        <v>6.6</v>
      </c>
      <c r="F26" s="51">
        <v>3.36</v>
      </c>
      <c r="G26" s="51">
        <v>147.35</v>
      </c>
      <c r="H26" s="51">
        <v>67.88</v>
      </c>
      <c r="I26" s="51">
        <v>8.93</v>
      </c>
      <c r="J26" s="51">
        <v>0.23</v>
      </c>
      <c r="K26" s="51">
        <v>169.3</v>
      </c>
      <c r="L26" s="51">
        <v>23.52</v>
      </c>
      <c r="M26" s="51">
        <v>67.95</v>
      </c>
      <c r="N26" s="51">
        <v>0.1</v>
      </c>
      <c r="O26" s="51">
        <v>0</v>
      </c>
      <c r="P26" s="51">
        <v>0.97</v>
      </c>
      <c r="Q26" s="51">
        <v>4.84</v>
      </c>
    </row>
    <row r="27" spans="1:17" customFormat="1">
      <c r="A27" s="50" t="s">
        <v>605</v>
      </c>
      <c r="B27" s="51">
        <v>5.81</v>
      </c>
      <c r="C27" s="51">
        <v>25.28</v>
      </c>
      <c r="D27" s="51">
        <v>19.100000000000001</v>
      </c>
      <c r="E27" s="51">
        <v>6.12</v>
      </c>
      <c r="F27" s="51">
        <v>2.99</v>
      </c>
      <c r="G27" s="51">
        <v>147.35</v>
      </c>
      <c r="H27" s="51">
        <v>70.45</v>
      </c>
      <c r="I27" s="51">
        <v>9.4</v>
      </c>
      <c r="J27" s="51">
        <v>0.22</v>
      </c>
      <c r="K27" s="51">
        <v>172.05</v>
      </c>
      <c r="L27" s="51">
        <v>21.36</v>
      </c>
      <c r="M27" s="51">
        <v>75.7</v>
      </c>
      <c r="N27" s="51">
        <v>0</v>
      </c>
      <c r="O27" s="51">
        <v>0</v>
      </c>
      <c r="P27" s="51">
        <v>1.04</v>
      </c>
      <c r="Q27" s="51">
        <v>4.93</v>
      </c>
    </row>
    <row r="28" spans="1:17" customFormat="1">
      <c r="A28" s="50" t="s">
        <v>606</v>
      </c>
      <c r="B28" s="51">
        <v>6.18</v>
      </c>
      <c r="C28" s="51">
        <v>23.98</v>
      </c>
      <c r="D28" s="51">
        <v>18.809999999999999</v>
      </c>
      <c r="E28" s="51">
        <v>6.22</v>
      </c>
      <c r="F28" s="51">
        <v>3.04</v>
      </c>
      <c r="G28" s="51">
        <v>145.99</v>
      </c>
      <c r="H28" s="51">
        <v>70.45</v>
      </c>
      <c r="I28" s="51">
        <v>9.76</v>
      </c>
      <c r="J28" s="51">
        <v>0.15</v>
      </c>
      <c r="K28" s="51">
        <v>184.79</v>
      </c>
      <c r="L28" s="51">
        <v>19.98</v>
      </c>
      <c r="M28" s="51">
        <v>81.59</v>
      </c>
      <c r="N28" s="51">
        <v>0</v>
      </c>
      <c r="O28" s="51">
        <v>0</v>
      </c>
      <c r="P28" s="51">
        <v>1.04</v>
      </c>
      <c r="Q28" s="51">
        <v>4.92</v>
      </c>
    </row>
    <row r="29" spans="1:17" customFormat="1">
      <c r="A29" s="50" t="s">
        <v>607</v>
      </c>
      <c r="B29" s="51">
        <v>6.59</v>
      </c>
      <c r="C29" s="51">
        <v>24.19</v>
      </c>
      <c r="D29" s="51">
        <v>18.97</v>
      </c>
      <c r="E29" s="51">
        <v>6.22</v>
      </c>
      <c r="F29" s="51">
        <v>2.89</v>
      </c>
      <c r="G29" s="51">
        <v>145.99</v>
      </c>
      <c r="H29" s="51">
        <v>69.09</v>
      </c>
      <c r="I29" s="51">
        <v>9.7899999999999991</v>
      </c>
      <c r="J29" s="51">
        <v>0.15</v>
      </c>
      <c r="K29" s="51">
        <v>214.99</v>
      </c>
      <c r="L29" s="51">
        <v>18.940000000000001</v>
      </c>
      <c r="M29" s="51">
        <v>85.19</v>
      </c>
      <c r="N29" s="51">
        <v>0</v>
      </c>
      <c r="O29" s="51">
        <v>0</v>
      </c>
      <c r="P29" s="51">
        <v>1.06</v>
      </c>
      <c r="Q29" s="51">
        <v>4.9000000000000004</v>
      </c>
    </row>
    <row r="30" spans="1:17" customFormat="1">
      <c r="A30" s="50" t="s">
        <v>608</v>
      </c>
      <c r="B30" s="51">
        <v>12.46</v>
      </c>
      <c r="C30" s="51">
        <v>26.97</v>
      </c>
      <c r="D30" s="51">
        <v>25.43</v>
      </c>
      <c r="E30" s="51">
        <v>6.3</v>
      </c>
      <c r="F30" s="51">
        <v>2.95</v>
      </c>
      <c r="G30" s="51">
        <v>154.41</v>
      </c>
      <c r="H30" s="51">
        <v>70.36</v>
      </c>
      <c r="I30" s="51">
        <v>10.23</v>
      </c>
      <c r="J30" s="51">
        <v>0.19</v>
      </c>
      <c r="K30" s="51">
        <v>196.32</v>
      </c>
      <c r="L30" s="51">
        <v>18.579999999999998</v>
      </c>
      <c r="M30" s="51">
        <v>88.84</v>
      </c>
      <c r="N30" s="51">
        <v>0</v>
      </c>
      <c r="O30" s="51">
        <v>0</v>
      </c>
      <c r="P30" s="51">
        <v>1.1599999999999999</v>
      </c>
      <c r="Q30" s="51">
        <v>5.01</v>
      </c>
    </row>
    <row r="31" spans="1:17" customFormat="1">
      <c r="A31" s="50" t="s">
        <v>609</v>
      </c>
      <c r="B31" s="51">
        <v>14.09</v>
      </c>
      <c r="C31" s="51">
        <v>29.28</v>
      </c>
      <c r="D31" s="51">
        <v>27.95</v>
      </c>
      <c r="E31" s="51">
        <v>6.34</v>
      </c>
      <c r="F31" s="51">
        <v>2.67</v>
      </c>
      <c r="G31" s="51">
        <v>154.41</v>
      </c>
      <c r="H31" s="51">
        <v>72.87</v>
      </c>
      <c r="I31" s="51">
        <v>10.57</v>
      </c>
      <c r="J31" s="51">
        <v>0.17</v>
      </c>
      <c r="K31" s="51">
        <v>243.79</v>
      </c>
      <c r="L31" s="51">
        <v>17.940000000000001</v>
      </c>
      <c r="M31" s="51">
        <v>88.81</v>
      </c>
      <c r="N31" s="51">
        <v>0</v>
      </c>
      <c r="O31" s="51">
        <v>0</v>
      </c>
      <c r="P31" s="51">
        <v>1.19</v>
      </c>
      <c r="Q31" s="51">
        <v>5.04</v>
      </c>
    </row>
    <row r="32" spans="1:17" customFormat="1">
      <c r="A32" s="50" t="s">
        <v>610</v>
      </c>
      <c r="B32" s="51">
        <v>16.82</v>
      </c>
      <c r="C32" s="51">
        <v>31.01</v>
      </c>
      <c r="D32" s="51">
        <v>30.98</v>
      </c>
      <c r="E32" s="51">
        <v>6.46</v>
      </c>
      <c r="F32" s="51">
        <v>2.65</v>
      </c>
      <c r="G32" s="51">
        <v>150.85</v>
      </c>
      <c r="H32" s="51">
        <v>72.87</v>
      </c>
      <c r="I32" s="51">
        <v>10.58</v>
      </c>
      <c r="J32" s="51">
        <v>0.15</v>
      </c>
      <c r="K32" s="51">
        <v>209.44</v>
      </c>
      <c r="L32" s="51">
        <v>17.62</v>
      </c>
      <c r="M32" s="51">
        <v>91.56</v>
      </c>
      <c r="N32" s="51">
        <v>0</v>
      </c>
      <c r="O32" s="51">
        <v>0</v>
      </c>
      <c r="P32" s="51">
        <v>1.2</v>
      </c>
      <c r="Q32" s="51">
        <v>5.05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4.1399999999999997</v>
      </c>
      <c r="C34" s="41">
        <f t="shared" si="0"/>
        <v>20.63</v>
      </c>
      <c r="D34" s="41">
        <f t="shared" si="0"/>
        <v>16.760000000000002</v>
      </c>
      <c r="E34" s="41">
        <f t="shared" si="0"/>
        <v>5.99</v>
      </c>
      <c r="F34" s="41">
        <f t="shared" si="0"/>
        <v>2.56</v>
      </c>
      <c r="G34" s="41">
        <f t="shared" si="0"/>
        <v>84.16</v>
      </c>
      <c r="H34" s="41">
        <f t="shared" si="0"/>
        <v>54.03</v>
      </c>
      <c r="I34" s="41">
        <f t="shared" si="0"/>
        <v>7.81</v>
      </c>
      <c r="J34" s="41">
        <f t="shared" si="0"/>
        <v>0.11</v>
      </c>
      <c r="K34" s="41">
        <f t="shared" si="0"/>
        <v>83.3</v>
      </c>
      <c r="L34" s="41">
        <f t="shared" si="0"/>
        <v>15.65</v>
      </c>
      <c r="M34" s="41">
        <f t="shared" si="0"/>
        <v>46.28</v>
      </c>
      <c r="N34" s="41">
        <f t="shared" si="0"/>
        <v>0</v>
      </c>
      <c r="O34" s="41">
        <f t="shared" si="0"/>
        <v>0</v>
      </c>
      <c r="P34" s="41">
        <f t="shared" si="0"/>
        <v>0.73</v>
      </c>
      <c r="Q34" s="41">
        <f t="shared" si="0"/>
        <v>4.78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16.82</v>
      </c>
      <c r="C35" s="33">
        <f t="shared" si="1"/>
        <v>31.01</v>
      </c>
      <c r="D35" s="33">
        <f t="shared" si="1"/>
        <v>30.98</v>
      </c>
      <c r="E35" s="33">
        <f t="shared" si="1"/>
        <v>8.57</v>
      </c>
      <c r="F35" s="33">
        <f t="shared" si="1"/>
        <v>6.49</v>
      </c>
      <c r="G35" s="33">
        <f t="shared" si="1"/>
        <v>154.41</v>
      </c>
      <c r="H35" s="33">
        <f t="shared" si="1"/>
        <v>72.87</v>
      </c>
      <c r="I35" s="33">
        <f t="shared" si="1"/>
        <v>11.68</v>
      </c>
      <c r="J35" s="33">
        <f t="shared" si="1"/>
        <v>0.52</v>
      </c>
      <c r="K35" s="33">
        <f t="shared" si="1"/>
        <v>335.9</v>
      </c>
      <c r="L35" s="33">
        <f t="shared" si="1"/>
        <v>27.43</v>
      </c>
      <c r="M35" s="33">
        <f t="shared" si="1"/>
        <v>94.11</v>
      </c>
      <c r="N35" s="33">
        <f t="shared" si="1"/>
        <v>394.4</v>
      </c>
      <c r="O35" s="33">
        <f t="shared" si="1"/>
        <v>0</v>
      </c>
      <c r="P35" s="33">
        <f t="shared" si="1"/>
        <v>1.2</v>
      </c>
      <c r="Q35" s="33">
        <f t="shared" si="1"/>
        <v>5.05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8.8204166666666683</v>
      </c>
      <c r="C36" s="41">
        <f t="shared" si="2"/>
        <v>24.548333333333332</v>
      </c>
      <c r="D36" s="41">
        <f t="shared" si="2"/>
        <v>21.041666666666668</v>
      </c>
      <c r="E36" s="41">
        <f t="shared" si="2"/>
        <v>6.944583333333334</v>
      </c>
      <c r="F36" s="41">
        <f t="shared" si="2"/>
        <v>3.5825000000000009</v>
      </c>
      <c r="G36" s="41">
        <f t="shared" si="2"/>
        <v>113.65749999999997</v>
      </c>
      <c r="H36" s="41">
        <f t="shared" si="2"/>
        <v>64.022083333333327</v>
      </c>
      <c r="I36" s="41">
        <f t="shared" si="2"/>
        <v>9.3762499999999989</v>
      </c>
      <c r="J36" s="41">
        <f t="shared" si="2"/>
        <v>0.24250000000000005</v>
      </c>
      <c r="K36" s="41">
        <f t="shared" si="2"/>
        <v>208.42250000000001</v>
      </c>
      <c r="L36" s="41">
        <f t="shared" si="2"/>
        <v>20.861250000000002</v>
      </c>
      <c r="M36" s="41">
        <f t="shared" si="2"/>
        <v>76.387916666666669</v>
      </c>
      <c r="N36" s="41">
        <f t="shared" si="2"/>
        <v>85.745833333333337</v>
      </c>
      <c r="O36" s="41">
        <f t="shared" si="2"/>
        <v>0</v>
      </c>
      <c r="P36" s="41">
        <f t="shared" si="2"/>
        <v>0.93499999999999994</v>
      </c>
      <c r="Q36" s="41">
        <f t="shared" si="2"/>
        <v>4.9025000000000007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4.0857392276345621</v>
      </c>
      <c r="C37" s="41">
        <f t="shared" ref="C37:Q37" si="3">STDEV(C9:C32)</f>
        <v>2.7153055183479919</v>
      </c>
      <c r="D37" s="41">
        <f t="shared" si="3"/>
        <v>4.2844010962587431</v>
      </c>
      <c r="E37" s="41">
        <f t="shared" si="3"/>
        <v>0.68501335541829922</v>
      </c>
      <c r="F37" s="41">
        <f t="shared" si="3"/>
        <v>1.3098763632330017</v>
      </c>
      <c r="G37" s="41">
        <f t="shared" si="3"/>
        <v>27.777953292682259</v>
      </c>
      <c r="H37" s="41">
        <f t="shared" si="3"/>
        <v>6.3186088033796031</v>
      </c>
      <c r="I37" s="41">
        <f t="shared" si="3"/>
        <v>1.0042683363047731</v>
      </c>
      <c r="J37" s="41">
        <f t="shared" si="3"/>
        <v>0.11814692400639933</v>
      </c>
      <c r="K37" s="41">
        <f t="shared" si="3"/>
        <v>65.784003225972654</v>
      </c>
      <c r="L37" s="41">
        <f t="shared" si="3"/>
        <v>4.2915065891068824</v>
      </c>
      <c r="M37" s="41">
        <f t="shared" si="3"/>
        <v>18.418921032263405</v>
      </c>
      <c r="N37" s="41">
        <f t="shared" si="3"/>
        <v>134.06199402796312</v>
      </c>
      <c r="O37" s="41">
        <f t="shared" si="3"/>
        <v>0</v>
      </c>
      <c r="P37" s="41">
        <f t="shared" si="3"/>
        <v>0.13831281496162567</v>
      </c>
      <c r="Q37" s="41">
        <f t="shared" si="3"/>
        <v>7.2246558515760353E-2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29" activePane="bottomRight" state="frozen"/>
      <selection activeCell="G19" sqref="G19"/>
      <selection pane="topRight" activeCell="G19" sqref="G19"/>
      <selection pane="bottomLeft" activeCell="G19" sqref="G19"/>
      <selection pane="bottomRight" activeCell="K39" sqref="K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01/12/2023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01/12/2023 01:00</v>
      </c>
      <c r="B9" s="17">
        <f>'01'!B36</f>
        <v>12.425833333333332</v>
      </c>
      <c r="C9" s="17">
        <f>'01'!C36</f>
        <v>25.233333333333338</v>
      </c>
      <c r="D9" s="17">
        <f>'01'!D36</f>
        <v>24.395</v>
      </c>
      <c r="E9" s="17">
        <f>'01'!E36</f>
        <v>8.644166666666667</v>
      </c>
      <c r="F9" s="17">
        <f>'01'!F36</f>
        <v>4.0079166666666666</v>
      </c>
      <c r="G9" s="17">
        <f>'01'!G36</f>
        <v>71.629166666666663</v>
      </c>
      <c r="H9" s="17">
        <f>'01'!H36</f>
        <v>29.662916666666671</v>
      </c>
      <c r="I9" s="17">
        <f>'01'!I36</f>
        <v>6.871249999999999</v>
      </c>
      <c r="J9" s="17">
        <f>'01'!J36</f>
        <v>0.33791666666666664</v>
      </c>
      <c r="K9" s="17">
        <f>'01'!K36</f>
        <v>118.38291666666665</v>
      </c>
      <c r="L9" s="17">
        <f>'01'!L36</f>
        <v>25.206666666666667</v>
      </c>
      <c r="M9" s="17">
        <f>'01'!M36</f>
        <v>68.035833333333343</v>
      </c>
      <c r="N9" s="17">
        <f>'01'!N36</f>
        <v>135.10416666666666</v>
      </c>
      <c r="O9" s="17">
        <f>'01'!O36</f>
        <v>0</v>
      </c>
      <c r="P9" s="17">
        <f>'01'!P36</f>
        <v>0.78666666666666674</v>
      </c>
      <c r="Q9" s="17">
        <f>'01'!Q36</f>
        <v>4.6691666666666665</v>
      </c>
      <c r="R9" s="34"/>
      <c r="S9" s="34"/>
      <c r="T9" s="34"/>
      <c r="U9" s="35"/>
    </row>
    <row r="10" spans="1:21" s="2" customFormat="1">
      <c r="A10" s="16" t="str">
        <f>'02'!$B$2</f>
        <v>02/12/2023 01:00</v>
      </c>
      <c r="B10" s="17">
        <f>'02'!B36</f>
        <v>10.362083333333331</v>
      </c>
      <c r="C10" s="17">
        <f>'02'!C36</f>
        <v>24.504583333333329</v>
      </c>
      <c r="D10" s="17">
        <f>'02'!D36</f>
        <v>22.264583333333331</v>
      </c>
      <c r="E10" s="17">
        <f>'02'!E36</f>
        <v>8.4366666666666674</v>
      </c>
      <c r="F10" s="17">
        <f>'02'!F36</f>
        <v>5.0679166666666662</v>
      </c>
      <c r="G10" s="17">
        <f>'02'!G36</f>
        <v>70.217826086956521</v>
      </c>
      <c r="H10" s="17">
        <f>'02'!H36</f>
        <v>26.354347826086961</v>
      </c>
      <c r="I10" s="17">
        <f>'02'!I36</f>
        <v>7.0220833333333346</v>
      </c>
      <c r="J10" s="17">
        <f>'02'!J36</f>
        <v>0.36874999999999997</v>
      </c>
      <c r="K10" s="17">
        <f>'02'!K36</f>
        <v>110.13708333333334</v>
      </c>
      <c r="L10" s="17">
        <f>'02'!L36</f>
        <v>25.233749999999997</v>
      </c>
      <c r="M10" s="17">
        <f>'02'!M36</f>
        <v>67.578749999999999</v>
      </c>
      <c r="N10" s="17">
        <f>'02'!N36</f>
        <v>133.73749999999998</v>
      </c>
      <c r="O10" s="17">
        <f>'02'!O36</f>
        <v>0</v>
      </c>
      <c r="P10" s="17">
        <f>'02'!P36</f>
        <v>0.81166666666666687</v>
      </c>
      <c r="Q10" s="17">
        <f>'02'!Q36</f>
        <v>4.6008333333333331</v>
      </c>
      <c r="R10" s="36"/>
      <c r="S10" s="36"/>
      <c r="T10" s="36"/>
      <c r="U10" s="36"/>
    </row>
    <row r="11" spans="1:21" s="2" customFormat="1">
      <c r="A11" s="16" t="str">
        <f>'03'!$B$2</f>
        <v>03/12/2023 01:00</v>
      </c>
      <c r="B11" s="17">
        <f>'03'!B36</f>
        <v>9.9137500000000021</v>
      </c>
      <c r="C11" s="17">
        <f>'03'!C36</f>
        <v>24.08583333333333</v>
      </c>
      <c r="D11" s="17">
        <f>'03'!D36</f>
        <v>21.702916666666667</v>
      </c>
      <c r="E11" s="17">
        <f>'03'!E36</f>
        <v>8.7537500000000001</v>
      </c>
      <c r="F11" s="17">
        <f>'03'!F36</f>
        <v>3.8612500000000001</v>
      </c>
      <c r="G11" s="17">
        <f>'03'!G36</f>
        <v>72.075416666666669</v>
      </c>
      <c r="H11" s="17">
        <f>'03'!H36</f>
        <v>30.635000000000002</v>
      </c>
      <c r="I11" s="17">
        <f>'03'!I36</f>
        <v>6.4679166666666665</v>
      </c>
      <c r="J11" s="17">
        <f>'03'!J36</f>
        <v>0.41083333333333333</v>
      </c>
      <c r="K11" s="17">
        <f>'03'!K36</f>
        <v>112.70083333333332</v>
      </c>
      <c r="L11" s="17">
        <f>'03'!L36</f>
        <v>24.243333333333336</v>
      </c>
      <c r="M11" s="17">
        <f>'03'!M36</f>
        <v>69.932083333333324</v>
      </c>
      <c r="N11" s="17">
        <f>'03'!N36</f>
        <v>113.67083333333335</v>
      </c>
      <c r="O11" s="17">
        <f>'03'!O36</f>
        <v>0</v>
      </c>
      <c r="P11" s="17">
        <f>'03'!P36</f>
        <v>0.76458333333333328</v>
      </c>
      <c r="Q11" s="17">
        <f>'03'!Q36</f>
        <v>4.532916666666666</v>
      </c>
      <c r="R11" s="36"/>
      <c r="S11" s="36"/>
      <c r="T11" s="36"/>
      <c r="U11" s="36"/>
    </row>
    <row r="12" spans="1:21" s="2" customFormat="1">
      <c r="A12" s="16" t="str">
        <f>'04'!$B$2</f>
        <v>04/12/2023 01:00</v>
      </c>
      <c r="B12" s="17">
        <f>'04'!B36</f>
        <v>10.172083333333335</v>
      </c>
      <c r="C12" s="17">
        <f>'04'!C36</f>
        <v>26.774166666666662</v>
      </c>
      <c r="D12" s="17">
        <f>'04'!D36</f>
        <v>23.293333333333326</v>
      </c>
      <c r="E12" s="17">
        <f>'04'!E36</f>
        <v>8.8820833333333322</v>
      </c>
      <c r="F12" s="17">
        <f>'04'!F36</f>
        <v>3.3224999999999998</v>
      </c>
      <c r="G12" s="17">
        <f>'04'!G36</f>
        <v>85.285833333333315</v>
      </c>
      <c r="H12" s="17">
        <f>'04'!H36</f>
        <v>34.775833333333338</v>
      </c>
      <c r="I12" s="17">
        <f>'04'!I36</f>
        <v>7.9820833333333345</v>
      </c>
      <c r="J12" s="17">
        <f>'04'!J36</f>
        <v>0.5625</v>
      </c>
      <c r="K12" s="17">
        <f>'04'!K36</f>
        <v>83.10708333333335</v>
      </c>
      <c r="L12" s="17">
        <f>'04'!L36</f>
        <v>23.368333333333339</v>
      </c>
      <c r="M12" s="17">
        <f>'04'!M36</f>
        <v>72.26124999999999</v>
      </c>
      <c r="N12" s="17">
        <f>'04'!N36</f>
        <v>49.216666666666661</v>
      </c>
      <c r="O12" s="17">
        <f>'04'!O36</f>
        <v>0</v>
      </c>
      <c r="P12" s="17">
        <f>'04'!P36</f>
        <v>0.97458333333333347</v>
      </c>
      <c r="Q12" s="17">
        <f>'04'!Q36</f>
        <v>4.6020833333333329</v>
      </c>
      <c r="R12" s="36"/>
      <c r="S12" s="36"/>
      <c r="T12" s="36"/>
      <c r="U12" s="36"/>
    </row>
    <row r="13" spans="1:21" s="2" customFormat="1">
      <c r="A13" s="16" t="str">
        <f>'05'!$B$2</f>
        <v>05/12/2023 01:00</v>
      </c>
      <c r="B13" s="17">
        <f>'05'!B36</f>
        <v>13.593333333333335</v>
      </c>
      <c r="C13" s="17">
        <f>'05'!C36</f>
        <v>24.741666666666671</v>
      </c>
      <c r="D13" s="17">
        <f>'05'!D36</f>
        <v>24.94541666666667</v>
      </c>
      <c r="E13" s="17">
        <f>'05'!E36</f>
        <v>7.71</v>
      </c>
      <c r="F13" s="17">
        <f>'05'!F36</f>
        <v>2.8987499999999997</v>
      </c>
      <c r="G13" s="17">
        <f>'05'!G36</f>
        <v>35.446666666666665</v>
      </c>
      <c r="H13" s="17">
        <f>'05'!H36</f>
        <v>15.191666666666665</v>
      </c>
      <c r="I13" s="17">
        <f>'05'!I36</f>
        <v>5.1320833333333331</v>
      </c>
      <c r="J13" s="17">
        <f>'05'!J36</f>
        <v>0.93166666666666664</v>
      </c>
      <c r="K13" s="17">
        <f>'05'!K36</f>
        <v>52.236666666666672</v>
      </c>
      <c r="L13" s="17">
        <f>'05'!L36</f>
        <v>19.524166666666666</v>
      </c>
      <c r="M13" s="17">
        <f>'05'!M36</f>
        <v>94.366250000000022</v>
      </c>
      <c r="N13" s="17">
        <f>'05'!N36</f>
        <v>24.266666666666666</v>
      </c>
      <c r="O13" s="17">
        <f>'05'!O36</f>
        <v>9.1666666666666674E-2</v>
      </c>
      <c r="P13" s="17">
        <f>'05'!P36</f>
        <v>0.62625000000000008</v>
      </c>
      <c r="Q13" s="17">
        <f>'05'!Q36</f>
        <v>4.6808333333333332</v>
      </c>
      <c r="R13" s="36"/>
      <c r="S13" s="36"/>
      <c r="T13" s="36"/>
      <c r="U13" s="36"/>
    </row>
    <row r="14" spans="1:21" s="2" customFormat="1">
      <c r="A14" s="16" t="str">
        <f>'06'!$B$2</f>
        <v>06/12/2023 01:00</v>
      </c>
      <c r="B14" s="18">
        <f>'06'!B36</f>
        <v>16.124999999999996</v>
      </c>
      <c r="C14" s="18">
        <f>'06'!C36</f>
        <v>22.36375</v>
      </c>
      <c r="D14" s="18">
        <f>'06'!D36</f>
        <v>25.833750000000006</v>
      </c>
      <c r="E14" s="18">
        <f>'06'!E36</f>
        <v>7.6375000000000002</v>
      </c>
      <c r="F14" s="18">
        <f>'06'!F36</f>
        <v>2.8179166666666666</v>
      </c>
      <c r="G14" s="18">
        <f>'06'!G36</f>
        <v>20.890833333333337</v>
      </c>
      <c r="H14" s="18">
        <f>'06'!H36</f>
        <v>6.7295833333333333</v>
      </c>
      <c r="I14" s="18">
        <f>'06'!I36</f>
        <v>3.1312500000000001</v>
      </c>
      <c r="J14" s="18">
        <f>'06'!J36</f>
        <v>0.82458333333333345</v>
      </c>
      <c r="K14" s="18">
        <f>'06'!K36</f>
        <v>57.475000000000001</v>
      </c>
      <c r="L14" s="18">
        <f>'06'!L36</f>
        <v>19.34291666666666</v>
      </c>
      <c r="M14" s="18">
        <f>'06'!M36</f>
        <v>94.283333333333346</v>
      </c>
      <c r="N14" s="18">
        <f>'06'!N36</f>
        <v>20.408333333333335</v>
      </c>
      <c r="O14" s="18">
        <f>'06'!O36</f>
        <v>8.3333333333333329E-2</v>
      </c>
      <c r="P14" s="18">
        <f>'06'!P36</f>
        <v>0.45958333333333329</v>
      </c>
      <c r="Q14" s="18">
        <f>'06'!Q36</f>
        <v>4.7470833333333324</v>
      </c>
      <c r="R14" s="36"/>
      <c r="S14" s="36"/>
      <c r="T14" s="36"/>
      <c r="U14" s="36"/>
    </row>
    <row r="15" spans="1:21" s="2" customFormat="1">
      <c r="A15" s="16" t="str">
        <f>'07'!$B$2</f>
        <v>07/12/2023 01:00</v>
      </c>
      <c r="B15" s="18">
        <f>'07'!B36</f>
        <v>25.640416666666667</v>
      </c>
      <c r="C15" s="18">
        <f>'07'!C36</f>
        <v>23.545833333333338</v>
      </c>
      <c r="D15" s="18">
        <f>'07'!D36</f>
        <v>33.82500000000001</v>
      </c>
      <c r="E15" s="18">
        <f>'07'!E36</f>
        <v>7.1579166666666696</v>
      </c>
      <c r="F15" s="18">
        <f>'07'!F36</f>
        <v>2.7070833333333333</v>
      </c>
      <c r="G15" s="18">
        <f>'07'!G36</f>
        <v>35.909166666666671</v>
      </c>
      <c r="H15" s="18">
        <f>'07'!H36</f>
        <v>10.817500000000001</v>
      </c>
      <c r="I15" s="18">
        <f>'07'!I36</f>
        <v>5.3912499999999994</v>
      </c>
      <c r="J15" s="18">
        <f>'07'!J36</f>
        <v>0.37208333333333338</v>
      </c>
      <c r="K15" s="18">
        <f>'07'!K36</f>
        <v>158.12499999999997</v>
      </c>
      <c r="L15" s="18">
        <f>'07'!L36</f>
        <v>19.283333333333335</v>
      </c>
      <c r="M15" s="18">
        <f>'07'!M36</f>
        <v>100.27541666666666</v>
      </c>
      <c r="N15" s="18">
        <f>'07'!N36</f>
        <v>15.995833333333332</v>
      </c>
      <c r="O15" s="18">
        <f>'07'!O36</f>
        <v>0.13333333333333336</v>
      </c>
      <c r="P15" s="18">
        <f>'07'!P36</f>
        <v>0.75416666666666654</v>
      </c>
      <c r="Q15" s="18">
        <f>'07'!Q36</f>
        <v>5.0312500000000009</v>
      </c>
      <c r="R15" s="36"/>
      <c r="S15" s="36"/>
      <c r="T15" s="36"/>
      <c r="U15" s="36"/>
    </row>
    <row r="16" spans="1:21" s="2" customFormat="1">
      <c r="A16" s="16" t="str">
        <f>'08'!$B$2</f>
        <v>08/12/2023 01:00</v>
      </c>
      <c r="B16" s="18">
        <f>'08'!B36</f>
        <v>25.616666666666664</v>
      </c>
      <c r="C16" s="18">
        <f>'08'!C36</f>
        <v>23.065833333333334</v>
      </c>
      <c r="D16" s="18">
        <f>'08'!D36</f>
        <v>33.71</v>
      </c>
      <c r="E16" s="18">
        <f>'08'!E36</f>
        <v>7.9175000000000004</v>
      </c>
      <c r="F16" s="18">
        <f>'08'!F36</f>
        <v>2.7341666666666669</v>
      </c>
      <c r="G16" s="18">
        <f>'08'!G36</f>
        <v>35.733333333333341</v>
      </c>
      <c r="H16" s="18">
        <f>'08'!H36</f>
        <v>12.976666666666667</v>
      </c>
      <c r="I16" s="18">
        <f>'08'!I36</f>
        <v>6.1429166666666655</v>
      </c>
      <c r="J16" s="18">
        <f>'08'!J36</f>
        <v>0.29833333333333328</v>
      </c>
      <c r="K16" s="18">
        <f>'08'!K36</f>
        <v>193.90166666666664</v>
      </c>
      <c r="L16" s="18">
        <f>'08'!L36</f>
        <v>21.042499999999997</v>
      </c>
      <c r="M16" s="18">
        <f>'08'!M36</f>
        <v>89.767499999999984</v>
      </c>
      <c r="N16" s="18">
        <f>'08'!N36</f>
        <v>94.887499999999989</v>
      </c>
      <c r="O16" s="18">
        <f>'08'!O36</f>
        <v>0</v>
      </c>
      <c r="P16" s="18">
        <f>'08'!P36</f>
        <v>0.76916666666666655</v>
      </c>
      <c r="Q16" s="18">
        <f>'08'!Q36</f>
        <v>4.9912500000000009</v>
      </c>
      <c r="R16" s="36"/>
      <c r="S16" s="36"/>
      <c r="T16" s="36"/>
      <c r="U16" s="36"/>
    </row>
    <row r="17" spans="1:24" s="2" customFormat="1">
      <c r="A17" s="16" t="str">
        <f>'09'!$B$2</f>
        <v>09/12/2023 01:00</v>
      </c>
      <c r="B17" s="18">
        <f>'09'!B36</f>
        <v>25.895833333333332</v>
      </c>
      <c r="C17" s="18">
        <f>'09'!C36</f>
        <v>24.046249999999997</v>
      </c>
      <c r="D17" s="18">
        <f>'09'!D36</f>
        <v>34.383333333333333</v>
      </c>
      <c r="E17" s="18">
        <f>'09'!E36</f>
        <v>8.2420833333333352</v>
      </c>
      <c r="F17" s="18">
        <f>'09'!F36</f>
        <v>2.9320833333333334</v>
      </c>
      <c r="G17" s="18">
        <f>'09'!G36</f>
        <v>66.297499999999999</v>
      </c>
      <c r="H17" s="18">
        <f>'09'!H36</f>
        <v>23.505000000000006</v>
      </c>
      <c r="I17" s="18">
        <f>'09'!I36</f>
        <v>7.1641666666666675</v>
      </c>
      <c r="J17" s="18">
        <f>'09'!J36</f>
        <v>0.27583333333333337</v>
      </c>
      <c r="K17" s="18">
        <f>'09'!K36</f>
        <v>225.11083333333332</v>
      </c>
      <c r="L17" s="18">
        <f>'09'!L36</f>
        <v>21.712916666666672</v>
      </c>
      <c r="M17" s="18">
        <f>'09'!M36</f>
        <v>79.411666666666648</v>
      </c>
      <c r="N17" s="18">
        <f>'09'!N36</f>
        <v>132.78749999999999</v>
      </c>
      <c r="O17" s="18">
        <f>'09'!O36</f>
        <v>0</v>
      </c>
      <c r="P17" s="18">
        <f>'09'!P36</f>
        <v>0.85583333333333333</v>
      </c>
      <c r="Q17" s="18">
        <f>'09'!Q36</f>
        <v>4.9575000000000005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10/12/2023 01:00</v>
      </c>
      <c r="B18" s="18">
        <f>'10'!B36</f>
        <v>31.430416666666659</v>
      </c>
      <c r="C18" s="18">
        <f>'10'!C36</f>
        <v>26.21875</v>
      </c>
      <c r="D18" s="18">
        <f>'10'!D36</f>
        <v>40.120416666666678</v>
      </c>
      <c r="E18" s="18">
        <f>'10'!E36</f>
        <v>8.7304166666666649</v>
      </c>
      <c r="F18" s="18">
        <f>'10'!F36</f>
        <v>2.9049999999999998</v>
      </c>
      <c r="G18" s="18">
        <f>'10'!G36</f>
        <v>82.92583333333333</v>
      </c>
      <c r="H18" s="18">
        <f>'10'!H36</f>
        <v>31.786249999999999</v>
      </c>
      <c r="I18" s="18">
        <f>'10'!I36</f>
        <v>7.5920833333333322</v>
      </c>
      <c r="J18" s="18">
        <f>'10'!J36</f>
        <v>0.27999999999999997</v>
      </c>
      <c r="K18" s="18">
        <f>'10'!K36</f>
        <v>201.52791666666664</v>
      </c>
      <c r="L18" s="18">
        <f>'10'!L36</f>
        <v>20.737500000000001</v>
      </c>
      <c r="M18" s="18">
        <f>'10'!M36</f>
        <v>73.376666666666679</v>
      </c>
      <c r="N18" s="18">
        <f>'10'!N36</f>
        <v>142.47499999999999</v>
      </c>
      <c r="O18" s="18">
        <f>'10'!O36</f>
        <v>0</v>
      </c>
      <c r="P18" s="18">
        <f>'10'!P36</f>
        <v>0.87250000000000005</v>
      </c>
      <c r="Q18" s="18">
        <f>'10'!Q36</f>
        <v>5.0504166666666643</v>
      </c>
      <c r="R18" s="36"/>
      <c r="S18" s="36"/>
      <c r="T18" s="36"/>
      <c r="U18" s="36"/>
    </row>
    <row r="19" spans="1:24" s="2" customFormat="1">
      <c r="A19" s="16" t="str">
        <f>'11'!$B$2</f>
        <v>11/12/2023 01:00</v>
      </c>
      <c r="B19" s="18">
        <f>'11'!B36</f>
        <v>19.053749999999997</v>
      </c>
      <c r="C19" s="18">
        <f>'11'!C36</f>
        <v>27.040000000000003</v>
      </c>
      <c r="D19" s="18">
        <f>'11'!D36</f>
        <v>30.583749999999998</v>
      </c>
      <c r="E19" s="18">
        <f>'11'!E36</f>
        <v>8.5287499999999987</v>
      </c>
      <c r="F19" s="18">
        <f>'11'!F36</f>
        <v>2.8679166666666673</v>
      </c>
      <c r="G19" s="18">
        <f>'11'!G36</f>
        <v>87.810416666666654</v>
      </c>
      <c r="H19" s="18">
        <f>'11'!H36</f>
        <v>35.008333333333333</v>
      </c>
      <c r="I19" s="18">
        <f>'11'!I36</f>
        <v>6.2316666666666665</v>
      </c>
      <c r="J19" s="18">
        <f>'11'!J36</f>
        <v>0.30583333333333335</v>
      </c>
      <c r="K19" s="18">
        <f>'11'!K36</f>
        <v>210.40624999999997</v>
      </c>
      <c r="L19" s="18">
        <f>'11'!L36</f>
        <v>20.265833333333333</v>
      </c>
      <c r="M19" s="18">
        <f>'11'!M36</f>
        <v>73.549583333333331</v>
      </c>
      <c r="N19" s="18">
        <f>'11'!N36</f>
        <v>136.0708333333333</v>
      </c>
      <c r="O19" s="18">
        <f>'11'!O36</f>
        <v>0</v>
      </c>
      <c r="P19" s="18">
        <f>'11'!P36</f>
        <v>0.79374999999999984</v>
      </c>
      <c r="Q19" s="18">
        <f>'11'!Q36</f>
        <v>4.7908333333333326</v>
      </c>
      <c r="R19" s="36"/>
      <c r="S19" s="36"/>
      <c r="T19" s="36"/>
      <c r="U19" s="36"/>
    </row>
    <row r="20" spans="1:24" s="2" customFormat="1">
      <c r="A20" s="16">
        <f>'12'!$B$2</f>
        <v>45272.041666666664</v>
      </c>
      <c r="B20" s="18">
        <f>'12'!B36</f>
        <v>19.457916666666666</v>
      </c>
      <c r="C20" s="18">
        <f>'12'!C36</f>
        <v>26.935416666666669</v>
      </c>
      <c r="D20" s="18">
        <f>'12'!D36</f>
        <v>30.803333333333327</v>
      </c>
      <c r="E20" s="18">
        <f>'12'!E36</f>
        <v>8.4095652173913056</v>
      </c>
      <c r="F20" s="18">
        <f>'12'!F36</f>
        <v>4.2079166666666667</v>
      </c>
      <c r="G20" s="18">
        <f>'12'!G36</f>
        <v>83.968333333333348</v>
      </c>
      <c r="H20" s="18">
        <f>'12'!H36</f>
        <v>34.795833333333334</v>
      </c>
      <c r="I20" s="18">
        <f>'12'!I36</f>
        <v>19.576666666666664</v>
      </c>
      <c r="J20" s="18">
        <f>'12'!J36</f>
        <v>0.24791666666666665</v>
      </c>
      <c r="K20" s="18">
        <f>'12'!K36</f>
        <v>242.37250000000003</v>
      </c>
      <c r="L20" s="18">
        <f>'12'!L36</f>
        <v>20.535416666666666</v>
      </c>
      <c r="M20" s="18">
        <f>'12'!M36</f>
        <v>72.102916666666673</v>
      </c>
      <c r="N20" s="18">
        <f>'12'!N36</f>
        <v>129.81250000000003</v>
      </c>
      <c r="O20" s="18">
        <f>'12'!O36</f>
        <v>0</v>
      </c>
      <c r="P20" s="18">
        <f>'12'!P36</f>
        <v>0.78874999999999984</v>
      </c>
      <c r="Q20" s="18">
        <f>'12'!Q36</f>
        <v>5.047083333333334</v>
      </c>
      <c r="R20" s="36"/>
      <c r="S20" s="36"/>
      <c r="T20" s="36"/>
      <c r="U20" s="36"/>
    </row>
    <row r="21" spans="1:24" s="2" customFormat="1">
      <c r="A21" s="16">
        <f>'13'!$B$2</f>
        <v>45273.041666666664</v>
      </c>
      <c r="B21" s="18">
        <f>'13'!B36</f>
        <v>13.376666666666665</v>
      </c>
      <c r="C21" s="18">
        <f>'13'!C36</f>
        <v>26.697916666666668</v>
      </c>
      <c r="D21" s="18">
        <f>'13'!D36</f>
        <v>25.884166666666669</v>
      </c>
      <c r="E21" s="18">
        <f>'13'!E36</f>
        <v>8.3220833333333317</v>
      </c>
      <c r="F21" s="18">
        <f>'13'!F36</f>
        <v>3.0645833333333337</v>
      </c>
      <c r="G21" s="18">
        <f>'13'!G36</f>
        <v>94.185833333333335</v>
      </c>
      <c r="H21" s="18">
        <f>'13'!H36</f>
        <v>40.188333333333333</v>
      </c>
      <c r="I21" s="18">
        <f>'13'!I36</f>
        <v>8.9220833333333349</v>
      </c>
      <c r="J21" s="18">
        <f>'13'!J36</f>
        <v>0.27083333333333331</v>
      </c>
      <c r="K21" s="18">
        <f>'13'!K36</f>
        <v>214.45124999999996</v>
      </c>
      <c r="L21" s="18">
        <f>'13'!L36</f>
        <v>20.483750000000001</v>
      </c>
      <c r="M21" s="18">
        <f>'13'!M36</f>
        <v>73.344166666666666</v>
      </c>
      <c r="N21" s="18">
        <f>'13'!N36</f>
        <v>114.45833333333336</v>
      </c>
      <c r="O21" s="18">
        <f>'13'!O36</f>
        <v>0</v>
      </c>
      <c r="P21" s="18">
        <f>'13'!P36</f>
        <v>0.81916666666666682</v>
      </c>
      <c r="Q21" s="18">
        <f>'13'!Q36</f>
        <v>5.2170833333333331</v>
      </c>
      <c r="R21" s="36"/>
      <c r="S21" s="36"/>
      <c r="T21" s="36"/>
      <c r="U21" s="36"/>
    </row>
    <row r="22" spans="1:24" s="2" customFormat="1">
      <c r="A22" s="16">
        <f>'14'!$B$2</f>
        <v>45274.041666666664</v>
      </c>
      <c r="B22" s="18">
        <f>'14'!B36</f>
        <v>21.71875</v>
      </c>
      <c r="C22" s="18">
        <f>'14'!C36</f>
        <v>29.51208333333334</v>
      </c>
      <c r="D22" s="18">
        <f>'14'!D36</f>
        <v>33.957500000000003</v>
      </c>
      <c r="E22" s="18">
        <f>'14'!E36</f>
        <v>8.8375000000000004</v>
      </c>
      <c r="F22" s="18">
        <f>'14'!F36</f>
        <v>3.0854166666666667</v>
      </c>
      <c r="G22" s="18">
        <f>'14'!G36</f>
        <v>111.88875</v>
      </c>
      <c r="H22" s="18">
        <f>'14'!H36</f>
        <v>44.426249999999989</v>
      </c>
      <c r="I22" s="18">
        <f>'14'!I36</f>
        <v>9.0941666666666663</v>
      </c>
      <c r="J22" s="18">
        <f>'14'!J36</f>
        <v>0.3</v>
      </c>
      <c r="K22" s="18">
        <f>'14'!K36</f>
        <v>197.505</v>
      </c>
      <c r="L22" s="18">
        <f>'14'!L36</f>
        <v>20.305833333333332</v>
      </c>
      <c r="M22" s="18">
        <f>'14'!M36</f>
        <v>71.68416666666667</v>
      </c>
      <c r="N22" s="18">
        <f>'14'!N36</f>
        <v>124.25416666666668</v>
      </c>
      <c r="O22" s="18">
        <f>'14'!O36</f>
        <v>0</v>
      </c>
      <c r="P22" s="18">
        <f>'14'!P36</f>
        <v>0.92458333333333342</v>
      </c>
      <c r="Q22" s="18">
        <f>'14'!Q36</f>
        <v>5.4612499999999997</v>
      </c>
      <c r="R22" s="38"/>
      <c r="S22" s="38"/>
      <c r="T22" s="38"/>
      <c r="U22" s="38"/>
    </row>
    <row r="23" spans="1:24" s="2" customFormat="1">
      <c r="A23" s="16">
        <f>'15'!$B$2</f>
        <v>45275.041666666664</v>
      </c>
      <c r="B23" s="19">
        <f>'15'!B36</f>
        <v>15.815833333333329</v>
      </c>
      <c r="C23" s="19">
        <f>'15'!C36</f>
        <v>29.851249999999993</v>
      </c>
      <c r="D23" s="19">
        <f>'15'!D36</f>
        <v>29.491250000000004</v>
      </c>
      <c r="E23" s="19">
        <f>'15'!E36</f>
        <v>9.3545833333333324</v>
      </c>
      <c r="F23" s="19">
        <f>'15'!F36</f>
        <v>3.3945833333333333</v>
      </c>
      <c r="G23" s="19">
        <f>'15'!G36</f>
        <v>105.50166666666667</v>
      </c>
      <c r="H23" s="19">
        <f>'15'!H36</f>
        <v>42.1325</v>
      </c>
      <c r="I23" s="19">
        <f>'15'!I36</f>
        <v>8.15625</v>
      </c>
      <c r="J23" s="19">
        <f>'15'!J36</f>
        <v>0.27958333333333335</v>
      </c>
      <c r="K23" s="19">
        <f>'15'!K36</f>
        <v>185.76124999999999</v>
      </c>
      <c r="L23" s="19">
        <f>'15'!L36</f>
        <v>19.630416666666665</v>
      </c>
      <c r="M23" s="19">
        <f>'15'!M36</f>
        <v>70.628750000000011</v>
      </c>
      <c r="N23" s="19">
        <f>'15'!N36</f>
        <v>126.15833333333335</v>
      </c>
      <c r="O23" s="19">
        <f>'15'!O36</f>
        <v>0</v>
      </c>
      <c r="P23" s="19">
        <f>'15'!P36</f>
        <v>0.88624999999999965</v>
      </c>
      <c r="Q23" s="19">
        <f>'15'!Q36</f>
        <v>5.3337499999999993</v>
      </c>
      <c r="R23" s="38"/>
      <c r="S23" s="38"/>
      <c r="T23" s="38"/>
      <c r="U23" s="36"/>
    </row>
    <row r="24" spans="1:24" s="2" customFormat="1">
      <c r="A24" s="16">
        <f>'16'!$B$2</f>
        <v>45276.041666666664</v>
      </c>
      <c r="B24" s="18">
        <f>'16'!B36</f>
        <v>26.205833333333342</v>
      </c>
      <c r="C24" s="18">
        <f>'16'!C36</f>
        <v>29.908333333333335</v>
      </c>
      <c r="D24" s="18">
        <f>'16'!D36</f>
        <v>37.795416666666668</v>
      </c>
      <c r="E24" s="18">
        <f>'16'!E36</f>
        <v>7.8783333333333312</v>
      </c>
      <c r="F24" s="18">
        <f>'16'!F36</f>
        <v>3.7879166666666673</v>
      </c>
      <c r="G24" s="18">
        <f>'16'!G36</f>
        <v>106.64708333333333</v>
      </c>
      <c r="H24" s="18">
        <f>'16'!H36</f>
        <v>43.572499999999991</v>
      </c>
      <c r="I24" s="18">
        <f>'16'!I36</f>
        <v>8.9291666666666671</v>
      </c>
      <c r="J24" s="18">
        <f>'16'!J36</f>
        <v>0.28208333333333341</v>
      </c>
      <c r="K24" s="18">
        <f>'16'!K36</f>
        <v>197.16958333333332</v>
      </c>
      <c r="L24" s="18">
        <f>'16'!L36</f>
        <v>19.095000000000002</v>
      </c>
      <c r="M24" s="18">
        <f>'16'!M36</f>
        <v>71.146249999999981</v>
      </c>
      <c r="N24" s="18">
        <f>'16'!N36</f>
        <v>123.01666666666667</v>
      </c>
      <c r="O24" s="18">
        <f>'16'!O36</f>
        <v>0</v>
      </c>
      <c r="P24" s="18">
        <f>'16'!P36</f>
        <v>1.0079166666666666</v>
      </c>
      <c r="Q24" s="18">
        <f>'16'!Q36</f>
        <v>5.5687500000000005</v>
      </c>
      <c r="R24" s="38"/>
      <c r="S24" s="38"/>
      <c r="T24" s="38"/>
      <c r="U24" s="36"/>
    </row>
    <row r="25" spans="1:24" s="2" customFormat="1">
      <c r="A25" s="16">
        <f>'17'!$B$2</f>
        <v>45277.041666666664</v>
      </c>
      <c r="B25" s="18">
        <f>'17'!B36</f>
        <v>25.346666666666668</v>
      </c>
      <c r="C25" s="18">
        <f>'17'!C36</f>
        <v>31.555833333333336</v>
      </c>
      <c r="D25" s="18">
        <f>'17'!D36</f>
        <v>38.029166666666661</v>
      </c>
      <c r="E25" s="18">
        <f>'17'!E36</f>
        <v>6.5658333333333339</v>
      </c>
      <c r="F25" s="18">
        <f>'17'!F36</f>
        <v>3.3016666666666676</v>
      </c>
      <c r="G25" s="18">
        <f>'17'!G36</f>
        <v>111.53458333333333</v>
      </c>
      <c r="H25" s="18">
        <f>'17'!H36</f>
        <v>47.741250000000008</v>
      </c>
      <c r="I25" s="18">
        <f>'17'!I36</f>
        <v>9.8549999999999986</v>
      </c>
      <c r="J25" s="18">
        <f>'17'!J36</f>
        <v>0.31541666666666668</v>
      </c>
      <c r="K25" s="18">
        <f>'17'!K36</f>
        <v>154.4891666666667</v>
      </c>
      <c r="L25" s="18">
        <f>'17'!L36</f>
        <v>19.516250000000003</v>
      </c>
      <c r="M25" s="18">
        <f>'17'!M36</f>
        <v>66.851666666666674</v>
      </c>
      <c r="N25" s="18">
        <f>'17'!N36</f>
        <v>118.15833333333335</v>
      </c>
      <c r="O25" s="18">
        <f>'17'!O36</f>
        <v>0</v>
      </c>
      <c r="P25" s="18">
        <f>'17'!P36</f>
        <v>1.1062500000000002</v>
      </c>
      <c r="Q25" s="18">
        <f>'17'!Q36</f>
        <v>5.5354166666666664</v>
      </c>
      <c r="R25" s="38"/>
      <c r="S25" s="38"/>
      <c r="T25" s="38"/>
      <c r="U25" s="36"/>
    </row>
    <row r="26" spans="1:24" s="2" customFormat="1">
      <c r="A26" s="16">
        <f>'18'!$B$2</f>
        <v>45278.041666666664</v>
      </c>
      <c r="B26" s="18">
        <f>'18'!B36</f>
        <v>16.228749999999994</v>
      </c>
      <c r="C26" s="18">
        <f>'18'!C36</f>
        <v>31.204583333333336</v>
      </c>
      <c r="D26" s="18">
        <f>'18'!D36</f>
        <v>30.579583333333332</v>
      </c>
      <c r="E26" s="18">
        <f>'18'!E36</f>
        <v>5.8083333333333336</v>
      </c>
      <c r="F26" s="18">
        <f>'18'!F36</f>
        <v>3.0416666666666665</v>
      </c>
      <c r="G26" s="18">
        <f>'18'!G36</f>
        <v>91.413750000000007</v>
      </c>
      <c r="H26" s="18">
        <f>'18'!H36</f>
        <v>39.665000000000013</v>
      </c>
      <c r="I26" s="18">
        <f>'18'!I36</f>
        <v>7.6620833333333342</v>
      </c>
      <c r="J26" s="18">
        <f>'18'!J36</f>
        <v>0.38666666666666671</v>
      </c>
      <c r="K26" s="18">
        <f>'18'!K36</f>
        <v>130.66125</v>
      </c>
      <c r="L26" s="18">
        <f>'18'!L36</f>
        <v>18.482916666666664</v>
      </c>
      <c r="M26" s="18">
        <f>'18'!M36</f>
        <v>66.341250000000002</v>
      </c>
      <c r="N26" s="18">
        <f>'18'!N36</f>
        <v>111.47083333333335</v>
      </c>
      <c r="O26" s="18">
        <f>'18'!O36</f>
        <v>0</v>
      </c>
      <c r="P26" s="18">
        <f>'18'!P36</f>
        <v>0.87499999999999989</v>
      </c>
      <c r="Q26" s="18">
        <f>'18'!Q36</f>
        <v>5.29</v>
      </c>
      <c r="R26" s="38"/>
      <c r="S26" s="38"/>
      <c r="T26" s="38"/>
      <c r="U26" s="36"/>
    </row>
    <row r="27" spans="1:24" s="2" customFormat="1">
      <c r="A27" s="16">
        <f>'19'!$B$2</f>
        <v>45279.041666666664</v>
      </c>
      <c r="B27" s="18">
        <f>'19'!B36</f>
        <v>19.79</v>
      </c>
      <c r="C27" s="18">
        <f>'19'!C36</f>
        <v>31.017083333333332</v>
      </c>
      <c r="D27" s="18">
        <f>'19'!D36</f>
        <v>33.364166666666669</v>
      </c>
      <c r="E27" s="18">
        <f>'19'!E36</f>
        <v>6.8791666666666664</v>
      </c>
      <c r="F27" s="18">
        <f>'19'!F36</f>
        <v>3.2820833333333339</v>
      </c>
      <c r="G27" s="18">
        <f>'19'!G36</f>
        <v>98.124583333333348</v>
      </c>
      <c r="H27" s="18">
        <f>'19'!H36</f>
        <v>41.849166666666669</v>
      </c>
      <c r="I27" s="18">
        <f>'19'!I36</f>
        <v>8.5374999999999996</v>
      </c>
      <c r="J27" s="18">
        <f>'19'!J36</f>
        <v>0.45666666666666672</v>
      </c>
      <c r="K27" s="18">
        <f>'19'!K36</f>
        <v>105.265</v>
      </c>
      <c r="L27" s="18">
        <f>'19'!L36</f>
        <v>17.619583333333331</v>
      </c>
      <c r="M27" s="18">
        <f>'19'!M36</f>
        <v>57.991250000000008</v>
      </c>
      <c r="N27" s="18">
        <f>'19'!N36</f>
        <v>123.96249999999998</v>
      </c>
      <c r="O27" s="18">
        <f>'19'!O36</f>
        <v>0</v>
      </c>
      <c r="P27" s="18">
        <f>'19'!P36</f>
        <v>0.91374999999999995</v>
      </c>
      <c r="Q27" s="18">
        <f>'19'!Q36</f>
        <v>5.3170833333333327</v>
      </c>
      <c r="R27" s="38"/>
      <c r="S27" s="38"/>
      <c r="T27" s="38"/>
      <c r="U27" s="36"/>
    </row>
    <row r="28" spans="1:24" s="2" customFormat="1">
      <c r="A28" s="16" t="str">
        <f>'20'!$B$2</f>
        <v>20/12/2023 01:00</v>
      </c>
      <c r="B28" s="18">
        <f>'20'!B36</f>
        <v>23.746666666666666</v>
      </c>
      <c r="C28" s="18">
        <f>'20'!C36</f>
        <v>35.911666666666669</v>
      </c>
      <c r="D28" s="18">
        <f>'20'!D36</f>
        <v>38.91791666666667</v>
      </c>
      <c r="E28" s="18">
        <f>'20'!E36</f>
        <v>8.0175000000000001</v>
      </c>
      <c r="F28" s="18">
        <f>'20'!F36</f>
        <v>3.4354166666666668</v>
      </c>
      <c r="G28" s="18">
        <f>'20'!G36</f>
        <v>87.476521739130419</v>
      </c>
      <c r="H28" s="18">
        <f>'20'!H36</f>
        <v>40.364347826086963</v>
      </c>
      <c r="I28" s="18">
        <f>'20'!I36</f>
        <v>21.789166666666663</v>
      </c>
      <c r="J28" s="18">
        <f>'20'!J36</f>
        <v>0.37708333333333338</v>
      </c>
      <c r="K28" s="18">
        <f>'20'!K36</f>
        <v>157.39416666666662</v>
      </c>
      <c r="L28" s="18">
        <f>'20'!L36</f>
        <v>17.162916666666664</v>
      </c>
      <c r="M28" s="18">
        <f>'20'!M36</f>
        <v>63.848750000000017</v>
      </c>
      <c r="N28" s="18">
        <f>'20'!N36</f>
        <v>119.24166666666667</v>
      </c>
      <c r="O28" s="18">
        <f>'20'!O36</f>
        <v>0</v>
      </c>
      <c r="P28" s="18">
        <f>'20'!P36</f>
        <v>0.84124999999999994</v>
      </c>
      <c r="Q28" s="18">
        <f>'20'!Q36</f>
        <v>5.4137500000000003</v>
      </c>
      <c r="R28" s="38"/>
      <c r="S28" s="38"/>
      <c r="T28" s="38"/>
      <c r="U28" s="36"/>
    </row>
    <row r="29" spans="1:24" s="2" customFormat="1">
      <c r="A29" s="16" t="str">
        <f>'21'!$B$2</f>
        <v>21/12/2023 01:00</v>
      </c>
      <c r="B29" s="18">
        <f>'21'!B36</f>
        <v>18.135833333333327</v>
      </c>
      <c r="C29" s="18">
        <f>'21'!C36</f>
        <v>32.406666666666666</v>
      </c>
      <c r="D29" s="18">
        <f>'21'!D36</f>
        <v>32.713749999999997</v>
      </c>
      <c r="E29" s="18">
        <f>'21'!E36</f>
        <v>7.8412500000000023</v>
      </c>
      <c r="F29" s="18">
        <f>'21'!F36</f>
        <v>3.1391666666666667</v>
      </c>
      <c r="G29" s="18">
        <f>'21'!G36</f>
        <v>100.43708333333332</v>
      </c>
      <c r="H29" s="18">
        <f>'21'!H36</f>
        <v>50.167083333333323</v>
      </c>
      <c r="I29" s="18">
        <f>'21'!I36</f>
        <v>12.505833333333335</v>
      </c>
      <c r="J29" s="18">
        <f>'21'!J36</f>
        <v>0.26874999999999999</v>
      </c>
      <c r="K29" s="18">
        <f>'21'!K36</f>
        <v>197.74041666666665</v>
      </c>
      <c r="L29" s="18">
        <f>'21'!L36</f>
        <v>17.616250000000001</v>
      </c>
      <c r="M29" s="18">
        <f>'21'!M36</f>
        <v>67.561666666666667</v>
      </c>
      <c r="N29" s="18">
        <f>'21'!N36</f>
        <v>115.55833333333334</v>
      </c>
      <c r="O29" s="18">
        <f>'21'!O36</f>
        <v>0</v>
      </c>
      <c r="P29" s="18">
        <f>'21'!P36</f>
        <v>0.96374999999999977</v>
      </c>
      <c r="Q29" s="18">
        <f>'21'!Q36</f>
        <v>5.2120833333333332</v>
      </c>
      <c r="R29" s="38"/>
      <c r="S29" s="38"/>
      <c r="T29" s="38"/>
      <c r="U29" s="36"/>
    </row>
    <row r="30" spans="1:24" s="2" customFormat="1">
      <c r="A30" s="16" t="str">
        <f>'22'!$B$2</f>
        <v>22/12/2023 01:00</v>
      </c>
      <c r="B30" s="18">
        <f>'22'!B36</f>
        <v>15.937916666666668</v>
      </c>
      <c r="C30" s="18">
        <f>'22'!C36</f>
        <v>32.070833333333326</v>
      </c>
      <c r="D30" s="18">
        <f>'22'!D36</f>
        <v>30.795416666666664</v>
      </c>
      <c r="E30" s="18">
        <f>'22'!E36</f>
        <v>6.5691666666666668</v>
      </c>
      <c r="F30" s="18">
        <f>'22'!F36</f>
        <v>3.3808333333333329</v>
      </c>
      <c r="G30" s="18">
        <f>'22'!G36</f>
        <v>127.65375</v>
      </c>
      <c r="H30" s="18">
        <f>'22'!H36</f>
        <v>59.644583333333337</v>
      </c>
      <c r="I30" s="18">
        <f>'22'!I36</f>
        <v>12.422083333333333</v>
      </c>
      <c r="J30" s="18">
        <f>'22'!J36</f>
        <v>0.27458333333333323</v>
      </c>
      <c r="K30" s="18">
        <f>'22'!K36</f>
        <v>207.62375</v>
      </c>
      <c r="L30" s="18">
        <f>'22'!L36</f>
        <v>18.567916666666665</v>
      </c>
      <c r="M30" s="18">
        <f>'22'!M36</f>
        <v>67.89791666666666</v>
      </c>
      <c r="N30" s="18">
        <f>'22'!N36</f>
        <v>111.67083333333331</v>
      </c>
      <c r="O30" s="18">
        <f>'22'!O36</f>
        <v>0</v>
      </c>
      <c r="P30" s="18">
        <f>'22'!P36</f>
        <v>1.0954166666666665</v>
      </c>
      <c r="Q30" s="18">
        <f>'22'!Q36</f>
        <v>5.1375000000000002</v>
      </c>
      <c r="R30" s="38"/>
      <c r="S30" s="36"/>
      <c r="T30" s="36"/>
      <c r="U30" s="36"/>
    </row>
    <row r="31" spans="1:24" s="2" customFormat="1">
      <c r="A31" s="16" t="str">
        <f>'23'!$B$2</f>
        <v>23/12/2023 01:00</v>
      </c>
      <c r="B31" s="18">
        <f>'23'!B36</f>
        <v>13.937500000000002</v>
      </c>
      <c r="C31" s="18">
        <f>'23'!C36</f>
        <v>29.941666666666674</v>
      </c>
      <c r="D31" s="18">
        <f>'23'!D36</f>
        <v>28.124166666666664</v>
      </c>
      <c r="E31" s="18">
        <f>'23'!E36</f>
        <v>6.5770833333333343</v>
      </c>
      <c r="F31" s="18">
        <f>'23'!F36</f>
        <v>3.5891666666666668</v>
      </c>
      <c r="G31" s="18">
        <f>'23'!G36</f>
        <v>122.41375000000001</v>
      </c>
      <c r="H31" s="18">
        <f>'23'!H36</f>
        <v>64.722499999999982</v>
      </c>
      <c r="I31" s="18">
        <f>'23'!I36</f>
        <v>11.227083333333331</v>
      </c>
      <c r="J31" s="18">
        <f>'23'!J36</f>
        <v>0.22500000000000001</v>
      </c>
      <c r="K31" s="18">
        <f>'23'!K36</f>
        <v>183.97166666666666</v>
      </c>
      <c r="L31" s="18">
        <f>'23'!L36</f>
        <v>19.034583333333334</v>
      </c>
      <c r="M31" s="18">
        <f>'23'!M36</f>
        <v>69.689166666666679</v>
      </c>
      <c r="N31" s="18">
        <f>'23'!N36</f>
        <v>99.379166666666663</v>
      </c>
      <c r="O31" s="18">
        <f>'23'!O36</f>
        <v>0</v>
      </c>
      <c r="P31" s="18">
        <f>'23'!P36</f>
        <v>0.9804166666666666</v>
      </c>
      <c r="Q31" s="18">
        <f>'23'!Q36</f>
        <v>5.0883333333333329</v>
      </c>
      <c r="R31" s="36"/>
      <c r="S31" s="36"/>
      <c r="T31" s="36"/>
      <c r="U31" s="36"/>
    </row>
    <row r="32" spans="1:24" s="2" customFormat="1">
      <c r="A32" s="16" t="str">
        <f>'24'!$B$2</f>
        <v>24/12/2023 01:00</v>
      </c>
      <c r="B32" s="18">
        <f>'24'!B36</f>
        <v>14.545000000000002</v>
      </c>
      <c r="C32" s="18">
        <f>'24'!C36</f>
        <v>29.504583333333333</v>
      </c>
      <c r="D32" s="18">
        <f>'24'!D36</f>
        <v>28.374166666666664</v>
      </c>
      <c r="E32" s="18">
        <f>'24'!E36</f>
        <v>6.633333333333332</v>
      </c>
      <c r="F32" s="18">
        <f>'24'!F36</f>
        <v>3.537083333333332</v>
      </c>
      <c r="G32" s="18">
        <f>'24'!G36</f>
        <v>121.42291666666665</v>
      </c>
      <c r="H32" s="18">
        <f>'24'!H36</f>
        <v>64.837916666666672</v>
      </c>
      <c r="I32" s="18">
        <f>'24'!I36</f>
        <v>9.8708333333333318</v>
      </c>
      <c r="J32" s="18">
        <f>'24'!J36</f>
        <v>0.28666666666666668</v>
      </c>
      <c r="K32" s="18">
        <f>'24'!K36</f>
        <v>157.29333333333338</v>
      </c>
      <c r="L32" s="18">
        <f>'24'!L36</f>
        <v>19.207499999999996</v>
      </c>
      <c r="M32" s="18">
        <f>'24'!M36</f>
        <v>76.884583333333339</v>
      </c>
      <c r="N32" s="18">
        <f>'24'!N36</f>
        <v>103.30833333333334</v>
      </c>
      <c r="O32" s="18">
        <f>'24'!O36</f>
        <v>0</v>
      </c>
      <c r="P32" s="18">
        <f>'24'!P36</f>
        <v>1.0075000000000003</v>
      </c>
      <c r="Q32" s="18">
        <f>'24'!Q36</f>
        <v>5.0575000000000001</v>
      </c>
      <c r="R32" s="36"/>
      <c r="S32" s="36"/>
      <c r="T32" s="36"/>
      <c r="U32" s="36"/>
    </row>
    <row r="33" spans="1:21" s="2" customFormat="1">
      <c r="A33" s="16" t="str">
        <f>'25'!$B$2</f>
        <v>25/12/2023 01:00</v>
      </c>
      <c r="B33" s="18">
        <f>'25'!B36</f>
        <v>30.549999999999994</v>
      </c>
      <c r="C33" s="18">
        <f>'25'!C36</f>
        <v>32.758749999999999</v>
      </c>
      <c r="D33" s="18">
        <f>'25'!D36</f>
        <v>42.664166666666667</v>
      </c>
      <c r="E33" s="18">
        <f>'25'!E36</f>
        <v>7.1641666666666675</v>
      </c>
      <c r="F33" s="18">
        <f>'25'!F36</f>
        <v>3.3362499999999997</v>
      </c>
      <c r="G33" s="18">
        <f>'25'!G36</f>
        <v>129.87500000000003</v>
      </c>
      <c r="H33" s="18">
        <f>'25'!H36</f>
        <v>64.33</v>
      </c>
      <c r="I33" s="18">
        <f>'25'!I36</f>
        <v>12.728333333333337</v>
      </c>
      <c r="J33" s="18">
        <f>'25'!J36</f>
        <v>0.23958333333333329</v>
      </c>
      <c r="K33" s="18">
        <f>'25'!K36</f>
        <v>222.46624999999997</v>
      </c>
      <c r="L33" s="18">
        <f>'25'!L36</f>
        <v>20.266250000000003</v>
      </c>
      <c r="M33" s="18">
        <f>'25'!M36</f>
        <v>76.853750000000005</v>
      </c>
      <c r="N33" s="18">
        <f>'25'!N36</f>
        <v>99.029166666666683</v>
      </c>
      <c r="O33" s="18">
        <f>'25'!O36</f>
        <v>0</v>
      </c>
      <c r="P33" s="18">
        <f>'25'!P36</f>
        <v>1.2720833333333335</v>
      </c>
      <c r="Q33" s="18">
        <f>'25'!Q36</f>
        <v>5.28125</v>
      </c>
      <c r="R33" s="36"/>
      <c r="S33" s="36"/>
      <c r="T33" s="36"/>
      <c r="U33" s="36"/>
    </row>
    <row r="34" spans="1:21" s="2" customFormat="1">
      <c r="A34" s="16" t="str">
        <f>'26'!$B$2</f>
        <v>26/12/2023 01:00</v>
      </c>
      <c r="B34" s="18">
        <f>'26'!B36</f>
        <v>14.744583333333331</v>
      </c>
      <c r="C34" s="18">
        <f>'26'!C36</f>
        <v>31.03458333333333</v>
      </c>
      <c r="D34" s="18">
        <f>'26'!D36</f>
        <v>29.279583333333331</v>
      </c>
      <c r="E34" s="18">
        <f>'26'!E36</f>
        <v>6.9404166666666667</v>
      </c>
      <c r="F34" s="18">
        <f>'26'!F36</f>
        <v>4.126666666666666</v>
      </c>
      <c r="G34" s="18">
        <f>'26'!G36</f>
        <v>141.20625000000001</v>
      </c>
      <c r="H34" s="18">
        <f>'26'!H36</f>
        <v>70.91249999999998</v>
      </c>
      <c r="I34" s="18">
        <f>'26'!I36</f>
        <v>11.725833333333334</v>
      </c>
      <c r="J34" s="18">
        <f>'26'!J36</f>
        <v>0.23833333333333329</v>
      </c>
      <c r="K34" s="18">
        <f>'26'!K36</f>
        <v>218.77208333333331</v>
      </c>
      <c r="L34" s="18">
        <f>'26'!L36</f>
        <v>20.727499999999999</v>
      </c>
      <c r="M34" s="18">
        <f>'26'!M36</f>
        <v>76.701250000000016</v>
      </c>
      <c r="N34" s="18">
        <f>'26'!N36</f>
        <v>98.408333333333317</v>
      </c>
      <c r="O34" s="18">
        <f>'26'!O36</f>
        <v>0</v>
      </c>
      <c r="P34" s="18">
        <f>'26'!P36</f>
        <v>1.0945833333333332</v>
      </c>
      <c r="Q34" s="18">
        <f>'26'!Q36</f>
        <v>5.046666666666666</v>
      </c>
      <c r="R34" s="36"/>
      <c r="S34" s="36"/>
      <c r="T34" s="36"/>
      <c r="U34" s="36"/>
    </row>
    <row r="35" spans="1:21" s="2" customFormat="1">
      <c r="A35" s="16" t="str">
        <f>'27'!$B$2</f>
        <v>27/12/2023 01:00</v>
      </c>
      <c r="B35" s="18">
        <f>'27'!B36</f>
        <v>13.967916666666666</v>
      </c>
      <c r="C35" s="18">
        <f>'27'!C36</f>
        <v>30.771250000000009</v>
      </c>
      <c r="D35" s="18">
        <f>'27'!D36</f>
        <v>28.447499999999994</v>
      </c>
      <c r="E35" s="18">
        <f>'27'!E36</f>
        <v>7.1337499999999991</v>
      </c>
      <c r="F35" s="18">
        <f>'27'!F36</f>
        <v>3.274999999999999</v>
      </c>
      <c r="G35" s="18">
        <f>'27'!G36</f>
        <v>135.53791666666666</v>
      </c>
      <c r="H35" s="18">
        <f>'27'!H36</f>
        <v>67.732500000000002</v>
      </c>
      <c r="I35" s="18">
        <f>'27'!I36</f>
        <v>11.250833333333334</v>
      </c>
      <c r="J35" s="18">
        <f>'27'!J36</f>
        <v>0.25041666666666668</v>
      </c>
      <c r="K35" s="18">
        <f>'27'!K36</f>
        <v>202.81000000000003</v>
      </c>
      <c r="L35" s="18">
        <f>'27'!L36</f>
        <v>20.449583333333329</v>
      </c>
      <c r="M35" s="18">
        <f>'27'!M36</f>
        <v>76.569166666666646</v>
      </c>
      <c r="N35" s="18">
        <f>'27'!N36</f>
        <v>97.30416666666666</v>
      </c>
      <c r="O35" s="18">
        <f>'27'!O36</f>
        <v>0</v>
      </c>
      <c r="P35" s="18">
        <f>'27'!P36</f>
        <v>0.99708333333333321</v>
      </c>
      <c r="Q35" s="18">
        <f>'27'!Q36</f>
        <v>5.0270833333333336</v>
      </c>
      <c r="R35" s="36"/>
      <c r="S35" s="36"/>
      <c r="T35" s="36"/>
      <c r="U35" s="36"/>
    </row>
    <row r="36" spans="1:21" s="2" customFormat="1">
      <c r="A36" s="16" t="str">
        <f>'28'!$B$2</f>
        <v>28/12/2023 01:00</v>
      </c>
      <c r="B36" s="18">
        <f>'28'!B36</f>
        <v>16.68791666666667</v>
      </c>
      <c r="C36" s="18">
        <f>'28'!C36</f>
        <v>28.809166666666659</v>
      </c>
      <c r="D36" s="18">
        <f>'28'!D36</f>
        <v>29.594583333333336</v>
      </c>
      <c r="E36" s="18">
        <f>'28'!E36</f>
        <v>7.0120833333333339</v>
      </c>
      <c r="F36" s="18">
        <f>'28'!F36</f>
        <v>3.2749999999999986</v>
      </c>
      <c r="G36" s="18">
        <f>'28'!G36</f>
        <v>125.22916666666669</v>
      </c>
      <c r="H36" s="18">
        <f>'28'!H36</f>
        <v>63.761666666666656</v>
      </c>
      <c r="I36" s="18">
        <f>'28'!I36</f>
        <v>11.746250000000002</v>
      </c>
      <c r="J36" s="18">
        <f>'28'!J36</f>
        <v>0.23875000000000005</v>
      </c>
      <c r="K36" s="18">
        <f>'28'!K36</f>
        <v>226.10374999999996</v>
      </c>
      <c r="L36" s="18">
        <f>'28'!L36</f>
        <v>20.671250000000004</v>
      </c>
      <c r="M36" s="18">
        <f>'28'!M36</f>
        <v>75.501250000000013</v>
      </c>
      <c r="N36" s="18">
        <f>'28'!N36</f>
        <v>95.704166666666666</v>
      </c>
      <c r="O36" s="18">
        <f>'28'!O36</f>
        <v>0</v>
      </c>
      <c r="P36" s="18">
        <f>'28'!P36</f>
        <v>1.0383333333333336</v>
      </c>
      <c r="Q36" s="18">
        <f>'28'!Q36</f>
        <v>5.0383333333333331</v>
      </c>
      <c r="R36" s="36"/>
      <c r="S36" s="36"/>
      <c r="T36" s="36"/>
      <c r="U36" s="36"/>
    </row>
    <row r="37" spans="1:21" s="2" customFormat="1">
      <c r="A37" s="16" t="str">
        <f>'29'!$B$2</f>
        <v>29/12/2023 01:00</v>
      </c>
      <c r="B37" s="18">
        <f>'29'!B36</f>
        <v>24.954166666666666</v>
      </c>
      <c r="C37" s="18">
        <f>'29'!C36</f>
        <v>29.803333333333327</v>
      </c>
      <c r="D37" s="18">
        <f>'29'!D36</f>
        <v>36.720416666666665</v>
      </c>
      <c r="E37" s="18">
        <f>'29'!E36</f>
        <v>6.145833333333333</v>
      </c>
      <c r="F37" s="18">
        <f>'29'!F36</f>
        <v>3.0549999999999993</v>
      </c>
      <c r="G37" s="18">
        <f>'29'!G36</f>
        <v>114.99374999999998</v>
      </c>
      <c r="H37" s="18">
        <f>'29'!H36</f>
        <v>57.850833333333327</v>
      </c>
      <c r="I37" s="18">
        <f>'29'!I36</f>
        <v>10.341666666666667</v>
      </c>
      <c r="J37" s="18">
        <f>'29'!J36</f>
        <v>0.21875000000000003</v>
      </c>
      <c r="K37" s="18">
        <f>'29'!K36</f>
        <v>183.81125</v>
      </c>
      <c r="L37" s="18">
        <f>'29'!L36</f>
        <v>20.576666666666664</v>
      </c>
      <c r="M37" s="18">
        <f>'29'!M36</f>
        <v>76.50958333333331</v>
      </c>
      <c r="N37" s="18">
        <f>'29'!N36</f>
        <v>88.266666666666652</v>
      </c>
      <c r="O37" s="18">
        <f>'29'!O36</f>
        <v>0</v>
      </c>
      <c r="P37" s="18">
        <f>'29'!P36</f>
        <v>0.94791666666666685</v>
      </c>
      <c r="Q37" s="18">
        <f>'29'!Q36</f>
        <v>5.1466666666666665</v>
      </c>
      <c r="R37" s="36"/>
      <c r="S37" s="36"/>
      <c r="T37" s="36"/>
      <c r="U37" s="36"/>
    </row>
    <row r="38" spans="1:21" s="2" customFormat="1">
      <c r="A38" s="16" t="str">
        <f>'30'!$B$2</f>
        <v>30/12/2023 01:00</v>
      </c>
      <c r="B38" s="18">
        <f>'30'!B36</f>
        <v>13.277916666666668</v>
      </c>
      <c r="C38" s="18">
        <f>'30'!C36</f>
        <v>26.50333333333333</v>
      </c>
      <c r="D38" s="18">
        <f>'30'!D36</f>
        <v>25.710416666666664</v>
      </c>
      <c r="E38" s="18">
        <f>'30'!E36</f>
        <v>7.1266666666666678</v>
      </c>
      <c r="F38" s="18">
        <f>'30'!F36</f>
        <v>3.3104166666666668</v>
      </c>
      <c r="G38" s="18">
        <f>'30'!G36</f>
        <v>128.12833333333333</v>
      </c>
      <c r="H38" s="18">
        <f>'30'!H36</f>
        <v>64.257916666666674</v>
      </c>
      <c r="I38" s="18">
        <f>'30'!I36</f>
        <v>11.617083333333332</v>
      </c>
      <c r="J38" s="18">
        <f>'30'!J36</f>
        <v>0.22500000000000001</v>
      </c>
      <c r="K38" s="18">
        <f>'30'!K36</f>
        <v>219.76916666666671</v>
      </c>
      <c r="L38" s="18">
        <f>'30'!L36</f>
        <v>20.642916666666668</v>
      </c>
      <c r="M38" s="18">
        <f>'30'!M36</f>
        <v>78.677083333333343</v>
      </c>
      <c r="N38" s="18">
        <f>'30'!N36</f>
        <v>88.470833333333346</v>
      </c>
      <c r="O38" s="18">
        <f>'30'!O36</f>
        <v>0</v>
      </c>
      <c r="P38" s="18">
        <f>'30'!P36</f>
        <v>1.0041666666666667</v>
      </c>
      <c r="Q38" s="18">
        <f>'30'!Q36</f>
        <v>4.957916666666665</v>
      </c>
      <c r="R38" s="36"/>
      <c r="S38" s="36"/>
      <c r="T38" s="36"/>
      <c r="U38" s="36"/>
    </row>
    <row r="39" spans="1:21">
      <c r="A39" s="16" t="str">
        <f>'31'!$B$2</f>
        <v>31/12/2023 01:00</v>
      </c>
      <c r="B39" s="18">
        <f>'31'!B36</f>
        <v>8.8204166666666683</v>
      </c>
      <c r="C39" s="18">
        <f>'31'!C36</f>
        <v>24.548333333333332</v>
      </c>
      <c r="D39" s="18">
        <f>'31'!D36</f>
        <v>21.041666666666668</v>
      </c>
      <c r="E39" s="18">
        <f>'31'!E36</f>
        <v>6.944583333333334</v>
      </c>
      <c r="F39" s="18">
        <f>'31'!F36</f>
        <v>3.5825000000000009</v>
      </c>
      <c r="G39" s="18">
        <f>'31'!G36</f>
        <v>113.65749999999997</v>
      </c>
      <c r="H39" s="18">
        <f>'31'!H36</f>
        <v>64.022083333333327</v>
      </c>
      <c r="I39" s="18">
        <f>'31'!I36</f>
        <v>9.3762499999999989</v>
      </c>
      <c r="J39" s="18">
        <f>'31'!J36</f>
        <v>0.24250000000000005</v>
      </c>
      <c r="K39" s="18">
        <f>'31'!K36</f>
        <v>208.42250000000001</v>
      </c>
      <c r="L39" s="18">
        <f>'31'!L36</f>
        <v>20.861250000000002</v>
      </c>
      <c r="M39" s="18">
        <f>'31'!M36</f>
        <v>76.387916666666669</v>
      </c>
      <c r="N39" s="18">
        <f>'31'!N36</f>
        <v>85.745833333333337</v>
      </c>
      <c r="O39" s="18">
        <f>'31'!O36</f>
        <v>0</v>
      </c>
      <c r="P39" s="18">
        <f>'31'!P36</f>
        <v>0.93499999999999994</v>
      </c>
      <c r="Q39" s="18">
        <f>'31'!Q36</f>
        <v>4.9025000000000007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9.9137500000000021</v>
      </c>
      <c r="C41" s="20">
        <f t="shared" si="0"/>
        <v>22.36375</v>
      </c>
      <c r="D41" s="20">
        <f t="shared" si="0"/>
        <v>21.702916666666667</v>
      </c>
      <c r="E41" s="20">
        <f t="shared" si="0"/>
        <v>5.8083333333333336</v>
      </c>
      <c r="F41" s="20">
        <f t="shared" si="0"/>
        <v>2.7070833333333333</v>
      </c>
      <c r="G41" s="20">
        <f t="shared" si="0"/>
        <v>20.890833333333337</v>
      </c>
      <c r="H41" s="20">
        <f t="shared" si="0"/>
        <v>6.7295833333333333</v>
      </c>
      <c r="I41" s="20">
        <f t="shared" si="0"/>
        <v>3.1312500000000001</v>
      </c>
      <c r="J41" s="20">
        <f t="shared" si="0"/>
        <v>0.21875000000000003</v>
      </c>
      <c r="K41" s="20">
        <f t="shared" si="0"/>
        <v>52.236666666666672</v>
      </c>
      <c r="L41" s="20">
        <f t="shared" si="0"/>
        <v>17.162916666666664</v>
      </c>
      <c r="M41" s="20">
        <f t="shared" si="0"/>
        <v>57.991250000000008</v>
      </c>
      <c r="N41" s="20">
        <f t="shared" si="0"/>
        <v>15.995833333333332</v>
      </c>
      <c r="O41" s="20">
        <f t="shared" si="0"/>
        <v>0</v>
      </c>
      <c r="P41" s="20">
        <f t="shared" si="0"/>
        <v>0.45958333333333329</v>
      </c>
      <c r="Q41" s="20">
        <f t="shared" si="0"/>
        <v>4.532916666666666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31.430416666666659</v>
      </c>
      <c r="C42" s="20">
        <f t="shared" si="1"/>
        <v>35.911666666666669</v>
      </c>
      <c r="D42" s="20">
        <f t="shared" si="1"/>
        <v>42.664166666666667</v>
      </c>
      <c r="E42" s="20">
        <f t="shared" si="1"/>
        <v>9.3545833333333324</v>
      </c>
      <c r="F42" s="20">
        <f t="shared" si="1"/>
        <v>5.0679166666666662</v>
      </c>
      <c r="G42" s="20">
        <f t="shared" si="1"/>
        <v>141.20625000000001</v>
      </c>
      <c r="H42" s="20">
        <f t="shared" si="1"/>
        <v>70.91249999999998</v>
      </c>
      <c r="I42" s="20">
        <f t="shared" si="1"/>
        <v>21.789166666666663</v>
      </c>
      <c r="J42" s="20">
        <f t="shared" si="1"/>
        <v>0.93166666666666664</v>
      </c>
      <c r="K42" s="20">
        <f t="shared" si="1"/>
        <v>242.37250000000003</v>
      </c>
      <c r="L42" s="20">
        <f t="shared" si="1"/>
        <v>25.233749999999997</v>
      </c>
      <c r="M42" s="20">
        <f t="shared" si="1"/>
        <v>100.27541666666666</v>
      </c>
      <c r="N42" s="20">
        <f t="shared" si="1"/>
        <v>142.47499999999999</v>
      </c>
      <c r="O42" s="20">
        <f t="shared" si="1"/>
        <v>0.13333333333333336</v>
      </c>
      <c r="P42" s="20">
        <f t="shared" si="1"/>
        <v>1.2720833333333335</v>
      </c>
      <c r="Q42" s="20">
        <f t="shared" si="1"/>
        <v>5.5687500000000005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18.621833333333331</v>
      </c>
      <c r="C43" s="20">
        <f t="shared" si="2"/>
        <v>28.260611111111114</v>
      </c>
      <c r="D43" s="20">
        <f t="shared" si="2"/>
        <v>30.876805555555553</v>
      </c>
      <c r="E43" s="20">
        <f t="shared" si="2"/>
        <v>7.6619160628019332</v>
      </c>
      <c r="F43" s="20">
        <f t="shared" si="2"/>
        <v>3.3582777777777775</v>
      </c>
      <c r="G43" s="20">
        <f t="shared" si="2"/>
        <v>93.395367149758442</v>
      </c>
      <c r="H43" s="20">
        <f t="shared" si="2"/>
        <v>42.013192632850249</v>
      </c>
      <c r="I43" s="20">
        <f t="shared" si="2"/>
        <v>9.5695555555555512</v>
      </c>
      <c r="J43" s="20">
        <f t="shared" si="2"/>
        <v>0.3450138888888889</v>
      </c>
      <c r="K43" s="20">
        <f t="shared" si="2"/>
        <v>170.95140277777782</v>
      </c>
      <c r="L43" s="20">
        <f t="shared" si="2"/>
        <v>20.351791666666667</v>
      </c>
      <c r="M43" s="20">
        <f t="shared" si="2"/>
        <v>74.654097222222234</v>
      </c>
      <c r="N43" s="20">
        <f t="shared" si="2"/>
        <v>102.8751388888889</v>
      </c>
      <c r="O43" s="20">
        <f t="shared" si="2"/>
        <v>1.0277777777777778E-2</v>
      </c>
      <c r="P43" s="20">
        <f t="shared" si="2"/>
        <v>0.90109722222222233</v>
      </c>
      <c r="Q43" s="20">
        <f t="shared" si="2"/>
        <v>5.0610555555555559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6.102153114802535</v>
      </c>
      <c r="C44" s="20">
        <f t="shared" si="3"/>
        <v>3.4010863586127718</v>
      </c>
      <c r="D44" s="20">
        <f t="shared" si="3"/>
        <v>5.4659187206624198</v>
      </c>
      <c r="E44" s="20">
        <f t="shared" si="3"/>
        <v>0.92807962793055099</v>
      </c>
      <c r="F44" s="20">
        <f t="shared" si="3"/>
        <v>0.51057742288250851</v>
      </c>
      <c r="G44" s="20">
        <f t="shared" si="3"/>
        <v>32.015436701299812</v>
      </c>
      <c r="H44" s="20">
        <f t="shared" si="3"/>
        <v>18.18349047458786</v>
      </c>
      <c r="I44" s="20">
        <f t="shared" si="3"/>
        <v>3.8994603666432877</v>
      </c>
      <c r="J44" s="20">
        <f t="shared" si="3"/>
        <v>0.16429845792781644</v>
      </c>
      <c r="K44" s="20">
        <f t="shared" si="3"/>
        <v>52.397702914415966</v>
      </c>
      <c r="L44" s="20">
        <f t="shared" si="3"/>
        <v>1.9918831494849298</v>
      </c>
      <c r="M44" s="20">
        <f t="shared" si="3"/>
        <v>9.348927148610116</v>
      </c>
      <c r="N44" s="20">
        <f t="shared" si="3"/>
        <v>33.844005601259582</v>
      </c>
      <c r="O44" s="20">
        <f t="shared" si="3"/>
        <v>3.2139790848899182E-2</v>
      </c>
      <c r="P44" s="20">
        <f t="shared" si="3"/>
        <v>0.15781310039654131</v>
      </c>
      <c r="Q44" s="20">
        <f t="shared" si="3"/>
        <v>0.27975741093291995</v>
      </c>
      <c r="R44" s="33"/>
      <c r="S44" s="33"/>
      <c r="T44" s="33"/>
      <c r="U44" s="33"/>
    </row>
    <row r="45" spans="1:21" s="1" customFormat="1">
      <c r="A45" s="3" t="s">
        <v>52</v>
      </c>
      <c r="B45" s="6">
        <f t="shared" ref="B45:Q45" si="4">COUNT(B9:B38)</f>
        <v>30</v>
      </c>
      <c r="C45" s="6">
        <f t="shared" si="4"/>
        <v>30</v>
      </c>
      <c r="D45" s="6">
        <f t="shared" si="4"/>
        <v>30</v>
      </c>
      <c r="E45" s="6">
        <f t="shared" si="4"/>
        <v>30</v>
      </c>
      <c r="F45" s="6">
        <f t="shared" si="4"/>
        <v>30</v>
      </c>
      <c r="G45" s="6">
        <f t="shared" si="4"/>
        <v>30</v>
      </c>
      <c r="H45" s="6">
        <f t="shared" si="4"/>
        <v>30</v>
      </c>
      <c r="I45" s="6">
        <f t="shared" si="4"/>
        <v>30</v>
      </c>
      <c r="J45" s="6">
        <f t="shared" si="4"/>
        <v>30</v>
      </c>
      <c r="K45" s="6">
        <f t="shared" si="4"/>
        <v>30</v>
      </c>
      <c r="L45" s="6">
        <f t="shared" si="4"/>
        <v>30</v>
      </c>
      <c r="M45" s="6">
        <f t="shared" si="4"/>
        <v>30</v>
      </c>
      <c r="N45" s="6">
        <f t="shared" si="4"/>
        <v>30</v>
      </c>
      <c r="O45" s="6">
        <f t="shared" si="4"/>
        <v>30</v>
      </c>
      <c r="P45" s="6">
        <f t="shared" si="4"/>
        <v>30</v>
      </c>
      <c r="Q45" s="6">
        <f t="shared" si="4"/>
        <v>30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2024-01-11T12:54:34Z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