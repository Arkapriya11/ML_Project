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1" activeTab="1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20" i="6"/>
  <c r="K116"/>
  <c r="J116"/>
  <c r="I11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J102"/>
  <c r="K93"/>
  <c r="J93"/>
  <c r="K92"/>
  <c r="J92"/>
  <c r="K91"/>
  <c r="J91"/>
  <c r="K90"/>
  <c r="J90"/>
  <c r="K89"/>
  <c r="J89"/>
  <c r="K88"/>
  <c r="J88"/>
  <c r="J82"/>
  <c r="K74"/>
  <c r="J74"/>
  <c r="K73"/>
  <c r="J73"/>
  <c r="K72"/>
  <c r="J72"/>
  <c r="K71"/>
  <c r="J71"/>
  <c r="K70"/>
  <c r="J70"/>
  <c r="K69"/>
  <c r="J69"/>
  <c r="K68"/>
  <c r="J68"/>
  <c r="J62"/>
  <c r="K52"/>
  <c r="J52"/>
  <c r="K51"/>
  <c r="J51"/>
  <c r="K50"/>
  <c r="J50"/>
  <c r="K49"/>
  <c r="J49"/>
  <c r="K48"/>
  <c r="J48"/>
  <c r="J42"/>
  <c r="T41"/>
  <c r="K34"/>
  <c r="J34"/>
  <c r="K33"/>
  <c r="J33"/>
  <c r="K32"/>
  <c r="J32"/>
  <c r="K31"/>
  <c r="J31"/>
  <c r="K30"/>
  <c r="J30"/>
  <c r="K29"/>
  <c r="J29"/>
  <c r="K28"/>
  <c r="J28"/>
  <c r="T22"/>
  <c r="I22"/>
  <c r="K15"/>
  <c r="J15"/>
  <c r="K14"/>
  <c r="J14"/>
  <c r="K13"/>
  <c r="J13"/>
  <c r="K12"/>
  <c r="J12"/>
  <c r="K11"/>
  <c r="J11"/>
  <c r="K10"/>
  <c r="J10"/>
  <c r="K9"/>
  <c r="J9"/>
  <c r="P39" i="39"/>
  <c r="L39"/>
  <c r="J39"/>
  <c r="G39"/>
  <c r="F39"/>
  <c r="C39"/>
  <c r="G38"/>
  <c r="H37"/>
  <c r="G37"/>
  <c r="D37"/>
  <c r="C37"/>
  <c r="I36"/>
  <c r="P35"/>
  <c r="M35"/>
  <c r="K35"/>
  <c r="J35"/>
  <c r="G35"/>
  <c r="D35"/>
  <c r="B35"/>
  <c r="K34"/>
  <c r="Q32"/>
  <c r="M32"/>
  <c r="K32"/>
  <c r="G32"/>
  <c r="C32"/>
  <c r="A32"/>
  <c r="N31"/>
  <c r="J31"/>
  <c r="B31"/>
  <c r="O30"/>
  <c r="P29"/>
  <c r="O29"/>
  <c r="M29"/>
  <c r="D29"/>
  <c r="Q28"/>
  <c r="N28"/>
  <c r="B27"/>
  <c r="Q26"/>
  <c r="I26"/>
  <c r="C26"/>
  <c r="D25"/>
  <c r="C25"/>
  <c r="E24"/>
  <c r="F23"/>
  <c r="G22"/>
  <c r="H21"/>
  <c r="I20"/>
  <c r="J19"/>
  <c r="N18"/>
  <c r="K18"/>
  <c r="E18"/>
  <c r="B18"/>
  <c r="L17"/>
  <c r="M16"/>
  <c r="N15"/>
  <c r="O14"/>
  <c r="Q12"/>
  <c r="A12"/>
  <c r="B11"/>
  <c r="C10"/>
  <c r="B10"/>
  <c r="Q110" i="4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9" i="39" s="1"/>
  <c r="P108" i="41"/>
  <c r="O108"/>
  <c r="O39" i="39" s="1"/>
  <c r="N108" i="41"/>
  <c r="N39" i="39" s="1"/>
  <c r="M108" i="41"/>
  <c r="M39" i="39" s="1"/>
  <c r="L108" i="41"/>
  <c r="K108"/>
  <c r="K39" i="39" s="1"/>
  <c r="J108" i="41"/>
  <c r="I108"/>
  <c r="I39" i="39" s="1"/>
  <c r="H108" i="41"/>
  <c r="H39" i="39" s="1"/>
  <c r="G108" i="41"/>
  <c r="F108"/>
  <c r="E108"/>
  <c r="E39" i="39" s="1"/>
  <c r="D108" i="41"/>
  <c r="D39" i="39" s="1"/>
  <c r="C108" i="41"/>
  <c r="B108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F108"/>
  <c r="F38" i="39" s="1"/>
  <c r="E108" i="40"/>
  <c r="E38" i="39" s="1"/>
  <c r="D108" i="40"/>
  <c r="D38" i="39" s="1"/>
  <c r="C108" i="40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1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G108"/>
  <c r="F108"/>
  <c r="F37" i="39" s="1"/>
  <c r="E108" i="44"/>
  <c r="E37" i="39" s="1"/>
  <c r="D108" i="44"/>
  <c r="C108"/>
  <c r="B108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H108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O108"/>
  <c r="O35" i="39" s="1"/>
  <c r="N108" i="32"/>
  <c r="N35" i="39" s="1"/>
  <c r="M108" i="32"/>
  <c r="L108"/>
  <c r="L35" i="39" s="1"/>
  <c r="K108" i="32"/>
  <c r="J108"/>
  <c r="I108"/>
  <c r="I35" i="39" s="1"/>
  <c r="H108" i="32"/>
  <c r="H35" i="39" s="1"/>
  <c r="G108" i="32"/>
  <c r="F108"/>
  <c r="F35" i="39" s="1"/>
  <c r="E108" i="32"/>
  <c r="E35" i="39" s="1"/>
  <c r="D108" i="32"/>
  <c r="C108"/>
  <c r="C35" i="39" s="1"/>
  <c r="B108" i="32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J108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2" i="39" s="1"/>
  <c r="O108" i="29"/>
  <c r="O32" i="39" s="1"/>
  <c r="N108" i="29"/>
  <c r="N32" i="39" s="1"/>
  <c r="M108" i="29"/>
  <c r="L108"/>
  <c r="L32" i="39" s="1"/>
  <c r="K108" i="29"/>
  <c r="J108"/>
  <c r="J32" i="39" s="1"/>
  <c r="I108" i="29"/>
  <c r="I32" i="39" s="1"/>
  <c r="H108" i="29"/>
  <c r="H32" i="39" s="1"/>
  <c r="G108" i="29"/>
  <c r="F108"/>
  <c r="F32" i="39" s="1"/>
  <c r="E108" i="29"/>
  <c r="E32" i="39" s="1"/>
  <c r="D108" i="29"/>
  <c r="D32" i="39" s="1"/>
  <c r="C108" i="29"/>
  <c r="B108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M108"/>
  <c r="M31" i="39" s="1"/>
  <c r="L108" i="28"/>
  <c r="L31" i="39" s="1"/>
  <c r="K108" i="28"/>
  <c r="K31" i="39" s="1"/>
  <c r="J108" i="28"/>
  <c r="I10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N108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E111" i="26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O108"/>
  <c r="N108"/>
  <c r="N29" i="39" s="1"/>
  <c r="M108" i="26"/>
  <c r="L108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C108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2" i="25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8" i="39" s="1"/>
  <c r="O108" i="25"/>
  <c r="O28" i="39" s="1"/>
  <c r="N108" i="25"/>
  <c r="M108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H108"/>
  <c r="H26" i="39" s="1"/>
  <c r="G108" i="23"/>
  <c r="G26" i="39" s="1"/>
  <c r="F108" i="23"/>
  <c r="F26" i="39" s="1"/>
  <c r="E108" i="23"/>
  <c r="E26" i="39" s="1"/>
  <c r="D108" i="23"/>
  <c r="D26" i="39" s="1"/>
  <c r="C108" i="23"/>
  <c r="B108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C108"/>
  <c r="B108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D108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F108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G10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H108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I108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M108"/>
  <c r="M18" i="39" s="1"/>
  <c r="L108" i="15"/>
  <c r="L18" i="39" s="1"/>
  <c r="K108" i="15"/>
  <c r="J108"/>
  <c r="J18" i="39" s="1"/>
  <c r="I108" i="15"/>
  <c r="I18" i="39" s="1"/>
  <c r="H108" i="15"/>
  <c r="H18" i="39" s="1"/>
  <c r="G108" i="15"/>
  <c r="G18" i="39" s="1"/>
  <c r="F108" i="15"/>
  <c r="F18" i="39" s="1"/>
  <c r="E108" i="15"/>
  <c r="D108"/>
  <c r="D18" i="39" s="1"/>
  <c r="C108" i="15"/>
  <c r="C18" i="39" s="1"/>
  <c r="B108" i="15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K108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L108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M108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N108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1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1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N111" i="41" l="1"/>
  <c r="M111"/>
  <c r="L111"/>
  <c r="K111"/>
  <c r="J111"/>
  <c r="I111"/>
  <c r="H111"/>
  <c r="G111"/>
  <c r="F111"/>
  <c r="E111"/>
  <c r="D111"/>
  <c r="C111"/>
  <c r="B111"/>
  <c r="Q111"/>
  <c r="P111"/>
  <c r="O111"/>
  <c r="O112" i="40"/>
  <c r="N111"/>
  <c r="M111"/>
  <c r="L111"/>
  <c r="K111"/>
  <c r="J111"/>
  <c r="I111"/>
  <c r="H111"/>
  <c r="G111"/>
  <c r="F111"/>
  <c r="E111"/>
  <c r="D111"/>
  <c r="C111"/>
  <c r="B111"/>
  <c r="Q111"/>
  <c r="P111"/>
  <c r="M112" i="44"/>
  <c r="L111"/>
  <c r="K111"/>
  <c r="J111"/>
  <c r="I112"/>
  <c r="G111"/>
  <c r="F111"/>
  <c r="E111"/>
  <c r="H112"/>
  <c r="D111"/>
  <c r="C111"/>
  <c r="B111"/>
  <c r="Q111"/>
  <c r="P111"/>
  <c r="O111"/>
  <c r="N111"/>
  <c r="M111" i="33"/>
  <c r="L111"/>
  <c r="N111"/>
  <c r="K111"/>
  <c r="J111"/>
  <c r="I111"/>
  <c r="H111"/>
  <c r="G111"/>
  <c r="F111"/>
  <c r="E111"/>
  <c r="D111"/>
  <c r="C111"/>
  <c r="B111"/>
  <c r="Q111"/>
  <c r="P111"/>
  <c r="O111"/>
  <c r="I112" i="32"/>
  <c r="H111"/>
  <c r="G111"/>
  <c r="F111"/>
  <c r="E111"/>
  <c r="D111"/>
  <c r="C111"/>
  <c r="B111"/>
  <c r="Q111"/>
  <c r="P111"/>
  <c r="O111"/>
  <c r="N111"/>
  <c r="M111"/>
  <c r="L111"/>
  <c r="K111"/>
  <c r="J111"/>
  <c r="J111" i="31"/>
  <c r="I111"/>
  <c r="H111"/>
  <c r="G111"/>
  <c r="F111"/>
  <c r="E111"/>
  <c r="D111"/>
  <c r="C111"/>
  <c r="B111"/>
  <c r="Q111"/>
  <c r="P111"/>
  <c r="O111"/>
  <c r="N111"/>
  <c r="M111"/>
  <c r="L111"/>
  <c r="K111"/>
  <c r="L112" i="30"/>
  <c r="K111"/>
  <c r="J111"/>
  <c r="I111"/>
  <c r="H111"/>
  <c r="G111"/>
  <c r="F111"/>
  <c r="E111"/>
  <c r="D111"/>
  <c r="C111"/>
  <c r="B111"/>
  <c r="Q111"/>
  <c r="P111"/>
  <c r="O111"/>
  <c r="N111"/>
  <c r="M111"/>
  <c r="H111" i="29"/>
  <c r="G111"/>
  <c r="F111"/>
  <c r="E111"/>
  <c r="D111"/>
  <c r="C111"/>
  <c r="B111"/>
  <c r="Q111"/>
  <c r="P111"/>
  <c r="O111"/>
  <c r="N111"/>
  <c r="M111"/>
  <c r="L111"/>
  <c r="K111"/>
  <c r="J111"/>
  <c r="I111"/>
  <c r="G112" i="28"/>
  <c r="F111"/>
  <c r="E111"/>
  <c r="D111"/>
  <c r="C111"/>
  <c r="B111"/>
  <c r="Q111"/>
  <c r="P111"/>
  <c r="O111"/>
  <c r="N111"/>
  <c r="M111"/>
  <c r="L111"/>
  <c r="K111"/>
  <c r="J111"/>
  <c r="I111"/>
  <c r="H111"/>
  <c r="G111" i="27"/>
  <c r="H112"/>
  <c r="F111"/>
  <c r="E111"/>
  <c r="D111"/>
  <c r="C111"/>
  <c r="B111"/>
  <c r="Q111"/>
  <c r="P111"/>
  <c r="O111"/>
  <c r="N111"/>
  <c r="M111"/>
  <c r="L111"/>
  <c r="K111"/>
  <c r="J111"/>
  <c r="I111"/>
  <c r="D111" i="26"/>
  <c r="F112"/>
  <c r="C111"/>
  <c r="B111"/>
  <c r="Q111"/>
  <c r="P111"/>
  <c r="O111"/>
  <c r="N111"/>
  <c r="M111"/>
  <c r="L111"/>
  <c r="K111"/>
  <c r="J111"/>
  <c r="I111"/>
  <c r="H111"/>
  <c r="G111"/>
  <c r="E111" i="25"/>
  <c r="F111"/>
  <c r="D111"/>
  <c r="C111"/>
  <c r="B111"/>
  <c r="Q111"/>
  <c r="P111"/>
  <c r="O111"/>
  <c r="N111"/>
  <c r="M111"/>
  <c r="L111"/>
  <c r="K111"/>
  <c r="J111"/>
  <c r="I111"/>
  <c r="H111"/>
  <c r="G111"/>
  <c r="G112" i="24"/>
  <c r="F111"/>
  <c r="E111"/>
  <c r="D111"/>
  <c r="C111"/>
  <c r="B111"/>
  <c r="Q111"/>
  <c r="P111"/>
  <c r="O111"/>
  <c r="N111"/>
  <c r="M111"/>
  <c r="L111"/>
  <c r="K111"/>
  <c r="J111"/>
  <c r="I111"/>
  <c r="H111"/>
  <c r="F111" i="23"/>
  <c r="E111"/>
  <c r="D111"/>
  <c r="C111"/>
  <c r="B111"/>
  <c r="Q111"/>
  <c r="P111"/>
  <c r="O111"/>
  <c r="N111"/>
  <c r="M111"/>
  <c r="L111"/>
  <c r="K111"/>
  <c r="J111"/>
  <c r="I111"/>
  <c r="H111"/>
  <c r="G111"/>
  <c r="F112" i="22"/>
  <c r="D111"/>
  <c r="C111"/>
  <c r="B111"/>
  <c r="E111"/>
  <c r="Q111"/>
  <c r="P111"/>
  <c r="O111"/>
  <c r="N111"/>
  <c r="M111"/>
  <c r="L111"/>
  <c r="K111"/>
  <c r="J111"/>
  <c r="I111"/>
  <c r="H111"/>
  <c r="G111"/>
  <c r="F111" i="21"/>
  <c r="E111"/>
  <c r="D111"/>
  <c r="C111"/>
  <c r="B111"/>
  <c r="Q111"/>
  <c r="G111"/>
  <c r="P111"/>
  <c r="O111"/>
  <c r="N111"/>
  <c r="M111"/>
  <c r="L111"/>
  <c r="K111"/>
  <c r="J111"/>
  <c r="I111"/>
  <c r="H111"/>
  <c r="G111" i="20"/>
  <c r="H112"/>
  <c r="F111"/>
  <c r="E111"/>
  <c r="D111"/>
  <c r="C111"/>
  <c r="B111"/>
  <c r="Q111"/>
  <c r="P111"/>
  <c r="O111"/>
  <c r="N111"/>
  <c r="M111"/>
  <c r="L111"/>
  <c r="K111"/>
  <c r="J111"/>
  <c r="I111"/>
  <c r="I111" i="19"/>
  <c r="H111"/>
  <c r="G111"/>
  <c r="F111"/>
  <c r="E111"/>
  <c r="D111"/>
  <c r="C111"/>
  <c r="B111"/>
  <c r="Q111"/>
  <c r="P111"/>
  <c r="O111"/>
  <c r="N111"/>
  <c r="M111"/>
  <c r="L111"/>
  <c r="K111"/>
  <c r="J111"/>
  <c r="I111" i="18"/>
  <c r="H111"/>
  <c r="G111"/>
  <c r="J112"/>
  <c r="F111"/>
  <c r="E111"/>
  <c r="D111"/>
  <c r="C111"/>
  <c r="B111"/>
  <c r="Q111"/>
  <c r="P111"/>
  <c r="O111"/>
  <c r="N111"/>
  <c r="M111"/>
  <c r="L111"/>
  <c r="K111"/>
  <c r="K111" i="17"/>
  <c r="J111"/>
  <c r="I111"/>
  <c r="H111"/>
  <c r="G111"/>
  <c r="F111"/>
  <c r="E111"/>
  <c r="D111"/>
  <c r="C111"/>
  <c r="B111"/>
  <c r="Q111"/>
  <c r="P111"/>
  <c r="O111"/>
  <c r="N111"/>
  <c r="M111"/>
  <c r="L111"/>
  <c r="K111" i="16"/>
  <c r="J111"/>
  <c r="I111"/>
  <c r="H111"/>
  <c r="G111"/>
  <c r="F111"/>
  <c r="E111"/>
  <c r="D111"/>
  <c r="C111"/>
  <c r="B111"/>
  <c r="L111"/>
  <c r="Q111"/>
  <c r="P111"/>
  <c r="O111"/>
  <c r="N111"/>
  <c r="M111"/>
  <c r="I111" i="15"/>
  <c r="H111"/>
  <c r="G111"/>
  <c r="F111"/>
  <c r="E111"/>
  <c r="D111"/>
  <c r="C111"/>
  <c r="B111"/>
  <c r="J112"/>
  <c r="Q112"/>
  <c r="P111"/>
  <c r="O111"/>
  <c r="N111"/>
  <c r="M111"/>
  <c r="L111"/>
  <c r="K111"/>
  <c r="J111" i="14"/>
  <c r="I111"/>
  <c r="H111"/>
  <c r="G111"/>
  <c r="F111"/>
  <c r="E111"/>
  <c r="K111"/>
  <c r="D111"/>
  <c r="C111"/>
  <c r="B111"/>
  <c r="Q111"/>
  <c r="P111"/>
  <c r="O111"/>
  <c r="N111"/>
  <c r="M111"/>
  <c r="L111"/>
  <c r="L112" i="13"/>
  <c r="K111"/>
  <c r="J111"/>
  <c r="I111"/>
  <c r="H111"/>
  <c r="G111"/>
  <c r="F111"/>
  <c r="E111"/>
  <c r="D111"/>
  <c r="C111"/>
  <c r="B111"/>
  <c r="Q111"/>
  <c r="P111"/>
  <c r="O111"/>
  <c r="N111"/>
  <c r="M111"/>
  <c r="M112" i="12"/>
  <c r="L111"/>
  <c r="K111"/>
  <c r="J111"/>
  <c r="I111"/>
  <c r="H111"/>
  <c r="G111"/>
  <c r="F111"/>
  <c r="E111"/>
  <c r="D111"/>
  <c r="C111"/>
  <c r="B111"/>
  <c r="Q111"/>
  <c r="P111"/>
  <c r="O111"/>
  <c r="N111"/>
  <c r="N111" i="11"/>
  <c r="M111"/>
  <c r="L111"/>
  <c r="K111"/>
  <c r="J111"/>
  <c r="I111"/>
  <c r="H111"/>
  <c r="G111"/>
  <c r="F111"/>
  <c r="E111"/>
  <c r="D111"/>
  <c r="C111"/>
  <c r="B111"/>
  <c r="Q111"/>
  <c r="P111"/>
  <c r="O111"/>
  <c r="N111" i="10"/>
  <c r="M111"/>
  <c r="L111"/>
  <c r="K111"/>
  <c r="J111"/>
  <c r="I111"/>
  <c r="H111"/>
  <c r="P112"/>
  <c r="G111"/>
  <c r="O112"/>
  <c r="F111"/>
  <c r="E111"/>
  <c r="D111"/>
  <c r="C111"/>
  <c r="B111"/>
  <c r="Q111"/>
  <c r="N111" i="9"/>
  <c r="O112"/>
  <c r="M111"/>
  <c r="L111"/>
  <c r="K111"/>
  <c r="P111"/>
  <c r="J111"/>
  <c r="I111"/>
  <c r="H111"/>
  <c r="G111"/>
  <c r="F111"/>
  <c r="E111"/>
  <c r="D111"/>
  <c r="C111"/>
  <c r="B111"/>
  <c r="Q111"/>
  <c r="Q111" i="8"/>
  <c r="P111"/>
  <c r="O111"/>
  <c r="N111"/>
  <c r="M111"/>
  <c r="L111"/>
  <c r="K111"/>
  <c r="J111"/>
  <c r="I111"/>
  <c r="H111"/>
  <c r="G111"/>
  <c r="F111"/>
  <c r="E111"/>
  <c r="D111"/>
  <c r="C111"/>
  <c r="B111"/>
  <c r="O111" i="3"/>
  <c r="N111"/>
  <c r="M111"/>
  <c r="L111"/>
  <c r="K111"/>
  <c r="J111"/>
  <c r="I111"/>
  <c r="H111"/>
  <c r="P111"/>
  <c r="G111"/>
  <c r="F111"/>
  <c r="E111"/>
  <c r="D111"/>
  <c r="Q112"/>
  <c r="C111"/>
  <c r="B111"/>
  <c r="Q45" i="39"/>
  <c r="Q44"/>
  <c r="Q43"/>
  <c r="Q42"/>
  <c r="Q41"/>
  <c r="P45"/>
  <c r="P44"/>
  <c r="P43"/>
  <c r="P42"/>
  <c r="P41"/>
  <c r="O45"/>
  <c r="O44"/>
  <c r="O43"/>
  <c r="O42"/>
  <c r="O41"/>
  <c r="B45"/>
  <c r="B44"/>
  <c r="B43"/>
  <c r="B42"/>
  <c r="B41"/>
  <c r="L45"/>
  <c r="L44"/>
  <c r="L43"/>
  <c r="L42"/>
  <c r="L41"/>
  <c r="N45"/>
  <c r="N44"/>
  <c r="N43"/>
  <c r="N42"/>
  <c r="N41"/>
  <c r="K45"/>
  <c r="K44"/>
  <c r="K43"/>
  <c r="K42"/>
  <c r="K41"/>
  <c r="J45"/>
  <c r="J44"/>
  <c r="J43"/>
  <c r="J42"/>
  <c r="J41"/>
  <c r="I45"/>
  <c r="I44"/>
  <c r="I43"/>
  <c r="I42"/>
  <c r="I41"/>
  <c r="M45"/>
  <c r="M44"/>
  <c r="M43"/>
  <c r="M42"/>
  <c r="M41"/>
  <c r="H45"/>
  <c r="H44"/>
  <c r="H43"/>
  <c r="H42"/>
  <c r="H41"/>
  <c r="G42"/>
  <c r="G44"/>
  <c r="G43"/>
  <c r="G45"/>
  <c r="G41"/>
  <c r="E45"/>
  <c r="E44"/>
  <c r="E43"/>
  <c r="E42"/>
  <c r="E41"/>
  <c r="F45"/>
  <c r="F44"/>
  <c r="F43"/>
  <c r="F42"/>
  <c r="F41"/>
  <c r="D45"/>
  <c r="D44"/>
  <c r="D43"/>
  <c r="D42"/>
  <c r="D41"/>
  <c r="C45"/>
  <c r="C44"/>
  <c r="C43"/>
  <c r="C42"/>
  <c r="C41"/>
  <c r="D111" i="2"/>
  <c r="C111"/>
  <c r="B111"/>
  <c r="Q111"/>
  <c r="P111"/>
  <c r="O111"/>
  <c r="N111"/>
  <c r="E112"/>
  <c r="M111"/>
  <c r="L111"/>
  <c r="K111"/>
  <c r="J111"/>
  <c r="I111"/>
  <c r="H111"/>
  <c r="G111"/>
  <c r="F111"/>
  <c r="B47" i="39" l="1"/>
  <c r="B46"/>
  <c r="F47"/>
  <c r="F46"/>
  <c r="Q47"/>
  <c r="Q46"/>
  <c r="J47"/>
  <c r="J46"/>
  <c r="H47"/>
  <c r="H46"/>
  <c r="D47"/>
  <c r="D46"/>
  <c r="I47"/>
  <c r="I46"/>
  <c r="L47"/>
  <c r="L46"/>
  <c r="N47"/>
  <c r="N46"/>
  <c r="G47"/>
  <c r="G46"/>
  <c r="O47"/>
  <c r="O46"/>
  <c r="C47"/>
  <c r="C46"/>
  <c r="P47"/>
  <c r="P46"/>
  <c r="E47"/>
  <c r="E46"/>
  <c r="M47"/>
  <c r="M46"/>
  <c r="K47"/>
  <c r="K46"/>
</calcChain>
</file>

<file path=xl/sharedStrings.xml><?xml version="1.0" encoding="utf-8"?>
<sst xmlns="http://schemas.openxmlformats.org/spreadsheetml/2006/main" count="5118" uniqueCount="2447">
  <si>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</si>
  <si>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</si>
  <si>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</si>
  <si>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</si>
  <si>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</si>
  <si>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</si>
  <si>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</si>
  <si>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</si>
  <si>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</si>
  <si>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</si>
  <si>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</si>
  <si>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</si>
  <si>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</si>
  <si>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</si>
  <si>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</si>
  <si>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</si>
  <si>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</si>
  <si>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</si>
  <si>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</si>
  <si>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</si>
  <si>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</si>
  <si>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</si>
  <si>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</si>
  <si>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</si>
  <si>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</si>
  <si>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</si>
  <si>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</si>
  <si>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</si>
  <si>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</si>
  <si>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</si>
  <si>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</si>
  <si>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</si>
  <si>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</si>
  <si>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</si>
  <si>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</si>
  <si>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</si>
  <si>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</si>
  <si>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</si>
  <si>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</si>
  <si>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</si>
  <si>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</si>
  <si>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</si>
  <si>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</si>
  <si>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</si>
  <si>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</si>
  <si>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</si>
  <si>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</si>
  <si>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</si>
  <si>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</si>
  <si>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</si>
  <si>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</si>
  <si>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</si>
  <si>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</si>
  <si>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</si>
  <si>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</si>
  <si>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</si>
  <si>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</si>
  <si>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</si>
  <si>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</si>
  <si>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</si>
  <si>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</si>
  <si>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</si>
  <si>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</si>
  <si>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</si>
  <si>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</si>
  <si>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</si>
  <si>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</si>
  <si>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</si>
  <si>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</si>
  <si>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</si>
  <si>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</si>
  <si>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</si>
  <si>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</si>
  <si>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</si>
  <si>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</si>
  <si>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</si>
  <si>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</si>
  <si>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</si>
  <si>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</si>
  <si>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</si>
  <si>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</si>
  <si>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</si>
  <si>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</si>
  <si>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</si>
  <si>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</si>
  <si>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</si>
  <si>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</si>
  <si>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</si>
  <si>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</si>
  <si>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</si>
  <si>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</si>
  <si>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</si>
  <si>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</si>
  <si>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</si>
  <si>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</si>
  <si>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</si>
  <si>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</si>
  <si>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</si>
  <si>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</si>
  <si>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</si>
  <si>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</si>
  <si>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</si>
  <si>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</si>
  <si>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</si>
  <si>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</si>
  <si>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</si>
  <si>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</si>
  <si>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</si>
  <si>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</si>
  <si>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</si>
  <si>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</si>
  <si>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</si>
  <si>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</si>
  <si>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</si>
  <si>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</si>
  <si>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</si>
  <si>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</si>
  <si>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</si>
  <si>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</si>
  <si>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</si>
  <si>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</si>
  <si>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</si>
  <si>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</si>
  <si>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</si>
  <si>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</si>
  <si>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</si>
  <si>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</si>
  <si>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</si>
  <si>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</si>
  <si>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</si>
  <si>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</si>
  <si>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</si>
  <si>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</si>
  <si>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</si>
  <si>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</si>
  <si>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</si>
  <si>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</si>
  <si>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</si>
  <si>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</si>
  <si>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</si>
  <si>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</si>
  <si>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</si>
  <si>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</si>
  <si>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</si>
  <si>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</si>
  <si>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</si>
  <si>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</si>
  <si>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</si>
  <si>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</si>
  <si>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</si>
  <si>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</si>
  <si>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</si>
  <si>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</si>
  <si>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</si>
  <si>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</si>
  <si>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</si>
  <si>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</si>
  <si>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</si>
  <si>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</si>
  <si>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</si>
  <si>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</si>
  <si>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</si>
  <si>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</si>
  <si>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</si>
  <si>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</si>
  <si>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</si>
  <si>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</si>
  <si>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</si>
  <si>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</si>
  <si>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</si>
  <si>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</si>
  <si>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</si>
  <si>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</si>
  <si>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</si>
  <si>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</si>
  <si>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</si>
  <si>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</si>
  <si>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</si>
  <si>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</si>
  <si>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</si>
  <si>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</si>
  <si>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</si>
  <si>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</si>
  <si>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</si>
  <si>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</si>
  <si>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</si>
  <si>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</si>
  <si>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</si>
  <si>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</si>
  <si>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</si>
  <si>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</si>
  <si>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</si>
  <si>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</si>
  <si>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</si>
  <si>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</si>
  <si>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</si>
  <si>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</si>
  <si>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</si>
  <si>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</si>
  <si>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</si>
  <si>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</si>
  <si>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</si>
  <si>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</si>
  <si>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</si>
  <si>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</si>
  <si>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</si>
  <si>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</si>
  <si>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</si>
  <si>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</si>
  <si>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</si>
  <si>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</si>
  <si>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</si>
  <si>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</si>
  <si>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</si>
  <si>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</si>
  <si>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</si>
  <si>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</si>
  <si>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</si>
  <si>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</si>
  <si>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</si>
  <si>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</si>
  <si>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</si>
  <si>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</si>
  <si>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</si>
  <si>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</si>
  <si>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</si>
  <si>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</si>
  <si>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</si>
  <si>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</si>
  <si>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</si>
  <si>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</si>
  <si>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</si>
  <si>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</si>
  <si>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</si>
  <si>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</si>
  <si>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</si>
  <si>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</si>
  <si>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</si>
  <si>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01/12/2023 00:15 - 31/12/2023 00:00</t>
  </si>
  <si>
    <t>01/12/2023 00:15</t>
  </si>
  <si>
    <t>01/12/2023 00:30</t>
  </si>
  <si>
    <t>01/12/2023 00:45</t>
  </si>
  <si>
    <t>01/12/2023 01:00</t>
  </si>
  <si>
    <t>01/12/2023 01:15</t>
  </si>
  <si>
    <t>01/12/2023 01:30</t>
  </si>
  <si>
    <t>01/12/2023 01:45</t>
  </si>
  <si>
    <t>01/12/2023 02:00</t>
  </si>
  <si>
    <t>01/12/2023 02:15</t>
  </si>
  <si>
    <t>01/12/2023 02:30</t>
  </si>
  <si>
    <t>01/12/2023 02:45</t>
  </si>
  <si>
    <t>01/12/2023 03:00</t>
  </si>
  <si>
    <t>01/12/2023 03:15</t>
  </si>
  <si>
    <t>01/12/2023 03:30</t>
  </si>
  <si>
    <t>01/12/2023 03:45</t>
  </si>
  <si>
    <t>01/12/2023 04:00</t>
  </si>
  <si>
    <t>01/12/2023 04:15</t>
  </si>
  <si>
    <t>01/12/2023 04:30</t>
  </si>
  <si>
    <t>01/12/2023 04:45</t>
  </si>
  <si>
    <t>01/12/2023 05:00</t>
  </si>
  <si>
    <t>01/12/2023 05:15</t>
  </si>
  <si>
    <t>01/12/2023 05:30</t>
  </si>
  <si>
    <t>01/12/2023 05:45</t>
  </si>
  <si>
    <t>01/12/2023 06:00</t>
  </si>
  <si>
    <t>01/12/2023 06:15</t>
  </si>
  <si>
    <t>01/12/2023 06:30</t>
  </si>
  <si>
    <t>01/12/2023 06:45</t>
  </si>
  <si>
    <t>01/12/2023 07:00</t>
  </si>
  <si>
    <t>01/12/2023 07:15</t>
  </si>
  <si>
    <t>01/12/2023 07:30</t>
  </si>
  <si>
    <t>01/12/2023 07:45</t>
  </si>
  <si>
    <t>01/12/2023 08:00</t>
  </si>
  <si>
    <t>01/12/2023 08:15</t>
  </si>
  <si>
    <t>01/12/2023 08:30</t>
  </si>
  <si>
    <t>01/12/2023 08:45</t>
  </si>
  <si>
    <t>01/12/2023 09:00</t>
  </si>
  <si>
    <t>01/12/2023 09:15</t>
  </si>
  <si>
    <t>01/12/2023 09:30</t>
  </si>
  <si>
    <t>01/12/2023 09:45</t>
  </si>
  <si>
    <t>01/12/2023 10:00</t>
  </si>
  <si>
    <t>01/12/2023 10:15</t>
  </si>
  <si>
    <t>01/12/2023 10:30</t>
  </si>
  <si>
    <t>01/12/2023 10:45</t>
  </si>
  <si>
    <t>01/12/2023 11:00</t>
  </si>
  <si>
    <t>01/12/2023 11:15</t>
  </si>
  <si>
    <t>01/12/2023 11:30</t>
  </si>
  <si>
    <t>01/12/2023 11:45</t>
  </si>
  <si>
    <t>01/12/2023 12:00</t>
  </si>
  <si>
    <t>01/12/2023 12:15</t>
  </si>
  <si>
    <t>01/12/2023 12:30</t>
  </si>
  <si>
    <t>01/12/2023 12:45</t>
  </si>
  <si>
    <t>01/12/2023 13:00</t>
  </si>
  <si>
    <t>01/12/2023 13:15</t>
  </si>
  <si>
    <t>01/12/2023 13:30</t>
  </si>
  <si>
    <t>01/12/2023 13:45</t>
  </si>
  <si>
    <t>01/12/2023 14:00</t>
  </si>
  <si>
    <t>01/12/2023 14:15</t>
  </si>
  <si>
    <t>01/12/2023 14:30</t>
  </si>
  <si>
    <t>01/12/2023 14:45</t>
  </si>
  <si>
    <t>01/12/2023 15:00</t>
  </si>
  <si>
    <t>01/12/2023 15:15</t>
  </si>
  <si>
    <t>01/12/2023 15:30</t>
  </si>
  <si>
    <t>01/12/2023 15:45</t>
  </si>
  <si>
    <t>01/12/2023 16:00</t>
  </si>
  <si>
    <t>01/12/2023 16:15</t>
  </si>
  <si>
    <t>01/12/2023 16:30</t>
  </si>
  <si>
    <t>01/12/2023 16:45</t>
  </si>
  <si>
    <t>01/12/2023 17:00</t>
  </si>
  <si>
    <t>01/12/2023 17:15</t>
  </si>
  <si>
    <t>01/12/2023 17:30</t>
  </si>
  <si>
    <t>01/12/2023 17:45</t>
  </si>
  <si>
    <t>01/12/2023 18:00</t>
  </si>
  <si>
    <t>01/12/2023 18:15</t>
  </si>
  <si>
    <t>01/12/2023 18:30</t>
  </si>
  <si>
    <t>01/12/2023 18:45</t>
  </si>
  <si>
    <t>01/12/2023 19:00</t>
  </si>
  <si>
    <t>01/12/2023 19:15</t>
  </si>
  <si>
    <t>01/12/2023 19:30</t>
  </si>
  <si>
    <t>01/12/2023 19:45</t>
  </si>
  <si>
    <t>01/12/2023 20:00</t>
  </si>
  <si>
    <t>01/12/2023 20:15</t>
  </si>
  <si>
    <t>01/12/2023 20:30</t>
  </si>
  <si>
    <t>01/12/2023 20:45</t>
  </si>
  <si>
    <t>01/12/2023 21:00</t>
  </si>
  <si>
    <t>01/12/2023 21:15</t>
  </si>
  <si>
    <t>01/12/2023 21:30</t>
  </si>
  <si>
    <t>01/12/2023 21:45</t>
  </si>
  <si>
    <t>01/12/2023 22:00</t>
  </si>
  <si>
    <t>01/12/2023 22:15</t>
  </si>
  <si>
    <t>01/12/2023 22:30</t>
  </si>
  <si>
    <t>01/12/2023 22:45</t>
  </si>
  <si>
    <t>01/12/2023 23:00</t>
  </si>
  <si>
    <t>01/12/2023 23:15</t>
  </si>
  <si>
    <t>01/12/2023 23:30</t>
  </si>
  <si>
    <t>01/12/2023 23:45</t>
  </si>
  <si>
    <t>01/12/2023 24:00</t>
  </si>
  <si>
    <t>02/12/2023 00:15</t>
  </si>
  <si>
    <t>02/12/2023 00:30</t>
  </si>
  <si>
    <t>02/12/2023 00:45</t>
  </si>
  <si>
    <t>02/12/2023 01:00</t>
  </si>
  <si>
    <t>02/12/2023 01:15</t>
  </si>
  <si>
    <t>02/12/2023 01:30</t>
  </si>
  <si>
    <t>02/12/2023 01:45</t>
  </si>
  <si>
    <t>02/12/2023 02:00</t>
  </si>
  <si>
    <t>02/12/2023 02:15</t>
  </si>
  <si>
    <t>02/12/2023 02:30</t>
  </si>
  <si>
    <t>02/12/2023 02:45</t>
  </si>
  <si>
    <t>02/12/2023 03:00</t>
  </si>
  <si>
    <t>02/12/2023 03:15</t>
  </si>
  <si>
    <t>02/12/2023 03:30</t>
  </si>
  <si>
    <t>02/12/2023 03:45</t>
  </si>
  <si>
    <t>02/12/2023 04:00</t>
  </si>
  <si>
    <t>02/12/2023 04:15</t>
  </si>
  <si>
    <t>02/12/2023 04:30</t>
  </si>
  <si>
    <t>02/12/2023 04:45</t>
  </si>
  <si>
    <t>02/12/2023 05:00</t>
  </si>
  <si>
    <t>02/12/2023 05:15</t>
  </si>
  <si>
    <t>02/12/2023 05:30</t>
  </si>
  <si>
    <t>02/12/2023 05:45</t>
  </si>
  <si>
    <t>02/12/2023 06:00</t>
  </si>
  <si>
    <t>02/12/2023 06:15</t>
  </si>
  <si>
    <t>02/12/2023 06:30</t>
  </si>
  <si>
    <t>02/12/2023 06:45</t>
  </si>
  <si>
    <t>02/12/2023 07:00</t>
  </si>
  <si>
    <t>02/12/2023 07:15</t>
  </si>
  <si>
    <t>02/12/2023 07:30</t>
  </si>
  <si>
    <t>02/12/2023 07:45</t>
  </si>
  <si>
    <t>02/12/2023 08:00</t>
  </si>
  <si>
    <t>02/12/2023 08:15</t>
  </si>
  <si>
    <t>02/12/2023 08:30</t>
  </si>
  <si>
    <t>02/12/2023 08:45</t>
  </si>
  <si>
    <t>02/12/2023 09:00</t>
  </si>
  <si>
    <t>02/12/2023 09:15</t>
  </si>
  <si>
    <t>02/12/2023 09:30</t>
  </si>
  <si>
    <t>02/12/2023 09:45</t>
  </si>
  <si>
    <t>02/12/2023 10:00</t>
  </si>
  <si>
    <t>02/12/2023 10:15</t>
  </si>
  <si>
    <t>02/12/2023 10:30</t>
  </si>
  <si>
    <t>02/12/2023 10:45</t>
  </si>
  <si>
    <t>02/12/2023 11:00</t>
  </si>
  <si>
    <t>02/12/2023 11:15</t>
  </si>
  <si>
    <t>02/12/2023 11:30</t>
  </si>
  <si>
    <t>02/12/2023 11:45</t>
  </si>
  <si>
    <t>02/12/2023 12:00</t>
  </si>
  <si>
    <t>02/12/2023 12:15</t>
  </si>
  <si>
    <t>02/12/2023 12:30</t>
  </si>
  <si>
    <t>02/12/2023 12:45</t>
  </si>
  <si>
    <t>02/12/2023 13:00</t>
  </si>
  <si>
    <t>02/12/2023 13:15</t>
  </si>
  <si>
    <t>02/12/2023 13:30</t>
  </si>
  <si>
    <t>02/12/2023 13:45</t>
  </si>
  <si>
    <t>02/12/2023 14:00</t>
  </si>
  <si>
    <t>02/12/2023 14:15</t>
  </si>
  <si>
    <t>02/12/2023 14:30</t>
  </si>
  <si>
    <t>02/12/2023 14:45</t>
  </si>
  <si>
    <t>02/12/2023 15:00</t>
  </si>
  <si>
    <t>02/12/2023 15:15</t>
  </si>
  <si>
    <t>02/12/2023 15:30</t>
  </si>
  <si>
    <t>02/12/2023 15:45</t>
  </si>
  <si>
    <t>02/12/2023 16:00</t>
  </si>
  <si>
    <t>02/12/2023 16:15</t>
  </si>
  <si>
    <t>02/12/2023 16:30</t>
  </si>
  <si>
    <t>02/12/2023 16:45</t>
  </si>
  <si>
    <t>02/12/2023 17:00</t>
  </si>
  <si>
    <t>02/12/2023 17:15</t>
  </si>
  <si>
    <t>02/12/2023 17:30</t>
  </si>
  <si>
    <t>02/12/2023 17:45</t>
  </si>
  <si>
    <t>02/12/2023 18:00</t>
  </si>
  <si>
    <t>02/12/2023 18:15</t>
  </si>
  <si>
    <t>02/12/2023 18:30</t>
  </si>
  <si>
    <t>02/12/2023 18:45</t>
  </si>
  <si>
    <t>02/12/2023 19:00</t>
  </si>
  <si>
    <t>02/12/2023 19:15</t>
  </si>
  <si>
    <t>02/12/2023 19:30</t>
  </si>
  <si>
    <t>02/12/2023 19:45</t>
  </si>
  <si>
    <t>02/12/2023 20:00</t>
  </si>
  <si>
    <t>02/12/2023 20:15</t>
  </si>
  <si>
    <t>02/12/2023 20:30</t>
  </si>
  <si>
    <t>02/12/2023 20:45</t>
  </si>
  <si>
    <t>02/12/2023 21:00</t>
  </si>
  <si>
    <t>02/12/2023 21:15</t>
  </si>
  <si>
    <t>02/12/2023 21:30</t>
  </si>
  <si>
    <t>02/12/2023 21:45</t>
  </si>
  <si>
    <t>02/12/2023 22:00</t>
  </si>
  <si>
    <t>02/12/2023 22:15</t>
  </si>
  <si>
    <t>02/12/2023 22:30</t>
  </si>
  <si>
    <t>02/12/2023 22:45</t>
  </si>
  <si>
    <t>02/12/2023 23:00</t>
  </si>
  <si>
    <t>02/12/2023 23:15</t>
  </si>
  <si>
    <t>02/12/2023 23:30</t>
  </si>
  <si>
    <t>02/12/2023 23:45</t>
  </si>
  <si>
    <t>02/12/2023 24:00</t>
  </si>
  <si>
    <t>03/12/2023 00:15</t>
  </si>
  <si>
    <t>03/12/2023 00:30</t>
  </si>
  <si>
    <t>03/12/2023 00:45</t>
  </si>
  <si>
    <t>03/12/2023 01:00</t>
  </si>
  <si>
    <t>03/12/2023 01:15</t>
  </si>
  <si>
    <t>03/12/2023 01:30</t>
  </si>
  <si>
    <t>03/12/2023 01:45</t>
  </si>
  <si>
    <t>03/12/2023 02:00</t>
  </si>
  <si>
    <t>03/12/2023 02:15</t>
  </si>
  <si>
    <t>03/12/2023 02:30</t>
  </si>
  <si>
    <t>03/12/2023 02:45</t>
  </si>
  <si>
    <t>03/12/2023 03:00</t>
  </si>
  <si>
    <t>03/12/2023 03:15</t>
  </si>
  <si>
    <t>03/12/2023 03:30</t>
  </si>
  <si>
    <t>03/12/2023 03:45</t>
  </si>
  <si>
    <t>03/12/2023 04:00</t>
  </si>
  <si>
    <t>03/12/2023 04:15</t>
  </si>
  <si>
    <t>03/12/2023 04:30</t>
  </si>
  <si>
    <t>03/12/2023 04:45</t>
  </si>
  <si>
    <t>03/12/2023 05:00</t>
  </si>
  <si>
    <t>03/12/2023 05:15</t>
  </si>
  <si>
    <t>03/12/2023 05:30</t>
  </si>
  <si>
    <t>03/12/2023 05:45</t>
  </si>
  <si>
    <t>03/12/2023 06:00</t>
  </si>
  <si>
    <t>03/12/2023 06:15</t>
  </si>
  <si>
    <t>03/12/2023 06:30</t>
  </si>
  <si>
    <t>03/12/2023 06:45</t>
  </si>
  <si>
    <t>03/12/2023 07:00</t>
  </si>
  <si>
    <t>03/12/2023 07:15</t>
  </si>
  <si>
    <t>03/12/2023 07:30</t>
  </si>
  <si>
    <t>03/12/2023 07:45</t>
  </si>
  <si>
    <t>03/12/2023 08:00</t>
  </si>
  <si>
    <t>03/12/2023 08:15</t>
  </si>
  <si>
    <t>03/12/2023 08:30</t>
  </si>
  <si>
    <t>03/12/2023 08:45</t>
  </si>
  <si>
    <t>03/12/2023 09:00</t>
  </si>
  <si>
    <t>03/12/2023 09:15</t>
  </si>
  <si>
    <t>03/12/2023 09:30</t>
  </si>
  <si>
    <t>03/12/2023 09:45</t>
  </si>
  <si>
    <t>03/12/2023 10:00</t>
  </si>
  <si>
    <t>03/12/2023 10:15</t>
  </si>
  <si>
    <t>03/12/2023 10:30</t>
  </si>
  <si>
    <t>03/12/2023 10:45</t>
  </si>
  <si>
    <t>03/12/2023 11:00</t>
  </si>
  <si>
    <t>03/12/2023 11:15</t>
  </si>
  <si>
    <t>03/12/2023 11:30</t>
  </si>
  <si>
    <t>03/12/2023 11:45</t>
  </si>
  <si>
    <t>03/12/2023 12:00</t>
  </si>
  <si>
    <t>03/12/2023 12:15</t>
  </si>
  <si>
    <t>03/12/2023 12:30</t>
  </si>
  <si>
    <t>03/12/2023 12:45</t>
  </si>
  <si>
    <t>03/12/2023 13:00</t>
  </si>
  <si>
    <t>03/12/2023 13:15</t>
  </si>
  <si>
    <t>03/12/2023 13:30</t>
  </si>
  <si>
    <t>03/12/2023 13:45</t>
  </si>
  <si>
    <t>03/12/2023 14:00</t>
  </si>
  <si>
    <t>03/12/2023 14:15</t>
  </si>
  <si>
    <t>03/12/2023 14:30</t>
  </si>
  <si>
    <t>03/12/2023 14:45</t>
  </si>
  <si>
    <t>03/12/2023 15:00</t>
  </si>
  <si>
    <t>03/12/2023 15:15</t>
  </si>
  <si>
    <t>03/12/2023 15:30</t>
  </si>
  <si>
    <t>03/12/2023 15:45</t>
  </si>
  <si>
    <t>03/12/2023 16:00</t>
  </si>
  <si>
    <t>03/12/2023 16:15</t>
  </si>
  <si>
    <t>03/12/2023 16:30</t>
  </si>
  <si>
    <t>03/12/2023 16:45</t>
  </si>
  <si>
    <t>03/12/2023 17:00</t>
  </si>
  <si>
    <t>03/12/2023 17:15</t>
  </si>
  <si>
    <t>03/12/2023 17:30</t>
  </si>
  <si>
    <t>03/12/2023 17:45</t>
  </si>
  <si>
    <t>03/12/2023 18:00</t>
  </si>
  <si>
    <t>03/12/2023 18:15</t>
  </si>
  <si>
    <t>03/12/2023 18:30</t>
  </si>
  <si>
    <t>03/12/2023 18:45</t>
  </si>
  <si>
    <t>03/12/2023 19:00</t>
  </si>
  <si>
    <t>03/12/2023 19:15</t>
  </si>
  <si>
    <t>03/12/2023 19:30</t>
  </si>
  <si>
    <t>03/12/2023 19:45</t>
  </si>
  <si>
    <t>03/12/2023 20:00</t>
  </si>
  <si>
    <t>03/12/2023 20:15</t>
  </si>
  <si>
    <t>03/12/2023 20:30</t>
  </si>
  <si>
    <t>03/12/2023 20:45</t>
  </si>
  <si>
    <t>03/12/2023 21:00</t>
  </si>
  <si>
    <t>03/12/2023 21:15</t>
  </si>
  <si>
    <t>03/12/2023 21:30</t>
  </si>
  <si>
    <t>03/12/2023 21:45</t>
  </si>
  <si>
    <t>03/12/2023 22:00</t>
  </si>
  <si>
    <t>03/12/2023 22:15</t>
  </si>
  <si>
    <t>03/12/2023 22:30</t>
  </si>
  <si>
    <t>03/12/2023 22:45</t>
  </si>
  <si>
    <t>03/12/2023 23:00</t>
  </si>
  <si>
    <t>03/12/2023 23:15</t>
  </si>
  <si>
    <t>03/12/2023 23:30</t>
  </si>
  <si>
    <t>03/12/2023 23:45</t>
  </si>
  <si>
    <t>03/12/2023 24:00</t>
  </si>
  <si>
    <t>04/12/2023 00:15</t>
  </si>
  <si>
    <t>04/12/2023 00:30</t>
  </si>
  <si>
    <t>04/12/2023 00:45</t>
  </si>
  <si>
    <t>04/12/2023 01:00</t>
  </si>
  <si>
    <t>04/12/2023 01:15</t>
  </si>
  <si>
    <t>04/12/2023 01:30</t>
  </si>
  <si>
    <t>04/12/2023 01:45</t>
  </si>
  <si>
    <t>04/12/2023 02:00</t>
  </si>
  <si>
    <t>04/12/2023 02:15</t>
  </si>
  <si>
    <t>04/12/2023 02:30</t>
  </si>
  <si>
    <t>04/12/2023 02:45</t>
  </si>
  <si>
    <t>04/12/2023 03:00</t>
  </si>
  <si>
    <t>04/12/2023 03:15</t>
  </si>
  <si>
    <t>04/12/2023 03:30</t>
  </si>
  <si>
    <t>04/12/2023 03:45</t>
  </si>
  <si>
    <t>04/12/2023 04:00</t>
  </si>
  <si>
    <t>04/12/2023 04:15</t>
  </si>
  <si>
    <t>04/12/2023 04:30</t>
  </si>
  <si>
    <t>04/12/2023 04:45</t>
  </si>
  <si>
    <t>04/12/2023 05:00</t>
  </si>
  <si>
    <t>04/12/2023 05:15</t>
  </si>
  <si>
    <t>04/12/2023 05:30</t>
  </si>
  <si>
    <t>04/12/2023 05:45</t>
  </si>
  <si>
    <t>04/12/2023 06:00</t>
  </si>
  <si>
    <t>04/12/2023 06:15</t>
  </si>
  <si>
    <t>04/12/2023 06:30</t>
  </si>
  <si>
    <t>04/12/2023 06:45</t>
  </si>
  <si>
    <t>04/12/2023 07:00</t>
  </si>
  <si>
    <t>04/12/2023 07:15</t>
  </si>
  <si>
    <t>04/12/2023 07:30</t>
  </si>
  <si>
    <t>04/12/2023 07:45</t>
  </si>
  <si>
    <t>04/12/2023 08:00</t>
  </si>
  <si>
    <t>04/12/2023 08:15</t>
  </si>
  <si>
    <t>04/12/2023 08:30</t>
  </si>
  <si>
    <t>04/12/2023 08:45</t>
  </si>
  <si>
    <t>04/12/2023 09:00</t>
  </si>
  <si>
    <t>04/12/2023 09:15</t>
  </si>
  <si>
    <t>04/12/2023 09:30</t>
  </si>
  <si>
    <t>04/12/2023 09:45</t>
  </si>
  <si>
    <t>04/12/2023 10:00</t>
  </si>
  <si>
    <t>04/12/2023 10:15</t>
  </si>
  <si>
    <t>04/12/2023 10:30</t>
  </si>
  <si>
    <t>04/12/2023 10:45</t>
  </si>
  <si>
    <t>04/12/2023 11:00</t>
  </si>
  <si>
    <t>04/12/2023 11:15</t>
  </si>
  <si>
    <t>04/12/2023 11:30</t>
  </si>
  <si>
    <t>04/12/2023 11:45</t>
  </si>
  <si>
    <t>04/12/2023 12:00</t>
  </si>
  <si>
    <t>04/12/2023 12:15</t>
  </si>
  <si>
    <t>04/12/2023 12:30</t>
  </si>
  <si>
    <t>04/12/2023 12:45</t>
  </si>
  <si>
    <t>04/12/2023 13:00</t>
  </si>
  <si>
    <t>04/12/2023 13:15</t>
  </si>
  <si>
    <t>04/12/2023 13:30</t>
  </si>
  <si>
    <t>04/12/2023 13:45</t>
  </si>
  <si>
    <t>04/12/2023 14:00</t>
  </si>
  <si>
    <t>04/12/2023 14:15</t>
  </si>
  <si>
    <t>04/12/2023 14:30</t>
  </si>
  <si>
    <t>04/12/2023 14:45</t>
  </si>
  <si>
    <t>04/12/2023 15:00</t>
  </si>
  <si>
    <t>04/12/2023 15:15</t>
  </si>
  <si>
    <t>04/12/2023 15:30</t>
  </si>
  <si>
    <t>04/12/2023 15:45</t>
  </si>
  <si>
    <t>04/12/2023 16:00</t>
  </si>
  <si>
    <t>04/12/2023 16:15</t>
  </si>
  <si>
    <t>04/12/2023 16:30</t>
  </si>
  <si>
    <t>04/12/2023 16:45</t>
  </si>
  <si>
    <t>04/12/2023 17:00</t>
  </si>
  <si>
    <t>04/12/2023 17:15</t>
  </si>
  <si>
    <t>04/12/2023 17:30</t>
  </si>
  <si>
    <t>04/12/2023 17:45</t>
  </si>
  <si>
    <t>04/12/2023 18:00</t>
  </si>
  <si>
    <t>04/12/2023 18:15</t>
  </si>
  <si>
    <t>04/12/2023 18:30</t>
  </si>
  <si>
    <t>04/12/2023 18:45</t>
  </si>
  <si>
    <t>04/12/2023 19:00</t>
  </si>
  <si>
    <t>04/12/2023 19:15</t>
  </si>
  <si>
    <t>04/12/2023 19:30</t>
  </si>
  <si>
    <t>04/12/2023 19:45</t>
  </si>
  <si>
    <t>04/12/2023 20:00</t>
  </si>
  <si>
    <t>04/12/2023 20:15</t>
  </si>
  <si>
    <t>04/12/2023 20:30</t>
  </si>
  <si>
    <t>04/12/2023 20:45</t>
  </si>
  <si>
    <t>04/12/2023 21:00</t>
  </si>
  <si>
    <t>04/12/2023 21:15</t>
  </si>
  <si>
    <t>04/12/2023 21:30</t>
  </si>
  <si>
    <t>04/12/2023 21:45</t>
  </si>
  <si>
    <t>04/12/2023 22:00</t>
  </si>
  <si>
    <t>04/12/2023 22:15</t>
  </si>
  <si>
    <t>04/12/2023 22:30</t>
  </si>
  <si>
    <t>04/12/2023 22:45</t>
  </si>
  <si>
    <t>04/12/2023 23:00</t>
  </si>
  <si>
    <t>04/12/2023 23:15</t>
  </si>
  <si>
    <t>04/12/2023 23:30</t>
  </si>
  <si>
    <t>04/12/2023 23:45</t>
  </si>
  <si>
    <t>04/12/2023 24:00</t>
  </si>
  <si>
    <t>05/12/2023 00:15</t>
  </si>
  <si>
    <t>05/12/2023 00:30</t>
  </si>
  <si>
    <t>05/12/2023 00:45</t>
  </si>
  <si>
    <t>05/12/2023 01:00</t>
  </si>
  <si>
    <t>05/12/2023 01:15</t>
  </si>
  <si>
    <t>05/12/2023 01:30</t>
  </si>
  <si>
    <t>05/12/2023 01:45</t>
  </si>
  <si>
    <t>05/12/2023 02:00</t>
  </si>
  <si>
    <t>05/12/2023 02:15</t>
  </si>
  <si>
    <t>05/12/2023 02:30</t>
  </si>
  <si>
    <t>05/12/2023 02:45</t>
  </si>
  <si>
    <t>05/12/2023 03:00</t>
  </si>
  <si>
    <t>05/12/2023 03:15</t>
  </si>
  <si>
    <t>05/12/2023 03:30</t>
  </si>
  <si>
    <t>05/12/2023 03:45</t>
  </si>
  <si>
    <t>05/12/2023 04:00</t>
  </si>
  <si>
    <t>05/12/2023 04:15</t>
  </si>
  <si>
    <t>05/12/2023 04:30</t>
  </si>
  <si>
    <t>05/12/2023 04:45</t>
  </si>
  <si>
    <t>05/12/2023 05:00</t>
  </si>
  <si>
    <t>05/12/2023 05:15</t>
  </si>
  <si>
    <t>05/12/2023 05:30</t>
  </si>
  <si>
    <t>05/12/2023 05:45</t>
  </si>
  <si>
    <t>05/12/2023 06:00</t>
  </si>
  <si>
    <t>05/12/2023 06:15</t>
  </si>
  <si>
    <t>05/12/2023 06:30</t>
  </si>
  <si>
    <t>05/12/2023 06:45</t>
  </si>
  <si>
    <t>05/12/2023 07:00</t>
  </si>
  <si>
    <t>05/12/2023 07:15</t>
  </si>
  <si>
    <t>05/12/2023 07:30</t>
  </si>
  <si>
    <t>05/12/2023 07:45</t>
  </si>
  <si>
    <t>05/12/2023 08:00</t>
  </si>
  <si>
    <t>05/12/2023 08:15</t>
  </si>
  <si>
    <t>05/12/2023 08:30</t>
  </si>
  <si>
    <t>05/12/2023 08:45</t>
  </si>
  <si>
    <t>05/12/2023 09:00</t>
  </si>
  <si>
    <t>05/12/2023 09:15</t>
  </si>
  <si>
    <t>05/12/2023 09:30</t>
  </si>
  <si>
    <t>05/12/2023 09:45</t>
  </si>
  <si>
    <t>05/12/2023 10:00</t>
  </si>
  <si>
    <t>05/12/2023 10:15</t>
  </si>
  <si>
    <t>05/12/2023 10:30</t>
  </si>
  <si>
    <t>05/12/2023 10:45</t>
  </si>
  <si>
    <t>05/12/2023 11:00</t>
  </si>
  <si>
    <t>05/12/2023 11:15</t>
  </si>
  <si>
    <t>05/12/2023 11:30</t>
  </si>
  <si>
    <t>05/12/2023 11:45</t>
  </si>
  <si>
    <t>05/12/2023 12:00</t>
  </si>
  <si>
    <t>05/12/2023 12:15</t>
  </si>
  <si>
    <t>05/12/2023 12:30</t>
  </si>
  <si>
    <t>05/12/2023 12:45</t>
  </si>
  <si>
    <t>05/12/2023 13:00</t>
  </si>
  <si>
    <t>05/12/2023 13:15</t>
  </si>
  <si>
    <t>05/12/2023 13:30</t>
  </si>
  <si>
    <t>05/12/2023 13:45</t>
  </si>
  <si>
    <t>05/12/2023 14:00</t>
  </si>
  <si>
    <t>05/12/2023 14:15</t>
  </si>
  <si>
    <t>05/12/2023 14:30</t>
  </si>
  <si>
    <t>05/12/2023 14:45</t>
  </si>
  <si>
    <t>05/12/2023 15:00</t>
  </si>
  <si>
    <t>05/12/2023 15:15</t>
  </si>
  <si>
    <t>05/12/2023 15:30</t>
  </si>
  <si>
    <t>05/12/2023 15:45</t>
  </si>
  <si>
    <t>05/12/2023 16:00</t>
  </si>
  <si>
    <t>05/12/2023 16:15</t>
  </si>
  <si>
    <t>05/12/2023 16:30</t>
  </si>
  <si>
    <t>05/12/2023 16:45</t>
  </si>
  <si>
    <t>05/12/2023 17:00</t>
  </si>
  <si>
    <t>05/12/2023 17:15</t>
  </si>
  <si>
    <t>05/12/2023 17:30</t>
  </si>
  <si>
    <t>05/12/2023 17:45</t>
  </si>
  <si>
    <t>05/12/2023 18:00</t>
  </si>
  <si>
    <t>05/12/2023 18:15</t>
  </si>
  <si>
    <t>05/12/2023 18:30</t>
  </si>
  <si>
    <t>05/12/2023 18:45</t>
  </si>
  <si>
    <t>05/12/2023 19:00</t>
  </si>
  <si>
    <t>05/12/2023 19:15</t>
  </si>
  <si>
    <t>05/12/2023 19:30</t>
  </si>
  <si>
    <t>05/12/2023 19:45</t>
  </si>
  <si>
    <t>05/12/2023 20:00</t>
  </si>
  <si>
    <t>05/12/2023 20:15</t>
  </si>
  <si>
    <t>05/12/2023 20:30</t>
  </si>
  <si>
    <t>05/12/2023 20:45</t>
  </si>
  <si>
    <t>05/12/2023 21:00</t>
  </si>
  <si>
    <t>05/12/2023 21:15</t>
  </si>
  <si>
    <t>05/12/2023 21:30</t>
  </si>
  <si>
    <t>05/12/2023 21:45</t>
  </si>
  <si>
    <t>05/12/2023 22:00</t>
  </si>
  <si>
    <t>05/12/2023 22:15</t>
  </si>
  <si>
    <t>05/12/2023 22:30</t>
  </si>
  <si>
    <t>05/12/2023 22:45</t>
  </si>
  <si>
    <t>05/12/2023 23:00</t>
  </si>
  <si>
    <t>05/12/2023 23:15</t>
  </si>
  <si>
    <t>05/12/2023 23:30</t>
  </si>
  <si>
    <t>05/12/2023 23:45</t>
  </si>
  <si>
    <t>05/12/2023 24:00</t>
  </si>
  <si>
    <t>06/12/2023 00:15</t>
  </si>
  <si>
    <t>06/12/2023 00:30</t>
  </si>
  <si>
    <t>06/12/2023 00:45</t>
  </si>
  <si>
    <t>06/12/2023 01:00</t>
  </si>
  <si>
    <t>06/12/2023 01:15</t>
  </si>
  <si>
    <t>06/12/2023 01:30</t>
  </si>
  <si>
    <t>06/12/2023 01:45</t>
  </si>
  <si>
    <t>06/12/2023 02:00</t>
  </si>
  <si>
    <t>06/12/2023 02:15</t>
  </si>
  <si>
    <t>06/12/2023 02:30</t>
  </si>
  <si>
    <t>06/12/2023 02:45</t>
  </si>
  <si>
    <t>06/12/2023 03:00</t>
  </si>
  <si>
    <t>06/12/2023 03:15</t>
  </si>
  <si>
    <t>06/12/2023 03:30</t>
  </si>
  <si>
    <t>06/12/2023 03:45</t>
  </si>
  <si>
    <t>06/12/2023 04:00</t>
  </si>
  <si>
    <t>06/12/2023 04:15</t>
  </si>
  <si>
    <t>06/12/2023 04:30</t>
  </si>
  <si>
    <t>06/12/2023 04:45</t>
  </si>
  <si>
    <t>06/12/2023 05:00</t>
  </si>
  <si>
    <t>06/12/2023 05:15</t>
  </si>
  <si>
    <t>06/12/2023 05:30</t>
  </si>
  <si>
    <t>06/12/2023 05:45</t>
  </si>
  <si>
    <t>06/12/2023 06:00</t>
  </si>
  <si>
    <t>06/12/2023 06:15</t>
  </si>
  <si>
    <t>06/12/2023 06:30</t>
  </si>
  <si>
    <t>06/12/2023 06:45</t>
  </si>
  <si>
    <t>06/12/2023 07:00</t>
  </si>
  <si>
    <t>06/12/2023 07:15</t>
  </si>
  <si>
    <t>06/12/2023 07:30</t>
  </si>
  <si>
    <t>06/12/2023 07:45</t>
  </si>
  <si>
    <t>06/12/2023 08:00</t>
  </si>
  <si>
    <t>06/12/2023 08:15</t>
  </si>
  <si>
    <t>06/12/2023 08:30</t>
  </si>
  <si>
    <t>06/12/2023 08:45</t>
  </si>
  <si>
    <t>06/12/2023 09:00</t>
  </si>
  <si>
    <t>06/12/2023 09:15</t>
  </si>
  <si>
    <t>06/12/2023 09:30</t>
  </si>
  <si>
    <t>06/12/2023 09:45</t>
  </si>
  <si>
    <t>06/12/2023 10:00</t>
  </si>
  <si>
    <t>06/12/2023 10:15</t>
  </si>
  <si>
    <t>06/12/2023 10:30</t>
  </si>
  <si>
    <t>06/12/2023 10:45</t>
  </si>
  <si>
    <t>06/12/2023 11:00</t>
  </si>
  <si>
    <t>06/12/2023 11:15</t>
  </si>
  <si>
    <t>06/12/2023 11:30</t>
  </si>
  <si>
    <t>06/12/2023 11:45</t>
  </si>
  <si>
    <t>06/12/2023 12:00</t>
  </si>
  <si>
    <t>06/12/2023 12:15</t>
  </si>
  <si>
    <t>06/12/2023 12:30</t>
  </si>
  <si>
    <t>06/12/2023 12:45</t>
  </si>
  <si>
    <t>06/12/2023 13:00</t>
  </si>
  <si>
    <t>06/12/2023 13:15</t>
  </si>
  <si>
    <t>06/12/2023 13:30</t>
  </si>
  <si>
    <t>06/12/2023 13:45</t>
  </si>
  <si>
    <t>06/12/2023 14:00</t>
  </si>
  <si>
    <t>06/12/2023 14:15</t>
  </si>
  <si>
    <t>06/12/2023 14:30</t>
  </si>
  <si>
    <t>06/12/2023 14:45</t>
  </si>
  <si>
    <t>06/12/2023 15:00</t>
  </si>
  <si>
    <t>06/12/2023 15:15</t>
  </si>
  <si>
    <t>06/12/2023 15:30</t>
  </si>
  <si>
    <t>06/12/2023 15:45</t>
  </si>
  <si>
    <t>06/12/2023 16:00</t>
  </si>
  <si>
    <t>06/12/2023 16:15</t>
  </si>
  <si>
    <t>06/12/2023 16:30</t>
  </si>
  <si>
    <t>06/12/2023 16:45</t>
  </si>
  <si>
    <t>06/12/2023 17:00</t>
  </si>
  <si>
    <t>06/12/2023 17:15</t>
  </si>
  <si>
    <t>06/12/2023 17:30</t>
  </si>
  <si>
    <t>06/12/2023 17:45</t>
  </si>
  <si>
    <t>06/12/2023 18:00</t>
  </si>
  <si>
    <t>06/12/2023 18:15</t>
  </si>
  <si>
    <t>06/12/2023 18:30</t>
  </si>
  <si>
    <t>06/12/2023 18:45</t>
  </si>
  <si>
    <t>06/12/2023 19:00</t>
  </si>
  <si>
    <t>06/12/2023 19:15</t>
  </si>
  <si>
    <t>06/12/2023 19:30</t>
  </si>
  <si>
    <t>06/12/2023 19:45</t>
  </si>
  <si>
    <t>06/12/2023 20:00</t>
  </si>
  <si>
    <t>06/12/2023 20:15</t>
  </si>
  <si>
    <t>06/12/2023 20:30</t>
  </si>
  <si>
    <t>06/12/2023 20:45</t>
  </si>
  <si>
    <t>06/12/2023 21:00</t>
  </si>
  <si>
    <t>06/12/2023 21:15</t>
  </si>
  <si>
    <t>06/12/2023 21:30</t>
  </si>
  <si>
    <t>06/12/2023 21:45</t>
  </si>
  <si>
    <t>06/12/2023 22:00</t>
  </si>
  <si>
    <t>06/12/2023 22:15</t>
  </si>
  <si>
    <t>06/12/2023 22:30</t>
  </si>
  <si>
    <t>06/12/2023 22:45</t>
  </si>
  <si>
    <t>06/12/2023 23:00</t>
  </si>
  <si>
    <t>06/12/2023 23:15</t>
  </si>
  <si>
    <t>06/12/2023 23:30</t>
  </si>
  <si>
    <t>06/12/2023 23:45</t>
  </si>
  <si>
    <t>06/12/2023 24:00</t>
  </si>
  <si>
    <t>07/12/2023 00:15</t>
  </si>
  <si>
    <t>07/12/2023 00:30</t>
  </si>
  <si>
    <t>07/12/2023 00:45</t>
  </si>
  <si>
    <t>07/12/2023 01:00</t>
  </si>
  <si>
    <t>07/12/2023 01:15</t>
  </si>
  <si>
    <t>07/12/2023 01:30</t>
  </si>
  <si>
    <t>07/12/2023 01:45</t>
  </si>
  <si>
    <t>07/12/2023 02:00</t>
  </si>
  <si>
    <t>07/12/2023 02:15</t>
  </si>
  <si>
    <t>07/12/2023 02:30</t>
  </si>
  <si>
    <t>07/12/2023 02:45</t>
  </si>
  <si>
    <t>07/12/2023 03:00</t>
  </si>
  <si>
    <t>07/12/2023 03:15</t>
  </si>
  <si>
    <t>07/12/2023 03:30</t>
  </si>
  <si>
    <t>07/12/2023 03:45</t>
  </si>
  <si>
    <t>07/12/2023 04:00</t>
  </si>
  <si>
    <t>07/12/2023 04:15</t>
  </si>
  <si>
    <t>07/12/2023 04:30</t>
  </si>
  <si>
    <t>07/12/2023 04:45</t>
  </si>
  <si>
    <t>07/12/2023 05:00</t>
  </si>
  <si>
    <t>07/12/2023 05:15</t>
  </si>
  <si>
    <t>07/12/2023 05:30</t>
  </si>
  <si>
    <t>07/12/2023 05:45</t>
  </si>
  <si>
    <t>07/12/2023 06:00</t>
  </si>
  <si>
    <t>07/12/2023 06:15</t>
  </si>
  <si>
    <t>07/12/2023 06:30</t>
  </si>
  <si>
    <t>07/12/2023 06:45</t>
  </si>
  <si>
    <t>07/12/2023 07:00</t>
  </si>
  <si>
    <t>07/12/2023 07:15</t>
  </si>
  <si>
    <t>07/12/2023 07:30</t>
  </si>
  <si>
    <t>07/12/2023 07:45</t>
  </si>
  <si>
    <t>07/12/2023 08:00</t>
  </si>
  <si>
    <t>07/12/2023 08:15</t>
  </si>
  <si>
    <t>07/12/2023 08:30</t>
  </si>
  <si>
    <t>07/12/2023 08:45</t>
  </si>
  <si>
    <t>07/12/2023 09:00</t>
  </si>
  <si>
    <t>07/12/2023 09:15</t>
  </si>
  <si>
    <t>07/12/2023 09:30</t>
  </si>
  <si>
    <t>07/12/2023 09:45</t>
  </si>
  <si>
    <t>07/12/2023 10:00</t>
  </si>
  <si>
    <t>07/12/2023 10:15</t>
  </si>
  <si>
    <t>07/12/2023 10:30</t>
  </si>
  <si>
    <t>07/12/2023 10:45</t>
  </si>
  <si>
    <t>07/12/2023 11:00</t>
  </si>
  <si>
    <t>07/12/2023 11:15</t>
  </si>
  <si>
    <t>07/12/2023 11:30</t>
  </si>
  <si>
    <t>07/12/2023 11:45</t>
  </si>
  <si>
    <t>07/12/2023 12:00</t>
  </si>
  <si>
    <t>07/12/2023 12:15</t>
  </si>
  <si>
    <t>07/12/2023 12:30</t>
  </si>
  <si>
    <t>07/12/2023 12:45</t>
  </si>
  <si>
    <t>07/12/2023 13:00</t>
  </si>
  <si>
    <t>07/12/2023 13:15</t>
  </si>
  <si>
    <t>07/12/2023 13:30</t>
  </si>
  <si>
    <t>07/12/2023 13:45</t>
  </si>
  <si>
    <t>07/12/2023 14:00</t>
  </si>
  <si>
    <t>07/12/2023 14:15</t>
  </si>
  <si>
    <t>07/12/2023 14:30</t>
  </si>
  <si>
    <t>07/12/2023 14:45</t>
  </si>
  <si>
    <t>07/12/2023 15:00</t>
  </si>
  <si>
    <t>07/12/2023 15:15</t>
  </si>
  <si>
    <t>07/12/2023 15:30</t>
  </si>
  <si>
    <t>07/12/2023 15:45</t>
  </si>
  <si>
    <t>07/12/2023 16:00</t>
  </si>
  <si>
    <t>07/12/2023 16:15</t>
  </si>
  <si>
    <t>07/12/2023 16:30</t>
  </si>
  <si>
    <t>07/12/2023 16:45</t>
  </si>
  <si>
    <t>07/12/2023 17:00</t>
  </si>
  <si>
    <t>07/12/2023 17:15</t>
  </si>
  <si>
    <t>07/12/2023 17:30</t>
  </si>
  <si>
    <t>07/12/2023 17:45</t>
  </si>
  <si>
    <t>07/12/2023 18:00</t>
  </si>
  <si>
    <t>07/12/2023 18:15</t>
  </si>
  <si>
    <t>07/12/2023 18:30</t>
  </si>
  <si>
    <t>07/12/2023 18:45</t>
  </si>
  <si>
    <t>07/12/2023 19:00</t>
  </si>
  <si>
    <t>07/12/2023 19:15</t>
  </si>
  <si>
    <t>07/12/2023 19:30</t>
  </si>
  <si>
    <t>07/12/2023 19:45</t>
  </si>
  <si>
    <t>07/12/2023 20:00</t>
  </si>
  <si>
    <t>07/12/2023 20:15</t>
  </si>
  <si>
    <t>07/12/2023 20:30</t>
  </si>
  <si>
    <t>07/12/2023 20:45</t>
  </si>
  <si>
    <t>07/12/2023 21:00</t>
  </si>
  <si>
    <t>07/12/2023 21:15</t>
  </si>
  <si>
    <t>07/12/2023 21:30</t>
  </si>
  <si>
    <t>07/12/2023 21:45</t>
  </si>
  <si>
    <t>07/12/2023 22:00</t>
  </si>
  <si>
    <t>07/12/2023 22:15</t>
  </si>
  <si>
    <t>07/12/2023 22:30</t>
  </si>
  <si>
    <t>07/12/2023 22:45</t>
  </si>
  <si>
    <t>07/12/2023 23:00</t>
  </si>
  <si>
    <t>07/12/2023 23:15</t>
  </si>
  <si>
    <t>07/12/2023 23:30</t>
  </si>
  <si>
    <t>07/12/2023 23:45</t>
  </si>
  <si>
    <t>07/12/2023 24:00</t>
  </si>
  <si>
    <t>08/12/2023 00:15</t>
  </si>
  <si>
    <t>08/12/2023 00:30</t>
  </si>
  <si>
    <t>08/12/2023 00:45</t>
  </si>
  <si>
    <t>08/12/2023 01:00</t>
  </si>
  <si>
    <t>08/12/2023 01:15</t>
  </si>
  <si>
    <t>08/12/2023 01:30</t>
  </si>
  <si>
    <t>08/12/2023 01:45</t>
  </si>
  <si>
    <t>08/12/2023 02:00</t>
  </si>
  <si>
    <t>08/12/2023 02:15</t>
  </si>
  <si>
    <t>08/12/2023 02:30</t>
  </si>
  <si>
    <t>08/12/2023 02:45</t>
  </si>
  <si>
    <t>08/12/2023 03:00</t>
  </si>
  <si>
    <t>08/12/2023 03:15</t>
  </si>
  <si>
    <t>08/12/2023 03:30</t>
  </si>
  <si>
    <t>08/12/2023 03:45</t>
  </si>
  <si>
    <t>08/12/2023 04:00</t>
  </si>
  <si>
    <t>08/12/2023 04:15</t>
  </si>
  <si>
    <t>08/12/2023 04:30</t>
  </si>
  <si>
    <t>08/12/2023 04:45</t>
  </si>
  <si>
    <t>08/12/2023 05:00</t>
  </si>
  <si>
    <t>08/12/2023 05:15</t>
  </si>
  <si>
    <t>08/12/2023 05:30</t>
  </si>
  <si>
    <t>08/12/2023 05:45</t>
  </si>
  <si>
    <t>08/12/2023 06:00</t>
  </si>
  <si>
    <t>08/12/2023 06:15</t>
  </si>
  <si>
    <t>08/12/2023 06:30</t>
  </si>
  <si>
    <t>08/12/2023 06:45</t>
  </si>
  <si>
    <t>08/12/2023 07:00</t>
  </si>
  <si>
    <t>08/12/2023 07:15</t>
  </si>
  <si>
    <t>08/12/2023 07:30</t>
  </si>
  <si>
    <t>08/12/2023 07:45</t>
  </si>
  <si>
    <t>08/12/2023 08:00</t>
  </si>
  <si>
    <t>08/12/2023 08:15</t>
  </si>
  <si>
    <t>08/12/2023 08:30</t>
  </si>
  <si>
    <t>08/12/2023 08:45</t>
  </si>
  <si>
    <t>08/12/2023 09:00</t>
  </si>
  <si>
    <t>08/12/2023 09:15</t>
  </si>
  <si>
    <t>08/12/2023 09:30</t>
  </si>
  <si>
    <t>08/12/2023 09:45</t>
  </si>
  <si>
    <t>08/12/2023 10:00</t>
  </si>
  <si>
    <t>08/12/2023 10:15</t>
  </si>
  <si>
    <t>08/12/2023 10:30</t>
  </si>
  <si>
    <t>08/12/2023 10:45</t>
  </si>
  <si>
    <t>08/12/2023 11:00</t>
  </si>
  <si>
    <t>08/12/2023 11:15</t>
  </si>
  <si>
    <t>08/12/2023 11:30</t>
  </si>
  <si>
    <t>08/12/2023 11:45</t>
  </si>
  <si>
    <t>08/12/2023 12:00</t>
  </si>
  <si>
    <t>08/12/2023 12:15</t>
  </si>
  <si>
    <t>08/12/2023 12:30</t>
  </si>
  <si>
    <t>08/12/2023 12:45</t>
  </si>
  <si>
    <t>08/12/2023 13:00</t>
  </si>
  <si>
    <t>08/12/2023 13:15</t>
  </si>
  <si>
    <t>08/12/2023 13:30</t>
  </si>
  <si>
    <t>08/12/2023 13:45</t>
  </si>
  <si>
    <t>08/12/2023 14:00</t>
  </si>
  <si>
    <t>08/12/2023 14:15</t>
  </si>
  <si>
    <t>08/12/2023 14:30</t>
  </si>
  <si>
    <t>08/12/2023 14:45</t>
  </si>
  <si>
    <t>08/12/2023 15:00</t>
  </si>
  <si>
    <t>08/12/2023 15:15</t>
  </si>
  <si>
    <t>08/12/2023 15:30</t>
  </si>
  <si>
    <t>08/12/2023 15:45</t>
  </si>
  <si>
    <t>08/12/2023 16:00</t>
  </si>
  <si>
    <t>08/12/2023 16:15</t>
  </si>
  <si>
    <t>08/12/2023 16:30</t>
  </si>
  <si>
    <t>08/12/2023 16:45</t>
  </si>
  <si>
    <t>08/12/2023 17:00</t>
  </si>
  <si>
    <t>08/12/2023 17:15</t>
  </si>
  <si>
    <t>08/12/2023 17:30</t>
  </si>
  <si>
    <t>08/12/2023 17:45</t>
  </si>
  <si>
    <t>08/12/2023 18:00</t>
  </si>
  <si>
    <t>08/12/2023 18:15</t>
  </si>
  <si>
    <t>08/12/2023 18:30</t>
  </si>
  <si>
    <t>08/12/2023 18:45</t>
  </si>
  <si>
    <t>08/12/2023 19:00</t>
  </si>
  <si>
    <t>08/12/2023 19:15</t>
  </si>
  <si>
    <t>08/12/2023 19:30</t>
  </si>
  <si>
    <t>08/12/2023 19:45</t>
  </si>
  <si>
    <t>08/12/2023 20:00</t>
  </si>
  <si>
    <t>08/12/2023 20:15</t>
  </si>
  <si>
    <t>08/12/2023 20:30</t>
  </si>
  <si>
    <t>08/12/2023 20:45</t>
  </si>
  <si>
    <t>08/12/2023 21:00</t>
  </si>
  <si>
    <t>08/12/2023 21:15</t>
  </si>
  <si>
    <t>08/12/2023 21:30</t>
  </si>
  <si>
    <t>08/12/2023 21:45</t>
  </si>
  <si>
    <t>08/12/2023 22:00</t>
  </si>
  <si>
    <t>08/12/2023 22:15</t>
  </si>
  <si>
    <t>08/12/2023 22:30</t>
  </si>
  <si>
    <t>08/12/2023 22:45</t>
  </si>
  <si>
    <t>08/12/2023 23:00</t>
  </si>
  <si>
    <t>08/12/2023 23:15</t>
  </si>
  <si>
    <t>08/12/2023 23:30</t>
  </si>
  <si>
    <t>08/12/2023 23:45</t>
  </si>
  <si>
    <t>08/12/2023 24:00</t>
  </si>
  <si>
    <t>09/12/2023 00:15</t>
  </si>
  <si>
    <t>09/12/2023 00:30</t>
  </si>
  <si>
    <t>09/12/2023 00:45</t>
  </si>
  <si>
    <t>09/12/2023 01:00</t>
  </si>
  <si>
    <t>09/12/2023 01:15</t>
  </si>
  <si>
    <t>09/12/2023 01:30</t>
  </si>
  <si>
    <t>09/12/2023 01:45</t>
  </si>
  <si>
    <t>09/12/2023 02:00</t>
  </si>
  <si>
    <t>09/12/2023 02:15</t>
  </si>
  <si>
    <t>09/12/2023 02:30</t>
  </si>
  <si>
    <t>09/12/2023 02:45</t>
  </si>
  <si>
    <t>09/12/2023 03:00</t>
  </si>
  <si>
    <t>09/12/2023 03:15</t>
  </si>
  <si>
    <t>09/12/2023 03:30</t>
  </si>
  <si>
    <t>09/12/2023 03:45</t>
  </si>
  <si>
    <t>09/12/2023 04:00</t>
  </si>
  <si>
    <t>09/12/2023 04:15</t>
  </si>
  <si>
    <t>09/12/2023 04:30</t>
  </si>
  <si>
    <t>09/12/2023 04:45</t>
  </si>
  <si>
    <t>09/12/2023 05:00</t>
  </si>
  <si>
    <t>09/12/2023 05:15</t>
  </si>
  <si>
    <t>09/12/2023 05:30</t>
  </si>
  <si>
    <t>09/12/2023 05:45</t>
  </si>
  <si>
    <t>09/12/2023 06:00</t>
  </si>
  <si>
    <t>09/12/2023 06:15</t>
  </si>
  <si>
    <t>09/12/2023 06:30</t>
  </si>
  <si>
    <t>09/12/2023 06:45</t>
  </si>
  <si>
    <t>09/12/2023 07:00</t>
  </si>
  <si>
    <t>09/12/2023 07:15</t>
  </si>
  <si>
    <t>09/12/2023 07:30</t>
  </si>
  <si>
    <t>09/12/2023 07:45</t>
  </si>
  <si>
    <t>09/12/2023 08:00</t>
  </si>
  <si>
    <t>09/12/2023 08:15</t>
  </si>
  <si>
    <t>09/12/2023 08:30</t>
  </si>
  <si>
    <t>09/12/2023 08:45</t>
  </si>
  <si>
    <t>09/12/2023 09:00</t>
  </si>
  <si>
    <t>09/12/2023 09:15</t>
  </si>
  <si>
    <t>09/12/2023 09:30</t>
  </si>
  <si>
    <t>09/12/2023 09:45</t>
  </si>
  <si>
    <t>09/12/2023 10:00</t>
  </si>
  <si>
    <t>09/12/2023 10:15</t>
  </si>
  <si>
    <t>09/12/2023 10:30</t>
  </si>
  <si>
    <t>09/12/2023 10:45</t>
  </si>
  <si>
    <t>09/12/2023 11:00</t>
  </si>
  <si>
    <t>09/12/2023 11:15</t>
  </si>
  <si>
    <t>09/12/2023 11:30</t>
  </si>
  <si>
    <t>09/12/2023 11:45</t>
  </si>
  <si>
    <t>09/12/2023 12:00</t>
  </si>
  <si>
    <t>09/12/2023 12:15</t>
  </si>
  <si>
    <t>09/12/2023 12:30</t>
  </si>
  <si>
    <t>09/12/2023 12:45</t>
  </si>
  <si>
    <t>09/12/2023 13:00</t>
  </si>
  <si>
    <t>09/12/2023 13:15</t>
  </si>
  <si>
    <t>09/12/2023 13:30</t>
  </si>
  <si>
    <t>09/12/2023 13:45</t>
  </si>
  <si>
    <t>09/12/2023 14:00</t>
  </si>
  <si>
    <t>09/12/2023 14:15</t>
  </si>
  <si>
    <t>09/12/2023 14:30</t>
  </si>
  <si>
    <t>09/12/2023 14:45</t>
  </si>
  <si>
    <t>09/12/2023 15:00</t>
  </si>
  <si>
    <t>09/12/2023 15:15</t>
  </si>
  <si>
    <t>09/12/2023 15:30</t>
  </si>
  <si>
    <t>09/12/2023 15:45</t>
  </si>
  <si>
    <t>09/12/2023 16:00</t>
  </si>
  <si>
    <t>09/12/2023 16:15</t>
  </si>
  <si>
    <t>09/12/2023 16:30</t>
  </si>
  <si>
    <t>09/12/2023 16:45</t>
  </si>
  <si>
    <t>09/12/2023 17:00</t>
  </si>
  <si>
    <t>09/12/2023 17:15</t>
  </si>
  <si>
    <t>09/12/2023 17:30</t>
  </si>
  <si>
    <t>09/12/2023 17:45</t>
  </si>
  <si>
    <t>09/12/2023 18:00</t>
  </si>
  <si>
    <t>09/12/2023 18:15</t>
  </si>
  <si>
    <t>09/12/2023 18:30</t>
  </si>
  <si>
    <t>09/12/2023 18:45</t>
  </si>
  <si>
    <t>09/12/2023 19:00</t>
  </si>
  <si>
    <t>09/12/2023 19:15</t>
  </si>
  <si>
    <t>09/12/2023 19:30</t>
  </si>
  <si>
    <t>09/12/2023 19:45</t>
  </si>
  <si>
    <t>09/12/2023 20:00</t>
  </si>
  <si>
    <t>09/12/2023 20:15</t>
  </si>
  <si>
    <t>09/12/2023 20:30</t>
  </si>
  <si>
    <t>09/12/2023 20:45</t>
  </si>
  <si>
    <t>09/12/2023 21:00</t>
  </si>
  <si>
    <t>09/12/2023 21:15</t>
  </si>
  <si>
    <t>09/12/2023 21:30</t>
  </si>
  <si>
    <t>09/12/2023 21:45</t>
  </si>
  <si>
    <t>09/12/2023 22:00</t>
  </si>
  <si>
    <t>09/12/2023 22:15</t>
  </si>
  <si>
    <t>09/12/2023 22:30</t>
  </si>
  <si>
    <t>09/12/2023 22:45</t>
  </si>
  <si>
    <t>09/12/2023 23:00</t>
  </si>
  <si>
    <t>09/12/2023 23:15</t>
  </si>
  <si>
    <t>09/12/2023 23:30</t>
  </si>
  <si>
    <t>09/12/2023 23:45</t>
  </si>
  <si>
    <t>09/12/2023 24:00</t>
  </si>
  <si>
    <t>10/12/2023 00:15</t>
  </si>
  <si>
    <t>10/12/2023 00:30</t>
  </si>
  <si>
    <t>10/12/2023 00:45</t>
  </si>
  <si>
    <t>10/12/2023 01:00</t>
  </si>
  <si>
    <t>10/12/2023 01:15</t>
  </si>
  <si>
    <t>10/12/2023 01:30</t>
  </si>
  <si>
    <t>10/12/2023 01:45</t>
  </si>
  <si>
    <t>10/12/2023 02:00</t>
  </si>
  <si>
    <t>10/12/2023 02:15</t>
  </si>
  <si>
    <t>10/12/2023 02:30</t>
  </si>
  <si>
    <t>10/12/2023 02:45</t>
  </si>
  <si>
    <t>10/12/2023 03:00</t>
  </si>
  <si>
    <t>10/12/2023 03:15</t>
  </si>
  <si>
    <t>10/12/2023 03:30</t>
  </si>
  <si>
    <t>10/12/2023 03:45</t>
  </si>
  <si>
    <t>10/12/2023 04:00</t>
  </si>
  <si>
    <t>10/12/2023 04:15</t>
  </si>
  <si>
    <t>10/12/2023 04:30</t>
  </si>
  <si>
    <t>10/12/2023 04:45</t>
  </si>
  <si>
    <t>10/12/2023 05:00</t>
  </si>
  <si>
    <t>10/12/2023 05:15</t>
  </si>
  <si>
    <t>10/12/2023 05:30</t>
  </si>
  <si>
    <t>10/12/2023 05:45</t>
  </si>
  <si>
    <t>10/12/2023 06:00</t>
  </si>
  <si>
    <t>10/12/2023 06:15</t>
  </si>
  <si>
    <t>10/12/2023 06:30</t>
  </si>
  <si>
    <t>10/12/2023 06:45</t>
  </si>
  <si>
    <t>10/12/2023 07:00</t>
  </si>
  <si>
    <t>10/12/2023 07:15</t>
  </si>
  <si>
    <t>10/12/2023 07:30</t>
  </si>
  <si>
    <t>10/12/2023 07:45</t>
  </si>
  <si>
    <t>10/12/2023 08:00</t>
  </si>
  <si>
    <t>10/12/2023 08:15</t>
  </si>
  <si>
    <t>10/12/2023 08:30</t>
  </si>
  <si>
    <t>10/12/2023 08:45</t>
  </si>
  <si>
    <t>10/12/2023 09:00</t>
  </si>
  <si>
    <t>10/12/2023 09:15</t>
  </si>
  <si>
    <t>10/12/2023 09:30</t>
  </si>
  <si>
    <t>10/12/2023 09:45</t>
  </si>
  <si>
    <t>10/12/2023 10:00</t>
  </si>
  <si>
    <t>10/12/2023 10:15</t>
  </si>
  <si>
    <t>10/12/2023 10:30</t>
  </si>
  <si>
    <t>10/12/2023 10:45</t>
  </si>
  <si>
    <t>10/12/2023 11:00</t>
  </si>
  <si>
    <t>10/12/2023 11:15</t>
  </si>
  <si>
    <t>10/12/2023 11:30</t>
  </si>
  <si>
    <t>10/12/2023 11:45</t>
  </si>
  <si>
    <t>10/12/2023 12:00</t>
  </si>
  <si>
    <t>10/12/2023 12:15</t>
  </si>
  <si>
    <t>10/12/2023 12:30</t>
  </si>
  <si>
    <t>10/12/2023 12:45</t>
  </si>
  <si>
    <t>10/12/2023 13:00</t>
  </si>
  <si>
    <t>10/12/2023 13:15</t>
  </si>
  <si>
    <t>10/12/2023 13:30</t>
  </si>
  <si>
    <t>10/12/2023 13:45</t>
  </si>
  <si>
    <t>10/12/2023 14:00</t>
  </si>
  <si>
    <t>10/12/2023 14:15</t>
  </si>
  <si>
    <t>10/12/2023 14:30</t>
  </si>
  <si>
    <t>10/12/2023 14:45</t>
  </si>
  <si>
    <t>10/12/2023 15:00</t>
  </si>
  <si>
    <t>10/12/2023 15:15</t>
  </si>
  <si>
    <t>10/12/2023 15:30</t>
  </si>
  <si>
    <t>10/12/2023 15:45</t>
  </si>
  <si>
    <t>10/12/2023 16:00</t>
  </si>
  <si>
    <t>10/12/2023 16:15</t>
  </si>
  <si>
    <t>10/12/2023 16:30</t>
  </si>
  <si>
    <t>10/12/2023 16:45</t>
  </si>
  <si>
    <t>10/12/2023 17:00</t>
  </si>
  <si>
    <t>10/12/2023 17:15</t>
  </si>
  <si>
    <t>10/12/2023 17:30</t>
  </si>
  <si>
    <t>10/12/2023 17:45</t>
  </si>
  <si>
    <t>10/12/2023 18:00</t>
  </si>
  <si>
    <t>10/12/2023 18:15</t>
  </si>
  <si>
    <t>10/12/2023 18:30</t>
  </si>
  <si>
    <t>10/12/2023 18:45</t>
  </si>
  <si>
    <t>10/12/2023 19:00</t>
  </si>
  <si>
    <t>10/12/2023 19:15</t>
  </si>
  <si>
    <t>10/12/2023 19:30</t>
  </si>
  <si>
    <t>10/12/2023 19:45</t>
  </si>
  <si>
    <t>10/12/2023 20:00</t>
  </si>
  <si>
    <t>10/12/2023 20:15</t>
  </si>
  <si>
    <t>10/12/2023 20:30</t>
  </si>
  <si>
    <t>10/12/2023 20:45</t>
  </si>
  <si>
    <t>10/12/2023 21:00</t>
  </si>
  <si>
    <t>10/12/2023 21:15</t>
  </si>
  <si>
    <t>10/12/2023 21:30</t>
  </si>
  <si>
    <t>10/12/2023 21:45</t>
  </si>
  <si>
    <t>10/12/2023 22:00</t>
  </si>
  <si>
    <t>10/12/2023 22:15</t>
  </si>
  <si>
    <t>10/12/2023 22:30</t>
  </si>
  <si>
    <t>10/12/2023 22:45</t>
  </si>
  <si>
    <t>10/12/2023 23:00</t>
  </si>
  <si>
    <t>10/12/2023 23:15</t>
  </si>
  <si>
    <t>10/12/2023 23:30</t>
  </si>
  <si>
    <t>10/12/2023 23:45</t>
  </si>
  <si>
    <t>10/12/2023 24:00</t>
  </si>
  <si>
    <t>11/12/2023 00:15</t>
  </si>
  <si>
    <t>11/12/2023 00:30</t>
  </si>
  <si>
    <t>11/12/2023 00:45</t>
  </si>
  <si>
    <t>11/12/2023 01:00</t>
  </si>
  <si>
    <t>11/12/2023 01:15</t>
  </si>
  <si>
    <t>11/12/2023 01:30</t>
  </si>
  <si>
    <t>11/12/2023 01:45</t>
  </si>
  <si>
    <t>11/12/2023 02:00</t>
  </si>
  <si>
    <t>11/12/2023 02:15</t>
  </si>
  <si>
    <t>11/12/2023 02:30</t>
  </si>
  <si>
    <t>11/12/2023 02:45</t>
  </si>
  <si>
    <t>11/12/2023 03:00</t>
  </si>
  <si>
    <t>11/12/2023 03:15</t>
  </si>
  <si>
    <t>11/12/2023 03:30</t>
  </si>
  <si>
    <t>11/12/2023 03:45</t>
  </si>
  <si>
    <t>11/12/2023 04:00</t>
  </si>
  <si>
    <t>11/12/2023 04:15</t>
  </si>
  <si>
    <t>11/12/2023 04:30</t>
  </si>
  <si>
    <t>11/12/2023 04:45</t>
  </si>
  <si>
    <t>11/12/2023 05:00</t>
  </si>
  <si>
    <t>11/12/2023 05:15</t>
  </si>
  <si>
    <t>11/12/2023 05:30</t>
  </si>
  <si>
    <t>11/12/2023 05:45</t>
  </si>
  <si>
    <t>11/12/2023 06:00</t>
  </si>
  <si>
    <t>11/12/2023 06:15</t>
  </si>
  <si>
    <t>11/12/2023 06:30</t>
  </si>
  <si>
    <t>11/12/2023 06:45</t>
  </si>
  <si>
    <t>11/12/2023 07:00</t>
  </si>
  <si>
    <t>11/12/2023 07:15</t>
  </si>
  <si>
    <t>11/12/2023 07:30</t>
  </si>
  <si>
    <t>11/12/2023 07:45</t>
  </si>
  <si>
    <t>11/12/2023 08:00</t>
  </si>
  <si>
    <t>11/12/2023 08:15</t>
  </si>
  <si>
    <t>11/12/2023 08:30</t>
  </si>
  <si>
    <t>11/12/2023 08:45</t>
  </si>
  <si>
    <t>11/12/2023 09:00</t>
  </si>
  <si>
    <t>11/12/2023 09:15</t>
  </si>
  <si>
    <t>11/12/2023 09:30</t>
  </si>
  <si>
    <t>11/12/2023 09:45</t>
  </si>
  <si>
    <t>11/12/2023 10:00</t>
  </si>
  <si>
    <t>11/12/2023 10:15</t>
  </si>
  <si>
    <t>11/12/2023 10:30</t>
  </si>
  <si>
    <t>11/12/2023 10:45</t>
  </si>
  <si>
    <t>11/12/2023 11:00</t>
  </si>
  <si>
    <t>11/12/2023 11:15</t>
  </si>
  <si>
    <t>11/12/2023 11:30</t>
  </si>
  <si>
    <t>11/12/2023 11:45</t>
  </si>
  <si>
    <t>11/12/2023 12:00</t>
  </si>
  <si>
    <t>11/12/2023 12:15</t>
  </si>
  <si>
    <t>11/12/2023 12:30</t>
  </si>
  <si>
    <t>11/12/2023 12:45</t>
  </si>
  <si>
    <t>11/12/2023 13:00</t>
  </si>
  <si>
    <t>11/12/2023 13:15</t>
  </si>
  <si>
    <t>11/12/2023 13:30</t>
  </si>
  <si>
    <t>11/12/2023 13:45</t>
  </si>
  <si>
    <t>11/12/2023 14:00</t>
  </si>
  <si>
    <t>11/12/2023 14:15</t>
  </si>
  <si>
    <t>11/12/2023 14:30</t>
  </si>
  <si>
    <t>11/12/2023 14:45</t>
  </si>
  <si>
    <t>11/12/2023 15:00</t>
  </si>
  <si>
    <t>11/12/2023 15:15</t>
  </si>
  <si>
    <t>11/12/2023 15:30</t>
  </si>
  <si>
    <t>11/12/2023 15:45</t>
  </si>
  <si>
    <t>11/12/2023 16:00</t>
  </si>
  <si>
    <t>11/12/2023 16:15</t>
  </si>
  <si>
    <t>11/12/2023 16:30</t>
  </si>
  <si>
    <t>11/12/2023 16:45</t>
  </si>
  <si>
    <t>11/12/2023 17:00</t>
  </si>
  <si>
    <t>11/12/2023 17:15</t>
  </si>
  <si>
    <t>11/12/2023 17:30</t>
  </si>
  <si>
    <t>11/12/2023 17:45</t>
  </si>
  <si>
    <t>11/12/2023 18:00</t>
  </si>
  <si>
    <t>11/12/2023 18:15</t>
  </si>
  <si>
    <t>11/12/2023 18:30</t>
  </si>
  <si>
    <t>11/12/2023 18:45</t>
  </si>
  <si>
    <t>11/12/2023 19:00</t>
  </si>
  <si>
    <t>11/12/2023 19:15</t>
  </si>
  <si>
    <t>11/12/2023 19:30</t>
  </si>
  <si>
    <t>11/12/2023 19:45</t>
  </si>
  <si>
    <t>11/12/2023 20:00</t>
  </si>
  <si>
    <t>11/12/2023 20:15</t>
  </si>
  <si>
    <t>11/12/2023 20:30</t>
  </si>
  <si>
    <t>11/12/2023 20:45</t>
  </si>
  <si>
    <t>11/12/2023 21:00</t>
  </si>
  <si>
    <t>11/12/2023 21:15</t>
  </si>
  <si>
    <t>11/12/2023 21:30</t>
  </si>
  <si>
    <t>11/12/2023 21:45</t>
  </si>
  <si>
    <t>11/12/2023 22:00</t>
  </si>
  <si>
    <t>11/12/2023 22:15</t>
  </si>
  <si>
    <t>11/12/2023 22:30</t>
  </si>
  <si>
    <t>11/12/2023 22:45</t>
  </si>
  <si>
    <t>11/12/2023 23:00</t>
  </si>
  <si>
    <t>11/12/2023 23:15</t>
  </si>
  <si>
    <t>11/12/2023 23:30</t>
  </si>
  <si>
    <t>11/12/2023 23:45</t>
  </si>
  <si>
    <t>11/12/2023 24:00</t>
  </si>
  <si>
    <t>20/12/2023 00:15</t>
  </si>
  <si>
    <t>20/12/2023 00:30</t>
  </si>
  <si>
    <t>20/12/2023 00:45</t>
  </si>
  <si>
    <t>20/12/2023 01:00</t>
  </si>
  <si>
    <t>20/12/2023 01:15</t>
  </si>
  <si>
    <t>20/12/2023 01:30</t>
  </si>
  <si>
    <t>20/12/2023 01:45</t>
  </si>
  <si>
    <t>20/12/2023 02:00</t>
  </si>
  <si>
    <t>20/12/2023 02:15</t>
  </si>
  <si>
    <t>20/12/2023 02:30</t>
  </si>
  <si>
    <t>20/12/2023 02:45</t>
  </si>
  <si>
    <t>20/12/2023 03:00</t>
  </si>
  <si>
    <t>20/12/2023 03:15</t>
  </si>
  <si>
    <t>20/12/2023 03:30</t>
  </si>
  <si>
    <t>20/12/2023 03:45</t>
  </si>
  <si>
    <t>20/12/2023 04:00</t>
  </si>
  <si>
    <t>20/12/2023 04:15</t>
  </si>
  <si>
    <t>20/12/2023 04:30</t>
  </si>
  <si>
    <t>20/12/2023 04:45</t>
  </si>
  <si>
    <t>20/12/2023 05:00</t>
  </si>
  <si>
    <t>20/12/2023 05:15</t>
  </si>
  <si>
    <t>20/12/2023 05:30</t>
  </si>
  <si>
    <t>20/12/2023 05:45</t>
  </si>
  <si>
    <t>20/12/2023 06:00</t>
  </si>
  <si>
    <t>20/12/2023 06:15</t>
  </si>
  <si>
    <t>20/12/2023 06:30</t>
  </si>
  <si>
    <t>20/12/2023 06:45</t>
  </si>
  <si>
    <t>20/12/2023 07:00</t>
  </si>
  <si>
    <t>20/12/2023 07:15</t>
  </si>
  <si>
    <t>20/12/2023 07:30</t>
  </si>
  <si>
    <t>20/12/2023 07:45</t>
  </si>
  <si>
    <t>20/12/2023 08:00</t>
  </si>
  <si>
    <t>20/12/2023 08:15</t>
  </si>
  <si>
    <t>20/12/2023 08:30</t>
  </si>
  <si>
    <t>20/12/2023 08:45</t>
  </si>
  <si>
    <t>20/12/2023 09:00</t>
  </si>
  <si>
    <t>20/12/2023 09:15</t>
  </si>
  <si>
    <t>20/12/2023 09:30</t>
  </si>
  <si>
    <t>20/12/2023 09:45</t>
  </si>
  <si>
    <t>20/12/2023 10:00</t>
  </si>
  <si>
    <t>20/12/2023 10:15</t>
  </si>
  <si>
    <t>20/12/2023 10:30</t>
  </si>
  <si>
    <t>20/12/2023 10:45</t>
  </si>
  <si>
    <t>20/12/2023 11:00</t>
  </si>
  <si>
    <t>20/12/2023 11:15</t>
  </si>
  <si>
    <t>20/12/2023 11:30</t>
  </si>
  <si>
    <t>20/12/2023 11:45</t>
  </si>
  <si>
    <t>20/12/2023 12:00</t>
  </si>
  <si>
    <t>20/12/2023 12:15</t>
  </si>
  <si>
    <t>20/12/2023 12:30</t>
  </si>
  <si>
    <t>20/12/2023 12:45</t>
  </si>
  <si>
    <t>20/12/2023 13:00</t>
  </si>
  <si>
    <t>20/12/2023 13:15</t>
  </si>
  <si>
    <t>20/12/2023 13:30</t>
  </si>
  <si>
    <t>20/12/2023 13:45</t>
  </si>
  <si>
    <t>20/12/2023 14:00</t>
  </si>
  <si>
    <t>20/12/2023 14:15</t>
  </si>
  <si>
    <t>20/12/2023 14:30</t>
  </si>
  <si>
    <t>20/12/2023 14:45</t>
  </si>
  <si>
    <t>20/12/2023 15:00</t>
  </si>
  <si>
    <t>20/12/2023 15:15</t>
  </si>
  <si>
    <t>20/12/2023 15:30</t>
  </si>
  <si>
    <t>20/12/2023 15:45</t>
  </si>
  <si>
    <t>20/12/2023 16:00</t>
  </si>
  <si>
    <t>20/12/2023 16:15</t>
  </si>
  <si>
    <t>20/12/2023 16:30</t>
  </si>
  <si>
    <t>20/12/2023 16:45</t>
  </si>
  <si>
    <t>20/12/2023 17:00</t>
  </si>
  <si>
    <t>20/12/2023 17:15</t>
  </si>
  <si>
    <t>20/12/2023 17:30</t>
  </si>
  <si>
    <t>20/12/2023 17:45</t>
  </si>
  <si>
    <t>20/12/2023 18:00</t>
  </si>
  <si>
    <t>20/12/2023 18:15</t>
  </si>
  <si>
    <t>20/12/2023 18:30</t>
  </si>
  <si>
    <t>20/12/2023 18:45</t>
  </si>
  <si>
    <t>20/12/2023 19:00</t>
  </si>
  <si>
    <t>20/12/2023 19:15</t>
  </si>
  <si>
    <t>20/12/2023 19:30</t>
  </si>
  <si>
    <t>20/12/2023 19:45</t>
  </si>
  <si>
    <t>20/12/2023 20:00</t>
  </si>
  <si>
    <t>20/12/2023 20:15</t>
  </si>
  <si>
    <t>20/12/2023 20:30</t>
  </si>
  <si>
    <t>20/12/2023 20:45</t>
  </si>
  <si>
    <t>20/12/2023 21:00</t>
  </si>
  <si>
    <t>20/12/2023 21:15</t>
  </si>
  <si>
    <t>20/12/2023 21:30</t>
  </si>
  <si>
    <t>20/12/2023 21:45</t>
  </si>
  <si>
    <t>20/12/2023 22:00</t>
  </si>
  <si>
    <t>20/12/2023 22:15</t>
  </si>
  <si>
    <t>20/12/2023 22:30</t>
  </si>
  <si>
    <t>20/12/2023 22:45</t>
  </si>
  <si>
    <t>20/12/2023 23:00</t>
  </si>
  <si>
    <t>20/12/2023 23:15</t>
  </si>
  <si>
    <t>20/12/2023 23:30</t>
  </si>
  <si>
    <t>20/12/2023 23:45</t>
  </si>
  <si>
    <t>20/12/2023 24:00</t>
  </si>
  <si>
    <t>21/12/2023 00:15</t>
  </si>
  <si>
    <t>21/12/2023 00:30</t>
  </si>
  <si>
    <t>21/12/2023 00:45</t>
  </si>
  <si>
    <t>21/12/2023 01:00</t>
  </si>
  <si>
    <t>21/12/2023 01:15</t>
  </si>
  <si>
    <t>21/12/2023 01:30</t>
  </si>
  <si>
    <t>21/12/2023 01:45</t>
  </si>
  <si>
    <t>21/12/2023 02:00</t>
  </si>
  <si>
    <t>21/12/2023 02:15</t>
  </si>
  <si>
    <t>21/12/2023 02:30</t>
  </si>
  <si>
    <t>21/12/2023 02:45</t>
  </si>
  <si>
    <t>21/12/2023 03:00</t>
  </si>
  <si>
    <t>21/12/2023 03:15</t>
  </si>
  <si>
    <t>21/12/2023 03:30</t>
  </si>
  <si>
    <t>21/12/2023 03:45</t>
  </si>
  <si>
    <t>21/12/2023 04:00</t>
  </si>
  <si>
    <t>21/12/2023 04:15</t>
  </si>
  <si>
    <t>21/12/2023 04:30</t>
  </si>
  <si>
    <t>21/12/2023 04:45</t>
  </si>
  <si>
    <t>21/12/2023 05:00</t>
  </si>
  <si>
    <t>21/12/2023 05:15</t>
  </si>
  <si>
    <t>21/12/2023 05:30</t>
  </si>
  <si>
    <t>21/12/2023 05:45</t>
  </si>
  <si>
    <t>21/12/2023 06:00</t>
  </si>
  <si>
    <t>21/12/2023 06:15</t>
  </si>
  <si>
    <t>21/12/2023 06:30</t>
  </si>
  <si>
    <t>21/12/2023 06:45</t>
  </si>
  <si>
    <t>21/12/2023 07:00</t>
  </si>
  <si>
    <t>21/12/2023 07:15</t>
  </si>
  <si>
    <t>21/12/2023 07:30</t>
  </si>
  <si>
    <t>21/12/2023 07:45</t>
  </si>
  <si>
    <t>21/12/2023 08:00</t>
  </si>
  <si>
    <t>21/12/2023 08:15</t>
  </si>
  <si>
    <t>21/12/2023 08:30</t>
  </si>
  <si>
    <t>21/12/2023 08:45</t>
  </si>
  <si>
    <t>21/12/2023 09:00</t>
  </si>
  <si>
    <t>21/12/2023 09:15</t>
  </si>
  <si>
    <t>21/12/2023 09:30</t>
  </si>
  <si>
    <t>21/12/2023 09:45</t>
  </si>
  <si>
    <t>21/12/2023 10:00</t>
  </si>
  <si>
    <t>21/12/2023 10:15</t>
  </si>
  <si>
    <t>21/12/2023 10:30</t>
  </si>
  <si>
    <t>21/12/2023 10:45</t>
  </si>
  <si>
    <t>21/12/2023 11:00</t>
  </si>
  <si>
    <t>21/12/2023 11:15</t>
  </si>
  <si>
    <t>21/12/2023 11:30</t>
  </si>
  <si>
    <t>21/12/2023 11:45</t>
  </si>
  <si>
    <t>21/12/2023 12:00</t>
  </si>
  <si>
    <t>21/12/2023 12:15</t>
  </si>
  <si>
    <t>21/12/2023 12:30</t>
  </si>
  <si>
    <t>21/12/2023 12:45</t>
  </si>
  <si>
    <t>21/12/2023 13:00</t>
  </si>
  <si>
    <t>21/12/2023 13:15</t>
  </si>
  <si>
    <t>21/12/2023 13:30</t>
  </si>
  <si>
    <t>21/12/2023 13:45</t>
  </si>
  <si>
    <t>21/12/2023 14:00</t>
  </si>
  <si>
    <t>21/12/2023 14:15</t>
  </si>
  <si>
    <t>21/12/2023 14:30</t>
  </si>
  <si>
    <t>21/12/2023 14:45</t>
  </si>
  <si>
    <t>21/12/2023 15:00</t>
  </si>
  <si>
    <t>21/12/2023 15:15</t>
  </si>
  <si>
    <t>21/12/2023 15:30</t>
  </si>
  <si>
    <t>21/12/2023 15:45</t>
  </si>
  <si>
    <t>21/12/2023 16:00</t>
  </si>
  <si>
    <t>21/12/2023 16:15</t>
  </si>
  <si>
    <t>21/12/2023 16:30</t>
  </si>
  <si>
    <t>21/12/2023 16:45</t>
  </si>
  <si>
    <t>21/12/2023 17:00</t>
  </si>
  <si>
    <t>21/12/2023 17:15</t>
  </si>
  <si>
    <t>21/12/2023 17:30</t>
  </si>
  <si>
    <t>21/12/2023 17:45</t>
  </si>
  <si>
    <t>21/12/2023 18:00</t>
  </si>
  <si>
    <t>21/12/2023 18:15</t>
  </si>
  <si>
    <t>21/12/2023 18:30</t>
  </si>
  <si>
    <t>21/12/2023 18:45</t>
  </si>
  <si>
    <t>21/12/2023 19:00</t>
  </si>
  <si>
    <t>21/12/2023 19:15</t>
  </si>
  <si>
    <t>21/12/2023 19:30</t>
  </si>
  <si>
    <t>21/12/2023 19:45</t>
  </si>
  <si>
    <t>21/12/2023 20:00</t>
  </si>
  <si>
    <t>21/12/2023 20:15</t>
  </si>
  <si>
    <t>21/12/2023 20:30</t>
  </si>
  <si>
    <t>21/12/2023 20:45</t>
  </si>
  <si>
    <t>21/12/2023 21:00</t>
  </si>
  <si>
    <t>21/12/2023 21:15</t>
  </si>
  <si>
    <t>21/12/2023 21:30</t>
  </si>
  <si>
    <t>21/12/2023 21:45</t>
  </si>
  <si>
    <t>21/12/2023 22:00</t>
  </si>
  <si>
    <t>21/12/2023 22:15</t>
  </si>
  <si>
    <t>21/12/2023 22:30</t>
  </si>
  <si>
    <t>21/12/2023 22:45</t>
  </si>
  <si>
    <t>21/12/2023 23:00</t>
  </si>
  <si>
    <t>21/12/2023 23:15</t>
  </si>
  <si>
    <t>21/12/2023 23:30</t>
  </si>
  <si>
    <t>21/12/2023 23:45</t>
  </si>
  <si>
    <t>21/12/2023 24:00</t>
  </si>
  <si>
    <t>22/12/2023 00:15</t>
  </si>
  <si>
    <t>22/12/2023 00:30</t>
  </si>
  <si>
    <t>22/12/2023 00:45</t>
  </si>
  <si>
    <t>22/12/2023 01:00</t>
  </si>
  <si>
    <t>22/12/2023 01:15</t>
  </si>
  <si>
    <t>22/12/2023 01:30</t>
  </si>
  <si>
    <t>22/12/2023 01:45</t>
  </si>
  <si>
    <t>22/12/2023 02:00</t>
  </si>
  <si>
    <t>22/12/2023 02:15</t>
  </si>
  <si>
    <t>22/12/2023 02:30</t>
  </si>
  <si>
    <t>22/12/2023 02:45</t>
  </si>
  <si>
    <t>22/12/2023 03:00</t>
  </si>
  <si>
    <t>22/12/2023 03:15</t>
  </si>
  <si>
    <t>22/12/2023 03:30</t>
  </si>
  <si>
    <t>22/12/2023 03:45</t>
  </si>
  <si>
    <t>22/12/2023 04:00</t>
  </si>
  <si>
    <t>22/12/2023 04:15</t>
  </si>
  <si>
    <t>22/12/2023 04:30</t>
  </si>
  <si>
    <t>22/12/2023 04:45</t>
  </si>
  <si>
    <t>22/12/2023 05:00</t>
  </si>
  <si>
    <t>22/12/2023 05:15</t>
  </si>
  <si>
    <t>22/12/2023 05:30</t>
  </si>
  <si>
    <t>22/12/2023 05:45</t>
  </si>
  <si>
    <t>22/12/2023 06:00</t>
  </si>
  <si>
    <t>22/12/2023 06:15</t>
  </si>
  <si>
    <t>22/12/2023 06:30</t>
  </si>
  <si>
    <t>22/12/2023 06:45</t>
  </si>
  <si>
    <t>22/12/2023 07:00</t>
  </si>
  <si>
    <t>22/12/2023 07:15</t>
  </si>
  <si>
    <t>22/12/2023 07:30</t>
  </si>
  <si>
    <t>22/12/2023 07:45</t>
  </si>
  <si>
    <t>22/12/2023 08:00</t>
  </si>
  <si>
    <t>22/12/2023 08:15</t>
  </si>
  <si>
    <t>22/12/2023 08:30</t>
  </si>
  <si>
    <t>22/12/2023 08:45</t>
  </si>
  <si>
    <t>22/12/2023 09:00</t>
  </si>
  <si>
    <t>22/12/2023 09:15</t>
  </si>
  <si>
    <t>22/12/2023 09:30</t>
  </si>
  <si>
    <t>22/12/2023 09:45</t>
  </si>
  <si>
    <t>22/12/2023 10:00</t>
  </si>
  <si>
    <t>22/12/2023 10:15</t>
  </si>
  <si>
    <t>22/12/2023 10:30</t>
  </si>
  <si>
    <t>22/12/2023 10:45</t>
  </si>
  <si>
    <t>22/12/2023 11:00</t>
  </si>
  <si>
    <t>22/12/2023 11:15</t>
  </si>
  <si>
    <t>22/12/2023 11:30</t>
  </si>
  <si>
    <t>22/12/2023 11:45</t>
  </si>
  <si>
    <t>22/12/2023 12:00</t>
  </si>
  <si>
    <t>22/12/2023 12:15</t>
  </si>
  <si>
    <t>22/12/2023 12:30</t>
  </si>
  <si>
    <t>22/12/2023 12:45</t>
  </si>
  <si>
    <t>22/12/2023 13:00</t>
  </si>
  <si>
    <t>22/12/2023 13:15</t>
  </si>
  <si>
    <t>22/12/2023 13:30</t>
  </si>
  <si>
    <t>22/12/2023 13:45</t>
  </si>
  <si>
    <t>22/12/2023 14:00</t>
  </si>
  <si>
    <t>22/12/2023 14:15</t>
  </si>
  <si>
    <t>22/12/2023 14:30</t>
  </si>
  <si>
    <t>22/12/2023 14:45</t>
  </si>
  <si>
    <t>22/12/2023 15:00</t>
  </si>
  <si>
    <t>22/12/2023 15:15</t>
  </si>
  <si>
    <t>22/12/2023 15:30</t>
  </si>
  <si>
    <t>22/12/2023 15:45</t>
  </si>
  <si>
    <t>22/12/2023 16:00</t>
  </si>
  <si>
    <t>22/12/2023 16:15</t>
  </si>
  <si>
    <t>22/12/2023 16:30</t>
  </si>
  <si>
    <t>22/12/2023 16:45</t>
  </si>
  <si>
    <t>22/12/2023 17:00</t>
  </si>
  <si>
    <t>22/12/2023 17:15</t>
  </si>
  <si>
    <t>22/12/2023 17:30</t>
  </si>
  <si>
    <t>22/12/2023 17:45</t>
  </si>
  <si>
    <t>22/12/2023 18:00</t>
  </si>
  <si>
    <t>22/12/2023 18:15</t>
  </si>
  <si>
    <t>22/12/2023 18:30</t>
  </si>
  <si>
    <t>22/12/2023 18:45</t>
  </si>
  <si>
    <t>22/12/2023 19:00</t>
  </si>
  <si>
    <t>22/12/2023 19:15</t>
  </si>
  <si>
    <t>22/12/2023 19:30</t>
  </si>
  <si>
    <t>22/12/2023 19:45</t>
  </si>
  <si>
    <t>22/12/2023 20:00</t>
  </si>
  <si>
    <t>22/12/2023 20:15</t>
  </si>
  <si>
    <t>22/12/2023 20:30</t>
  </si>
  <si>
    <t>22/12/2023 20:45</t>
  </si>
  <si>
    <t>22/12/2023 21:00</t>
  </si>
  <si>
    <t>22/12/2023 21:15</t>
  </si>
  <si>
    <t>22/12/2023 21:30</t>
  </si>
  <si>
    <t>22/12/2023 21:45</t>
  </si>
  <si>
    <t>22/12/2023 22:00</t>
  </si>
  <si>
    <t>22/12/2023 22:15</t>
  </si>
  <si>
    <t>22/12/2023 22:30</t>
  </si>
  <si>
    <t>22/12/2023 22:45</t>
  </si>
  <si>
    <t>22/12/2023 23:00</t>
  </si>
  <si>
    <t>22/12/2023 23:15</t>
  </si>
  <si>
    <t>22/12/2023 23:30</t>
  </si>
  <si>
    <t>22/12/2023 23:45</t>
  </si>
  <si>
    <t>22/12/2023 24:00</t>
  </si>
  <si>
    <t>23/12/2023 00:15</t>
  </si>
  <si>
    <t>23/12/2023 00:30</t>
  </si>
  <si>
    <t>23/12/2023 00:45</t>
  </si>
  <si>
    <t>23/12/2023 01:00</t>
  </si>
  <si>
    <t>23/12/2023 01:15</t>
  </si>
  <si>
    <t>23/12/2023 01:30</t>
  </si>
  <si>
    <t>23/12/2023 01:45</t>
  </si>
  <si>
    <t>23/12/2023 02:00</t>
  </si>
  <si>
    <t>23/12/2023 02:15</t>
  </si>
  <si>
    <t>23/12/2023 02:30</t>
  </si>
  <si>
    <t>23/12/2023 02:45</t>
  </si>
  <si>
    <t>23/12/2023 03:00</t>
  </si>
  <si>
    <t>23/12/2023 03:15</t>
  </si>
  <si>
    <t>23/12/2023 03:30</t>
  </si>
  <si>
    <t>23/12/2023 03:45</t>
  </si>
  <si>
    <t>23/12/2023 04:00</t>
  </si>
  <si>
    <t>23/12/2023 04:15</t>
  </si>
  <si>
    <t>23/12/2023 04:30</t>
  </si>
  <si>
    <t>23/12/2023 04:45</t>
  </si>
  <si>
    <t>23/12/2023 05:00</t>
  </si>
  <si>
    <t>23/12/2023 05:15</t>
  </si>
  <si>
    <t>23/12/2023 05:30</t>
  </si>
  <si>
    <t>23/12/2023 05:45</t>
  </si>
  <si>
    <t>23/12/2023 06:00</t>
  </si>
  <si>
    <t>23/12/2023 06:15</t>
  </si>
  <si>
    <t>23/12/2023 06:30</t>
  </si>
  <si>
    <t>23/12/2023 06:45</t>
  </si>
  <si>
    <t>23/12/2023 07:00</t>
  </si>
  <si>
    <t>23/12/2023 07:15</t>
  </si>
  <si>
    <t>23/12/2023 07:30</t>
  </si>
  <si>
    <t>23/12/2023 07:45</t>
  </si>
  <si>
    <t>23/12/2023 08:00</t>
  </si>
  <si>
    <t>23/12/2023 08:15</t>
  </si>
  <si>
    <t>23/12/2023 08:30</t>
  </si>
  <si>
    <t>23/12/2023 08:45</t>
  </si>
  <si>
    <t>23/12/2023 09:00</t>
  </si>
  <si>
    <t>23/12/2023 09:15</t>
  </si>
  <si>
    <t>23/12/2023 09:30</t>
  </si>
  <si>
    <t>23/12/2023 09:45</t>
  </si>
  <si>
    <t>23/12/2023 10:00</t>
  </si>
  <si>
    <t>23/12/2023 10:15</t>
  </si>
  <si>
    <t>23/12/2023 10:30</t>
  </si>
  <si>
    <t>23/12/2023 10:45</t>
  </si>
  <si>
    <t>23/12/2023 11:00</t>
  </si>
  <si>
    <t>23/12/2023 11:15</t>
  </si>
  <si>
    <t>23/12/2023 11:30</t>
  </si>
  <si>
    <t>23/12/2023 11:45</t>
  </si>
  <si>
    <t>23/12/2023 12:00</t>
  </si>
  <si>
    <t>23/12/2023 12:15</t>
  </si>
  <si>
    <t>23/12/2023 12:30</t>
  </si>
  <si>
    <t>23/12/2023 12:45</t>
  </si>
  <si>
    <t>23/12/2023 13:00</t>
  </si>
  <si>
    <t>23/12/2023 13:15</t>
  </si>
  <si>
    <t>23/12/2023 13:30</t>
  </si>
  <si>
    <t>23/12/2023 13:45</t>
  </si>
  <si>
    <t>23/12/2023 14:00</t>
  </si>
  <si>
    <t>23/12/2023 14:15</t>
  </si>
  <si>
    <t>23/12/2023 14:30</t>
  </si>
  <si>
    <t>23/12/2023 14:45</t>
  </si>
  <si>
    <t>23/12/2023 15:00</t>
  </si>
  <si>
    <t>23/12/2023 15:15</t>
  </si>
  <si>
    <t>23/12/2023 15:30</t>
  </si>
  <si>
    <t>23/12/2023 15:45</t>
  </si>
  <si>
    <t>23/12/2023 16:00</t>
  </si>
  <si>
    <t>23/12/2023 16:15</t>
  </si>
  <si>
    <t>23/12/2023 16:30</t>
  </si>
  <si>
    <t>23/12/2023 16:45</t>
  </si>
  <si>
    <t>23/12/2023 17:00</t>
  </si>
  <si>
    <t>23/12/2023 17:15</t>
  </si>
  <si>
    <t>23/12/2023 17:30</t>
  </si>
  <si>
    <t>23/12/2023 17:45</t>
  </si>
  <si>
    <t>23/12/2023 18:00</t>
  </si>
  <si>
    <t>23/12/2023 18:15</t>
  </si>
  <si>
    <t>23/12/2023 18:30</t>
  </si>
  <si>
    <t>23/12/2023 18:45</t>
  </si>
  <si>
    <t>23/12/2023 19:00</t>
  </si>
  <si>
    <t>23/12/2023 19:15</t>
  </si>
  <si>
    <t>23/12/2023 19:30</t>
  </si>
  <si>
    <t>23/12/2023 19:45</t>
  </si>
  <si>
    <t>23/12/2023 20:00</t>
  </si>
  <si>
    <t>23/12/2023 20:15</t>
  </si>
  <si>
    <t>23/12/2023 20:30</t>
  </si>
  <si>
    <t>23/12/2023 20:45</t>
  </si>
  <si>
    <t>23/12/2023 21:00</t>
  </si>
  <si>
    <t>23/12/2023 21:15</t>
  </si>
  <si>
    <t>23/12/2023 21:30</t>
  </si>
  <si>
    <t>23/12/2023 21:45</t>
  </si>
  <si>
    <t>23/12/2023 22:00</t>
  </si>
  <si>
    <t>23/12/2023 22:15</t>
  </si>
  <si>
    <t>23/12/2023 22:30</t>
  </si>
  <si>
    <t>23/12/2023 22:45</t>
  </si>
  <si>
    <t>23/12/2023 23:00</t>
  </si>
  <si>
    <t>23/12/2023 23:15</t>
  </si>
  <si>
    <t>23/12/2023 23:30</t>
  </si>
  <si>
    <t>23/12/2023 23:45</t>
  </si>
  <si>
    <t>23/12/2023 24:00</t>
  </si>
  <si>
    <t>24/12/2023 00:15</t>
  </si>
  <si>
    <t>24/12/2023 00:30</t>
  </si>
  <si>
    <t>24/12/2023 00:45</t>
  </si>
  <si>
    <t>24/12/2023 01:00</t>
  </si>
  <si>
    <t>24/12/2023 01:15</t>
  </si>
  <si>
    <t>24/12/2023 01:30</t>
  </si>
  <si>
    <t>24/12/2023 01:45</t>
  </si>
  <si>
    <t>24/12/2023 02:00</t>
  </si>
  <si>
    <t>24/12/2023 02:15</t>
  </si>
  <si>
    <t>24/12/2023 02:30</t>
  </si>
  <si>
    <t>24/12/2023 02:45</t>
  </si>
  <si>
    <t>24/12/2023 03:00</t>
  </si>
  <si>
    <t>24/12/2023 03:15</t>
  </si>
  <si>
    <t>24/12/2023 03:30</t>
  </si>
  <si>
    <t>24/12/2023 03:45</t>
  </si>
  <si>
    <t>24/12/2023 04:00</t>
  </si>
  <si>
    <t>24/12/2023 04:15</t>
  </si>
  <si>
    <t>24/12/2023 04:30</t>
  </si>
  <si>
    <t>24/12/2023 04:45</t>
  </si>
  <si>
    <t>24/12/2023 05:00</t>
  </si>
  <si>
    <t>24/12/2023 05:15</t>
  </si>
  <si>
    <t>24/12/2023 05:30</t>
  </si>
  <si>
    <t>24/12/2023 05:45</t>
  </si>
  <si>
    <t>24/12/2023 06:00</t>
  </si>
  <si>
    <t>24/12/2023 06:15</t>
  </si>
  <si>
    <t>24/12/2023 06:30</t>
  </si>
  <si>
    <t>24/12/2023 06:45</t>
  </si>
  <si>
    <t>24/12/2023 07:00</t>
  </si>
  <si>
    <t>24/12/2023 07:15</t>
  </si>
  <si>
    <t>24/12/2023 07:30</t>
  </si>
  <si>
    <t>24/12/2023 07:45</t>
  </si>
  <si>
    <t>24/12/2023 08:00</t>
  </si>
  <si>
    <t>24/12/2023 08:15</t>
  </si>
  <si>
    <t>24/12/2023 08:30</t>
  </si>
  <si>
    <t>24/12/2023 08:45</t>
  </si>
  <si>
    <t>24/12/2023 09:00</t>
  </si>
  <si>
    <t>24/12/2023 09:15</t>
  </si>
  <si>
    <t>24/12/2023 09:30</t>
  </si>
  <si>
    <t>24/12/2023 09:45</t>
  </si>
  <si>
    <t>24/12/2023 10:00</t>
  </si>
  <si>
    <t>24/12/2023 10:15</t>
  </si>
  <si>
    <t>24/12/2023 10:30</t>
  </si>
  <si>
    <t>24/12/2023 10:45</t>
  </si>
  <si>
    <t>24/12/2023 11:00</t>
  </si>
  <si>
    <t>24/12/2023 11:15</t>
  </si>
  <si>
    <t>24/12/2023 11:30</t>
  </si>
  <si>
    <t>24/12/2023 11:45</t>
  </si>
  <si>
    <t>24/12/2023 12:00</t>
  </si>
  <si>
    <t>24/12/2023 12:15</t>
  </si>
  <si>
    <t>24/12/2023 12:30</t>
  </si>
  <si>
    <t>24/12/2023 12:45</t>
  </si>
  <si>
    <t>24/12/2023 13:00</t>
  </si>
  <si>
    <t>24/12/2023 13:15</t>
  </si>
  <si>
    <t>24/12/2023 13:30</t>
  </si>
  <si>
    <t>24/12/2023 13:45</t>
  </si>
  <si>
    <t>24/12/2023 14:00</t>
  </si>
  <si>
    <t>24/12/2023 14:15</t>
  </si>
  <si>
    <t>24/12/2023 14:30</t>
  </si>
  <si>
    <t>24/12/2023 14:45</t>
  </si>
  <si>
    <t>24/12/2023 15:00</t>
  </si>
  <si>
    <t>24/12/2023 15:15</t>
  </si>
  <si>
    <t>24/12/2023 15:30</t>
  </si>
  <si>
    <t>24/12/2023 15:45</t>
  </si>
  <si>
    <t>24/12/2023 16:00</t>
  </si>
  <si>
    <t>24/12/2023 16:15</t>
  </si>
  <si>
    <t>24/12/2023 16:30</t>
  </si>
  <si>
    <t>24/12/2023 16:45</t>
  </si>
  <si>
    <t>24/12/2023 17:00</t>
  </si>
  <si>
    <t>24/12/2023 17:15</t>
  </si>
  <si>
    <t>24/12/2023 17:30</t>
  </si>
  <si>
    <t>24/12/2023 17:45</t>
  </si>
  <si>
    <t>24/12/2023 18:00</t>
  </si>
  <si>
    <t>24/12/2023 18:15</t>
  </si>
  <si>
    <t>24/12/2023 18:30</t>
  </si>
  <si>
    <t>24/12/2023 18:45</t>
  </si>
  <si>
    <t>24/12/2023 19:00</t>
  </si>
  <si>
    <t>24/12/2023 19:15</t>
  </si>
  <si>
    <t>24/12/2023 19:30</t>
  </si>
  <si>
    <t>24/12/2023 19:45</t>
  </si>
  <si>
    <t>24/12/2023 20:00</t>
  </si>
  <si>
    <t>24/12/2023 20:15</t>
  </si>
  <si>
    <t>24/12/2023 20:30</t>
  </si>
  <si>
    <t>24/12/2023 20:45</t>
  </si>
  <si>
    <t>24/12/2023 21:00</t>
  </si>
  <si>
    <t>24/12/2023 21:15</t>
  </si>
  <si>
    <t>24/12/2023 21:30</t>
  </si>
  <si>
    <t>24/12/2023 21:45</t>
  </si>
  <si>
    <t>24/12/2023 22:00</t>
  </si>
  <si>
    <t>24/12/2023 22:15</t>
  </si>
  <si>
    <t>24/12/2023 22:30</t>
  </si>
  <si>
    <t>24/12/2023 22:45</t>
  </si>
  <si>
    <t>24/12/2023 23:00</t>
  </si>
  <si>
    <t>24/12/2023 23:15</t>
  </si>
  <si>
    <t>24/12/2023 23:30</t>
  </si>
  <si>
    <t>24/12/2023 23:45</t>
  </si>
  <si>
    <t>24/12/2023 24:00</t>
  </si>
  <si>
    <t>25/12/2023 00:15</t>
  </si>
  <si>
    <t>25/12/2023 00:30</t>
  </si>
  <si>
    <t>25/12/2023 00:45</t>
  </si>
  <si>
    <t>25/12/2023 01:00</t>
  </si>
  <si>
    <t>25/12/2023 01:15</t>
  </si>
  <si>
    <t>25/12/2023 01:30</t>
  </si>
  <si>
    <t>25/12/2023 01:45</t>
  </si>
  <si>
    <t>25/12/2023 02:00</t>
  </si>
  <si>
    <t>25/12/2023 02:15</t>
  </si>
  <si>
    <t>25/12/2023 02:30</t>
  </si>
  <si>
    <t>25/12/2023 02:45</t>
  </si>
  <si>
    <t>25/12/2023 03:00</t>
  </si>
  <si>
    <t>25/12/2023 03:15</t>
  </si>
  <si>
    <t>25/12/2023 03:30</t>
  </si>
  <si>
    <t>25/12/2023 03:45</t>
  </si>
  <si>
    <t>25/12/2023 04:00</t>
  </si>
  <si>
    <t>25/12/2023 04:15</t>
  </si>
  <si>
    <t>25/12/2023 04:30</t>
  </si>
  <si>
    <t>25/12/2023 04:45</t>
  </si>
  <si>
    <t>25/12/2023 05:00</t>
  </si>
  <si>
    <t>25/12/2023 05:15</t>
  </si>
  <si>
    <t>25/12/2023 05:30</t>
  </si>
  <si>
    <t>25/12/2023 05:45</t>
  </si>
  <si>
    <t>25/12/2023 06:00</t>
  </si>
  <si>
    <t>25/12/2023 06:15</t>
  </si>
  <si>
    <t>25/12/2023 06:30</t>
  </si>
  <si>
    <t>25/12/2023 06:45</t>
  </si>
  <si>
    <t>25/12/2023 07:00</t>
  </si>
  <si>
    <t>25/12/2023 07:15</t>
  </si>
  <si>
    <t>25/12/2023 07:30</t>
  </si>
  <si>
    <t>25/12/2023 07:45</t>
  </si>
  <si>
    <t>25/12/2023 08:00</t>
  </si>
  <si>
    <t>25/12/2023 08:15</t>
  </si>
  <si>
    <t>25/12/2023 08:30</t>
  </si>
  <si>
    <t>25/12/2023 08:45</t>
  </si>
  <si>
    <t>25/12/2023 09:00</t>
  </si>
  <si>
    <t>25/12/2023 09:15</t>
  </si>
  <si>
    <t>25/12/2023 09:30</t>
  </si>
  <si>
    <t>25/12/2023 09:45</t>
  </si>
  <si>
    <t>25/12/2023 10:00</t>
  </si>
  <si>
    <t>25/12/2023 10:15</t>
  </si>
  <si>
    <t>25/12/2023 10:30</t>
  </si>
  <si>
    <t>25/12/2023 10:45</t>
  </si>
  <si>
    <t>25/12/2023 11:00</t>
  </si>
  <si>
    <t>25/12/2023 11:15</t>
  </si>
  <si>
    <t>25/12/2023 11:30</t>
  </si>
  <si>
    <t>25/12/2023 11:45</t>
  </si>
  <si>
    <t>25/12/2023 12:00</t>
  </si>
  <si>
    <t>25/12/2023 12:15</t>
  </si>
  <si>
    <t>25/12/2023 12:30</t>
  </si>
  <si>
    <t>25/12/2023 12:45</t>
  </si>
  <si>
    <t>25/12/2023 13:00</t>
  </si>
  <si>
    <t>25/12/2023 13:15</t>
  </si>
  <si>
    <t>25/12/2023 13:30</t>
  </si>
  <si>
    <t>25/12/2023 13:45</t>
  </si>
  <si>
    <t>25/12/2023 14:00</t>
  </si>
  <si>
    <t>25/12/2023 14:15</t>
  </si>
  <si>
    <t>25/12/2023 14:30</t>
  </si>
  <si>
    <t>25/12/2023 14:45</t>
  </si>
  <si>
    <t>25/12/2023 15:00</t>
  </si>
  <si>
    <t>25/12/2023 15:15</t>
  </si>
  <si>
    <t>25/12/2023 15:30</t>
  </si>
  <si>
    <t>25/12/2023 15:45</t>
  </si>
  <si>
    <t>25/12/2023 16:00</t>
  </si>
  <si>
    <t>25/12/2023 16:15</t>
  </si>
  <si>
    <t>25/12/2023 16:30</t>
  </si>
  <si>
    <t>25/12/2023 16:45</t>
  </si>
  <si>
    <t>25/12/2023 17:00</t>
  </si>
  <si>
    <t>25/12/2023 17:15</t>
  </si>
  <si>
    <t>25/12/2023 17:30</t>
  </si>
  <si>
    <t>25/12/2023 17:45</t>
  </si>
  <si>
    <t>25/12/2023 18:00</t>
  </si>
  <si>
    <t>25/12/2023 18:15</t>
  </si>
  <si>
    <t>25/12/2023 18:30</t>
  </si>
  <si>
    <t>25/12/2023 18:45</t>
  </si>
  <si>
    <t>25/12/2023 19:00</t>
  </si>
  <si>
    <t>25/12/2023 19:15</t>
  </si>
  <si>
    <t>25/12/2023 19:30</t>
  </si>
  <si>
    <t>25/12/2023 19:45</t>
  </si>
  <si>
    <t>25/12/2023 20:00</t>
  </si>
  <si>
    <t>25/12/2023 20:15</t>
  </si>
  <si>
    <t>25/12/2023 20:30</t>
  </si>
  <si>
    <t>25/12/2023 20:45</t>
  </si>
  <si>
    <t>25/12/2023 21:00</t>
  </si>
  <si>
    <t>25/12/2023 21:15</t>
  </si>
  <si>
    <t>25/12/2023 21:30</t>
  </si>
  <si>
    <t>25/12/2023 21:45</t>
  </si>
  <si>
    <t>25/12/2023 22:00</t>
  </si>
  <si>
    <t>25/12/2023 22:15</t>
  </si>
  <si>
    <t>25/12/2023 22:30</t>
  </si>
  <si>
    <t>25/12/2023 22:45</t>
  </si>
  <si>
    <t>25/12/2023 23:00</t>
  </si>
  <si>
    <t>25/12/2023 23:15</t>
  </si>
  <si>
    <t>25/12/2023 23:30</t>
  </si>
  <si>
    <t>25/12/2023 23:45</t>
  </si>
  <si>
    <t>25/12/2023 24:00</t>
  </si>
  <si>
    <t>26/12/2023 00:15</t>
  </si>
  <si>
    <t>26/12/2023 00:30</t>
  </si>
  <si>
    <t>26/12/2023 00:45</t>
  </si>
  <si>
    <t>26/12/2023 01:00</t>
  </si>
  <si>
    <t>26/12/2023 01:15</t>
  </si>
  <si>
    <t>26/12/2023 01:30</t>
  </si>
  <si>
    <t>26/12/2023 01:45</t>
  </si>
  <si>
    <t>26/12/2023 02:00</t>
  </si>
  <si>
    <t>26/12/2023 02:15</t>
  </si>
  <si>
    <t>26/12/2023 02:30</t>
  </si>
  <si>
    <t>26/12/2023 02:45</t>
  </si>
  <si>
    <t>26/12/2023 03:00</t>
  </si>
  <si>
    <t>26/12/2023 03:15</t>
  </si>
  <si>
    <t>26/12/2023 03:30</t>
  </si>
  <si>
    <t>26/12/2023 03:45</t>
  </si>
  <si>
    <t>26/12/2023 04:00</t>
  </si>
  <si>
    <t>26/12/2023 04:15</t>
  </si>
  <si>
    <t>26/12/2023 04:30</t>
  </si>
  <si>
    <t>26/12/2023 04:45</t>
  </si>
  <si>
    <t>26/12/2023 05:00</t>
  </si>
  <si>
    <t>26/12/2023 05:15</t>
  </si>
  <si>
    <t>26/12/2023 05:30</t>
  </si>
  <si>
    <t>26/12/2023 05:45</t>
  </si>
  <si>
    <t>26/12/2023 06:00</t>
  </si>
  <si>
    <t>26/12/2023 06:15</t>
  </si>
  <si>
    <t>26/12/2023 06:30</t>
  </si>
  <si>
    <t>26/12/2023 06:45</t>
  </si>
  <si>
    <t>26/12/2023 07:00</t>
  </si>
  <si>
    <t>26/12/2023 07:15</t>
  </si>
  <si>
    <t>26/12/2023 07:30</t>
  </si>
  <si>
    <t>26/12/2023 07:45</t>
  </si>
  <si>
    <t>26/12/2023 08:00</t>
  </si>
  <si>
    <t>26/12/2023 08:15</t>
  </si>
  <si>
    <t>26/12/2023 08:30</t>
  </si>
  <si>
    <t>26/12/2023 08:45</t>
  </si>
  <si>
    <t>26/12/2023 09:00</t>
  </si>
  <si>
    <t>26/12/2023 09:15</t>
  </si>
  <si>
    <t>26/12/2023 09:30</t>
  </si>
  <si>
    <t>26/12/2023 09:45</t>
  </si>
  <si>
    <t>26/12/2023 10:00</t>
  </si>
  <si>
    <t>26/12/2023 10:15</t>
  </si>
  <si>
    <t>26/12/2023 10:30</t>
  </si>
  <si>
    <t>26/12/2023 10:45</t>
  </si>
  <si>
    <t>26/12/2023 11:00</t>
  </si>
  <si>
    <t>26/12/2023 11:15</t>
  </si>
  <si>
    <t>26/12/2023 11:30</t>
  </si>
  <si>
    <t>26/12/2023 11:45</t>
  </si>
  <si>
    <t>26/12/2023 12:00</t>
  </si>
  <si>
    <t>26/12/2023 12:15</t>
  </si>
  <si>
    <t>26/12/2023 12:30</t>
  </si>
  <si>
    <t>26/12/2023 12:45</t>
  </si>
  <si>
    <t>26/12/2023 13:00</t>
  </si>
  <si>
    <t>26/12/2023 13:15</t>
  </si>
  <si>
    <t>26/12/2023 13:30</t>
  </si>
  <si>
    <t>26/12/2023 13:45</t>
  </si>
  <si>
    <t>26/12/2023 14:00</t>
  </si>
  <si>
    <t>26/12/2023 14:15</t>
  </si>
  <si>
    <t>26/12/2023 14:30</t>
  </si>
  <si>
    <t>26/12/2023 14:45</t>
  </si>
  <si>
    <t>26/12/2023 15:00</t>
  </si>
  <si>
    <t>26/12/2023 15:15</t>
  </si>
  <si>
    <t>26/12/2023 15:30</t>
  </si>
  <si>
    <t>26/12/2023 15:45</t>
  </si>
  <si>
    <t>26/12/2023 16:00</t>
  </si>
  <si>
    <t>26/12/2023 16:15</t>
  </si>
  <si>
    <t>26/12/2023 16:30</t>
  </si>
  <si>
    <t>26/12/2023 16:45</t>
  </si>
  <si>
    <t>26/12/2023 17:00</t>
  </si>
  <si>
    <t>26/12/2023 17:15</t>
  </si>
  <si>
    <t>26/12/2023 17:30</t>
  </si>
  <si>
    <t>26/12/2023 17:45</t>
  </si>
  <si>
    <t>26/12/2023 18:00</t>
  </si>
  <si>
    <t>26/12/2023 18:15</t>
  </si>
  <si>
    <t>26/12/2023 18:30</t>
  </si>
  <si>
    <t>26/12/2023 18:45</t>
  </si>
  <si>
    <t>26/12/2023 19:00</t>
  </si>
  <si>
    <t>26/12/2023 19:15</t>
  </si>
  <si>
    <t>26/12/2023 19:30</t>
  </si>
  <si>
    <t>26/12/2023 19:45</t>
  </si>
  <si>
    <t>26/12/2023 20:00</t>
  </si>
  <si>
    <t>26/12/2023 20:15</t>
  </si>
  <si>
    <t>26/12/2023 20:30</t>
  </si>
  <si>
    <t>26/12/2023 20:45</t>
  </si>
  <si>
    <t>26/12/2023 21:00</t>
  </si>
  <si>
    <t>26/12/2023 21:15</t>
  </si>
  <si>
    <t>26/12/2023 21:30</t>
  </si>
  <si>
    <t>26/12/2023 21:45</t>
  </si>
  <si>
    <t>26/12/2023 22:00</t>
  </si>
  <si>
    <t>26/12/2023 22:15</t>
  </si>
  <si>
    <t>26/12/2023 22:30</t>
  </si>
  <si>
    <t>26/12/2023 22:45</t>
  </si>
  <si>
    <t>26/12/2023 23:00</t>
  </si>
  <si>
    <t>26/12/2023 23:15</t>
  </si>
  <si>
    <t>26/12/2023 23:30</t>
  </si>
  <si>
    <t>26/12/2023 23:45</t>
  </si>
  <si>
    <t>26/12/2023 24:00</t>
  </si>
  <si>
    <t>27/12/2023 00:15</t>
  </si>
  <si>
    <t>27/12/2023 00:30</t>
  </si>
  <si>
    <t>27/12/2023 00:45</t>
  </si>
  <si>
    <t>27/12/2023 01:00</t>
  </si>
  <si>
    <t>27/12/2023 01:15</t>
  </si>
  <si>
    <t>27/12/2023 01:30</t>
  </si>
  <si>
    <t>27/12/2023 01:45</t>
  </si>
  <si>
    <t>27/12/2023 02:00</t>
  </si>
  <si>
    <t>27/12/2023 02:15</t>
  </si>
  <si>
    <t>27/12/2023 02:30</t>
  </si>
  <si>
    <t>27/12/2023 02:45</t>
  </si>
  <si>
    <t>27/12/2023 03:00</t>
  </si>
  <si>
    <t>27/12/2023 03:15</t>
  </si>
  <si>
    <t>27/12/2023 03:30</t>
  </si>
  <si>
    <t>27/12/2023 03:45</t>
  </si>
  <si>
    <t>27/12/2023 04:00</t>
  </si>
  <si>
    <t>27/12/2023 04:15</t>
  </si>
  <si>
    <t>27/12/2023 04:30</t>
  </si>
  <si>
    <t>27/12/2023 04:45</t>
  </si>
  <si>
    <t>27/12/2023 05:00</t>
  </si>
  <si>
    <t>27/12/2023 05:15</t>
  </si>
  <si>
    <t>27/12/2023 05:30</t>
  </si>
  <si>
    <t>27/12/2023 05:45</t>
  </si>
  <si>
    <t>27/12/2023 06:00</t>
  </si>
  <si>
    <t>27/12/2023 06:15</t>
  </si>
  <si>
    <t>27/12/2023 06:30</t>
  </si>
  <si>
    <t>27/12/2023 06:45</t>
  </si>
  <si>
    <t>27/12/2023 07:00</t>
  </si>
  <si>
    <t>27/12/2023 07:15</t>
  </si>
  <si>
    <t>27/12/2023 07:30</t>
  </si>
  <si>
    <t>27/12/2023 07:45</t>
  </si>
  <si>
    <t>27/12/2023 08:00</t>
  </si>
  <si>
    <t>27/12/2023 08:15</t>
  </si>
  <si>
    <t>27/12/2023 08:30</t>
  </si>
  <si>
    <t>27/12/2023 08:45</t>
  </si>
  <si>
    <t>27/12/2023 09:00</t>
  </si>
  <si>
    <t>27/12/2023 09:15</t>
  </si>
  <si>
    <t>27/12/2023 09:30</t>
  </si>
  <si>
    <t>27/12/2023 09:45</t>
  </si>
  <si>
    <t>27/12/2023 10:00</t>
  </si>
  <si>
    <t>27/12/2023 10:15</t>
  </si>
  <si>
    <t>27/12/2023 10:30</t>
  </si>
  <si>
    <t>27/12/2023 10:45</t>
  </si>
  <si>
    <t>27/12/2023 11:00</t>
  </si>
  <si>
    <t>27/12/2023 11:15</t>
  </si>
  <si>
    <t>27/12/2023 11:30</t>
  </si>
  <si>
    <t>27/12/2023 11:45</t>
  </si>
  <si>
    <t>27/12/2023 12:00</t>
  </si>
  <si>
    <t>27/12/2023 12:15</t>
  </si>
  <si>
    <t>27/12/2023 12:30</t>
  </si>
  <si>
    <t>27/12/2023 12:45</t>
  </si>
  <si>
    <t>27/12/2023 13:00</t>
  </si>
  <si>
    <t>27/12/2023 13:15</t>
  </si>
  <si>
    <t>27/12/2023 13:30</t>
  </si>
  <si>
    <t>27/12/2023 13:45</t>
  </si>
  <si>
    <t>27/12/2023 14:00</t>
  </si>
  <si>
    <t>27/12/2023 14:15</t>
  </si>
  <si>
    <t>27/12/2023 14:30</t>
  </si>
  <si>
    <t>27/12/2023 14:45</t>
  </si>
  <si>
    <t>27/12/2023 15:00</t>
  </si>
  <si>
    <t>27/12/2023 15:15</t>
  </si>
  <si>
    <t>27/12/2023 15:30</t>
  </si>
  <si>
    <t>27/12/2023 15:45</t>
  </si>
  <si>
    <t>27/12/2023 16:00</t>
  </si>
  <si>
    <t>27/12/2023 16:15</t>
  </si>
  <si>
    <t>27/12/2023 16:30</t>
  </si>
  <si>
    <t>27/12/2023 16:45</t>
  </si>
  <si>
    <t>27/12/2023 17:00</t>
  </si>
  <si>
    <t>27/12/2023 17:15</t>
  </si>
  <si>
    <t>27/12/2023 17:30</t>
  </si>
  <si>
    <t>27/12/2023 17:45</t>
  </si>
  <si>
    <t>27/12/2023 18:00</t>
  </si>
  <si>
    <t>27/12/2023 18:15</t>
  </si>
  <si>
    <t>27/12/2023 18:30</t>
  </si>
  <si>
    <t>27/12/2023 18:45</t>
  </si>
  <si>
    <t>27/12/2023 19:00</t>
  </si>
  <si>
    <t>27/12/2023 19:15</t>
  </si>
  <si>
    <t>27/12/2023 19:30</t>
  </si>
  <si>
    <t>27/12/2023 19:45</t>
  </si>
  <si>
    <t>27/12/2023 20:00</t>
  </si>
  <si>
    <t>27/12/2023 20:15</t>
  </si>
  <si>
    <t>27/12/2023 20:30</t>
  </si>
  <si>
    <t>27/12/2023 20:45</t>
  </si>
  <si>
    <t>27/12/2023 21:00</t>
  </si>
  <si>
    <t>27/12/2023 21:15</t>
  </si>
  <si>
    <t>27/12/2023 21:30</t>
  </si>
  <si>
    <t>27/12/2023 21:45</t>
  </si>
  <si>
    <t>27/12/2023 22:00</t>
  </si>
  <si>
    <t>27/12/2023 22:15</t>
  </si>
  <si>
    <t>27/12/2023 22:30</t>
  </si>
  <si>
    <t>27/12/2023 22:45</t>
  </si>
  <si>
    <t>27/12/2023 23:00</t>
  </si>
  <si>
    <t>27/12/2023 23:15</t>
  </si>
  <si>
    <t>27/12/2023 23:30</t>
  </si>
  <si>
    <t>27/12/2023 23:45</t>
  </si>
  <si>
    <t>27/12/2023 24:00</t>
  </si>
  <si>
    <t>28/12/2023 00:15</t>
  </si>
  <si>
    <t>28/12/2023 00:30</t>
  </si>
  <si>
    <t>28/12/2023 00:45</t>
  </si>
  <si>
    <t>28/12/2023 01:00</t>
  </si>
  <si>
    <t>28/12/2023 01:15</t>
  </si>
  <si>
    <t>28/12/2023 01:30</t>
  </si>
  <si>
    <t>28/12/2023 01:45</t>
  </si>
  <si>
    <t>28/12/2023 02:00</t>
  </si>
  <si>
    <t>28/12/2023 02:15</t>
  </si>
  <si>
    <t>28/12/2023 02:30</t>
  </si>
  <si>
    <t>28/12/2023 02:45</t>
  </si>
  <si>
    <t>28/12/2023 03:00</t>
  </si>
  <si>
    <t>28/12/2023 03:15</t>
  </si>
  <si>
    <t>28/12/2023 03:30</t>
  </si>
  <si>
    <t>28/12/2023 03:45</t>
  </si>
  <si>
    <t>28/12/2023 04:00</t>
  </si>
  <si>
    <t>28/12/2023 04:15</t>
  </si>
  <si>
    <t>28/12/2023 04:30</t>
  </si>
  <si>
    <t>28/12/2023 04:45</t>
  </si>
  <si>
    <t>28/12/2023 05:00</t>
  </si>
  <si>
    <t>28/12/2023 05:15</t>
  </si>
  <si>
    <t>28/12/2023 05:30</t>
  </si>
  <si>
    <t>28/12/2023 05:45</t>
  </si>
  <si>
    <t>28/12/2023 06:00</t>
  </si>
  <si>
    <t>28/12/2023 06:15</t>
  </si>
  <si>
    <t>28/12/2023 06:30</t>
  </si>
  <si>
    <t>28/12/2023 06:45</t>
  </si>
  <si>
    <t>28/12/2023 07:00</t>
  </si>
  <si>
    <t>28/12/2023 07:15</t>
  </si>
  <si>
    <t>28/12/2023 07:30</t>
  </si>
  <si>
    <t>28/12/2023 07:45</t>
  </si>
  <si>
    <t>28/12/2023 08:00</t>
  </si>
  <si>
    <t>28/12/2023 08:15</t>
  </si>
  <si>
    <t>28/12/2023 08:30</t>
  </si>
  <si>
    <t>28/12/2023 08:45</t>
  </si>
  <si>
    <t>28/12/2023 09:00</t>
  </si>
  <si>
    <t>28/12/2023 09:15</t>
  </si>
  <si>
    <t>28/12/2023 09:30</t>
  </si>
  <si>
    <t>28/12/2023 09:45</t>
  </si>
  <si>
    <t>28/12/2023 10:00</t>
  </si>
  <si>
    <t>28/12/2023 10:15</t>
  </si>
  <si>
    <t>28/12/2023 10:30</t>
  </si>
  <si>
    <t>28/12/2023 10:45</t>
  </si>
  <si>
    <t>28/12/2023 11:00</t>
  </si>
  <si>
    <t>28/12/2023 11:15</t>
  </si>
  <si>
    <t>28/12/2023 11:30</t>
  </si>
  <si>
    <t>28/12/2023 11:45</t>
  </si>
  <si>
    <t>28/12/2023 12:00</t>
  </si>
  <si>
    <t>28/12/2023 12:15</t>
  </si>
  <si>
    <t>28/12/2023 12:30</t>
  </si>
  <si>
    <t>28/12/2023 12:45</t>
  </si>
  <si>
    <t>28/12/2023 13:00</t>
  </si>
  <si>
    <t>28/12/2023 13:15</t>
  </si>
  <si>
    <t>28/12/2023 13:30</t>
  </si>
  <si>
    <t>28/12/2023 13:45</t>
  </si>
  <si>
    <t>28/12/2023 14:00</t>
  </si>
  <si>
    <t>28/12/2023 14:15</t>
  </si>
  <si>
    <t>28/12/2023 14:30</t>
  </si>
  <si>
    <t>28/12/2023 14:45</t>
  </si>
  <si>
    <t>28/12/2023 15:00</t>
  </si>
  <si>
    <t>28/12/2023 15:15</t>
  </si>
  <si>
    <t>28/12/2023 15:30</t>
  </si>
  <si>
    <t>28/12/2023 15:45</t>
  </si>
  <si>
    <t>28/12/2023 16:00</t>
  </si>
  <si>
    <t>28/12/2023 16:15</t>
  </si>
  <si>
    <t>28/12/2023 16:30</t>
  </si>
  <si>
    <t>28/12/2023 16:45</t>
  </si>
  <si>
    <t>28/12/2023 17:00</t>
  </si>
  <si>
    <t>28/12/2023 17:15</t>
  </si>
  <si>
    <t>28/12/2023 17:30</t>
  </si>
  <si>
    <t>28/12/2023 17:45</t>
  </si>
  <si>
    <t>28/12/2023 18:00</t>
  </si>
  <si>
    <t>28/12/2023 18:15</t>
  </si>
  <si>
    <t>28/12/2023 18:30</t>
  </si>
  <si>
    <t>28/12/2023 18:45</t>
  </si>
  <si>
    <t>28/12/2023 19:00</t>
  </si>
  <si>
    <t>28/12/2023 19:15</t>
  </si>
  <si>
    <t>28/12/2023 19:30</t>
  </si>
  <si>
    <t>28/12/2023 19:45</t>
  </si>
  <si>
    <t>28/12/2023 20:00</t>
  </si>
  <si>
    <t>28/12/2023 20:15</t>
  </si>
  <si>
    <t>28/12/2023 20:30</t>
  </si>
  <si>
    <t>28/12/2023 20:45</t>
  </si>
  <si>
    <t>28/12/2023 21:00</t>
  </si>
  <si>
    <t>28/12/2023 21:15</t>
  </si>
  <si>
    <t>28/12/2023 21:30</t>
  </si>
  <si>
    <t>28/12/2023 21:45</t>
  </si>
  <si>
    <t>28/12/2023 22:00</t>
  </si>
  <si>
    <t>28/12/2023 22:15</t>
  </si>
  <si>
    <t>28/12/2023 22:30</t>
  </si>
  <si>
    <t>28/12/2023 22:45</t>
  </si>
  <si>
    <t>28/12/2023 23:00</t>
  </si>
  <si>
    <t>28/12/2023 23:15</t>
  </si>
  <si>
    <t>28/12/2023 23:30</t>
  </si>
  <si>
    <t>28/12/2023 23:45</t>
  </si>
  <si>
    <t>28/12/2023 24:00</t>
  </si>
  <si>
    <t>29/12/2023 00:15</t>
  </si>
  <si>
    <t>29/12/2023 00:30</t>
  </si>
  <si>
    <t>29/12/2023 00:45</t>
  </si>
  <si>
    <t>29/12/2023 01:00</t>
  </si>
  <si>
    <t>29/12/2023 01:15</t>
  </si>
  <si>
    <t>29/12/2023 01:30</t>
  </si>
  <si>
    <t>29/12/2023 01:45</t>
  </si>
  <si>
    <t>29/12/2023 02:00</t>
  </si>
  <si>
    <t>29/12/2023 02:15</t>
  </si>
  <si>
    <t>29/12/2023 02:30</t>
  </si>
  <si>
    <t>29/12/2023 02:45</t>
  </si>
  <si>
    <t>29/12/2023 03:00</t>
  </si>
  <si>
    <t>29/12/2023 03:15</t>
  </si>
  <si>
    <t>29/12/2023 03:30</t>
  </si>
  <si>
    <t>29/12/2023 03:45</t>
  </si>
  <si>
    <t>29/12/2023 04:00</t>
  </si>
  <si>
    <t>29/12/2023 04:15</t>
  </si>
  <si>
    <t>29/12/2023 04:30</t>
  </si>
  <si>
    <t>29/12/2023 04:45</t>
  </si>
  <si>
    <t>29/12/2023 05:00</t>
  </si>
  <si>
    <t>29/12/2023 05:15</t>
  </si>
  <si>
    <t>29/12/2023 05:30</t>
  </si>
  <si>
    <t>29/12/2023 05:45</t>
  </si>
  <si>
    <t>29/12/2023 06:00</t>
  </si>
  <si>
    <t>29/12/2023 06:15</t>
  </si>
  <si>
    <t>29/12/2023 06:30</t>
  </si>
  <si>
    <t>29/12/2023 06:45</t>
  </si>
  <si>
    <t>29/12/2023 07:00</t>
  </si>
  <si>
    <t>29/12/2023 07:15</t>
  </si>
  <si>
    <t>29/12/2023 07:30</t>
  </si>
  <si>
    <t>29/12/2023 07:45</t>
  </si>
  <si>
    <t>29/12/2023 08:00</t>
  </si>
  <si>
    <t>29/12/2023 08:15</t>
  </si>
  <si>
    <t>29/12/2023 08:30</t>
  </si>
  <si>
    <t>29/12/2023 08:45</t>
  </si>
  <si>
    <t>29/12/2023 09:00</t>
  </si>
  <si>
    <t>29/12/2023 09:15</t>
  </si>
  <si>
    <t>29/12/2023 09:30</t>
  </si>
  <si>
    <t>29/12/2023 09:45</t>
  </si>
  <si>
    <t>29/12/2023 10:00</t>
  </si>
  <si>
    <t>29/12/2023 10:15</t>
  </si>
  <si>
    <t>29/12/2023 10:30</t>
  </si>
  <si>
    <t>29/12/2023 10:45</t>
  </si>
  <si>
    <t>29/12/2023 11:00</t>
  </si>
  <si>
    <t>29/12/2023 11:15</t>
  </si>
  <si>
    <t>29/12/2023 11:30</t>
  </si>
  <si>
    <t>29/12/2023 11:45</t>
  </si>
  <si>
    <t>29/12/2023 12:00</t>
  </si>
  <si>
    <t>29/12/2023 12:15</t>
  </si>
  <si>
    <t>29/12/2023 12:30</t>
  </si>
  <si>
    <t>29/12/2023 12:45</t>
  </si>
  <si>
    <t>29/12/2023 13:00</t>
  </si>
  <si>
    <t>29/12/2023 13:15</t>
  </si>
  <si>
    <t>29/12/2023 13:30</t>
  </si>
  <si>
    <t>29/12/2023 13:45</t>
  </si>
  <si>
    <t>29/12/2023 14:00</t>
  </si>
  <si>
    <t>29/12/2023 14:15</t>
  </si>
  <si>
    <t>29/12/2023 14:30</t>
  </si>
  <si>
    <t>29/12/2023 14:45</t>
  </si>
  <si>
    <t>29/12/2023 15:00</t>
  </si>
  <si>
    <t>29/12/2023 15:15</t>
  </si>
  <si>
    <t>29/12/2023 15:30</t>
  </si>
  <si>
    <t>29/12/2023 15:45</t>
  </si>
  <si>
    <t>29/12/2023 16:00</t>
  </si>
  <si>
    <t>29/12/2023 16:15</t>
  </si>
  <si>
    <t>29/12/2023 16:30</t>
  </si>
  <si>
    <t>29/12/2023 16:45</t>
  </si>
  <si>
    <t>29/12/2023 17:00</t>
  </si>
  <si>
    <t>29/12/2023 17:15</t>
  </si>
  <si>
    <t>29/12/2023 17:30</t>
  </si>
  <si>
    <t>29/12/2023 17:45</t>
  </si>
  <si>
    <t>29/12/2023 18:00</t>
  </si>
  <si>
    <t>29/12/2023 18:15</t>
  </si>
  <si>
    <t>29/12/2023 18:30</t>
  </si>
  <si>
    <t>29/12/2023 18:45</t>
  </si>
  <si>
    <t>29/12/2023 19:00</t>
  </si>
  <si>
    <t>29/12/2023 19:15</t>
  </si>
  <si>
    <t>29/12/2023 19:30</t>
  </si>
  <si>
    <t>29/12/2023 19:45</t>
  </si>
  <si>
    <t>29/12/2023 20:00</t>
  </si>
  <si>
    <t>29/12/2023 20:15</t>
  </si>
  <si>
    <t>29/12/2023 20:30</t>
  </si>
  <si>
    <t>29/12/2023 20:45</t>
  </si>
  <si>
    <t>29/12/2023 21:00</t>
  </si>
  <si>
    <t>29/12/2023 21:15</t>
  </si>
  <si>
    <t>29/12/2023 21:30</t>
  </si>
  <si>
    <t>29/12/2023 21:45</t>
  </si>
  <si>
    <t>29/12/2023 22:00</t>
  </si>
  <si>
    <t>29/12/2023 22:15</t>
  </si>
  <si>
    <t>29/12/2023 22:30</t>
  </si>
  <si>
    <t>29/12/2023 22:45</t>
  </si>
  <si>
    <t>29/12/2023 23:00</t>
  </si>
  <si>
    <t>29/12/2023 23:15</t>
  </si>
  <si>
    <t>29/12/2023 23:30</t>
  </si>
  <si>
    <t>29/12/2023 23:45</t>
  </si>
  <si>
    <t>29/12/2023 24:00</t>
  </si>
  <si>
    <t>30/12/2023 00:15</t>
  </si>
  <si>
    <t>30/12/2023 00:30</t>
  </si>
  <si>
    <t>30/12/2023 00:45</t>
  </si>
  <si>
    <t>30/12/2023 01:00</t>
  </si>
  <si>
    <t>30/12/2023 01:15</t>
  </si>
  <si>
    <t>30/12/2023 01:30</t>
  </si>
  <si>
    <t>30/12/2023 01:45</t>
  </si>
  <si>
    <t>30/12/2023 02:00</t>
  </si>
  <si>
    <t>30/12/2023 02:15</t>
  </si>
  <si>
    <t>30/12/2023 02:30</t>
  </si>
  <si>
    <t>30/12/2023 02:45</t>
  </si>
  <si>
    <t>30/12/2023 03:00</t>
  </si>
  <si>
    <t>30/12/2023 03:15</t>
  </si>
  <si>
    <t>30/12/2023 03:30</t>
  </si>
  <si>
    <t>30/12/2023 03:45</t>
  </si>
  <si>
    <t>30/12/2023 04:00</t>
  </si>
  <si>
    <t>30/12/2023 04:15</t>
  </si>
  <si>
    <t>30/12/2023 04:30</t>
  </si>
  <si>
    <t>30/12/2023 04:45</t>
  </si>
  <si>
    <t>30/12/2023 05:00</t>
  </si>
  <si>
    <t>30/12/2023 05:15</t>
  </si>
  <si>
    <t>30/12/2023 05:30</t>
  </si>
  <si>
    <t>30/12/2023 05:45</t>
  </si>
  <si>
    <t>30/12/2023 06:00</t>
  </si>
  <si>
    <t>30/12/2023 06:15</t>
  </si>
  <si>
    <t>30/12/2023 06:30</t>
  </si>
  <si>
    <t>30/12/2023 06:45</t>
  </si>
  <si>
    <t>30/12/2023 07:00</t>
  </si>
  <si>
    <t>30/12/2023 07:15</t>
  </si>
  <si>
    <t>30/12/2023 07:30</t>
  </si>
  <si>
    <t>30/12/2023 07:45</t>
  </si>
  <si>
    <t>30/12/2023 08:00</t>
  </si>
  <si>
    <t>30/12/2023 08:15</t>
  </si>
  <si>
    <t>30/12/2023 08:30</t>
  </si>
  <si>
    <t>30/12/2023 08:45</t>
  </si>
  <si>
    <t>30/12/2023 09:00</t>
  </si>
  <si>
    <t>30/12/2023 09:15</t>
  </si>
  <si>
    <t>30/12/2023 09:30</t>
  </si>
  <si>
    <t>30/12/2023 09:45</t>
  </si>
  <si>
    <t>30/12/2023 10:00</t>
  </si>
  <si>
    <t>30/12/2023 10:15</t>
  </si>
  <si>
    <t>30/12/2023 10:30</t>
  </si>
  <si>
    <t>30/12/2023 10:45</t>
  </si>
  <si>
    <t>30/12/2023 11:00</t>
  </si>
  <si>
    <t>30/12/2023 11:15</t>
  </si>
  <si>
    <t>30/12/2023 11:30</t>
  </si>
  <si>
    <t>30/12/2023 11:45</t>
  </si>
  <si>
    <t>30/12/2023 12:00</t>
  </si>
  <si>
    <t>30/12/2023 12:15</t>
  </si>
  <si>
    <t>30/12/2023 12:30</t>
  </si>
  <si>
    <t>30/12/2023 12:45</t>
  </si>
  <si>
    <t>30/12/2023 13:00</t>
  </si>
  <si>
    <t>30/12/2023 13:15</t>
  </si>
  <si>
    <t>30/12/2023 13:30</t>
  </si>
  <si>
    <t>30/12/2023 13:45</t>
  </si>
  <si>
    <t>30/12/2023 14:00</t>
  </si>
  <si>
    <t>30/12/2023 14:15</t>
  </si>
  <si>
    <t>30/12/2023 14:30</t>
  </si>
  <si>
    <t>30/12/2023 14:45</t>
  </si>
  <si>
    <t>30/12/2023 15:00</t>
  </si>
  <si>
    <t>30/12/2023 15:15</t>
  </si>
  <si>
    <t>30/12/2023 15:30</t>
  </si>
  <si>
    <t>30/12/2023 15:45</t>
  </si>
  <si>
    <t>30/12/2023 16:00</t>
  </si>
  <si>
    <t>30/12/2023 16:15</t>
  </si>
  <si>
    <t>30/12/2023 16:30</t>
  </si>
  <si>
    <t>30/12/2023 16:45</t>
  </si>
  <si>
    <t>30/12/2023 17:00</t>
  </si>
  <si>
    <t>30/12/2023 17:15</t>
  </si>
  <si>
    <t>30/12/2023 17:30</t>
  </si>
  <si>
    <t>30/12/2023 17:45</t>
  </si>
  <si>
    <t>30/12/2023 18:00</t>
  </si>
  <si>
    <t>30/12/2023 18:15</t>
  </si>
  <si>
    <t>30/12/2023 18:30</t>
  </si>
  <si>
    <t>30/12/2023 18:45</t>
  </si>
  <si>
    <t>30/12/2023 19:00</t>
  </si>
  <si>
    <t>30/12/2023 19:15</t>
  </si>
  <si>
    <t>30/12/2023 19:30</t>
  </si>
  <si>
    <t>30/12/2023 19:45</t>
  </si>
  <si>
    <t>30/12/2023 20:00</t>
  </si>
  <si>
    <t>30/12/2023 20:15</t>
  </si>
  <si>
    <t>30/12/2023 20:30</t>
  </si>
  <si>
    <t>30/12/2023 20:45</t>
  </si>
  <si>
    <t>30/12/2023 21:00</t>
  </si>
  <si>
    <t>30/12/2023 21:15</t>
  </si>
  <si>
    <t>30/12/2023 21:30</t>
  </si>
  <si>
    <t>30/12/2023 21:45</t>
  </si>
  <si>
    <t>30/12/2023 22:00</t>
  </si>
  <si>
    <t>30/12/2023 22:15</t>
  </si>
  <si>
    <t>30/12/2023 22:30</t>
  </si>
  <si>
    <t>30/12/2023 22:45</t>
  </si>
  <si>
    <t>30/12/2023 23:00</t>
  </si>
  <si>
    <t>30/12/2023 23:15</t>
  </si>
  <si>
    <t>30/12/2023 23:30</t>
  </si>
  <si>
    <t>30/12/2023 23:45</t>
  </si>
  <si>
    <t>30/12/2023 24:00</t>
  </si>
  <si>
    <t>31/12/2023 00:15</t>
  </si>
  <si>
    <t>31/12/2023 00:30</t>
  </si>
  <si>
    <t>31/12/2023 00:45</t>
  </si>
  <si>
    <t>31/12/2023 01:00</t>
  </si>
  <si>
    <t>31/12/2023 01:15</t>
  </si>
  <si>
    <t>31/12/2023 01:30</t>
  </si>
  <si>
    <t>31/12/2023 01:45</t>
  </si>
  <si>
    <t>31/12/2023 02:00</t>
  </si>
  <si>
    <t>31/12/2023 02:15</t>
  </si>
  <si>
    <t>31/12/2023 02:30</t>
  </si>
  <si>
    <t>31/12/2023 02:45</t>
  </si>
  <si>
    <t>31/12/2023 03:00</t>
  </si>
  <si>
    <t>31/12/2023 03:15</t>
  </si>
  <si>
    <t>31/12/2023 03:30</t>
  </si>
  <si>
    <t>31/12/2023 03:45</t>
  </si>
  <si>
    <t>31/12/2023 04:00</t>
  </si>
  <si>
    <t>31/12/2023 04:15</t>
  </si>
  <si>
    <t>31/12/2023 04:30</t>
  </si>
  <si>
    <t>31/12/2023 04:45</t>
  </si>
  <si>
    <t>31/12/2023 05:00</t>
  </si>
  <si>
    <t>31/12/2023 05:15</t>
  </si>
  <si>
    <t>31/12/2023 05:30</t>
  </si>
  <si>
    <t>31/12/2023 05:45</t>
  </si>
  <si>
    <t>31/12/2023 06:00</t>
  </si>
  <si>
    <t>31/12/2023 06:15</t>
  </si>
  <si>
    <t>31/12/2023 06:30</t>
  </si>
  <si>
    <t>31/12/2023 06:45</t>
  </si>
  <si>
    <t>31/12/2023 07:00</t>
  </si>
  <si>
    <t>31/12/2023 07:15</t>
  </si>
  <si>
    <t>31/12/2023 07:30</t>
  </si>
  <si>
    <t>31/12/2023 07:45</t>
  </si>
  <si>
    <t>31/12/2023 08:00</t>
  </si>
  <si>
    <t>31/12/2023 08:15</t>
  </si>
  <si>
    <t>31/12/2023 08:30</t>
  </si>
  <si>
    <t>31/12/2023 08:45</t>
  </si>
  <si>
    <t>31/12/2023 09:00</t>
  </si>
  <si>
    <t>31/12/2023 09:15</t>
  </si>
  <si>
    <t>31/12/2023 09:30</t>
  </si>
  <si>
    <t>31/12/2023 09:45</t>
  </si>
  <si>
    <t>31/12/2023 10:00</t>
  </si>
  <si>
    <t>31/12/2023 10:15</t>
  </si>
  <si>
    <t>31/12/2023 10:30</t>
  </si>
  <si>
    <t>31/12/2023 10:45</t>
  </si>
  <si>
    <t>31/12/2023 11:00</t>
  </si>
  <si>
    <t>31/12/2023 11:15</t>
  </si>
  <si>
    <t>31/12/2023 11:30</t>
  </si>
  <si>
    <t>31/12/2023 11:45</t>
  </si>
  <si>
    <t>31/12/2023 12:00</t>
  </si>
  <si>
    <t>31/12/2023 12:15</t>
  </si>
  <si>
    <t>31/12/2023 12:30</t>
  </si>
  <si>
    <t>31/12/2023 12:45</t>
  </si>
  <si>
    <t>31/12/2023 13:00</t>
  </si>
  <si>
    <t>31/12/2023 13:15</t>
  </si>
  <si>
    <t>31/12/2023 13:30</t>
  </si>
  <si>
    <t>31/12/2023 13:45</t>
  </si>
  <si>
    <t>31/12/2023 14:00</t>
  </si>
  <si>
    <t>31/12/2023 14:15</t>
  </si>
  <si>
    <t>31/12/2023 14:30</t>
  </si>
  <si>
    <t>31/12/2023 14:45</t>
  </si>
  <si>
    <t>31/12/2023 15:00</t>
  </si>
  <si>
    <t>31/12/2023 15:15</t>
  </si>
  <si>
    <t>31/12/2023 15:30</t>
  </si>
  <si>
    <t>31/12/2023 15:45</t>
  </si>
  <si>
    <t>31/12/2023 16:00</t>
  </si>
  <si>
    <t>31/12/2023 16:15</t>
  </si>
  <si>
    <t>31/12/2023 16:30</t>
  </si>
  <si>
    <t>31/12/2023 16:45</t>
  </si>
  <si>
    <t>31/12/2023 17:00</t>
  </si>
  <si>
    <t>31/12/2023 17:15</t>
  </si>
  <si>
    <t>31/12/2023 17:30</t>
  </si>
  <si>
    <t>31/12/2023 17:45</t>
  </si>
  <si>
    <t>31/12/2023 18:00</t>
  </si>
  <si>
    <t>31/12/2023 18:15</t>
  </si>
  <si>
    <t>31/12/2023 18:30</t>
  </si>
  <si>
    <t>31/12/2023 18:45</t>
  </si>
  <si>
    <t>31/12/2023 19:00</t>
  </si>
  <si>
    <t>31/12/2023 19:15</t>
  </si>
  <si>
    <t>31/12/2023 19:30</t>
  </si>
  <si>
    <t>31/12/2023 19:45</t>
  </si>
  <si>
    <t>31/12/2023 20:00</t>
  </si>
  <si>
    <t>31/12/2023 20:15</t>
  </si>
  <si>
    <t>31/12/2023 20:30</t>
  </si>
  <si>
    <t>31/12/2023 20:45</t>
  </si>
  <si>
    <t>31/12/2023 21:00</t>
  </si>
  <si>
    <t>31/12/2023 21:15</t>
  </si>
  <si>
    <t>31/12/2023 21:30</t>
  </si>
  <si>
    <t>31/12/2023 21:45</t>
  </si>
  <si>
    <t>31/12/2023 22:00</t>
  </si>
  <si>
    <t>31/12/2023 22:15</t>
  </si>
  <si>
    <t>31/12/2023 22:30</t>
  </si>
  <si>
    <t>31/12/2023 22:45</t>
  </si>
  <si>
    <t>31/12/2023 23:00</t>
  </si>
  <si>
    <t>31/12/2023 23:15</t>
  </si>
  <si>
    <t>31/12/2023 23:30</t>
  </si>
  <si>
    <t>31/12/2023 23:45</t>
  </si>
  <si>
    <t>31/12/2023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</si>
</sst>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3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01/12/2023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239</v>
      </c>
      <c r="B9" s="189">
        <v>19.100000000000001</v>
      </c>
      <c r="C9" s="189">
        <v>25.55</v>
      </c>
      <c r="D9" s="189">
        <v>30.01</v>
      </c>
      <c r="E9" s="189">
        <v>6.6</v>
      </c>
      <c r="F9" s="189">
        <v>2.58</v>
      </c>
      <c r="G9" s="189">
        <v>83.22</v>
      </c>
      <c r="H9" s="189">
        <v>33.549999999999997</v>
      </c>
      <c r="I9" s="189">
        <v>9.07</v>
      </c>
      <c r="J9" s="189">
        <v>0.1</v>
      </c>
      <c r="K9" s="189">
        <v>162.85</v>
      </c>
      <c r="L9" s="189">
        <v>21.98</v>
      </c>
      <c r="M9" s="189">
        <v>77.09</v>
      </c>
      <c r="N9" s="189">
        <v>0</v>
      </c>
      <c r="O9" s="189">
        <v>0</v>
      </c>
      <c r="P9" s="189">
        <v>0.9</v>
      </c>
      <c r="Q9" s="189">
        <v>4.8099999999999996</v>
      </c>
    </row>
    <row r="10" spans="1:21" customFormat="1">
      <c r="A10" s="6" t="s">
        <v>240</v>
      </c>
      <c r="B10" s="189">
        <v>18.86</v>
      </c>
      <c r="C10" s="189">
        <v>25.25</v>
      </c>
      <c r="D10" s="189">
        <v>29.67</v>
      </c>
      <c r="E10" s="189">
        <v>6.22</v>
      </c>
      <c r="F10" s="189">
        <v>2.71</v>
      </c>
      <c r="G10" s="189">
        <v>83.22</v>
      </c>
      <c r="H10" s="189">
        <v>33.549999999999997</v>
      </c>
      <c r="I10" s="189">
        <v>8.91</v>
      </c>
      <c r="J10" s="189">
        <v>0.26</v>
      </c>
      <c r="K10" s="189">
        <v>165.32</v>
      </c>
      <c r="L10" s="189">
        <v>21.97</v>
      </c>
      <c r="M10" s="189">
        <v>76.53</v>
      </c>
      <c r="N10" s="189">
        <v>0</v>
      </c>
      <c r="O10" s="189">
        <v>0</v>
      </c>
      <c r="P10" s="189">
        <v>0.89</v>
      </c>
      <c r="Q10" s="189">
        <v>4.8</v>
      </c>
    </row>
    <row r="11" spans="1:21" customFormat="1">
      <c r="A11" s="6" t="s">
        <v>241</v>
      </c>
      <c r="B11" s="189">
        <v>18.11</v>
      </c>
      <c r="C11" s="189">
        <v>25.36</v>
      </c>
      <c r="D11" s="189">
        <v>29.12</v>
      </c>
      <c r="E11" s="189">
        <v>5.75</v>
      </c>
      <c r="F11" s="189">
        <v>2.76</v>
      </c>
      <c r="G11" s="189">
        <v>83.22</v>
      </c>
      <c r="H11" s="189">
        <v>33.549999999999997</v>
      </c>
      <c r="I11" s="189">
        <v>8.73</v>
      </c>
      <c r="J11" s="189">
        <v>0.21</v>
      </c>
      <c r="K11" s="189">
        <v>157.08000000000001</v>
      </c>
      <c r="L11" s="189">
        <v>22.12</v>
      </c>
      <c r="M11" s="189">
        <v>75.209999999999994</v>
      </c>
      <c r="N11" s="189">
        <v>0</v>
      </c>
      <c r="O11" s="189">
        <v>0</v>
      </c>
      <c r="P11" s="189">
        <v>0.88</v>
      </c>
      <c r="Q11" s="189">
        <v>4.8</v>
      </c>
    </row>
    <row r="12" spans="1:21" customFormat="1">
      <c r="A12" s="6" t="s">
        <v>242</v>
      </c>
      <c r="B12" s="189">
        <v>17.190000000000001</v>
      </c>
      <c r="C12" s="189">
        <v>25.4</v>
      </c>
      <c r="D12" s="189">
        <v>28.4</v>
      </c>
      <c r="E12" s="189">
        <v>6.09</v>
      </c>
      <c r="F12" s="189">
        <v>2.69</v>
      </c>
      <c r="G12" s="189">
        <v>82.8</v>
      </c>
      <c r="H12" s="189">
        <v>33.520000000000003</v>
      </c>
      <c r="I12" s="189">
        <v>8.58</v>
      </c>
      <c r="J12" s="189">
        <v>0.15</v>
      </c>
      <c r="K12" s="189">
        <v>158.49</v>
      </c>
      <c r="L12" s="189">
        <v>21.85</v>
      </c>
      <c r="M12" s="189">
        <v>76.61</v>
      </c>
      <c r="N12" s="189">
        <v>0</v>
      </c>
      <c r="O12" s="189">
        <v>0</v>
      </c>
      <c r="P12" s="189">
        <v>0.86</v>
      </c>
      <c r="Q12" s="189">
        <v>4.78</v>
      </c>
    </row>
    <row r="13" spans="1:21" customFormat="1">
      <c r="A13" s="6" t="s">
        <v>243</v>
      </c>
      <c r="B13" s="189">
        <v>16.41</v>
      </c>
      <c r="C13" s="189">
        <v>25.87</v>
      </c>
      <c r="D13" s="189">
        <v>28.02</v>
      </c>
      <c r="E13" s="189">
        <v>6.07</v>
      </c>
      <c r="F13" s="189">
        <v>2.63</v>
      </c>
      <c r="G13" s="189">
        <v>64.31</v>
      </c>
      <c r="H13" s="189">
        <v>32.520000000000003</v>
      </c>
      <c r="I13" s="189">
        <v>8.39</v>
      </c>
      <c r="J13" s="189">
        <v>0.16</v>
      </c>
      <c r="K13" s="189">
        <v>161.16</v>
      </c>
      <c r="L13" s="189">
        <v>21.78</v>
      </c>
      <c r="M13" s="189">
        <v>76.45</v>
      </c>
      <c r="N13" s="189">
        <v>0</v>
      </c>
      <c r="O13" s="189">
        <v>0</v>
      </c>
      <c r="P13" s="189">
        <v>0.85</v>
      </c>
      <c r="Q13" s="189">
        <v>4.7699999999999996</v>
      </c>
    </row>
    <row r="14" spans="1:21" customFormat="1">
      <c r="A14" s="6" t="s">
        <v>244</v>
      </c>
      <c r="B14" s="189">
        <v>15.7</v>
      </c>
      <c r="C14" s="189">
        <v>25.63</v>
      </c>
      <c r="D14" s="189">
        <v>27.33</v>
      </c>
      <c r="E14" s="189">
        <v>6.23</v>
      </c>
      <c r="F14" s="189">
        <v>2.59</v>
      </c>
      <c r="G14" s="189">
        <v>64.31</v>
      </c>
      <c r="H14" s="189">
        <v>32.520000000000003</v>
      </c>
      <c r="I14" s="189">
        <v>8.1999999999999993</v>
      </c>
      <c r="J14" s="189">
        <v>0.09</v>
      </c>
      <c r="K14" s="189">
        <v>183.14</v>
      </c>
      <c r="L14" s="189">
        <v>21.78</v>
      </c>
      <c r="M14" s="189">
        <v>76.77</v>
      </c>
      <c r="N14" s="189">
        <v>0</v>
      </c>
      <c r="O14" s="189">
        <v>0</v>
      </c>
      <c r="P14" s="189">
        <v>0.83</v>
      </c>
      <c r="Q14" s="189">
        <v>4.7699999999999996</v>
      </c>
    </row>
    <row r="15" spans="1:21" customFormat="1">
      <c r="A15" s="6" t="s">
        <v>245</v>
      </c>
      <c r="B15" s="189">
        <v>15.03</v>
      </c>
      <c r="C15" s="189">
        <v>25.41</v>
      </c>
      <c r="D15" s="189">
        <v>26.68</v>
      </c>
      <c r="E15" s="189">
        <v>6.73</v>
      </c>
      <c r="F15" s="189">
        <v>2.7</v>
      </c>
      <c r="G15" s="189">
        <v>64.31</v>
      </c>
      <c r="H15" s="189">
        <v>32.520000000000003</v>
      </c>
      <c r="I15" s="189">
        <v>8</v>
      </c>
      <c r="J15" s="189">
        <v>0.1</v>
      </c>
      <c r="K15" s="189">
        <v>26.58</v>
      </c>
      <c r="L15" s="189">
        <v>21.46</v>
      </c>
      <c r="M15" s="189">
        <v>78.94</v>
      </c>
      <c r="N15" s="189">
        <v>0</v>
      </c>
      <c r="O15" s="189">
        <v>0</v>
      </c>
      <c r="P15" s="189">
        <v>0.81</v>
      </c>
      <c r="Q15" s="189">
        <v>4.76</v>
      </c>
    </row>
    <row r="16" spans="1:21" customFormat="1">
      <c r="A16" s="6" t="s">
        <v>246</v>
      </c>
      <c r="B16" s="189">
        <v>14.9</v>
      </c>
      <c r="C16" s="189">
        <v>25.74</v>
      </c>
      <c r="D16" s="189">
        <v>26.75</v>
      </c>
      <c r="E16" s="189">
        <v>6.47</v>
      </c>
      <c r="F16" s="189">
        <v>2.5</v>
      </c>
      <c r="G16" s="189">
        <v>64.28</v>
      </c>
      <c r="H16" s="189">
        <v>32.46</v>
      </c>
      <c r="I16" s="189">
        <v>7.83</v>
      </c>
      <c r="J16" s="189">
        <v>0.11</v>
      </c>
      <c r="K16" s="189">
        <v>54.68</v>
      </c>
      <c r="L16" s="189">
        <v>21.18</v>
      </c>
      <c r="M16" s="189">
        <v>80.38</v>
      </c>
      <c r="N16" s="189">
        <v>0</v>
      </c>
      <c r="O16" s="189">
        <v>0</v>
      </c>
      <c r="P16" s="189">
        <v>0.8</v>
      </c>
      <c r="Q16" s="189">
        <v>4.74</v>
      </c>
    </row>
    <row r="17" spans="1:17" customFormat="1">
      <c r="A17" s="6" t="s">
        <v>247</v>
      </c>
      <c r="B17" s="189">
        <v>15.08</v>
      </c>
      <c r="C17" s="189">
        <v>26.53</v>
      </c>
      <c r="D17" s="189">
        <v>27.31</v>
      </c>
      <c r="E17" s="189">
        <v>6.38</v>
      </c>
      <c r="F17" s="189">
        <v>2.54</v>
      </c>
      <c r="G17" s="189">
        <v>61.37</v>
      </c>
      <c r="H17" s="189">
        <v>28.35</v>
      </c>
      <c r="I17" s="189">
        <v>7.68</v>
      </c>
      <c r="J17" s="189">
        <v>0.1</v>
      </c>
      <c r="K17" s="189">
        <v>357.3</v>
      </c>
      <c r="L17" s="189">
        <v>20.97</v>
      </c>
      <c r="M17" s="189">
        <v>81.33</v>
      </c>
      <c r="N17" s="189">
        <v>0</v>
      </c>
      <c r="O17" s="189">
        <v>0</v>
      </c>
      <c r="P17" s="189">
        <v>0.79</v>
      </c>
      <c r="Q17" s="189">
        <v>4.72</v>
      </c>
    </row>
    <row r="18" spans="1:17" customFormat="1">
      <c r="A18" s="6" t="s">
        <v>248</v>
      </c>
      <c r="B18" s="189">
        <v>15.42</v>
      </c>
      <c r="C18" s="189">
        <v>26.69</v>
      </c>
      <c r="D18" s="189">
        <v>27.66</v>
      </c>
      <c r="E18" s="189">
        <v>7.61</v>
      </c>
      <c r="F18" s="189">
        <v>2.68</v>
      </c>
      <c r="G18" s="189">
        <v>61.37</v>
      </c>
      <c r="H18" s="189">
        <v>28.35</v>
      </c>
      <c r="I18" s="189">
        <v>7.51</v>
      </c>
      <c r="J18" s="189">
        <v>0.1</v>
      </c>
      <c r="K18" s="189">
        <v>76.28</v>
      </c>
      <c r="L18" s="189">
        <v>20.83</v>
      </c>
      <c r="M18" s="189">
        <v>82.1</v>
      </c>
      <c r="N18" s="189">
        <v>0</v>
      </c>
      <c r="O18" s="189">
        <v>0</v>
      </c>
      <c r="P18" s="189">
        <v>0.78</v>
      </c>
      <c r="Q18" s="189">
        <v>4.79</v>
      </c>
    </row>
    <row r="19" spans="1:17" customFormat="1">
      <c r="A19" s="6" t="s">
        <v>249</v>
      </c>
      <c r="B19" s="189">
        <v>15.59</v>
      </c>
      <c r="C19" s="189">
        <v>27.25</v>
      </c>
      <c r="D19" s="189">
        <v>28.09</v>
      </c>
      <c r="E19" s="189">
        <v>7.66</v>
      </c>
      <c r="F19" s="189">
        <v>2.6</v>
      </c>
      <c r="G19" s="189">
        <v>61.37</v>
      </c>
      <c r="H19" s="189">
        <v>28.35</v>
      </c>
      <c r="I19" s="189">
        <v>7.4</v>
      </c>
      <c r="J19" s="189">
        <v>0.11</v>
      </c>
      <c r="K19" s="189">
        <v>88.08</v>
      </c>
      <c r="L19" s="189">
        <v>20.84</v>
      </c>
      <c r="M19" s="189">
        <v>82.12</v>
      </c>
      <c r="N19" s="189">
        <v>0</v>
      </c>
      <c r="O19" s="189">
        <v>0</v>
      </c>
      <c r="P19" s="189">
        <v>0.78</v>
      </c>
      <c r="Q19" s="189">
        <v>4.82</v>
      </c>
    </row>
    <row r="20" spans="1:17" customFormat="1">
      <c r="A20" s="6" t="s">
        <v>250</v>
      </c>
      <c r="B20" s="189">
        <v>15.52</v>
      </c>
      <c r="C20" s="189">
        <v>27.05</v>
      </c>
      <c r="D20" s="189">
        <v>27.93</v>
      </c>
      <c r="E20" s="189">
        <v>7.52</v>
      </c>
      <c r="F20" s="189">
        <v>2.7</v>
      </c>
      <c r="G20" s="189">
        <v>61.39</v>
      </c>
      <c r="H20" s="189">
        <v>28.39</v>
      </c>
      <c r="I20" s="189">
        <v>7.29</v>
      </c>
      <c r="J20" s="189">
        <v>0.14000000000000001</v>
      </c>
      <c r="K20" s="189">
        <v>82.36</v>
      </c>
      <c r="L20" s="189">
        <v>20.82</v>
      </c>
      <c r="M20" s="189">
        <v>82.03</v>
      </c>
      <c r="N20" s="189">
        <v>0</v>
      </c>
      <c r="O20" s="189">
        <v>0</v>
      </c>
      <c r="P20" s="189">
        <v>0.77</v>
      </c>
      <c r="Q20" s="189">
        <v>4.8099999999999996</v>
      </c>
    </row>
    <row r="21" spans="1:17" customFormat="1">
      <c r="A21" s="6" t="s">
        <v>251</v>
      </c>
      <c r="B21" s="189">
        <v>15.29</v>
      </c>
      <c r="C21" s="189">
        <v>27.58</v>
      </c>
      <c r="D21" s="189">
        <v>28.02</v>
      </c>
      <c r="E21" s="189">
        <v>7.86</v>
      </c>
      <c r="F21" s="189">
        <v>2.7</v>
      </c>
      <c r="G21" s="189">
        <v>62.17</v>
      </c>
      <c r="H21" s="189">
        <v>30.81</v>
      </c>
      <c r="I21" s="189">
        <v>7.16</v>
      </c>
      <c r="J21" s="189">
        <v>0.12</v>
      </c>
      <c r="K21" s="189">
        <v>69.14</v>
      </c>
      <c r="L21" s="189">
        <v>20.68</v>
      </c>
      <c r="M21" s="189">
        <v>82.21</v>
      </c>
      <c r="N21" s="189">
        <v>0</v>
      </c>
      <c r="O21" s="189">
        <v>0</v>
      </c>
      <c r="P21" s="189">
        <v>0.76</v>
      </c>
      <c r="Q21" s="189">
        <v>4.83</v>
      </c>
    </row>
    <row r="22" spans="1:17" customFormat="1">
      <c r="A22" s="6" t="s">
        <v>252</v>
      </c>
      <c r="B22" s="189">
        <v>15.21</v>
      </c>
      <c r="C22" s="189">
        <v>27.24</v>
      </c>
      <c r="D22" s="189">
        <v>27.78</v>
      </c>
      <c r="E22" s="189">
        <v>7.41</v>
      </c>
      <c r="F22" s="189">
        <v>2.59</v>
      </c>
      <c r="G22" s="189">
        <v>62.17</v>
      </c>
      <c r="H22" s="189">
        <v>30.81</v>
      </c>
      <c r="I22" s="189">
        <v>7.02</v>
      </c>
      <c r="J22" s="189">
        <v>0.18</v>
      </c>
      <c r="K22" s="189">
        <v>53.96</v>
      </c>
      <c r="L22" s="189">
        <v>20.56</v>
      </c>
      <c r="M22" s="189">
        <v>82.99</v>
      </c>
      <c r="N22" s="189">
        <v>0</v>
      </c>
      <c r="O22" s="189">
        <v>0</v>
      </c>
      <c r="P22" s="189">
        <v>0.75</v>
      </c>
      <c r="Q22" s="189">
        <v>4.82</v>
      </c>
    </row>
    <row r="23" spans="1:17" customFormat="1">
      <c r="A23" s="6" t="s">
        <v>253</v>
      </c>
      <c r="B23" s="189">
        <v>15.08</v>
      </c>
      <c r="C23" s="189">
        <v>27.66</v>
      </c>
      <c r="D23" s="189">
        <v>27.9</v>
      </c>
      <c r="E23" s="189">
        <v>7.63</v>
      </c>
      <c r="F23" s="189">
        <v>2.67</v>
      </c>
      <c r="G23" s="189">
        <v>62.17</v>
      </c>
      <c r="H23" s="189">
        <v>30.81</v>
      </c>
      <c r="I23" s="189">
        <v>6.94</v>
      </c>
      <c r="J23" s="189">
        <v>0.26</v>
      </c>
      <c r="K23" s="189">
        <v>55.5</v>
      </c>
      <c r="L23" s="189">
        <v>20.39</v>
      </c>
      <c r="M23" s="189">
        <v>83.56</v>
      </c>
      <c r="N23" s="189">
        <v>0</v>
      </c>
      <c r="O23" s="189">
        <v>0</v>
      </c>
      <c r="P23" s="189">
        <v>0.75</v>
      </c>
      <c r="Q23" s="189">
        <v>4.8</v>
      </c>
    </row>
    <row r="24" spans="1:17" customFormat="1">
      <c r="A24" s="6" t="s">
        <v>254</v>
      </c>
      <c r="B24" s="189">
        <v>14.94</v>
      </c>
      <c r="C24" s="189">
        <v>27.54</v>
      </c>
      <c r="D24" s="189">
        <v>27.72</v>
      </c>
      <c r="E24" s="189">
        <v>7.66</v>
      </c>
      <c r="F24" s="189">
        <v>2.58</v>
      </c>
      <c r="G24" s="189">
        <v>62.18</v>
      </c>
      <c r="H24" s="189">
        <v>30.79</v>
      </c>
      <c r="I24" s="189">
        <v>6.87</v>
      </c>
      <c r="J24" s="189">
        <v>0.23</v>
      </c>
      <c r="K24" s="189">
        <v>67.150000000000006</v>
      </c>
      <c r="L24" s="189">
        <v>20.34</v>
      </c>
      <c r="M24" s="189">
        <v>83.62</v>
      </c>
      <c r="N24" s="189">
        <v>0</v>
      </c>
      <c r="O24" s="189">
        <v>0</v>
      </c>
      <c r="P24" s="189">
        <v>0.73</v>
      </c>
      <c r="Q24" s="189">
        <v>4.8</v>
      </c>
    </row>
    <row r="25" spans="1:17" customFormat="1">
      <c r="A25" s="6" t="s">
        <v>255</v>
      </c>
      <c r="B25" s="189">
        <v>14.76</v>
      </c>
      <c r="C25" s="189">
        <v>28.04</v>
      </c>
      <c r="D25" s="189">
        <v>27.84</v>
      </c>
      <c r="E25" s="189">
        <v>8.1</v>
      </c>
      <c r="F25" s="189">
        <v>2.58</v>
      </c>
      <c r="G25" s="189">
        <v>63.18</v>
      </c>
      <c r="H25" s="189">
        <v>29.54</v>
      </c>
      <c r="I25" s="189">
        <v>6.81</v>
      </c>
      <c r="J25" s="189">
        <v>0.09</v>
      </c>
      <c r="K25" s="189">
        <v>54.37</v>
      </c>
      <c r="L25" s="189">
        <v>20.18</v>
      </c>
      <c r="M25" s="189">
        <v>84.87</v>
      </c>
      <c r="N25" s="189">
        <v>0</v>
      </c>
      <c r="O25" s="189">
        <v>0</v>
      </c>
      <c r="P25" s="189">
        <v>0.73</v>
      </c>
      <c r="Q25" s="189">
        <v>4.8099999999999996</v>
      </c>
    </row>
    <row r="26" spans="1:17" customFormat="1">
      <c r="A26" s="6" t="s">
        <v>256</v>
      </c>
      <c r="B26" s="189">
        <v>15.02</v>
      </c>
      <c r="C26" s="189">
        <v>27.89</v>
      </c>
      <c r="D26" s="189">
        <v>27.97</v>
      </c>
      <c r="E26" s="189">
        <v>7.85</v>
      </c>
      <c r="F26" s="189">
        <v>2.6</v>
      </c>
      <c r="G26" s="189">
        <v>63.18</v>
      </c>
      <c r="H26" s="189">
        <v>29.54</v>
      </c>
      <c r="I26" s="189">
        <v>6.76</v>
      </c>
      <c r="J26" s="189">
        <v>0.2</v>
      </c>
      <c r="K26" s="189">
        <v>54.06</v>
      </c>
      <c r="L26" s="189">
        <v>20.03</v>
      </c>
      <c r="M26" s="189">
        <v>85.52</v>
      </c>
      <c r="N26" s="189">
        <v>0</v>
      </c>
      <c r="O26" s="189">
        <v>0</v>
      </c>
      <c r="P26" s="189">
        <v>0.72</v>
      </c>
      <c r="Q26" s="189">
        <v>4.8</v>
      </c>
    </row>
    <row r="27" spans="1:17" customFormat="1">
      <c r="A27" s="6" t="s">
        <v>257</v>
      </c>
      <c r="B27" s="189">
        <v>15.39</v>
      </c>
      <c r="C27" s="189">
        <v>28.56</v>
      </c>
      <c r="D27" s="189">
        <v>28.61</v>
      </c>
      <c r="E27" s="189">
        <v>7.99</v>
      </c>
      <c r="F27" s="189">
        <v>2.52</v>
      </c>
      <c r="G27" s="189">
        <v>63.18</v>
      </c>
      <c r="H27" s="189">
        <v>29.54</v>
      </c>
      <c r="I27" s="189">
        <v>6.7</v>
      </c>
      <c r="J27" s="189">
        <v>0.1</v>
      </c>
      <c r="K27" s="189">
        <v>46.18</v>
      </c>
      <c r="L27" s="189">
        <v>19.899999999999999</v>
      </c>
      <c r="M27" s="189">
        <v>86.42</v>
      </c>
      <c r="N27" s="189">
        <v>0</v>
      </c>
      <c r="O27" s="189">
        <v>0</v>
      </c>
      <c r="P27" s="189">
        <v>0.71</v>
      </c>
      <c r="Q27" s="189">
        <v>4.83</v>
      </c>
    </row>
    <row r="28" spans="1:17" customFormat="1">
      <c r="A28" s="6" t="s">
        <v>258</v>
      </c>
      <c r="B28" s="189">
        <v>15.96</v>
      </c>
      <c r="C28" s="189">
        <v>29.72</v>
      </c>
      <c r="D28" s="189">
        <v>29.68</v>
      </c>
      <c r="E28" s="189">
        <v>8.61</v>
      </c>
      <c r="F28" s="189">
        <v>2.46</v>
      </c>
      <c r="G28" s="189">
        <v>63.23</v>
      </c>
      <c r="H28" s="189">
        <v>29.57</v>
      </c>
      <c r="I28" s="189">
        <v>6.66</v>
      </c>
      <c r="J28" s="189">
        <v>0.2</v>
      </c>
      <c r="K28" s="189">
        <v>58.66</v>
      </c>
      <c r="L28" s="189">
        <v>19.760000000000002</v>
      </c>
      <c r="M28" s="189">
        <v>88.4</v>
      </c>
      <c r="N28" s="189">
        <v>0</v>
      </c>
      <c r="O28" s="189">
        <v>0</v>
      </c>
      <c r="P28" s="189">
        <v>0.72</v>
      </c>
      <c r="Q28" s="189">
        <v>4.83</v>
      </c>
    </row>
    <row r="29" spans="1:17" customFormat="1">
      <c r="A29" s="6" t="s">
        <v>259</v>
      </c>
      <c r="B29" s="189">
        <v>16.71</v>
      </c>
      <c r="C29" s="189">
        <v>26.44</v>
      </c>
      <c r="D29" s="189">
        <v>28.56</v>
      </c>
      <c r="E29" s="189">
        <v>8.0500000000000007</v>
      </c>
      <c r="F29" s="189">
        <v>2.83</v>
      </c>
      <c r="G29" s="189">
        <v>68.3</v>
      </c>
      <c r="H29" s="189">
        <v>31.93</v>
      </c>
      <c r="I29" s="189">
        <v>6.67</v>
      </c>
      <c r="J29" s="189">
        <v>0.1</v>
      </c>
      <c r="K29" s="189">
        <v>65.16</v>
      </c>
      <c r="L29" s="189">
        <v>19.440000000000001</v>
      </c>
      <c r="M29" s="189">
        <v>91.24</v>
      </c>
      <c r="N29" s="189">
        <v>0</v>
      </c>
      <c r="O29" s="189">
        <v>0</v>
      </c>
      <c r="P29" s="189">
        <v>0.69</v>
      </c>
      <c r="Q29" s="189">
        <v>4.87</v>
      </c>
    </row>
    <row r="30" spans="1:17" customFormat="1">
      <c r="A30" s="6" t="s">
        <v>260</v>
      </c>
      <c r="B30" s="189">
        <v>17.100000000000001</v>
      </c>
      <c r="C30" s="189">
        <v>23.58</v>
      </c>
      <c r="D30" s="189">
        <v>27.38</v>
      </c>
      <c r="E30" s="189">
        <v>7.29</v>
      </c>
      <c r="F30" s="189">
        <v>2.85</v>
      </c>
      <c r="G30" s="189">
        <v>68.3</v>
      </c>
      <c r="H30" s="189">
        <v>31.93</v>
      </c>
      <c r="I30" s="189">
        <v>6.73</v>
      </c>
      <c r="J30" s="189">
        <v>0.2</v>
      </c>
      <c r="K30" s="189">
        <v>78.53</v>
      </c>
      <c r="L30" s="189">
        <v>19.55</v>
      </c>
      <c r="M30" s="189">
        <v>88.87</v>
      </c>
      <c r="N30" s="189">
        <v>0</v>
      </c>
      <c r="O30" s="189">
        <v>0</v>
      </c>
      <c r="P30" s="189">
        <v>0.66</v>
      </c>
      <c r="Q30" s="189">
        <v>4.84</v>
      </c>
    </row>
    <row r="31" spans="1:17" customFormat="1">
      <c r="A31" s="6" t="s">
        <v>261</v>
      </c>
      <c r="B31" s="189">
        <v>17.47</v>
      </c>
      <c r="C31" s="189">
        <v>23.05</v>
      </c>
      <c r="D31" s="189">
        <v>27.4</v>
      </c>
      <c r="E31" s="189">
        <v>7.13</v>
      </c>
      <c r="F31" s="189">
        <v>2.82</v>
      </c>
      <c r="G31" s="189">
        <v>68.3</v>
      </c>
      <c r="H31" s="189">
        <v>31.93</v>
      </c>
      <c r="I31" s="189">
        <v>6.75</v>
      </c>
      <c r="J31" s="189">
        <v>0.2</v>
      </c>
      <c r="K31" s="189">
        <v>76.739999999999995</v>
      </c>
      <c r="L31" s="189">
        <v>19.63</v>
      </c>
      <c r="M31" s="189">
        <v>88.39</v>
      </c>
      <c r="N31" s="189">
        <v>0</v>
      </c>
      <c r="O31" s="189">
        <v>0</v>
      </c>
      <c r="P31" s="189">
        <v>0.66</v>
      </c>
      <c r="Q31" s="189">
        <v>4.83</v>
      </c>
    </row>
    <row r="32" spans="1:17" customFormat="1">
      <c r="A32" s="6" t="s">
        <v>262</v>
      </c>
      <c r="B32" s="189">
        <v>17.329999999999998</v>
      </c>
      <c r="C32" s="189">
        <v>24.07</v>
      </c>
      <c r="D32" s="189">
        <v>27.82</v>
      </c>
      <c r="E32" s="189">
        <v>7.11</v>
      </c>
      <c r="F32" s="189">
        <v>2.67</v>
      </c>
      <c r="G32" s="189">
        <v>68.319999999999993</v>
      </c>
      <c r="H32" s="189">
        <v>31.93</v>
      </c>
      <c r="I32" s="189">
        <v>6.77</v>
      </c>
      <c r="J32" s="189">
        <v>0.23</v>
      </c>
      <c r="K32" s="189">
        <v>49.61</v>
      </c>
      <c r="L32" s="189">
        <v>19.57</v>
      </c>
      <c r="M32" s="189">
        <v>88.35</v>
      </c>
      <c r="N32" s="189">
        <v>0</v>
      </c>
      <c r="O32" s="189">
        <v>0</v>
      </c>
      <c r="P32" s="189">
        <v>0.66</v>
      </c>
      <c r="Q32" s="189">
        <v>4.82</v>
      </c>
    </row>
    <row r="33" spans="1:17" customFormat="1">
      <c r="A33" s="6" t="s">
        <v>263</v>
      </c>
      <c r="B33" s="189">
        <v>17.28</v>
      </c>
      <c r="C33" s="189">
        <v>25.23</v>
      </c>
      <c r="D33" s="189">
        <v>28.38</v>
      </c>
      <c r="E33" s="189">
        <v>7.11</v>
      </c>
      <c r="F33" s="189">
        <v>2.56</v>
      </c>
      <c r="G33" s="189">
        <v>69.650000000000006</v>
      </c>
      <c r="H33" s="189">
        <v>32.26</v>
      </c>
      <c r="I33" s="189">
        <v>6.81</v>
      </c>
      <c r="J33" s="189">
        <v>0.19</v>
      </c>
      <c r="K33" s="189">
        <v>56.49</v>
      </c>
      <c r="L33" s="189">
        <v>19.52</v>
      </c>
      <c r="M33" s="189">
        <v>88.53</v>
      </c>
      <c r="N33" s="189">
        <v>0</v>
      </c>
      <c r="O33" s="189">
        <v>0</v>
      </c>
      <c r="P33" s="189">
        <v>0.68</v>
      </c>
      <c r="Q33" s="189">
        <v>4.79</v>
      </c>
    </row>
    <row r="34" spans="1:17" customFormat="1">
      <c r="A34" s="6" t="s">
        <v>264</v>
      </c>
      <c r="B34" s="189">
        <v>17.41</v>
      </c>
      <c r="C34" s="189">
        <v>25.2</v>
      </c>
      <c r="D34" s="189">
        <v>28.47</v>
      </c>
      <c r="E34" s="189">
        <v>7.71</v>
      </c>
      <c r="F34" s="189">
        <v>2.62</v>
      </c>
      <c r="G34" s="189">
        <v>69.650000000000006</v>
      </c>
      <c r="H34" s="189">
        <v>32.26</v>
      </c>
      <c r="I34" s="189">
        <v>6.8</v>
      </c>
      <c r="J34" s="189">
        <v>0.2</v>
      </c>
      <c r="K34" s="189">
        <v>68.290000000000006</v>
      </c>
      <c r="L34" s="189">
        <v>19.39</v>
      </c>
      <c r="M34" s="189">
        <v>89.3</v>
      </c>
      <c r="N34" s="189">
        <v>0.1</v>
      </c>
      <c r="O34" s="189">
        <v>0</v>
      </c>
      <c r="P34" s="189">
        <v>0.68</v>
      </c>
      <c r="Q34" s="189">
        <v>4.8</v>
      </c>
    </row>
    <row r="35" spans="1:17" customFormat="1">
      <c r="A35" s="6" t="s">
        <v>265</v>
      </c>
      <c r="B35" s="189">
        <v>17.54</v>
      </c>
      <c r="C35" s="189">
        <v>24.65</v>
      </c>
      <c r="D35" s="189">
        <v>28.3</v>
      </c>
      <c r="E35" s="189">
        <v>7.56</v>
      </c>
      <c r="F35" s="189">
        <v>2.66</v>
      </c>
      <c r="G35" s="189">
        <v>69.650000000000006</v>
      </c>
      <c r="H35" s="189">
        <v>32.26</v>
      </c>
      <c r="I35" s="189">
        <v>6.81</v>
      </c>
      <c r="J35" s="189">
        <v>0.22</v>
      </c>
      <c r="K35" s="189">
        <v>69.34</v>
      </c>
      <c r="L35" s="189">
        <v>19.510000000000002</v>
      </c>
      <c r="M35" s="189">
        <v>89.18</v>
      </c>
      <c r="N35" s="189">
        <v>5.3</v>
      </c>
      <c r="O35" s="189">
        <v>0</v>
      </c>
      <c r="P35" s="189">
        <v>0.68</v>
      </c>
      <c r="Q35" s="189">
        <v>4.82</v>
      </c>
    </row>
    <row r="36" spans="1:17" customFormat="1">
      <c r="A36" s="6" t="s">
        <v>266</v>
      </c>
      <c r="B36" s="189">
        <v>17.55</v>
      </c>
      <c r="C36" s="189">
        <v>24.73</v>
      </c>
      <c r="D36" s="189">
        <v>28.35</v>
      </c>
      <c r="E36" s="189">
        <v>7.35</v>
      </c>
      <c r="F36" s="189">
        <v>2.66</v>
      </c>
      <c r="G36" s="189">
        <v>69.73</v>
      </c>
      <c r="H36" s="189">
        <v>32.26</v>
      </c>
      <c r="I36" s="189">
        <v>6.83</v>
      </c>
      <c r="J36" s="189">
        <v>0.22</v>
      </c>
      <c r="K36" s="189">
        <v>73.5</v>
      </c>
      <c r="L36" s="189">
        <v>19.72</v>
      </c>
      <c r="M36" s="189">
        <v>88.45</v>
      </c>
      <c r="N36" s="189">
        <v>15.9</v>
      </c>
      <c r="O36" s="189">
        <v>0</v>
      </c>
      <c r="P36" s="189">
        <v>0.7</v>
      </c>
      <c r="Q36" s="189">
        <v>4.82</v>
      </c>
    </row>
    <row r="37" spans="1:17" customFormat="1">
      <c r="A37" s="6" t="s">
        <v>267</v>
      </c>
      <c r="B37" s="189">
        <v>17.34</v>
      </c>
      <c r="C37" s="189">
        <v>24.99</v>
      </c>
      <c r="D37" s="189">
        <v>28.31</v>
      </c>
      <c r="E37" s="189">
        <v>7.24</v>
      </c>
      <c r="F37" s="189">
        <v>2.62</v>
      </c>
      <c r="G37" s="189">
        <v>72.97</v>
      </c>
      <c r="H37" s="189">
        <v>32.71</v>
      </c>
      <c r="I37" s="189">
        <v>6.87</v>
      </c>
      <c r="J37" s="189">
        <v>0.3</v>
      </c>
      <c r="K37" s="189">
        <v>65.319999999999993</v>
      </c>
      <c r="L37" s="189">
        <v>19.97</v>
      </c>
      <c r="M37" s="189">
        <v>87.15</v>
      </c>
      <c r="N37" s="189">
        <v>28.5</v>
      </c>
      <c r="O37" s="189">
        <v>0</v>
      </c>
      <c r="P37" s="189">
        <v>0.7</v>
      </c>
      <c r="Q37" s="189">
        <v>4.83</v>
      </c>
    </row>
    <row r="38" spans="1:17" customFormat="1">
      <c r="A38" s="6" t="s">
        <v>268</v>
      </c>
      <c r="B38" s="189">
        <v>17.05</v>
      </c>
      <c r="C38" s="189">
        <v>25.7</v>
      </c>
      <c r="D38" s="189">
        <v>28.45</v>
      </c>
      <c r="E38" s="189">
        <v>7.75</v>
      </c>
      <c r="F38" s="189">
        <v>2.54</v>
      </c>
      <c r="G38" s="189">
        <v>72.97</v>
      </c>
      <c r="H38" s="189">
        <v>32.71</v>
      </c>
      <c r="I38" s="189">
        <v>6.91</v>
      </c>
      <c r="J38" s="189">
        <v>0.38</v>
      </c>
      <c r="K38" s="189">
        <v>48.72</v>
      </c>
      <c r="L38" s="189">
        <v>20.27</v>
      </c>
      <c r="M38" s="189">
        <v>86.7</v>
      </c>
      <c r="N38" s="189">
        <v>42.7</v>
      </c>
      <c r="O38" s="189">
        <v>0</v>
      </c>
      <c r="P38" s="189">
        <v>0.71</v>
      </c>
      <c r="Q38" s="189">
        <v>4.82</v>
      </c>
    </row>
    <row r="39" spans="1:17" customFormat="1">
      <c r="A39" s="6" t="s">
        <v>269</v>
      </c>
      <c r="B39" s="189">
        <v>17.02</v>
      </c>
      <c r="C39" s="189">
        <v>24.74</v>
      </c>
      <c r="D39" s="189">
        <v>27.92</v>
      </c>
      <c r="E39" s="189">
        <v>7.63</v>
      </c>
      <c r="F39" s="189">
        <v>2.77</v>
      </c>
      <c r="G39" s="189">
        <v>72.97</v>
      </c>
      <c r="H39" s="189">
        <v>32.71</v>
      </c>
      <c r="I39" s="189">
        <v>6.95</v>
      </c>
      <c r="J39" s="189">
        <v>0.38</v>
      </c>
      <c r="K39" s="189">
        <v>57.75</v>
      </c>
      <c r="L39" s="189">
        <v>20.81</v>
      </c>
      <c r="M39" s="189">
        <v>84.69</v>
      </c>
      <c r="N39" s="189">
        <v>57.1</v>
      </c>
      <c r="O39" s="189">
        <v>0</v>
      </c>
      <c r="P39" s="189">
        <v>0.71</v>
      </c>
      <c r="Q39" s="189">
        <v>4.83</v>
      </c>
    </row>
    <row r="40" spans="1:17" customFormat="1">
      <c r="A40" s="6" t="s">
        <v>270</v>
      </c>
      <c r="B40" s="189">
        <v>16.940000000000001</v>
      </c>
      <c r="C40" s="189">
        <v>25.29</v>
      </c>
      <c r="D40" s="189">
        <v>28.15</v>
      </c>
      <c r="E40" s="189">
        <v>7.38</v>
      </c>
      <c r="F40" s="189">
        <v>2.63</v>
      </c>
      <c r="G40" s="189">
        <v>72.98</v>
      </c>
      <c r="H40" s="189">
        <v>32.700000000000003</v>
      </c>
      <c r="I40" s="189">
        <v>6.98</v>
      </c>
      <c r="J40" s="189">
        <v>0.36</v>
      </c>
      <c r="K40" s="189">
        <v>64.58</v>
      </c>
      <c r="L40" s="189">
        <v>21.34</v>
      </c>
      <c r="M40" s="189">
        <v>82.55</v>
      </c>
      <c r="N40" s="189">
        <v>131.9</v>
      </c>
      <c r="O40" s="189">
        <v>0</v>
      </c>
      <c r="P40" s="189">
        <v>0.73</v>
      </c>
      <c r="Q40" s="189">
        <v>4.8099999999999996</v>
      </c>
    </row>
    <row r="41" spans="1:17" customFormat="1">
      <c r="A41" s="6" t="s">
        <v>271</v>
      </c>
      <c r="B41" s="189">
        <v>16.82</v>
      </c>
      <c r="C41" s="189">
        <v>24.69</v>
      </c>
      <c r="D41" s="189">
        <v>27.74</v>
      </c>
      <c r="E41" s="189">
        <v>7.36</v>
      </c>
      <c r="F41" s="189">
        <v>2.69</v>
      </c>
      <c r="G41" s="189">
        <v>73.709999999999994</v>
      </c>
      <c r="H41" s="189">
        <v>31.82</v>
      </c>
      <c r="I41" s="189">
        <v>7.04</v>
      </c>
      <c r="J41" s="189">
        <v>0.51</v>
      </c>
      <c r="K41" s="189">
        <v>43.42</v>
      </c>
      <c r="L41" s="189">
        <v>21.96</v>
      </c>
      <c r="M41" s="189">
        <v>79.930000000000007</v>
      </c>
      <c r="N41" s="189">
        <v>173.5</v>
      </c>
      <c r="O41" s="189">
        <v>0</v>
      </c>
      <c r="P41" s="189">
        <v>0.73</v>
      </c>
      <c r="Q41" s="189">
        <v>4.8099999999999996</v>
      </c>
    </row>
    <row r="42" spans="1:17" customFormat="1">
      <c r="A42" s="6" t="s">
        <v>272</v>
      </c>
      <c r="B42" s="189">
        <v>16.73</v>
      </c>
      <c r="C42" s="189">
        <v>24.5</v>
      </c>
      <c r="D42" s="189">
        <v>27.57</v>
      </c>
      <c r="E42" s="189">
        <v>7.67</v>
      </c>
      <c r="F42" s="189">
        <v>2.81</v>
      </c>
      <c r="G42" s="189">
        <v>73.709999999999994</v>
      </c>
      <c r="H42" s="189">
        <v>31.82</v>
      </c>
      <c r="I42" s="189">
        <v>7.06</v>
      </c>
      <c r="J42" s="189">
        <v>0.47</v>
      </c>
      <c r="K42" s="189">
        <v>63.41</v>
      </c>
      <c r="L42" s="189">
        <v>22.75</v>
      </c>
      <c r="M42" s="189">
        <v>76.400000000000006</v>
      </c>
      <c r="N42" s="189">
        <v>211</v>
      </c>
      <c r="O42" s="189">
        <v>0</v>
      </c>
      <c r="P42" s="189">
        <v>0.74</v>
      </c>
      <c r="Q42" s="189">
        <v>4.8</v>
      </c>
    </row>
    <row r="43" spans="1:17" customFormat="1">
      <c r="A43" s="6" t="s">
        <v>273</v>
      </c>
      <c r="B43" s="189">
        <v>16.47</v>
      </c>
      <c r="C43" s="189">
        <v>24.22</v>
      </c>
      <c r="D43" s="189">
        <v>27.21</v>
      </c>
      <c r="E43" s="189">
        <v>7.34</v>
      </c>
      <c r="F43" s="189">
        <v>2.8</v>
      </c>
      <c r="G43" s="189">
        <v>73.709999999999994</v>
      </c>
      <c r="H43" s="189">
        <v>31.82</v>
      </c>
      <c r="I43" s="189">
        <v>7.09</v>
      </c>
      <c r="J43" s="189">
        <v>0.48</v>
      </c>
      <c r="K43" s="189">
        <v>66.44</v>
      </c>
      <c r="L43" s="189">
        <v>23.49</v>
      </c>
      <c r="M43" s="189">
        <v>73.31</v>
      </c>
      <c r="N43" s="189">
        <v>251.2</v>
      </c>
      <c r="O43" s="189">
        <v>0</v>
      </c>
      <c r="P43" s="189">
        <v>0.74</v>
      </c>
      <c r="Q43" s="189">
        <v>4.8</v>
      </c>
    </row>
    <row r="44" spans="1:17" customFormat="1">
      <c r="A44" s="6" t="s">
        <v>274</v>
      </c>
      <c r="B44" s="189">
        <v>16.09</v>
      </c>
      <c r="C44" s="189">
        <v>23.56</v>
      </c>
      <c r="D44" s="189">
        <v>26.56</v>
      </c>
      <c r="E44" s="189">
        <v>7.42</v>
      </c>
      <c r="F44" s="189">
        <v>2.91</v>
      </c>
      <c r="G44" s="189">
        <v>73.69</v>
      </c>
      <c r="H44" s="189">
        <v>31.87</v>
      </c>
      <c r="I44" s="189">
        <v>7.08</v>
      </c>
      <c r="J44" s="189">
        <v>0.33</v>
      </c>
      <c r="K44" s="189">
        <v>74.239999999999995</v>
      </c>
      <c r="L44" s="189">
        <v>24.34</v>
      </c>
      <c r="M44" s="189">
        <v>70.64</v>
      </c>
      <c r="N44" s="189">
        <v>220</v>
      </c>
      <c r="O44" s="189">
        <v>0</v>
      </c>
      <c r="P44" s="189">
        <v>0.74</v>
      </c>
      <c r="Q44" s="189">
        <v>4.78</v>
      </c>
    </row>
    <row r="45" spans="1:17" customFormat="1">
      <c r="A45" s="6" t="s">
        <v>275</v>
      </c>
      <c r="B45" s="189">
        <v>15.63</v>
      </c>
      <c r="C45" s="189">
        <v>24.09</v>
      </c>
      <c r="D45" s="189">
        <v>26.47</v>
      </c>
      <c r="E45" s="189">
        <v>7.18</v>
      </c>
      <c r="F45" s="189">
        <v>2.83</v>
      </c>
      <c r="G45" s="189">
        <v>73.16</v>
      </c>
      <c r="H45" s="189">
        <v>35.22</v>
      </c>
      <c r="I45" s="189">
        <v>7.08</v>
      </c>
      <c r="J45" s="189">
        <v>0.33</v>
      </c>
      <c r="K45" s="189">
        <v>89.17</v>
      </c>
      <c r="L45" s="189">
        <v>24.74</v>
      </c>
      <c r="M45" s="189">
        <v>69.25</v>
      </c>
      <c r="N45" s="189">
        <v>131.30000000000001</v>
      </c>
      <c r="O45" s="189">
        <v>0</v>
      </c>
      <c r="P45" s="189">
        <v>0.74</v>
      </c>
      <c r="Q45" s="189">
        <v>4.79</v>
      </c>
    </row>
    <row r="46" spans="1:17" customFormat="1">
      <c r="A46" s="6" t="s">
        <v>276</v>
      </c>
      <c r="B46" s="189">
        <v>15.08</v>
      </c>
      <c r="C46" s="189">
        <v>23.55</v>
      </c>
      <c r="D46" s="189">
        <v>25.75</v>
      </c>
      <c r="E46" s="189">
        <v>7.5</v>
      </c>
      <c r="F46" s="189">
        <v>2.9</v>
      </c>
      <c r="G46" s="189">
        <v>73.16</v>
      </c>
      <c r="H46" s="189">
        <v>35.22</v>
      </c>
      <c r="I46" s="189">
        <v>7.05</v>
      </c>
      <c r="J46" s="189">
        <v>0.22</v>
      </c>
      <c r="K46" s="189">
        <v>98.24</v>
      </c>
      <c r="L46" s="189">
        <v>25.79</v>
      </c>
      <c r="M46" s="189">
        <v>65.260000000000005</v>
      </c>
      <c r="N46" s="189">
        <v>148.6</v>
      </c>
      <c r="O46" s="189">
        <v>0</v>
      </c>
      <c r="P46" s="189">
        <v>0.73</v>
      </c>
      <c r="Q46" s="189">
        <v>4.74</v>
      </c>
    </row>
    <row r="47" spans="1:17" customFormat="1">
      <c r="A47" s="6" t="s">
        <v>277</v>
      </c>
      <c r="B47" s="189">
        <v>14.25</v>
      </c>
      <c r="C47" s="189">
        <v>22.85</v>
      </c>
      <c r="D47" s="189">
        <v>24.72</v>
      </c>
      <c r="E47" s="189">
        <v>7.42</v>
      </c>
      <c r="F47" s="189">
        <v>3.14</v>
      </c>
      <c r="G47" s="189">
        <v>73.16</v>
      </c>
      <c r="H47" s="189">
        <v>35.22</v>
      </c>
      <c r="I47" s="189">
        <v>7.04</v>
      </c>
      <c r="J47" s="189">
        <v>0.28999999999999998</v>
      </c>
      <c r="K47" s="189">
        <v>125.4</v>
      </c>
      <c r="L47" s="189">
        <v>26.63</v>
      </c>
      <c r="M47" s="189">
        <v>61.59</v>
      </c>
      <c r="N47" s="189">
        <v>347.8</v>
      </c>
      <c r="O47" s="189">
        <v>0</v>
      </c>
      <c r="P47" s="189">
        <v>0.74</v>
      </c>
      <c r="Q47" s="189">
        <v>4.7300000000000004</v>
      </c>
    </row>
    <row r="48" spans="1:17" customFormat="1">
      <c r="A48" s="6" t="s">
        <v>278</v>
      </c>
      <c r="B48" s="189">
        <v>12.95</v>
      </c>
      <c r="C48" s="189">
        <v>23.33</v>
      </c>
      <c r="D48" s="189">
        <v>23.93</v>
      </c>
      <c r="E48" s="189">
        <v>7.23</v>
      </c>
      <c r="F48" s="189">
        <v>3.24</v>
      </c>
      <c r="G48" s="189">
        <v>73.06</v>
      </c>
      <c r="H48" s="189">
        <v>35.17</v>
      </c>
      <c r="I48" s="189">
        <v>7.03</v>
      </c>
      <c r="J48" s="189">
        <v>0.3</v>
      </c>
      <c r="K48" s="189">
        <v>74.69</v>
      </c>
      <c r="L48" s="189">
        <v>27.07</v>
      </c>
      <c r="M48" s="189">
        <v>60.1</v>
      </c>
      <c r="N48" s="189">
        <v>449.5</v>
      </c>
      <c r="O48" s="189">
        <v>0</v>
      </c>
      <c r="P48" s="189">
        <v>0.75</v>
      </c>
      <c r="Q48" s="189">
        <v>4.7</v>
      </c>
    </row>
    <row r="49" spans="1:17" customFormat="1">
      <c r="A49" s="6" t="s">
        <v>279</v>
      </c>
      <c r="B49" s="189">
        <v>11.75</v>
      </c>
      <c r="C49" s="189">
        <v>24.07</v>
      </c>
      <c r="D49" s="189">
        <v>23.35</v>
      </c>
      <c r="E49" s="189">
        <v>8.1199999999999992</v>
      </c>
      <c r="F49" s="189">
        <v>3.34</v>
      </c>
      <c r="G49" s="189">
        <v>68.73</v>
      </c>
      <c r="H49" s="189">
        <v>31.73</v>
      </c>
      <c r="I49" s="189">
        <v>6.97</v>
      </c>
      <c r="J49" s="189">
        <v>0.28000000000000003</v>
      </c>
      <c r="K49" s="189">
        <v>109.39</v>
      </c>
      <c r="L49" s="189">
        <v>27.85</v>
      </c>
      <c r="M49" s="189">
        <v>57.17</v>
      </c>
      <c r="N49" s="189">
        <v>482.2</v>
      </c>
      <c r="O49" s="189">
        <v>0</v>
      </c>
      <c r="P49" s="189">
        <v>0.74</v>
      </c>
      <c r="Q49" s="189">
        <v>4.66</v>
      </c>
    </row>
    <row r="50" spans="1:17" customFormat="1">
      <c r="A50" s="6" t="s">
        <v>280</v>
      </c>
      <c r="B50" s="189">
        <v>10.5</v>
      </c>
      <c r="C50" s="189">
        <v>24.54</v>
      </c>
      <c r="D50" s="189">
        <v>22.59</v>
      </c>
      <c r="E50" s="189">
        <v>9.07</v>
      </c>
      <c r="F50" s="189">
        <v>3.32</v>
      </c>
      <c r="G50" s="189">
        <v>68.73</v>
      </c>
      <c r="H50" s="189">
        <v>31.73</v>
      </c>
      <c r="I50" s="189">
        <v>6.89</v>
      </c>
      <c r="J50" s="189">
        <v>0.27</v>
      </c>
      <c r="K50" s="189">
        <v>96.02</v>
      </c>
      <c r="L50" s="189">
        <v>28.37</v>
      </c>
      <c r="M50" s="189">
        <v>55.38</v>
      </c>
      <c r="N50" s="189">
        <v>504.4</v>
      </c>
      <c r="O50" s="189">
        <v>0</v>
      </c>
      <c r="P50" s="189">
        <v>0.75</v>
      </c>
      <c r="Q50" s="189">
        <v>4.5999999999999996</v>
      </c>
    </row>
    <row r="51" spans="1:17" customFormat="1">
      <c r="A51" s="6" t="s">
        <v>281</v>
      </c>
      <c r="B51" s="189">
        <v>9.3800000000000008</v>
      </c>
      <c r="C51" s="189">
        <v>24.77</v>
      </c>
      <c r="D51" s="189">
        <v>21.81</v>
      </c>
      <c r="E51" s="189">
        <v>9.48</v>
      </c>
      <c r="F51" s="189">
        <v>3.51</v>
      </c>
      <c r="G51" s="189">
        <v>68.73</v>
      </c>
      <c r="H51" s="189">
        <v>31.73</v>
      </c>
      <c r="I51" s="189">
        <v>6.84</v>
      </c>
      <c r="J51" s="189">
        <v>0.24</v>
      </c>
      <c r="K51" s="189">
        <v>106.35</v>
      </c>
      <c r="L51" s="189">
        <v>28.62</v>
      </c>
      <c r="M51" s="189">
        <v>53.88</v>
      </c>
      <c r="N51" s="189">
        <v>527</v>
      </c>
      <c r="O51" s="189">
        <v>0</v>
      </c>
      <c r="P51" s="189">
        <v>0.74</v>
      </c>
      <c r="Q51" s="189">
        <v>4.58</v>
      </c>
    </row>
    <row r="52" spans="1:17" customFormat="1">
      <c r="A52" s="6" t="s">
        <v>282</v>
      </c>
      <c r="B52" s="189">
        <v>8.34</v>
      </c>
      <c r="C52" s="189">
        <v>24.81</v>
      </c>
      <c r="D52" s="189">
        <v>21</v>
      </c>
      <c r="E52" s="189">
        <v>9.15</v>
      </c>
      <c r="F52" s="189">
        <v>3.56</v>
      </c>
      <c r="G52" s="189">
        <v>68.52</v>
      </c>
      <c r="H52" s="189">
        <v>31.71</v>
      </c>
      <c r="I52" s="189">
        <v>6.77</v>
      </c>
      <c r="J52" s="189">
        <v>0.16</v>
      </c>
      <c r="K52" s="189">
        <v>105.37</v>
      </c>
      <c r="L52" s="189">
        <v>29.14</v>
      </c>
      <c r="M52" s="189">
        <v>52.03</v>
      </c>
      <c r="N52" s="189">
        <v>499.6</v>
      </c>
      <c r="O52" s="189">
        <v>0</v>
      </c>
      <c r="P52" s="189">
        <v>0.73</v>
      </c>
      <c r="Q52" s="189">
        <v>4.54</v>
      </c>
    </row>
    <row r="53" spans="1:17" customFormat="1">
      <c r="A53" s="6" t="s">
        <v>283</v>
      </c>
      <c r="B53" s="189">
        <v>7.48</v>
      </c>
      <c r="C53" s="189">
        <v>24.49</v>
      </c>
      <c r="D53" s="189">
        <v>20.149999999999999</v>
      </c>
      <c r="E53" s="189">
        <v>8.8699999999999992</v>
      </c>
      <c r="F53" s="189">
        <v>4.08</v>
      </c>
      <c r="G53" s="189">
        <v>59.06</v>
      </c>
      <c r="H53" s="189">
        <v>30.73</v>
      </c>
      <c r="I53" s="189">
        <v>6.68</v>
      </c>
      <c r="J53" s="189">
        <v>0.28999999999999998</v>
      </c>
      <c r="K53" s="189">
        <v>143.03</v>
      </c>
      <c r="L53" s="189">
        <v>29.62</v>
      </c>
      <c r="M53" s="189">
        <v>48.7</v>
      </c>
      <c r="N53" s="189">
        <v>551</v>
      </c>
      <c r="O53" s="189">
        <v>0</v>
      </c>
      <c r="P53" s="189">
        <v>0.73</v>
      </c>
      <c r="Q53" s="189">
        <v>4.5</v>
      </c>
    </row>
    <row r="54" spans="1:17" customFormat="1">
      <c r="A54" s="6" t="s">
        <v>284</v>
      </c>
      <c r="B54" s="189">
        <v>6.67</v>
      </c>
      <c r="C54" s="189">
        <v>23.99</v>
      </c>
      <c r="D54" s="189">
        <v>19.239999999999998</v>
      </c>
      <c r="E54" s="189">
        <v>8.77</v>
      </c>
      <c r="F54" s="189">
        <v>4.18</v>
      </c>
      <c r="G54" s="189">
        <v>59.06</v>
      </c>
      <c r="H54" s="189">
        <v>30.73</v>
      </c>
      <c r="I54" s="189">
        <v>6.57</v>
      </c>
      <c r="J54" s="189">
        <v>0.26</v>
      </c>
      <c r="K54" s="189">
        <v>123.98</v>
      </c>
      <c r="L54" s="189">
        <v>30.02</v>
      </c>
      <c r="M54" s="189">
        <v>48.24</v>
      </c>
      <c r="N54" s="189">
        <v>558.29999999999995</v>
      </c>
      <c r="O54" s="189">
        <v>0</v>
      </c>
      <c r="P54" s="189">
        <v>0.71</v>
      </c>
      <c r="Q54" s="189">
        <v>4.47</v>
      </c>
    </row>
    <row r="55" spans="1:17" customFormat="1">
      <c r="A55" s="6" t="s">
        <v>285</v>
      </c>
      <c r="B55" s="189">
        <v>6.05</v>
      </c>
      <c r="C55" s="189">
        <v>23.79</v>
      </c>
      <c r="D55" s="189">
        <v>18.63</v>
      </c>
      <c r="E55" s="189">
        <v>9.09</v>
      </c>
      <c r="F55" s="189">
        <v>4.08</v>
      </c>
      <c r="G55" s="189">
        <v>59.06</v>
      </c>
      <c r="H55" s="189">
        <v>30.73</v>
      </c>
      <c r="I55" s="189">
        <v>6.47</v>
      </c>
      <c r="J55" s="189">
        <v>0.15</v>
      </c>
      <c r="K55" s="189">
        <v>133.38999999999999</v>
      </c>
      <c r="L55" s="189">
        <v>30.35</v>
      </c>
      <c r="M55" s="189">
        <v>48.46</v>
      </c>
      <c r="N55" s="189">
        <v>557.1</v>
      </c>
      <c r="O55" s="189">
        <v>0</v>
      </c>
      <c r="P55" s="189">
        <v>0.7</v>
      </c>
      <c r="Q55" s="189">
        <v>4.47</v>
      </c>
    </row>
    <row r="56" spans="1:17" customFormat="1">
      <c r="A56" s="6" t="s">
        <v>286</v>
      </c>
      <c r="B56" s="189">
        <v>5.59</v>
      </c>
      <c r="C56" s="189">
        <v>23.65</v>
      </c>
      <c r="D56" s="189">
        <v>18.190000000000001</v>
      </c>
      <c r="E56" s="189">
        <v>9.49</v>
      </c>
      <c r="F56" s="189">
        <v>4.4400000000000004</v>
      </c>
      <c r="G56" s="189">
        <v>58.99</v>
      </c>
      <c r="H56" s="189">
        <v>30.73</v>
      </c>
      <c r="I56" s="189">
        <v>6.36</v>
      </c>
      <c r="J56" s="189">
        <v>0.21</v>
      </c>
      <c r="K56" s="189">
        <v>160.65</v>
      </c>
      <c r="L56" s="189">
        <v>30.4</v>
      </c>
      <c r="M56" s="189">
        <v>47.61</v>
      </c>
      <c r="N56" s="189">
        <v>560.9</v>
      </c>
      <c r="O56" s="189">
        <v>0</v>
      </c>
      <c r="P56" s="189">
        <v>0.69</v>
      </c>
      <c r="Q56" s="189">
        <v>4.46</v>
      </c>
    </row>
    <row r="57" spans="1:17" customFormat="1">
      <c r="A57" s="6" t="s">
        <v>287</v>
      </c>
      <c r="B57" s="189">
        <v>5.31</v>
      </c>
      <c r="C57" s="189">
        <v>23.24</v>
      </c>
      <c r="D57" s="189">
        <v>17.75</v>
      </c>
      <c r="E57" s="189">
        <v>9.3699999999999992</v>
      </c>
      <c r="F57" s="189">
        <v>5.71</v>
      </c>
      <c r="G57" s="189">
        <v>55.7</v>
      </c>
      <c r="H57" s="189">
        <v>30.42</v>
      </c>
      <c r="I57" s="189">
        <v>6.25</v>
      </c>
      <c r="J57" s="189">
        <v>0.2</v>
      </c>
      <c r="K57" s="189">
        <v>76.459999999999994</v>
      </c>
      <c r="L57" s="189">
        <v>30.59</v>
      </c>
      <c r="M57" s="189">
        <v>47.48</v>
      </c>
      <c r="N57" s="189">
        <v>567.29999999999995</v>
      </c>
      <c r="O57" s="189">
        <v>0</v>
      </c>
      <c r="P57" s="189">
        <v>0.69</v>
      </c>
      <c r="Q57" s="189">
        <v>4.45</v>
      </c>
    </row>
    <row r="58" spans="1:17" customFormat="1">
      <c r="A58" s="6" t="s">
        <v>288</v>
      </c>
      <c r="B58" s="189">
        <v>5.31</v>
      </c>
      <c r="C58" s="189">
        <v>22.77</v>
      </c>
      <c r="D58" s="189">
        <v>17.5</v>
      </c>
      <c r="E58" s="189">
        <v>10.01</v>
      </c>
      <c r="F58" s="189">
        <v>4.6500000000000004</v>
      </c>
      <c r="G58" s="189">
        <v>55.7</v>
      </c>
      <c r="H58" s="189">
        <v>30.42</v>
      </c>
      <c r="I58" s="189">
        <v>6.14</v>
      </c>
      <c r="J58" s="189">
        <v>0.35</v>
      </c>
      <c r="K58" s="189">
        <v>69.19</v>
      </c>
      <c r="L58" s="189">
        <v>30.49</v>
      </c>
      <c r="M58" s="189">
        <v>46.97</v>
      </c>
      <c r="N58" s="189">
        <v>542</v>
      </c>
      <c r="O58" s="189">
        <v>0</v>
      </c>
      <c r="P58" s="189">
        <v>0.68</v>
      </c>
      <c r="Q58" s="189">
        <v>4.45</v>
      </c>
    </row>
    <row r="59" spans="1:17" customFormat="1">
      <c r="A59" s="6" t="s">
        <v>289</v>
      </c>
      <c r="B59" s="189">
        <v>5.21</v>
      </c>
      <c r="C59" s="189">
        <v>23.23</v>
      </c>
      <c r="D59" s="189">
        <v>17.66</v>
      </c>
      <c r="E59" s="189">
        <v>9.39</v>
      </c>
      <c r="F59" s="189">
        <v>4.3499999999999996</v>
      </c>
      <c r="G59" s="189">
        <v>55.7</v>
      </c>
      <c r="H59" s="189">
        <v>30.42</v>
      </c>
      <c r="I59" s="189">
        <v>6.06</v>
      </c>
      <c r="J59" s="189">
        <v>0.33</v>
      </c>
      <c r="K59" s="189">
        <v>64.760000000000005</v>
      </c>
      <c r="L59" s="189">
        <v>30.67</v>
      </c>
      <c r="M59" s="189">
        <v>45.5</v>
      </c>
      <c r="N59" s="189">
        <v>534</v>
      </c>
      <c r="O59" s="189">
        <v>0</v>
      </c>
      <c r="P59" s="189">
        <v>0.67</v>
      </c>
      <c r="Q59" s="189">
        <v>4.4400000000000004</v>
      </c>
    </row>
    <row r="60" spans="1:17" customFormat="1">
      <c r="A60" s="6" t="s">
        <v>290</v>
      </c>
      <c r="B60" s="189">
        <v>5.17</v>
      </c>
      <c r="C60" s="189">
        <v>23.03</v>
      </c>
      <c r="D60" s="189">
        <v>17.53</v>
      </c>
      <c r="E60" s="189">
        <v>9.8000000000000007</v>
      </c>
      <c r="F60" s="189">
        <v>4.5999999999999996</v>
      </c>
      <c r="G60" s="189">
        <v>55.68</v>
      </c>
      <c r="H60" s="189">
        <v>30.32</v>
      </c>
      <c r="I60" s="189">
        <v>6.02</v>
      </c>
      <c r="J60" s="189">
        <v>0.26</v>
      </c>
      <c r="K60" s="189">
        <v>169.88</v>
      </c>
      <c r="L60" s="189">
        <v>30.23</v>
      </c>
      <c r="M60" s="189">
        <v>45.71</v>
      </c>
      <c r="N60" s="189">
        <v>321.39999999999998</v>
      </c>
      <c r="O60" s="189">
        <v>0</v>
      </c>
      <c r="P60" s="189">
        <v>0.67</v>
      </c>
      <c r="Q60" s="189">
        <v>4.4400000000000004</v>
      </c>
    </row>
    <row r="61" spans="1:17" customFormat="1">
      <c r="A61" s="6" t="s">
        <v>291</v>
      </c>
      <c r="B61" s="189">
        <v>5.23</v>
      </c>
      <c r="C61" s="189">
        <v>23.48</v>
      </c>
      <c r="D61" s="189">
        <v>17.809999999999999</v>
      </c>
      <c r="E61" s="189">
        <v>9.7799999999999994</v>
      </c>
      <c r="F61" s="189">
        <v>6.43</v>
      </c>
      <c r="G61" s="189">
        <v>54.59</v>
      </c>
      <c r="H61" s="189">
        <v>23.69</v>
      </c>
      <c r="I61" s="189">
        <v>5.96</v>
      </c>
      <c r="J61" s="189">
        <v>0.56999999999999995</v>
      </c>
      <c r="K61" s="189">
        <v>57.01</v>
      </c>
      <c r="L61" s="189">
        <v>29.78</v>
      </c>
      <c r="M61" s="189">
        <v>46.07</v>
      </c>
      <c r="N61" s="189">
        <v>300.3</v>
      </c>
      <c r="O61" s="189">
        <v>0</v>
      </c>
      <c r="P61" s="189">
        <v>0.67</v>
      </c>
      <c r="Q61" s="189">
        <v>4.43</v>
      </c>
    </row>
    <row r="62" spans="1:17" customFormat="1">
      <c r="A62" s="6" t="s">
        <v>292</v>
      </c>
      <c r="B62" s="189">
        <v>5.38</v>
      </c>
      <c r="C62" s="189">
        <v>23.46</v>
      </c>
      <c r="D62" s="189">
        <v>17.920000000000002</v>
      </c>
      <c r="E62" s="189">
        <v>9.8800000000000008</v>
      </c>
      <c r="F62" s="189">
        <v>5.01</v>
      </c>
      <c r="G62" s="189">
        <v>54.59</v>
      </c>
      <c r="H62" s="189">
        <v>23.69</v>
      </c>
      <c r="I62" s="189">
        <v>5.87</v>
      </c>
      <c r="J62" s="189">
        <v>0.48</v>
      </c>
      <c r="K62" s="189">
        <v>64.48</v>
      </c>
      <c r="L62" s="189">
        <v>30.14</v>
      </c>
      <c r="M62" s="189">
        <v>44.71</v>
      </c>
      <c r="N62" s="189">
        <v>440</v>
      </c>
      <c r="O62" s="189">
        <v>0</v>
      </c>
      <c r="P62" s="189">
        <v>0.66</v>
      </c>
      <c r="Q62" s="189">
        <v>4.45</v>
      </c>
    </row>
    <row r="63" spans="1:17" customFormat="1">
      <c r="A63" s="6" t="s">
        <v>293</v>
      </c>
      <c r="B63" s="189">
        <v>5.54</v>
      </c>
      <c r="C63" s="189">
        <v>23.79</v>
      </c>
      <c r="D63" s="189">
        <v>18.22</v>
      </c>
      <c r="E63" s="189">
        <v>9.7899999999999991</v>
      </c>
      <c r="F63" s="189">
        <v>5.33</v>
      </c>
      <c r="G63" s="189">
        <v>54.59</v>
      </c>
      <c r="H63" s="189">
        <v>23.69</v>
      </c>
      <c r="I63" s="189">
        <v>5.82</v>
      </c>
      <c r="J63" s="189">
        <v>0.34</v>
      </c>
      <c r="K63" s="189">
        <v>59.92</v>
      </c>
      <c r="L63" s="189">
        <v>30.54</v>
      </c>
      <c r="M63" s="189">
        <v>42.92</v>
      </c>
      <c r="N63" s="189">
        <v>477.7</v>
      </c>
      <c r="O63" s="189">
        <v>0</v>
      </c>
      <c r="P63" s="189">
        <v>0.66</v>
      </c>
      <c r="Q63" s="189">
        <v>4.45</v>
      </c>
    </row>
    <row r="64" spans="1:17" customFormat="1">
      <c r="A64" s="6" t="s">
        <v>294</v>
      </c>
      <c r="B64" s="189">
        <v>5.56</v>
      </c>
      <c r="C64" s="189">
        <v>23.67</v>
      </c>
      <c r="D64" s="189">
        <v>18.18</v>
      </c>
      <c r="E64" s="189">
        <v>9.99</v>
      </c>
      <c r="F64" s="189">
        <v>6.06</v>
      </c>
      <c r="G64" s="189">
        <v>54.59</v>
      </c>
      <c r="H64" s="189">
        <v>23.61</v>
      </c>
      <c r="I64" s="189">
        <v>5.77</v>
      </c>
      <c r="J64" s="189">
        <v>0.38</v>
      </c>
      <c r="K64" s="189">
        <v>72.37</v>
      </c>
      <c r="L64" s="189">
        <v>30.81</v>
      </c>
      <c r="M64" s="189">
        <v>41.22</v>
      </c>
      <c r="N64" s="189">
        <v>392.1</v>
      </c>
      <c r="O64" s="189">
        <v>0</v>
      </c>
      <c r="P64" s="189">
        <v>0.66</v>
      </c>
      <c r="Q64" s="189">
        <v>4.4400000000000004</v>
      </c>
    </row>
    <row r="65" spans="1:17" customFormat="1">
      <c r="A65" s="6" t="s">
        <v>295</v>
      </c>
      <c r="B65" s="189">
        <v>5.6</v>
      </c>
      <c r="C65" s="189">
        <v>23.75</v>
      </c>
      <c r="D65" s="189">
        <v>18.25</v>
      </c>
      <c r="E65" s="189">
        <v>10.45</v>
      </c>
      <c r="F65" s="189">
        <v>4.6100000000000003</v>
      </c>
      <c r="G65" s="189">
        <v>54.29</v>
      </c>
      <c r="H65" s="189">
        <v>18.850000000000001</v>
      </c>
      <c r="I65" s="189">
        <v>5.71</v>
      </c>
      <c r="J65" s="189">
        <v>0.25</v>
      </c>
      <c r="K65" s="189">
        <v>98.81</v>
      </c>
      <c r="L65" s="189">
        <v>30.67</v>
      </c>
      <c r="M65" s="189">
        <v>41.22</v>
      </c>
      <c r="N65" s="189">
        <v>147.6</v>
      </c>
      <c r="O65" s="189">
        <v>0</v>
      </c>
      <c r="P65" s="189">
        <v>0.64</v>
      </c>
      <c r="Q65" s="189">
        <v>4.45</v>
      </c>
    </row>
    <row r="66" spans="1:17" customFormat="1">
      <c r="A66" s="6" t="s">
        <v>296</v>
      </c>
      <c r="B66" s="189">
        <v>5.41</v>
      </c>
      <c r="C66" s="189">
        <v>23.55</v>
      </c>
      <c r="D66" s="189">
        <v>18</v>
      </c>
      <c r="E66" s="189">
        <v>9.86</v>
      </c>
      <c r="F66" s="189">
        <v>5.51</v>
      </c>
      <c r="G66" s="189">
        <v>54.29</v>
      </c>
      <c r="H66" s="189">
        <v>18.850000000000001</v>
      </c>
      <c r="I66" s="189">
        <v>5.63</v>
      </c>
      <c r="J66" s="189">
        <v>0.17</v>
      </c>
      <c r="K66" s="189">
        <v>149.55000000000001</v>
      </c>
      <c r="L66" s="189">
        <v>30.33</v>
      </c>
      <c r="M66" s="189">
        <v>42.52</v>
      </c>
      <c r="N66" s="189">
        <v>102.1</v>
      </c>
      <c r="O66" s="189">
        <v>0</v>
      </c>
      <c r="P66" s="189">
        <v>0.67</v>
      </c>
      <c r="Q66" s="189">
        <v>4.46</v>
      </c>
    </row>
    <row r="67" spans="1:17" customFormat="1">
      <c r="A67" s="6" t="s">
        <v>297</v>
      </c>
      <c r="B67" s="189">
        <v>5.34</v>
      </c>
      <c r="C67" s="189">
        <v>24.24</v>
      </c>
      <c r="D67" s="189">
        <v>18.3</v>
      </c>
      <c r="E67" s="189">
        <v>9.7899999999999991</v>
      </c>
      <c r="F67" s="189">
        <v>6.1</v>
      </c>
      <c r="G67" s="189">
        <v>54.29</v>
      </c>
      <c r="H67" s="189">
        <v>18.850000000000001</v>
      </c>
      <c r="I67" s="189">
        <v>5.57</v>
      </c>
      <c r="J67" s="189">
        <v>0.48</v>
      </c>
      <c r="K67" s="189">
        <v>65.14</v>
      </c>
      <c r="L67" s="189">
        <v>30.04</v>
      </c>
      <c r="M67" s="189">
        <v>43.34</v>
      </c>
      <c r="N67" s="189">
        <v>87.1</v>
      </c>
      <c r="O67" s="189">
        <v>0</v>
      </c>
      <c r="P67" s="189">
        <v>0.67</v>
      </c>
      <c r="Q67" s="189">
        <v>4.4400000000000004</v>
      </c>
    </row>
    <row r="68" spans="1:17" customFormat="1">
      <c r="A68" s="6" t="s">
        <v>298</v>
      </c>
      <c r="B68" s="189">
        <v>5.66</v>
      </c>
      <c r="C68" s="189">
        <v>23.16</v>
      </c>
      <c r="D68" s="189">
        <v>17.989999999999998</v>
      </c>
      <c r="E68" s="189">
        <v>9.8699999999999992</v>
      </c>
      <c r="F68" s="189">
        <v>7.31</v>
      </c>
      <c r="G68" s="189">
        <v>54.15</v>
      </c>
      <c r="H68" s="189">
        <v>18.850000000000001</v>
      </c>
      <c r="I68" s="189">
        <v>5.49</v>
      </c>
      <c r="J68" s="189">
        <v>0.4</v>
      </c>
      <c r="K68" s="189">
        <v>73.66</v>
      </c>
      <c r="L68" s="189">
        <v>29.7</v>
      </c>
      <c r="M68" s="189">
        <v>43.34</v>
      </c>
      <c r="N68" s="189">
        <v>75.8</v>
      </c>
      <c r="O68" s="189">
        <v>0</v>
      </c>
      <c r="P68" s="189">
        <v>0.67</v>
      </c>
      <c r="Q68" s="189">
        <v>4.45</v>
      </c>
    </row>
    <row r="69" spans="1:17" customFormat="1">
      <c r="A69" s="6" t="s">
        <v>299</v>
      </c>
      <c r="B69" s="189">
        <v>5.81</v>
      </c>
      <c r="C69" s="189">
        <v>20.78</v>
      </c>
      <c r="D69" s="189">
        <v>16.87</v>
      </c>
      <c r="E69" s="189">
        <v>9.7799999999999994</v>
      </c>
      <c r="F69" s="189">
        <v>8.24</v>
      </c>
      <c r="G69" s="189">
        <v>47.72</v>
      </c>
      <c r="H69" s="189">
        <v>18.55</v>
      </c>
      <c r="I69" s="189">
        <v>5.4</v>
      </c>
      <c r="J69" s="189">
        <v>0.51</v>
      </c>
      <c r="K69" s="189">
        <v>54.54</v>
      </c>
      <c r="L69" s="189">
        <v>29.64</v>
      </c>
      <c r="M69" s="189">
        <v>43.97</v>
      </c>
      <c r="N69" s="189">
        <v>77.3</v>
      </c>
      <c r="O69" s="189">
        <v>0</v>
      </c>
      <c r="P69" s="189">
        <v>0.66</v>
      </c>
      <c r="Q69" s="189">
        <v>4.45</v>
      </c>
    </row>
    <row r="70" spans="1:17" customFormat="1">
      <c r="A70" s="6" t="s">
        <v>300</v>
      </c>
      <c r="B70" s="189">
        <v>5.84</v>
      </c>
      <c r="C70" s="189">
        <v>19.66</v>
      </c>
      <c r="D70" s="189">
        <v>16.309999999999999</v>
      </c>
      <c r="E70" s="189">
        <v>9.23</v>
      </c>
      <c r="F70" s="189">
        <v>7.15</v>
      </c>
      <c r="G70" s="189">
        <v>47.72</v>
      </c>
      <c r="H70" s="189">
        <v>18.55</v>
      </c>
      <c r="I70" s="189">
        <v>5.32</v>
      </c>
      <c r="J70" s="189">
        <v>0.31</v>
      </c>
      <c r="K70" s="189">
        <v>105.3</v>
      </c>
      <c r="L70" s="189">
        <v>29.5</v>
      </c>
      <c r="M70" s="189">
        <v>44.9</v>
      </c>
      <c r="N70" s="189">
        <v>65.900000000000006</v>
      </c>
      <c r="O70" s="189">
        <v>0</v>
      </c>
      <c r="P70" s="189">
        <v>0.64</v>
      </c>
      <c r="Q70" s="189">
        <v>4.42</v>
      </c>
    </row>
    <row r="71" spans="1:17" customFormat="1">
      <c r="A71" s="6" t="s">
        <v>301</v>
      </c>
      <c r="B71" s="189">
        <v>5.89</v>
      </c>
      <c r="C71" s="189">
        <v>18.87</v>
      </c>
      <c r="D71" s="189">
        <v>15.93</v>
      </c>
      <c r="E71" s="189">
        <v>9.6</v>
      </c>
      <c r="F71" s="189">
        <v>6.21</v>
      </c>
      <c r="G71" s="189">
        <v>47.72</v>
      </c>
      <c r="H71" s="189">
        <v>18.55</v>
      </c>
      <c r="I71" s="189">
        <v>5.35</v>
      </c>
      <c r="J71" s="189">
        <v>0.23</v>
      </c>
      <c r="K71" s="189">
        <v>132.33000000000001</v>
      </c>
      <c r="L71" s="189">
        <v>29.37</v>
      </c>
      <c r="M71" s="189">
        <v>47.61</v>
      </c>
      <c r="N71" s="189">
        <v>73.7</v>
      </c>
      <c r="O71" s="189">
        <v>0</v>
      </c>
      <c r="P71" s="189">
        <v>0.64</v>
      </c>
      <c r="Q71" s="189">
        <v>4.4000000000000004</v>
      </c>
    </row>
    <row r="72" spans="1:17" customFormat="1">
      <c r="A72" s="6" t="s">
        <v>302</v>
      </c>
      <c r="B72" s="189">
        <v>5.95</v>
      </c>
      <c r="C72" s="189">
        <v>18.440000000000001</v>
      </c>
      <c r="D72" s="189">
        <v>15.76</v>
      </c>
      <c r="E72" s="189">
        <v>9.4700000000000006</v>
      </c>
      <c r="F72" s="189">
        <v>8.8699999999999992</v>
      </c>
      <c r="G72" s="189">
        <v>47.62</v>
      </c>
      <c r="H72" s="189">
        <v>18.57</v>
      </c>
      <c r="I72" s="189">
        <v>5.36</v>
      </c>
      <c r="J72" s="189">
        <v>0.24</v>
      </c>
      <c r="K72" s="189">
        <v>109.99</v>
      </c>
      <c r="L72" s="189">
        <v>29.19</v>
      </c>
      <c r="M72" s="189">
        <v>48</v>
      </c>
      <c r="N72" s="189">
        <v>45.8</v>
      </c>
      <c r="O72" s="189">
        <v>0</v>
      </c>
      <c r="P72" s="189">
        <v>0.64</v>
      </c>
      <c r="Q72" s="189">
        <v>4.4000000000000004</v>
      </c>
    </row>
    <row r="73" spans="1:17" customFormat="1">
      <c r="A73" s="6" t="s">
        <v>303</v>
      </c>
      <c r="B73" s="189">
        <v>6.02</v>
      </c>
      <c r="C73" s="189">
        <v>18.100000000000001</v>
      </c>
      <c r="D73" s="189">
        <v>15.64</v>
      </c>
      <c r="E73" s="189">
        <v>10.71</v>
      </c>
      <c r="F73" s="189">
        <v>9.2100000000000009</v>
      </c>
      <c r="G73" s="189">
        <v>43.57</v>
      </c>
      <c r="H73" s="189">
        <v>19.93</v>
      </c>
      <c r="I73" s="189">
        <v>5.34</v>
      </c>
      <c r="J73" s="189">
        <v>0.41</v>
      </c>
      <c r="K73" s="189">
        <v>63.76</v>
      </c>
      <c r="L73" s="189">
        <v>28.96</v>
      </c>
      <c r="M73" s="189">
        <v>48.47</v>
      </c>
      <c r="N73" s="189">
        <v>36.200000000000003</v>
      </c>
      <c r="O73" s="189">
        <v>0</v>
      </c>
      <c r="P73" s="189">
        <v>0.64</v>
      </c>
      <c r="Q73" s="189">
        <v>4.4000000000000004</v>
      </c>
    </row>
    <row r="74" spans="1:17" customFormat="1">
      <c r="A74" s="6" t="s">
        <v>304</v>
      </c>
      <c r="B74" s="189">
        <v>6.09</v>
      </c>
      <c r="C74" s="189">
        <v>18.52</v>
      </c>
      <c r="D74" s="189">
        <v>15.91</v>
      </c>
      <c r="E74" s="189">
        <v>10.51</v>
      </c>
      <c r="F74" s="189">
        <v>8.67</v>
      </c>
      <c r="G74" s="189">
        <v>43.57</v>
      </c>
      <c r="H74" s="189">
        <v>19.93</v>
      </c>
      <c r="I74" s="189">
        <v>5.25</v>
      </c>
      <c r="J74" s="189">
        <v>0.31</v>
      </c>
      <c r="K74" s="189">
        <v>70.17</v>
      </c>
      <c r="L74" s="189">
        <v>28.76</v>
      </c>
      <c r="M74" s="189">
        <v>50.18</v>
      </c>
      <c r="N74" s="189">
        <v>31.4</v>
      </c>
      <c r="O74" s="189">
        <v>0</v>
      </c>
      <c r="P74" s="189">
        <v>0.64</v>
      </c>
      <c r="Q74" s="189">
        <v>4.4000000000000004</v>
      </c>
    </row>
    <row r="75" spans="1:17" customFormat="1">
      <c r="A75" s="6" t="s">
        <v>305</v>
      </c>
      <c r="B75" s="189">
        <v>6.14</v>
      </c>
      <c r="C75" s="189">
        <v>18.71</v>
      </c>
      <c r="D75" s="189">
        <v>16.05</v>
      </c>
      <c r="E75" s="189">
        <v>10.36</v>
      </c>
      <c r="F75" s="189">
        <v>8.77</v>
      </c>
      <c r="G75" s="189">
        <v>43.57</v>
      </c>
      <c r="H75" s="189">
        <v>19.93</v>
      </c>
      <c r="I75" s="189">
        <v>5.24</v>
      </c>
      <c r="J75" s="189">
        <v>0.31</v>
      </c>
      <c r="K75" s="189">
        <v>60.64</v>
      </c>
      <c r="L75" s="189">
        <v>28.51</v>
      </c>
      <c r="M75" s="189">
        <v>51.07</v>
      </c>
      <c r="N75" s="189">
        <v>23.7</v>
      </c>
      <c r="O75" s="189">
        <v>0</v>
      </c>
      <c r="P75" s="189">
        <v>0.65</v>
      </c>
      <c r="Q75" s="189">
        <v>4.3899999999999997</v>
      </c>
    </row>
    <row r="76" spans="1:17" customFormat="1">
      <c r="A76" s="6" t="s">
        <v>306</v>
      </c>
      <c r="B76" s="189">
        <v>7.34</v>
      </c>
      <c r="C76" s="189">
        <v>19.760000000000002</v>
      </c>
      <c r="D76" s="189">
        <v>17.559999999999999</v>
      </c>
      <c r="E76" s="189">
        <v>10.210000000000001</v>
      </c>
      <c r="F76" s="189">
        <v>9.5</v>
      </c>
      <c r="G76" s="189">
        <v>43.87</v>
      </c>
      <c r="H76" s="189">
        <v>19.96</v>
      </c>
      <c r="I76" s="189">
        <v>5.31</v>
      </c>
      <c r="J76" s="189">
        <v>0.31</v>
      </c>
      <c r="K76" s="189">
        <v>64.650000000000006</v>
      </c>
      <c r="L76" s="189">
        <v>28.17</v>
      </c>
      <c r="M76" s="189">
        <v>51.69</v>
      </c>
      <c r="N76" s="189">
        <v>6.5</v>
      </c>
      <c r="O76" s="189">
        <v>0</v>
      </c>
      <c r="P76" s="189">
        <v>0.65</v>
      </c>
      <c r="Q76" s="189">
        <v>4.38</v>
      </c>
    </row>
    <row r="77" spans="1:17" customFormat="1">
      <c r="A77" s="6" t="s">
        <v>307</v>
      </c>
      <c r="B77" s="189">
        <v>8.09</v>
      </c>
      <c r="C77" s="189">
        <v>22.11</v>
      </c>
      <c r="D77" s="189">
        <v>19.39</v>
      </c>
      <c r="E77" s="189">
        <v>9.4700000000000006</v>
      </c>
      <c r="F77" s="189">
        <v>4.55</v>
      </c>
      <c r="G77" s="189">
        <v>57.1</v>
      </c>
      <c r="H77" s="189">
        <v>21.86</v>
      </c>
      <c r="I77" s="189">
        <v>5.3</v>
      </c>
      <c r="J77" s="189">
        <v>0.28000000000000003</v>
      </c>
      <c r="K77" s="189">
        <v>70.25</v>
      </c>
      <c r="L77" s="189">
        <v>27.8</v>
      </c>
      <c r="M77" s="189">
        <v>53.09</v>
      </c>
      <c r="N77" s="189">
        <v>0</v>
      </c>
      <c r="O77" s="189">
        <v>0</v>
      </c>
      <c r="P77" s="189">
        <v>0.68</v>
      </c>
      <c r="Q77" s="189">
        <v>4.3899999999999997</v>
      </c>
    </row>
    <row r="78" spans="1:17" customFormat="1">
      <c r="A78" s="6" t="s">
        <v>308</v>
      </c>
      <c r="B78" s="189">
        <v>7.36</v>
      </c>
      <c r="C78" s="189">
        <v>20.95</v>
      </c>
      <c r="D78" s="189">
        <v>18.190000000000001</v>
      </c>
      <c r="E78" s="189">
        <v>9.0299999999999994</v>
      </c>
      <c r="F78" s="189">
        <v>3.45</v>
      </c>
      <c r="G78" s="189">
        <v>57.1</v>
      </c>
      <c r="H78" s="189">
        <v>21.86</v>
      </c>
      <c r="I78" s="189">
        <v>5.37</v>
      </c>
      <c r="J78" s="189">
        <v>0.15</v>
      </c>
      <c r="K78" s="189">
        <v>148.36000000000001</v>
      </c>
      <c r="L78" s="189">
        <v>26.88</v>
      </c>
      <c r="M78" s="189">
        <v>59.03</v>
      </c>
      <c r="N78" s="189">
        <v>0</v>
      </c>
      <c r="O78" s="189">
        <v>0</v>
      </c>
      <c r="P78" s="189">
        <v>0.7</v>
      </c>
      <c r="Q78" s="189">
        <v>4.41</v>
      </c>
    </row>
    <row r="79" spans="1:17" customFormat="1">
      <c r="A79" s="6" t="s">
        <v>309</v>
      </c>
      <c r="B79" s="189">
        <v>7.5</v>
      </c>
      <c r="C79" s="189">
        <v>20.14</v>
      </c>
      <c r="D79" s="189">
        <v>17.89</v>
      </c>
      <c r="E79" s="189">
        <v>9.01</v>
      </c>
      <c r="F79" s="189">
        <v>3.34</v>
      </c>
      <c r="G79" s="189">
        <v>57.1</v>
      </c>
      <c r="H79" s="189">
        <v>21.86</v>
      </c>
      <c r="I79" s="189">
        <v>5.49</v>
      </c>
      <c r="J79" s="189">
        <v>0.19</v>
      </c>
      <c r="K79" s="189">
        <v>156.81</v>
      </c>
      <c r="L79" s="189">
        <v>26.28</v>
      </c>
      <c r="M79" s="189">
        <v>60.77</v>
      </c>
      <c r="N79" s="189">
        <v>0</v>
      </c>
      <c r="O79" s="189">
        <v>0</v>
      </c>
      <c r="P79" s="189">
        <v>0.7</v>
      </c>
      <c r="Q79" s="189">
        <v>4.4400000000000004</v>
      </c>
    </row>
    <row r="80" spans="1:17" customFormat="1">
      <c r="A80" s="6" t="s">
        <v>310</v>
      </c>
      <c r="B80" s="189">
        <v>8</v>
      </c>
      <c r="C80" s="189">
        <v>21.97</v>
      </c>
      <c r="D80" s="189">
        <v>19.239999999999998</v>
      </c>
      <c r="E80" s="189">
        <v>9.2799999999999994</v>
      </c>
      <c r="F80" s="189">
        <v>3.03</v>
      </c>
      <c r="G80" s="189">
        <v>57.74</v>
      </c>
      <c r="H80" s="189">
        <v>21.97</v>
      </c>
      <c r="I80" s="189">
        <v>5.58</v>
      </c>
      <c r="J80" s="189">
        <v>0.21</v>
      </c>
      <c r="K80" s="189">
        <v>133.78</v>
      </c>
      <c r="L80" s="189">
        <v>26.24</v>
      </c>
      <c r="M80" s="189">
        <v>59.83</v>
      </c>
      <c r="N80" s="189">
        <v>0</v>
      </c>
      <c r="O80" s="189">
        <v>0</v>
      </c>
      <c r="P80" s="189">
        <v>0.75</v>
      </c>
      <c r="Q80" s="189">
        <v>4.43</v>
      </c>
    </row>
    <row r="81" spans="1:17" customFormat="1">
      <c r="A81" s="6" t="s">
        <v>311</v>
      </c>
      <c r="B81" s="189">
        <v>8.65</v>
      </c>
      <c r="C81" s="189">
        <v>21.72</v>
      </c>
      <c r="D81" s="189">
        <v>19.64</v>
      </c>
      <c r="E81" s="189">
        <v>7.88</v>
      </c>
      <c r="F81" s="189">
        <v>3.38</v>
      </c>
      <c r="G81" s="189">
        <v>85.91</v>
      </c>
      <c r="H81" s="189">
        <v>28.94</v>
      </c>
      <c r="I81" s="189">
        <v>5.7</v>
      </c>
      <c r="J81" s="189">
        <v>0.17</v>
      </c>
      <c r="K81" s="189">
        <v>138.08000000000001</v>
      </c>
      <c r="L81" s="189">
        <v>26.18</v>
      </c>
      <c r="M81" s="189">
        <v>59.19</v>
      </c>
      <c r="N81" s="189">
        <v>0</v>
      </c>
      <c r="O81" s="189">
        <v>0</v>
      </c>
      <c r="P81" s="189">
        <v>0.76</v>
      </c>
      <c r="Q81" s="189">
        <v>4.47</v>
      </c>
    </row>
    <row r="82" spans="1:17" customFormat="1">
      <c r="A82" s="6" t="s">
        <v>312</v>
      </c>
      <c r="B82" s="189">
        <v>9.07</v>
      </c>
      <c r="C82" s="189">
        <v>20.93</v>
      </c>
      <c r="D82" s="189">
        <v>19.559999999999999</v>
      </c>
      <c r="E82" s="189">
        <v>8.2200000000000006</v>
      </c>
      <c r="F82" s="189">
        <v>3.26</v>
      </c>
      <c r="G82" s="189">
        <v>85.91</v>
      </c>
      <c r="H82" s="189">
        <v>28.94</v>
      </c>
      <c r="I82" s="189">
        <v>5.97</v>
      </c>
      <c r="J82" s="189">
        <v>0.2</v>
      </c>
      <c r="K82" s="189">
        <v>81.64</v>
      </c>
      <c r="L82" s="189">
        <v>26.04</v>
      </c>
      <c r="M82" s="189">
        <v>58.6</v>
      </c>
      <c r="N82" s="189">
        <v>0</v>
      </c>
      <c r="O82" s="189">
        <v>0</v>
      </c>
      <c r="P82" s="189">
        <v>0.77</v>
      </c>
      <c r="Q82" s="189">
        <v>4.5199999999999996</v>
      </c>
    </row>
    <row r="83" spans="1:17" customFormat="1">
      <c r="A83" s="6" t="s">
        <v>313</v>
      </c>
      <c r="B83" s="189">
        <v>9.4700000000000006</v>
      </c>
      <c r="C83" s="189">
        <v>20.78</v>
      </c>
      <c r="D83" s="189">
        <v>19.8</v>
      </c>
      <c r="E83" s="189">
        <v>7.79</v>
      </c>
      <c r="F83" s="189">
        <v>3.03</v>
      </c>
      <c r="G83" s="189">
        <v>85.91</v>
      </c>
      <c r="H83" s="189">
        <v>28.94</v>
      </c>
      <c r="I83" s="189">
        <v>6.1</v>
      </c>
      <c r="J83" s="189">
        <v>0.22</v>
      </c>
      <c r="K83" s="189">
        <v>85.61</v>
      </c>
      <c r="L83" s="189">
        <v>25.96</v>
      </c>
      <c r="M83" s="189">
        <v>57.62</v>
      </c>
      <c r="N83" s="189">
        <v>0</v>
      </c>
      <c r="O83" s="189">
        <v>0</v>
      </c>
      <c r="P83" s="189">
        <v>0.77</v>
      </c>
      <c r="Q83" s="189">
        <v>4.53</v>
      </c>
    </row>
    <row r="84" spans="1:17" customFormat="1">
      <c r="A84" s="6" t="s">
        <v>314</v>
      </c>
      <c r="B84" s="189">
        <v>9.8000000000000007</v>
      </c>
      <c r="C84" s="189">
        <v>20.85</v>
      </c>
      <c r="D84" s="189">
        <v>20.100000000000001</v>
      </c>
      <c r="E84" s="189">
        <v>7.52</v>
      </c>
      <c r="F84" s="189">
        <v>2.96</v>
      </c>
      <c r="G84" s="189">
        <v>86.07</v>
      </c>
      <c r="H84" s="189">
        <v>28.94</v>
      </c>
      <c r="I84" s="189">
        <v>6.13</v>
      </c>
      <c r="J84" s="189">
        <v>0.34</v>
      </c>
      <c r="K84" s="189">
        <v>59.82</v>
      </c>
      <c r="L84" s="189">
        <v>25.91</v>
      </c>
      <c r="M84" s="189">
        <v>57.19</v>
      </c>
      <c r="N84" s="189">
        <v>0</v>
      </c>
      <c r="O84" s="189">
        <v>0</v>
      </c>
      <c r="P84" s="189">
        <v>0.79</v>
      </c>
      <c r="Q84" s="189">
        <v>4.5199999999999996</v>
      </c>
    </row>
    <row r="85" spans="1:17" customFormat="1">
      <c r="A85" s="6" t="s">
        <v>315</v>
      </c>
      <c r="B85" s="189">
        <v>10.5</v>
      </c>
      <c r="C85" s="189">
        <v>23</v>
      </c>
      <c r="D85" s="189">
        <v>21.79</v>
      </c>
      <c r="E85" s="189">
        <v>7.91</v>
      </c>
      <c r="F85" s="189">
        <v>2.4900000000000002</v>
      </c>
      <c r="G85" s="189">
        <v>92.9</v>
      </c>
      <c r="H85" s="189">
        <v>28.94</v>
      </c>
      <c r="I85" s="189">
        <v>6.19</v>
      </c>
      <c r="J85" s="189">
        <v>0.22</v>
      </c>
      <c r="K85" s="189">
        <v>75.790000000000006</v>
      </c>
      <c r="L85" s="189">
        <v>25.56</v>
      </c>
      <c r="M85" s="189">
        <v>59.58</v>
      </c>
      <c r="N85" s="189">
        <v>0</v>
      </c>
      <c r="O85" s="189">
        <v>0</v>
      </c>
      <c r="P85" s="189">
        <v>0.81</v>
      </c>
      <c r="Q85" s="189">
        <v>4.55</v>
      </c>
    </row>
    <row r="86" spans="1:17" customFormat="1">
      <c r="A86" s="6" t="s">
        <v>316</v>
      </c>
      <c r="B86" s="189">
        <v>11.35</v>
      </c>
      <c r="C86" s="189">
        <v>23.64</v>
      </c>
      <c r="D86" s="189">
        <v>22.81</v>
      </c>
      <c r="E86" s="189">
        <v>8.1300000000000008</v>
      </c>
      <c r="F86" s="189">
        <v>2.58</v>
      </c>
      <c r="G86" s="189">
        <v>92.9</v>
      </c>
      <c r="H86" s="189">
        <v>28.94</v>
      </c>
      <c r="I86" s="189">
        <v>6.24</v>
      </c>
      <c r="J86" s="189">
        <v>0.26</v>
      </c>
      <c r="K86" s="189">
        <v>70.06</v>
      </c>
      <c r="L86" s="189">
        <v>25.24</v>
      </c>
      <c r="M86" s="189">
        <v>61.13</v>
      </c>
      <c r="N86" s="189">
        <v>0</v>
      </c>
      <c r="O86" s="189">
        <v>0</v>
      </c>
      <c r="P86" s="189">
        <v>0.83</v>
      </c>
      <c r="Q86" s="189">
        <v>4.57</v>
      </c>
    </row>
    <row r="87" spans="1:17" customFormat="1">
      <c r="A87" s="6" t="s">
        <v>317</v>
      </c>
      <c r="B87" s="189">
        <v>12.03</v>
      </c>
      <c r="C87" s="189">
        <v>23.77</v>
      </c>
      <c r="D87" s="189">
        <v>23.42</v>
      </c>
      <c r="E87" s="189">
        <v>8.2799999999999994</v>
      </c>
      <c r="F87" s="189">
        <v>2.78</v>
      </c>
      <c r="G87" s="189">
        <v>92.9</v>
      </c>
      <c r="H87" s="189">
        <v>28.94</v>
      </c>
      <c r="I87" s="189">
        <v>6.36</v>
      </c>
      <c r="J87" s="189">
        <v>0.34</v>
      </c>
      <c r="K87" s="189">
        <v>44.03</v>
      </c>
      <c r="L87" s="189">
        <v>25.07</v>
      </c>
      <c r="M87" s="189">
        <v>62.06</v>
      </c>
      <c r="N87" s="189">
        <v>0</v>
      </c>
      <c r="O87" s="189">
        <v>0</v>
      </c>
      <c r="P87" s="189">
        <v>0.88</v>
      </c>
      <c r="Q87" s="189">
        <v>4.6100000000000003</v>
      </c>
    </row>
    <row r="88" spans="1:17" customFormat="1">
      <c r="A88" s="6" t="s">
        <v>318</v>
      </c>
      <c r="B88" s="189">
        <v>12.58</v>
      </c>
      <c r="C88" s="189">
        <v>25.02</v>
      </c>
      <c r="D88" s="189">
        <v>24.51</v>
      </c>
      <c r="E88" s="189">
        <v>8.4700000000000006</v>
      </c>
      <c r="F88" s="189">
        <v>2.8</v>
      </c>
      <c r="G88" s="189">
        <v>93.04</v>
      </c>
      <c r="H88" s="189">
        <v>29.02</v>
      </c>
      <c r="I88" s="189">
        <v>6.53</v>
      </c>
      <c r="J88" s="189">
        <v>0.22</v>
      </c>
      <c r="K88" s="189">
        <v>64.45</v>
      </c>
      <c r="L88" s="189">
        <v>24.85</v>
      </c>
      <c r="M88" s="189">
        <v>63.2</v>
      </c>
      <c r="N88" s="189">
        <v>0</v>
      </c>
      <c r="O88" s="189">
        <v>0</v>
      </c>
      <c r="P88" s="189">
        <v>0.93</v>
      </c>
      <c r="Q88" s="189">
        <v>4.6500000000000004</v>
      </c>
    </row>
    <row r="89" spans="1:17" customFormat="1">
      <c r="A89" s="6" t="s">
        <v>319</v>
      </c>
      <c r="B89" s="189">
        <v>13.06</v>
      </c>
      <c r="C89" s="189">
        <v>25.89</v>
      </c>
      <c r="D89" s="189">
        <v>25.35</v>
      </c>
      <c r="E89" s="189">
        <v>8.11</v>
      </c>
      <c r="F89" s="189">
        <v>2.66</v>
      </c>
      <c r="G89" s="189">
        <v>98.79</v>
      </c>
      <c r="H89" s="189">
        <v>34.14</v>
      </c>
      <c r="I89" s="189">
        <v>6.71</v>
      </c>
      <c r="J89" s="189">
        <v>0.25</v>
      </c>
      <c r="K89" s="189">
        <v>67.650000000000006</v>
      </c>
      <c r="L89" s="189">
        <v>24.85</v>
      </c>
      <c r="M89" s="189">
        <v>63.76</v>
      </c>
      <c r="N89" s="189">
        <v>0</v>
      </c>
      <c r="O89" s="189">
        <v>0</v>
      </c>
      <c r="P89" s="189">
        <v>0.95</v>
      </c>
      <c r="Q89" s="189">
        <v>4.68</v>
      </c>
    </row>
    <row r="90" spans="1:17" customFormat="1">
      <c r="A90" s="6" t="s">
        <v>320</v>
      </c>
      <c r="B90" s="189">
        <v>13.44</v>
      </c>
      <c r="C90" s="189">
        <v>26.52</v>
      </c>
      <c r="D90" s="189">
        <v>25.98</v>
      </c>
      <c r="E90" s="189">
        <v>8.49</v>
      </c>
      <c r="F90" s="189">
        <v>2.85</v>
      </c>
      <c r="G90" s="189">
        <v>98.79</v>
      </c>
      <c r="H90" s="189">
        <v>34.14</v>
      </c>
      <c r="I90" s="189">
        <v>6.9</v>
      </c>
      <c r="J90" s="189">
        <v>0.35</v>
      </c>
      <c r="K90" s="189">
        <v>58.45</v>
      </c>
      <c r="L90" s="189">
        <v>24.73</v>
      </c>
      <c r="M90" s="189">
        <v>63.95</v>
      </c>
      <c r="N90" s="189">
        <v>0</v>
      </c>
      <c r="O90" s="189">
        <v>0</v>
      </c>
      <c r="P90" s="189">
        <v>0.97</v>
      </c>
      <c r="Q90" s="189">
        <v>4.6900000000000004</v>
      </c>
    </row>
    <row r="91" spans="1:17" customFormat="1">
      <c r="A91" s="6" t="s">
        <v>321</v>
      </c>
      <c r="B91" s="189">
        <v>13.95</v>
      </c>
      <c r="C91" s="189">
        <v>27.43</v>
      </c>
      <c r="D91" s="189">
        <v>26.87</v>
      </c>
      <c r="E91" s="189">
        <v>8.25</v>
      </c>
      <c r="F91" s="189">
        <v>2.97</v>
      </c>
      <c r="G91" s="189">
        <v>98.79</v>
      </c>
      <c r="H91" s="189">
        <v>34.14</v>
      </c>
      <c r="I91" s="189">
        <v>7.08</v>
      </c>
      <c r="J91" s="189">
        <v>0.26</v>
      </c>
      <c r="K91" s="189">
        <v>68.91</v>
      </c>
      <c r="L91" s="189">
        <v>24.68</v>
      </c>
      <c r="M91" s="189">
        <v>64.5</v>
      </c>
      <c r="N91" s="189">
        <v>0</v>
      </c>
      <c r="O91" s="189">
        <v>0</v>
      </c>
      <c r="P91" s="189">
        <v>0.99</v>
      </c>
      <c r="Q91" s="189">
        <v>4.72</v>
      </c>
    </row>
    <row r="92" spans="1:17" customFormat="1">
      <c r="A92" s="6" t="s">
        <v>322</v>
      </c>
      <c r="B92" s="189">
        <v>14.03</v>
      </c>
      <c r="C92" s="189">
        <v>27.82</v>
      </c>
      <c r="D92" s="189">
        <v>27.14</v>
      </c>
      <c r="E92" s="189">
        <v>8.68</v>
      </c>
      <c r="F92" s="189">
        <v>2.93</v>
      </c>
      <c r="G92" s="189">
        <v>99.16</v>
      </c>
      <c r="H92" s="189">
        <v>34.159999999999997</v>
      </c>
      <c r="I92" s="189">
        <v>7.24</v>
      </c>
      <c r="J92" s="189">
        <v>0.28999999999999998</v>
      </c>
      <c r="K92" s="189">
        <v>67.28</v>
      </c>
      <c r="L92" s="189">
        <v>24.6</v>
      </c>
      <c r="M92" s="189">
        <v>64.819999999999993</v>
      </c>
      <c r="N92" s="189">
        <v>0</v>
      </c>
      <c r="O92" s="189">
        <v>0</v>
      </c>
      <c r="P92" s="189">
        <v>0.99</v>
      </c>
      <c r="Q92" s="189">
        <v>4.74</v>
      </c>
    </row>
    <row r="93" spans="1:17" customFormat="1">
      <c r="A93" s="6" t="s">
        <v>323</v>
      </c>
      <c r="B93" s="189">
        <v>13.92</v>
      </c>
      <c r="C93" s="189">
        <v>28.24</v>
      </c>
      <c r="D93" s="189">
        <v>27.27</v>
      </c>
      <c r="E93" s="189">
        <v>8.85</v>
      </c>
      <c r="F93" s="189">
        <v>3.04</v>
      </c>
      <c r="G93" s="189">
        <v>115.68</v>
      </c>
      <c r="H93" s="189">
        <v>35.56</v>
      </c>
      <c r="I93" s="189">
        <v>7.49</v>
      </c>
      <c r="J93" s="189">
        <v>0.26</v>
      </c>
      <c r="K93" s="189">
        <v>78.56</v>
      </c>
      <c r="L93" s="189">
        <v>24.8</v>
      </c>
      <c r="M93" s="189">
        <v>63.58</v>
      </c>
      <c r="N93" s="189">
        <v>0</v>
      </c>
      <c r="O93" s="189">
        <v>0</v>
      </c>
      <c r="P93" s="189">
        <v>1</v>
      </c>
      <c r="Q93" s="189">
        <v>4.7300000000000004</v>
      </c>
    </row>
    <row r="94" spans="1:17" customFormat="1">
      <c r="A94" s="6" t="s">
        <v>324</v>
      </c>
      <c r="B94" s="189">
        <v>13.47</v>
      </c>
      <c r="C94" s="189">
        <v>28.38</v>
      </c>
      <c r="D94" s="189">
        <v>26.98</v>
      </c>
      <c r="E94" s="189">
        <v>9</v>
      </c>
      <c r="F94" s="189">
        <v>3.02</v>
      </c>
      <c r="G94" s="189">
        <v>115.68</v>
      </c>
      <c r="H94" s="189">
        <v>35.56</v>
      </c>
      <c r="I94" s="189">
        <v>7.78</v>
      </c>
      <c r="J94" s="189">
        <v>0.15</v>
      </c>
      <c r="K94" s="189">
        <v>148.63</v>
      </c>
      <c r="L94" s="189">
        <v>25.03</v>
      </c>
      <c r="M94" s="189">
        <v>63.65</v>
      </c>
      <c r="N94" s="189">
        <v>0</v>
      </c>
      <c r="O94" s="189">
        <v>0</v>
      </c>
      <c r="P94" s="189">
        <v>0.99</v>
      </c>
      <c r="Q94" s="189">
        <v>4.7300000000000004</v>
      </c>
    </row>
    <row r="95" spans="1:17" customFormat="1">
      <c r="A95" s="6" t="s">
        <v>325</v>
      </c>
      <c r="B95" s="189">
        <v>12.84</v>
      </c>
      <c r="C95" s="189">
        <v>28.32</v>
      </c>
      <c r="D95" s="189">
        <v>26.45</v>
      </c>
      <c r="E95" s="189">
        <v>8.41</v>
      </c>
      <c r="F95" s="189">
        <v>2.82</v>
      </c>
      <c r="G95" s="189">
        <v>115.68</v>
      </c>
      <c r="H95" s="189">
        <v>35.56</v>
      </c>
      <c r="I95" s="189">
        <v>7.91</v>
      </c>
      <c r="J95" s="189">
        <v>0.23</v>
      </c>
      <c r="K95" s="189">
        <v>71.31</v>
      </c>
      <c r="L95" s="189">
        <v>24.99</v>
      </c>
      <c r="M95" s="189">
        <v>63.75</v>
      </c>
      <c r="N95" s="189">
        <v>0</v>
      </c>
      <c r="O95" s="189">
        <v>0</v>
      </c>
      <c r="P95" s="189">
        <v>0.99</v>
      </c>
      <c r="Q95" s="189">
        <v>4.71</v>
      </c>
    </row>
    <row r="96" spans="1:17" customFormat="1">
      <c r="A96" s="6" t="s">
        <v>326</v>
      </c>
      <c r="B96" s="189">
        <v>12.2</v>
      </c>
      <c r="C96" s="189">
        <v>28.34</v>
      </c>
      <c r="D96" s="189">
        <v>25.94</v>
      </c>
      <c r="E96" s="189">
        <v>8.65</v>
      </c>
      <c r="F96" s="189">
        <v>2.76</v>
      </c>
      <c r="G96" s="189">
        <v>115.3</v>
      </c>
      <c r="H96" s="189">
        <v>35.56</v>
      </c>
      <c r="I96" s="189">
        <v>7.87</v>
      </c>
      <c r="J96" s="189">
        <v>0.33</v>
      </c>
      <c r="K96" s="189">
        <v>58.4</v>
      </c>
      <c r="L96" s="189">
        <v>24.39</v>
      </c>
      <c r="M96" s="189">
        <v>67.08</v>
      </c>
      <c r="N96" s="189">
        <v>0</v>
      </c>
      <c r="O96" s="189">
        <v>0</v>
      </c>
      <c r="P96" s="189">
        <v>0.98</v>
      </c>
      <c r="Q96" s="189">
        <v>4.71</v>
      </c>
    </row>
    <row r="97" spans="1:22" customFormat="1">
      <c r="A97" s="6" t="s">
        <v>327</v>
      </c>
      <c r="B97" s="189">
        <v>11.94</v>
      </c>
      <c r="C97" s="189">
        <v>28.32</v>
      </c>
      <c r="D97" s="189">
        <v>25.72</v>
      </c>
      <c r="E97" s="189">
        <v>8.49</v>
      </c>
      <c r="F97" s="189">
        <v>2.65</v>
      </c>
      <c r="G97" s="189">
        <v>98.9</v>
      </c>
      <c r="H97" s="189">
        <v>35.5</v>
      </c>
      <c r="I97" s="189">
        <v>7.79</v>
      </c>
      <c r="J97" s="189">
        <v>0.28000000000000003</v>
      </c>
      <c r="K97" s="189">
        <v>57.6</v>
      </c>
      <c r="L97" s="189">
        <v>24.09</v>
      </c>
      <c r="M97" s="189">
        <v>68.5</v>
      </c>
      <c r="N97" s="189">
        <v>0</v>
      </c>
      <c r="O97" s="189">
        <v>0</v>
      </c>
      <c r="P97" s="189">
        <v>0.98</v>
      </c>
      <c r="Q97" s="189">
        <v>4.67</v>
      </c>
    </row>
    <row r="98" spans="1:22" customFormat="1">
      <c r="A98" s="6" t="s">
        <v>328</v>
      </c>
      <c r="B98" s="189">
        <v>11.89</v>
      </c>
      <c r="C98" s="189">
        <v>28.34</v>
      </c>
      <c r="D98" s="189">
        <v>25.69</v>
      </c>
      <c r="E98" s="189">
        <v>8.6199999999999992</v>
      </c>
      <c r="F98" s="189">
        <v>2.6</v>
      </c>
      <c r="G98" s="189">
        <v>98.9</v>
      </c>
      <c r="H98" s="189">
        <v>35.5</v>
      </c>
      <c r="I98" s="189">
        <v>7.72</v>
      </c>
      <c r="J98" s="189">
        <v>0.47</v>
      </c>
      <c r="K98" s="189">
        <v>45.38</v>
      </c>
      <c r="L98" s="189">
        <v>23.9</v>
      </c>
      <c r="M98" s="189">
        <v>69.680000000000007</v>
      </c>
      <c r="N98" s="189">
        <v>0</v>
      </c>
      <c r="O98" s="189">
        <v>0</v>
      </c>
      <c r="P98" s="189">
        <v>0.97</v>
      </c>
      <c r="Q98" s="189">
        <v>4.68</v>
      </c>
    </row>
    <row r="99" spans="1:22" customFormat="1">
      <c r="A99" s="6" t="s">
        <v>329</v>
      </c>
      <c r="B99" s="189">
        <v>11.9</v>
      </c>
      <c r="C99" s="189">
        <v>28.29</v>
      </c>
      <c r="D99" s="189">
        <v>25.67</v>
      </c>
      <c r="E99" s="189">
        <v>8.5399999999999991</v>
      </c>
      <c r="F99" s="189">
        <v>2.72</v>
      </c>
      <c r="G99" s="189">
        <v>98.9</v>
      </c>
      <c r="H99" s="189">
        <v>35.5</v>
      </c>
      <c r="I99" s="189">
        <v>7.66</v>
      </c>
      <c r="J99" s="189">
        <v>0.41</v>
      </c>
      <c r="K99" s="189">
        <v>59.73</v>
      </c>
      <c r="L99" s="189">
        <v>23.64</v>
      </c>
      <c r="M99" s="189">
        <v>70.69</v>
      </c>
      <c r="N99" s="189">
        <v>0</v>
      </c>
      <c r="O99" s="189">
        <v>0</v>
      </c>
      <c r="P99" s="189">
        <v>0.97</v>
      </c>
      <c r="Q99" s="189">
        <v>4.71</v>
      </c>
    </row>
    <row r="100" spans="1:22" customFormat="1">
      <c r="A100" s="6" t="s">
        <v>330</v>
      </c>
      <c r="B100" s="189">
        <v>11.6</v>
      </c>
      <c r="C100" s="189">
        <v>28.53</v>
      </c>
      <c r="D100" s="189">
        <v>25.56</v>
      </c>
      <c r="E100" s="189">
        <v>8.31</v>
      </c>
      <c r="F100" s="189">
        <v>2.89</v>
      </c>
      <c r="G100" s="189">
        <v>98.75</v>
      </c>
      <c r="H100" s="189">
        <v>35.479999999999997</v>
      </c>
      <c r="I100" s="189">
        <v>7.61</v>
      </c>
      <c r="J100" s="189">
        <v>0.38</v>
      </c>
      <c r="K100" s="189">
        <v>62.29</v>
      </c>
      <c r="L100" s="189">
        <v>23.43</v>
      </c>
      <c r="M100" s="189">
        <v>71.73</v>
      </c>
      <c r="N100" s="189">
        <v>0</v>
      </c>
      <c r="O100" s="189">
        <v>0</v>
      </c>
      <c r="P100" s="189">
        <v>0.97</v>
      </c>
      <c r="Q100" s="189">
        <v>4.68</v>
      </c>
    </row>
    <row r="101" spans="1:22" customFormat="1">
      <c r="A101" s="6" t="s">
        <v>331</v>
      </c>
      <c r="B101" s="189">
        <v>11.51</v>
      </c>
      <c r="C101" s="189">
        <v>28.5</v>
      </c>
      <c r="D101" s="189">
        <v>25.47</v>
      </c>
      <c r="E101" s="189">
        <v>8.64</v>
      </c>
      <c r="F101" s="189">
        <v>2.85</v>
      </c>
      <c r="G101" s="189">
        <v>92.32</v>
      </c>
      <c r="H101" s="189">
        <v>33.979999999999997</v>
      </c>
      <c r="I101" s="189">
        <v>7.56</v>
      </c>
      <c r="J101" s="189">
        <v>0.42</v>
      </c>
      <c r="K101" s="189">
        <v>60.6</v>
      </c>
      <c r="L101" s="189">
        <v>23.33</v>
      </c>
      <c r="M101" s="189">
        <v>72.510000000000005</v>
      </c>
      <c r="N101" s="189">
        <v>0</v>
      </c>
      <c r="O101" s="189">
        <v>0</v>
      </c>
      <c r="P101" s="189">
        <v>0.98</v>
      </c>
      <c r="Q101" s="189">
        <v>4.66</v>
      </c>
    </row>
    <row r="102" spans="1:22" customFormat="1">
      <c r="A102" s="6" t="s">
        <v>332</v>
      </c>
      <c r="B102" s="189">
        <v>11.49</v>
      </c>
      <c r="C102" s="189">
        <v>28.53</v>
      </c>
      <c r="D102" s="189">
        <v>25.47</v>
      </c>
      <c r="E102" s="189">
        <v>8.75</v>
      </c>
      <c r="F102" s="189">
        <v>2.72</v>
      </c>
      <c r="G102" s="189">
        <v>92.32</v>
      </c>
      <c r="H102" s="189">
        <v>33.979999999999997</v>
      </c>
      <c r="I102" s="189">
        <v>7.49</v>
      </c>
      <c r="J102" s="189">
        <v>0.41</v>
      </c>
      <c r="K102" s="189">
        <v>59.38</v>
      </c>
      <c r="L102" s="189">
        <v>23.1</v>
      </c>
      <c r="M102" s="189">
        <v>73.540000000000006</v>
      </c>
      <c r="N102" s="189">
        <v>0</v>
      </c>
      <c r="O102" s="189">
        <v>0</v>
      </c>
      <c r="P102" s="189">
        <v>0.97</v>
      </c>
      <c r="Q102" s="189">
        <v>4.67</v>
      </c>
    </row>
    <row r="103" spans="1:22" customFormat="1">
      <c r="A103" s="6" t="s">
        <v>333</v>
      </c>
      <c r="B103" s="189">
        <v>11.65</v>
      </c>
      <c r="C103" s="189">
        <v>28.55</v>
      </c>
      <c r="D103" s="189">
        <v>25.61</v>
      </c>
      <c r="E103" s="189">
        <v>8.9499999999999993</v>
      </c>
      <c r="F103" s="189">
        <v>2.68</v>
      </c>
      <c r="G103" s="189">
        <v>92.32</v>
      </c>
      <c r="H103" s="189">
        <v>33.979999999999997</v>
      </c>
      <c r="I103" s="189">
        <v>7.44</v>
      </c>
      <c r="J103" s="189">
        <v>0.34</v>
      </c>
      <c r="K103" s="189">
        <v>66.349999999999994</v>
      </c>
      <c r="L103" s="189">
        <v>22.94</v>
      </c>
      <c r="M103" s="189">
        <v>74.03</v>
      </c>
      <c r="N103" s="189">
        <v>0</v>
      </c>
      <c r="O103" s="189">
        <v>0</v>
      </c>
      <c r="P103" s="189">
        <v>0.98</v>
      </c>
      <c r="Q103" s="189">
        <v>4.71</v>
      </c>
    </row>
    <row r="104" spans="1:22" customFormat="1">
      <c r="A104" s="6" t="s">
        <v>334</v>
      </c>
      <c r="B104" s="189">
        <v>11.59</v>
      </c>
      <c r="C104" s="189">
        <v>28.71</v>
      </c>
      <c r="D104" s="189">
        <v>25.64</v>
      </c>
      <c r="E104" s="189">
        <v>8.56</v>
      </c>
      <c r="F104" s="189">
        <v>2.72</v>
      </c>
      <c r="G104" s="189">
        <v>92.09</v>
      </c>
      <c r="H104" s="189">
        <v>33.979999999999997</v>
      </c>
      <c r="I104" s="189">
        <v>7.42</v>
      </c>
      <c r="J104" s="189">
        <v>0.17</v>
      </c>
      <c r="K104" s="189">
        <v>75.790000000000006</v>
      </c>
      <c r="L104" s="189">
        <v>22.77</v>
      </c>
      <c r="M104" s="189">
        <v>75.14</v>
      </c>
      <c r="N104" s="189">
        <v>0</v>
      </c>
      <c r="O104" s="189">
        <v>0</v>
      </c>
      <c r="P104" s="189">
        <v>0.98</v>
      </c>
      <c r="Q104" s="189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5.17</v>
      </c>
      <c r="C106" s="183">
        <f>MIN(C9:C104)</f>
        <v>18.100000000000001</v>
      </c>
      <c r="D106" s="183">
        <f t="shared" ref="D106:Q106" si="0">MIN(D9:D104)</f>
        <v>15.64</v>
      </c>
      <c r="E106" s="183">
        <f t="shared" si="0"/>
        <v>5.75</v>
      </c>
      <c r="F106" s="183">
        <f t="shared" si="0"/>
        <v>2.46</v>
      </c>
      <c r="G106" s="183">
        <f t="shared" si="0"/>
        <v>43.57</v>
      </c>
      <c r="H106" s="183">
        <f t="shared" si="0"/>
        <v>18.55</v>
      </c>
      <c r="I106" s="183">
        <f t="shared" si="0"/>
        <v>5.24</v>
      </c>
      <c r="J106" s="183">
        <f t="shared" si="0"/>
        <v>0.09</v>
      </c>
      <c r="K106" s="183">
        <f t="shared" si="0"/>
        <v>26.58</v>
      </c>
      <c r="L106" s="183">
        <f t="shared" si="0"/>
        <v>19.39</v>
      </c>
      <c r="M106" s="183">
        <f t="shared" si="0"/>
        <v>41.22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4.38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19.100000000000001</v>
      </c>
      <c r="C107" s="184">
        <f t="shared" ref="C107:Q107" si="1">MAX(C9:C104)</f>
        <v>29.72</v>
      </c>
      <c r="D107" s="184">
        <f t="shared" si="1"/>
        <v>30.01</v>
      </c>
      <c r="E107" s="184">
        <f t="shared" si="1"/>
        <v>10.71</v>
      </c>
      <c r="F107" s="184">
        <f t="shared" si="1"/>
        <v>9.5</v>
      </c>
      <c r="G107" s="184">
        <f t="shared" si="1"/>
        <v>115.68</v>
      </c>
      <c r="H107" s="184">
        <f t="shared" si="1"/>
        <v>35.56</v>
      </c>
      <c r="I107" s="184">
        <f t="shared" si="1"/>
        <v>9.07</v>
      </c>
      <c r="J107" s="184">
        <f t="shared" si="1"/>
        <v>0.56999999999999995</v>
      </c>
      <c r="K107" s="184">
        <f t="shared" si="1"/>
        <v>357.3</v>
      </c>
      <c r="L107" s="184">
        <f t="shared" si="1"/>
        <v>30.81</v>
      </c>
      <c r="M107" s="184">
        <f t="shared" si="1"/>
        <v>91.24</v>
      </c>
      <c r="N107" s="184">
        <f t="shared" si="1"/>
        <v>567.29999999999995</v>
      </c>
      <c r="O107" s="184">
        <f t="shared" si="1"/>
        <v>0</v>
      </c>
      <c r="P107" s="184">
        <f t="shared" si="1"/>
        <v>1</v>
      </c>
      <c r="Q107" s="184">
        <f t="shared" si="1"/>
        <v>4.87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11.914166666666668</v>
      </c>
      <c r="C108" s="183">
        <f t="shared" ref="C108:Q108" si="2">AVERAGE(C9:C104)</f>
        <v>24.64927083333335</v>
      </c>
      <c r="D108" s="183">
        <f t="shared" si="2"/>
        <v>23.783124999999995</v>
      </c>
      <c r="E108" s="183">
        <f t="shared" si="2"/>
        <v>8.3234374999999989</v>
      </c>
      <c r="F108" s="183">
        <f t="shared" si="2"/>
        <v>3.679791666666667</v>
      </c>
      <c r="G108" s="183">
        <f t="shared" si="2"/>
        <v>71.553437499999959</v>
      </c>
      <c r="H108" s="183">
        <f t="shared" si="2"/>
        <v>29.646979166666657</v>
      </c>
      <c r="I108" s="183">
        <f t="shared" si="2"/>
        <v>6.7489583333333316</v>
      </c>
      <c r="J108" s="183">
        <f t="shared" si="2"/>
        <v>0.26479166666666665</v>
      </c>
      <c r="K108" s="183">
        <f t="shared" si="2"/>
        <v>87.887083333333308</v>
      </c>
      <c r="L108" s="183">
        <f t="shared" si="2"/>
        <v>24.819270833333334</v>
      </c>
      <c r="M108" s="183">
        <f t="shared" si="2"/>
        <v>66.287395833333321</v>
      </c>
      <c r="N108" s="183">
        <f t="shared" si="2"/>
        <v>112.52916666666668</v>
      </c>
      <c r="O108" s="183">
        <f t="shared" si="2"/>
        <v>0</v>
      </c>
      <c r="P108" s="183">
        <f t="shared" si="2"/>
        <v>0.77052083333333343</v>
      </c>
      <c r="Q108" s="183">
        <f t="shared" si="2"/>
        <v>4.646562499999999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4.4198656008779809</v>
      </c>
      <c r="C109" s="183">
        <f t="shared" ref="C109:Q109" si="3">STDEV(C9:C104)</f>
        <v>2.7352868587335712</v>
      </c>
      <c r="D109" s="183">
        <f t="shared" si="3"/>
        <v>4.4964768225567395</v>
      </c>
      <c r="E109" s="183">
        <f t="shared" si="3"/>
        <v>1.140123564979298</v>
      </c>
      <c r="F109" s="183">
        <f t="shared" si="3"/>
        <v>1.7442531076391328</v>
      </c>
      <c r="G109" s="183">
        <f t="shared" si="3"/>
        <v>17.831544067990546</v>
      </c>
      <c r="H109" s="183">
        <f t="shared" si="3"/>
        <v>5.1441128578501703</v>
      </c>
      <c r="I109" s="183">
        <f t="shared" si="3"/>
        <v>0.89233753251214254</v>
      </c>
      <c r="J109" s="183">
        <f t="shared" si="3"/>
        <v>0.11037714453222518</v>
      </c>
      <c r="K109" s="183">
        <f t="shared" si="3"/>
        <v>45.662719445878196</v>
      </c>
      <c r="L109" s="183">
        <f t="shared" si="3"/>
        <v>3.7604194180385391</v>
      </c>
      <c r="M109" s="183">
        <f t="shared" si="3"/>
        <v>15.259988566236522</v>
      </c>
      <c r="N109" s="183">
        <f t="shared" si="3"/>
        <v>187.70069450936575</v>
      </c>
      <c r="O109" s="183">
        <f t="shared" si="3"/>
        <v>0</v>
      </c>
      <c r="P109" s="183">
        <f t="shared" si="3"/>
        <v>0.1126463473060855</v>
      </c>
      <c r="Q109" s="183">
        <f t="shared" si="3"/>
        <v>0.15941226344558876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02/12/2023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335</v>
      </c>
      <c r="B9" s="189">
        <v>11.64</v>
      </c>
      <c r="C9" s="189">
        <v>26.89</v>
      </c>
      <c r="D9" s="189">
        <v>24.73</v>
      </c>
      <c r="E9" s="189">
        <v>8.65</v>
      </c>
      <c r="F9" s="189">
        <v>2.63</v>
      </c>
      <c r="G9" s="189">
        <v>82.39</v>
      </c>
      <c r="H9" s="189">
        <v>33.93</v>
      </c>
      <c r="I9" s="189">
        <v>7.41</v>
      </c>
      <c r="J9" s="189">
        <v>0.23</v>
      </c>
      <c r="K9" s="189">
        <v>56.21</v>
      </c>
      <c r="L9" s="189">
        <v>22.61</v>
      </c>
      <c r="M9" s="189">
        <v>75.31</v>
      </c>
      <c r="N9" s="189">
        <v>0</v>
      </c>
      <c r="O9" s="189">
        <v>0</v>
      </c>
      <c r="P9" s="189">
        <v>0.99</v>
      </c>
      <c r="Q9" s="189">
        <v>4.6900000000000004</v>
      </c>
    </row>
    <row r="10" spans="1:21" customFormat="1">
      <c r="A10" s="6" t="s">
        <v>336</v>
      </c>
      <c r="B10" s="189">
        <v>12.58</v>
      </c>
      <c r="C10" s="189">
        <v>29.27</v>
      </c>
      <c r="D10" s="189">
        <v>26.73</v>
      </c>
      <c r="E10" s="189">
        <v>8.67</v>
      </c>
      <c r="F10" s="189">
        <v>2.54</v>
      </c>
      <c r="G10" s="189">
        <v>82.39</v>
      </c>
      <c r="H10" s="189">
        <v>33.93</v>
      </c>
      <c r="I10" s="189">
        <v>7.38</v>
      </c>
      <c r="J10" s="189">
        <v>0.24</v>
      </c>
      <c r="K10" s="189">
        <v>49.45</v>
      </c>
      <c r="L10" s="189">
        <v>22.39</v>
      </c>
      <c r="M10" s="189">
        <v>76.349999999999994</v>
      </c>
      <c r="N10" s="189">
        <v>0</v>
      </c>
      <c r="O10" s="189">
        <v>0</v>
      </c>
      <c r="P10" s="189">
        <v>0.99</v>
      </c>
      <c r="Q10" s="189">
        <v>4.72</v>
      </c>
    </row>
    <row r="11" spans="1:21" customFormat="1">
      <c r="A11" s="6" t="s">
        <v>337</v>
      </c>
      <c r="B11" s="189">
        <v>13.35</v>
      </c>
      <c r="C11" s="189">
        <v>29.97</v>
      </c>
      <c r="D11" s="189">
        <v>27.71</v>
      </c>
      <c r="E11" s="189">
        <v>8.8699999999999992</v>
      </c>
      <c r="F11" s="189">
        <v>2.6</v>
      </c>
      <c r="G11" s="189">
        <v>82.39</v>
      </c>
      <c r="H11" s="189">
        <v>33.93</v>
      </c>
      <c r="I11" s="189">
        <v>7.37</v>
      </c>
      <c r="J11" s="189">
        <v>0.23</v>
      </c>
      <c r="K11" s="189">
        <v>48.3</v>
      </c>
      <c r="L11" s="189">
        <v>22.25</v>
      </c>
      <c r="M11" s="189">
        <v>76.89</v>
      </c>
      <c r="N11" s="189">
        <v>0</v>
      </c>
      <c r="O11" s="189">
        <v>0</v>
      </c>
      <c r="P11" s="189">
        <v>0.99</v>
      </c>
      <c r="Q11" s="189">
        <v>4.7300000000000004</v>
      </c>
    </row>
    <row r="12" spans="1:21" customFormat="1">
      <c r="A12" s="6" t="s">
        <v>338</v>
      </c>
      <c r="B12" s="189">
        <v>14.33</v>
      </c>
      <c r="C12" s="189">
        <v>28.12</v>
      </c>
      <c r="D12" s="189">
        <v>27.53</v>
      </c>
      <c r="E12" s="189">
        <v>8.4499999999999993</v>
      </c>
      <c r="F12" s="189">
        <v>2.78</v>
      </c>
      <c r="G12" s="189">
        <v>82.5</v>
      </c>
      <c r="H12" s="189">
        <v>33.909999999999997</v>
      </c>
      <c r="I12" s="189">
        <v>7.36</v>
      </c>
      <c r="J12" s="189">
        <v>0.09</v>
      </c>
      <c r="K12" s="189">
        <v>33.11</v>
      </c>
      <c r="L12" s="189">
        <v>22.15</v>
      </c>
      <c r="M12" s="189">
        <v>77.78</v>
      </c>
      <c r="N12" s="189">
        <v>0</v>
      </c>
      <c r="O12" s="189">
        <v>0</v>
      </c>
      <c r="P12" s="189">
        <v>0.97</v>
      </c>
      <c r="Q12" s="189">
        <v>4.76</v>
      </c>
    </row>
    <row r="13" spans="1:21" customFormat="1">
      <c r="A13" s="6" t="s">
        <v>339</v>
      </c>
      <c r="B13" s="189">
        <v>15.17</v>
      </c>
      <c r="C13" s="189">
        <v>25.45</v>
      </c>
      <c r="D13" s="189">
        <v>26.81</v>
      </c>
      <c r="E13" s="189">
        <v>8.16</v>
      </c>
      <c r="F13" s="189">
        <v>2.98</v>
      </c>
      <c r="G13" s="189">
        <v>87.18</v>
      </c>
      <c r="H13" s="189">
        <v>33.049999999999997</v>
      </c>
      <c r="I13" s="189">
        <v>7.38</v>
      </c>
      <c r="J13" s="189">
        <v>0.19</v>
      </c>
      <c r="K13" s="189">
        <v>62.29</v>
      </c>
      <c r="L13" s="189">
        <v>22.07</v>
      </c>
      <c r="M13" s="189">
        <v>77.2</v>
      </c>
      <c r="N13" s="189">
        <v>0</v>
      </c>
      <c r="O13" s="189">
        <v>0</v>
      </c>
      <c r="P13" s="189">
        <v>0.95</v>
      </c>
      <c r="Q13" s="189">
        <v>4.8099999999999996</v>
      </c>
    </row>
    <row r="14" spans="1:21" customFormat="1">
      <c r="A14" s="6" t="s">
        <v>340</v>
      </c>
      <c r="B14" s="189">
        <v>15.76</v>
      </c>
      <c r="C14" s="189">
        <v>23.76</v>
      </c>
      <c r="D14" s="189">
        <v>26.4</v>
      </c>
      <c r="E14" s="189">
        <v>7.76</v>
      </c>
      <c r="F14" s="189">
        <v>2.85</v>
      </c>
      <c r="G14" s="189">
        <v>87.18</v>
      </c>
      <c r="H14" s="189">
        <v>33.049999999999997</v>
      </c>
      <c r="I14" s="189">
        <v>7.46</v>
      </c>
      <c r="J14" s="189">
        <v>0.27</v>
      </c>
      <c r="K14" s="189">
        <v>29.84</v>
      </c>
      <c r="L14" s="189">
        <v>21.97</v>
      </c>
      <c r="M14" s="189">
        <v>77.64</v>
      </c>
      <c r="N14" s="189">
        <v>0</v>
      </c>
      <c r="O14" s="189">
        <v>0</v>
      </c>
      <c r="P14" s="189">
        <v>0.93</v>
      </c>
      <c r="Q14" s="189">
        <v>4.79</v>
      </c>
    </row>
    <row r="15" spans="1:21" customFormat="1">
      <c r="A15" s="6" t="s">
        <v>341</v>
      </c>
      <c r="B15" s="189">
        <v>16.03</v>
      </c>
      <c r="C15" s="189">
        <v>23.72</v>
      </c>
      <c r="D15" s="189">
        <v>26.6</v>
      </c>
      <c r="E15" s="189">
        <v>8.1</v>
      </c>
      <c r="F15" s="189">
        <v>2.57</v>
      </c>
      <c r="G15" s="189">
        <v>87.18</v>
      </c>
      <c r="H15" s="189">
        <v>33.049999999999997</v>
      </c>
      <c r="I15" s="189">
        <v>7.48</v>
      </c>
      <c r="J15" s="189">
        <v>0.39</v>
      </c>
      <c r="K15" s="189">
        <v>49.25</v>
      </c>
      <c r="L15" s="189">
        <v>21.91</v>
      </c>
      <c r="M15" s="189">
        <v>77.37</v>
      </c>
      <c r="N15" s="189">
        <v>0</v>
      </c>
      <c r="O15" s="189">
        <v>0</v>
      </c>
      <c r="P15" s="189">
        <v>0.92</v>
      </c>
      <c r="Q15" s="189">
        <v>4.7699999999999996</v>
      </c>
    </row>
    <row r="16" spans="1:21" customFormat="1">
      <c r="A16" s="6" t="s">
        <v>342</v>
      </c>
      <c r="B16" s="189">
        <v>16.25</v>
      </c>
      <c r="C16" s="189">
        <v>23.77</v>
      </c>
      <c r="D16" s="189">
        <v>26.8</v>
      </c>
      <c r="E16" s="189">
        <v>8.02</v>
      </c>
      <c r="F16" s="189">
        <v>2.5499999999999998</v>
      </c>
      <c r="G16" s="189">
        <v>87.18</v>
      </c>
      <c r="H16" s="189">
        <v>33.03</v>
      </c>
      <c r="I16" s="189">
        <v>7.46</v>
      </c>
      <c r="J16" s="189">
        <v>0.39</v>
      </c>
      <c r="K16" s="189">
        <v>38.1</v>
      </c>
      <c r="L16" s="189">
        <v>21.89</v>
      </c>
      <c r="M16" s="189">
        <v>77.55</v>
      </c>
      <c r="N16" s="189">
        <v>0</v>
      </c>
      <c r="O16" s="189">
        <v>0</v>
      </c>
      <c r="P16" s="189">
        <v>0.92</v>
      </c>
      <c r="Q16" s="189">
        <v>4.7699999999999996</v>
      </c>
    </row>
    <row r="17" spans="1:17" customFormat="1">
      <c r="A17" s="6" t="s">
        <v>343</v>
      </c>
      <c r="B17" s="189">
        <v>16.52</v>
      </c>
      <c r="C17" s="189">
        <v>25.2</v>
      </c>
      <c r="D17" s="189">
        <v>27.77</v>
      </c>
      <c r="E17" s="189">
        <v>6.91</v>
      </c>
      <c r="F17" s="189">
        <v>2.4300000000000002</v>
      </c>
      <c r="G17" s="189">
        <v>86.45</v>
      </c>
      <c r="H17" s="189">
        <v>31.56</v>
      </c>
      <c r="I17" s="189">
        <v>7.43</v>
      </c>
      <c r="J17" s="189">
        <v>0.22</v>
      </c>
      <c r="K17" s="189">
        <v>48.15</v>
      </c>
      <c r="L17" s="189">
        <v>21.64</v>
      </c>
      <c r="M17" s="189">
        <v>79.53</v>
      </c>
      <c r="N17" s="189">
        <v>0</v>
      </c>
      <c r="O17" s="189">
        <v>0</v>
      </c>
      <c r="P17" s="189">
        <v>0.94</v>
      </c>
      <c r="Q17" s="189">
        <v>4.75</v>
      </c>
    </row>
    <row r="18" spans="1:17" customFormat="1">
      <c r="A18" s="6" t="s">
        <v>344</v>
      </c>
      <c r="B18" s="189">
        <v>16.84</v>
      </c>
      <c r="C18" s="189">
        <v>24.44</v>
      </c>
      <c r="D18" s="189">
        <v>27.63</v>
      </c>
      <c r="E18" s="189">
        <v>7.68</v>
      </c>
      <c r="F18" s="189">
        <v>2.68</v>
      </c>
      <c r="G18" s="189">
        <v>86.45</v>
      </c>
      <c r="H18" s="189">
        <v>31.56</v>
      </c>
      <c r="I18" s="189">
        <v>7.38</v>
      </c>
      <c r="J18" s="189">
        <v>0.18</v>
      </c>
      <c r="K18" s="189">
        <v>63.91</v>
      </c>
      <c r="L18" s="189">
        <v>21.44</v>
      </c>
      <c r="M18" s="189">
        <v>81.069999999999993</v>
      </c>
      <c r="N18" s="189">
        <v>0</v>
      </c>
      <c r="O18" s="189">
        <v>0</v>
      </c>
      <c r="P18" s="189">
        <v>0.92</v>
      </c>
      <c r="Q18" s="189">
        <v>4.76</v>
      </c>
    </row>
    <row r="19" spans="1:17" customFormat="1">
      <c r="A19" s="6" t="s">
        <v>345</v>
      </c>
      <c r="B19" s="189">
        <v>17.29</v>
      </c>
      <c r="C19" s="189">
        <v>24.42</v>
      </c>
      <c r="D19" s="189">
        <v>27.97</v>
      </c>
      <c r="E19" s="189">
        <v>7.82</v>
      </c>
      <c r="F19" s="189">
        <v>2.67</v>
      </c>
      <c r="G19" s="189">
        <v>86.45</v>
      </c>
      <c r="H19" s="189">
        <v>31.56</v>
      </c>
      <c r="I19" s="189">
        <v>7.38</v>
      </c>
      <c r="J19" s="189">
        <v>0.25</v>
      </c>
      <c r="K19" s="189">
        <v>48.72</v>
      </c>
      <c r="L19" s="189">
        <v>21.3</v>
      </c>
      <c r="M19" s="189">
        <v>82.15</v>
      </c>
      <c r="N19" s="189">
        <v>0</v>
      </c>
      <c r="O19" s="189">
        <v>0</v>
      </c>
      <c r="P19" s="189">
        <v>0.91</v>
      </c>
      <c r="Q19" s="189">
        <v>4.79</v>
      </c>
    </row>
    <row r="20" spans="1:17" customFormat="1">
      <c r="A20" s="6" t="s">
        <v>346</v>
      </c>
      <c r="B20" s="189">
        <v>17.8</v>
      </c>
      <c r="C20" s="189">
        <v>24.21</v>
      </c>
      <c r="D20" s="189">
        <v>28.28</v>
      </c>
      <c r="E20" s="189">
        <v>7.16</v>
      </c>
      <c r="F20" s="189">
        <v>2.59</v>
      </c>
      <c r="G20" s="189">
        <v>86.32</v>
      </c>
      <c r="H20" s="189">
        <v>31.57</v>
      </c>
      <c r="I20" s="189">
        <v>7.34</v>
      </c>
      <c r="J20" s="189">
        <v>0.28999999999999998</v>
      </c>
      <c r="K20" s="189">
        <v>42.55</v>
      </c>
      <c r="L20" s="189">
        <v>21.14</v>
      </c>
      <c r="M20" s="189">
        <v>83.31</v>
      </c>
      <c r="N20" s="189">
        <v>0</v>
      </c>
      <c r="O20" s="189">
        <v>0</v>
      </c>
      <c r="P20" s="189">
        <v>0.92</v>
      </c>
      <c r="Q20" s="189">
        <v>4.82</v>
      </c>
    </row>
    <row r="21" spans="1:17" customFormat="1">
      <c r="A21" s="6" t="s">
        <v>347</v>
      </c>
      <c r="B21" s="189">
        <v>18.100000000000001</v>
      </c>
      <c r="C21" s="189">
        <v>24.37</v>
      </c>
      <c r="D21" s="189">
        <v>28.6</v>
      </c>
      <c r="E21" s="189">
        <v>7.9</v>
      </c>
      <c r="F21" s="189">
        <v>2.67</v>
      </c>
      <c r="G21" s="189">
        <v>80.5</v>
      </c>
      <c r="H21" s="189">
        <v>32.82</v>
      </c>
      <c r="I21" s="189">
        <v>7.32</v>
      </c>
      <c r="J21" s="189">
        <v>0.31</v>
      </c>
      <c r="K21" s="189">
        <v>46.84</v>
      </c>
      <c r="L21" s="189">
        <v>21.02</v>
      </c>
      <c r="M21" s="189">
        <v>84.1</v>
      </c>
      <c r="N21" s="189">
        <v>0</v>
      </c>
      <c r="O21" s="189">
        <v>0</v>
      </c>
      <c r="P21" s="189">
        <v>0.91</v>
      </c>
      <c r="Q21" s="189">
        <v>4.8099999999999996</v>
      </c>
    </row>
    <row r="22" spans="1:17" customFormat="1">
      <c r="A22" s="6" t="s">
        <v>348</v>
      </c>
      <c r="B22" s="189">
        <v>18.37</v>
      </c>
      <c r="C22" s="189">
        <v>24.04</v>
      </c>
      <c r="D22" s="189">
        <v>28.64</v>
      </c>
      <c r="E22" s="189">
        <v>7.44</v>
      </c>
      <c r="F22" s="189">
        <v>2.77</v>
      </c>
      <c r="G22" s="189">
        <v>80.5</v>
      </c>
      <c r="H22" s="189">
        <v>32.82</v>
      </c>
      <c r="I22" s="189">
        <v>7.28</v>
      </c>
      <c r="J22" s="189">
        <v>0.42</v>
      </c>
      <c r="K22" s="189">
        <v>42.15</v>
      </c>
      <c r="L22" s="189">
        <v>20.93</v>
      </c>
      <c r="M22" s="189">
        <v>84.95</v>
      </c>
      <c r="N22" s="189">
        <v>0</v>
      </c>
      <c r="O22" s="189">
        <v>0</v>
      </c>
      <c r="P22" s="189">
        <v>0.91</v>
      </c>
      <c r="Q22" s="189">
        <v>4.82</v>
      </c>
    </row>
    <row r="23" spans="1:17" customFormat="1">
      <c r="A23" s="6" t="s">
        <v>349</v>
      </c>
      <c r="B23" s="189">
        <v>18.649999999999999</v>
      </c>
      <c r="C23" s="189">
        <v>24.48</v>
      </c>
      <c r="D23" s="189">
        <v>29.1</v>
      </c>
      <c r="E23" s="189">
        <v>7.33</v>
      </c>
      <c r="F23" s="189">
        <v>2.67</v>
      </c>
      <c r="G23" s="189">
        <v>80.5</v>
      </c>
      <c r="H23" s="189">
        <v>32.82</v>
      </c>
      <c r="I23" s="189">
        <v>7.29</v>
      </c>
      <c r="J23" s="189">
        <v>0.34</v>
      </c>
      <c r="K23" s="189">
        <v>51.02</v>
      </c>
      <c r="L23" s="189">
        <v>20.83</v>
      </c>
      <c r="M23" s="189">
        <v>85.49</v>
      </c>
      <c r="N23" s="189">
        <v>0</v>
      </c>
      <c r="O23" s="189">
        <v>0</v>
      </c>
      <c r="P23" s="189">
        <v>0.9</v>
      </c>
      <c r="Q23" s="189">
        <v>4.8600000000000003</v>
      </c>
    </row>
    <row r="24" spans="1:17" customFormat="1">
      <c r="A24" s="6" t="s">
        <v>350</v>
      </c>
      <c r="B24" s="189">
        <v>18.989999999999998</v>
      </c>
      <c r="C24" s="189">
        <v>23.85</v>
      </c>
      <c r="D24" s="189">
        <v>29.04</v>
      </c>
      <c r="E24" s="189">
        <v>7.54</v>
      </c>
      <c r="F24" s="189">
        <v>2.71</v>
      </c>
      <c r="G24" s="189">
        <v>80.45</v>
      </c>
      <c r="H24" s="189">
        <v>32.79</v>
      </c>
      <c r="I24" s="189">
        <v>7.27</v>
      </c>
      <c r="J24" s="189">
        <v>0.28000000000000003</v>
      </c>
      <c r="K24" s="189">
        <v>55.69</v>
      </c>
      <c r="L24" s="189">
        <v>20.57</v>
      </c>
      <c r="M24" s="189">
        <v>86.98</v>
      </c>
      <c r="N24" s="189">
        <v>0</v>
      </c>
      <c r="O24" s="189">
        <v>0</v>
      </c>
      <c r="P24" s="189">
        <v>0.9</v>
      </c>
      <c r="Q24" s="189">
        <v>4.87</v>
      </c>
    </row>
    <row r="25" spans="1:17" customFormat="1">
      <c r="A25" s="6" t="s">
        <v>351</v>
      </c>
      <c r="B25" s="189">
        <v>19.03</v>
      </c>
      <c r="C25" s="189">
        <v>25.34</v>
      </c>
      <c r="D25" s="189">
        <v>29.85</v>
      </c>
      <c r="E25" s="189">
        <v>7.66</v>
      </c>
      <c r="F25" s="189">
        <v>2.56</v>
      </c>
      <c r="G25" s="189">
        <v>78.209999999999994</v>
      </c>
      <c r="H25" s="189">
        <v>30.86</v>
      </c>
      <c r="I25" s="189">
        <v>7.24</v>
      </c>
      <c r="J25" s="189">
        <v>0.35</v>
      </c>
      <c r="K25" s="189">
        <v>61.74</v>
      </c>
      <c r="L25" s="189">
        <v>20.48</v>
      </c>
      <c r="M25" s="189">
        <v>87.37</v>
      </c>
      <c r="N25" s="189">
        <v>0</v>
      </c>
      <c r="O25" s="189">
        <v>0</v>
      </c>
      <c r="P25" s="189">
        <v>0.9</v>
      </c>
      <c r="Q25" s="189">
        <v>4.87</v>
      </c>
    </row>
    <row r="26" spans="1:17" customFormat="1">
      <c r="A26" s="6" t="s">
        <v>352</v>
      </c>
      <c r="B26" s="189">
        <v>19.14</v>
      </c>
      <c r="C26" s="189">
        <v>23.6</v>
      </c>
      <c r="D26" s="189">
        <v>29.03</v>
      </c>
      <c r="E26" s="189">
        <v>7.82</v>
      </c>
      <c r="F26" s="189">
        <v>2.78</v>
      </c>
      <c r="G26" s="189">
        <v>78.209999999999994</v>
      </c>
      <c r="H26" s="189">
        <v>30.86</v>
      </c>
      <c r="I26" s="189">
        <v>7.26</v>
      </c>
      <c r="J26" s="189">
        <v>0.43</v>
      </c>
      <c r="K26" s="189">
        <v>56.83</v>
      </c>
      <c r="L26" s="189">
        <v>20.43</v>
      </c>
      <c r="M26" s="189">
        <v>87.38</v>
      </c>
      <c r="N26" s="189">
        <v>0</v>
      </c>
      <c r="O26" s="189">
        <v>0</v>
      </c>
      <c r="P26" s="189">
        <v>0.88</v>
      </c>
      <c r="Q26" s="189">
        <v>4.8499999999999996</v>
      </c>
    </row>
    <row r="27" spans="1:17" customFormat="1">
      <c r="A27" s="6" t="s">
        <v>353</v>
      </c>
      <c r="B27" s="189">
        <v>19.170000000000002</v>
      </c>
      <c r="C27" s="189">
        <v>24.04</v>
      </c>
      <c r="D27" s="189">
        <v>29.29</v>
      </c>
      <c r="E27" s="189">
        <v>8.09</v>
      </c>
      <c r="F27" s="189">
        <v>2.58</v>
      </c>
      <c r="G27" s="189">
        <v>78.209999999999994</v>
      </c>
      <c r="H27" s="189">
        <v>30.86</v>
      </c>
      <c r="I27" s="189">
        <v>7.27</v>
      </c>
      <c r="J27" s="189">
        <v>0.54</v>
      </c>
      <c r="K27" s="189">
        <v>50.98</v>
      </c>
      <c r="L27" s="189">
        <v>20.46</v>
      </c>
      <c r="M27" s="189">
        <v>86.54</v>
      </c>
      <c r="N27" s="189">
        <v>0</v>
      </c>
      <c r="O27" s="189">
        <v>0</v>
      </c>
      <c r="P27" s="189">
        <v>0.88</v>
      </c>
      <c r="Q27" s="189">
        <v>4.8499999999999996</v>
      </c>
    </row>
    <row r="28" spans="1:17" customFormat="1">
      <c r="A28" s="6" t="s">
        <v>354</v>
      </c>
      <c r="B28" s="189">
        <v>19.190000000000001</v>
      </c>
      <c r="C28" s="189">
        <v>23.78</v>
      </c>
      <c r="D28" s="189">
        <v>29.16</v>
      </c>
      <c r="E28" s="189">
        <v>7.88</v>
      </c>
      <c r="F28" s="189">
        <v>2.62</v>
      </c>
      <c r="G28" s="189">
        <v>78.260000000000005</v>
      </c>
      <c r="H28" s="189">
        <v>30.86</v>
      </c>
      <c r="I28" s="189">
        <v>7.25</v>
      </c>
      <c r="J28" s="189">
        <v>0.47</v>
      </c>
      <c r="K28" s="189">
        <v>59.01</v>
      </c>
      <c r="L28" s="189">
        <v>20.39</v>
      </c>
      <c r="M28" s="189">
        <v>86.16</v>
      </c>
      <c r="N28" s="189">
        <v>0</v>
      </c>
      <c r="O28" s="189">
        <v>0</v>
      </c>
      <c r="P28" s="189">
        <v>0.88</v>
      </c>
      <c r="Q28" s="189">
        <v>4.87</v>
      </c>
    </row>
    <row r="29" spans="1:17" customFormat="1">
      <c r="A29" s="6" t="s">
        <v>355</v>
      </c>
      <c r="B29" s="189">
        <v>18.96</v>
      </c>
      <c r="C29" s="189">
        <v>25.1</v>
      </c>
      <c r="D29" s="189">
        <v>29.67</v>
      </c>
      <c r="E29" s="189">
        <v>7.73</v>
      </c>
      <c r="F29" s="189">
        <v>2.4500000000000002</v>
      </c>
      <c r="G29" s="189">
        <v>80.599999999999994</v>
      </c>
      <c r="H29" s="189">
        <v>30.74</v>
      </c>
      <c r="I29" s="189">
        <v>7.25</v>
      </c>
      <c r="J29" s="189">
        <v>0.37</v>
      </c>
      <c r="K29" s="189">
        <v>61.66</v>
      </c>
      <c r="L29" s="189">
        <v>20.32</v>
      </c>
      <c r="M29" s="189">
        <v>85.9</v>
      </c>
      <c r="N29" s="189">
        <v>0</v>
      </c>
      <c r="O29" s="189">
        <v>0</v>
      </c>
      <c r="P29" s="189">
        <v>0.88</v>
      </c>
      <c r="Q29" s="189">
        <v>4.8600000000000003</v>
      </c>
    </row>
    <row r="30" spans="1:17" customFormat="1">
      <c r="A30" s="6" t="s">
        <v>356</v>
      </c>
      <c r="B30" s="189">
        <v>18.63</v>
      </c>
      <c r="C30" s="189">
        <v>24.79</v>
      </c>
      <c r="D30" s="189">
        <v>29.24</v>
      </c>
      <c r="E30" s="189">
        <v>8.26</v>
      </c>
      <c r="F30" s="189">
        <v>2.68</v>
      </c>
      <c r="G30" s="189">
        <v>80.599999999999994</v>
      </c>
      <c r="H30" s="189">
        <v>30.74</v>
      </c>
      <c r="I30" s="189">
        <v>7.25</v>
      </c>
      <c r="J30" s="189">
        <v>0.26</v>
      </c>
      <c r="K30" s="189">
        <v>68.44</v>
      </c>
      <c r="L30" s="189">
        <v>20.260000000000002</v>
      </c>
      <c r="M30" s="189">
        <v>86.05</v>
      </c>
      <c r="N30" s="189">
        <v>0</v>
      </c>
      <c r="O30" s="189">
        <v>0</v>
      </c>
      <c r="P30" s="189">
        <v>0.88</v>
      </c>
      <c r="Q30" s="189">
        <v>4.88</v>
      </c>
    </row>
    <row r="31" spans="1:17" customFormat="1">
      <c r="A31" s="6" t="s">
        <v>357</v>
      </c>
      <c r="B31" s="189">
        <v>18.09</v>
      </c>
      <c r="C31" s="189">
        <v>24.88</v>
      </c>
      <c r="D31" s="189">
        <v>28.86</v>
      </c>
      <c r="E31" s="189">
        <v>8.14</v>
      </c>
      <c r="F31" s="189">
        <v>2.71</v>
      </c>
      <c r="G31" s="189">
        <v>80.599999999999994</v>
      </c>
      <c r="H31" s="189">
        <v>30.74</v>
      </c>
      <c r="I31" s="189">
        <v>7.24</v>
      </c>
      <c r="J31" s="189">
        <v>0.15</v>
      </c>
      <c r="K31" s="189">
        <v>86.77</v>
      </c>
      <c r="L31" s="189">
        <v>20.190000000000001</v>
      </c>
      <c r="M31" s="189">
        <v>86.48</v>
      </c>
      <c r="N31" s="189">
        <v>0</v>
      </c>
      <c r="O31" s="189">
        <v>0</v>
      </c>
      <c r="P31" s="189">
        <v>0.88</v>
      </c>
      <c r="Q31" s="189">
        <v>4.8899999999999997</v>
      </c>
    </row>
    <row r="32" spans="1:17" customFormat="1">
      <c r="A32" s="6" t="s">
        <v>358</v>
      </c>
      <c r="B32" s="189">
        <v>17.420000000000002</v>
      </c>
      <c r="C32" s="189">
        <v>25.01</v>
      </c>
      <c r="D32" s="189">
        <v>28.39</v>
      </c>
      <c r="E32" s="189">
        <v>8.59</v>
      </c>
      <c r="F32" s="189">
        <v>2.65</v>
      </c>
      <c r="G32" s="189">
        <v>80.400000000000006</v>
      </c>
      <c r="H32" s="189">
        <v>30.74</v>
      </c>
      <c r="I32" s="189">
        <v>7.22</v>
      </c>
      <c r="J32" s="189">
        <v>0.16</v>
      </c>
      <c r="K32" s="189">
        <v>93.5</v>
      </c>
      <c r="L32" s="189">
        <v>20.190000000000001</v>
      </c>
      <c r="M32" s="189">
        <v>86.48</v>
      </c>
      <c r="N32" s="189">
        <v>0</v>
      </c>
      <c r="O32" s="189">
        <v>0</v>
      </c>
      <c r="P32" s="189">
        <v>0.88</v>
      </c>
      <c r="Q32" s="189">
        <v>4.8600000000000003</v>
      </c>
    </row>
    <row r="33" spans="1:17" customFormat="1">
      <c r="A33" s="6" t="s">
        <v>359</v>
      </c>
      <c r="B33" s="189">
        <v>16.86</v>
      </c>
      <c r="C33" s="189">
        <v>25.5</v>
      </c>
      <c r="D33" s="189">
        <v>28.2</v>
      </c>
      <c r="E33" s="189">
        <v>8.17</v>
      </c>
      <c r="F33" s="189">
        <v>2.72</v>
      </c>
      <c r="G33" s="189">
        <v>71.19</v>
      </c>
      <c r="H33" s="189">
        <v>30.44</v>
      </c>
      <c r="I33" s="189">
        <v>7.21</v>
      </c>
      <c r="J33" s="189">
        <v>0.2</v>
      </c>
      <c r="K33" s="189">
        <v>76.44</v>
      </c>
      <c r="L33" s="189">
        <v>19.98</v>
      </c>
      <c r="M33" s="189">
        <v>87.98</v>
      </c>
      <c r="N33" s="189">
        <v>0</v>
      </c>
      <c r="O33" s="189">
        <v>0</v>
      </c>
      <c r="P33" s="189">
        <v>0.88</v>
      </c>
      <c r="Q33" s="189">
        <v>4.8499999999999996</v>
      </c>
    </row>
    <row r="34" spans="1:17" customFormat="1">
      <c r="A34" s="6" t="s">
        <v>360</v>
      </c>
      <c r="B34" s="189">
        <v>16.350000000000001</v>
      </c>
      <c r="C34" s="189">
        <v>25.95</v>
      </c>
      <c r="D34" s="189">
        <v>28.02</v>
      </c>
      <c r="E34" s="189">
        <v>8.2799999999999994</v>
      </c>
      <c r="F34" s="189">
        <v>2.71</v>
      </c>
      <c r="G34" s="189">
        <v>71.19</v>
      </c>
      <c r="H34" s="189">
        <v>30.44</v>
      </c>
      <c r="I34" s="189">
        <v>7.17</v>
      </c>
      <c r="J34" s="189">
        <v>0.28000000000000003</v>
      </c>
      <c r="K34" s="189">
        <v>69.540000000000006</v>
      </c>
      <c r="L34" s="189">
        <v>19.91</v>
      </c>
      <c r="M34" s="189">
        <v>87.91</v>
      </c>
      <c r="N34" s="189">
        <v>0</v>
      </c>
      <c r="O34" s="189">
        <v>0</v>
      </c>
      <c r="P34" s="189">
        <v>0.88</v>
      </c>
      <c r="Q34" s="189">
        <v>4.82</v>
      </c>
    </row>
    <row r="35" spans="1:17" customFormat="1">
      <c r="A35" s="6" t="s">
        <v>361</v>
      </c>
      <c r="B35" s="189">
        <v>15.96</v>
      </c>
      <c r="C35" s="189">
        <v>25.97</v>
      </c>
      <c r="D35" s="189">
        <v>27.72</v>
      </c>
      <c r="E35" s="189">
        <v>8.32</v>
      </c>
      <c r="F35" s="189">
        <v>2.68</v>
      </c>
      <c r="G35" s="189">
        <v>71.19</v>
      </c>
      <c r="H35" s="189">
        <v>30.44</v>
      </c>
      <c r="I35" s="189">
        <v>7.13</v>
      </c>
      <c r="J35" s="189">
        <v>0.27</v>
      </c>
      <c r="K35" s="189">
        <v>54.16</v>
      </c>
      <c r="L35" s="189">
        <v>19.93</v>
      </c>
      <c r="M35" s="189">
        <v>87.65</v>
      </c>
      <c r="N35" s="189">
        <v>3.7</v>
      </c>
      <c r="O35" s="189">
        <v>0</v>
      </c>
      <c r="P35" s="189">
        <v>0.88</v>
      </c>
      <c r="Q35" s="189">
        <v>4.83</v>
      </c>
    </row>
    <row r="36" spans="1:17" customFormat="1">
      <c r="A36" s="6" t="s">
        <v>362</v>
      </c>
      <c r="B36" s="189">
        <v>16.100000000000001</v>
      </c>
      <c r="C36" s="189">
        <v>26.74</v>
      </c>
      <c r="D36" s="189">
        <v>28.23</v>
      </c>
      <c r="E36" s="189">
        <v>8.49</v>
      </c>
      <c r="F36" s="189">
        <v>2.66</v>
      </c>
      <c r="G36" s="189">
        <v>71.13</v>
      </c>
      <c r="H36" s="189">
        <v>30.44</v>
      </c>
      <c r="I36" s="189">
        <v>7.12</v>
      </c>
      <c r="J36" s="189">
        <v>0.2</v>
      </c>
      <c r="K36" s="189">
        <v>58.71</v>
      </c>
      <c r="L36" s="189">
        <v>20.010000000000002</v>
      </c>
      <c r="M36" s="189">
        <v>87.46</v>
      </c>
      <c r="N36" s="189">
        <v>16.600000000000001</v>
      </c>
      <c r="O36" s="189">
        <v>0</v>
      </c>
      <c r="P36" s="189">
        <v>0.89</v>
      </c>
      <c r="Q36" s="189">
        <v>4.83</v>
      </c>
    </row>
    <row r="37" spans="1:17" customFormat="1">
      <c r="A37" s="6" t="s">
        <v>363</v>
      </c>
      <c r="B37" s="189">
        <v>16.649999999999999</v>
      </c>
      <c r="C37" s="189">
        <v>27.08</v>
      </c>
      <c r="D37" s="189">
        <v>28.85</v>
      </c>
      <c r="E37" s="189">
        <v>8.6999999999999993</v>
      </c>
      <c r="F37" s="189">
        <v>2.8</v>
      </c>
      <c r="G37" s="189">
        <v>68.42</v>
      </c>
      <c r="H37" s="189">
        <v>30.73</v>
      </c>
      <c r="I37" s="189">
        <v>7.15</v>
      </c>
      <c r="J37" s="189">
        <v>0.21</v>
      </c>
      <c r="K37" s="189">
        <v>59.69</v>
      </c>
      <c r="L37" s="189">
        <v>20.27</v>
      </c>
      <c r="M37" s="189">
        <v>86.59</v>
      </c>
      <c r="N37" s="189">
        <v>30.5</v>
      </c>
      <c r="O37" s="189">
        <v>0</v>
      </c>
      <c r="P37" s="189">
        <v>0.89</v>
      </c>
      <c r="Q37" s="189">
        <v>4.82</v>
      </c>
    </row>
    <row r="38" spans="1:17" customFormat="1">
      <c r="A38" s="6" t="s">
        <v>364</v>
      </c>
      <c r="B38" s="189">
        <v>16.87</v>
      </c>
      <c r="C38" s="189">
        <v>27.44</v>
      </c>
      <c r="D38" s="189">
        <v>29.22</v>
      </c>
      <c r="E38" s="189">
        <v>8.89</v>
      </c>
      <c r="F38" s="189">
        <v>2.78</v>
      </c>
      <c r="G38" s="189">
        <v>68.42</v>
      </c>
      <c r="H38" s="189">
        <v>30.73</v>
      </c>
      <c r="I38" s="189">
        <v>7.23</v>
      </c>
      <c r="J38" s="189">
        <v>0.22</v>
      </c>
      <c r="K38" s="189">
        <v>71.66</v>
      </c>
      <c r="L38" s="189">
        <v>20.71</v>
      </c>
      <c r="M38" s="189">
        <v>84.84</v>
      </c>
      <c r="N38" s="189">
        <v>43.9</v>
      </c>
      <c r="O38" s="189">
        <v>0</v>
      </c>
      <c r="P38" s="189">
        <v>0.9</v>
      </c>
      <c r="Q38" s="189">
        <v>4.84</v>
      </c>
    </row>
    <row r="39" spans="1:17" customFormat="1">
      <c r="A39" s="6" t="s">
        <v>365</v>
      </c>
      <c r="B39" s="189">
        <v>16.559999999999999</v>
      </c>
      <c r="C39" s="189">
        <v>27.69</v>
      </c>
      <c r="D39" s="189">
        <v>29.09</v>
      </c>
      <c r="E39" s="189">
        <v>8.5399999999999991</v>
      </c>
      <c r="F39" s="189">
        <v>2.71</v>
      </c>
      <c r="G39" s="189">
        <v>68.42</v>
      </c>
      <c r="H39" s="189">
        <v>30.73</v>
      </c>
      <c r="I39" s="189">
        <v>7.35</v>
      </c>
      <c r="J39" s="189">
        <v>0.34</v>
      </c>
      <c r="K39" s="189">
        <v>65.58</v>
      </c>
      <c r="L39" s="189">
        <v>21.26</v>
      </c>
      <c r="M39" s="189">
        <v>82.86</v>
      </c>
      <c r="N39" s="189">
        <v>57.4</v>
      </c>
      <c r="O39" s="189">
        <v>0</v>
      </c>
      <c r="P39" s="189">
        <v>0.92</v>
      </c>
      <c r="Q39" s="189">
        <v>4.8499999999999996</v>
      </c>
    </row>
    <row r="40" spans="1:17" customFormat="1">
      <c r="A40" s="6" t="s">
        <v>366</v>
      </c>
      <c r="B40" s="189">
        <v>16.14</v>
      </c>
      <c r="C40" s="189">
        <v>27.84</v>
      </c>
      <c r="D40" s="189">
        <v>28.84</v>
      </c>
      <c r="E40" s="189">
        <v>8.81</v>
      </c>
      <c r="F40" s="189">
        <v>2.77</v>
      </c>
      <c r="G40" s="189">
        <v>68.510000000000005</v>
      </c>
      <c r="H40" s="189">
        <v>30.74</v>
      </c>
      <c r="I40" s="189">
        <v>7.51</v>
      </c>
      <c r="J40" s="189">
        <v>0.36</v>
      </c>
      <c r="K40" s="189">
        <v>65.42</v>
      </c>
      <c r="L40" s="189">
        <v>21.91</v>
      </c>
      <c r="M40" s="189">
        <v>80.3</v>
      </c>
      <c r="N40" s="189">
        <v>129.9</v>
      </c>
      <c r="O40" s="189">
        <v>0</v>
      </c>
      <c r="P40" s="189">
        <v>0.92</v>
      </c>
      <c r="Q40" s="189">
        <v>4.83</v>
      </c>
    </row>
    <row r="41" spans="1:17" customFormat="1">
      <c r="A41" s="6" t="s">
        <v>367</v>
      </c>
      <c r="B41" s="189">
        <v>15.46</v>
      </c>
      <c r="C41" s="189">
        <v>27.81</v>
      </c>
      <c r="D41" s="189">
        <v>28.28</v>
      </c>
      <c r="E41" s="189">
        <v>8.9499999999999993</v>
      </c>
      <c r="F41" s="189">
        <v>2.78</v>
      </c>
      <c r="G41" s="189">
        <v>72.39</v>
      </c>
      <c r="H41" s="189">
        <v>31.64</v>
      </c>
      <c r="I41" s="189">
        <v>7.63</v>
      </c>
      <c r="J41" s="189">
        <v>0.21</v>
      </c>
      <c r="K41" s="189">
        <v>91.66</v>
      </c>
      <c r="L41" s="189">
        <v>22.89</v>
      </c>
      <c r="M41" s="189">
        <v>76.05</v>
      </c>
      <c r="N41" s="189">
        <v>168.3</v>
      </c>
      <c r="O41" s="189">
        <v>0</v>
      </c>
      <c r="P41" s="189">
        <v>0.92</v>
      </c>
      <c r="Q41" s="189">
        <v>4.8</v>
      </c>
    </row>
    <row r="42" spans="1:17" customFormat="1">
      <c r="A42" s="6" t="s">
        <v>368</v>
      </c>
      <c r="B42" s="189">
        <v>14.44</v>
      </c>
      <c r="C42" s="189">
        <v>28.09</v>
      </c>
      <c r="D42" s="189">
        <v>27.61</v>
      </c>
      <c r="E42" s="189">
        <v>8.7899999999999991</v>
      </c>
      <c r="F42" s="189">
        <v>2.68</v>
      </c>
      <c r="G42" s="189">
        <v>72.39</v>
      </c>
      <c r="H42" s="189">
        <v>31.64</v>
      </c>
      <c r="I42" s="189">
        <v>7.67</v>
      </c>
      <c r="J42" s="189">
        <v>0.32</v>
      </c>
      <c r="K42" s="189">
        <v>76.86</v>
      </c>
      <c r="L42" s="189">
        <v>23.6</v>
      </c>
      <c r="M42" s="189">
        <v>73.77</v>
      </c>
      <c r="N42" s="189">
        <v>200.5</v>
      </c>
      <c r="O42" s="189">
        <v>0</v>
      </c>
      <c r="P42" s="189">
        <v>0.92</v>
      </c>
      <c r="Q42" s="189">
        <v>4.79</v>
      </c>
    </row>
    <row r="43" spans="1:17" customFormat="1">
      <c r="A43" s="6" t="s">
        <v>369</v>
      </c>
      <c r="B43" s="189">
        <v>13.69</v>
      </c>
      <c r="C43" s="189">
        <v>28.24</v>
      </c>
      <c r="D43" s="189">
        <v>27.08</v>
      </c>
      <c r="E43" s="189">
        <v>8.92</v>
      </c>
      <c r="F43" s="189">
        <v>2.67</v>
      </c>
      <c r="G43" s="189">
        <v>72.39</v>
      </c>
      <c r="H43" s="189">
        <v>31.64</v>
      </c>
      <c r="I43" s="189">
        <v>7.68</v>
      </c>
      <c r="J43" s="189">
        <v>0.36</v>
      </c>
      <c r="K43" s="189">
        <v>66.849999999999994</v>
      </c>
      <c r="L43" s="189">
        <v>24.22</v>
      </c>
      <c r="M43" s="189">
        <v>72.13</v>
      </c>
      <c r="N43" s="189">
        <v>238.2</v>
      </c>
      <c r="O43" s="189">
        <v>0</v>
      </c>
      <c r="P43" s="189">
        <v>0.92</v>
      </c>
      <c r="Q43" s="189">
        <v>4.78</v>
      </c>
    </row>
    <row r="44" spans="1:17" customFormat="1">
      <c r="A44" s="6" t="s">
        <v>370</v>
      </c>
      <c r="B44" s="189">
        <v>13.07</v>
      </c>
      <c r="C44" s="189">
        <v>28.46</v>
      </c>
      <c r="D44" s="189">
        <v>26.7</v>
      </c>
      <c r="E44" s="189">
        <v>9.48</v>
      </c>
      <c r="F44" s="189">
        <v>2.91</v>
      </c>
      <c r="G44" s="189">
        <v>72.41</v>
      </c>
      <c r="H44" s="189">
        <v>31.68</v>
      </c>
      <c r="I44" s="189">
        <v>7.81</v>
      </c>
      <c r="J44" s="189">
        <v>0.27</v>
      </c>
      <c r="K44" s="189">
        <v>112.17</v>
      </c>
      <c r="L44" s="189">
        <v>25.32</v>
      </c>
      <c r="M44" s="189">
        <v>66.69</v>
      </c>
      <c r="N44" s="189">
        <v>211.1</v>
      </c>
      <c r="O44" s="189">
        <v>0</v>
      </c>
      <c r="P44" s="189">
        <v>0.93</v>
      </c>
      <c r="Q44" s="189">
        <v>4.76</v>
      </c>
    </row>
    <row r="45" spans="1:17" customFormat="1">
      <c r="A45" s="6" t="s">
        <v>371</v>
      </c>
      <c r="B45" s="189">
        <v>12.38</v>
      </c>
      <c r="C45" s="189">
        <v>28.86</v>
      </c>
      <c r="D45" s="189">
        <v>26.36</v>
      </c>
      <c r="E45" s="189">
        <v>9.19</v>
      </c>
      <c r="F45" s="189">
        <v>2.95</v>
      </c>
      <c r="G45" s="189">
        <v>72.87</v>
      </c>
      <c r="H45" s="189">
        <v>34.31</v>
      </c>
      <c r="I45" s="189">
        <v>8.24</v>
      </c>
      <c r="J45" s="189">
        <v>0.31</v>
      </c>
      <c r="K45" s="189">
        <v>78.040000000000006</v>
      </c>
      <c r="L45" s="189">
        <v>26.02</v>
      </c>
      <c r="M45" s="189">
        <v>65.48</v>
      </c>
      <c r="N45" s="189">
        <v>131.30000000000001</v>
      </c>
      <c r="O45" s="189">
        <v>0</v>
      </c>
      <c r="P45" s="189">
        <v>0.92</v>
      </c>
      <c r="Q45" s="189">
        <v>4.7300000000000004</v>
      </c>
    </row>
    <row r="46" spans="1:17" customFormat="1">
      <c r="A46" s="6" t="s">
        <v>372</v>
      </c>
      <c r="B46" s="189">
        <v>11.53</v>
      </c>
      <c r="C46" s="189">
        <v>28.83</v>
      </c>
      <c r="D46" s="189">
        <v>25.67</v>
      </c>
      <c r="E46" s="189">
        <v>8.7899999999999991</v>
      </c>
      <c r="F46" s="189">
        <v>2.98</v>
      </c>
      <c r="G46" s="189">
        <v>72.87</v>
      </c>
      <c r="H46" s="189">
        <v>34.31</v>
      </c>
      <c r="I46" s="189">
        <v>8.6300000000000008</v>
      </c>
      <c r="J46" s="189">
        <v>0.25</v>
      </c>
      <c r="K46" s="189">
        <v>97.37</v>
      </c>
      <c r="L46" s="189">
        <v>26.35</v>
      </c>
      <c r="M46" s="189">
        <v>63.79</v>
      </c>
      <c r="N46" s="189">
        <v>145.19999999999999</v>
      </c>
      <c r="O46" s="189">
        <v>0</v>
      </c>
      <c r="P46" s="189">
        <v>0.92</v>
      </c>
      <c r="Q46" s="189">
        <v>4.7</v>
      </c>
    </row>
    <row r="47" spans="1:17" customFormat="1">
      <c r="A47" s="6" t="s">
        <v>373</v>
      </c>
      <c r="B47" s="189">
        <v>10.53</v>
      </c>
      <c r="C47" s="189">
        <v>28.87</v>
      </c>
      <c r="D47" s="189">
        <v>24.88</v>
      </c>
      <c r="E47" s="189">
        <v>9.14</v>
      </c>
      <c r="F47" s="189">
        <v>3.02</v>
      </c>
      <c r="G47" s="189">
        <v>72.87</v>
      </c>
      <c r="H47" s="189">
        <v>34.31</v>
      </c>
      <c r="I47" s="189">
        <v>8.73</v>
      </c>
      <c r="J47" s="189">
        <v>0.19</v>
      </c>
      <c r="K47" s="189">
        <v>113.35</v>
      </c>
      <c r="L47" s="189">
        <v>27.21</v>
      </c>
      <c r="M47" s="189">
        <v>59.79</v>
      </c>
      <c r="N47" s="189">
        <v>295.7</v>
      </c>
      <c r="O47" s="189">
        <v>0</v>
      </c>
      <c r="P47" s="189">
        <v>0.91</v>
      </c>
      <c r="Q47" s="189">
        <v>4.68</v>
      </c>
    </row>
    <row r="48" spans="1:17" customFormat="1">
      <c r="A48" s="6" t="s">
        <v>374</v>
      </c>
      <c r="B48" s="189">
        <v>9.68</v>
      </c>
      <c r="C48" s="189">
        <v>28.86</v>
      </c>
      <c r="D48" s="189">
        <v>24.19</v>
      </c>
      <c r="E48" s="189">
        <v>9.42</v>
      </c>
      <c r="F48" s="189">
        <v>3.17</v>
      </c>
      <c r="G48" s="189">
        <v>72.88</v>
      </c>
      <c r="H48" s="189">
        <v>34.270000000000003</v>
      </c>
      <c r="I48" s="189">
        <v>8.85</v>
      </c>
      <c r="J48" s="189">
        <v>0.38</v>
      </c>
      <c r="K48" s="189">
        <v>119.11</v>
      </c>
      <c r="L48" s="189">
        <v>27.78</v>
      </c>
      <c r="M48" s="189">
        <v>55.61</v>
      </c>
      <c r="N48" s="189">
        <v>412.7</v>
      </c>
      <c r="O48" s="189">
        <v>0</v>
      </c>
      <c r="P48" s="189">
        <v>0.91</v>
      </c>
      <c r="Q48" s="189">
        <v>4.6399999999999997</v>
      </c>
    </row>
    <row r="49" spans="1:17" customFormat="1">
      <c r="A49" s="6" t="s">
        <v>375</v>
      </c>
      <c r="B49" s="189">
        <v>8.67</v>
      </c>
      <c r="C49" s="189">
        <v>28.69</v>
      </c>
      <c r="D49" s="189">
        <v>23.29</v>
      </c>
      <c r="E49" s="189">
        <v>6.54</v>
      </c>
      <c r="F49" s="189">
        <v>3.86</v>
      </c>
      <c r="G49" s="189">
        <v>73.23</v>
      </c>
      <c r="H49" s="189">
        <v>31.8</v>
      </c>
      <c r="I49" s="189">
        <v>9</v>
      </c>
      <c r="J49" s="189">
        <v>0.32</v>
      </c>
      <c r="K49" s="189">
        <v>75.52</v>
      </c>
      <c r="L49" s="189">
        <v>27.87</v>
      </c>
      <c r="M49" s="189">
        <v>53.07</v>
      </c>
      <c r="N49" s="189">
        <v>471.8</v>
      </c>
      <c r="O49" s="189">
        <v>0</v>
      </c>
      <c r="P49" s="189">
        <v>0.89</v>
      </c>
      <c r="Q49" s="189">
        <v>4.6100000000000003</v>
      </c>
    </row>
    <row r="50" spans="1:17" customFormat="1">
      <c r="A50" s="6" t="s">
        <v>376</v>
      </c>
      <c r="B50" s="189">
        <v>7.64</v>
      </c>
      <c r="C50" s="189">
        <v>28.68</v>
      </c>
      <c r="D50" s="189">
        <v>22.46</v>
      </c>
      <c r="E50" s="189">
        <v>7.35</v>
      </c>
      <c r="F50" s="189">
        <v>3.88</v>
      </c>
      <c r="G50" s="189">
        <v>73.23</v>
      </c>
      <c r="H50" s="189">
        <v>31.8</v>
      </c>
      <c r="I50" s="189">
        <v>9.0399999999999991</v>
      </c>
      <c r="J50" s="189">
        <v>0.26</v>
      </c>
      <c r="K50" s="189">
        <v>120.2</v>
      </c>
      <c r="L50" s="189">
        <v>28.4</v>
      </c>
      <c r="M50" s="189">
        <v>51.71</v>
      </c>
      <c r="N50" s="189">
        <v>474.7</v>
      </c>
      <c r="O50" s="189">
        <v>0</v>
      </c>
      <c r="P50" s="189">
        <v>0.89</v>
      </c>
      <c r="Q50" s="189">
        <v>4.58</v>
      </c>
    </row>
    <row r="51" spans="1:17" customFormat="1">
      <c r="A51" s="6" t="s">
        <v>377</v>
      </c>
      <c r="B51" s="189">
        <v>7.01</v>
      </c>
      <c r="C51" s="189">
        <v>27.6</v>
      </c>
      <c r="D51" s="189">
        <v>21.39</v>
      </c>
      <c r="E51" s="189">
        <v>7.82</v>
      </c>
      <c r="F51" s="189">
        <v>3.72</v>
      </c>
      <c r="G51" s="189">
        <v>73.23</v>
      </c>
      <c r="H51" s="189">
        <v>31.8</v>
      </c>
      <c r="I51" s="189">
        <v>8.92</v>
      </c>
      <c r="J51" s="189">
        <v>0.38</v>
      </c>
      <c r="K51" s="189">
        <v>71.72</v>
      </c>
      <c r="L51" s="189">
        <v>28.91</v>
      </c>
      <c r="M51" s="189">
        <v>50.8</v>
      </c>
      <c r="N51" s="189">
        <v>529.5</v>
      </c>
      <c r="O51" s="189">
        <v>0</v>
      </c>
      <c r="P51" s="189">
        <v>0.87</v>
      </c>
      <c r="Q51" s="189">
        <v>4.53</v>
      </c>
    </row>
    <row r="52" spans="1:17" customFormat="1">
      <c r="A52" s="6" t="s">
        <v>378</v>
      </c>
      <c r="B52" s="189">
        <v>6.77</v>
      </c>
      <c r="C52" s="189">
        <v>25.05</v>
      </c>
      <c r="D52" s="189">
        <v>19.86</v>
      </c>
      <c r="E52" s="189">
        <v>7.5</v>
      </c>
      <c r="F52" s="189">
        <v>4.6100000000000003</v>
      </c>
      <c r="G52" s="189">
        <v>73.13</v>
      </c>
      <c r="H52" s="189">
        <v>31.79</v>
      </c>
      <c r="I52" s="189">
        <v>8.74</v>
      </c>
      <c r="J52" s="189">
        <v>0.51</v>
      </c>
      <c r="K52" s="189">
        <v>57.36</v>
      </c>
      <c r="L52" s="189">
        <v>28.86</v>
      </c>
      <c r="M52" s="189">
        <v>50.51</v>
      </c>
      <c r="N52" s="189">
        <v>494.6</v>
      </c>
      <c r="O52" s="189">
        <v>0</v>
      </c>
      <c r="P52" s="189">
        <v>0.85</v>
      </c>
      <c r="Q52" s="189">
        <v>4.53</v>
      </c>
    </row>
    <row r="53" spans="1:17" customFormat="1">
      <c r="A53" s="6" t="s">
        <v>379</v>
      </c>
      <c r="B53" s="189">
        <v>6.52</v>
      </c>
      <c r="C53" s="189">
        <v>23.21</v>
      </c>
      <c r="D53" s="189">
        <v>18.7</v>
      </c>
      <c r="E53" s="189">
        <v>7.96</v>
      </c>
      <c r="F53" s="189">
        <v>5.63</v>
      </c>
      <c r="G53" s="189">
        <v>68.53</v>
      </c>
      <c r="H53" s="189">
        <v>31.26</v>
      </c>
      <c r="I53" s="189">
        <v>8.61</v>
      </c>
      <c r="J53" s="189">
        <v>0.3</v>
      </c>
      <c r="K53" s="189">
        <v>144.12</v>
      </c>
      <c r="L53" s="189">
        <v>29.53</v>
      </c>
      <c r="M53" s="189">
        <v>48.17</v>
      </c>
      <c r="N53" s="189">
        <v>565.1</v>
      </c>
      <c r="O53" s="189">
        <v>0</v>
      </c>
      <c r="P53" s="189">
        <v>0.83</v>
      </c>
      <c r="Q53" s="189">
        <v>4.49</v>
      </c>
    </row>
    <row r="54" spans="1:17" customFormat="1">
      <c r="A54" s="6" t="s">
        <v>380</v>
      </c>
      <c r="B54" s="189">
        <v>6.17</v>
      </c>
      <c r="C54" s="189">
        <v>21.93</v>
      </c>
      <c r="D54" s="189">
        <v>17.75</v>
      </c>
      <c r="E54" s="189">
        <v>8.01</v>
      </c>
      <c r="F54" s="189">
        <v>5.25</v>
      </c>
      <c r="G54" s="189">
        <v>68.53</v>
      </c>
      <c r="H54" s="189">
        <v>31.26</v>
      </c>
      <c r="I54" s="189">
        <v>8.4600000000000009</v>
      </c>
      <c r="J54" s="189">
        <v>0.59</v>
      </c>
      <c r="K54" s="189">
        <v>59.96</v>
      </c>
      <c r="L54" s="189">
        <v>29.49</v>
      </c>
      <c r="M54" s="189">
        <v>48.03</v>
      </c>
      <c r="N54" s="189">
        <v>556.29999999999995</v>
      </c>
      <c r="O54" s="189">
        <v>0</v>
      </c>
      <c r="P54" s="189">
        <v>0.82</v>
      </c>
      <c r="Q54" s="189">
        <v>4.46</v>
      </c>
    </row>
    <row r="55" spans="1:17" customFormat="1">
      <c r="A55" s="6" t="s">
        <v>381</v>
      </c>
      <c r="B55" s="189">
        <v>5.74</v>
      </c>
      <c r="C55" s="189">
        <v>21.27</v>
      </c>
      <c r="D55" s="189">
        <v>17.059999999999999</v>
      </c>
      <c r="E55" s="189">
        <v>7.37</v>
      </c>
      <c r="F55" s="189">
        <v>5.6</v>
      </c>
      <c r="G55" s="189">
        <v>68.53</v>
      </c>
      <c r="H55" s="189">
        <v>31.26</v>
      </c>
      <c r="I55" s="189">
        <v>8.31</v>
      </c>
      <c r="J55" s="189">
        <v>0.36</v>
      </c>
      <c r="K55" s="189">
        <v>77.760000000000005</v>
      </c>
      <c r="L55" s="189">
        <v>29.92</v>
      </c>
      <c r="M55" s="189">
        <v>46.36</v>
      </c>
      <c r="N55" s="189">
        <v>562.9</v>
      </c>
      <c r="O55" s="189">
        <v>0</v>
      </c>
      <c r="P55" s="189">
        <v>0.8</v>
      </c>
      <c r="Q55" s="189">
        <v>4.45</v>
      </c>
    </row>
    <row r="56" spans="1:17" customFormat="1">
      <c r="A56" s="6" t="s">
        <v>382</v>
      </c>
      <c r="B56" s="189">
        <v>4.18</v>
      </c>
      <c r="C56" s="189">
        <v>18.95</v>
      </c>
      <c r="D56" s="189">
        <v>14.61</v>
      </c>
      <c r="E56" s="189">
        <v>9.49</v>
      </c>
      <c r="F56" s="189">
        <v>15.22</v>
      </c>
      <c r="G56" s="189">
        <v>68.53</v>
      </c>
      <c r="H56" s="189">
        <v>31.26</v>
      </c>
      <c r="I56" s="189">
        <v>8.18</v>
      </c>
      <c r="J56" s="189">
        <v>0.34</v>
      </c>
      <c r="K56" s="189">
        <v>168.34</v>
      </c>
      <c r="L56" s="189">
        <v>30.18</v>
      </c>
      <c r="M56" s="189">
        <v>45.09</v>
      </c>
      <c r="N56" s="189">
        <v>559.29999999999995</v>
      </c>
      <c r="O56" s="189">
        <v>0</v>
      </c>
      <c r="P56" s="189">
        <v>0.74</v>
      </c>
      <c r="Q56" s="189">
        <v>4.41</v>
      </c>
    </row>
    <row r="57" spans="1:17" customFormat="1">
      <c r="A57" s="6" t="s">
        <v>383</v>
      </c>
      <c r="B57" s="189">
        <v>2.91</v>
      </c>
      <c r="C57" s="189">
        <v>17.41</v>
      </c>
      <c r="D57" s="189">
        <v>12.78</v>
      </c>
      <c r="E57" s="189">
        <v>10.32</v>
      </c>
      <c r="F57" s="189">
        <v>16.04</v>
      </c>
      <c r="G57" s="189">
        <v>68.53</v>
      </c>
      <c r="H57" s="189">
        <v>31.26</v>
      </c>
      <c r="I57" s="189">
        <v>7.81</v>
      </c>
      <c r="J57" s="189">
        <v>0.34</v>
      </c>
      <c r="K57" s="189">
        <v>154.02000000000001</v>
      </c>
      <c r="L57" s="189">
        <v>30.61</v>
      </c>
      <c r="M57" s="189">
        <v>43.02</v>
      </c>
      <c r="N57" s="189">
        <v>561.6</v>
      </c>
      <c r="O57" s="189">
        <v>0</v>
      </c>
      <c r="P57" s="189">
        <v>0.71</v>
      </c>
      <c r="Q57" s="189">
        <v>4.3499999999999996</v>
      </c>
    </row>
    <row r="58" spans="1:17" customFormat="1">
      <c r="A58" s="6" t="s">
        <v>384</v>
      </c>
      <c r="B58" s="189">
        <v>2.2000000000000002</v>
      </c>
      <c r="C58" s="189">
        <v>16.64</v>
      </c>
      <c r="D58" s="189">
        <v>11.81</v>
      </c>
      <c r="E58" s="189">
        <v>9.7100000000000009</v>
      </c>
      <c r="F58" s="189">
        <v>15.65</v>
      </c>
      <c r="G58" s="151" t="s">
        <v>12</v>
      </c>
      <c r="H58" s="151" t="s">
        <v>12</v>
      </c>
      <c r="I58" s="189">
        <v>7.07</v>
      </c>
      <c r="J58" s="189">
        <v>0.38</v>
      </c>
      <c r="K58" s="189">
        <v>85.84</v>
      </c>
      <c r="L58" s="189">
        <v>30.76</v>
      </c>
      <c r="M58" s="189">
        <v>41.51</v>
      </c>
      <c r="N58" s="189">
        <v>551.79999999999995</v>
      </c>
      <c r="O58" s="189">
        <v>0</v>
      </c>
      <c r="P58" s="189">
        <v>0.66</v>
      </c>
      <c r="Q58" s="189">
        <v>4.33</v>
      </c>
    </row>
    <row r="59" spans="1:17" customFormat="1">
      <c r="A59" s="6" t="s">
        <v>385</v>
      </c>
      <c r="B59" s="189">
        <v>2.0699999999999998</v>
      </c>
      <c r="C59" s="189">
        <v>16.57</v>
      </c>
      <c r="D59" s="189">
        <v>11.67</v>
      </c>
      <c r="E59" s="189">
        <v>8.15</v>
      </c>
      <c r="F59" s="189">
        <v>11.08</v>
      </c>
      <c r="G59" s="151" t="s">
        <v>12</v>
      </c>
      <c r="H59" s="151" t="s">
        <v>12</v>
      </c>
      <c r="I59" s="189">
        <v>6.37</v>
      </c>
      <c r="J59" s="189">
        <v>0.44</v>
      </c>
      <c r="K59" s="189">
        <v>66.44</v>
      </c>
      <c r="L59" s="189">
        <v>30.69</v>
      </c>
      <c r="M59" s="189">
        <v>41.73</v>
      </c>
      <c r="N59" s="189">
        <v>511.4</v>
      </c>
      <c r="O59" s="189">
        <v>0</v>
      </c>
      <c r="P59" s="189">
        <v>0.65</v>
      </c>
      <c r="Q59" s="189">
        <v>4.32</v>
      </c>
    </row>
    <row r="60" spans="1:17" customFormat="1">
      <c r="A60" s="6" t="s">
        <v>386</v>
      </c>
      <c r="B60" s="189">
        <v>2.37</v>
      </c>
      <c r="C60" s="189">
        <v>16.75</v>
      </c>
      <c r="D60" s="189">
        <v>12.01</v>
      </c>
      <c r="E60" s="189">
        <v>7.59</v>
      </c>
      <c r="F60" s="189">
        <v>8.23</v>
      </c>
      <c r="G60" s="151" t="s">
        <v>12</v>
      </c>
      <c r="H60" s="151" t="s">
        <v>12</v>
      </c>
      <c r="I60" s="189">
        <v>5.9</v>
      </c>
      <c r="J60" s="189">
        <v>0.34</v>
      </c>
      <c r="K60" s="189">
        <v>89.99</v>
      </c>
      <c r="L60" s="189">
        <v>30.7</v>
      </c>
      <c r="M60" s="189">
        <v>41.99</v>
      </c>
      <c r="N60" s="189">
        <v>470.7</v>
      </c>
      <c r="O60" s="189">
        <v>0</v>
      </c>
      <c r="P60" s="189">
        <v>0.64</v>
      </c>
      <c r="Q60" s="189">
        <v>4.3099999999999996</v>
      </c>
    </row>
    <row r="61" spans="1:17" customFormat="1">
      <c r="A61" s="6" t="s">
        <v>387</v>
      </c>
      <c r="B61" s="189">
        <v>2.71</v>
      </c>
      <c r="C61" s="189">
        <v>16.98</v>
      </c>
      <c r="D61" s="189">
        <v>12.4</v>
      </c>
      <c r="E61" s="189">
        <v>7.76</v>
      </c>
      <c r="F61" s="189">
        <v>8.1999999999999993</v>
      </c>
      <c r="G61" s="151" t="s">
        <v>12</v>
      </c>
      <c r="H61" s="151" t="s">
        <v>12</v>
      </c>
      <c r="I61" s="189">
        <v>5.74</v>
      </c>
      <c r="J61" s="189">
        <v>0.75</v>
      </c>
      <c r="K61" s="189">
        <v>53.8</v>
      </c>
      <c r="L61" s="189">
        <v>30.53</v>
      </c>
      <c r="M61" s="189">
        <v>41.75</v>
      </c>
      <c r="N61" s="189">
        <v>488.1</v>
      </c>
      <c r="O61" s="189">
        <v>0</v>
      </c>
      <c r="P61" s="189">
        <v>0.64</v>
      </c>
      <c r="Q61" s="189">
        <v>4.3</v>
      </c>
    </row>
    <row r="62" spans="1:17" customFormat="1">
      <c r="A62" s="6" t="s">
        <v>388</v>
      </c>
      <c r="B62" s="189">
        <v>3.03</v>
      </c>
      <c r="C62" s="189">
        <v>16.75</v>
      </c>
      <c r="D62" s="189">
        <v>12.53</v>
      </c>
      <c r="E62" s="189">
        <v>7.87</v>
      </c>
      <c r="F62" s="189">
        <v>7.93</v>
      </c>
      <c r="G62" s="189">
        <v>27.59</v>
      </c>
      <c r="H62" s="189">
        <v>7.47</v>
      </c>
      <c r="I62" s="189">
        <v>5.77</v>
      </c>
      <c r="J62" s="189">
        <v>0.45</v>
      </c>
      <c r="K62" s="189">
        <v>74.98</v>
      </c>
      <c r="L62" s="189">
        <v>30.8</v>
      </c>
      <c r="M62" s="189">
        <v>41</v>
      </c>
      <c r="N62" s="189">
        <v>491.1</v>
      </c>
      <c r="O62" s="189">
        <v>0</v>
      </c>
      <c r="P62" s="189">
        <v>0.64</v>
      </c>
      <c r="Q62" s="189">
        <v>4.3099999999999996</v>
      </c>
    </row>
    <row r="63" spans="1:17" customFormat="1">
      <c r="A63" s="6" t="s">
        <v>389</v>
      </c>
      <c r="B63" s="189">
        <v>3.21</v>
      </c>
      <c r="C63" s="189">
        <v>17.03</v>
      </c>
      <c r="D63" s="189">
        <v>12.82</v>
      </c>
      <c r="E63" s="189">
        <v>7.47</v>
      </c>
      <c r="F63" s="189">
        <v>5.88</v>
      </c>
      <c r="G63" s="189">
        <v>41.38</v>
      </c>
      <c r="H63" s="189">
        <v>8.35</v>
      </c>
      <c r="I63" s="189">
        <v>5.78</v>
      </c>
      <c r="J63" s="189">
        <v>0.44</v>
      </c>
      <c r="K63" s="189">
        <v>76.319999999999993</v>
      </c>
      <c r="L63" s="189">
        <v>30.77</v>
      </c>
      <c r="M63" s="189">
        <v>39.770000000000003</v>
      </c>
      <c r="N63" s="189">
        <v>449.7</v>
      </c>
      <c r="O63" s="189">
        <v>0</v>
      </c>
      <c r="P63" s="189">
        <v>0.63</v>
      </c>
      <c r="Q63" s="189">
        <v>4.3099999999999996</v>
      </c>
    </row>
    <row r="64" spans="1:17" customFormat="1">
      <c r="A64" s="6" t="s">
        <v>390</v>
      </c>
      <c r="B64" s="189">
        <v>3.36</v>
      </c>
      <c r="C64" s="189">
        <v>17.03</v>
      </c>
      <c r="D64" s="189">
        <v>12.94</v>
      </c>
      <c r="E64" s="189">
        <v>6.55</v>
      </c>
      <c r="F64" s="189">
        <v>5.95</v>
      </c>
      <c r="G64" s="189">
        <v>41.38</v>
      </c>
      <c r="H64" s="189">
        <v>8.35</v>
      </c>
      <c r="I64" s="189">
        <v>5.77</v>
      </c>
      <c r="J64" s="189">
        <v>0.36</v>
      </c>
      <c r="K64" s="189">
        <v>73.86</v>
      </c>
      <c r="L64" s="189">
        <v>30.78</v>
      </c>
      <c r="M64" s="189">
        <v>40.630000000000003</v>
      </c>
      <c r="N64" s="189">
        <v>385.8</v>
      </c>
      <c r="O64" s="189">
        <v>0</v>
      </c>
      <c r="P64" s="189">
        <v>0.63</v>
      </c>
      <c r="Q64" s="189">
        <v>4.3099999999999996</v>
      </c>
    </row>
    <row r="65" spans="1:17" customFormat="1">
      <c r="A65" s="6" t="s">
        <v>391</v>
      </c>
      <c r="B65" s="189">
        <v>3.59</v>
      </c>
      <c r="C65" s="189">
        <v>16.82</v>
      </c>
      <c r="D65" s="189">
        <v>13.02</v>
      </c>
      <c r="E65" s="189">
        <v>6.55</v>
      </c>
      <c r="F65" s="189">
        <v>6.23</v>
      </c>
      <c r="G65" s="189">
        <v>41.38</v>
      </c>
      <c r="H65" s="189">
        <v>8.35</v>
      </c>
      <c r="I65" s="189">
        <v>5.73</v>
      </c>
      <c r="J65" s="189">
        <v>0.25</v>
      </c>
      <c r="K65" s="189">
        <v>89.79</v>
      </c>
      <c r="L65" s="189">
        <v>30.49</v>
      </c>
      <c r="M65" s="189">
        <v>41.49</v>
      </c>
      <c r="N65" s="189">
        <v>156.5</v>
      </c>
      <c r="O65" s="189">
        <v>0</v>
      </c>
      <c r="P65" s="189">
        <v>0.55000000000000004</v>
      </c>
      <c r="Q65" s="189">
        <v>4.33</v>
      </c>
    </row>
    <row r="66" spans="1:17" customFormat="1">
      <c r="A66" s="6" t="s">
        <v>392</v>
      </c>
      <c r="B66" s="189">
        <v>3.68</v>
      </c>
      <c r="C66" s="189">
        <v>16.77</v>
      </c>
      <c r="D66" s="189">
        <v>13.06</v>
      </c>
      <c r="E66" s="189">
        <v>7</v>
      </c>
      <c r="F66" s="189">
        <v>7.63</v>
      </c>
      <c r="G66" s="189">
        <v>41.1</v>
      </c>
      <c r="H66" s="189">
        <v>10.53</v>
      </c>
      <c r="I66" s="189">
        <v>5.68</v>
      </c>
      <c r="J66" s="189">
        <v>0.26</v>
      </c>
      <c r="K66" s="189">
        <v>100.98</v>
      </c>
      <c r="L66" s="189">
        <v>30.24</v>
      </c>
      <c r="M66" s="189">
        <v>42.01</v>
      </c>
      <c r="N66" s="189">
        <v>105.6</v>
      </c>
      <c r="O66" s="189">
        <v>0</v>
      </c>
      <c r="P66" s="189">
        <v>0.59</v>
      </c>
      <c r="Q66" s="189">
        <v>4.3099999999999996</v>
      </c>
    </row>
    <row r="67" spans="1:17" customFormat="1">
      <c r="A67" s="6" t="s">
        <v>393</v>
      </c>
      <c r="B67" s="189">
        <v>3.8</v>
      </c>
      <c r="C67" s="189">
        <v>16.66</v>
      </c>
      <c r="D67" s="189">
        <v>13.1</v>
      </c>
      <c r="E67" s="189">
        <v>6.58</v>
      </c>
      <c r="F67" s="189">
        <v>7.21</v>
      </c>
      <c r="G67" s="189">
        <v>40.96</v>
      </c>
      <c r="H67" s="189">
        <v>10.79</v>
      </c>
      <c r="I67" s="189">
        <v>5.61</v>
      </c>
      <c r="J67" s="189">
        <v>0.49</v>
      </c>
      <c r="K67" s="189">
        <v>72.569999999999993</v>
      </c>
      <c r="L67" s="189">
        <v>30.02</v>
      </c>
      <c r="M67" s="189">
        <v>42.59</v>
      </c>
      <c r="N67" s="189">
        <v>82.6</v>
      </c>
      <c r="O67" s="189">
        <v>0</v>
      </c>
      <c r="P67" s="189">
        <v>0.59</v>
      </c>
      <c r="Q67" s="189">
        <v>4.3099999999999996</v>
      </c>
    </row>
    <row r="68" spans="1:17" customFormat="1">
      <c r="A68" s="6" t="s">
        <v>394</v>
      </c>
      <c r="B68" s="189">
        <v>3.95</v>
      </c>
      <c r="C68" s="189">
        <v>16.72</v>
      </c>
      <c r="D68" s="189">
        <v>13.26</v>
      </c>
      <c r="E68" s="189">
        <v>7.11</v>
      </c>
      <c r="F68" s="189">
        <v>9.1300000000000008</v>
      </c>
      <c r="G68" s="189">
        <v>40.96</v>
      </c>
      <c r="H68" s="189">
        <v>10.79</v>
      </c>
      <c r="I68" s="189">
        <v>5.56</v>
      </c>
      <c r="J68" s="189">
        <v>0.46</v>
      </c>
      <c r="K68" s="189">
        <v>59.92</v>
      </c>
      <c r="L68" s="189">
        <v>29.79</v>
      </c>
      <c r="M68" s="189">
        <v>43.61</v>
      </c>
      <c r="N68" s="189">
        <v>72</v>
      </c>
      <c r="O68" s="189">
        <v>0</v>
      </c>
      <c r="P68" s="189">
        <v>0.57999999999999996</v>
      </c>
      <c r="Q68" s="189">
        <v>4.32</v>
      </c>
    </row>
    <row r="69" spans="1:17" customFormat="1">
      <c r="A69" s="6" t="s">
        <v>395</v>
      </c>
      <c r="B69" s="189">
        <v>4.32</v>
      </c>
      <c r="C69" s="189">
        <v>17.03</v>
      </c>
      <c r="D69" s="189">
        <v>13.71</v>
      </c>
      <c r="E69" s="189">
        <v>6.67</v>
      </c>
      <c r="F69" s="189">
        <v>8.25</v>
      </c>
      <c r="G69" s="189">
        <v>40.96</v>
      </c>
      <c r="H69" s="189">
        <v>10.79</v>
      </c>
      <c r="I69" s="189">
        <v>5.53</v>
      </c>
      <c r="J69" s="189">
        <v>0.49</v>
      </c>
      <c r="K69" s="189">
        <v>70.400000000000006</v>
      </c>
      <c r="L69" s="189">
        <v>29.65</v>
      </c>
      <c r="M69" s="189">
        <v>42.74</v>
      </c>
      <c r="N69" s="189">
        <v>64.400000000000006</v>
      </c>
      <c r="O69" s="189">
        <v>0</v>
      </c>
      <c r="P69" s="189">
        <v>0.59</v>
      </c>
      <c r="Q69" s="189">
        <v>4.34</v>
      </c>
    </row>
    <row r="70" spans="1:17" customFormat="1">
      <c r="A70" s="6" t="s">
        <v>396</v>
      </c>
      <c r="B70" s="189">
        <v>4.1500000000000004</v>
      </c>
      <c r="C70" s="189">
        <v>17.75</v>
      </c>
      <c r="D70" s="189">
        <v>13.95</v>
      </c>
      <c r="E70" s="189">
        <v>6.69</v>
      </c>
      <c r="F70" s="189">
        <v>7.86</v>
      </c>
      <c r="G70" s="189">
        <v>41.47</v>
      </c>
      <c r="H70" s="189">
        <v>13.1</v>
      </c>
      <c r="I70" s="189">
        <v>5.48</v>
      </c>
      <c r="J70" s="189">
        <v>0.51</v>
      </c>
      <c r="K70" s="189">
        <v>65.599999999999994</v>
      </c>
      <c r="L70" s="189">
        <v>29.47</v>
      </c>
      <c r="M70" s="189">
        <v>43.79</v>
      </c>
      <c r="N70" s="189">
        <v>54.4</v>
      </c>
      <c r="O70" s="189">
        <v>0</v>
      </c>
      <c r="P70" s="189">
        <v>0.57999999999999996</v>
      </c>
      <c r="Q70" s="189">
        <v>4.33</v>
      </c>
    </row>
    <row r="71" spans="1:17" customFormat="1">
      <c r="A71" s="6" t="s">
        <v>397</v>
      </c>
      <c r="B71" s="189">
        <v>3.95</v>
      </c>
      <c r="C71" s="189">
        <v>18.46</v>
      </c>
      <c r="D71" s="189">
        <v>14.16</v>
      </c>
      <c r="E71" s="189">
        <v>6.05</v>
      </c>
      <c r="F71" s="189">
        <v>7.72</v>
      </c>
      <c r="G71" s="189">
        <v>41.73</v>
      </c>
      <c r="H71" s="189">
        <v>13.37</v>
      </c>
      <c r="I71" s="189">
        <v>5.42</v>
      </c>
      <c r="J71" s="189">
        <v>0.5</v>
      </c>
      <c r="K71" s="189">
        <v>71.36</v>
      </c>
      <c r="L71" s="189">
        <v>29.41</v>
      </c>
      <c r="M71" s="189">
        <v>43.72</v>
      </c>
      <c r="N71" s="189">
        <v>47.5</v>
      </c>
      <c r="O71" s="189">
        <v>0</v>
      </c>
      <c r="P71" s="189">
        <v>0.59</v>
      </c>
      <c r="Q71" s="189">
        <v>4.3499999999999996</v>
      </c>
    </row>
    <row r="72" spans="1:17" customFormat="1">
      <c r="A72" s="6" t="s">
        <v>398</v>
      </c>
      <c r="B72" s="189">
        <v>3.83</v>
      </c>
      <c r="C72" s="189">
        <v>19.149999999999999</v>
      </c>
      <c r="D72" s="189">
        <v>14.43</v>
      </c>
      <c r="E72" s="189">
        <v>6.74</v>
      </c>
      <c r="F72" s="189">
        <v>7.04</v>
      </c>
      <c r="G72" s="189">
        <v>41.73</v>
      </c>
      <c r="H72" s="189">
        <v>13.37</v>
      </c>
      <c r="I72" s="189">
        <v>5.39</v>
      </c>
      <c r="J72" s="189">
        <v>0.27</v>
      </c>
      <c r="K72" s="189">
        <v>105.12</v>
      </c>
      <c r="L72" s="189">
        <v>29.25</v>
      </c>
      <c r="M72" s="189">
        <v>44.64</v>
      </c>
      <c r="N72" s="189">
        <v>44.2</v>
      </c>
      <c r="O72" s="189">
        <v>0</v>
      </c>
      <c r="P72" s="189">
        <v>0.59</v>
      </c>
      <c r="Q72" s="189">
        <v>4.34</v>
      </c>
    </row>
    <row r="73" spans="1:17" customFormat="1">
      <c r="A73" s="6" t="s">
        <v>399</v>
      </c>
      <c r="B73" s="189">
        <v>3.73</v>
      </c>
      <c r="C73" s="189">
        <v>19.739999999999998</v>
      </c>
      <c r="D73" s="189">
        <v>14.66</v>
      </c>
      <c r="E73" s="189">
        <v>6.94</v>
      </c>
      <c r="F73" s="189">
        <v>7.53</v>
      </c>
      <c r="G73" s="189">
        <v>41.73</v>
      </c>
      <c r="H73" s="189">
        <v>13.37</v>
      </c>
      <c r="I73" s="189">
        <v>5.33</v>
      </c>
      <c r="J73" s="189">
        <v>0.28000000000000003</v>
      </c>
      <c r="K73" s="189">
        <v>82.28</v>
      </c>
      <c r="L73" s="189">
        <v>29.21</v>
      </c>
      <c r="M73" s="189">
        <v>44.68</v>
      </c>
      <c r="N73" s="189">
        <v>44.1</v>
      </c>
      <c r="O73" s="189">
        <v>0</v>
      </c>
      <c r="P73" s="189">
        <v>0.6</v>
      </c>
      <c r="Q73" s="189">
        <v>4.32</v>
      </c>
    </row>
    <row r="74" spans="1:17" customFormat="1">
      <c r="A74" s="6" t="s">
        <v>400</v>
      </c>
      <c r="B74" s="189">
        <v>3.7</v>
      </c>
      <c r="C74" s="189">
        <v>20.329999999999998</v>
      </c>
      <c r="D74" s="189">
        <v>14.94</v>
      </c>
      <c r="E74" s="189">
        <v>6.61</v>
      </c>
      <c r="F74" s="189">
        <v>6.98</v>
      </c>
      <c r="G74" s="189">
        <v>43.11</v>
      </c>
      <c r="H74" s="189">
        <v>15.83</v>
      </c>
      <c r="I74" s="189">
        <v>5.27</v>
      </c>
      <c r="J74" s="189">
        <v>0.21</v>
      </c>
      <c r="K74" s="189">
        <v>88.29</v>
      </c>
      <c r="L74" s="189">
        <v>28.95</v>
      </c>
      <c r="M74" s="189">
        <v>46.23</v>
      </c>
      <c r="N74" s="189">
        <v>25.9</v>
      </c>
      <c r="O74" s="189">
        <v>0</v>
      </c>
      <c r="P74" s="189">
        <v>0.6</v>
      </c>
      <c r="Q74" s="189">
        <v>4.33</v>
      </c>
    </row>
    <row r="75" spans="1:17" customFormat="1">
      <c r="A75" s="6" t="s">
        <v>401</v>
      </c>
      <c r="B75" s="189">
        <v>3.75</v>
      </c>
      <c r="C75" s="189">
        <v>21.28</v>
      </c>
      <c r="D75" s="189">
        <v>15.47</v>
      </c>
      <c r="E75" s="189">
        <v>6.93</v>
      </c>
      <c r="F75" s="189">
        <v>5.34</v>
      </c>
      <c r="G75" s="189">
        <v>43.79</v>
      </c>
      <c r="H75" s="189">
        <v>16.12</v>
      </c>
      <c r="I75" s="189">
        <v>5.22</v>
      </c>
      <c r="J75" s="189">
        <v>0.26</v>
      </c>
      <c r="K75" s="189">
        <v>76.42</v>
      </c>
      <c r="L75" s="189">
        <v>28.58</v>
      </c>
      <c r="M75" s="189">
        <v>47.9</v>
      </c>
      <c r="N75" s="189">
        <v>13.8</v>
      </c>
      <c r="O75" s="189">
        <v>0</v>
      </c>
      <c r="P75" s="189">
        <v>0.61</v>
      </c>
      <c r="Q75" s="189">
        <v>4.3499999999999996</v>
      </c>
    </row>
    <row r="76" spans="1:17" customFormat="1">
      <c r="A76" s="6" t="s">
        <v>402</v>
      </c>
      <c r="B76" s="189">
        <v>4.0599999999999996</v>
      </c>
      <c r="C76" s="189">
        <v>21.84</v>
      </c>
      <c r="D76" s="189">
        <v>16.02</v>
      </c>
      <c r="E76" s="189">
        <v>6.76</v>
      </c>
      <c r="F76" s="189">
        <v>5.99</v>
      </c>
      <c r="G76" s="189">
        <v>43.79</v>
      </c>
      <c r="H76" s="189">
        <v>16.12</v>
      </c>
      <c r="I76" s="189">
        <v>5.22</v>
      </c>
      <c r="J76" s="189">
        <v>0.21</v>
      </c>
      <c r="K76" s="189">
        <v>88.45</v>
      </c>
      <c r="L76" s="189">
        <v>28.12</v>
      </c>
      <c r="M76" s="189">
        <v>50.5</v>
      </c>
      <c r="N76" s="189">
        <v>2.2000000000000002</v>
      </c>
      <c r="O76" s="189">
        <v>0</v>
      </c>
      <c r="P76" s="189">
        <v>0.61</v>
      </c>
      <c r="Q76" s="189">
        <v>4.3499999999999996</v>
      </c>
    </row>
    <row r="77" spans="1:17" customFormat="1">
      <c r="A77" s="6" t="s">
        <v>403</v>
      </c>
      <c r="B77" s="189">
        <v>4.2</v>
      </c>
      <c r="C77" s="189">
        <v>22.61</v>
      </c>
      <c r="D77" s="189">
        <v>16.53</v>
      </c>
      <c r="E77" s="189">
        <v>6.64</v>
      </c>
      <c r="F77" s="189">
        <v>4.7699999999999996</v>
      </c>
      <c r="G77" s="189">
        <v>43.79</v>
      </c>
      <c r="H77" s="189">
        <v>16.12</v>
      </c>
      <c r="I77" s="189">
        <v>5.24</v>
      </c>
      <c r="J77" s="189">
        <v>0.14000000000000001</v>
      </c>
      <c r="K77" s="189">
        <v>135.24</v>
      </c>
      <c r="L77" s="189">
        <v>27.62</v>
      </c>
      <c r="M77" s="189">
        <v>53.43</v>
      </c>
      <c r="N77" s="189">
        <v>0</v>
      </c>
      <c r="O77" s="189">
        <v>0</v>
      </c>
      <c r="P77" s="189">
        <v>0.62</v>
      </c>
      <c r="Q77" s="189">
        <v>4.3499999999999996</v>
      </c>
    </row>
    <row r="78" spans="1:17" customFormat="1">
      <c r="A78" s="6" t="s">
        <v>404</v>
      </c>
      <c r="B78" s="189">
        <v>4.55</v>
      </c>
      <c r="C78" s="189">
        <v>23.56</v>
      </c>
      <c r="D78" s="189">
        <v>17.309999999999999</v>
      </c>
      <c r="E78" s="189">
        <v>6.57</v>
      </c>
      <c r="F78" s="189">
        <v>3.99</v>
      </c>
      <c r="G78" s="189">
        <v>52.19</v>
      </c>
      <c r="H78" s="189">
        <v>19.649999999999999</v>
      </c>
      <c r="I78" s="189">
        <v>5.33</v>
      </c>
      <c r="J78" s="189">
        <v>0.17</v>
      </c>
      <c r="K78" s="189">
        <v>85.83</v>
      </c>
      <c r="L78" s="189">
        <v>26.99</v>
      </c>
      <c r="M78" s="189">
        <v>55.9</v>
      </c>
      <c r="N78" s="189">
        <v>0</v>
      </c>
      <c r="O78" s="189">
        <v>0</v>
      </c>
      <c r="P78" s="189">
        <v>0.64</v>
      </c>
      <c r="Q78" s="189">
        <v>4.37</v>
      </c>
    </row>
    <row r="79" spans="1:17" customFormat="1">
      <c r="A79" s="6" t="s">
        <v>405</v>
      </c>
      <c r="B79" s="189">
        <v>4.96</v>
      </c>
      <c r="C79" s="189">
        <v>24.29</v>
      </c>
      <c r="D79" s="189">
        <v>18.02</v>
      </c>
      <c r="E79" s="189">
        <v>6.95</v>
      </c>
      <c r="F79" s="189">
        <v>3.34</v>
      </c>
      <c r="G79" s="189">
        <v>56.38</v>
      </c>
      <c r="H79" s="189">
        <v>20.07</v>
      </c>
      <c r="I79" s="189">
        <v>5.51</v>
      </c>
      <c r="J79" s="189">
        <v>0.28999999999999998</v>
      </c>
      <c r="K79" s="189">
        <v>70.010000000000005</v>
      </c>
      <c r="L79" s="189">
        <v>26.36</v>
      </c>
      <c r="M79" s="189">
        <v>57.99</v>
      </c>
      <c r="N79" s="189">
        <v>0</v>
      </c>
      <c r="O79" s="189">
        <v>0</v>
      </c>
      <c r="P79" s="189">
        <v>0.66</v>
      </c>
      <c r="Q79" s="189">
        <v>4.3899999999999997</v>
      </c>
    </row>
    <row r="80" spans="1:17" customFormat="1">
      <c r="A80" s="6" t="s">
        <v>406</v>
      </c>
      <c r="B80" s="189">
        <v>5.51</v>
      </c>
      <c r="C80" s="189">
        <v>25.23</v>
      </c>
      <c r="D80" s="189">
        <v>18.95</v>
      </c>
      <c r="E80" s="189">
        <v>7.14</v>
      </c>
      <c r="F80" s="189">
        <v>3.08</v>
      </c>
      <c r="G80" s="189">
        <v>56.38</v>
      </c>
      <c r="H80" s="189">
        <v>20.07</v>
      </c>
      <c r="I80" s="189">
        <v>5.66</v>
      </c>
      <c r="J80" s="189">
        <v>0.35</v>
      </c>
      <c r="K80" s="189">
        <v>61.92</v>
      </c>
      <c r="L80" s="189">
        <v>26.2</v>
      </c>
      <c r="M80" s="189">
        <v>58.54</v>
      </c>
      <c r="N80" s="189">
        <v>0</v>
      </c>
      <c r="O80" s="189">
        <v>0</v>
      </c>
      <c r="P80" s="189">
        <v>0.69</v>
      </c>
      <c r="Q80" s="189">
        <v>4.43</v>
      </c>
    </row>
    <row r="81" spans="1:17" customFormat="1">
      <c r="A81" s="6" t="s">
        <v>407</v>
      </c>
      <c r="B81" s="189">
        <v>6.08</v>
      </c>
      <c r="C81" s="189">
        <v>25.97</v>
      </c>
      <c r="D81" s="189">
        <v>19.79</v>
      </c>
      <c r="E81" s="189">
        <v>7.95</v>
      </c>
      <c r="F81" s="189">
        <v>2.98</v>
      </c>
      <c r="G81" s="189">
        <v>56.38</v>
      </c>
      <c r="H81" s="189">
        <v>20.07</v>
      </c>
      <c r="I81" s="189">
        <v>5.8</v>
      </c>
      <c r="J81" s="189">
        <v>0.17</v>
      </c>
      <c r="K81" s="189">
        <v>92.02</v>
      </c>
      <c r="L81" s="189">
        <v>26.03</v>
      </c>
      <c r="M81" s="189">
        <v>60.02</v>
      </c>
      <c r="N81" s="189">
        <v>0</v>
      </c>
      <c r="O81" s="189">
        <v>0</v>
      </c>
      <c r="P81" s="189">
        <v>0.71</v>
      </c>
      <c r="Q81" s="189">
        <v>4.46</v>
      </c>
    </row>
    <row r="82" spans="1:17" customFormat="1">
      <c r="A82" s="6" t="s">
        <v>408</v>
      </c>
      <c r="B82" s="189">
        <v>6.39</v>
      </c>
      <c r="C82" s="189">
        <v>26.65</v>
      </c>
      <c r="D82" s="189">
        <v>20.39</v>
      </c>
      <c r="E82" s="189">
        <v>8.89</v>
      </c>
      <c r="F82" s="189">
        <v>3.15</v>
      </c>
      <c r="G82" s="189">
        <v>68.010000000000005</v>
      </c>
      <c r="H82" s="189">
        <v>20.64</v>
      </c>
      <c r="I82" s="189">
        <v>5.95</v>
      </c>
      <c r="J82" s="189">
        <v>0.41</v>
      </c>
      <c r="K82" s="189">
        <v>63.53</v>
      </c>
      <c r="L82" s="189">
        <v>25.85</v>
      </c>
      <c r="M82" s="189">
        <v>60.43</v>
      </c>
      <c r="N82" s="189">
        <v>0</v>
      </c>
      <c r="O82" s="189">
        <v>0</v>
      </c>
      <c r="P82" s="189">
        <v>0.73</v>
      </c>
      <c r="Q82" s="189">
        <v>4.46</v>
      </c>
    </row>
    <row r="83" spans="1:17" customFormat="1">
      <c r="A83" s="6" t="s">
        <v>409</v>
      </c>
      <c r="B83" s="189">
        <v>6.61</v>
      </c>
      <c r="C83" s="189">
        <v>26.81</v>
      </c>
      <c r="D83" s="189">
        <v>20.66</v>
      </c>
      <c r="E83" s="189">
        <v>9.1199999999999992</v>
      </c>
      <c r="F83" s="189">
        <v>3.16</v>
      </c>
      <c r="G83" s="189">
        <v>73.83</v>
      </c>
      <c r="H83" s="189">
        <v>20.76</v>
      </c>
      <c r="I83" s="189">
        <v>6.05</v>
      </c>
      <c r="J83" s="189">
        <v>0.31</v>
      </c>
      <c r="K83" s="189">
        <v>68.209999999999994</v>
      </c>
      <c r="L83" s="189">
        <v>25.67</v>
      </c>
      <c r="M83" s="189">
        <v>61.4</v>
      </c>
      <c r="N83" s="189">
        <v>0</v>
      </c>
      <c r="O83" s="189">
        <v>0</v>
      </c>
      <c r="P83" s="189">
        <v>0.74</v>
      </c>
      <c r="Q83" s="189">
        <v>4.4800000000000004</v>
      </c>
    </row>
    <row r="84" spans="1:17" customFormat="1">
      <c r="A84" s="6" t="s">
        <v>410</v>
      </c>
      <c r="B84" s="189">
        <v>6.78</v>
      </c>
      <c r="C84" s="189">
        <v>27.38</v>
      </c>
      <c r="D84" s="189">
        <v>21.09</v>
      </c>
      <c r="E84" s="189">
        <v>9.6</v>
      </c>
      <c r="F84" s="189">
        <v>3.08</v>
      </c>
      <c r="G84" s="189">
        <v>73.83</v>
      </c>
      <c r="H84" s="189">
        <v>20.76</v>
      </c>
      <c r="I84" s="189">
        <v>6.12</v>
      </c>
      <c r="J84" s="189">
        <v>0.24</v>
      </c>
      <c r="K84" s="189">
        <v>81.45</v>
      </c>
      <c r="L84" s="189">
        <v>25.49</v>
      </c>
      <c r="M84" s="189">
        <v>62.13</v>
      </c>
      <c r="N84" s="189">
        <v>0</v>
      </c>
      <c r="O84" s="189">
        <v>0</v>
      </c>
      <c r="P84" s="189">
        <v>0.76</v>
      </c>
      <c r="Q84" s="189">
        <v>4.49</v>
      </c>
    </row>
    <row r="85" spans="1:17" customFormat="1">
      <c r="A85" s="6" t="s">
        <v>411</v>
      </c>
      <c r="B85" s="189">
        <v>6.89</v>
      </c>
      <c r="C85" s="189">
        <v>28.1</v>
      </c>
      <c r="D85" s="189">
        <v>21.56</v>
      </c>
      <c r="E85" s="189">
        <v>8.98</v>
      </c>
      <c r="F85" s="189">
        <v>3.21</v>
      </c>
      <c r="G85" s="189">
        <v>73.83</v>
      </c>
      <c r="H85" s="189">
        <v>20.76</v>
      </c>
      <c r="I85" s="189">
        <v>6.2</v>
      </c>
      <c r="J85" s="189">
        <v>0.3</v>
      </c>
      <c r="K85" s="189">
        <v>69.459999999999994</v>
      </c>
      <c r="L85" s="189">
        <v>25.4</v>
      </c>
      <c r="M85" s="189">
        <v>61.86</v>
      </c>
      <c r="N85" s="189">
        <v>0</v>
      </c>
      <c r="O85" s="189">
        <v>0</v>
      </c>
      <c r="P85" s="189">
        <v>0.78</v>
      </c>
      <c r="Q85" s="189">
        <v>4.5</v>
      </c>
    </row>
    <row r="86" spans="1:17" customFormat="1">
      <c r="A86" s="6" t="s">
        <v>412</v>
      </c>
      <c r="B86" s="189">
        <v>6.76</v>
      </c>
      <c r="C86" s="189">
        <v>28.78</v>
      </c>
      <c r="D86" s="189">
        <v>21.81</v>
      </c>
      <c r="E86" s="189">
        <v>9.57</v>
      </c>
      <c r="F86" s="189">
        <v>3.22</v>
      </c>
      <c r="G86" s="189">
        <v>77.95</v>
      </c>
      <c r="H86" s="189">
        <v>21.75</v>
      </c>
      <c r="I86" s="189">
        <v>6.3</v>
      </c>
      <c r="J86" s="189">
        <v>0.22</v>
      </c>
      <c r="K86" s="189">
        <v>83.04</v>
      </c>
      <c r="L86" s="189">
        <v>25.32</v>
      </c>
      <c r="M86" s="189">
        <v>61.53</v>
      </c>
      <c r="N86" s="189">
        <v>0</v>
      </c>
      <c r="O86" s="189">
        <v>0</v>
      </c>
      <c r="P86" s="189">
        <v>0.79</v>
      </c>
      <c r="Q86" s="189">
        <v>4.53</v>
      </c>
    </row>
    <row r="87" spans="1:17" customFormat="1">
      <c r="A87" s="6" t="s">
        <v>413</v>
      </c>
      <c r="B87" s="189">
        <v>6.66</v>
      </c>
      <c r="C87" s="189">
        <v>28.99</v>
      </c>
      <c r="D87" s="189">
        <v>21.84</v>
      </c>
      <c r="E87" s="189">
        <v>9.5500000000000007</v>
      </c>
      <c r="F87" s="189">
        <v>3.2</v>
      </c>
      <c r="G87" s="189">
        <v>80.02</v>
      </c>
      <c r="H87" s="189">
        <v>21.87</v>
      </c>
      <c r="I87" s="189">
        <v>6.39</v>
      </c>
      <c r="J87" s="189">
        <v>0.16</v>
      </c>
      <c r="K87" s="189">
        <v>140.36000000000001</v>
      </c>
      <c r="L87" s="189">
        <v>25.2</v>
      </c>
      <c r="M87" s="189">
        <v>61.93</v>
      </c>
      <c r="N87" s="189">
        <v>0</v>
      </c>
      <c r="O87" s="189">
        <v>0</v>
      </c>
      <c r="P87" s="189">
        <v>0.8</v>
      </c>
      <c r="Q87" s="189">
        <v>4.5199999999999996</v>
      </c>
    </row>
    <row r="88" spans="1:17" customFormat="1">
      <c r="A88" s="6" t="s">
        <v>414</v>
      </c>
      <c r="B88" s="189">
        <v>6.19</v>
      </c>
      <c r="C88" s="189">
        <v>28.95</v>
      </c>
      <c r="D88" s="189">
        <v>21.44</v>
      </c>
      <c r="E88" s="189">
        <v>9.7799999999999994</v>
      </c>
      <c r="F88" s="189">
        <v>3.58</v>
      </c>
      <c r="G88" s="189">
        <v>80.02</v>
      </c>
      <c r="H88" s="189">
        <v>21.87</v>
      </c>
      <c r="I88" s="189">
        <v>6.46</v>
      </c>
      <c r="J88" s="189">
        <v>0.18</v>
      </c>
      <c r="K88" s="189">
        <v>158.96</v>
      </c>
      <c r="L88" s="189">
        <v>25.27</v>
      </c>
      <c r="M88" s="189">
        <v>61.26</v>
      </c>
      <c r="N88" s="189">
        <v>0</v>
      </c>
      <c r="O88" s="189">
        <v>0</v>
      </c>
      <c r="P88" s="189">
        <v>0.8</v>
      </c>
      <c r="Q88" s="189">
        <v>4.5</v>
      </c>
    </row>
    <row r="89" spans="1:17" customFormat="1">
      <c r="A89" s="6" t="s">
        <v>415</v>
      </c>
      <c r="B89" s="189">
        <v>5.57</v>
      </c>
      <c r="C89" s="189">
        <v>28.41</v>
      </c>
      <c r="D89" s="189">
        <v>20.66</v>
      </c>
      <c r="E89" s="189">
        <v>9.3000000000000007</v>
      </c>
      <c r="F89" s="189">
        <v>3.71</v>
      </c>
      <c r="G89" s="189">
        <v>80.02</v>
      </c>
      <c r="H89" s="189">
        <v>21.87</v>
      </c>
      <c r="I89" s="189">
        <v>6.52</v>
      </c>
      <c r="J89" s="189">
        <v>0.17</v>
      </c>
      <c r="K89" s="189">
        <v>161.59</v>
      </c>
      <c r="L89" s="189">
        <v>25.1</v>
      </c>
      <c r="M89" s="189">
        <v>62.56</v>
      </c>
      <c r="N89" s="189">
        <v>0</v>
      </c>
      <c r="O89" s="189">
        <v>0</v>
      </c>
      <c r="P89" s="189">
        <v>0.8</v>
      </c>
      <c r="Q89" s="189">
        <v>4.49</v>
      </c>
    </row>
    <row r="90" spans="1:17" customFormat="1">
      <c r="A90" s="6" t="s">
        <v>416</v>
      </c>
      <c r="B90" s="189">
        <v>5.2</v>
      </c>
      <c r="C90" s="189">
        <v>28.14</v>
      </c>
      <c r="D90" s="189">
        <v>20.22</v>
      </c>
      <c r="E90" s="189">
        <v>9.15</v>
      </c>
      <c r="F90" s="189">
        <v>3.62</v>
      </c>
      <c r="G90" s="189">
        <v>80.709999999999994</v>
      </c>
      <c r="H90" s="189">
        <v>25.04</v>
      </c>
      <c r="I90" s="189">
        <v>6.51</v>
      </c>
      <c r="J90" s="189">
        <v>0.2</v>
      </c>
      <c r="K90" s="189">
        <v>160.19</v>
      </c>
      <c r="L90" s="189">
        <v>24.59</v>
      </c>
      <c r="M90" s="189">
        <v>64.930000000000007</v>
      </c>
      <c r="N90" s="189">
        <v>0</v>
      </c>
      <c r="O90" s="189">
        <v>0</v>
      </c>
      <c r="P90" s="189">
        <v>0.8</v>
      </c>
      <c r="Q90" s="189">
        <v>4.4400000000000004</v>
      </c>
    </row>
    <row r="91" spans="1:17" customFormat="1">
      <c r="A91" s="6" t="s">
        <v>417</v>
      </c>
      <c r="B91" s="189">
        <v>5.31</v>
      </c>
      <c r="C91" s="189">
        <v>26.44</v>
      </c>
      <c r="D91" s="189">
        <v>19.420000000000002</v>
      </c>
      <c r="E91" s="189">
        <v>9.3800000000000008</v>
      </c>
      <c r="F91" s="189">
        <v>3.41</v>
      </c>
      <c r="G91" s="189">
        <v>81.06</v>
      </c>
      <c r="H91" s="189">
        <v>25.41</v>
      </c>
      <c r="I91" s="189">
        <v>6.46</v>
      </c>
      <c r="J91" s="189">
        <v>0.1</v>
      </c>
      <c r="K91" s="189">
        <v>164.84</v>
      </c>
      <c r="L91" s="189">
        <v>24.3</v>
      </c>
      <c r="M91" s="189">
        <v>66.349999999999994</v>
      </c>
      <c r="N91" s="189">
        <v>0</v>
      </c>
      <c r="O91" s="189">
        <v>0</v>
      </c>
      <c r="P91" s="189">
        <v>0.78</v>
      </c>
      <c r="Q91" s="189">
        <v>4.46</v>
      </c>
    </row>
    <row r="92" spans="1:17" customFormat="1">
      <c r="A92" s="6" t="s">
        <v>418</v>
      </c>
      <c r="B92" s="189">
        <v>5.71</v>
      </c>
      <c r="C92" s="189">
        <v>23.4</v>
      </c>
      <c r="D92" s="189">
        <v>18.149999999999999</v>
      </c>
      <c r="E92" s="189">
        <v>9.0299999999999994</v>
      </c>
      <c r="F92" s="189">
        <v>3.24</v>
      </c>
      <c r="G92" s="189">
        <v>81.06</v>
      </c>
      <c r="H92" s="189">
        <v>25.41</v>
      </c>
      <c r="I92" s="189">
        <v>6.45</v>
      </c>
      <c r="J92" s="189">
        <v>0.13</v>
      </c>
      <c r="K92" s="189">
        <v>126.66</v>
      </c>
      <c r="L92" s="189">
        <v>23.95</v>
      </c>
      <c r="M92" s="189">
        <v>68.709999999999994</v>
      </c>
      <c r="N92" s="189">
        <v>0</v>
      </c>
      <c r="O92" s="189">
        <v>0</v>
      </c>
      <c r="P92" s="189">
        <v>0.77</v>
      </c>
      <c r="Q92" s="189">
        <v>4.45</v>
      </c>
    </row>
    <row r="93" spans="1:17" customFormat="1">
      <c r="A93" s="6" t="s">
        <v>419</v>
      </c>
      <c r="B93" s="189">
        <v>6.02</v>
      </c>
      <c r="C93" s="189">
        <v>21.83</v>
      </c>
      <c r="D93" s="189">
        <v>17.579999999999998</v>
      </c>
      <c r="E93" s="189">
        <v>8.39</v>
      </c>
      <c r="F93" s="189">
        <v>3</v>
      </c>
      <c r="G93" s="189">
        <v>81.06</v>
      </c>
      <c r="H93" s="189">
        <v>25.41</v>
      </c>
      <c r="I93" s="189">
        <v>6.47</v>
      </c>
      <c r="J93" s="189">
        <v>0.12</v>
      </c>
      <c r="K93" s="189">
        <v>148.69999999999999</v>
      </c>
      <c r="L93" s="189">
        <v>23.44</v>
      </c>
      <c r="M93" s="189">
        <v>72.23</v>
      </c>
      <c r="N93" s="189">
        <v>0</v>
      </c>
      <c r="O93" s="189">
        <v>0</v>
      </c>
      <c r="P93" s="189">
        <v>0.77</v>
      </c>
      <c r="Q93" s="189">
        <v>4.46</v>
      </c>
    </row>
    <row r="94" spans="1:17" customFormat="1">
      <c r="A94" s="6" t="s">
        <v>420</v>
      </c>
      <c r="B94" s="189">
        <v>6.33</v>
      </c>
      <c r="C94" s="189">
        <v>21.97</v>
      </c>
      <c r="D94" s="189">
        <v>17.899999999999999</v>
      </c>
      <c r="E94" s="189">
        <v>8.08</v>
      </c>
      <c r="F94" s="189">
        <v>2.79</v>
      </c>
      <c r="G94" s="189">
        <v>78.17</v>
      </c>
      <c r="H94" s="189">
        <v>26.56</v>
      </c>
      <c r="I94" s="189">
        <v>6.51</v>
      </c>
      <c r="J94" s="189">
        <v>0.14000000000000001</v>
      </c>
      <c r="K94" s="189">
        <v>152.31</v>
      </c>
      <c r="L94" s="189">
        <v>23.12</v>
      </c>
      <c r="M94" s="189">
        <v>73.44</v>
      </c>
      <c r="N94" s="189">
        <v>0</v>
      </c>
      <c r="O94" s="189">
        <v>0</v>
      </c>
      <c r="P94" s="189">
        <v>0.77</v>
      </c>
      <c r="Q94" s="189">
        <v>4.45</v>
      </c>
    </row>
    <row r="95" spans="1:17" customFormat="1">
      <c r="A95" s="6" t="s">
        <v>421</v>
      </c>
      <c r="B95" s="189">
        <v>6.68</v>
      </c>
      <c r="C95" s="189">
        <v>22.1</v>
      </c>
      <c r="D95" s="189">
        <v>18.25</v>
      </c>
      <c r="E95" s="189">
        <v>8.36</v>
      </c>
      <c r="F95" s="189">
        <v>2.69</v>
      </c>
      <c r="G95" s="189">
        <v>76.73</v>
      </c>
      <c r="H95" s="189">
        <v>26.7</v>
      </c>
      <c r="I95" s="189">
        <v>6.58</v>
      </c>
      <c r="J95" s="189">
        <v>0.14000000000000001</v>
      </c>
      <c r="K95" s="189">
        <v>153</v>
      </c>
      <c r="L95" s="189">
        <v>23.08</v>
      </c>
      <c r="M95" s="189">
        <v>72.95</v>
      </c>
      <c r="N95" s="189">
        <v>0</v>
      </c>
      <c r="O95" s="189">
        <v>0</v>
      </c>
      <c r="P95" s="189">
        <v>0.77</v>
      </c>
      <c r="Q95" s="189">
        <v>4.4400000000000004</v>
      </c>
    </row>
    <row r="96" spans="1:17" customFormat="1">
      <c r="A96" s="6" t="s">
        <v>422</v>
      </c>
      <c r="B96" s="189">
        <v>6.88</v>
      </c>
      <c r="C96" s="189">
        <v>22.47</v>
      </c>
      <c r="D96" s="189">
        <v>18.61</v>
      </c>
      <c r="E96" s="189">
        <v>8.3000000000000007</v>
      </c>
      <c r="F96" s="189">
        <v>2.74</v>
      </c>
      <c r="G96" s="189">
        <v>76.73</v>
      </c>
      <c r="H96" s="189">
        <v>26.7</v>
      </c>
      <c r="I96" s="189">
        <v>6.65</v>
      </c>
      <c r="J96" s="189">
        <v>0.12</v>
      </c>
      <c r="K96" s="189">
        <v>186.69</v>
      </c>
      <c r="L96" s="189">
        <v>22.89</v>
      </c>
      <c r="M96" s="189">
        <v>74.56</v>
      </c>
      <c r="N96" s="189">
        <v>0</v>
      </c>
      <c r="O96" s="189">
        <v>0</v>
      </c>
      <c r="P96" s="189">
        <v>0.78</v>
      </c>
      <c r="Q96" s="189">
        <v>4.45</v>
      </c>
    </row>
    <row r="97" spans="1:22" customFormat="1">
      <c r="A97" s="6" t="s">
        <v>423</v>
      </c>
      <c r="B97" s="189">
        <v>7.05</v>
      </c>
      <c r="C97" s="189">
        <v>21.65</v>
      </c>
      <c r="D97" s="189">
        <v>18.32</v>
      </c>
      <c r="E97" s="189">
        <v>8.2799999999999994</v>
      </c>
      <c r="F97" s="189">
        <v>3.01</v>
      </c>
      <c r="G97" s="189">
        <v>76.73</v>
      </c>
      <c r="H97" s="189">
        <v>26.7</v>
      </c>
      <c r="I97" s="189">
        <v>6.69</v>
      </c>
      <c r="J97" s="189">
        <v>0.11</v>
      </c>
      <c r="K97" s="189">
        <v>160.91999999999999</v>
      </c>
      <c r="L97" s="189">
        <v>22.36</v>
      </c>
      <c r="M97" s="189">
        <v>80.319999999999993</v>
      </c>
      <c r="N97" s="189">
        <v>0</v>
      </c>
      <c r="O97" s="189">
        <v>0</v>
      </c>
      <c r="P97" s="189">
        <v>0.77</v>
      </c>
      <c r="Q97" s="189">
        <v>4.47</v>
      </c>
    </row>
    <row r="98" spans="1:22" customFormat="1">
      <c r="A98" s="6" t="s">
        <v>424</v>
      </c>
      <c r="B98" s="189">
        <v>7.27</v>
      </c>
      <c r="C98" s="189">
        <v>20.64</v>
      </c>
      <c r="D98" s="189">
        <v>17.96</v>
      </c>
      <c r="E98" s="189">
        <v>8.2100000000000009</v>
      </c>
      <c r="F98" s="189">
        <v>2.93</v>
      </c>
      <c r="G98" s="189">
        <v>74.790000000000006</v>
      </c>
      <c r="H98" s="189">
        <v>28.72</v>
      </c>
      <c r="I98" s="189">
        <v>6.72</v>
      </c>
      <c r="J98" s="189">
        <v>7.0000000000000007E-2</v>
      </c>
      <c r="K98" s="189">
        <v>164.94</v>
      </c>
      <c r="L98" s="189">
        <v>22.16</v>
      </c>
      <c r="M98" s="189">
        <v>77.900000000000006</v>
      </c>
      <c r="N98" s="189">
        <v>0</v>
      </c>
      <c r="O98" s="189">
        <v>0</v>
      </c>
      <c r="P98" s="189">
        <v>0.77</v>
      </c>
      <c r="Q98" s="189">
        <v>4.47</v>
      </c>
    </row>
    <row r="99" spans="1:22" customFormat="1">
      <c r="A99" s="6" t="s">
        <v>425</v>
      </c>
      <c r="B99" s="189">
        <v>7.43</v>
      </c>
      <c r="C99" s="189">
        <v>21.72</v>
      </c>
      <c r="D99" s="189">
        <v>18.66</v>
      </c>
      <c r="E99" s="189">
        <v>7.98</v>
      </c>
      <c r="F99" s="189">
        <v>2.71</v>
      </c>
      <c r="G99" s="189">
        <v>73.819999999999993</v>
      </c>
      <c r="H99" s="189">
        <v>29.3</v>
      </c>
      <c r="I99" s="189">
        <v>6.72</v>
      </c>
      <c r="J99" s="189">
        <v>0.09</v>
      </c>
      <c r="K99" s="189">
        <v>160.37</v>
      </c>
      <c r="L99" s="189">
        <v>22.28</v>
      </c>
      <c r="M99" s="189">
        <v>75.08</v>
      </c>
      <c r="N99" s="189">
        <v>0</v>
      </c>
      <c r="O99" s="189">
        <v>0</v>
      </c>
      <c r="P99" s="189">
        <v>0.78</v>
      </c>
      <c r="Q99" s="189">
        <v>4.45</v>
      </c>
    </row>
    <row r="100" spans="1:22" customFormat="1">
      <c r="A100" s="6" t="s">
        <v>426</v>
      </c>
      <c r="B100" s="189">
        <v>7.64</v>
      </c>
      <c r="C100" s="189">
        <v>21.1</v>
      </c>
      <c r="D100" s="189">
        <v>18.5</v>
      </c>
      <c r="E100" s="189">
        <v>7.77</v>
      </c>
      <c r="F100" s="189">
        <v>2.82</v>
      </c>
      <c r="G100" s="189">
        <v>73.819999999999993</v>
      </c>
      <c r="H100" s="189">
        <v>29.3</v>
      </c>
      <c r="I100" s="189">
        <v>6.76</v>
      </c>
      <c r="J100" s="189">
        <v>0.08</v>
      </c>
      <c r="K100" s="189">
        <v>137.57</v>
      </c>
      <c r="L100" s="189">
        <v>22.43</v>
      </c>
      <c r="M100" s="189">
        <v>73.25</v>
      </c>
      <c r="N100" s="189">
        <v>0</v>
      </c>
      <c r="O100" s="189">
        <v>0</v>
      </c>
      <c r="P100" s="189">
        <v>0.78</v>
      </c>
      <c r="Q100" s="189">
        <v>4.45</v>
      </c>
    </row>
    <row r="101" spans="1:22" customFormat="1">
      <c r="A101" s="6" t="s">
        <v>427</v>
      </c>
      <c r="B101" s="189">
        <v>7.95</v>
      </c>
      <c r="C101" s="189">
        <v>21.76</v>
      </c>
      <c r="D101" s="189">
        <v>19.09</v>
      </c>
      <c r="E101" s="189">
        <v>7.91</v>
      </c>
      <c r="F101" s="189">
        <v>2.69</v>
      </c>
      <c r="G101" s="189">
        <v>73.819999999999993</v>
      </c>
      <c r="H101" s="189">
        <v>29.3</v>
      </c>
      <c r="I101" s="189">
        <v>6.8</v>
      </c>
      <c r="J101" s="189">
        <v>0.14000000000000001</v>
      </c>
      <c r="K101" s="189">
        <v>148.96</v>
      </c>
      <c r="L101" s="189">
        <v>22.43</v>
      </c>
      <c r="M101" s="189">
        <v>73.540000000000006</v>
      </c>
      <c r="N101" s="189">
        <v>0</v>
      </c>
      <c r="O101" s="189">
        <v>0</v>
      </c>
      <c r="P101" s="189">
        <v>0.78</v>
      </c>
      <c r="Q101" s="189">
        <v>4.47</v>
      </c>
    </row>
    <row r="102" spans="1:22" customFormat="1">
      <c r="A102" s="6" t="s">
        <v>428</v>
      </c>
      <c r="B102" s="189">
        <v>8.1</v>
      </c>
      <c r="C102" s="189">
        <v>21.17</v>
      </c>
      <c r="D102" s="189">
        <v>18.91</v>
      </c>
      <c r="E102" s="189">
        <v>7.84</v>
      </c>
      <c r="F102" s="189">
        <v>2.81</v>
      </c>
      <c r="G102" s="189">
        <v>74.88</v>
      </c>
      <c r="H102" s="189">
        <v>30.11</v>
      </c>
      <c r="I102" s="189">
        <v>6.88</v>
      </c>
      <c r="J102" s="189">
        <v>0.14000000000000001</v>
      </c>
      <c r="K102" s="189">
        <v>154.44999999999999</v>
      </c>
      <c r="L102" s="189">
        <v>22.35</v>
      </c>
      <c r="M102" s="189">
        <v>73.41</v>
      </c>
      <c r="N102" s="189">
        <v>0</v>
      </c>
      <c r="O102" s="189">
        <v>0</v>
      </c>
      <c r="P102" s="189">
        <v>0.77</v>
      </c>
      <c r="Q102" s="189">
        <v>4.49</v>
      </c>
    </row>
    <row r="103" spans="1:22" customFormat="1">
      <c r="A103" s="6" t="s">
        <v>429</v>
      </c>
      <c r="B103" s="189">
        <v>8.24</v>
      </c>
      <c r="C103" s="189">
        <v>22.31</v>
      </c>
      <c r="D103" s="189">
        <v>19.61</v>
      </c>
      <c r="E103" s="189">
        <v>7.9</v>
      </c>
      <c r="F103" s="189">
        <v>2.85</v>
      </c>
      <c r="G103" s="189">
        <v>75.41</v>
      </c>
      <c r="H103" s="189">
        <v>30.21</v>
      </c>
      <c r="I103" s="189">
        <v>6.94</v>
      </c>
      <c r="J103" s="189">
        <v>0.11</v>
      </c>
      <c r="K103" s="189">
        <v>112.86</v>
      </c>
      <c r="L103" s="189">
        <v>22.25</v>
      </c>
      <c r="M103" s="189">
        <v>73.91</v>
      </c>
      <c r="N103" s="189">
        <v>0</v>
      </c>
      <c r="O103" s="189">
        <v>0</v>
      </c>
      <c r="P103" s="189">
        <v>0.78</v>
      </c>
      <c r="Q103" s="189">
        <v>4.4800000000000004</v>
      </c>
    </row>
    <row r="104" spans="1:22" customFormat="1">
      <c r="A104" s="6" t="s">
        <v>430</v>
      </c>
      <c r="B104" s="189">
        <v>8.4</v>
      </c>
      <c r="C104" s="189">
        <v>20.74</v>
      </c>
      <c r="D104" s="189">
        <v>18.920000000000002</v>
      </c>
      <c r="E104" s="189">
        <v>7.88</v>
      </c>
      <c r="F104" s="189">
        <v>3.12</v>
      </c>
      <c r="G104" s="189">
        <v>75.41</v>
      </c>
      <c r="H104" s="189">
        <v>30.21</v>
      </c>
      <c r="I104" s="189">
        <v>6.99</v>
      </c>
      <c r="J104" s="189">
        <v>0.09</v>
      </c>
      <c r="K104" s="189">
        <v>127.21</v>
      </c>
      <c r="L104" s="189">
        <v>22.06</v>
      </c>
      <c r="M104" s="189">
        <v>75.27</v>
      </c>
      <c r="N104" s="189">
        <v>0</v>
      </c>
      <c r="O104" s="189">
        <v>0</v>
      </c>
      <c r="P104" s="189">
        <v>0.76</v>
      </c>
      <c r="Q104" s="189">
        <v>4.51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2.0699999999999998</v>
      </c>
      <c r="C106" s="183">
        <f>MIN(C9:C104)</f>
        <v>16.57</v>
      </c>
      <c r="D106" s="183">
        <f t="shared" ref="D106:Q106" si="0">MIN(D9:D104)</f>
        <v>11.67</v>
      </c>
      <c r="E106" s="183">
        <f t="shared" si="0"/>
        <v>6.05</v>
      </c>
      <c r="F106" s="183">
        <f t="shared" si="0"/>
        <v>2.4300000000000002</v>
      </c>
      <c r="G106" s="183">
        <f t="shared" si="0"/>
        <v>27.59</v>
      </c>
      <c r="H106" s="183">
        <f t="shared" si="0"/>
        <v>7.47</v>
      </c>
      <c r="I106" s="183">
        <f t="shared" si="0"/>
        <v>5.22</v>
      </c>
      <c r="J106" s="183">
        <f t="shared" si="0"/>
        <v>7.0000000000000007E-2</v>
      </c>
      <c r="K106" s="183">
        <f t="shared" si="0"/>
        <v>29.84</v>
      </c>
      <c r="L106" s="183">
        <f t="shared" si="0"/>
        <v>19.91</v>
      </c>
      <c r="M106" s="183">
        <f t="shared" si="0"/>
        <v>39.770000000000003</v>
      </c>
      <c r="N106" s="183">
        <f t="shared" si="0"/>
        <v>0</v>
      </c>
      <c r="O106" s="183">
        <f t="shared" si="0"/>
        <v>0</v>
      </c>
      <c r="P106" s="183">
        <f t="shared" si="0"/>
        <v>0.55000000000000004</v>
      </c>
      <c r="Q106" s="183">
        <f t="shared" si="0"/>
        <v>4.3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19.190000000000001</v>
      </c>
      <c r="C107" s="184">
        <f t="shared" ref="C107:Q107" si="1">MAX(C9:C104)</f>
        <v>29.97</v>
      </c>
      <c r="D107" s="184">
        <f t="shared" si="1"/>
        <v>29.85</v>
      </c>
      <c r="E107" s="184">
        <f t="shared" si="1"/>
        <v>10.32</v>
      </c>
      <c r="F107" s="184">
        <f t="shared" si="1"/>
        <v>16.04</v>
      </c>
      <c r="G107" s="184">
        <f t="shared" si="1"/>
        <v>87.18</v>
      </c>
      <c r="H107" s="184">
        <f t="shared" si="1"/>
        <v>34.31</v>
      </c>
      <c r="I107" s="184">
        <f t="shared" si="1"/>
        <v>9.0399999999999991</v>
      </c>
      <c r="J107" s="184">
        <f t="shared" si="1"/>
        <v>0.75</v>
      </c>
      <c r="K107" s="184">
        <f t="shared" si="1"/>
        <v>186.69</v>
      </c>
      <c r="L107" s="184">
        <f t="shared" si="1"/>
        <v>30.8</v>
      </c>
      <c r="M107" s="184">
        <f t="shared" si="1"/>
        <v>87.98</v>
      </c>
      <c r="N107" s="184">
        <f t="shared" si="1"/>
        <v>565.1</v>
      </c>
      <c r="O107" s="184">
        <f t="shared" si="1"/>
        <v>0</v>
      </c>
      <c r="P107" s="184">
        <f t="shared" si="1"/>
        <v>0.99</v>
      </c>
      <c r="Q107" s="184">
        <f t="shared" si="1"/>
        <v>4.8899999999999997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9.8125000000000018</v>
      </c>
      <c r="C108" s="183">
        <f t="shared" ref="C108:Q108" si="2">AVERAGE(C9:C104)</f>
        <v>23.760312499999998</v>
      </c>
      <c r="D108" s="183">
        <f t="shared" si="2"/>
        <v>21.633125000000007</v>
      </c>
      <c r="E108" s="183">
        <f t="shared" si="2"/>
        <v>8.0635416666666675</v>
      </c>
      <c r="F108" s="183">
        <f t="shared" si="2"/>
        <v>4.2838541666666661</v>
      </c>
      <c r="G108" s="183">
        <f t="shared" si="2"/>
        <v>69.521739130434781</v>
      </c>
      <c r="H108" s="183">
        <f t="shared" si="2"/>
        <v>26.323913043478242</v>
      </c>
      <c r="I108" s="183">
        <f t="shared" si="2"/>
        <v>6.892187500000003</v>
      </c>
      <c r="J108" s="183">
        <f t="shared" si="2"/>
        <v>0.28187500000000015</v>
      </c>
      <c r="K108" s="183">
        <f t="shared" si="2"/>
        <v>88.893958333333316</v>
      </c>
      <c r="L108" s="183">
        <f t="shared" si="2"/>
        <v>24.878854166666656</v>
      </c>
      <c r="M108" s="183">
        <f t="shared" si="2"/>
        <v>65.925000000000026</v>
      </c>
      <c r="N108" s="183">
        <f t="shared" si="2"/>
        <v>113.77708333333335</v>
      </c>
      <c r="O108" s="183">
        <f t="shared" si="2"/>
        <v>0</v>
      </c>
      <c r="P108" s="183">
        <f t="shared" si="2"/>
        <v>0.79854166666666648</v>
      </c>
      <c r="Q108" s="183">
        <f t="shared" si="2"/>
        <v>4.5780208333333325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5.6644087348804106</v>
      </c>
      <c r="C109" s="183">
        <f t="shared" ref="C109:Q109" si="3">STDEV(C9:C104)</f>
        <v>3.9175315679043066</v>
      </c>
      <c r="D109" s="183">
        <f t="shared" si="3"/>
        <v>5.882392515849812</v>
      </c>
      <c r="E109" s="183">
        <f t="shared" si="3"/>
        <v>0.92163125308698257</v>
      </c>
      <c r="F109" s="183">
        <f t="shared" si="3"/>
        <v>2.7979508929860426</v>
      </c>
      <c r="G109" s="183">
        <f t="shared" si="3"/>
        <v>14.776456296367368</v>
      </c>
      <c r="H109" s="183">
        <f t="shared" si="3"/>
        <v>7.7411097475894461</v>
      </c>
      <c r="I109" s="183">
        <f t="shared" si="3"/>
        <v>0.98995821615702295</v>
      </c>
      <c r="J109" s="183">
        <f t="shared" si="3"/>
        <v>0.12944669701626604</v>
      </c>
      <c r="K109" s="183">
        <f t="shared" si="3"/>
        <v>38.817329159977476</v>
      </c>
      <c r="L109" s="183">
        <f t="shared" si="3"/>
        <v>3.6746511097666836</v>
      </c>
      <c r="M109" s="183">
        <f t="shared" si="3"/>
        <v>16.107792033997789</v>
      </c>
      <c r="N109" s="183">
        <f t="shared" si="3"/>
        <v>191.20493358486587</v>
      </c>
      <c r="O109" s="183">
        <f t="shared" si="3"/>
        <v>0</v>
      </c>
      <c r="P109" s="183">
        <f t="shared" si="3"/>
        <v>0.12208693336408309</v>
      </c>
      <c r="Q109" s="183">
        <f t="shared" si="3"/>
        <v>0.20237339013587272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03/12/2023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431</v>
      </c>
      <c r="B9" s="189">
        <v>9.76</v>
      </c>
      <c r="C9" s="189">
        <v>22.77</v>
      </c>
      <c r="D9" s="189">
        <v>21.08</v>
      </c>
      <c r="E9" s="189">
        <v>7.85</v>
      </c>
      <c r="F9" s="189">
        <v>2.81</v>
      </c>
      <c r="G9" s="189">
        <v>75.41</v>
      </c>
      <c r="H9" s="189">
        <v>30.21</v>
      </c>
      <c r="I9" s="189">
        <v>7</v>
      </c>
      <c r="J9" s="189">
        <v>0.08</v>
      </c>
      <c r="K9" s="189">
        <v>92.33</v>
      </c>
      <c r="L9" s="189">
        <v>21.8</v>
      </c>
      <c r="M9" s="189">
        <v>76.239999999999995</v>
      </c>
      <c r="N9" s="189">
        <v>0</v>
      </c>
      <c r="O9" s="189">
        <v>0</v>
      </c>
      <c r="P9" s="189">
        <v>0.77</v>
      </c>
      <c r="Q9" s="189">
        <v>4.5</v>
      </c>
    </row>
    <row r="10" spans="1:21" customFormat="1">
      <c r="A10" s="6" t="s">
        <v>432</v>
      </c>
      <c r="B10" s="189">
        <v>9.65</v>
      </c>
      <c r="C10" s="189">
        <v>21.6</v>
      </c>
      <c r="D10" s="189">
        <v>20.38</v>
      </c>
      <c r="E10" s="189">
        <v>7.63</v>
      </c>
      <c r="F10" s="189">
        <v>2.75</v>
      </c>
      <c r="G10" s="189">
        <v>69.95</v>
      </c>
      <c r="H10" s="189">
        <v>28.44</v>
      </c>
      <c r="I10" s="189">
        <v>6.99</v>
      </c>
      <c r="J10" s="189">
        <v>0.13</v>
      </c>
      <c r="K10" s="189">
        <v>146.35</v>
      </c>
      <c r="L10" s="189">
        <v>21.85</v>
      </c>
      <c r="M10" s="189">
        <v>75.459999999999994</v>
      </c>
      <c r="N10" s="189">
        <v>0</v>
      </c>
      <c r="O10" s="189">
        <v>0</v>
      </c>
      <c r="P10" s="189">
        <v>0.77</v>
      </c>
      <c r="Q10" s="189">
        <v>4.51</v>
      </c>
    </row>
    <row r="11" spans="1:21" customFormat="1">
      <c r="A11" s="6" t="s">
        <v>433</v>
      </c>
      <c r="B11" s="189">
        <v>9.77</v>
      </c>
      <c r="C11" s="189">
        <v>22.9</v>
      </c>
      <c r="D11" s="189">
        <v>21.15</v>
      </c>
      <c r="E11" s="189">
        <v>8.23</v>
      </c>
      <c r="F11" s="189">
        <v>2.59</v>
      </c>
      <c r="G11" s="189">
        <v>67.23</v>
      </c>
      <c r="H11" s="189">
        <v>28.09</v>
      </c>
      <c r="I11" s="189">
        <v>6.98</v>
      </c>
      <c r="J11" s="189">
        <v>0.15</v>
      </c>
      <c r="K11" s="189">
        <v>166.13</v>
      </c>
      <c r="L11" s="189">
        <v>21.87</v>
      </c>
      <c r="M11" s="189">
        <v>75.56</v>
      </c>
      <c r="N11" s="189">
        <v>0</v>
      </c>
      <c r="O11" s="189">
        <v>0</v>
      </c>
      <c r="P11" s="189">
        <v>0.77</v>
      </c>
      <c r="Q11" s="189">
        <v>4.49</v>
      </c>
    </row>
    <row r="12" spans="1:21" customFormat="1">
      <c r="A12" s="6" t="s">
        <v>434</v>
      </c>
      <c r="B12" s="189">
        <v>9.85</v>
      </c>
      <c r="C12" s="189">
        <v>21.25</v>
      </c>
      <c r="D12" s="189">
        <v>20.350000000000001</v>
      </c>
      <c r="E12" s="189">
        <v>8.06</v>
      </c>
      <c r="F12" s="189">
        <v>2.95</v>
      </c>
      <c r="G12" s="189">
        <v>67.23</v>
      </c>
      <c r="H12" s="189">
        <v>28.09</v>
      </c>
      <c r="I12" s="189">
        <v>7.02</v>
      </c>
      <c r="J12" s="189">
        <v>0.14000000000000001</v>
      </c>
      <c r="K12" s="189">
        <v>157.56</v>
      </c>
      <c r="L12" s="189">
        <v>21.56</v>
      </c>
      <c r="M12" s="189">
        <v>76.89</v>
      </c>
      <c r="N12" s="189">
        <v>0</v>
      </c>
      <c r="O12" s="189">
        <v>0</v>
      </c>
      <c r="P12" s="189">
        <v>0.76</v>
      </c>
      <c r="Q12" s="189">
        <v>4.5</v>
      </c>
    </row>
    <row r="13" spans="1:21" customFormat="1">
      <c r="A13" s="6" t="s">
        <v>435</v>
      </c>
      <c r="B13" s="189">
        <v>9.68</v>
      </c>
      <c r="C13" s="189">
        <v>22.45</v>
      </c>
      <c r="D13" s="189">
        <v>20.84</v>
      </c>
      <c r="E13" s="189">
        <v>7.83</v>
      </c>
      <c r="F13" s="189">
        <v>2.73</v>
      </c>
      <c r="G13" s="189">
        <v>67.23</v>
      </c>
      <c r="H13" s="189">
        <v>28.09</v>
      </c>
      <c r="I13" s="189">
        <v>7.05</v>
      </c>
      <c r="J13" s="189">
        <v>0.13</v>
      </c>
      <c r="K13" s="189">
        <v>163.36000000000001</v>
      </c>
      <c r="L13" s="189">
        <v>21.5</v>
      </c>
      <c r="M13" s="189">
        <v>76.36</v>
      </c>
      <c r="N13" s="189">
        <v>0</v>
      </c>
      <c r="O13" s="189">
        <v>0</v>
      </c>
      <c r="P13" s="189">
        <v>0.76</v>
      </c>
      <c r="Q13" s="189">
        <v>4.53</v>
      </c>
    </row>
    <row r="14" spans="1:21" customFormat="1">
      <c r="A14" s="6" t="s">
        <v>436</v>
      </c>
      <c r="B14" s="189">
        <v>9.44</v>
      </c>
      <c r="C14" s="189">
        <v>23.06</v>
      </c>
      <c r="D14" s="189">
        <v>20.97</v>
      </c>
      <c r="E14" s="189">
        <v>7.91</v>
      </c>
      <c r="F14" s="189">
        <v>2.72</v>
      </c>
      <c r="G14" s="189">
        <v>71.06</v>
      </c>
      <c r="H14" s="189">
        <v>27.96</v>
      </c>
      <c r="I14" s="189">
        <v>7.07</v>
      </c>
      <c r="J14" s="189">
        <v>0.08</v>
      </c>
      <c r="K14" s="189">
        <v>176.95</v>
      </c>
      <c r="L14" s="189">
        <v>21.28</v>
      </c>
      <c r="M14" s="189">
        <v>77.790000000000006</v>
      </c>
      <c r="N14" s="189">
        <v>0</v>
      </c>
      <c r="O14" s="189">
        <v>0</v>
      </c>
      <c r="P14" s="189">
        <v>0.78</v>
      </c>
      <c r="Q14" s="189">
        <v>4.5199999999999996</v>
      </c>
    </row>
    <row r="15" spans="1:21" customFormat="1">
      <c r="A15" s="6" t="s">
        <v>437</v>
      </c>
      <c r="B15" s="189">
        <v>9.19</v>
      </c>
      <c r="C15" s="189">
        <v>23.23</v>
      </c>
      <c r="D15" s="189">
        <v>20.86</v>
      </c>
      <c r="E15" s="189">
        <v>7.94</v>
      </c>
      <c r="F15" s="189">
        <v>2.81</v>
      </c>
      <c r="G15" s="189">
        <v>72.98</v>
      </c>
      <c r="H15" s="189">
        <v>27.94</v>
      </c>
      <c r="I15" s="189">
        <v>7.03</v>
      </c>
      <c r="J15" s="189">
        <v>0</v>
      </c>
      <c r="K15" s="189">
        <v>82.41</v>
      </c>
      <c r="L15" s="189">
        <v>20.75</v>
      </c>
      <c r="M15" s="189">
        <v>81.569999999999993</v>
      </c>
      <c r="N15" s="189">
        <v>0</v>
      </c>
      <c r="O15" s="189">
        <v>0</v>
      </c>
      <c r="P15" s="189">
        <v>0.77</v>
      </c>
      <c r="Q15" s="189">
        <v>4.51</v>
      </c>
    </row>
    <row r="16" spans="1:21" customFormat="1">
      <c r="A16" s="6" t="s">
        <v>438</v>
      </c>
      <c r="B16" s="189">
        <v>9.2899999999999991</v>
      </c>
      <c r="C16" s="189">
        <v>23.72</v>
      </c>
      <c r="D16" s="189">
        <v>21.2</v>
      </c>
      <c r="E16" s="189">
        <v>8.39</v>
      </c>
      <c r="F16" s="189">
        <v>2.82</v>
      </c>
      <c r="G16" s="189">
        <v>72.98</v>
      </c>
      <c r="H16" s="189">
        <v>27.94</v>
      </c>
      <c r="I16" s="189">
        <v>6.96</v>
      </c>
      <c r="J16" s="189">
        <v>0.18</v>
      </c>
      <c r="K16" s="189">
        <v>68.17</v>
      </c>
      <c r="L16" s="189">
        <v>20.81</v>
      </c>
      <c r="M16" s="189">
        <v>80.03</v>
      </c>
      <c r="N16" s="189">
        <v>0</v>
      </c>
      <c r="O16" s="189">
        <v>0</v>
      </c>
      <c r="P16" s="189">
        <v>0.77</v>
      </c>
      <c r="Q16" s="189">
        <v>4.5</v>
      </c>
    </row>
    <row r="17" spans="1:17" customFormat="1">
      <c r="A17" s="6" t="s">
        <v>439</v>
      </c>
      <c r="B17" s="189">
        <v>9.68</v>
      </c>
      <c r="C17" s="189">
        <v>24.26</v>
      </c>
      <c r="D17" s="189">
        <v>21.79</v>
      </c>
      <c r="E17" s="189">
        <v>6.21</v>
      </c>
      <c r="F17" s="189">
        <v>2.83</v>
      </c>
      <c r="G17" s="189">
        <v>72.98</v>
      </c>
      <c r="H17" s="189">
        <v>27.94</v>
      </c>
      <c r="I17" s="189">
        <v>6.88</v>
      </c>
      <c r="J17" s="189">
        <v>0.13</v>
      </c>
      <c r="K17" s="189">
        <v>110.9</v>
      </c>
      <c r="L17" s="189">
        <v>20.83</v>
      </c>
      <c r="M17" s="189">
        <v>79.77</v>
      </c>
      <c r="N17" s="189">
        <v>0</v>
      </c>
      <c r="O17" s="189">
        <v>0</v>
      </c>
      <c r="P17" s="189">
        <v>0.76</v>
      </c>
      <c r="Q17" s="189">
        <v>4.5199999999999996</v>
      </c>
    </row>
    <row r="18" spans="1:17" customFormat="1">
      <c r="A18" s="6" t="s">
        <v>440</v>
      </c>
      <c r="B18" s="189">
        <v>9.84</v>
      </c>
      <c r="C18" s="189">
        <v>25.02</v>
      </c>
      <c r="D18" s="189">
        <v>22.31</v>
      </c>
      <c r="E18" s="189">
        <v>6.81</v>
      </c>
      <c r="F18" s="189">
        <v>2.85</v>
      </c>
      <c r="G18" s="189">
        <v>65.63</v>
      </c>
      <c r="H18" s="189">
        <v>26.68</v>
      </c>
      <c r="I18" s="189">
        <v>6.81</v>
      </c>
      <c r="J18" s="189">
        <v>0.12</v>
      </c>
      <c r="K18" s="189">
        <v>103.74</v>
      </c>
      <c r="L18" s="189">
        <v>20.6</v>
      </c>
      <c r="M18" s="189">
        <v>81.03</v>
      </c>
      <c r="N18" s="189">
        <v>0</v>
      </c>
      <c r="O18" s="189">
        <v>0</v>
      </c>
      <c r="P18" s="189">
        <v>0.75</v>
      </c>
      <c r="Q18" s="189">
        <v>4.53</v>
      </c>
    </row>
    <row r="19" spans="1:17" customFormat="1">
      <c r="A19" s="6" t="s">
        <v>441</v>
      </c>
      <c r="B19" s="189">
        <v>9.8800000000000008</v>
      </c>
      <c r="C19" s="189">
        <v>25.26</v>
      </c>
      <c r="D19" s="189">
        <v>22.47</v>
      </c>
      <c r="E19" s="189">
        <v>7.45</v>
      </c>
      <c r="F19" s="189">
        <v>2.82</v>
      </c>
      <c r="G19" s="189">
        <v>61.95</v>
      </c>
      <c r="H19" s="189">
        <v>26.53</v>
      </c>
      <c r="I19" s="189">
        <v>6.75</v>
      </c>
      <c r="J19" s="189">
        <v>0.06</v>
      </c>
      <c r="K19" s="189">
        <v>138.31</v>
      </c>
      <c r="L19" s="189">
        <v>20.36</v>
      </c>
      <c r="M19" s="189">
        <v>82.74</v>
      </c>
      <c r="N19" s="189">
        <v>0</v>
      </c>
      <c r="O19" s="189">
        <v>0</v>
      </c>
      <c r="P19" s="189">
        <v>0.75</v>
      </c>
      <c r="Q19" s="189">
        <v>4.54</v>
      </c>
    </row>
    <row r="20" spans="1:17" customFormat="1">
      <c r="A20" s="6" t="s">
        <v>442</v>
      </c>
      <c r="B20" s="189">
        <v>9.6199999999999992</v>
      </c>
      <c r="C20" s="189">
        <v>25.24</v>
      </c>
      <c r="D20" s="189">
        <v>22.25</v>
      </c>
      <c r="E20" s="189">
        <v>7.59</v>
      </c>
      <c r="F20" s="189">
        <v>3.04</v>
      </c>
      <c r="G20" s="189">
        <v>61.95</v>
      </c>
      <c r="H20" s="189">
        <v>26.53</v>
      </c>
      <c r="I20" s="189">
        <v>6.69</v>
      </c>
      <c r="J20" s="189">
        <v>0.05</v>
      </c>
      <c r="K20" s="189">
        <v>148.99</v>
      </c>
      <c r="L20" s="189">
        <v>20.53</v>
      </c>
      <c r="M20" s="189">
        <v>81.459999999999994</v>
      </c>
      <c r="N20" s="189">
        <v>0</v>
      </c>
      <c r="O20" s="189">
        <v>0</v>
      </c>
      <c r="P20" s="189">
        <v>0.74</v>
      </c>
      <c r="Q20" s="189">
        <v>4.55</v>
      </c>
    </row>
    <row r="21" spans="1:17" customFormat="1">
      <c r="A21" s="6" t="s">
        <v>443</v>
      </c>
      <c r="B21" s="189">
        <v>9.42</v>
      </c>
      <c r="C21" s="189">
        <v>25.05</v>
      </c>
      <c r="D21" s="189">
        <v>21.99</v>
      </c>
      <c r="E21" s="189">
        <v>7.83</v>
      </c>
      <c r="F21" s="189">
        <v>2.97</v>
      </c>
      <c r="G21" s="189">
        <v>61.95</v>
      </c>
      <c r="H21" s="189">
        <v>26.53</v>
      </c>
      <c r="I21" s="189">
        <v>6.61</v>
      </c>
      <c r="J21" s="189">
        <v>0.12</v>
      </c>
      <c r="K21" s="189">
        <v>107.34</v>
      </c>
      <c r="L21" s="189">
        <v>20.170000000000002</v>
      </c>
      <c r="M21" s="189">
        <v>83.13</v>
      </c>
      <c r="N21" s="189">
        <v>0</v>
      </c>
      <c r="O21" s="189">
        <v>0</v>
      </c>
      <c r="P21" s="189">
        <v>0.74</v>
      </c>
      <c r="Q21" s="189">
        <v>4.57</v>
      </c>
    </row>
    <row r="22" spans="1:17" customFormat="1">
      <c r="A22" s="6" t="s">
        <v>444</v>
      </c>
      <c r="B22" s="189">
        <v>9.4</v>
      </c>
      <c r="C22" s="189">
        <v>25.58</v>
      </c>
      <c r="D22" s="189">
        <v>22.26</v>
      </c>
      <c r="E22" s="189">
        <v>7.9</v>
      </c>
      <c r="F22" s="189">
        <v>2.85</v>
      </c>
      <c r="G22" s="189">
        <v>58.51</v>
      </c>
      <c r="H22" s="189">
        <v>27.25</v>
      </c>
      <c r="I22" s="189">
        <v>6.5</v>
      </c>
      <c r="J22" s="189">
        <v>0.08</v>
      </c>
      <c r="K22" s="189">
        <v>89.91</v>
      </c>
      <c r="L22" s="189">
        <v>20</v>
      </c>
      <c r="M22" s="189">
        <v>84.32</v>
      </c>
      <c r="N22" s="189">
        <v>0</v>
      </c>
      <c r="O22" s="189">
        <v>0</v>
      </c>
      <c r="P22" s="189">
        <v>0.73</v>
      </c>
      <c r="Q22" s="189">
        <v>4.5599999999999996</v>
      </c>
    </row>
    <row r="23" spans="1:17" customFormat="1">
      <c r="A23" s="6" t="s">
        <v>445</v>
      </c>
      <c r="B23" s="189">
        <v>9.4</v>
      </c>
      <c r="C23" s="189">
        <v>25.71</v>
      </c>
      <c r="D23" s="189">
        <v>22.32</v>
      </c>
      <c r="E23" s="189">
        <v>7.7</v>
      </c>
      <c r="F23" s="189">
        <v>2.87</v>
      </c>
      <c r="G23" s="189">
        <v>56.79</v>
      </c>
      <c r="H23" s="189">
        <v>27.34</v>
      </c>
      <c r="I23" s="189">
        <v>6.42</v>
      </c>
      <c r="J23" s="189">
        <v>0.13</v>
      </c>
      <c r="K23" s="189">
        <v>139.49</v>
      </c>
      <c r="L23" s="189">
        <v>20.05</v>
      </c>
      <c r="M23" s="189">
        <v>83.26</v>
      </c>
      <c r="N23" s="189">
        <v>0</v>
      </c>
      <c r="O23" s="189">
        <v>0</v>
      </c>
      <c r="P23" s="189">
        <v>0.73</v>
      </c>
      <c r="Q23" s="189">
        <v>4.5599999999999996</v>
      </c>
    </row>
    <row r="24" spans="1:17" customFormat="1">
      <c r="A24" s="6" t="s">
        <v>446</v>
      </c>
      <c r="B24" s="189">
        <v>9.3000000000000007</v>
      </c>
      <c r="C24" s="189">
        <v>25.69</v>
      </c>
      <c r="D24" s="189">
        <v>22.23</v>
      </c>
      <c r="E24" s="189">
        <v>7.94</v>
      </c>
      <c r="F24" s="189">
        <v>2.86</v>
      </c>
      <c r="G24" s="189">
        <v>56.79</v>
      </c>
      <c r="H24" s="189">
        <v>27.34</v>
      </c>
      <c r="I24" s="189">
        <v>6.35</v>
      </c>
      <c r="J24" s="189">
        <v>0.11</v>
      </c>
      <c r="K24" s="189">
        <v>95.35</v>
      </c>
      <c r="L24" s="189">
        <v>20.010000000000002</v>
      </c>
      <c r="M24" s="189">
        <v>82.73</v>
      </c>
      <c r="N24" s="189">
        <v>0</v>
      </c>
      <c r="O24" s="189">
        <v>0</v>
      </c>
      <c r="P24" s="189">
        <v>0.72</v>
      </c>
      <c r="Q24" s="189">
        <v>4.5599999999999996</v>
      </c>
    </row>
    <row r="25" spans="1:17" customFormat="1">
      <c r="A25" s="6" t="s">
        <v>447</v>
      </c>
      <c r="B25" s="189">
        <v>9.4</v>
      </c>
      <c r="C25" s="189">
        <v>25.74</v>
      </c>
      <c r="D25" s="189">
        <v>22.33</v>
      </c>
      <c r="E25" s="189">
        <v>7.53</v>
      </c>
      <c r="F25" s="189">
        <v>2.83</v>
      </c>
      <c r="G25" s="189">
        <v>56.79</v>
      </c>
      <c r="H25" s="189">
        <v>27.34</v>
      </c>
      <c r="I25" s="189">
        <v>6.3</v>
      </c>
      <c r="J25" s="189">
        <v>0.1</v>
      </c>
      <c r="K25" s="189">
        <v>160.66</v>
      </c>
      <c r="L25" s="189">
        <v>20.11</v>
      </c>
      <c r="M25" s="189">
        <v>82.2</v>
      </c>
      <c r="N25" s="189">
        <v>0</v>
      </c>
      <c r="O25" s="189">
        <v>0</v>
      </c>
      <c r="P25" s="189">
        <v>0.72</v>
      </c>
      <c r="Q25" s="189">
        <v>4.54</v>
      </c>
    </row>
    <row r="26" spans="1:17" customFormat="1">
      <c r="A26" s="6" t="s">
        <v>448</v>
      </c>
      <c r="B26" s="189">
        <v>9.24</v>
      </c>
      <c r="C26" s="189">
        <v>25.65</v>
      </c>
      <c r="D26" s="189">
        <v>22.16</v>
      </c>
      <c r="E26" s="189">
        <v>8.18</v>
      </c>
      <c r="F26" s="189">
        <v>2.98</v>
      </c>
      <c r="G26" s="189">
        <v>58.98</v>
      </c>
      <c r="H26" s="189">
        <v>25.59</v>
      </c>
      <c r="I26" s="189">
        <v>6.23</v>
      </c>
      <c r="J26" s="189">
        <v>0.32</v>
      </c>
      <c r="K26" s="189">
        <v>48.9</v>
      </c>
      <c r="L26" s="189">
        <v>19.95</v>
      </c>
      <c r="M26" s="189">
        <v>82.98</v>
      </c>
      <c r="N26" s="189">
        <v>0</v>
      </c>
      <c r="O26" s="189">
        <v>0</v>
      </c>
      <c r="P26" s="189">
        <v>0.72</v>
      </c>
      <c r="Q26" s="189">
        <v>4.53</v>
      </c>
    </row>
    <row r="27" spans="1:17" customFormat="1">
      <c r="A27" s="6" t="s">
        <v>449</v>
      </c>
      <c r="B27" s="189">
        <v>9.43</v>
      </c>
      <c r="C27" s="189">
        <v>25.6</v>
      </c>
      <c r="D27" s="189">
        <v>22.29</v>
      </c>
      <c r="E27" s="189">
        <v>7.44</v>
      </c>
      <c r="F27" s="189">
        <v>2.91</v>
      </c>
      <c r="G27" s="189">
        <v>60.08</v>
      </c>
      <c r="H27" s="189">
        <v>25.39</v>
      </c>
      <c r="I27" s="189">
        <v>6.13</v>
      </c>
      <c r="J27" s="189">
        <v>0.5</v>
      </c>
      <c r="K27" s="189">
        <v>49.01</v>
      </c>
      <c r="L27" s="189">
        <v>19.57</v>
      </c>
      <c r="M27" s="189">
        <v>84.81</v>
      </c>
      <c r="N27" s="189">
        <v>0</v>
      </c>
      <c r="O27" s="189">
        <v>0</v>
      </c>
      <c r="P27" s="189">
        <v>0.7</v>
      </c>
      <c r="Q27" s="189">
        <v>4.57</v>
      </c>
    </row>
    <row r="28" spans="1:17" customFormat="1">
      <c r="A28" s="6" t="s">
        <v>450</v>
      </c>
      <c r="B28" s="189">
        <v>9.76</v>
      </c>
      <c r="C28" s="189">
        <v>25.57</v>
      </c>
      <c r="D28" s="189">
        <v>22.54</v>
      </c>
      <c r="E28" s="189">
        <v>7.19</v>
      </c>
      <c r="F28" s="189">
        <v>2.8</v>
      </c>
      <c r="G28" s="189">
        <v>60.08</v>
      </c>
      <c r="H28" s="189">
        <v>25.39</v>
      </c>
      <c r="I28" s="189">
        <v>6.05</v>
      </c>
      <c r="J28" s="189">
        <v>0.42</v>
      </c>
      <c r="K28" s="189">
        <v>49.62</v>
      </c>
      <c r="L28" s="189">
        <v>19.37</v>
      </c>
      <c r="M28" s="189">
        <v>85.61</v>
      </c>
      <c r="N28" s="189">
        <v>0</v>
      </c>
      <c r="O28" s="189">
        <v>0</v>
      </c>
      <c r="P28" s="189">
        <v>0.7</v>
      </c>
      <c r="Q28" s="189">
        <v>4.57</v>
      </c>
    </row>
    <row r="29" spans="1:17" customFormat="1">
      <c r="A29" s="6" t="s">
        <v>451</v>
      </c>
      <c r="B29" s="189">
        <v>10.06</v>
      </c>
      <c r="C29" s="189">
        <v>26.41</v>
      </c>
      <c r="D29" s="189">
        <v>23.22</v>
      </c>
      <c r="E29" s="189">
        <v>7.9</v>
      </c>
      <c r="F29" s="189">
        <v>2.77</v>
      </c>
      <c r="G29" s="189">
        <v>60.08</v>
      </c>
      <c r="H29" s="189">
        <v>25.39</v>
      </c>
      <c r="I29" s="189">
        <v>6</v>
      </c>
      <c r="J29" s="189">
        <v>0.37</v>
      </c>
      <c r="K29" s="189">
        <v>55.12</v>
      </c>
      <c r="L29" s="189">
        <v>19.260000000000002</v>
      </c>
      <c r="M29" s="189">
        <v>86.25</v>
      </c>
      <c r="N29" s="189">
        <v>0</v>
      </c>
      <c r="O29" s="189">
        <v>0</v>
      </c>
      <c r="P29" s="189">
        <v>0.7</v>
      </c>
      <c r="Q29" s="189">
        <v>4.58</v>
      </c>
    </row>
    <row r="30" spans="1:17" customFormat="1">
      <c r="A30" s="6" t="s">
        <v>452</v>
      </c>
      <c r="B30" s="189">
        <v>10.51</v>
      </c>
      <c r="C30" s="189">
        <v>26.76</v>
      </c>
      <c r="D30" s="189">
        <v>23.77</v>
      </c>
      <c r="E30" s="189">
        <v>7.84</v>
      </c>
      <c r="F30" s="189">
        <v>2.64</v>
      </c>
      <c r="G30" s="189">
        <v>60.83</v>
      </c>
      <c r="H30" s="189">
        <v>25.52</v>
      </c>
      <c r="I30" s="189">
        <v>5.97</v>
      </c>
      <c r="J30" s="189">
        <v>0.28000000000000003</v>
      </c>
      <c r="K30" s="189">
        <v>55.71</v>
      </c>
      <c r="L30" s="189">
        <v>19.14</v>
      </c>
      <c r="M30" s="189">
        <v>87</v>
      </c>
      <c r="N30" s="189">
        <v>0</v>
      </c>
      <c r="O30" s="189">
        <v>0</v>
      </c>
      <c r="P30" s="189">
        <v>0.69</v>
      </c>
      <c r="Q30" s="189">
        <v>4.5999999999999996</v>
      </c>
    </row>
    <row r="31" spans="1:17" customFormat="1">
      <c r="A31" s="6" t="s">
        <v>453</v>
      </c>
      <c r="B31" s="189">
        <v>11.03</v>
      </c>
      <c r="C31" s="189">
        <v>27.33</v>
      </c>
      <c r="D31" s="189">
        <v>24.48</v>
      </c>
      <c r="E31" s="189">
        <v>7.96</v>
      </c>
      <c r="F31" s="189">
        <v>2.52</v>
      </c>
      <c r="G31" s="189">
        <v>61.21</v>
      </c>
      <c r="H31" s="189">
        <v>25.54</v>
      </c>
      <c r="I31" s="189">
        <v>5.93</v>
      </c>
      <c r="J31" s="189">
        <v>0.21</v>
      </c>
      <c r="K31" s="189">
        <v>51.09</v>
      </c>
      <c r="L31" s="189">
        <v>19.059999999999999</v>
      </c>
      <c r="M31" s="189">
        <v>87.55</v>
      </c>
      <c r="N31" s="189">
        <v>0</v>
      </c>
      <c r="O31" s="189">
        <v>0</v>
      </c>
      <c r="P31" s="189">
        <v>0.68</v>
      </c>
      <c r="Q31" s="189">
        <v>4.62</v>
      </c>
    </row>
    <row r="32" spans="1:17" customFormat="1">
      <c r="A32" s="6" t="s">
        <v>454</v>
      </c>
      <c r="B32" s="189">
        <v>11.71</v>
      </c>
      <c r="C32" s="189">
        <v>27.43</v>
      </c>
      <c r="D32" s="189">
        <v>25.08</v>
      </c>
      <c r="E32" s="189">
        <v>8.02</v>
      </c>
      <c r="F32" s="189">
        <v>2.58</v>
      </c>
      <c r="G32" s="189">
        <v>61.21</v>
      </c>
      <c r="H32" s="189">
        <v>25.54</v>
      </c>
      <c r="I32" s="189">
        <v>5.9</v>
      </c>
      <c r="J32" s="189">
        <v>0.3</v>
      </c>
      <c r="K32" s="189">
        <v>38.6</v>
      </c>
      <c r="L32" s="189">
        <v>18.920000000000002</v>
      </c>
      <c r="M32" s="189">
        <v>88.28</v>
      </c>
      <c r="N32" s="189">
        <v>0</v>
      </c>
      <c r="O32" s="189">
        <v>0</v>
      </c>
      <c r="P32" s="189">
        <v>0.68</v>
      </c>
      <c r="Q32" s="189">
        <v>4.6399999999999997</v>
      </c>
    </row>
    <row r="33" spans="1:17" customFormat="1">
      <c r="A33" s="6" t="s">
        <v>455</v>
      </c>
      <c r="B33" s="189">
        <v>12.26</v>
      </c>
      <c r="C33" s="189">
        <v>27.77</v>
      </c>
      <c r="D33" s="189">
        <v>25.69</v>
      </c>
      <c r="E33" s="189">
        <v>7.94</v>
      </c>
      <c r="F33" s="189">
        <v>2.75</v>
      </c>
      <c r="G33" s="189">
        <v>61.21</v>
      </c>
      <c r="H33" s="189">
        <v>25.54</v>
      </c>
      <c r="I33" s="189">
        <v>5.87</v>
      </c>
      <c r="J33" s="189">
        <v>0.14000000000000001</v>
      </c>
      <c r="K33" s="189">
        <v>44.05</v>
      </c>
      <c r="L33" s="189">
        <v>18.87</v>
      </c>
      <c r="M33" s="189">
        <v>88.76</v>
      </c>
      <c r="N33" s="189">
        <v>0</v>
      </c>
      <c r="O33" s="189">
        <v>0</v>
      </c>
      <c r="P33" s="189">
        <v>0.69</v>
      </c>
      <c r="Q33" s="189">
        <v>4.68</v>
      </c>
    </row>
    <row r="34" spans="1:17" customFormat="1">
      <c r="A34" s="6" t="s">
        <v>456</v>
      </c>
      <c r="B34" s="189">
        <v>13.01</v>
      </c>
      <c r="C34" s="189">
        <v>28.08</v>
      </c>
      <c r="D34" s="189">
        <v>26.45</v>
      </c>
      <c r="E34" s="189">
        <v>7.97</v>
      </c>
      <c r="F34" s="189">
        <v>2.64</v>
      </c>
      <c r="G34" s="189">
        <v>60.98</v>
      </c>
      <c r="H34" s="189">
        <v>26.76</v>
      </c>
      <c r="I34" s="189">
        <v>5.87</v>
      </c>
      <c r="J34" s="189">
        <v>0.21</v>
      </c>
      <c r="K34" s="189">
        <v>47.51</v>
      </c>
      <c r="L34" s="189">
        <v>18.78</v>
      </c>
      <c r="M34" s="189">
        <v>89.25</v>
      </c>
      <c r="N34" s="189">
        <v>0</v>
      </c>
      <c r="O34" s="189">
        <v>0</v>
      </c>
      <c r="P34" s="189">
        <v>0.7</v>
      </c>
      <c r="Q34" s="189">
        <v>4.6500000000000004</v>
      </c>
    </row>
    <row r="35" spans="1:17" customFormat="1">
      <c r="A35" s="6" t="s">
        <v>457</v>
      </c>
      <c r="B35" s="189">
        <v>13.71</v>
      </c>
      <c r="C35" s="189">
        <v>25.49</v>
      </c>
      <c r="D35" s="189">
        <v>25.66</v>
      </c>
      <c r="E35" s="189">
        <v>7.67</v>
      </c>
      <c r="F35" s="189">
        <v>2.98</v>
      </c>
      <c r="G35" s="189">
        <v>60.86</v>
      </c>
      <c r="H35" s="189">
        <v>26.99</v>
      </c>
      <c r="I35" s="189">
        <v>5.91</v>
      </c>
      <c r="J35" s="189">
        <v>0.46</v>
      </c>
      <c r="K35" s="189">
        <v>54.17</v>
      </c>
      <c r="L35" s="189">
        <v>18.78</v>
      </c>
      <c r="M35" s="189">
        <v>89.75</v>
      </c>
      <c r="N35" s="189">
        <v>4.9000000000000004</v>
      </c>
      <c r="O35" s="189">
        <v>0</v>
      </c>
      <c r="P35" s="189">
        <v>0.68</v>
      </c>
      <c r="Q35" s="189">
        <v>4.67</v>
      </c>
    </row>
    <row r="36" spans="1:17" customFormat="1">
      <c r="A36" s="6" t="s">
        <v>458</v>
      </c>
      <c r="B36" s="189">
        <v>14.1</v>
      </c>
      <c r="C36" s="189">
        <v>24.62</v>
      </c>
      <c r="D36" s="189">
        <v>25.52</v>
      </c>
      <c r="E36" s="189">
        <v>6.92</v>
      </c>
      <c r="F36" s="189">
        <v>2.87</v>
      </c>
      <c r="G36" s="189">
        <v>60.86</v>
      </c>
      <c r="H36" s="189">
        <v>26.99</v>
      </c>
      <c r="I36" s="189">
        <v>5.98</v>
      </c>
      <c r="J36" s="189">
        <v>0.56999999999999995</v>
      </c>
      <c r="K36" s="189">
        <v>47.41</v>
      </c>
      <c r="L36" s="189">
        <v>18.87</v>
      </c>
      <c r="M36" s="189">
        <v>89.84</v>
      </c>
      <c r="N36" s="189">
        <v>17</v>
      </c>
      <c r="O36" s="189">
        <v>0</v>
      </c>
      <c r="P36" s="189">
        <v>0.67</v>
      </c>
      <c r="Q36" s="189">
        <v>4.67</v>
      </c>
    </row>
    <row r="37" spans="1:17" customFormat="1">
      <c r="A37" s="6" t="s">
        <v>459</v>
      </c>
      <c r="B37" s="189">
        <v>14.18</v>
      </c>
      <c r="C37" s="189">
        <v>24.09</v>
      </c>
      <c r="D37" s="189">
        <v>25.31</v>
      </c>
      <c r="E37" s="189">
        <v>7.62</v>
      </c>
      <c r="F37" s="189">
        <v>2.78</v>
      </c>
      <c r="G37" s="189">
        <v>60.86</v>
      </c>
      <c r="H37" s="189">
        <v>26.99</v>
      </c>
      <c r="I37" s="189">
        <v>6.04</v>
      </c>
      <c r="J37" s="189">
        <v>0.66</v>
      </c>
      <c r="K37" s="189">
        <v>61.64</v>
      </c>
      <c r="L37" s="189">
        <v>19.07</v>
      </c>
      <c r="M37" s="189">
        <v>89.42</v>
      </c>
      <c r="N37" s="189">
        <v>32.799999999999997</v>
      </c>
      <c r="O37" s="189">
        <v>0</v>
      </c>
      <c r="P37" s="189">
        <v>0.69</v>
      </c>
      <c r="Q37" s="189">
        <v>4.67</v>
      </c>
    </row>
    <row r="38" spans="1:17" customFormat="1">
      <c r="A38" s="6" t="s">
        <v>460</v>
      </c>
      <c r="B38" s="189">
        <v>14.29</v>
      </c>
      <c r="C38" s="189">
        <v>24.19</v>
      </c>
      <c r="D38" s="189">
        <v>25.45</v>
      </c>
      <c r="E38" s="189">
        <v>7.65</v>
      </c>
      <c r="F38" s="189">
        <v>2.69</v>
      </c>
      <c r="G38" s="189">
        <v>62.8</v>
      </c>
      <c r="H38" s="189">
        <v>28.5</v>
      </c>
      <c r="I38" s="189">
        <v>6.13</v>
      </c>
      <c r="J38" s="189">
        <v>0.67</v>
      </c>
      <c r="K38" s="189">
        <v>46.11</v>
      </c>
      <c r="L38" s="189">
        <v>19.48</v>
      </c>
      <c r="M38" s="189">
        <v>88.34</v>
      </c>
      <c r="N38" s="189">
        <v>47</v>
      </c>
      <c r="O38" s="189">
        <v>0</v>
      </c>
      <c r="P38" s="189">
        <v>0.7</v>
      </c>
      <c r="Q38" s="189">
        <v>4.68</v>
      </c>
    </row>
    <row r="39" spans="1:17" customFormat="1">
      <c r="A39" s="6" t="s">
        <v>461</v>
      </c>
      <c r="B39" s="189">
        <v>14.71</v>
      </c>
      <c r="C39" s="189">
        <v>24</v>
      </c>
      <c r="D39" s="189">
        <v>25.68</v>
      </c>
      <c r="E39" s="189">
        <v>7.49</v>
      </c>
      <c r="F39" s="189">
        <v>2.76</v>
      </c>
      <c r="G39" s="189">
        <v>63.77</v>
      </c>
      <c r="H39" s="189">
        <v>28.68</v>
      </c>
      <c r="I39" s="189">
        <v>6.2</v>
      </c>
      <c r="J39" s="189">
        <v>0.65</v>
      </c>
      <c r="K39" s="189">
        <v>44.22</v>
      </c>
      <c r="L39" s="189">
        <v>19.95</v>
      </c>
      <c r="M39" s="189">
        <v>87.09</v>
      </c>
      <c r="N39" s="189">
        <v>56.1</v>
      </c>
      <c r="O39" s="189">
        <v>0</v>
      </c>
      <c r="P39" s="189">
        <v>0.71</v>
      </c>
      <c r="Q39" s="189">
        <v>4.66</v>
      </c>
    </row>
    <row r="40" spans="1:17" customFormat="1">
      <c r="A40" s="6" t="s">
        <v>462</v>
      </c>
      <c r="B40" s="189">
        <v>15.03</v>
      </c>
      <c r="C40" s="189">
        <v>24.79</v>
      </c>
      <c r="D40" s="189">
        <v>26.35</v>
      </c>
      <c r="E40" s="189">
        <v>7.47</v>
      </c>
      <c r="F40" s="189">
        <v>2.73</v>
      </c>
      <c r="G40" s="189">
        <v>63.77</v>
      </c>
      <c r="H40" s="189">
        <v>28.68</v>
      </c>
      <c r="I40" s="189">
        <v>6.3</v>
      </c>
      <c r="J40" s="189">
        <v>0.79</v>
      </c>
      <c r="K40" s="189">
        <v>45.33</v>
      </c>
      <c r="L40" s="189">
        <v>20.399999999999999</v>
      </c>
      <c r="M40" s="189">
        <v>84.86</v>
      </c>
      <c r="N40" s="189">
        <v>100.7</v>
      </c>
      <c r="O40" s="189">
        <v>0</v>
      </c>
      <c r="P40" s="189">
        <v>0.72</v>
      </c>
      <c r="Q40" s="189">
        <v>4.68</v>
      </c>
    </row>
    <row r="41" spans="1:17" customFormat="1">
      <c r="A41" s="6" t="s">
        <v>463</v>
      </c>
      <c r="B41" s="189">
        <v>15.37</v>
      </c>
      <c r="C41" s="189">
        <v>23.08</v>
      </c>
      <c r="D41" s="189">
        <v>25.74</v>
      </c>
      <c r="E41" s="189">
        <v>7.34</v>
      </c>
      <c r="F41" s="189">
        <v>2.78</v>
      </c>
      <c r="G41" s="189">
        <v>63.77</v>
      </c>
      <c r="H41" s="189">
        <v>28.68</v>
      </c>
      <c r="I41" s="189">
        <v>6.38</v>
      </c>
      <c r="J41" s="189">
        <v>0.7</v>
      </c>
      <c r="K41" s="189">
        <v>44.83</v>
      </c>
      <c r="L41" s="189">
        <v>20.87</v>
      </c>
      <c r="M41" s="189">
        <v>83.17</v>
      </c>
      <c r="N41" s="189">
        <v>143.4</v>
      </c>
      <c r="O41" s="189">
        <v>0</v>
      </c>
      <c r="P41" s="189">
        <v>0.72</v>
      </c>
      <c r="Q41" s="189">
        <v>4.6900000000000004</v>
      </c>
    </row>
    <row r="42" spans="1:17" customFormat="1">
      <c r="A42" s="6" t="s">
        <v>464</v>
      </c>
      <c r="B42" s="189">
        <v>15.42</v>
      </c>
      <c r="C42" s="189">
        <v>24.29</v>
      </c>
      <c r="D42" s="189">
        <v>26.4</v>
      </c>
      <c r="E42" s="189">
        <v>7.71</v>
      </c>
      <c r="F42" s="189">
        <v>2.68</v>
      </c>
      <c r="G42" s="189">
        <v>66.87</v>
      </c>
      <c r="H42" s="189">
        <v>28.37</v>
      </c>
      <c r="I42" s="189">
        <v>6.44</v>
      </c>
      <c r="J42" s="189">
        <v>0.55000000000000004</v>
      </c>
      <c r="K42" s="189">
        <v>50.89</v>
      </c>
      <c r="L42" s="189">
        <v>21.74</v>
      </c>
      <c r="M42" s="189">
        <v>80.06</v>
      </c>
      <c r="N42" s="189">
        <v>179.3</v>
      </c>
      <c r="O42" s="189">
        <v>0</v>
      </c>
      <c r="P42" s="189">
        <v>0.74</v>
      </c>
      <c r="Q42" s="189">
        <v>4.7</v>
      </c>
    </row>
    <row r="43" spans="1:17" customFormat="1">
      <c r="A43" s="6" t="s">
        <v>465</v>
      </c>
      <c r="B43" s="189">
        <v>15.81</v>
      </c>
      <c r="C43" s="189">
        <v>23.49</v>
      </c>
      <c r="D43" s="189">
        <v>26.3</v>
      </c>
      <c r="E43" s="189">
        <v>8.1300000000000008</v>
      </c>
      <c r="F43" s="189">
        <v>2.94</v>
      </c>
      <c r="G43" s="189">
        <v>68.41</v>
      </c>
      <c r="H43" s="189">
        <v>28.34</v>
      </c>
      <c r="I43" s="189">
        <v>6.48</v>
      </c>
      <c r="J43" s="189">
        <v>0.57999999999999996</v>
      </c>
      <c r="K43" s="189">
        <v>49.6</v>
      </c>
      <c r="L43" s="189">
        <v>22.64</v>
      </c>
      <c r="M43" s="189">
        <v>76.430000000000007</v>
      </c>
      <c r="N43" s="189">
        <v>206.3</v>
      </c>
      <c r="O43" s="189">
        <v>0</v>
      </c>
      <c r="P43" s="189">
        <v>0.75</v>
      </c>
      <c r="Q43" s="189">
        <v>4.72</v>
      </c>
    </row>
    <row r="44" spans="1:17" customFormat="1">
      <c r="A44" s="6" t="s">
        <v>466</v>
      </c>
      <c r="B44" s="189">
        <v>15.9</v>
      </c>
      <c r="C44" s="189">
        <v>23.16</v>
      </c>
      <c r="D44" s="189">
        <v>26.21</v>
      </c>
      <c r="E44" s="189">
        <v>7.35</v>
      </c>
      <c r="F44" s="189">
        <v>2.91</v>
      </c>
      <c r="G44" s="189">
        <v>68.41</v>
      </c>
      <c r="H44" s="189">
        <v>28.34</v>
      </c>
      <c r="I44" s="189">
        <v>6.54</v>
      </c>
      <c r="J44" s="189">
        <v>0.71</v>
      </c>
      <c r="K44" s="189">
        <v>48.14</v>
      </c>
      <c r="L44" s="189">
        <v>23.31</v>
      </c>
      <c r="M44" s="189">
        <v>73.55</v>
      </c>
      <c r="N44" s="189">
        <v>178.2</v>
      </c>
      <c r="O44" s="189">
        <v>0</v>
      </c>
      <c r="P44" s="189">
        <v>0.75</v>
      </c>
      <c r="Q44" s="189">
        <v>4.7</v>
      </c>
    </row>
    <row r="45" spans="1:17" customFormat="1">
      <c r="A45" s="6" t="s">
        <v>467</v>
      </c>
      <c r="B45" s="189">
        <v>15.78</v>
      </c>
      <c r="C45" s="189">
        <v>23</v>
      </c>
      <c r="D45" s="189">
        <v>26.02</v>
      </c>
      <c r="E45" s="189">
        <v>7.4</v>
      </c>
      <c r="F45" s="189">
        <v>2.94</v>
      </c>
      <c r="G45" s="189">
        <v>68.41</v>
      </c>
      <c r="H45" s="189">
        <v>28.34</v>
      </c>
      <c r="I45" s="189">
        <v>6.62</v>
      </c>
      <c r="J45" s="189">
        <v>0.49</v>
      </c>
      <c r="K45" s="189">
        <v>63.22</v>
      </c>
      <c r="L45" s="189">
        <v>24.18</v>
      </c>
      <c r="M45" s="189">
        <v>70.040000000000006</v>
      </c>
      <c r="N45" s="189">
        <v>146.19999999999999</v>
      </c>
      <c r="O45" s="189">
        <v>0</v>
      </c>
      <c r="P45" s="189">
        <v>0.76</v>
      </c>
      <c r="Q45" s="189">
        <v>4.71</v>
      </c>
    </row>
    <row r="46" spans="1:17" customFormat="1">
      <c r="A46" s="6" t="s">
        <v>468</v>
      </c>
      <c r="B46" s="189">
        <v>15.45</v>
      </c>
      <c r="C46" s="189">
        <v>21.48</v>
      </c>
      <c r="D46" s="189">
        <v>24.96</v>
      </c>
      <c r="E46" s="189">
        <v>7.38</v>
      </c>
      <c r="F46" s="189">
        <v>3.17</v>
      </c>
      <c r="G46" s="189">
        <v>74.31</v>
      </c>
      <c r="H46" s="189">
        <v>31.32</v>
      </c>
      <c r="I46" s="189">
        <v>6.74</v>
      </c>
      <c r="J46" s="189">
        <v>0.71</v>
      </c>
      <c r="K46" s="189">
        <v>44.19</v>
      </c>
      <c r="L46" s="189">
        <v>24.4</v>
      </c>
      <c r="M46" s="189">
        <v>69.45</v>
      </c>
      <c r="N46" s="189">
        <v>132.9</v>
      </c>
      <c r="O46" s="189">
        <v>0</v>
      </c>
      <c r="P46" s="189">
        <v>0.76</v>
      </c>
      <c r="Q46" s="189">
        <v>4.7</v>
      </c>
    </row>
    <row r="47" spans="1:17" customFormat="1">
      <c r="A47" s="6" t="s">
        <v>469</v>
      </c>
      <c r="B47" s="189">
        <v>15.16</v>
      </c>
      <c r="C47" s="189">
        <v>21.31</v>
      </c>
      <c r="D47" s="189">
        <v>24.64</v>
      </c>
      <c r="E47" s="189">
        <v>7.92</v>
      </c>
      <c r="F47" s="189">
        <v>3.13</v>
      </c>
      <c r="G47" s="189">
        <v>77.260000000000005</v>
      </c>
      <c r="H47" s="189">
        <v>31.67</v>
      </c>
      <c r="I47" s="189">
        <v>6.87</v>
      </c>
      <c r="J47" s="189">
        <v>0.63</v>
      </c>
      <c r="K47" s="189">
        <v>51.45</v>
      </c>
      <c r="L47" s="189">
        <v>24.95</v>
      </c>
      <c r="M47" s="189">
        <v>67.290000000000006</v>
      </c>
      <c r="N47" s="189">
        <v>228.2</v>
      </c>
      <c r="O47" s="189">
        <v>0</v>
      </c>
      <c r="P47" s="189">
        <v>0.76</v>
      </c>
      <c r="Q47" s="189">
        <v>4.68</v>
      </c>
    </row>
    <row r="48" spans="1:17" customFormat="1">
      <c r="A48" s="6" t="s">
        <v>470</v>
      </c>
      <c r="B48" s="189">
        <v>14.7</v>
      </c>
      <c r="C48" s="189">
        <v>22.13</v>
      </c>
      <c r="D48" s="189">
        <v>24.7</v>
      </c>
      <c r="E48" s="189">
        <v>7.68</v>
      </c>
      <c r="F48" s="189">
        <v>3.17</v>
      </c>
      <c r="G48" s="189">
        <v>77.260000000000005</v>
      </c>
      <c r="H48" s="189">
        <v>31.67</v>
      </c>
      <c r="I48" s="189">
        <v>6.97</v>
      </c>
      <c r="J48" s="189">
        <v>0.45</v>
      </c>
      <c r="K48" s="189">
        <v>58.86</v>
      </c>
      <c r="L48" s="189">
        <v>25.63</v>
      </c>
      <c r="M48" s="189">
        <v>65.069999999999993</v>
      </c>
      <c r="N48" s="189">
        <v>277.60000000000002</v>
      </c>
      <c r="O48" s="189">
        <v>0</v>
      </c>
      <c r="P48" s="189">
        <v>0.78</v>
      </c>
      <c r="Q48" s="189">
        <v>4.6500000000000004</v>
      </c>
    </row>
    <row r="49" spans="1:17" customFormat="1">
      <c r="A49" s="6" t="s">
        <v>471</v>
      </c>
      <c r="B49" s="189">
        <v>14.25</v>
      </c>
      <c r="C49" s="189">
        <v>23.71</v>
      </c>
      <c r="D49" s="189">
        <v>25.16</v>
      </c>
      <c r="E49" s="189">
        <v>7.1</v>
      </c>
      <c r="F49" s="189">
        <v>3.1</v>
      </c>
      <c r="G49" s="189">
        <v>77.260000000000005</v>
      </c>
      <c r="H49" s="189">
        <v>31.67</v>
      </c>
      <c r="I49" s="189">
        <v>7.07</v>
      </c>
      <c r="J49" s="189">
        <v>0.45</v>
      </c>
      <c r="K49" s="189">
        <v>73.66</v>
      </c>
      <c r="L49" s="189">
        <v>26.33</v>
      </c>
      <c r="M49" s="189">
        <v>61.48</v>
      </c>
      <c r="N49" s="189">
        <v>364.2</v>
      </c>
      <c r="O49" s="189">
        <v>0</v>
      </c>
      <c r="P49" s="189">
        <v>0.8</v>
      </c>
      <c r="Q49" s="189">
        <v>4.6500000000000004</v>
      </c>
    </row>
    <row r="50" spans="1:17" customFormat="1">
      <c r="A50" s="6" t="s">
        <v>472</v>
      </c>
      <c r="B50" s="189">
        <v>13.41</v>
      </c>
      <c r="C50" s="189">
        <v>22.99</v>
      </c>
      <c r="D50" s="189">
        <v>24.11</v>
      </c>
      <c r="E50" s="189">
        <v>8.83</v>
      </c>
      <c r="F50" s="189">
        <v>3.67</v>
      </c>
      <c r="G50" s="189">
        <v>79.48</v>
      </c>
      <c r="H50" s="189">
        <v>35.67</v>
      </c>
      <c r="I50" s="189">
        <v>7.17</v>
      </c>
      <c r="J50" s="189">
        <v>0.61</v>
      </c>
      <c r="K50" s="189">
        <v>60.68</v>
      </c>
      <c r="L50" s="189">
        <v>26.36</v>
      </c>
      <c r="M50" s="189">
        <v>61.4</v>
      </c>
      <c r="N50" s="189">
        <v>337.3</v>
      </c>
      <c r="O50" s="189">
        <v>0</v>
      </c>
      <c r="P50" s="189">
        <v>0.81</v>
      </c>
      <c r="Q50" s="189">
        <v>4.62</v>
      </c>
    </row>
    <row r="51" spans="1:17" customFormat="1">
      <c r="A51" s="6" t="s">
        <v>473</v>
      </c>
      <c r="B51" s="189">
        <v>12.85</v>
      </c>
      <c r="C51" s="189">
        <v>23.47</v>
      </c>
      <c r="D51" s="189">
        <v>23.91</v>
      </c>
      <c r="E51" s="189">
        <v>8.6199999999999992</v>
      </c>
      <c r="F51" s="189">
        <v>3.34</v>
      </c>
      <c r="G51" s="189">
        <v>80.59</v>
      </c>
      <c r="H51" s="189">
        <v>36.15</v>
      </c>
      <c r="I51" s="189">
        <v>7.22</v>
      </c>
      <c r="J51" s="189">
        <v>0.43</v>
      </c>
      <c r="K51" s="189">
        <v>67.52</v>
      </c>
      <c r="L51" s="189">
        <v>26.69</v>
      </c>
      <c r="M51" s="189">
        <v>61.11</v>
      </c>
      <c r="N51" s="189">
        <v>286.89999999999998</v>
      </c>
      <c r="O51" s="189">
        <v>0</v>
      </c>
      <c r="P51" s="189">
        <v>0.81</v>
      </c>
      <c r="Q51" s="189">
        <v>4.6100000000000003</v>
      </c>
    </row>
    <row r="52" spans="1:17" customFormat="1">
      <c r="A52" s="6" t="s">
        <v>474</v>
      </c>
      <c r="B52" s="189">
        <v>12.23</v>
      </c>
      <c r="C52" s="189">
        <v>22.12</v>
      </c>
      <c r="D52" s="189">
        <v>22.72</v>
      </c>
      <c r="E52" s="189">
        <v>8.6999999999999993</v>
      </c>
      <c r="F52" s="189">
        <v>3.65</v>
      </c>
      <c r="G52" s="189">
        <v>80.59</v>
      </c>
      <c r="H52" s="189">
        <v>36.15</v>
      </c>
      <c r="I52" s="189">
        <v>7.24</v>
      </c>
      <c r="J52" s="189">
        <v>0.48</v>
      </c>
      <c r="K52" s="189">
        <v>65.64</v>
      </c>
      <c r="L52" s="189">
        <v>27.31</v>
      </c>
      <c r="M52" s="189">
        <v>58.52</v>
      </c>
      <c r="N52" s="189">
        <v>398.6</v>
      </c>
      <c r="O52" s="189">
        <v>0</v>
      </c>
      <c r="P52" s="189">
        <v>0.81</v>
      </c>
      <c r="Q52" s="189">
        <v>4.5999999999999996</v>
      </c>
    </row>
    <row r="53" spans="1:17" customFormat="1">
      <c r="A53" s="6" t="s">
        <v>475</v>
      </c>
      <c r="B53" s="189">
        <v>11.09</v>
      </c>
      <c r="C53" s="189">
        <v>22.28</v>
      </c>
      <c r="D53" s="189">
        <v>21.89</v>
      </c>
      <c r="E53" s="189">
        <v>9.06</v>
      </c>
      <c r="F53" s="189">
        <v>5.44</v>
      </c>
      <c r="G53" s="189">
        <v>80.59</v>
      </c>
      <c r="H53" s="189">
        <v>36.15</v>
      </c>
      <c r="I53" s="189">
        <v>7.23</v>
      </c>
      <c r="J53" s="189">
        <v>0.56999999999999995</v>
      </c>
      <c r="K53" s="189">
        <v>58.76</v>
      </c>
      <c r="L53" s="189">
        <v>27.66</v>
      </c>
      <c r="M53" s="189">
        <v>57.15</v>
      </c>
      <c r="N53" s="189">
        <v>436.3</v>
      </c>
      <c r="O53" s="189">
        <v>0</v>
      </c>
      <c r="P53" s="189">
        <v>0.81</v>
      </c>
      <c r="Q53" s="189">
        <v>4.59</v>
      </c>
    </row>
    <row r="54" spans="1:17" customFormat="1">
      <c r="A54" s="6" t="s">
        <v>476</v>
      </c>
      <c r="B54" s="189">
        <v>9.83</v>
      </c>
      <c r="C54" s="189">
        <v>23.13</v>
      </c>
      <c r="D54" s="189">
        <v>21.32</v>
      </c>
      <c r="E54" s="189">
        <v>9.2200000000000006</v>
      </c>
      <c r="F54" s="189">
        <v>5.25</v>
      </c>
      <c r="G54" s="189">
        <v>79.599999999999994</v>
      </c>
      <c r="H54" s="189">
        <v>34.29</v>
      </c>
      <c r="I54" s="189">
        <v>7.18</v>
      </c>
      <c r="J54" s="189">
        <v>0.51</v>
      </c>
      <c r="K54" s="189">
        <v>64.34</v>
      </c>
      <c r="L54" s="189">
        <v>28.02</v>
      </c>
      <c r="M54" s="189">
        <v>55.74</v>
      </c>
      <c r="N54" s="189">
        <v>421.9</v>
      </c>
      <c r="O54" s="189">
        <v>0</v>
      </c>
      <c r="P54" s="189">
        <v>0.81</v>
      </c>
      <c r="Q54" s="189">
        <v>4.53</v>
      </c>
    </row>
    <row r="55" spans="1:17" customFormat="1">
      <c r="A55" s="6" t="s">
        <v>477</v>
      </c>
      <c r="B55" s="189">
        <v>8.75</v>
      </c>
      <c r="C55" s="189">
        <v>23.47</v>
      </c>
      <c r="D55" s="189">
        <v>20.63</v>
      </c>
      <c r="E55" s="189">
        <v>9.35</v>
      </c>
      <c r="F55" s="189">
        <v>5.04</v>
      </c>
      <c r="G55" s="189">
        <v>79.099999999999994</v>
      </c>
      <c r="H55" s="189">
        <v>34.07</v>
      </c>
      <c r="I55" s="189">
        <v>7.11</v>
      </c>
      <c r="J55" s="189">
        <v>0.48</v>
      </c>
      <c r="K55" s="189">
        <v>86.01</v>
      </c>
      <c r="L55" s="189">
        <v>28.38</v>
      </c>
      <c r="M55" s="189">
        <v>54.08</v>
      </c>
      <c r="N55" s="189">
        <v>454.5</v>
      </c>
      <c r="O55" s="189">
        <v>0</v>
      </c>
      <c r="P55" s="189">
        <v>0.82</v>
      </c>
      <c r="Q55" s="189">
        <v>4.51</v>
      </c>
    </row>
    <row r="56" spans="1:17" customFormat="1">
      <c r="A56" s="6" t="s">
        <v>478</v>
      </c>
      <c r="B56" s="189">
        <v>7.67</v>
      </c>
      <c r="C56" s="189">
        <v>23.79</v>
      </c>
      <c r="D56" s="189">
        <v>19.940000000000001</v>
      </c>
      <c r="E56" s="189">
        <v>10.14</v>
      </c>
      <c r="F56" s="189">
        <v>4.95</v>
      </c>
      <c r="G56" s="189">
        <v>79.099999999999994</v>
      </c>
      <c r="H56" s="189">
        <v>34.07</v>
      </c>
      <c r="I56" s="189">
        <v>7.02</v>
      </c>
      <c r="J56" s="189">
        <v>0.59</v>
      </c>
      <c r="K56" s="189">
        <v>61.85</v>
      </c>
      <c r="L56" s="189">
        <v>28.6</v>
      </c>
      <c r="M56" s="189">
        <v>52.47</v>
      </c>
      <c r="N56" s="189">
        <v>392.1</v>
      </c>
      <c r="O56" s="189">
        <v>0</v>
      </c>
      <c r="P56" s="189">
        <v>0.82</v>
      </c>
      <c r="Q56" s="189">
        <v>4.5</v>
      </c>
    </row>
    <row r="57" spans="1:17" customFormat="1">
      <c r="A57" s="6" t="s">
        <v>479</v>
      </c>
      <c r="B57" s="189">
        <v>6.91</v>
      </c>
      <c r="C57" s="189">
        <v>23.89</v>
      </c>
      <c r="D57" s="189">
        <v>19.37</v>
      </c>
      <c r="E57" s="189">
        <v>10.029999999999999</v>
      </c>
      <c r="F57" s="189">
        <v>5.2</v>
      </c>
      <c r="G57" s="189">
        <v>79.099999999999994</v>
      </c>
      <c r="H57" s="189">
        <v>34.07</v>
      </c>
      <c r="I57" s="189">
        <v>6.93</v>
      </c>
      <c r="J57" s="189">
        <v>0.33</v>
      </c>
      <c r="K57" s="189">
        <v>96.11</v>
      </c>
      <c r="L57" s="189">
        <v>28.93</v>
      </c>
      <c r="M57" s="189">
        <v>51.3</v>
      </c>
      <c r="N57" s="189">
        <v>415.9</v>
      </c>
      <c r="O57" s="189">
        <v>0</v>
      </c>
      <c r="P57" s="189">
        <v>0.8</v>
      </c>
      <c r="Q57" s="189">
        <v>4.46</v>
      </c>
    </row>
    <row r="58" spans="1:17" customFormat="1">
      <c r="A58" s="6" t="s">
        <v>480</v>
      </c>
      <c r="B58" s="189">
        <v>6.38</v>
      </c>
      <c r="C58" s="189">
        <v>24.06</v>
      </c>
      <c r="D58" s="189">
        <v>19.04</v>
      </c>
      <c r="E58" s="189">
        <v>9.9600000000000009</v>
      </c>
      <c r="F58" s="189">
        <v>5.95</v>
      </c>
      <c r="G58" s="189">
        <v>73.42</v>
      </c>
      <c r="H58" s="189">
        <v>33.49</v>
      </c>
      <c r="I58" s="189">
        <v>6.84</v>
      </c>
      <c r="J58" s="189">
        <v>0.38</v>
      </c>
      <c r="K58" s="189">
        <v>81.96</v>
      </c>
      <c r="L58" s="189">
        <v>29.28</v>
      </c>
      <c r="M58" s="189">
        <v>50.22</v>
      </c>
      <c r="N58" s="189">
        <v>446.6</v>
      </c>
      <c r="O58" s="189">
        <v>0</v>
      </c>
      <c r="P58" s="189">
        <v>0.81</v>
      </c>
      <c r="Q58" s="189">
        <v>4.42</v>
      </c>
    </row>
    <row r="59" spans="1:17" customFormat="1">
      <c r="A59" s="6" t="s">
        <v>481</v>
      </c>
      <c r="B59" s="189">
        <v>6.03</v>
      </c>
      <c r="C59" s="189">
        <v>24.03</v>
      </c>
      <c r="D59" s="189">
        <v>18.739999999999998</v>
      </c>
      <c r="E59" s="189">
        <v>9.3699999999999992</v>
      </c>
      <c r="F59" s="189">
        <v>5.31</v>
      </c>
      <c r="G59" s="189">
        <v>70.58</v>
      </c>
      <c r="H59" s="189">
        <v>33.380000000000003</v>
      </c>
      <c r="I59" s="189">
        <v>6.73</v>
      </c>
      <c r="J59" s="189">
        <v>0.56000000000000005</v>
      </c>
      <c r="K59" s="189">
        <v>71.59</v>
      </c>
      <c r="L59" s="189">
        <v>29.5</v>
      </c>
      <c r="M59" s="189">
        <v>48.34</v>
      </c>
      <c r="N59" s="189">
        <v>483.4</v>
      </c>
      <c r="O59" s="189">
        <v>0</v>
      </c>
      <c r="P59" s="189">
        <v>0.79</v>
      </c>
      <c r="Q59" s="189">
        <v>4.42</v>
      </c>
    </row>
    <row r="60" spans="1:17" customFormat="1">
      <c r="A60" s="6" t="s">
        <v>482</v>
      </c>
      <c r="B60" s="189">
        <v>5.89</v>
      </c>
      <c r="C60" s="189">
        <v>23.59</v>
      </c>
      <c r="D60" s="189">
        <v>18.399999999999999</v>
      </c>
      <c r="E60" s="189">
        <v>9.94</v>
      </c>
      <c r="F60" s="189">
        <v>5.68</v>
      </c>
      <c r="G60" s="189">
        <v>70.58</v>
      </c>
      <c r="H60" s="189">
        <v>33.380000000000003</v>
      </c>
      <c r="I60" s="189">
        <v>6.65</v>
      </c>
      <c r="J60" s="189">
        <v>0.67</v>
      </c>
      <c r="K60" s="189">
        <v>56.55</v>
      </c>
      <c r="L60" s="189">
        <v>29.12</v>
      </c>
      <c r="M60" s="189">
        <v>49.95</v>
      </c>
      <c r="N60" s="189">
        <v>423.2</v>
      </c>
      <c r="O60" s="189">
        <v>0</v>
      </c>
      <c r="P60" s="189">
        <v>0.78</v>
      </c>
      <c r="Q60" s="189">
        <v>4.43</v>
      </c>
    </row>
    <row r="61" spans="1:17" customFormat="1">
      <c r="A61" s="6" t="s">
        <v>483</v>
      </c>
      <c r="B61" s="189">
        <v>5.77</v>
      </c>
      <c r="C61" s="189">
        <v>23.74</v>
      </c>
      <c r="D61" s="189">
        <v>18.38</v>
      </c>
      <c r="E61" s="189">
        <v>9.3000000000000007</v>
      </c>
      <c r="F61" s="189">
        <v>5.18</v>
      </c>
      <c r="G61" s="189">
        <v>70.58</v>
      </c>
      <c r="H61" s="189">
        <v>33.380000000000003</v>
      </c>
      <c r="I61" s="189">
        <v>6.56</v>
      </c>
      <c r="J61" s="189">
        <v>0.45</v>
      </c>
      <c r="K61" s="189">
        <v>73.08</v>
      </c>
      <c r="L61" s="189">
        <v>29.61</v>
      </c>
      <c r="M61" s="189">
        <v>47.49</v>
      </c>
      <c r="N61" s="189">
        <v>454.5</v>
      </c>
      <c r="O61" s="189">
        <v>0</v>
      </c>
      <c r="P61" s="189">
        <v>0.78</v>
      </c>
      <c r="Q61" s="189">
        <v>4.41</v>
      </c>
    </row>
    <row r="62" spans="1:17" customFormat="1">
      <c r="A62" s="6" t="s">
        <v>484</v>
      </c>
      <c r="B62" s="189">
        <v>5.68</v>
      </c>
      <c r="C62" s="189">
        <v>23.62</v>
      </c>
      <c r="D62" s="189">
        <v>18.25</v>
      </c>
      <c r="E62" s="189">
        <v>9.76</v>
      </c>
      <c r="F62" s="189">
        <v>6.66</v>
      </c>
      <c r="G62" s="189">
        <v>68.290000000000006</v>
      </c>
      <c r="H62" s="189">
        <v>31.98</v>
      </c>
      <c r="I62" s="189">
        <v>6.48</v>
      </c>
      <c r="J62" s="189">
        <v>0.66</v>
      </c>
      <c r="K62" s="189">
        <v>59.32</v>
      </c>
      <c r="L62" s="189">
        <v>29.91</v>
      </c>
      <c r="M62" s="189">
        <v>45.79</v>
      </c>
      <c r="N62" s="189">
        <v>444.8</v>
      </c>
      <c r="O62" s="189">
        <v>0</v>
      </c>
      <c r="P62" s="189">
        <v>0.76</v>
      </c>
      <c r="Q62" s="189">
        <v>4.4000000000000004</v>
      </c>
    </row>
    <row r="63" spans="1:17" customFormat="1">
      <c r="A63" s="6" t="s">
        <v>485</v>
      </c>
      <c r="B63" s="189">
        <v>5.6</v>
      </c>
      <c r="C63" s="189">
        <v>23.47</v>
      </c>
      <c r="D63" s="189">
        <v>18.11</v>
      </c>
      <c r="E63" s="189">
        <v>10.029999999999999</v>
      </c>
      <c r="F63" s="189">
        <v>6.68</v>
      </c>
      <c r="G63" s="189">
        <v>67.150000000000006</v>
      </c>
      <c r="H63" s="189">
        <v>31.81</v>
      </c>
      <c r="I63" s="189">
        <v>6.37</v>
      </c>
      <c r="J63" s="189">
        <v>0.71</v>
      </c>
      <c r="K63" s="189">
        <v>54.28</v>
      </c>
      <c r="L63" s="189">
        <v>29.8</v>
      </c>
      <c r="M63" s="189">
        <v>45.47</v>
      </c>
      <c r="N63" s="189">
        <v>347.8</v>
      </c>
      <c r="O63" s="189">
        <v>0</v>
      </c>
      <c r="P63" s="189">
        <v>0.75</v>
      </c>
      <c r="Q63" s="189">
        <v>4.41</v>
      </c>
    </row>
    <row r="64" spans="1:17" customFormat="1">
      <c r="A64" s="6" t="s">
        <v>486</v>
      </c>
      <c r="B64" s="189">
        <v>5.58</v>
      </c>
      <c r="C64" s="189">
        <v>23.32</v>
      </c>
      <c r="D64" s="189">
        <v>18.010000000000002</v>
      </c>
      <c r="E64" s="189">
        <v>9.56</v>
      </c>
      <c r="F64" s="189">
        <v>6.08</v>
      </c>
      <c r="G64" s="189">
        <v>67.150000000000006</v>
      </c>
      <c r="H64" s="189">
        <v>31.81</v>
      </c>
      <c r="I64" s="189">
        <v>6.26</v>
      </c>
      <c r="J64" s="189">
        <v>0.37</v>
      </c>
      <c r="K64" s="189">
        <v>85.23</v>
      </c>
      <c r="L64" s="189">
        <v>29.82</v>
      </c>
      <c r="M64" s="189">
        <v>43.36</v>
      </c>
      <c r="N64" s="189">
        <v>298.10000000000002</v>
      </c>
      <c r="O64" s="189">
        <v>0</v>
      </c>
      <c r="P64" s="189">
        <v>0.74</v>
      </c>
      <c r="Q64" s="189">
        <v>4.41</v>
      </c>
    </row>
    <row r="65" spans="1:17" customFormat="1">
      <c r="A65" s="6" t="s">
        <v>487</v>
      </c>
      <c r="B65" s="189">
        <v>5.48</v>
      </c>
      <c r="C65" s="189">
        <v>23.19</v>
      </c>
      <c r="D65" s="189">
        <v>17.86</v>
      </c>
      <c r="E65" s="189">
        <v>9.2200000000000006</v>
      </c>
      <c r="F65" s="189">
        <v>5.42</v>
      </c>
      <c r="G65" s="189">
        <v>67.150000000000006</v>
      </c>
      <c r="H65" s="189">
        <v>31.81</v>
      </c>
      <c r="I65" s="189">
        <v>6.16</v>
      </c>
      <c r="J65" s="189">
        <v>0.23</v>
      </c>
      <c r="K65" s="189">
        <v>110.8</v>
      </c>
      <c r="L65" s="189">
        <v>29.83</v>
      </c>
      <c r="M65" s="189">
        <v>42.2</v>
      </c>
      <c r="N65" s="189">
        <v>179.4</v>
      </c>
      <c r="O65" s="189">
        <v>0</v>
      </c>
      <c r="P65" s="189">
        <v>0.7</v>
      </c>
      <c r="Q65" s="189">
        <v>4.3899999999999997</v>
      </c>
    </row>
    <row r="66" spans="1:17" customFormat="1">
      <c r="A66" s="6" t="s">
        <v>488</v>
      </c>
      <c r="B66" s="189">
        <v>5.54</v>
      </c>
      <c r="C66" s="189">
        <v>22.89</v>
      </c>
      <c r="D66" s="189">
        <v>17.75</v>
      </c>
      <c r="E66" s="189">
        <v>9.19</v>
      </c>
      <c r="F66" s="189">
        <v>5.13</v>
      </c>
      <c r="G66" s="189">
        <v>60.44</v>
      </c>
      <c r="H66" s="189">
        <v>24.57</v>
      </c>
      <c r="I66" s="189">
        <v>6.06</v>
      </c>
      <c r="J66" s="189">
        <v>0.2</v>
      </c>
      <c r="K66" s="189">
        <v>143.52000000000001</v>
      </c>
      <c r="L66" s="189">
        <v>29.66</v>
      </c>
      <c r="M66" s="189">
        <v>44.48</v>
      </c>
      <c r="N66" s="189">
        <v>154.5</v>
      </c>
      <c r="O66" s="189">
        <v>0</v>
      </c>
      <c r="P66" s="189">
        <v>0.72</v>
      </c>
      <c r="Q66" s="189">
        <v>4.3899999999999997</v>
      </c>
    </row>
    <row r="67" spans="1:17" customFormat="1">
      <c r="A67" s="6" t="s">
        <v>489</v>
      </c>
      <c r="B67" s="189">
        <v>5.58</v>
      </c>
      <c r="C67" s="189">
        <v>22.2</v>
      </c>
      <c r="D67" s="189">
        <v>17.420000000000002</v>
      </c>
      <c r="E67" s="189">
        <v>9.31</v>
      </c>
      <c r="F67" s="189">
        <v>5.04</v>
      </c>
      <c r="G67" s="189">
        <v>57.09</v>
      </c>
      <c r="H67" s="189">
        <v>23.71</v>
      </c>
      <c r="I67" s="189">
        <v>5.94</v>
      </c>
      <c r="J67" s="189">
        <v>0.22</v>
      </c>
      <c r="K67" s="189">
        <v>126.45</v>
      </c>
      <c r="L67" s="189">
        <v>29.45</v>
      </c>
      <c r="M67" s="189">
        <v>45.51</v>
      </c>
      <c r="N67" s="189">
        <v>117.6</v>
      </c>
      <c r="O67" s="189">
        <v>0</v>
      </c>
      <c r="P67" s="189">
        <v>0.71</v>
      </c>
      <c r="Q67" s="189">
        <v>4.41</v>
      </c>
    </row>
    <row r="68" spans="1:17" customFormat="1">
      <c r="A68" s="6" t="s">
        <v>490</v>
      </c>
      <c r="B68" s="189">
        <v>5.61</v>
      </c>
      <c r="C68" s="189">
        <v>22.23</v>
      </c>
      <c r="D68" s="189">
        <v>17.46</v>
      </c>
      <c r="E68" s="189">
        <v>8.91</v>
      </c>
      <c r="F68" s="189">
        <v>5.48</v>
      </c>
      <c r="G68" s="189">
        <v>57.09</v>
      </c>
      <c r="H68" s="189">
        <v>23.71</v>
      </c>
      <c r="I68" s="189">
        <v>5.82</v>
      </c>
      <c r="J68" s="189">
        <v>0.27</v>
      </c>
      <c r="K68" s="189">
        <v>139.54</v>
      </c>
      <c r="L68" s="189">
        <v>29.35</v>
      </c>
      <c r="M68" s="189">
        <v>46.23</v>
      </c>
      <c r="N68" s="189">
        <v>109.6</v>
      </c>
      <c r="O68" s="189">
        <v>0</v>
      </c>
      <c r="P68" s="189">
        <v>0.7</v>
      </c>
      <c r="Q68" s="189">
        <v>4.41</v>
      </c>
    </row>
    <row r="69" spans="1:17" customFormat="1">
      <c r="A69" s="6" t="s">
        <v>491</v>
      </c>
      <c r="B69" s="189">
        <v>5.72</v>
      </c>
      <c r="C69" s="189">
        <v>22.19</v>
      </c>
      <c r="D69" s="189">
        <v>17.54</v>
      </c>
      <c r="E69" s="189">
        <v>9.35</v>
      </c>
      <c r="F69" s="189">
        <v>5.6</v>
      </c>
      <c r="G69" s="189">
        <v>57.09</v>
      </c>
      <c r="H69" s="189">
        <v>23.71</v>
      </c>
      <c r="I69" s="189">
        <v>5.73</v>
      </c>
      <c r="J69" s="189">
        <v>0.33</v>
      </c>
      <c r="K69" s="189">
        <v>67.75</v>
      </c>
      <c r="L69" s="189">
        <v>29.15</v>
      </c>
      <c r="M69" s="189">
        <v>46.7</v>
      </c>
      <c r="N69" s="189">
        <v>105.8</v>
      </c>
      <c r="O69" s="189">
        <v>0</v>
      </c>
      <c r="P69" s="189">
        <v>0.69</v>
      </c>
      <c r="Q69" s="189">
        <v>4.41</v>
      </c>
    </row>
    <row r="70" spans="1:17" customFormat="1">
      <c r="A70" s="6" t="s">
        <v>492</v>
      </c>
      <c r="B70" s="189">
        <v>5.66</v>
      </c>
      <c r="C70" s="189">
        <v>22.35</v>
      </c>
      <c r="D70" s="189">
        <v>17.57</v>
      </c>
      <c r="E70" s="189">
        <v>9.11</v>
      </c>
      <c r="F70" s="189">
        <v>5.22</v>
      </c>
      <c r="G70" s="189">
        <v>55.75</v>
      </c>
      <c r="H70" s="189">
        <v>24.68</v>
      </c>
      <c r="I70" s="189">
        <v>5.67</v>
      </c>
      <c r="J70" s="189">
        <v>0.24</v>
      </c>
      <c r="K70" s="189">
        <v>129.16999999999999</v>
      </c>
      <c r="L70" s="189">
        <v>29.15</v>
      </c>
      <c r="M70" s="189">
        <v>47.61</v>
      </c>
      <c r="N70" s="189">
        <v>82.3</v>
      </c>
      <c r="O70" s="189">
        <v>0</v>
      </c>
      <c r="P70" s="189">
        <v>0.7</v>
      </c>
      <c r="Q70" s="189">
        <v>4.3899999999999997</v>
      </c>
    </row>
    <row r="71" spans="1:17" customFormat="1">
      <c r="A71" s="6" t="s">
        <v>493</v>
      </c>
      <c r="B71" s="189">
        <v>5.68</v>
      </c>
      <c r="C71" s="189">
        <v>22.42</v>
      </c>
      <c r="D71" s="189">
        <v>17.62</v>
      </c>
      <c r="E71" s="189">
        <v>8.73</v>
      </c>
      <c r="F71" s="189">
        <v>4.7699999999999996</v>
      </c>
      <c r="G71" s="189">
        <v>55.07</v>
      </c>
      <c r="H71" s="189">
        <v>24.79</v>
      </c>
      <c r="I71" s="189">
        <v>5.62</v>
      </c>
      <c r="J71" s="189">
        <v>0.3</v>
      </c>
      <c r="K71" s="189">
        <v>156.16</v>
      </c>
      <c r="L71" s="189">
        <v>28.96</v>
      </c>
      <c r="M71" s="189">
        <v>48.36</v>
      </c>
      <c r="N71" s="189">
        <v>70.900000000000006</v>
      </c>
      <c r="O71" s="189">
        <v>0</v>
      </c>
      <c r="P71" s="189">
        <v>0.69</v>
      </c>
      <c r="Q71" s="189">
        <v>4.4000000000000004</v>
      </c>
    </row>
    <row r="72" spans="1:17" customFormat="1">
      <c r="A72" s="6" t="s">
        <v>494</v>
      </c>
      <c r="B72" s="189">
        <v>5.64</v>
      </c>
      <c r="C72" s="189">
        <v>22.52</v>
      </c>
      <c r="D72" s="189">
        <v>17.649999999999999</v>
      </c>
      <c r="E72" s="189">
        <v>9.1199999999999992</v>
      </c>
      <c r="F72" s="189">
        <v>4.9400000000000004</v>
      </c>
      <c r="G72" s="189">
        <v>55.07</v>
      </c>
      <c r="H72" s="189">
        <v>24.79</v>
      </c>
      <c r="I72" s="189">
        <v>5.59</v>
      </c>
      <c r="J72" s="189">
        <v>0.17</v>
      </c>
      <c r="K72" s="189">
        <v>142.33000000000001</v>
      </c>
      <c r="L72" s="189">
        <v>28.67</v>
      </c>
      <c r="M72" s="189">
        <v>49.81</v>
      </c>
      <c r="N72" s="189">
        <v>60.7</v>
      </c>
      <c r="O72" s="189">
        <v>0</v>
      </c>
      <c r="P72" s="189">
        <v>0.68</v>
      </c>
      <c r="Q72" s="189">
        <v>4.4000000000000004</v>
      </c>
    </row>
    <row r="73" spans="1:17" customFormat="1">
      <c r="A73" s="6" t="s">
        <v>495</v>
      </c>
      <c r="B73" s="189">
        <v>5.57</v>
      </c>
      <c r="C73" s="189">
        <v>23.07</v>
      </c>
      <c r="D73" s="189">
        <v>17.87</v>
      </c>
      <c r="E73" s="189">
        <v>9.3000000000000007</v>
      </c>
      <c r="F73" s="189">
        <v>4.8</v>
      </c>
      <c r="G73" s="189">
        <v>55.07</v>
      </c>
      <c r="H73" s="189">
        <v>24.79</v>
      </c>
      <c r="I73" s="189">
        <v>5.56</v>
      </c>
      <c r="J73" s="189">
        <v>0.23</v>
      </c>
      <c r="K73" s="189">
        <v>133.1</v>
      </c>
      <c r="L73" s="189">
        <v>28.31</v>
      </c>
      <c r="M73" s="189">
        <v>51.07</v>
      </c>
      <c r="N73" s="189">
        <v>50.3</v>
      </c>
      <c r="O73" s="189">
        <v>0</v>
      </c>
      <c r="P73" s="189">
        <v>0.7</v>
      </c>
      <c r="Q73" s="189">
        <v>4.3899999999999997</v>
      </c>
    </row>
    <row r="74" spans="1:17" customFormat="1">
      <c r="A74" s="6" t="s">
        <v>496</v>
      </c>
      <c r="B74" s="189">
        <v>5.63</v>
      </c>
      <c r="C74" s="189">
        <v>21.76</v>
      </c>
      <c r="D74" s="189">
        <v>17.23</v>
      </c>
      <c r="E74" s="189">
        <v>9.9</v>
      </c>
      <c r="F74" s="189">
        <v>5.71</v>
      </c>
      <c r="G74" s="189">
        <v>54.05</v>
      </c>
      <c r="H74" s="189">
        <v>25.87</v>
      </c>
      <c r="I74" s="189">
        <v>5.51</v>
      </c>
      <c r="J74" s="189">
        <v>0.28999999999999998</v>
      </c>
      <c r="K74" s="189">
        <v>158.19</v>
      </c>
      <c r="L74" s="189">
        <v>27.83</v>
      </c>
      <c r="M74" s="189">
        <v>53.53</v>
      </c>
      <c r="N74" s="189">
        <v>29.2</v>
      </c>
      <c r="O74" s="189">
        <v>0</v>
      </c>
      <c r="P74" s="189">
        <v>0.69</v>
      </c>
      <c r="Q74" s="189">
        <v>4.37</v>
      </c>
    </row>
    <row r="75" spans="1:17" customFormat="1">
      <c r="A75" s="6" t="s">
        <v>497</v>
      </c>
      <c r="B75" s="189">
        <v>5.85</v>
      </c>
      <c r="C75" s="189">
        <v>19.63</v>
      </c>
      <c r="D75" s="189">
        <v>16.3</v>
      </c>
      <c r="E75" s="189">
        <v>8.34</v>
      </c>
      <c r="F75" s="189">
        <v>4.3899999999999997</v>
      </c>
      <c r="G75" s="189">
        <v>53.53</v>
      </c>
      <c r="H75" s="189">
        <v>26</v>
      </c>
      <c r="I75" s="189">
        <v>5.49</v>
      </c>
      <c r="J75" s="189">
        <v>0.2</v>
      </c>
      <c r="K75" s="189">
        <v>164.83</v>
      </c>
      <c r="L75" s="189">
        <v>27.1</v>
      </c>
      <c r="M75" s="189">
        <v>56.54</v>
      </c>
      <c r="N75" s="189">
        <v>13.2</v>
      </c>
      <c r="O75" s="189">
        <v>0</v>
      </c>
      <c r="P75" s="189">
        <v>0.67</v>
      </c>
      <c r="Q75" s="189">
        <v>4.37</v>
      </c>
    </row>
    <row r="76" spans="1:17" customFormat="1">
      <c r="A76" s="6" t="s">
        <v>498</v>
      </c>
      <c r="B76" s="189">
        <v>6.05</v>
      </c>
      <c r="C76" s="189">
        <v>18.29</v>
      </c>
      <c r="D76" s="189">
        <v>15.76</v>
      </c>
      <c r="E76" s="189">
        <v>8.4600000000000009</v>
      </c>
      <c r="F76" s="189">
        <v>3.91</v>
      </c>
      <c r="G76" s="189">
        <v>53.53</v>
      </c>
      <c r="H76" s="189">
        <v>26</v>
      </c>
      <c r="I76" s="189">
        <v>5.51</v>
      </c>
      <c r="J76" s="189">
        <v>0.19</v>
      </c>
      <c r="K76" s="189">
        <v>89.49</v>
      </c>
      <c r="L76" s="189">
        <v>26.66</v>
      </c>
      <c r="M76" s="189">
        <v>57.07</v>
      </c>
      <c r="N76" s="189">
        <v>1.7</v>
      </c>
      <c r="O76" s="189">
        <v>0</v>
      </c>
      <c r="P76" s="189">
        <v>0.66</v>
      </c>
      <c r="Q76" s="189">
        <v>4.38</v>
      </c>
    </row>
    <row r="77" spans="1:17" customFormat="1">
      <c r="A77" s="6" t="s">
        <v>499</v>
      </c>
      <c r="B77" s="189">
        <v>6.22</v>
      </c>
      <c r="C77" s="189">
        <v>17.809999999999999</v>
      </c>
      <c r="D77" s="189">
        <v>15.64</v>
      </c>
      <c r="E77" s="189">
        <v>8.2200000000000006</v>
      </c>
      <c r="F77" s="189">
        <v>3.79</v>
      </c>
      <c r="G77" s="189">
        <v>53.53</v>
      </c>
      <c r="H77" s="189">
        <v>26</v>
      </c>
      <c r="I77" s="189">
        <v>5.52</v>
      </c>
      <c r="J77" s="189">
        <v>0.27</v>
      </c>
      <c r="K77" s="189">
        <v>71.83</v>
      </c>
      <c r="L77" s="189">
        <v>26.42</v>
      </c>
      <c r="M77" s="189">
        <v>57.05</v>
      </c>
      <c r="N77" s="189">
        <v>0</v>
      </c>
      <c r="O77" s="189">
        <v>0</v>
      </c>
      <c r="P77" s="189">
        <v>0.68</v>
      </c>
      <c r="Q77" s="189">
        <v>4.3899999999999997</v>
      </c>
    </row>
    <row r="78" spans="1:17" customFormat="1">
      <c r="A78" s="6" t="s">
        <v>500</v>
      </c>
      <c r="B78" s="189">
        <v>6.39</v>
      </c>
      <c r="C78" s="189">
        <v>17.82</v>
      </c>
      <c r="D78" s="189">
        <v>15.78</v>
      </c>
      <c r="E78" s="189">
        <v>9.24</v>
      </c>
      <c r="F78" s="189">
        <v>5.33</v>
      </c>
      <c r="G78" s="189">
        <v>54.36</v>
      </c>
      <c r="H78" s="189">
        <v>26.02</v>
      </c>
      <c r="I78" s="189">
        <v>5.55</v>
      </c>
      <c r="J78" s="189">
        <v>0.18</v>
      </c>
      <c r="K78" s="189">
        <v>92.57</v>
      </c>
      <c r="L78" s="189">
        <v>25.9</v>
      </c>
      <c r="M78" s="189">
        <v>59.45</v>
      </c>
      <c r="N78" s="189">
        <v>0</v>
      </c>
      <c r="O78" s="189">
        <v>0</v>
      </c>
      <c r="P78" s="189">
        <v>0.68</v>
      </c>
      <c r="Q78" s="189">
        <v>4.3600000000000003</v>
      </c>
    </row>
    <row r="79" spans="1:17" customFormat="1">
      <c r="A79" s="6" t="s">
        <v>501</v>
      </c>
      <c r="B79" s="189">
        <v>6.54</v>
      </c>
      <c r="C79" s="189">
        <v>17.489999999999998</v>
      </c>
      <c r="D79" s="189">
        <v>15.73</v>
      </c>
      <c r="E79" s="189">
        <v>8.3800000000000008</v>
      </c>
      <c r="F79" s="189">
        <v>4.0599999999999996</v>
      </c>
      <c r="G79" s="189">
        <v>54.77</v>
      </c>
      <c r="H79" s="189">
        <v>26.02</v>
      </c>
      <c r="I79" s="189">
        <v>5.61</v>
      </c>
      <c r="J79" s="189">
        <v>0.33</v>
      </c>
      <c r="K79" s="189">
        <v>63.22</v>
      </c>
      <c r="L79" s="189">
        <v>25.55</v>
      </c>
      <c r="M79" s="189">
        <v>60.28</v>
      </c>
      <c r="N79" s="189">
        <v>0</v>
      </c>
      <c r="O79" s="189">
        <v>0</v>
      </c>
      <c r="P79" s="189">
        <v>0.68</v>
      </c>
      <c r="Q79" s="189">
        <v>4.37</v>
      </c>
    </row>
    <row r="80" spans="1:17" customFormat="1">
      <c r="A80" s="6" t="s">
        <v>502</v>
      </c>
      <c r="B80" s="189">
        <v>6.75</v>
      </c>
      <c r="C80" s="189">
        <v>19.38</v>
      </c>
      <c r="D80" s="189">
        <v>16.89</v>
      </c>
      <c r="E80" s="189">
        <v>8.23</v>
      </c>
      <c r="F80" s="189">
        <v>3.27</v>
      </c>
      <c r="G80" s="189">
        <v>54.77</v>
      </c>
      <c r="H80" s="189">
        <v>26.02</v>
      </c>
      <c r="I80" s="189">
        <v>5.67</v>
      </c>
      <c r="J80" s="189">
        <v>0.28999999999999998</v>
      </c>
      <c r="K80" s="189">
        <v>66.73</v>
      </c>
      <c r="L80" s="189">
        <v>25.29</v>
      </c>
      <c r="M80" s="189">
        <v>61.56</v>
      </c>
      <c r="N80" s="189">
        <v>0</v>
      </c>
      <c r="O80" s="189">
        <v>0</v>
      </c>
      <c r="P80" s="189">
        <v>0.7</v>
      </c>
      <c r="Q80" s="189">
        <v>4.3600000000000003</v>
      </c>
    </row>
    <row r="81" spans="1:17" customFormat="1">
      <c r="A81" s="6" t="s">
        <v>503</v>
      </c>
      <c r="B81" s="189">
        <v>7.1</v>
      </c>
      <c r="C81" s="189">
        <v>20.14</v>
      </c>
      <c r="D81" s="189">
        <v>17.57</v>
      </c>
      <c r="E81" s="189">
        <v>7.48</v>
      </c>
      <c r="F81" s="189">
        <v>2.88</v>
      </c>
      <c r="G81" s="189">
        <v>54.77</v>
      </c>
      <c r="H81" s="189">
        <v>26.02</v>
      </c>
      <c r="I81" s="189">
        <v>5.69</v>
      </c>
      <c r="J81" s="189">
        <v>0.32</v>
      </c>
      <c r="K81" s="189">
        <v>74.33</v>
      </c>
      <c r="L81" s="189">
        <v>25.13</v>
      </c>
      <c r="M81" s="189">
        <v>61.46</v>
      </c>
      <c r="N81" s="189">
        <v>0</v>
      </c>
      <c r="O81" s="189">
        <v>0</v>
      </c>
      <c r="P81" s="189">
        <v>0.72</v>
      </c>
      <c r="Q81" s="189">
        <v>4.38</v>
      </c>
    </row>
    <row r="82" spans="1:17" customFormat="1">
      <c r="A82" s="6" t="s">
        <v>504</v>
      </c>
      <c r="B82" s="189">
        <v>7.28</v>
      </c>
      <c r="C82" s="189">
        <v>19.510000000000002</v>
      </c>
      <c r="D82" s="189">
        <v>17.38</v>
      </c>
      <c r="E82" s="189">
        <v>8.9600000000000009</v>
      </c>
      <c r="F82" s="189">
        <v>3.64</v>
      </c>
      <c r="G82" s="189">
        <v>65.900000000000006</v>
      </c>
      <c r="H82" s="189">
        <v>29.75</v>
      </c>
      <c r="I82" s="189">
        <v>5.77</v>
      </c>
      <c r="J82" s="189">
        <v>0.37</v>
      </c>
      <c r="K82" s="189">
        <v>58.18</v>
      </c>
      <c r="L82" s="189">
        <v>24.87</v>
      </c>
      <c r="M82" s="189">
        <v>62.55</v>
      </c>
      <c r="N82" s="189">
        <v>0</v>
      </c>
      <c r="O82" s="189">
        <v>0</v>
      </c>
      <c r="P82" s="189">
        <v>0.72</v>
      </c>
      <c r="Q82" s="189">
        <v>4.3899999999999997</v>
      </c>
    </row>
    <row r="83" spans="1:17" customFormat="1">
      <c r="A83" s="6" t="s">
        <v>505</v>
      </c>
      <c r="B83" s="189">
        <v>7.44</v>
      </c>
      <c r="C83" s="189">
        <v>21.42</v>
      </c>
      <c r="D83" s="189">
        <v>18.5</v>
      </c>
      <c r="E83" s="189">
        <v>8.9499999999999993</v>
      </c>
      <c r="F83" s="189">
        <v>3</v>
      </c>
      <c r="G83" s="189">
        <v>71.459999999999994</v>
      </c>
      <c r="H83" s="189">
        <v>30.45</v>
      </c>
      <c r="I83" s="189">
        <v>5.86</v>
      </c>
      <c r="J83" s="189">
        <v>0.45</v>
      </c>
      <c r="K83" s="189">
        <v>55.71</v>
      </c>
      <c r="L83" s="189">
        <v>24.55</v>
      </c>
      <c r="M83" s="189">
        <v>63.8</v>
      </c>
      <c r="N83" s="189">
        <v>0</v>
      </c>
      <c r="O83" s="189">
        <v>0</v>
      </c>
      <c r="P83" s="189">
        <v>0.74</v>
      </c>
      <c r="Q83" s="189">
        <v>4.4000000000000004</v>
      </c>
    </row>
    <row r="84" spans="1:17" customFormat="1">
      <c r="A84" s="6" t="s">
        <v>506</v>
      </c>
      <c r="B84" s="189">
        <v>7.83</v>
      </c>
      <c r="C84" s="189">
        <v>20.7</v>
      </c>
      <c r="D84" s="189">
        <v>18.440000000000001</v>
      </c>
      <c r="E84" s="189">
        <v>8.58</v>
      </c>
      <c r="F84" s="189">
        <v>3</v>
      </c>
      <c r="G84" s="189">
        <v>71.459999999999994</v>
      </c>
      <c r="H84" s="189">
        <v>30.45</v>
      </c>
      <c r="I84" s="189">
        <v>5.93</v>
      </c>
      <c r="J84" s="189">
        <v>0.31</v>
      </c>
      <c r="K84" s="189">
        <v>62.94</v>
      </c>
      <c r="L84" s="189">
        <v>24.33</v>
      </c>
      <c r="M84" s="189">
        <v>65.2</v>
      </c>
      <c r="N84" s="189">
        <v>0</v>
      </c>
      <c r="O84" s="189">
        <v>0</v>
      </c>
      <c r="P84" s="189">
        <v>0.74</v>
      </c>
      <c r="Q84" s="189">
        <v>4.42</v>
      </c>
    </row>
    <row r="85" spans="1:17" customFormat="1">
      <c r="A85" s="6" t="s">
        <v>507</v>
      </c>
      <c r="B85" s="189">
        <v>8.0399999999999991</v>
      </c>
      <c r="C85" s="189">
        <v>19.68</v>
      </c>
      <c r="D85" s="189">
        <v>18.079999999999998</v>
      </c>
      <c r="E85" s="189">
        <v>8.6199999999999992</v>
      </c>
      <c r="F85" s="189">
        <v>3.05</v>
      </c>
      <c r="G85" s="189">
        <v>71.459999999999994</v>
      </c>
      <c r="H85" s="189">
        <v>30.45</v>
      </c>
      <c r="I85" s="189">
        <v>6</v>
      </c>
      <c r="J85" s="189">
        <v>0.31</v>
      </c>
      <c r="K85" s="189">
        <v>60.96</v>
      </c>
      <c r="L85" s="189">
        <v>24.04</v>
      </c>
      <c r="M85" s="189">
        <v>65.680000000000007</v>
      </c>
      <c r="N85" s="189">
        <v>0</v>
      </c>
      <c r="O85" s="189">
        <v>0</v>
      </c>
      <c r="P85" s="189">
        <v>0.75</v>
      </c>
      <c r="Q85" s="189">
        <v>4.42</v>
      </c>
    </row>
    <row r="86" spans="1:17" customFormat="1">
      <c r="A86" s="6" t="s">
        <v>508</v>
      </c>
      <c r="B86" s="189">
        <v>8.2799999999999994</v>
      </c>
      <c r="C86" s="189">
        <v>19.7</v>
      </c>
      <c r="D86" s="189">
        <v>18.28</v>
      </c>
      <c r="E86" s="189">
        <v>8.4499999999999993</v>
      </c>
      <c r="F86" s="189">
        <v>2.76</v>
      </c>
      <c r="G86" s="189">
        <v>82.08</v>
      </c>
      <c r="H86" s="189">
        <v>33.79</v>
      </c>
      <c r="I86" s="189">
        <v>6.08</v>
      </c>
      <c r="J86" s="189">
        <v>0.25</v>
      </c>
      <c r="K86" s="189">
        <v>69.319999999999993</v>
      </c>
      <c r="L86" s="189">
        <v>23.82</v>
      </c>
      <c r="M86" s="189">
        <v>66.040000000000006</v>
      </c>
      <c r="N86" s="189">
        <v>0</v>
      </c>
      <c r="O86" s="189">
        <v>0</v>
      </c>
      <c r="P86" s="189">
        <v>0.76</v>
      </c>
      <c r="Q86" s="189">
        <v>4.43</v>
      </c>
    </row>
    <row r="87" spans="1:17" customFormat="1">
      <c r="A87" s="6" t="s">
        <v>509</v>
      </c>
      <c r="B87" s="189">
        <v>8.5399999999999991</v>
      </c>
      <c r="C87" s="189">
        <v>20.36</v>
      </c>
      <c r="D87" s="189">
        <v>18.829999999999998</v>
      </c>
      <c r="E87" s="189">
        <v>8.32</v>
      </c>
      <c r="F87" s="189">
        <v>2.61</v>
      </c>
      <c r="G87" s="189">
        <v>87.4</v>
      </c>
      <c r="H87" s="189">
        <v>34.18</v>
      </c>
      <c r="I87" s="189">
        <v>6.17</v>
      </c>
      <c r="J87" s="189">
        <v>0.31</v>
      </c>
      <c r="K87" s="189">
        <v>71.180000000000007</v>
      </c>
      <c r="L87" s="189">
        <v>23.71</v>
      </c>
      <c r="M87" s="189">
        <v>65.39</v>
      </c>
      <c r="N87" s="189">
        <v>0</v>
      </c>
      <c r="O87" s="189">
        <v>0</v>
      </c>
      <c r="P87" s="189">
        <v>0.77</v>
      </c>
      <c r="Q87" s="189">
        <v>4.43</v>
      </c>
    </row>
    <row r="88" spans="1:17" customFormat="1">
      <c r="A88" s="6" t="s">
        <v>510</v>
      </c>
      <c r="B88" s="189">
        <v>8.7799999999999994</v>
      </c>
      <c r="C88" s="189">
        <v>22.33</v>
      </c>
      <c r="D88" s="189">
        <v>20.059999999999999</v>
      </c>
      <c r="E88" s="189">
        <v>8.48</v>
      </c>
      <c r="F88" s="189">
        <v>2.69</v>
      </c>
      <c r="G88" s="189">
        <v>87.4</v>
      </c>
      <c r="H88" s="189">
        <v>34.18</v>
      </c>
      <c r="I88" s="189">
        <v>6.24</v>
      </c>
      <c r="J88" s="189">
        <v>0.5</v>
      </c>
      <c r="K88" s="189">
        <v>55.64</v>
      </c>
      <c r="L88" s="189">
        <v>23.82</v>
      </c>
      <c r="M88" s="189">
        <v>63.38</v>
      </c>
      <c r="N88" s="189">
        <v>0</v>
      </c>
      <c r="O88" s="189">
        <v>0</v>
      </c>
      <c r="P88" s="189">
        <v>0.79</v>
      </c>
      <c r="Q88" s="189">
        <v>4.4400000000000004</v>
      </c>
    </row>
    <row r="89" spans="1:17" customFormat="1">
      <c r="A89" s="6" t="s">
        <v>511</v>
      </c>
      <c r="B89" s="189">
        <v>8.94</v>
      </c>
      <c r="C89" s="189">
        <v>21.43</v>
      </c>
      <c r="D89" s="189">
        <v>19.71</v>
      </c>
      <c r="E89" s="189">
        <v>8.14</v>
      </c>
      <c r="F89" s="189">
        <v>2.9</v>
      </c>
      <c r="G89" s="189">
        <v>87.4</v>
      </c>
      <c r="H89" s="189">
        <v>34.18</v>
      </c>
      <c r="I89" s="189">
        <v>6.3</v>
      </c>
      <c r="J89" s="189">
        <v>0.21</v>
      </c>
      <c r="K89" s="189">
        <v>83.28</v>
      </c>
      <c r="L89" s="189">
        <v>23.8</v>
      </c>
      <c r="M89" s="189">
        <v>63.54</v>
      </c>
      <c r="N89" s="189">
        <v>0</v>
      </c>
      <c r="O89" s="189">
        <v>0</v>
      </c>
      <c r="P89" s="189">
        <v>0.79</v>
      </c>
      <c r="Q89" s="189">
        <v>4.46</v>
      </c>
    </row>
    <row r="90" spans="1:17" customFormat="1">
      <c r="A90" s="6" t="s">
        <v>512</v>
      </c>
      <c r="B90" s="189">
        <v>9.1</v>
      </c>
      <c r="C90" s="189">
        <v>20.97</v>
      </c>
      <c r="D90" s="189">
        <v>19.600000000000001</v>
      </c>
      <c r="E90" s="189">
        <v>8.41</v>
      </c>
      <c r="F90" s="189">
        <v>2.9</v>
      </c>
      <c r="G90" s="189">
        <v>84.86</v>
      </c>
      <c r="H90" s="189">
        <v>33.56</v>
      </c>
      <c r="I90" s="189">
        <v>6.35</v>
      </c>
      <c r="J90" s="189">
        <v>0.16</v>
      </c>
      <c r="K90" s="189">
        <v>144.43</v>
      </c>
      <c r="L90" s="189">
        <v>23.57</v>
      </c>
      <c r="M90" s="189">
        <v>64.62</v>
      </c>
      <c r="N90" s="189">
        <v>0</v>
      </c>
      <c r="O90" s="189">
        <v>0</v>
      </c>
      <c r="P90" s="189">
        <v>0.79</v>
      </c>
      <c r="Q90" s="189">
        <v>4.46</v>
      </c>
    </row>
    <row r="91" spans="1:17" customFormat="1">
      <c r="A91" s="6" t="s">
        <v>513</v>
      </c>
      <c r="B91" s="189">
        <v>9.27</v>
      </c>
      <c r="C91" s="189">
        <v>22.76</v>
      </c>
      <c r="D91" s="189">
        <v>20.68</v>
      </c>
      <c r="E91" s="189">
        <v>8.24</v>
      </c>
      <c r="F91" s="189">
        <v>2.65</v>
      </c>
      <c r="G91" s="189">
        <v>83.58</v>
      </c>
      <c r="H91" s="189">
        <v>33.49</v>
      </c>
      <c r="I91" s="189">
        <v>6.35</v>
      </c>
      <c r="J91" s="189">
        <v>0.13</v>
      </c>
      <c r="K91" s="189">
        <v>123.53</v>
      </c>
      <c r="L91" s="189">
        <v>23.32</v>
      </c>
      <c r="M91" s="189">
        <v>65.86</v>
      </c>
      <c r="N91" s="189">
        <v>0</v>
      </c>
      <c r="O91" s="189">
        <v>0</v>
      </c>
      <c r="P91" s="189">
        <v>0.8</v>
      </c>
      <c r="Q91" s="189">
        <v>4.47</v>
      </c>
    </row>
    <row r="92" spans="1:17" customFormat="1">
      <c r="A92" s="6" t="s">
        <v>514</v>
      </c>
      <c r="B92" s="189">
        <v>9.57</v>
      </c>
      <c r="C92" s="189">
        <v>21.68</v>
      </c>
      <c r="D92" s="189">
        <v>20.350000000000001</v>
      </c>
      <c r="E92" s="189">
        <v>8.68</v>
      </c>
      <c r="F92" s="189">
        <v>2.81</v>
      </c>
      <c r="G92" s="189">
        <v>83.58</v>
      </c>
      <c r="H92" s="189">
        <v>33.49</v>
      </c>
      <c r="I92" s="189">
        <v>6.39</v>
      </c>
      <c r="J92" s="189">
        <v>0.14000000000000001</v>
      </c>
      <c r="K92" s="189">
        <v>95.71</v>
      </c>
      <c r="L92" s="189">
        <v>22.98</v>
      </c>
      <c r="M92" s="189">
        <v>67.87</v>
      </c>
      <c r="N92" s="189">
        <v>0</v>
      </c>
      <c r="O92" s="189">
        <v>0</v>
      </c>
      <c r="P92" s="189">
        <v>0.8</v>
      </c>
      <c r="Q92" s="189">
        <v>4.49</v>
      </c>
    </row>
    <row r="93" spans="1:17" customFormat="1">
      <c r="A93" s="6" t="s">
        <v>515</v>
      </c>
      <c r="B93" s="189">
        <v>9.8000000000000007</v>
      </c>
      <c r="C93" s="189">
        <v>22.44</v>
      </c>
      <c r="D93" s="189">
        <v>20.93</v>
      </c>
      <c r="E93" s="189">
        <v>8.34</v>
      </c>
      <c r="F93" s="189">
        <v>2.82</v>
      </c>
      <c r="G93" s="189">
        <v>83.58</v>
      </c>
      <c r="H93" s="189">
        <v>33.49</v>
      </c>
      <c r="I93" s="189">
        <v>6.41</v>
      </c>
      <c r="J93" s="189">
        <v>0.1</v>
      </c>
      <c r="K93" s="189">
        <v>122.09</v>
      </c>
      <c r="L93" s="189">
        <v>22.78</v>
      </c>
      <c r="M93" s="189">
        <v>69.05</v>
      </c>
      <c r="N93" s="189">
        <v>0</v>
      </c>
      <c r="O93" s="189">
        <v>0</v>
      </c>
      <c r="P93" s="189">
        <v>0.82</v>
      </c>
      <c r="Q93" s="189">
        <v>4.5</v>
      </c>
    </row>
    <row r="94" spans="1:17" customFormat="1">
      <c r="A94" s="6" t="s">
        <v>516</v>
      </c>
      <c r="B94" s="189">
        <v>10.01</v>
      </c>
      <c r="C94" s="189">
        <v>23.76</v>
      </c>
      <c r="D94" s="189">
        <v>21.79</v>
      </c>
      <c r="E94" s="189">
        <v>8.7799999999999994</v>
      </c>
      <c r="F94" s="189">
        <v>2.9</v>
      </c>
      <c r="G94" s="189">
        <v>87.48</v>
      </c>
      <c r="H94" s="189">
        <v>35.5</v>
      </c>
      <c r="I94" s="189">
        <v>6.47</v>
      </c>
      <c r="J94" s="189">
        <v>0.18</v>
      </c>
      <c r="K94" s="189">
        <v>69.540000000000006</v>
      </c>
      <c r="L94" s="189">
        <v>22.54</v>
      </c>
      <c r="M94" s="189">
        <v>69.58</v>
      </c>
      <c r="N94" s="189">
        <v>0</v>
      </c>
      <c r="O94" s="189">
        <v>0</v>
      </c>
      <c r="P94" s="189">
        <v>0.84</v>
      </c>
      <c r="Q94" s="189">
        <v>4.51</v>
      </c>
    </row>
    <row r="95" spans="1:17" customFormat="1">
      <c r="A95" s="6" t="s">
        <v>517</v>
      </c>
      <c r="B95" s="189">
        <v>10.210000000000001</v>
      </c>
      <c r="C95" s="189">
        <v>24.69</v>
      </c>
      <c r="D95" s="189">
        <v>22.44</v>
      </c>
      <c r="E95" s="189">
        <v>8.5399999999999991</v>
      </c>
      <c r="F95" s="189">
        <v>2.83</v>
      </c>
      <c r="G95" s="189">
        <v>89.42</v>
      </c>
      <c r="H95" s="189">
        <v>35.729999999999997</v>
      </c>
      <c r="I95" s="189">
        <v>6.55</v>
      </c>
      <c r="J95" s="189">
        <v>0.19</v>
      </c>
      <c r="K95" s="189">
        <v>93.17</v>
      </c>
      <c r="L95" s="189">
        <v>22.43</v>
      </c>
      <c r="M95" s="189">
        <v>69.599999999999994</v>
      </c>
      <c r="N95" s="189">
        <v>0</v>
      </c>
      <c r="O95" s="189">
        <v>0</v>
      </c>
      <c r="P95" s="189">
        <v>0.84</v>
      </c>
      <c r="Q95" s="189">
        <v>4.5199999999999996</v>
      </c>
    </row>
    <row r="96" spans="1:17" customFormat="1">
      <c r="A96" s="6" t="s">
        <v>518</v>
      </c>
      <c r="B96" s="189">
        <v>10.130000000000001</v>
      </c>
      <c r="C96" s="189">
        <v>25.33</v>
      </c>
      <c r="D96" s="189">
        <v>22.7</v>
      </c>
      <c r="E96" s="189">
        <v>8.51</v>
      </c>
      <c r="F96" s="189">
        <v>2.97</v>
      </c>
      <c r="G96" s="189">
        <v>89.42</v>
      </c>
      <c r="H96" s="189">
        <v>35.729999999999997</v>
      </c>
      <c r="I96" s="189">
        <v>6.63</v>
      </c>
      <c r="J96" s="189">
        <v>0.15</v>
      </c>
      <c r="K96" s="189">
        <v>123.17</v>
      </c>
      <c r="L96" s="189">
        <v>22.38</v>
      </c>
      <c r="M96" s="189">
        <v>70.150000000000006</v>
      </c>
      <c r="N96" s="189">
        <v>0</v>
      </c>
      <c r="O96" s="189">
        <v>0</v>
      </c>
      <c r="P96" s="189">
        <v>0.86</v>
      </c>
      <c r="Q96" s="189">
        <v>4.53</v>
      </c>
    </row>
    <row r="97" spans="1:22" customFormat="1">
      <c r="A97" s="6" t="s">
        <v>519</v>
      </c>
      <c r="B97" s="189">
        <v>10.01</v>
      </c>
      <c r="C97" s="189">
        <v>25.41</v>
      </c>
      <c r="D97" s="189">
        <v>22.66</v>
      </c>
      <c r="E97" s="189">
        <v>8.66</v>
      </c>
      <c r="F97" s="189">
        <v>2.93</v>
      </c>
      <c r="G97" s="189">
        <v>89.42</v>
      </c>
      <c r="H97" s="189">
        <v>35.729999999999997</v>
      </c>
      <c r="I97" s="189">
        <v>6.69</v>
      </c>
      <c r="J97" s="189">
        <v>0.08</v>
      </c>
      <c r="K97" s="189">
        <v>153.97999999999999</v>
      </c>
      <c r="L97" s="189">
        <v>22.24</v>
      </c>
      <c r="M97" s="189">
        <v>71.64</v>
      </c>
      <c r="N97" s="189">
        <v>0</v>
      </c>
      <c r="O97" s="189">
        <v>0</v>
      </c>
      <c r="P97" s="189">
        <v>0.86</v>
      </c>
      <c r="Q97" s="189">
        <v>4.54</v>
      </c>
    </row>
    <row r="98" spans="1:22" customFormat="1">
      <c r="A98" s="6" t="s">
        <v>520</v>
      </c>
      <c r="B98" s="189">
        <v>9.91</v>
      </c>
      <c r="C98" s="189">
        <v>25.84</v>
      </c>
      <c r="D98" s="189">
        <v>22.8</v>
      </c>
      <c r="E98" s="189">
        <v>9.07</v>
      </c>
      <c r="F98" s="189">
        <v>2.95</v>
      </c>
      <c r="G98" s="189">
        <v>86.14</v>
      </c>
      <c r="H98" s="189">
        <v>34.29</v>
      </c>
      <c r="I98" s="189">
        <v>6.69</v>
      </c>
      <c r="J98" s="189">
        <v>0.15</v>
      </c>
      <c r="K98" s="189">
        <v>166.27</v>
      </c>
      <c r="L98" s="189">
        <v>22.17</v>
      </c>
      <c r="M98" s="189">
        <v>71.7</v>
      </c>
      <c r="N98" s="189">
        <v>0</v>
      </c>
      <c r="O98" s="189">
        <v>0</v>
      </c>
      <c r="P98" s="189">
        <v>0.86</v>
      </c>
      <c r="Q98" s="189">
        <v>4.51</v>
      </c>
    </row>
    <row r="99" spans="1:22" customFormat="1">
      <c r="A99" s="6" t="s">
        <v>521</v>
      </c>
      <c r="B99" s="189">
        <v>9.5299999999999994</v>
      </c>
      <c r="C99" s="189">
        <v>25.82</v>
      </c>
      <c r="D99" s="189">
        <v>22.49</v>
      </c>
      <c r="E99" s="189">
        <v>8.6199999999999992</v>
      </c>
      <c r="F99" s="189">
        <v>3.22</v>
      </c>
      <c r="G99" s="189">
        <v>84.51</v>
      </c>
      <c r="H99" s="189">
        <v>34.119999999999997</v>
      </c>
      <c r="I99" s="189">
        <v>6.66</v>
      </c>
      <c r="J99" s="189">
        <v>0.2</v>
      </c>
      <c r="K99" s="189">
        <v>162.88999999999999</v>
      </c>
      <c r="L99" s="189">
        <v>22.37</v>
      </c>
      <c r="M99" s="189">
        <v>69.88</v>
      </c>
      <c r="N99" s="189">
        <v>0</v>
      </c>
      <c r="O99" s="189">
        <v>0</v>
      </c>
      <c r="P99" s="189">
        <v>0.85</v>
      </c>
      <c r="Q99" s="189">
        <v>4.5199999999999996</v>
      </c>
    </row>
    <row r="100" spans="1:22" customFormat="1">
      <c r="A100" s="6" t="s">
        <v>522</v>
      </c>
      <c r="B100" s="189">
        <v>8.94</v>
      </c>
      <c r="C100" s="189">
        <v>25.5</v>
      </c>
      <c r="D100" s="189">
        <v>21.84</v>
      </c>
      <c r="E100" s="189">
        <v>9</v>
      </c>
      <c r="F100" s="189">
        <v>3.32</v>
      </c>
      <c r="G100" s="189">
        <v>84.51</v>
      </c>
      <c r="H100" s="189">
        <v>34.119999999999997</v>
      </c>
      <c r="I100" s="189">
        <v>6.65</v>
      </c>
      <c r="J100" s="189">
        <v>0.21</v>
      </c>
      <c r="K100" s="189">
        <v>162.38</v>
      </c>
      <c r="L100" s="189">
        <v>22.42</v>
      </c>
      <c r="M100" s="189">
        <v>69.34</v>
      </c>
      <c r="N100" s="189">
        <v>0</v>
      </c>
      <c r="O100" s="189">
        <v>0</v>
      </c>
      <c r="P100" s="189">
        <v>0.86</v>
      </c>
      <c r="Q100" s="189">
        <v>4.51</v>
      </c>
    </row>
    <row r="101" spans="1:22" customFormat="1">
      <c r="A101" s="6" t="s">
        <v>523</v>
      </c>
      <c r="B101" s="189">
        <v>8.27</v>
      </c>
      <c r="C101" s="189">
        <v>25.07</v>
      </c>
      <c r="D101" s="189">
        <v>21.08</v>
      </c>
      <c r="E101" s="189">
        <v>8.33</v>
      </c>
      <c r="F101" s="189">
        <v>3.53</v>
      </c>
      <c r="G101" s="189">
        <v>84.51</v>
      </c>
      <c r="H101" s="189">
        <v>34.119999999999997</v>
      </c>
      <c r="I101" s="189">
        <v>6.6</v>
      </c>
      <c r="J101" s="189">
        <v>0.16</v>
      </c>
      <c r="K101" s="189">
        <v>142.13</v>
      </c>
      <c r="L101" s="189">
        <v>22.66</v>
      </c>
      <c r="M101" s="189">
        <v>67.95</v>
      </c>
      <c r="N101" s="189">
        <v>0</v>
      </c>
      <c r="O101" s="189">
        <v>0</v>
      </c>
      <c r="P101" s="189">
        <v>0.84</v>
      </c>
      <c r="Q101" s="189">
        <v>4.5</v>
      </c>
    </row>
    <row r="102" spans="1:22" customFormat="1">
      <c r="A102" s="6" t="s">
        <v>524</v>
      </c>
      <c r="B102" s="189">
        <v>7.69</v>
      </c>
      <c r="C102" s="189">
        <v>25.24</v>
      </c>
      <c r="D102" s="189">
        <v>20.71</v>
      </c>
      <c r="E102" s="189">
        <v>8.67</v>
      </c>
      <c r="F102" s="189">
        <v>3.5</v>
      </c>
      <c r="G102" s="189">
        <v>77.61</v>
      </c>
      <c r="H102" s="189">
        <v>32.659999999999997</v>
      </c>
      <c r="I102" s="189">
        <v>6.53</v>
      </c>
      <c r="J102" s="189">
        <v>0.13</v>
      </c>
      <c r="K102" s="189">
        <v>89.6</v>
      </c>
      <c r="L102" s="189">
        <v>22.69</v>
      </c>
      <c r="M102" s="189">
        <v>68.28</v>
      </c>
      <c r="N102" s="189">
        <v>0</v>
      </c>
      <c r="O102" s="189">
        <v>0</v>
      </c>
      <c r="P102" s="189">
        <v>0.84</v>
      </c>
      <c r="Q102" s="189">
        <v>4.4800000000000004</v>
      </c>
    </row>
    <row r="103" spans="1:22" customFormat="1">
      <c r="A103" s="6" t="s">
        <v>525</v>
      </c>
      <c r="B103" s="189">
        <v>7.37</v>
      </c>
      <c r="C103" s="189">
        <v>25.8</v>
      </c>
      <c r="D103" s="189">
        <v>20.74</v>
      </c>
      <c r="E103" s="189">
        <v>9.1300000000000008</v>
      </c>
      <c r="F103" s="189">
        <v>3.18</v>
      </c>
      <c r="G103" s="189">
        <v>74.17</v>
      </c>
      <c r="H103" s="189">
        <v>32.49</v>
      </c>
      <c r="I103" s="189">
        <v>6.48</v>
      </c>
      <c r="J103" s="189">
        <v>0.26</v>
      </c>
      <c r="K103" s="189">
        <v>59.08</v>
      </c>
      <c r="L103" s="189">
        <v>22.22</v>
      </c>
      <c r="M103" s="189">
        <v>71.2</v>
      </c>
      <c r="N103" s="189">
        <v>0</v>
      </c>
      <c r="O103" s="189">
        <v>0</v>
      </c>
      <c r="P103" s="189">
        <v>0.83</v>
      </c>
      <c r="Q103" s="189">
        <v>4.46</v>
      </c>
    </row>
    <row r="104" spans="1:22" customFormat="1">
      <c r="A104" s="6" t="s">
        <v>526</v>
      </c>
      <c r="B104" s="189">
        <v>7.53</v>
      </c>
      <c r="C104" s="189">
        <v>26</v>
      </c>
      <c r="D104" s="189">
        <v>20.97</v>
      </c>
      <c r="E104" s="189">
        <v>8.3699999999999992</v>
      </c>
      <c r="F104" s="189">
        <v>3</v>
      </c>
      <c r="G104" s="189">
        <v>74.17</v>
      </c>
      <c r="H104" s="189">
        <v>32.49</v>
      </c>
      <c r="I104" s="189">
        <v>6.43</v>
      </c>
      <c r="J104" s="189">
        <v>0.12</v>
      </c>
      <c r="K104" s="189">
        <v>149.5</v>
      </c>
      <c r="L104" s="189">
        <v>22.01</v>
      </c>
      <c r="M104" s="189">
        <v>73.44</v>
      </c>
      <c r="N104" s="189">
        <v>0</v>
      </c>
      <c r="O104" s="189">
        <v>0</v>
      </c>
      <c r="P104" s="189">
        <v>0.83</v>
      </c>
      <c r="Q104" s="189">
        <v>4.47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5.48</v>
      </c>
      <c r="C106" s="183">
        <f>MIN(C9:C104)</f>
        <v>17.489999999999998</v>
      </c>
      <c r="D106" s="183">
        <f t="shared" ref="D106:Q106" si="0">MIN(D9:D104)</f>
        <v>15.64</v>
      </c>
      <c r="E106" s="183">
        <f t="shared" si="0"/>
        <v>6.21</v>
      </c>
      <c r="F106" s="183">
        <f t="shared" si="0"/>
        <v>2.52</v>
      </c>
      <c r="G106" s="183">
        <f t="shared" si="0"/>
        <v>53.53</v>
      </c>
      <c r="H106" s="183">
        <f t="shared" si="0"/>
        <v>23.71</v>
      </c>
      <c r="I106" s="183">
        <f t="shared" si="0"/>
        <v>5.49</v>
      </c>
      <c r="J106" s="183">
        <f t="shared" si="0"/>
        <v>0</v>
      </c>
      <c r="K106" s="183">
        <f t="shared" si="0"/>
        <v>38.6</v>
      </c>
      <c r="L106" s="183">
        <f t="shared" si="0"/>
        <v>18.78</v>
      </c>
      <c r="M106" s="183">
        <f t="shared" si="0"/>
        <v>42.2</v>
      </c>
      <c r="N106" s="183">
        <f t="shared" si="0"/>
        <v>0</v>
      </c>
      <c r="O106" s="183">
        <f t="shared" si="0"/>
        <v>0</v>
      </c>
      <c r="P106" s="183">
        <f t="shared" si="0"/>
        <v>0.66</v>
      </c>
      <c r="Q106" s="183">
        <f t="shared" si="0"/>
        <v>4.3600000000000003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15.9</v>
      </c>
      <c r="C107" s="184">
        <f t="shared" ref="C107:Q107" si="1">MAX(C9:C104)</f>
        <v>28.08</v>
      </c>
      <c r="D107" s="184">
        <f t="shared" si="1"/>
        <v>26.45</v>
      </c>
      <c r="E107" s="184">
        <f t="shared" si="1"/>
        <v>10.14</v>
      </c>
      <c r="F107" s="184">
        <f t="shared" si="1"/>
        <v>6.68</v>
      </c>
      <c r="G107" s="184">
        <f t="shared" si="1"/>
        <v>89.42</v>
      </c>
      <c r="H107" s="184">
        <f t="shared" si="1"/>
        <v>36.15</v>
      </c>
      <c r="I107" s="184">
        <f t="shared" si="1"/>
        <v>7.24</v>
      </c>
      <c r="J107" s="184">
        <f t="shared" si="1"/>
        <v>0.79</v>
      </c>
      <c r="K107" s="184">
        <f t="shared" si="1"/>
        <v>176.95</v>
      </c>
      <c r="L107" s="184">
        <f t="shared" si="1"/>
        <v>29.91</v>
      </c>
      <c r="M107" s="184">
        <f t="shared" si="1"/>
        <v>89.84</v>
      </c>
      <c r="N107" s="184">
        <f t="shared" si="1"/>
        <v>483.4</v>
      </c>
      <c r="O107" s="184">
        <f t="shared" si="1"/>
        <v>0</v>
      </c>
      <c r="P107" s="184">
        <f t="shared" si="1"/>
        <v>0.86</v>
      </c>
      <c r="Q107" s="184">
        <f t="shared" si="1"/>
        <v>4.72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9.4853125000000009</v>
      </c>
      <c r="C108" s="183">
        <f t="shared" ref="C108:Q108" si="2">AVERAGE(C9:C104)</f>
        <v>23.330729166666675</v>
      </c>
      <c r="D108" s="183">
        <f t="shared" si="2"/>
        <v>21.146666666666665</v>
      </c>
      <c r="E108" s="183">
        <f t="shared" si="2"/>
        <v>8.3779166666666693</v>
      </c>
      <c r="F108" s="183">
        <f t="shared" si="2"/>
        <v>3.576041666666665</v>
      </c>
      <c r="G108" s="183">
        <f t="shared" si="2"/>
        <v>69.140624999999986</v>
      </c>
      <c r="H108" s="183">
        <f t="shared" si="2"/>
        <v>29.676354166666641</v>
      </c>
      <c r="I108" s="183">
        <f t="shared" si="2"/>
        <v>6.3744791666666671</v>
      </c>
      <c r="J108" s="183">
        <f t="shared" si="2"/>
        <v>0.32020833333333321</v>
      </c>
      <c r="K108" s="183">
        <f t="shared" si="2"/>
        <v>90.821770833333304</v>
      </c>
      <c r="L108" s="183">
        <f t="shared" si="2"/>
        <v>23.861666666666661</v>
      </c>
      <c r="M108" s="183">
        <f t="shared" si="2"/>
        <v>68.165729166666637</v>
      </c>
      <c r="N108" s="183">
        <f t="shared" si="2"/>
        <v>95.123958333333363</v>
      </c>
      <c r="O108" s="183">
        <f t="shared" si="2"/>
        <v>0</v>
      </c>
      <c r="P108" s="183">
        <f t="shared" si="2"/>
        <v>0.75302083333333336</v>
      </c>
      <c r="Q108" s="183">
        <f t="shared" si="2"/>
        <v>4.5146875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3.0271831454427436</v>
      </c>
      <c r="C109" s="183">
        <f t="shared" ref="C109:Q109" si="3">STDEV(C9:C104)</f>
        <v>2.2307446218655347</v>
      </c>
      <c r="D109" s="183">
        <f t="shared" si="3"/>
        <v>2.9941935621664939</v>
      </c>
      <c r="E109" s="183">
        <f t="shared" si="3"/>
        <v>0.80384459962782484</v>
      </c>
      <c r="F109" s="183">
        <f t="shared" si="3"/>
        <v>1.1190912470832133</v>
      </c>
      <c r="G109" s="183">
        <f t="shared" si="3"/>
        <v>10.690404532988962</v>
      </c>
      <c r="H109" s="183">
        <f t="shared" si="3"/>
        <v>3.7272753191609223</v>
      </c>
      <c r="I109" s="183">
        <f t="shared" si="3"/>
        <v>0.49080786205617255</v>
      </c>
      <c r="J109" s="183">
        <f t="shared" si="3"/>
        <v>0.19755867438450153</v>
      </c>
      <c r="K109" s="183">
        <f t="shared" si="3"/>
        <v>40.759446667252696</v>
      </c>
      <c r="L109" s="183">
        <f t="shared" si="3"/>
        <v>3.549485556992535</v>
      </c>
      <c r="M109" s="183">
        <f t="shared" si="3"/>
        <v>13.802565722189284</v>
      </c>
      <c r="N109" s="183">
        <f t="shared" si="3"/>
        <v>151.18057849701788</v>
      </c>
      <c r="O109" s="183">
        <f t="shared" si="3"/>
        <v>0</v>
      </c>
      <c r="P109" s="183">
        <f t="shared" si="3"/>
        <v>5.3883300638688604E-2</v>
      </c>
      <c r="Q109" s="183">
        <f t="shared" si="3"/>
        <v>0.10282282282999096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04/12/2023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527</v>
      </c>
      <c r="B9" s="189">
        <v>6.33</v>
      </c>
      <c r="C9" s="189">
        <v>24.67</v>
      </c>
      <c r="D9" s="189">
        <v>19.32</v>
      </c>
      <c r="E9" s="189">
        <v>8.86</v>
      </c>
      <c r="F9" s="189">
        <v>2.9</v>
      </c>
      <c r="G9" s="189">
        <v>74.17</v>
      </c>
      <c r="H9" s="189">
        <v>32.49</v>
      </c>
      <c r="I9" s="189">
        <v>6.41</v>
      </c>
      <c r="J9" s="189">
        <v>0.1</v>
      </c>
      <c r="K9" s="189">
        <v>172.83</v>
      </c>
      <c r="L9" s="189">
        <v>21.58</v>
      </c>
      <c r="M9" s="189">
        <v>75.84</v>
      </c>
      <c r="N9" s="189">
        <v>0</v>
      </c>
      <c r="O9" s="189">
        <v>0</v>
      </c>
      <c r="P9" s="189">
        <v>0.83</v>
      </c>
      <c r="Q9" s="189">
        <v>4.4800000000000004</v>
      </c>
    </row>
    <row r="10" spans="1:21" customFormat="1">
      <c r="A10" s="6" t="s">
        <v>528</v>
      </c>
      <c r="B10" s="189">
        <v>6.47</v>
      </c>
      <c r="C10" s="189">
        <v>26.15</v>
      </c>
      <c r="D10" s="189">
        <v>20.2</v>
      </c>
      <c r="E10" s="189">
        <v>8.7799999999999994</v>
      </c>
      <c r="F10" s="189">
        <v>3.09</v>
      </c>
      <c r="G10" s="189">
        <v>73.569999999999993</v>
      </c>
      <c r="H10" s="189">
        <v>32.659999999999997</v>
      </c>
      <c r="I10" s="189">
        <v>6.41</v>
      </c>
      <c r="J10" s="189">
        <v>0.08</v>
      </c>
      <c r="K10" s="189">
        <v>196.43</v>
      </c>
      <c r="L10" s="189">
        <v>21.18</v>
      </c>
      <c r="M10" s="189">
        <v>77.7</v>
      </c>
      <c r="N10" s="189">
        <v>0</v>
      </c>
      <c r="O10" s="189">
        <v>0</v>
      </c>
      <c r="P10" s="189">
        <v>0.84</v>
      </c>
      <c r="Q10" s="189">
        <v>4.4800000000000004</v>
      </c>
    </row>
    <row r="11" spans="1:21" customFormat="1">
      <c r="A11" s="6" t="s">
        <v>529</v>
      </c>
      <c r="B11" s="189">
        <v>6.5</v>
      </c>
      <c r="C11" s="189">
        <v>26.17</v>
      </c>
      <c r="D11" s="189">
        <v>20.239999999999998</v>
      </c>
      <c r="E11" s="189">
        <v>9.2799999999999994</v>
      </c>
      <c r="F11" s="189">
        <v>2.98</v>
      </c>
      <c r="G11" s="189">
        <v>73.28</v>
      </c>
      <c r="H11" s="189">
        <v>32.700000000000003</v>
      </c>
      <c r="I11" s="189">
        <v>6.4</v>
      </c>
      <c r="J11" s="189">
        <v>0.08</v>
      </c>
      <c r="K11" s="189">
        <v>75.66</v>
      </c>
      <c r="L11" s="189">
        <v>21.01</v>
      </c>
      <c r="M11" s="189">
        <v>77.819999999999993</v>
      </c>
      <c r="N11" s="189">
        <v>0</v>
      </c>
      <c r="O11" s="189">
        <v>0</v>
      </c>
      <c r="P11" s="189">
        <v>0.83</v>
      </c>
      <c r="Q11" s="189">
        <v>4.49</v>
      </c>
    </row>
    <row r="12" spans="1:21" customFormat="1">
      <c r="A12" s="6" t="s">
        <v>530</v>
      </c>
      <c r="B12" s="189">
        <v>6.94</v>
      </c>
      <c r="C12" s="189">
        <v>26.84</v>
      </c>
      <c r="D12" s="189">
        <v>20.94</v>
      </c>
      <c r="E12" s="189">
        <v>8.82</v>
      </c>
      <c r="F12" s="189">
        <v>2.8</v>
      </c>
      <c r="G12" s="189">
        <v>73.28</v>
      </c>
      <c r="H12" s="189">
        <v>32.700000000000003</v>
      </c>
      <c r="I12" s="189">
        <v>6.38</v>
      </c>
      <c r="J12" s="189">
        <v>0.12</v>
      </c>
      <c r="K12" s="189">
        <v>87.44</v>
      </c>
      <c r="L12" s="189">
        <v>21</v>
      </c>
      <c r="M12" s="189">
        <v>77.55</v>
      </c>
      <c r="N12" s="189">
        <v>0</v>
      </c>
      <c r="O12" s="189">
        <v>0</v>
      </c>
      <c r="P12" s="189">
        <v>0.84</v>
      </c>
      <c r="Q12" s="189">
        <v>4.51</v>
      </c>
    </row>
    <row r="13" spans="1:21" customFormat="1">
      <c r="A13" s="6" t="s">
        <v>531</v>
      </c>
      <c r="B13" s="189">
        <v>7.49</v>
      </c>
      <c r="C13" s="189">
        <v>27.12</v>
      </c>
      <c r="D13" s="189">
        <v>21.52</v>
      </c>
      <c r="E13" s="189">
        <v>8.99</v>
      </c>
      <c r="F13" s="189">
        <v>2.68</v>
      </c>
      <c r="G13" s="189">
        <v>73.28</v>
      </c>
      <c r="H13" s="189">
        <v>32.700000000000003</v>
      </c>
      <c r="I13" s="189">
        <v>6.37</v>
      </c>
      <c r="J13" s="189">
        <v>0.08</v>
      </c>
      <c r="K13" s="189">
        <v>77.989999999999995</v>
      </c>
      <c r="L13" s="189">
        <v>20.89</v>
      </c>
      <c r="M13" s="189">
        <v>78.709999999999994</v>
      </c>
      <c r="N13" s="189">
        <v>0</v>
      </c>
      <c r="O13" s="189">
        <v>0</v>
      </c>
      <c r="P13" s="189">
        <v>0.85</v>
      </c>
      <c r="Q13" s="189">
        <v>4.51</v>
      </c>
    </row>
    <row r="14" spans="1:21" customFormat="1">
      <c r="A14" s="6" t="s">
        <v>532</v>
      </c>
      <c r="B14" s="189">
        <v>7.76</v>
      </c>
      <c r="C14" s="189">
        <v>27.36</v>
      </c>
      <c r="D14" s="189">
        <v>21.87</v>
      </c>
      <c r="E14" s="189">
        <v>9.2200000000000006</v>
      </c>
      <c r="F14" s="189">
        <v>2.71</v>
      </c>
      <c r="G14" s="189">
        <v>71.25</v>
      </c>
      <c r="H14" s="189">
        <v>29.55</v>
      </c>
      <c r="I14" s="189">
        <v>6.39</v>
      </c>
      <c r="J14" s="189">
        <v>0.02</v>
      </c>
      <c r="K14" s="189">
        <v>159.93</v>
      </c>
      <c r="L14" s="189">
        <v>20.65</v>
      </c>
      <c r="M14" s="189">
        <v>80.73</v>
      </c>
      <c r="N14" s="189">
        <v>0</v>
      </c>
      <c r="O14" s="189">
        <v>0</v>
      </c>
      <c r="P14" s="189">
        <v>0.85</v>
      </c>
      <c r="Q14" s="189">
        <v>4.55</v>
      </c>
    </row>
    <row r="15" spans="1:21" customFormat="1">
      <c r="A15" s="6" t="s">
        <v>533</v>
      </c>
      <c r="B15" s="189">
        <v>7.96</v>
      </c>
      <c r="C15" s="189">
        <v>27.65</v>
      </c>
      <c r="D15" s="189">
        <v>22.18</v>
      </c>
      <c r="E15" s="189">
        <v>9.06</v>
      </c>
      <c r="F15" s="189">
        <v>2.71</v>
      </c>
      <c r="G15" s="189">
        <v>70.23</v>
      </c>
      <c r="H15" s="189">
        <v>29.17</v>
      </c>
      <c r="I15" s="189">
        <v>6.4</v>
      </c>
      <c r="J15" s="189">
        <v>7.0000000000000007E-2</v>
      </c>
      <c r="K15" s="189">
        <v>129.74</v>
      </c>
      <c r="L15" s="189">
        <v>20.55</v>
      </c>
      <c r="M15" s="189">
        <v>80.94</v>
      </c>
      <c r="N15" s="189">
        <v>0</v>
      </c>
      <c r="O15" s="189">
        <v>0</v>
      </c>
      <c r="P15" s="189">
        <v>0.84</v>
      </c>
      <c r="Q15" s="189">
        <v>4.5599999999999996</v>
      </c>
    </row>
    <row r="16" spans="1:21" customFormat="1">
      <c r="A16" s="6" t="s">
        <v>534</v>
      </c>
      <c r="B16" s="189">
        <v>8.24</v>
      </c>
      <c r="C16" s="189">
        <v>27.91</v>
      </c>
      <c r="D16" s="189">
        <v>22.54</v>
      </c>
      <c r="E16" s="189">
        <v>9.1199999999999992</v>
      </c>
      <c r="F16" s="189">
        <v>2.71</v>
      </c>
      <c r="G16" s="189">
        <v>70.23</v>
      </c>
      <c r="H16" s="189">
        <v>29.17</v>
      </c>
      <c r="I16" s="189">
        <v>6.43</v>
      </c>
      <c r="J16" s="189">
        <v>0.05</v>
      </c>
      <c r="K16" s="189">
        <v>114.43</v>
      </c>
      <c r="L16" s="189">
        <v>20.46</v>
      </c>
      <c r="M16" s="189">
        <v>81.569999999999993</v>
      </c>
      <c r="N16" s="189">
        <v>0</v>
      </c>
      <c r="O16" s="189">
        <v>0</v>
      </c>
      <c r="P16" s="189">
        <v>0.84</v>
      </c>
      <c r="Q16" s="189">
        <v>4.57</v>
      </c>
    </row>
    <row r="17" spans="1:17" customFormat="1">
      <c r="A17" s="6" t="s">
        <v>535</v>
      </c>
      <c r="B17" s="189">
        <v>8.2899999999999991</v>
      </c>
      <c r="C17" s="189">
        <v>27.64</v>
      </c>
      <c r="D17" s="189">
        <v>22.44</v>
      </c>
      <c r="E17" s="189">
        <v>7</v>
      </c>
      <c r="F17" s="189">
        <v>2.75</v>
      </c>
      <c r="G17" s="189">
        <v>70.23</v>
      </c>
      <c r="H17" s="189">
        <v>29.17</v>
      </c>
      <c r="I17" s="189">
        <v>6.45</v>
      </c>
      <c r="J17" s="189">
        <v>7.0000000000000007E-2</v>
      </c>
      <c r="K17" s="189">
        <v>182.58</v>
      </c>
      <c r="L17" s="189">
        <v>20.28</v>
      </c>
      <c r="M17" s="189">
        <v>82.4</v>
      </c>
      <c r="N17" s="189">
        <v>0</v>
      </c>
      <c r="O17" s="189">
        <v>0</v>
      </c>
      <c r="P17" s="189">
        <v>0.84</v>
      </c>
      <c r="Q17" s="189">
        <v>4.54</v>
      </c>
    </row>
    <row r="18" spans="1:17" customFormat="1">
      <c r="A18" s="6" t="s">
        <v>536</v>
      </c>
      <c r="B18" s="189">
        <v>8.59</v>
      </c>
      <c r="C18" s="189">
        <v>25.04</v>
      </c>
      <c r="D18" s="189">
        <v>21.32</v>
      </c>
      <c r="E18" s="189">
        <v>7.48</v>
      </c>
      <c r="F18" s="189">
        <v>2.98</v>
      </c>
      <c r="G18" s="189">
        <v>70.48</v>
      </c>
      <c r="H18" s="189">
        <v>29.48</v>
      </c>
      <c r="I18" s="189">
        <v>6.47</v>
      </c>
      <c r="J18" s="189">
        <v>0.06</v>
      </c>
      <c r="K18" s="189">
        <v>189.27</v>
      </c>
      <c r="L18" s="189">
        <v>20.05</v>
      </c>
      <c r="M18" s="189">
        <v>83.87</v>
      </c>
      <c r="N18" s="189">
        <v>0</v>
      </c>
      <c r="O18" s="189">
        <v>0</v>
      </c>
      <c r="P18" s="189">
        <v>0.83</v>
      </c>
      <c r="Q18" s="189">
        <v>4.5599999999999996</v>
      </c>
    </row>
    <row r="19" spans="1:17" customFormat="1">
      <c r="A19" s="6" t="s">
        <v>537</v>
      </c>
      <c r="B19" s="189">
        <v>8.89</v>
      </c>
      <c r="C19" s="189">
        <v>23.02</v>
      </c>
      <c r="D19" s="189">
        <v>20.51</v>
      </c>
      <c r="E19" s="189">
        <v>7.07</v>
      </c>
      <c r="F19" s="189">
        <v>2.91</v>
      </c>
      <c r="G19" s="189">
        <v>70.599999999999994</v>
      </c>
      <c r="H19" s="189">
        <v>29.51</v>
      </c>
      <c r="I19" s="189">
        <v>6.48</v>
      </c>
      <c r="J19" s="189">
        <v>0.04</v>
      </c>
      <c r="K19" s="189">
        <v>177.48</v>
      </c>
      <c r="L19" s="189">
        <v>19.93</v>
      </c>
      <c r="M19" s="189">
        <v>84.27</v>
      </c>
      <c r="N19" s="189">
        <v>0</v>
      </c>
      <c r="O19" s="189">
        <v>0</v>
      </c>
      <c r="P19" s="189">
        <v>0.81</v>
      </c>
      <c r="Q19" s="189">
        <v>4.58</v>
      </c>
    </row>
    <row r="20" spans="1:17" customFormat="1">
      <c r="A20" s="6" t="s">
        <v>538</v>
      </c>
      <c r="B20" s="189">
        <v>9.2200000000000006</v>
      </c>
      <c r="C20" s="189">
        <v>22.62</v>
      </c>
      <c r="D20" s="189">
        <v>20.56</v>
      </c>
      <c r="E20" s="189">
        <v>7.46</v>
      </c>
      <c r="F20" s="189">
        <v>2.84</v>
      </c>
      <c r="G20" s="189">
        <v>70.599999999999994</v>
      </c>
      <c r="H20" s="189">
        <v>29.51</v>
      </c>
      <c r="I20" s="189">
        <v>6.48</v>
      </c>
      <c r="J20" s="189">
        <v>7.0000000000000007E-2</v>
      </c>
      <c r="K20" s="189">
        <v>234.79</v>
      </c>
      <c r="L20" s="189">
        <v>19.86</v>
      </c>
      <c r="M20" s="189">
        <v>86.73</v>
      </c>
      <c r="N20" s="189">
        <v>0</v>
      </c>
      <c r="O20" s="189">
        <v>0</v>
      </c>
      <c r="P20" s="189">
        <v>0.8</v>
      </c>
      <c r="Q20" s="189">
        <v>4.57</v>
      </c>
    </row>
    <row r="21" spans="1:17" customFormat="1">
      <c r="A21" s="6" t="s">
        <v>539</v>
      </c>
      <c r="B21" s="189">
        <v>9.39</v>
      </c>
      <c r="C21" s="189">
        <v>23.12</v>
      </c>
      <c r="D21" s="189">
        <v>20.96</v>
      </c>
      <c r="E21" s="189">
        <v>7.37</v>
      </c>
      <c r="F21" s="189">
        <v>2.68</v>
      </c>
      <c r="G21" s="189">
        <v>70.599999999999994</v>
      </c>
      <c r="H21" s="189">
        <v>29.51</v>
      </c>
      <c r="I21" s="189">
        <v>6.48</v>
      </c>
      <c r="J21" s="189">
        <v>0.05</v>
      </c>
      <c r="K21" s="189">
        <v>217.47</v>
      </c>
      <c r="L21" s="189">
        <v>19.87</v>
      </c>
      <c r="M21" s="189">
        <v>87.16</v>
      </c>
      <c r="N21" s="189">
        <v>0</v>
      </c>
      <c r="O21" s="189">
        <v>0</v>
      </c>
      <c r="P21" s="189">
        <v>0.8</v>
      </c>
      <c r="Q21" s="189">
        <v>4.54</v>
      </c>
    </row>
    <row r="22" spans="1:17" customFormat="1">
      <c r="A22" s="6" t="s">
        <v>540</v>
      </c>
      <c r="B22" s="189">
        <v>9.59</v>
      </c>
      <c r="C22" s="189">
        <v>23.65</v>
      </c>
      <c r="D22" s="189">
        <v>21.4</v>
      </c>
      <c r="E22" s="189">
        <v>6.87</v>
      </c>
      <c r="F22" s="189">
        <v>2.56</v>
      </c>
      <c r="G22" s="189">
        <v>68.7</v>
      </c>
      <c r="H22" s="189">
        <v>31.32</v>
      </c>
      <c r="I22" s="189">
        <v>6.47</v>
      </c>
      <c r="J22" s="189">
        <v>0.08</v>
      </c>
      <c r="K22" s="189">
        <v>72</v>
      </c>
      <c r="L22" s="189">
        <v>20.12</v>
      </c>
      <c r="M22" s="189">
        <v>85.31</v>
      </c>
      <c r="N22" s="189">
        <v>0</v>
      </c>
      <c r="O22" s="189">
        <v>0</v>
      </c>
      <c r="P22" s="189">
        <v>0.81</v>
      </c>
      <c r="Q22" s="189">
        <v>4.54</v>
      </c>
    </row>
    <row r="23" spans="1:17" customFormat="1">
      <c r="A23" s="6" t="s">
        <v>541</v>
      </c>
      <c r="B23" s="189">
        <v>10.29</v>
      </c>
      <c r="C23" s="189">
        <v>24.29</v>
      </c>
      <c r="D23" s="189">
        <v>22.29</v>
      </c>
      <c r="E23" s="189">
        <v>7.59</v>
      </c>
      <c r="F23" s="189">
        <v>2.41</v>
      </c>
      <c r="G23" s="189">
        <v>67.75</v>
      </c>
      <c r="H23" s="189">
        <v>31.54</v>
      </c>
      <c r="I23" s="189">
        <v>6.44</v>
      </c>
      <c r="J23" s="189">
        <v>0.17</v>
      </c>
      <c r="K23" s="189">
        <v>52.57</v>
      </c>
      <c r="L23" s="189">
        <v>20.55</v>
      </c>
      <c r="M23" s="189">
        <v>81.92</v>
      </c>
      <c r="N23" s="189">
        <v>0</v>
      </c>
      <c r="O23" s="189">
        <v>0</v>
      </c>
      <c r="P23" s="189">
        <v>0.81</v>
      </c>
      <c r="Q23" s="189">
        <v>4.5599999999999996</v>
      </c>
    </row>
    <row r="24" spans="1:17" customFormat="1">
      <c r="A24" s="6" t="s">
        <v>542</v>
      </c>
      <c r="B24" s="189">
        <v>10.87</v>
      </c>
      <c r="C24" s="189">
        <v>24.41</v>
      </c>
      <c r="D24" s="189">
        <v>22.82</v>
      </c>
      <c r="E24" s="189">
        <v>7.69</v>
      </c>
      <c r="F24" s="189">
        <v>2.54</v>
      </c>
      <c r="G24" s="189">
        <v>67.75</v>
      </c>
      <c r="H24" s="189">
        <v>31.54</v>
      </c>
      <c r="I24" s="189">
        <v>6.45</v>
      </c>
      <c r="J24" s="189">
        <v>0.37</v>
      </c>
      <c r="K24" s="189">
        <v>46.01</v>
      </c>
      <c r="L24" s="189">
        <v>20.73</v>
      </c>
      <c r="M24" s="189">
        <v>80.47</v>
      </c>
      <c r="N24" s="189">
        <v>0</v>
      </c>
      <c r="O24" s="189">
        <v>0</v>
      </c>
      <c r="P24" s="189">
        <v>0.82</v>
      </c>
      <c r="Q24" s="189">
        <v>4.58</v>
      </c>
    </row>
    <row r="25" spans="1:17" customFormat="1">
      <c r="A25" s="6" t="s">
        <v>543</v>
      </c>
      <c r="B25" s="189">
        <v>10.93</v>
      </c>
      <c r="C25" s="189">
        <v>24.52</v>
      </c>
      <c r="D25" s="189">
        <v>22.93</v>
      </c>
      <c r="E25" s="189">
        <v>7.37</v>
      </c>
      <c r="F25" s="189">
        <v>2.7</v>
      </c>
      <c r="G25" s="189">
        <v>67.75</v>
      </c>
      <c r="H25" s="189">
        <v>31.54</v>
      </c>
      <c r="I25" s="189">
        <v>6.5</v>
      </c>
      <c r="J25" s="189">
        <v>0.37</v>
      </c>
      <c r="K25" s="189">
        <v>49.74</v>
      </c>
      <c r="L25" s="189">
        <v>20.64</v>
      </c>
      <c r="M25" s="189">
        <v>80.67</v>
      </c>
      <c r="N25" s="189">
        <v>0</v>
      </c>
      <c r="O25" s="189">
        <v>0</v>
      </c>
      <c r="P25" s="189">
        <v>0.82</v>
      </c>
      <c r="Q25" s="189">
        <v>4.59</v>
      </c>
    </row>
    <row r="26" spans="1:17" customFormat="1">
      <c r="A26" s="6" t="s">
        <v>544</v>
      </c>
      <c r="B26" s="189">
        <v>11.1</v>
      </c>
      <c r="C26" s="189">
        <v>24.66</v>
      </c>
      <c r="D26" s="189">
        <v>23.14</v>
      </c>
      <c r="E26" s="189">
        <v>6.76</v>
      </c>
      <c r="F26" s="189">
        <v>2.7</v>
      </c>
      <c r="G26" s="189">
        <v>70.23</v>
      </c>
      <c r="H26" s="189">
        <v>32.81</v>
      </c>
      <c r="I26" s="189">
        <v>6.5</v>
      </c>
      <c r="J26" s="189">
        <v>0.56999999999999995</v>
      </c>
      <c r="K26" s="189">
        <v>42.9</v>
      </c>
      <c r="L26" s="189">
        <v>20.41</v>
      </c>
      <c r="M26" s="189">
        <v>81.83</v>
      </c>
      <c r="N26" s="189">
        <v>0</v>
      </c>
      <c r="O26" s="189">
        <v>0</v>
      </c>
      <c r="P26" s="189">
        <v>0.82</v>
      </c>
      <c r="Q26" s="189">
        <v>4.59</v>
      </c>
    </row>
    <row r="27" spans="1:17" customFormat="1">
      <c r="A27" s="6" t="s">
        <v>545</v>
      </c>
      <c r="B27" s="189">
        <v>11.35</v>
      </c>
      <c r="C27" s="189">
        <v>23.33</v>
      </c>
      <c r="D27" s="189">
        <v>22.64</v>
      </c>
      <c r="E27" s="189">
        <v>7.15</v>
      </c>
      <c r="F27" s="189">
        <v>2.86</v>
      </c>
      <c r="G27" s="189">
        <v>71.47</v>
      </c>
      <c r="H27" s="189">
        <v>32.96</v>
      </c>
      <c r="I27" s="189">
        <v>6.49</v>
      </c>
      <c r="J27" s="189">
        <v>0.51</v>
      </c>
      <c r="K27" s="189">
        <v>28.94</v>
      </c>
      <c r="L27" s="189">
        <v>20.3</v>
      </c>
      <c r="M27" s="189">
        <v>82.08</v>
      </c>
      <c r="N27" s="189">
        <v>0</v>
      </c>
      <c r="O27" s="189">
        <v>0</v>
      </c>
      <c r="P27" s="189">
        <v>0.81</v>
      </c>
      <c r="Q27" s="189">
        <v>4.63</v>
      </c>
    </row>
    <row r="28" spans="1:17" customFormat="1">
      <c r="A28" s="6" t="s">
        <v>546</v>
      </c>
      <c r="B28" s="189">
        <v>11.41</v>
      </c>
      <c r="C28" s="189">
        <v>21.44</v>
      </c>
      <c r="D28" s="189">
        <v>21.7</v>
      </c>
      <c r="E28" s="189">
        <v>6.95</v>
      </c>
      <c r="F28" s="189">
        <v>3.04</v>
      </c>
      <c r="G28" s="189">
        <v>71.47</v>
      </c>
      <c r="H28" s="189">
        <v>32.96</v>
      </c>
      <c r="I28" s="189">
        <v>6.51</v>
      </c>
      <c r="J28" s="189">
        <v>0.6</v>
      </c>
      <c r="K28" s="189">
        <v>45.42</v>
      </c>
      <c r="L28" s="189">
        <v>20.14</v>
      </c>
      <c r="M28" s="189">
        <v>82.31</v>
      </c>
      <c r="N28" s="189">
        <v>0</v>
      </c>
      <c r="O28" s="189">
        <v>0</v>
      </c>
      <c r="P28" s="189">
        <v>0.81</v>
      </c>
      <c r="Q28" s="189">
        <v>4.6399999999999997</v>
      </c>
    </row>
    <row r="29" spans="1:17" customFormat="1">
      <c r="A29" s="6" t="s">
        <v>547</v>
      </c>
      <c r="B29" s="189">
        <v>11.21</v>
      </c>
      <c r="C29" s="189">
        <v>23.17</v>
      </c>
      <c r="D29" s="189">
        <v>22.45</v>
      </c>
      <c r="E29" s="189">
        <v>6.98</v>
      </c>
      <c r="F29" s="189">
        <v>2.74</v>
      </c>
      <c r="G29" s="189">
        <v>71.47</v>
      </c>
      <c r="H29" s="189">
        <v>32.96</v>
      </c>
      <c r="I29" s="189">
        <v>6.53</v>
      </c>
      <c r="J29" s="189">
        <v>0.48</v>
      </c>
      <c r="K29" s="189">
        <v>47.7</v>
      </c>
      <c r="L29" s="189">
        <v>19.989999999999998</v>
      </c>
      <c r="M29" s="189">
        <v>82.78</v>
      </c>
      <c r="N29" s="189">
        <v>0</v>
      </c>
      <c r="O29" s="189">
        <v>0</v>
      </c>
      <c r="P29" s="189">
        <v>0.81</v>
      </c>
      <c r="Q29" s="189">
        <v>4.5999999999999996</v>
      </c>
    </row>
    <row r="30" spans="1:17" customFormat="1">
      <c r="A30" s="6" t="s">
        <v>548</v>
      </c>
      <c r="B30" s="189">
        <v>11.16</v>
      </c>
      <c r="C30" s="189">
        <v>23.04</v>
      </c>
      <c r="D30" s="189">
        <v>22.34</v>
      </c>
      <c r="E30" s="189">
        <v>7.23</v>
      </c>
      <c r="F30" s="189">
        <v>2.81</v>
      </c>
      <c r="G30" s="189">
        <v>67.97</v>
      </c>
      <c r="H30" s="189">
        <v>32.19</v>
      </c>
      <c r="I30" s="189">
        <v>6.54</v>
      </c>
      <c r="J30" s="189">
        <v>0.52</v>
      </c>
      <c r="K30" s="189">
        <v>44.06</v>
      </c>
      <c r="L30" s="189">
        <v>19.95</v>
      </c>
      <c r="M30" s="189">
        <v>82.88</v>
      </c>
      <c r="N30" s="189">
        <v>0</v>
      </c>
      <c r="O30" s="189">
        <v>0</v>
      </c>
      <c r="P30" s="189">
        <v>0.81</v>
      </c>
      <c r="Q30" s="189">
        <v>4.5999999999999996</v>
      </c>
    </row>
    <row r="31" spans="1:17" customFormat="1">
      <c r="A31" s="6" t="s">
        <v>549</v>
      </c>
      <c r="B31" s="189">
        <v>11.35</v>
      </c>
      <c r="C31" s="189">
        <v>23.58</v>
      </c>
      <c r="D31" s="189">
        <v>22.77</v>
      </c>
      <c r="E31" s="189">
        <v>7.42</v>
      </c>
      <c r="F31" s="189">
        <v>2.65</v>
      </c>
      <c r="G31" s="189">
        <v>66.209999999999994</v>
      </c>
      <c r="H31" s="189">
        <v>32.1</v>
      </c>
      <c r="I31" s="189">
        <v>6.55</v>
      </c>
      <c r="J31" s="189">
        <v>0.67</v>
      </c>
      <c r="K31" s="189">
        <v>50.23</v>
      </c>
      <c r="L31" s="189">
        <v>19.78</v>
      </c>
      <c r="M31" s="189">
        <v>83.4</v>
      </c>
      <c r="N31" s="189">
        <v>0</v>
      </c>
      <c r="O31" s="189">
        <v>0</v>
      </c>
      <c r="P31" s="189">
        <v>0.81</v>
      </c>
      <c r="Q31" s="189">
        <v>4.62</v>
      </c>
    </row>
    <row r="32" spans="1:17" customFormat="1">
      <c r="A32" s="6" t="s">
        <v>550</v>
      </c>
      <c r="B32" s="189">
        <v>11.47</v>
      </c>
      <c r="C32" s="189">
        <v>22.71</v>
      </c>
      <c r="D32" s="189">
        <v>22.41</v>
      </c>
      <c r="E32" s="189">
        <v>7.35</v>
      </c>
      <c r="F32" s="189">
        <v>2.66</v>
      </c>
      <c r="G32" s="189">
        <v>66.209999999999994</v>
      </c>
      <c r="H32" s="189">
        <v>32.1</v>
      </c>
      <c r="I32" s="189">
        <v>6.58</v>
      </c>
      <c r="J32" s="189">
        <v>0.62</v>
      </c>
      <c r="K32" s="189">
        <v>52.85</v>
      </c>
      <c r="L32" s="189">
        <v>19.64</v>
      </c>
      <c r="M32" s="189">
        <v>84.31</v>
      </c>
      <c r="N32" s="189">
        <v>0</v>
      </c>
      <c r="O32" s="189">
        <v>0</v>
      </c>
      <c r="P32" s="189">
        <v>0.81</v>
      </c>
      <c r="Q32" s="189">
        <v>4.6100000000000003</v>
      </c>
    </row>
    <row r="33" spans="1:17" customFormat="1">
      <c r="A33" s="6" t="s">
        <v>551</v>
      </c>
      <c r="B33" s="189">
        <v>11.68</v>
      </c>
      <c r="C33" s="189">
        <v>23.19</v>
      </c>
      <c r="D33" s="189">
        <v>22.83</v>
      </c>
      <c r="E33" s="189">
        <v>7.34</v>
      </c>
      <c r="F33" s="189">
        <v>2.5299999999999998</v>
      </c>
      <c r="G33" s="189">
        <v>66.209999999999994</v>
      </c>
      <c r="H33" s="189">
        <v>32.1</v>
      </c>
      <c r="I33" s="189">
        <v>6.58</v>
      </c>
      <c r="J33" s="189">
        <v>0.56999999999999995</v>
      </c>
      <c r="K33" s="189">
        <v>40.69</v>
      </c>
      <c r="L33" s="189">
        <v>19.510000000000002</v>
      </c>
      <c r="M33" s="189">
        <v>85.32</v>
      </c>
      <c r="N33" s="189">
        <v>0</v>
      </c>
      <c r="O33" s="189">
        <v>0</v>
      </c>
      <c r="P33" s="189">
        <v>0.81</v>
      </c>
      <c r="Q33" s="189">
        <v>4.62</v>
      </c>
    </row>
    <row r="34" spans="1:17" customFormat="1">
      <c r="A34" s="6" t="s">
        <v>552</v>
      </c>
      <c r="B34" s="189">
        <v>11.85</v>
      </c>
      <c r="C34" s="189">
        <v>23.01</v>
      </c>
      <c r="D34" s="189">
        <v>22.87</v>
      </c>
      <c r="E34" s="189">
        <v>6.96</v>
      </c>
      <c r="F34" s="189">
        <v>2.73</v>
      </c>
      <c r="G34" s="189">
        <v>69.09</v>
      </c>
      <c r="H34" s="189">
        <v>30.27</v>
      </c>
      <c r="I34" s="189">
        <v>6.6</v>
      </c>
      <c r="J34" s="189">
        <v>0.56000000000000005</v>
      </c>
      <c r="K34" s="189">
        <v>50.47</v>
      </c>
      <c r="L34" s="189">
        <v>19.440000000000001</v>
      </c>
      <c r="M34" s="189">
        <v>85.9</v>
      </c>
      <c r="N34" s="189">
        <v>0</v>
      </c>
      <c r="O34" s="189">
        <v>0</v>
      </c>
      <c r="P34" s="189">
        <v>0.81</v>
      </c>
      <c r="Q34" s="189">
        <v>4.62</v>
      </c>
    </row>
    <row r="35" spans="1:17" customFormat="1">
      <c r="A35" s="6" t="s">
        <v>553</v>
      </c>
      <c r="B35" s="189">
        <v>12.25</v>
      </c>
      <c r="C35" s="189">
        <v>24.19</v>
      </c>
      <c r="D35" s="189">
        <v>23.81</v>
      </c>
      <c r="E35" s="189">
        <v>7.08</v>
      </c>
      <c r="F35" s="189">
        <v>2.61</v>
      </c>
      <c r="G35" s="189">
        <v>70.52</v>
      </c>
      <c r="H35" s="189">
        <v>29.92</v>
      </c>
      <c r="I35" s="189">
        <v>6.62</v>
      </c>
      <c r="J35" s="189">
        <v>0.54</v>
      </c>
      <c r="K35" s="189">
        <v>51.53</v>
      </c>
      <c r="L35" s="189">
        <v>19.41</v>
      </c>
      <c r="M35" s="189">
        <v>86.35</v>
      </c>
      <c r="N35" s="189">
        <v>1.2</v>
      </c>
      <c r="O35" s="189">
        <v>0</v>
      </c>
      <c r="P35" s="189">
        <v>0.82</v>
      </c>
      <c r="Q35" s="189">
        <v>4.63</v>
      </c>
    </row>
    <row r="36" spans="1:17" customFormat="1">
      <c r="A36" s="6" t="s">
        <v>554</v>
      </c>
      <c r="B36" s="189">
        <v>12.84</v>
      </c>
      <c r="C36" s="189">
        <v>23.08</v>
      </c>
      <c r="D36" s="189">
        <v>23.71</v>
      </c>
      <c r="E36" s="189">
        <v>7.39</v>
      </c>
      <c r="F36" s="189">
        <v>2.71</v>
      </c>
      <c r="G36" s="189">
        <v>70.52</v>
      </c>
      <c r="H36" s="189">
        <v>29.92</v>
      </c>
      <c r="I36" s="189">
        <v>6.66</v>
      </c>
      <c r="J36" s="189">
        <v>0.61</v>
      </c>
      <c r="K36" s="189">
        <v>46.43</v>
      </c>
      <c r="L36" s="189">
        <v>19.45</v>
      </c>
      <c r="M36" s="189">
        <v>86.89</v>
      </c>
      <c r="N36" s="189">
        <v>8.8000000000000007</v>
      </c>
      <c r="O36" s="189">
        <v>0</v>
      </c>
      <c r="P36" s="189">
        <v>0.82</v>
      </c>
      <c r="Q36" s="189">
        <v>4.67</v>
      </c>
    </row>
    <row r="37" spans="1:17" customFormat="1">
      <c r="A37" s="6" t="s">
        <v>555</v>
      </c>
      <c r="B37" s="189">
        <v>13.18</v>
      </c>
      <c r="C37" s="189">
        <v>23.24</v>
      </c>
      <c r="D37" s="189">
        <v>24.06</v>
      </c>
      <c r="E37" s="189">
        <v>8.1300000000000008</v>
      </c>
      <c r="F37" s="189">
        <v>2.79</v>
      </c>
      <c r="G37" s="189">
        <v>70.52</v>
      </c>
      <c r="H37" s="189">
        <v>29.92</v>
      </c>
      <c r="I37" s="189">
        <v>6.68</v>
      </c>
      <c r="J37" s="189">
        <v>0.55000000000000004</v>
      </c>
      <c r="K37" s="189">
        <v>43.86</v>
      </c>
      <c r="L37" s="189">
        <v>19.71</v>
      </c>
      <c r="M37" s="189">
        <v>86.16</v>
      </c>
      <c r="N37" s="189">
        <v>15.2</v>
      </c>
      <c r="O37" s="189">
        <v>0</v>
      </c>
      <c r="P37" s="189">
        <v>0.83</v>
      </c>
      <c r="Q37" s="189">
        <v>4.7</v>
      </c>
    </row>
    <row r="38" spans="1:17" customFormat="1">
      <c r="A38" s="6" t="s">
        <v>556</v>
      </c>
      <c r="B38" s="189">
        <v>13.47</v>
      </c>
      <c r="C38" s="189">
        <v>23.7</v>
      </c>
      <c r="D38" s="189">
        <v>24.54</v>
      </c>
      <c r="E38" s="189">
        <v>8.41</v>
      </c>
      <c r="F38" s="189">
        <v>2.7</v>
      </c>
      <c r="G38" s="189">
        <v>71.13</v>
      </c>
      <c r="H38" s="189">
        <v>32.53</v>
      </c>
      <c r="I38" s="189">
        <v>6.73</v>
      </c>
      <c r="J38" s="189">
        <v>0.31</v>
      </c>
      <c r="K38" s="189">
        <v>53.33</v>
      </c>
      <c r="L38" s="189">
        <v>19.98</v>
      </c>
      <c r="M38" s="189">
        <v>85.91</v>
      </c>
      <c r="N38" s="189">
        <v>18.2</v>
      </c>
      <c r="O38" s="189">
        <v>0</v>
      </c>
      <c r="P38" s="189">
        <v>0.85</v>
      </c>
      <c r="Q38" s="189">
        <v>4.7</v>
      </c>
    </row>
    <row r="39" spans="1:17" customFormat="1">
      <c r="A39" s="6" t="s">
        <v>557</v>
      </c>
      <c r="B39" s="189">
        <v>14</v>
      </c>
      <c r="C39" s="189">
        <v>24.34</v>
      </c>
      <c r="D39" s="189">
        <v>25.3</v>
      </c>
      <c r="E39" s="189">
        <v>7.73</v>
      </c>
      <c r="F39" s="189">
        <v>2.67</v>
      </c>
      <c r="G39" s="189">
        <v>71.430000000000007</v>
      </c>
      <c r="H39" s="189">
        <v>32.840000000000003</v>
      </c>
      <c r="I39" s="189">
        <v>6.8</v>
      </c>
      <c r="J39" s="189">
        <v>0.38</v>
      </c>
      <c r="K39" s="189">
        <v>40.49</v>
      </c>
      <c r="L39" s="189">
        <v>20.190000000000001</v>
      </c>
      <c r="M39" s="189">
        <v>85.84</v>
      </c>
      <c r="N39" s="189">
        <v>18.600000000000001</v>
      </c>
      <c r="O39" s="189">
        <v>0</v>
      </c>
      <c r="P39" s="189">
        <v>0.86</v>
      </c>
      <c r="Q39" s="189">
        <v>4.71</v>
      </c>
    </row>
    <row r="40" spans="1:17" customFormat="1">
      <c r="A40" s="6" t="s">
        <v>558</v>
      </c>
      <c r="B40" s="189">
        <v>14.86</v>
      </c>
      <c r="C40" s="189">
        <v>24.98</v>
      </c>
      <c r="D40" s="189">
        <v>26.32</v>
      </c>
      <c r="E40" s="189">
        <v>8.06</v>
      </c>
      <c r="F40" s="189">
        <v>2.68</v>
      </c>
      <c r="G40" s="189">
        <v>71.430000000000007</v>
      </c>
      <c r="H40" s="189">
        <v>32.840000000000003</v>
      </c>
      <c r="I40" s="189">
        <v>6.87</v>
      </c>
      <c r="J40" s="189">
        <v>0.27</v>
      </c>
      <c r="K40" s="189">
        <v>47.32</v>
      </c>
      <c r="L40" s="189">
        <v>20.61</v>
      </c>
      <c r="M40" s="189">
        <v>83.95</v>
      </c>
      <c r="N40" s="189">
        <v>45.9</v>
      </c>
      <c r="O40" s="189">
        <v>0</v>
      </c>
      <c r="P40" s="189">
        <v>0.89</v>
      </c>
      <c r="Q40" s="189">
        <v>4.72</v>
      </c>
    </row>
    <row r="41" spans="1:17" customFormat="1">
      <c r="A41" s="6" t="s">
        <v>559</v>
      </c>
      <c r="B41" s="189">
        <v>15.49</v>
      </c>
      <c r="C41" s="189">
        <v>25.72</v>
      </c>
      <c r="D41" s="189">
        <v>27.21</v>
      </c>
      <c r="E41" s="189">
        <v>7.99</v>
      </c>
      <c r="F41" s="189">
        <v>2.7</v>
      </c>
      <c r="G41" s="189">
        <v>71.430000000000007</v>
      </c>
      <c r="H41" s="189">
        <v>32.840000000000003</v>
      </c>
      <c r="I41" s="189">
        <v>7</v>
      </c>
      <c r="J41" s="189">
        <v>0.49</v>
      </c>
      <c r="K41" s="189">
        <v>45.77</v>
      </c>
      <c r="L41" s="189">
        <v>21.16</v>
      </c>
      <c r="M41" s="189">
        <v>82.01</v>
      </c>
      <c r="N41" s="189">
        <v>84.4</v>
      </c>
      <c r="O41" s="189">
        <v>0</v>
      </c>
      <c r="P41" s="189">
        <v>0.89</v>
      </c>
      <c r="Q41" s="189">
        <v>4.76</v>
      </c>
    </row>
    <row r="42" spans="1:17" customFormat="1">
      <c r="A42" s="6" t="s">
        <v>560</v>
      </c>
      <c r="B42" s="189">
        <v>15.85</v>
      </c>
      <c r="C42" s="189">
        <v>26.05</v>
      </c>
      <c r="D42" s="189">
        <v>27.67</v>
      </c>
      <c r="E42" s="189">
        <v>7.93</v>
      </c>
      <c r="F42" s="189">
        <v>2.76</v>
      </c>
      <c r="G42" s="189">
        <v>78.41</v>
      </c>
      <c r="H42" s="189">
        <v>33.659999999999997</v>
      </c>
      <c r="I42" s="189">
        <v>7.19</v>
      </c>
      <c r="J42" s="189">
        <v>0.46</v>
      </c>
      <c r="K42" s="189">
        <v>34.450000000000003</v>
      </c>
      <c r="L42" s="189">
        <v>21.67</v>
      </c>
      <c r="M42" s="189">
        <v>80.63</v>
      </c>
      <c r="N42" s="189">
        <v>98.7</v>
      </c>
      <c r="O42" s="189">
        <v>0</v>
      </c>
      <c r="P42" s="189">
        <v>0.91</v>
      </c>
      <c r="Q42" s="189">
        <v>4.79</v>
      </c>
    </row>
    <row r="43" spans="1:17" customFormat="1">
      <c r="A43" s="6" t="s">
        <v>561</v>
      </c>
      <c r="B43" s="189">
        <v>16.02</v>
      </c>
      <c r="C43" s="189">
        <v>26.68</v>
      </c>
      <c r="D43" s="189">
        <v>28.14</v>
      </c>
      <c r="E43" s="189">
        <v>8.01</v>
      </c>
      <c r="F43" s="189">
        <v>2.72</v>
      </c>
      <c r="G43" s="189">
        <v>81.900000000000006</v>
      </c>
      <c r="H43" s="189">
        <v>33.76</v>
      </c>
      <c r="I43" s="189">
        <v>7.37</v>
      </c>
      <c r="J43" s="189">
        <v>0.57999999999999996</v>
      </c>
      <c r="K43" s="189">
        <v>51.74</v>
      </c>
      <c r="L43" s="189">
        <v>22.21</v>
      </c>
      <c r="M43" s="189">
        <v>78.89</v>
      </c>
      <c r="N43" s="189">
        <v>136.80000000000001</v>
      </c>
      <c r="O43" s="189">
        <v>0</v>
      </c>
      <c r="P43" s="189">
        <v>0.92</v>
      </c>
      <c r="Q43" s="189">
        <v>4.79</v>
      </c>
    </row>
    <row r="44" spans="1:17" customFormat="1">
      <c r="A44" s="6" t="s">
        <v>562</v>
      </c>
      <c r="B44" s="189">
        <v>16.09</v>
      </c>
      <c r="C44" s="189">
        <v>27.08</v>
      </c>
      <c r="D44" s="189">
        <v>28.4</v>
      </c>
      <c r="E44" s="189">
        <v>8.18</v>
      </c>
      <c r="F44" s="189">
        <v>2.82</v>
      </c>
      <c r="G44" s="189">
        <v>81.900000000000006</v>
      </c>
      <c r="H44" s="189">
        <v>33.76</v>
      </c>
      <c r="I44" s="189">
        <v>7.55</v>
      </c>
      <c r="J44" s="189">
        <v>0.67</v>
      </c>
      <c r="K44" s="189">
        <v>56.11</v>
      </c>
      <c r="L44" s="189">
        <v>22.95</v>
      </c>
      <c r="M44" s="189">
        <v>75.38</v>
      </c>
      <c r="N44" s="189">
        <v>148.69999999999999</v>
      </c>
      <c r="O44" s="189">
        <v>0</v>
      </c>
      <c r="P44" s="189">
        <v>0.94</v>
      </c>
      <c r="Q44" s="189">
        <v>4.8</v>
      </c>
    </row>
    <row r="45" spans="1:17" customFormat="1">
      <c r="A45" s="6" t="s">
        <v>563</v>
      </c>
      <c r="B45" s="189">
        <v>15.46</v>
      </c>
      <c r="C45" s="189">
        <v>27.41</v>
      </c>
      <c r="D45" s="189">
        <v>28.07</v>
      </c>
      <c r="E45" s="189">
        <v>8.6199999999999992</v>
      </c>
      <c r="F45" s="189">
        <v>2.87</v>
      </c>
      <c r="G45" s="189">
        <v>81.900000000000006</v>
      </c>
      <c r="H45" s="189">
        <v>33.76</v>
      </c>
      <c r="I45" s="189">
        <v>7.68</v>
      </c>
      <c r="J45" s="189">
        <v>0.74</v>
      </c>
      <c r="K45" s="189">
        <v>49.48</v>
      </c>
      <c r="L45" s="189">
        <v>23.29</v>
      </c>
      <c r="M45" s="189">
        <v>73.739999999999995</v>
      </c>
      <c r="N45" s="189">
        <v>119.6</v>
      </c>
      <c r="O45" s="189">
        <v>0</v>
      </c>
      <c r="P45" s="189">
        <v>0.96</v>
      </c>
      <c r="Q45" s="189">
        <v>4.8</v>
      </c>
    </row>
    <row r="46" spans="1:17" customFormat="1">
      <c r="A46" s="6" t="s">
        <v>564</v>
      </c>
      <c r="B46" s="189">
        <v>14.75</v>
      </c>
      <c r="C46" s="189">
        <v>27.6</v>
      </c>
      <c r="D46" s="189">
        <v>27.6</v>
      </c>
      <c r="E46" s="189">
        <v>8.41</v>
      </c>
      <c r="F46" s="189">
        <v>2.9</v>
      </c>
      <c r="G46" s="189">
        <v>82.49</v>
      </c>
      <c r="H46" s="189">
        <v>34.36</v>
      </c>
      <c r="I46" s="189">
        <v>7.76</v>
      </c>
      <c r="J46" s="189">
        <v>0.57999999999999996</v>
      </c>
      <c r="K46" s="189">
        <v>64.78</v>
      </c>
      <c r="L46" s="189">
        <v>23.64</v>
      </c>
      <c r="M46" s="189">
        <v>72.67</v>
      </c>
      <c r="N46" s="189">
        <v>111.2</v>
      </c>
      <c r="O46" s="189">
        <v>0</v>
      </c>
      <c r="P46" s="189">
        <v>0.96</v>
      </c>
      <c r="Q46" s="189">
        <v>4.78</v>
      </c>
    </row>
    <row r="47" spans="1:17" customFormat="1">
      <c r="A47" s="6" t="s">
        <v>565</v>
      </c>
      <c r="B47" s="189">
        <v>13.89</v>
      </c>
      <c r="C47" s="189">
        <v>27.95</v>
      </c>
      <c r="D47" s="189">
        <v>27.09</v>
      </c>
      <c r="E47" s="189">
        <v>8.39</v>
      </c>
      <c r="F47" s="189">
        <v>2.76</v>
      </c>
      <c r="G47" s="189">
        <v>82.79</v>
      </c>
      <c r="H47" s="189">
        <v>34.43</v>
      </c>
      <c r="I47" s="189">
        <v>7.87</v>
      </c>
      <c r="J47" s="189">
        <v>0.51</v>
      </c>
      <c r="K47" s="189">
        <v>47.02</v>
      </c>
      <c r="L47" s="189">
        <v>23.99</v>
      </c>
      <c r="M47" s="189">
        <v>72.290000000000006</v>
      </c>
      <c r="N47" s="189">
        <v>80.900000000000006</v>
      </c>
      <c r="O47" s="189">
        <v>0</v>
      </c>
      <c r="P47" s="189">
        <v>0.97</v>
      </c>
      <c r="Q47" s="189">
        <v>4.78</v>
      </c>
    </row>
    <row r="48" spans="1:17" customFormat="1">
      <c r="A48" s="6" t="s">
        <v>566</v>
      </c>
      <c r="B48" s="189">
        <v>13.53</v>
      </c>
      <c r="C48" s="189">
        <v>28.61</v>
      </c>
      <c r="D48" s="189">
        <v>27.15</v>
      </c>
      <c r="E48" s="189">
        <v>8.7200000000000006</v>
      </c>
      <c r="F48" s="189">
        <v>2.75</v>
      </c>
      <c r="G48" s="189">
        <v>82.79</v>
      </c>
      <c r="H48" s="189">
        <v>34.43</v>
      </c>
      <c r="I48" s="189">
        <v>7.93</v>
      </c>
      <c r="J48" s="189">
        <v>0.52</v>
      </c>
      <c r="K48" s="189">
        <v>50.42</v>
      </c>
      <c r="L48" s="189">
        <v>24.15</v>
      </c>
      <c r="M48" s="189">
        <v>71.58</v>
      </c>
      <c r="N48" s="189">
        <v>65.400000000000006</v>
      </c>
      <c r="O48" s="189">
        <v>0</v>
      </c>
      <c r="P48" s="189">
        <v>0.98</v>
      </c>
      <c r="Q48" s="189">
        <v>4.76</v>
      </c>
    </row>
    <row r="49" spans="1:17" customFormat="1">
      <c r="A49" s="6" t="s">
        <v>567</v>
      </c>
      <c r="B49" s="189">
        <v>13.29</v>
      </c>
      <c r="C49" s="189">
        <v>29.16</v>
      </c>
      <c r="D49" s="189">
        <v>27.24</v>
      </c>
      <c r="E49" s="189">
        <v>8.4</v>
      </c>
      <c r="F49" s="189">
        <v>2.73</v>
      </c>
      <c r="G49" s="189">
        <v>82.79</v>
      </c>
      <c r="H49" s="189">
        <v>34.43</v>
      </c>
      <c r="I49" s="189">
        <v>7.98</v>
      </c>
      <c r="J49" s="189">
        <v>0.63</v>
      </c>
      <c r="K49" s="189">
        <v>49.52</v>
      </c>
      <c r="L49" s="189">
        <v>24.26</v>
      </c>
      <c r="M49" s="189">
        <v>70.37</v>
      </c>
      <c r="N49" s="189">
        <v>57.7</v>
      </c>
      <c r="O49" s="189">
        <v>0</v>
      </c>
      <c r="P49" s="189">
        <v>1</v>
      </c>
      <c r="Q49" s="189">
        <v>4.76</v>
      </c>
    </row>
    <row r="50" spans="1:17" customFormat="1">
      <c r="A50" s="6" t="s">
        <v>568</v>
      </c>
      <c r="B50" s="189">
        <v>13</v>
      </c>
      <c r="C50" s="189">
        <v>29.79</v>
      </c>
      <c r="D50" s="189">
        <v>27.34</v>
      </c>
      <c r="E50" s="189">
        <v>9.67</v>
      </c>
      <c r="F50" s="189">
        <v>2.93</v>
      </c>
      <c r="G50" s="189">
        <v>85.64</v>
      </c>
      <c r="H50" s="189">
        <v>31.69</v>
      </c>
      <c r="I50" s="189">
        <v>8.02</v>
      </c>
      <c r="J50" s="189">
        <v>0.56999999999999995</v>
      </c>
      <c r="K50" s="189">
        <v>54.23</v>
      </c>
      <c r="L50" s="189">
        <v>24.48</v>
      </c>
      <c r="M50" s="189">
        <v>68.88</v>
      </c>
      <c r="N50" s="189">
        <v>93.8</v>
      </c>
      <c r="O50" s="189">
        <v>0</v>
      </c>
      <c r="P50" s="189">
        <v>1.02</v>
      </c>
      <c r="Q50" s="189">
        <v>4.74</v>
      </c>
    </row>
    <row r="51" spans="1:17" customFormat="1">
      <c r="A51" s="6" t="s">
        <v>569</v>
      </c>
      <c r="B51" s="189">
        <v>12.34</v>
      </c>
      <c r="C51" s="189">
        <v>30.08</v>
      </c>
      <c r="D51" s="189">
        <v>26.96</v>
      </c>
      <c r="E51" s="189">
        <v>9.98</v>
      </c>
      <c r="F51" s="189">
        <v>2.99</v>
      </c>
      <c r="G51" s="189">
        <v>87.07</v>
      </c>
      <c r="H51" s="189">
        <v>31.36</v>
      </c>
      <c r="I51" s="189">
        <v>8.06</v>
      </c>
      <c r="J51" s="189">
        <v>0.47</v>
      </c>
      <c r="K51" s="189">
        <v>61.16</v>
      </c>
      <c r="L51" s="189">
        <v>24.91</v>
      </c>
      <c r="M51" s="189">
        <v>67.73</v>
      </c>
      <c r="N51" s="189">
        <v>117.5</v>
      </c>
      <c r="O51" s="189">
        <v>0</v>
      </c>
      <c r="P51" s="189">
        <v>1.02</v>
      </c>
      <c r="Q51" s="189">
        <v>4.74</v>
      </c>
    </row>
    <row r="52" spans="1:17" customFormat="1">
      <c r="A52" s="6" t="s">
        <v>570</v>
      </c>
      <c r="B52" s="189">
        <v>11.66</v>
      </c>
      <c r="C52" s="189">
        <v>29.93</v>
      </c>
      <c r="D52" s="189">
        <v>26.34</v>
      </c>
      <c r="E52" s="189">
        <v>10.199999999999999</v>
      </c>
      <c r="F52" s="189">
        <v>2.9</v>
      </c>
      <c r="G52" s="189">
        <v>87.07</v>
      </c>
      <c r="H52" s="189">
        <v>31.36</v>
      </c>
      <c r="I52" s="189">
        <v>8.1199999999999992</v>
      </c>
      <c r="J52" s="189">
        <v>0.75</v>
      </c>
      <c r="K52" s="189">
        <v>43.46</v>
      </c>
      <c r="L52" s="189">
        <v>25.11</v>
      </c>
      <c r="M52" s="189">
        <v>67.2</v>
      </c>
      <c r="N52" s="189">
        <v>117</v>
      </c>
      <c r="O52" s="189">
        <v>0</v>
      </c>
      <c r="P52" s="189">
        <v>1.02</v>
      </c>
      <c r="Q52" s="189">
        <v>4.74</v>
      </c>
    </row>
    <row r="53" spans="1:17" customFormat="1">
      <c r="A53" s="6" t="s">
        <v>571</v>
      </c>
      <c r="B53" s="189">
        <v>11.12</v>
      </c>
      <c r="C53" s="189">
        <v>29.97</v>
      </c>
      <c r="D53" s="189">
        <v>25.93</v>
      </c>
      <c r="E53" s="189">
        <v>10.029999999999999</v>
      </c>
      <c r="F53" s="189">
        <v>3.05</v>
      </c>
      <c r="G53" s="189">
        <v>87.07</v>
      </c>
      <c r="H53" s="189">
        <v>31.36</v>
      </c>
      <c r="I53" s="189">
        <v>8.16</v>
      </c>
      <c r="J53" s="189">
        <v>0.79</v>
      </c>
      <c r="K53" s="189">
        <v>41.36</v>
      </c>
      <c r="L53" s="189">
        <v>25.09</v>
      </c>
      <c r="M53" s="189">
        <v>67.739999999999995</v>
      </c>
      <c r="N53" s="189">
        <v>135.9</v>
      </c>
      <c r="O53" s="189">
        <v>0</v>
      </c>
      <c r="P53" s="189">
        <v>1.03</v>
      </c>
      <c r="Q53" s="189">
        <v>4.71</v>
      </c>
    </row>
    <row r="54" spans="1:17" customFormat="1">
      <c r="A54" s="6" t="s">
        <v>572</v>
      </c>
      <c r="B54" s="189">
        <v>10.56</v>
      </c>
      <c r="C54" s="189">
        <v>30.1</v>
      </c>
      <c r="D54" s="189">
        <v>25.55</v>
      </c>
      <c r="E54" s="189">
        <v>10.07</v>
      </c>
      <c r="F54" s="189">
        <v>3.32</v>
      </c>
      <c r="G54" s="189">
        <v>95.56</v>
      </c>
      <c r="H54" s="189">
        <v>37.42</v>
      </c>
      <c r="I54" s="189">
        <v>8.18</v>
      </c>
      <c r="J54" s="189">
        <v>0.76</v>
      </c>
      <c r="K54" s="189">
        <v>34.94</v>
      </c>
      <c r="L54" s="189">
        <v>25.29</v>
      </c>
      <c r="M54" s="189">
        <v>67.06</v>
      </c>
      <c r="N54" s="189">
        <v>140.19999999999999</v>
      </c>
      <c r="O54" s="189">
        <v>0</v>
      </c>
      <c r="P54" s="189">
        <v>1.04</v>
      </c>
      <c r="Q54" s="189">
        <v>4.6900000000000004</v>
      </c>
    </row>
    <row r="55" spans="1:17" customFormat="1">
      <c r="A55" s="6" t="s">
        <v>573</v>
      </c>
      <c r="B55" s="189">
        <v>10.1</v>
      </c>
      <c r="C55" s="189">
        <v>30.13</v>
      </c>
      <c r="D55" s="189">
        <v>25.19</v>
      </c>
      <c r="E55" s="189">
        <v>9.74</v>
      </c>
      <c r="F55" s="189">
        <v>3.26</v>
      </c>
      <c r="G55" s="189">
        <v>99.81</v>
      </c>
      <c r="H55" s="189">
        <v>38.14</v>
      </c>
      <c r="I55" s="189">
        <v>8.1999999999999993</v>
      </c>
      <c r="J55" s="189">
        <v>0.64</v>
      </c>
      <c r="K55" s="189">
        <v>45.13</v>
      </c>
      <c r="L55" s="189">
        <v>25.4</v>
      </c>
      <c r="M55" s="189">
        <v>66.900000000000006</v>
      </c>
      <c r="N55" s="189">
        <v>137</v>
      </c>
      <c r="O55" s="189">
        <v>0</v>
      </c>
      <c r="P55" s="189">
        <v>1.06</v>
      </c>
      <c r="Q55" s="189">
        <v>4.67</v>
      </c>
    </row>
    <row r="56" spans="1:17" customFormat="1">
      <c r="A56" s="6" t="s">
        <v>574</v>
      </c>
      <c r="B56" s="189">
        <v>9.5399999999999991</v>
      </c>
      <c r="C56" s="189">
        <v>30.85</v>
      </c>
      <c r="D56" s="189">
        <v>25.11</v>
      </c>
      <c r="E56" s="189">
        <v>9.7899999999999991</v>
      </c>
      <c r="F56" s="189">
        <v>3.11</v>
      </c>
      <c r="G56" s="189">
        <v>99.81</v>
      </c>
      <c r="H56" s="189">
        <v>38.14</v>
      </c>
      <c r="I56" s="189">
        <v>8.26</v>
      </c>
      <c r="J56" s="189">
        <v>0.74</v>
      </c>
      <c r="K56" s="189">
        <v>41.6</v>
      </c>
      <c r="L56" s="189">
        <v>25.73</v>
      </c>
      <c r="M56" s="189">
        <v>65.95</v>
      </c>
      <c r="N56" s="189">
        <v>162.6</v>
      </c>
      <c r="O56" s="189">
        <v>0</v>
      </c>
      <c r="P56" s="189">
        <v>1.06</v>
      </c>
      <c r="Q56" s="189">
        <v>4.66</v>
      </c>
    </row>
    <row r="57" spans="1:17" customFormat="1">
      <c r="A57" s="6" t="s">
        <v>575</v>
      </c>
      <c r="B57" s="189">
        <v>9.2799999999999994</v>
      </c>
      <c r="C57" s="189">
        <v>30.22</v>
      </c>
      <c r="D57" s="189">
        <v>24.58</v>
      </c>
      <c r="E57" s="189">
        <v>10.32</v>
      </c>
      <c r="F57" s="189">
        <v>3.15</v>
      </c>
      <c r="G57" s="189">
        <v>99.81</v>
      </c>
      <c r="H57" s="189">
        <v>38.14</v>
      </c>
      <c r="I57" s="189">
        <v>8.32</v>
      </c>
      <c r="J57" s="189">
        <v>0.61</v>
      </c>
      <c r="K57" s="189">
        <v>53.1</v>
      </c>
      <c r="L57" s="189">
        <v>25.91</v>
      </c>
      <c r="M57" s="189">
        <v>61.83</v>
      </c>
      <c r="N57" s="189">
        <v>171.8</v>
      </c>
      <c r="O57" s="189">
        <v>0</v>
      </c>
      <c r="P57" s="189">
        <v>1.05</v>
      </c>
      <c r="Q57" s="189">
        <v>4.62</v>
      </c>
    </row>
    <row r="58" spans="1:17" customFormat="1">
      <c r="A58" s="6" t="s">
        <v>576</v>
      </c>
      <c r="B58" s="189">
        <v>9.16</v>
      </c>
      <c r="C58" s="189">
        <v>26.56</v>
      </c>
      <c r="D58" s="189">
        <v>22.58</v>
      </c>
      <c r="E58" s="189">
        <v>11.02</v>
      </c>
      <c r="F58" s="189">
        <v>4.4400000000000004</v>
      </c>
      <c r="G58" s="189">
        <v>98.01</v>
      </c>
      <c r="H58" s="189">
        <v>38.72</v>
      </c>
      <c r="I58" s="189">
        <v>8.4</v>
      </c>
      <c r="J58" s="189">
        <v>0.68</v>
      </c>
      <c r="K58" s="189">
        <v>55.33</v>
      </c>
      <c r="L58" s="189">
        <v>26.3</v>
      </c>
      <c r="M58" s="189">
        <v>59.63</v>
      </c>
      <c r="N58" s="189">
        <v>194.6</v>
      </c>
      <c r="O58" s="189">
        <v>0</v>
      </c>
      <c r="P58" s="189">
        <v>1.04</v>
      </c>
      <c r="Q58" s="189">
        <v>4.62</v>
      </c>
    </row>
    <row r="59" spans="1:17" customFormat="1">
      <c r="A59" s="6" t="s">
        <v>577</v>
      </c>
      <c r="B59" s="189">
        <v>9.08</v>
      </c>
      <c r="C59" s="189">
        <v>24.17</v>
      </c>
      <c r="D59" s="189">
        <v>21.26</v>
      </c>
      <c r="E59" s="189">
        <v>10.31</v>
      </c>
      <c r="F59" s="189">
        <v>4.34</v>
      </c>
      <c r="G59" s="189">
        <v>97.11</v>
      </c>
      <c r="H59" s="189">
        <v>38.83</v>
      </c>
      <c r="I59" s="189">
        <v>8.4499999999999993</v>
      </c>
      <c r="J59" s="189">
        <v>0.91</v>
      </c>
      <c r="K59" s="189">
        <v>42.84</v>
      </c>
      <c r="L59" s="189">
        <v>26.22</v>
      </c>
      <c r="M59" s="189">
        <v>59.81</v>
      </c>
      <c r="N59" s="189">
        <v>191.3</v>
      </c>
      <c r="O59" s="189">
        <v>0</v>
      </c>
      <c r="P59" s="189">
        <v>1.01</v>
      </c>
      <c r="Q59" s="189">
        <v>4.58</v>
      </c>
    </row>
    <row r="60" spans="1:17" customFormat="1">
      <c r="A60" s="6" t="s">
        <v>578</v>
      </c>
      <c r="B60" s="189">
        <v>8.69</v>
      </c>
      <c r="C60" s="189">
        <v>22.99</v>
      </c>
      <c r="D60" s="189">
        <v>20.329999999999998</v>
      </c>
      <c r="E60" s="189">
        <v>10.51</v>
      </c>
      <c r="F60" s="189">
        <v>5.04</v>
      </c>
      <c r="G60" s="189">
        <v>97.11</v>
      </c>
      <c r="H60" s="189">
        <v>38.83</v>
      </c>
      <c r="I60" s="189">
        <v>8.43</v>
      </c>
      <c r="J60" s="189">
        <v>0.78</v>
      </c>
      <c r="K60" s="189">
        <v>51.44</v>
      </c>
      <c r="L60" s="189">
        <v>26.18</v>
      </c>
      <c r="M60" s="189">
        <v>60.03</v>
      </c>
      <c r="N60" s="189">
        <v>184.2</v>
      </c>
      <c r="O60" s="189">
        <v>0</v>
      </c>
      <c r="P60" s="189">
        <v>1.01</v>
      </c>
      <c r="Q60" s="189">
        <v>4.54</v>
      </c>
    </row>
    <row r="61" spans="1:17" customFormat="1">
      <c r="A61" s="6" t="s">
        <v>579</v>
      </c>
      <c r="B61" s="189">
        <v>8.4</v>
      </c>
      <c r="C61" s="189">
        <v>21.95</v>
      </c>
      <c r="D61" s="189">
        <v>19.559999999999999</v>
      </c>
      <c r="E61" s="189">
        <v>11.12</v>
      </c>
      <c r="F61" s="189">
        <v>5.09</v>
      </c>
      <c r="G61" s="189">
        <v>97.11</v>
      </c>
      <c r="H61" s="189">
        <v>38.83</v>
      </c>
      <c r="I61" s="189">
        <v>8.41</v>
      </c>
      <c r="J61" s="189">
        <v>0.77</v>
      </c>
      <c r="K61" s="189">
        <v>49.72</v>
      </c>
      <c r="L61" s="189">
        <v>26.36</v>
      </c>
      <c r="M61" s="189">
        <v>59.96</v>
      </c>
      <c r="N61" s="189">
        <v>234.6</v>
      </c>
      <c r="O61" s="189">
        <v>0</v>
      </c>
      <c r="P61" s="189">
        <v>1</v>
      </c>
      <c r="Q61" s="189">
        <v>4.5199999999999996</v>
      </c>
    </row>
    <row r="62" spans="1:17" customFormat="1">
      <c r="A62" s="6" t="s">
        <v>580</v>
      </c>
      <c r="B62" s="189">
        <v>8.07</v>
      </c>
      <c r="C62" s="189">
        <v>21.98</v>
      </c>
      <c r="D62" s="189">
        <v>19.3</v>
      </c>
      <c r="E62" s="189">
        <v>10.34</v>
      </c>
      <c r="F62" s="189">
        <v>4.99</v>
      </c>
      <c r="G62" s="189">
        <v>95.05</v>
      </c>
      <c r="H62" s="189">
        <v>35.78</v>
      </c>
      <c r="I62" s="189">
        <v>8.44</v>
      </c>
      <c r="J62" s="189">
        <v>0.61</v>
      </c>
      <c r="K62" s="189">
        <v>61.39</v>
      </c>
      <c r="L62" s="189">
        <v>26.94</v>
      </c>
      <c r="M62" s="189">
        <v>58.1</v>
      </c>
      <c r="N62" s="189">
        <v>237.6</v>
      </c>
      <c r="O62" s="189">
        <v>0</v>
      </c>
      <c r="P62" s="189">
        <v>0.99</v>
      </c>
      <c r="Q62" s="189">
        <v>4.5</v>
      </c>
    </row>
    <row r="63" spans="1:17" customFormat="1">
      <c r="A63" s="6" t="s">
        <v>581</v>
      </c>
      <c r="B63" s="189">
        <v>7.67</v>
      </c>
      <c r="C63" s="189">
        <v>23.83</v>
      </c>
      <c r="D63" s="189">
        <v>19.95</v>
      </c>
      <c r="E63" s="189">
        <v>10.24</v>
      </c>
      <c r="F63" s="189">
        <v>4.09</v>
      </c>
      <c r="G63" s="189">
        <v>94.02</v>
      </c>
      <c r="H63" s="189">
        <v>35.42</v>
      </c>
      <c r="I63" s="189">
        <v>8.52</v>
      </c>
      <c r="J63" s="189">
        <v>0.61</v>
      </c>
      <c r="K63" s="189">
        <v>51.36</v>
      </c>
      <c r="L63" s="189">
        <v>26.72</v>
      </c>
      <c r="M63" s="189">
        <v>58.45</v>
      </c>
      <c r="N63" s="189">
        <v>159.1</v>
      </c>
      <c r="O63" s="189">
        <v>0</v>
      </c>
      <c r="P63" s="189">
        <v>1.01</v>
      </c>
      <c r="Q63" s="189">
        <v>4.49</v>
      </c>
    </row>
    <row r="64" spans="1:17" customFormat="1">
      <c r="A64" s="6" t="s">
        <v>582</v>
      </c>
      <c r="B64" s="189">
        <v>7.5</v>
      </c>
      <c r="C64" s="189">
        <v>22.35</v>
      </c>
      <c r="D64" s="189">
        <v>19.04</v>
      </c>
      <c r="E64" s="189">
        <v>9.92</v>
      </c>
      <c r="F64" s="189">
        <v>4.07</v>
      </c>
      <c r="G64" s="189">
        <v>94.02</v>
      </c>
      <c r="H64" s="189">
        <v>35.42</v>
      </c>
      <c r="I64" s="189">
        <v>8.59</v>
      </c>
      <c r="J64" s="189">
        <v>0.52</v>
      </c>
      <c r="K64" s="189">
        <v>57.43</v>
      </c>
      <c r="L64" s="189">
        <v>26.85</v>
      </c>
      <c r="M64" s="189">
        <v>58.22</v>
      </c>
      <c r="N64" s="189">
        <v>144.80000000000001</v>
      </c>
      <c r="O64" s="189">
        <v>0</v>
      </c>
      <c r="P64" s="189">
        <v>1.01</v>
      </c>
      <c r="Q64" s="189">
        <v>4.4800000000000004</v>
      </c>
    </row>
    <row r="65" spans="1:17" customFormat="1">
      <c r="A65" s="6" t="s">
        <v>583</v>
      </c>
      <c r="B65" s="189">
        <v>7.34</v>
      </c>
      <c r="C65" s="189">
        <v>21.04</v>
      </c>
      <c r="D65" s="189">
        <v>18.23</v>
      </c>
      <c r="E65" s="189">
        <v>9.99</v>
      </c>
      <c r="F65" s="189">
        <v>4.58</v>
      </c>
      <c r="G65" s="189">
        <v>94.02</v>
      </c>
      <c r="H65" s="189">
        <v>35.42</v>
      </c>
      <c r="I65" s="189">
        <v>8.66</v>
      </c>
      <c r="J65" s="189">
        <v>0.6</v>
      </c>
      <c r="K65" s="189">
        <v>57.4</v>
      </c>
      <c r="L65" s="189">
        <v>26.42</v>
      </c>
      <c r="M65" s="189">
        <v>59.14</v>
      </c>
      <c r="N65" s="189">
        <v>84.6</v>
      </c>
      <c r="O65" s="189">
        <v>0</v>
      </c>
      <c r="P65" s="189">
        <v>0.94</v>
      </c>
      <c r="Q65" s="189">
        <v>4.4800000000000004</v>
      </c>
    </row>
    <row r="66" spans="1:17" customFormat="1">
      <c r="A66" s="6" t="s">
        <v>584</v>
      </c>
      <c r="B66" s="189">
        <v>7.03</v>
      </c>
      <c r="C66" s="189">
        <v>21.3</v>
      </c>
      <c r="D66" s="189">
        <v>18.12</v>
      </c>
      <c r="E66" s="189">
        <v>9.41</v>
      </c>
      <c r="F66" s="189">
        <v>4.21</v>
      </c>
      <c r="G66" s="189">
        <v>93.42</v>
      </c>
      <c r="H66" s="189">
        <v>37.119999999999997</v>
      </c>
      <c r="I66" s="189">
        <v>8.6999999999999993</v>
      </c>
      <c r="J66" s="189">
        <v>0.53</v>
      </c>
      <c r="K66" s="189">
        <v>56.01</v>
      </c>
      <c r="L66" s="189">
        <v>26.26</v>
      </c>
      <c r="M66" s="189">
        <v>59.49</v>
      </c>
      <c r="N66" s="189">
        <v>61.7</v>
      </c>
      <c r="O66" s="189">
        <v>0</v>
      </c>
      <c r="P66" s="189">
        <v>0.99</v>
      </c>
      <c r="Q66" s="189">
        <v>4.46</v>
      </c>
    </row>
    <row r="67" spans="1:17" customFormat="1">
      <c r="A67" s="6" t="s">
        <v>585</v>
      </c>
      <c r="B67" s="189">
        <v>7.06</v>
      </c>
      <c r="C67" s="189">
        <v>22.48</v>
      </c>
      <c r="D67" s="189">
        <v>18.760000000000002</v>
      </c>
      <c r="E67" s="189">
        <v>9.7100000000000009</v>
      </c>
      <c r="F67" s="189">
        <v>4.1399999999999997</v>
      </c>
      <c r="G67" s="189">
        <v>93.13</v>
      </c>
      <c r="H67" s="189">
        <v>37.33</v>
      </c>
      <c r="I67" s="189">
        <v>8.7200000000000006</v>
      </c>
      <c r="J67" s="189">
        <v>0.77</v>
      </c>
      <c r="K67" s="189">
        <v>45.09</v>
      </c>
      <c r="L67" s="189">
        <v>25.99</v>
      </c>
      <c r="M67" s="189">
        <v>60.5</v>
      </c>
      <c r="N67" s="189">
        <v>49.9</v>
      </c>
      <c r="O67" s="189">
        <v>0</v>
      </c>
      <c r="P67" s="189">
        <v>1</v>
      </c>
      <c r="Q67" s="189">
        <v>4.4400000000000004</v>
      </c>
    </row>
    <row r="68" spans="1:17" customFormat="1">
      <c r="A68" s="6" t="s">
        <v>586</v>
      </c>
      <c r="B68" s="189">
        <v>7.1</v>
      </c>
      <c r="C68" s="189">
        <v>21.28</v>
      </c>
      <c r="D68" s="189">
        <v>18.170000000000002</v>
      </c>
      <c r="E68" s="189">
        <v>9.33</v>
      </c>
      <c r="F68" s="189">
        <v>4.28</v>
      </c>
      <c r="G68" s="189">
        <v>93.13</v>
      </c>
      <c r="H68" s="189">
        <v>37.33</v>
      </c>
      <c r="I68" s="189">
        <v>8.7799999999999994</v>
      </c>
      <c r="J68" s="189">
        <v>0.56000000000000005</v>
      </c>
      <c r="K68" s="189">
        <v>53.87</v>
      </c>
      <c r="L68" s="189">
        <v>25.86</v>
      </c>
      <c r="M68" s="189">
        <v>60.81</v>
      </c>
      <c r="N68" s="189">
        <v>41.2</v>
      </c>
      <c r="O68" s="189">
        <v>0</v>
      </c>
      <c r="P68" s="189">
        <v>1</v>
      </c>
      <c r="Q68" s="189">
        <v>4.4400000000000004</v>
      </c>
    </row>
    <row r="69" spans="1:17" customFormat="1">
      <c r="A69" s="6" t="s">
        <v>587</v>
      </c>
      <c r="B69" s="189">
        <v>6.85</v>
      </c>
      <c r="C69" s="189">
        <v>21.71</v>
      </c>
      <c r="D69" s="189">
        <v>18.190000000000001</v>
      </c>
      <c r="E69" s="189">
        <v>8.64</v>
      </c>
      <c r="F69" s="189">
        <v>3.65</v>
      </c>
      <c r="G69" s="189">
        <v>93.13</v>
      </c>
      <c r="H69" s="189">
        <v>37.33</v>
      </c>
      <c r="I69" s="189">
        <v>8.83</v>
      </c>
      <c r="J69" s="189">
        <v>0.65</v>
      </c>
      <c r="K69" s="189">
        <v>42.77</v>
      </c>
      <c r="L69" s="189">
        <v>25.7</v>
      </c>
      <c r="M69" s="189">
        <v>61.19</v>
      </c>
      <c r="N69" s="189">
        <v>36.1</v>
      </c>
      <c r="O69" s="189">
        <v>0</v>
      </c>
      <c r="P69" s="189">
        <v>1.01</v>
      </c>
      <c r="Q69" s="189">
        <v>4.45</v>
      </c>
    </row>
    <row r="70" spans="1:17" customFormat="1">
      <c r="A70" s="6" t="s">
        <v>588</v>
      </c>
      <c r="B70" s="189">
        <v>6.93</v>
      </c>
      <c r="C70" s="189">
        <v>21.54</v>
      </c>
      <c r="D70" s="189">
        <v>18.16</v>
      </c>
      <c r="E70" s="189">
        <v>9.9600000000000009</v>
      </c>
      <c r="F70" s="189">
        <v>4.5</v>
      </c>
      <c r="G70" s="189">
        <v>91.46</v>
      </c>
      <c r="H70" s="189">
        <v>37.82</v>
      </c>
      <c r="I70" s="189">
        <v>8.8800000000000008</v>
      </c>
      <c r="J70" s="189">
        <v>0.71</v>
      </c>
      <c r="K70" s="189">
        <v>43.36</v>
      </c>
      <c r="L70" s="189">
        <v>25.6</v>
      </c>
      <c r="M70" s="189">
        <v>61.34</v>
      </c>
      <c r="N70" s="189">
        <v>32.799999999999997</v>
      </c>
      <c r="O70" s="189">
        <v>0</v>
      </c>
      <c r="P70" s="189">
        <v>1.01</v>
      </c>
      <c r="Q70" s="189">
        <v>4.45</v>
      </c>
    </row>
    <row r="71" spans="1:17" customFormat="1">
      <c r="A71" s="6" t="s">
        <v>589</v>
      </c>
      <c r="B71" s="189">
        <v>6.97</v>
      </c>
      <c r="C71" s="189">
        <v>20.74</v>
      </c>
      <c r="D71" s="189">
        <v>17.78</v>
      </c>
      <c r="E71" s="189">
        <v>9.4600000000000009</v>
      </c>
      <c r="F71" s="189">
        <v>4.59</v>
      </c>
      <c r="G71" s="189">
        <v>90.62</v>
      </c>
      <c r="H71" s="189">
        <v>37.869999999999997</v>
      </c>
      <c r="I71" s="189">
        <v>8.9499999999999993</v>
      </c>
      <c r="J71" s="189">
        <v>0.89</v>
      </c>
      <c r="K71" s="189">
        <v>43.95</v>
      </c>
      <c r="L71" s="189">
        <v>25.56</v>
      </c>
      <c r="M71" s="189">
        <v>61.2</v>
      </c>
      <c r="N71" s="189">
        <v>32.9</v>
      </c>
      <c r="O71" s="189">
        <v>0</v>
      </c>
      <c r="P71" s="189">
        <v>1</v>
      </c>
      <c r="Q71" s="189">
        <v>4.4400000000000004</v>
      </c>
    </row>
    <row r="72" spans="1:17" customFormat="1">
      <c r="A72" s="6" t="s">
        <v>590</v>
      </c>
      <c r="B72" s="189">
        <v>6.87</v>
      </c>
      <c r="C72" s="189">
        <v>22.5</v>
      </c>
      <c r="D72" s="189">
        <v>18.62</v>
      </c>
      <c r="E72" s="189">
        <v>9.0299999999999994</v>
      </c>
      <c r="F72" s="189">
        <v>4.54</v>
      </c>
      <c r="G72" s="189">
        <v>90.62</v>
      </c>
      <c r="H72" s="189">
        <v>37.869999999999997</v>
      </c>
      <c r="I72" s="189">
        <v>9.01</v>
      </c>
      <c r="J72" s="189">
        <v>0.84</v>
      </c>
      <c r="K72" s="189">
        <v>43.14</v>
      </c>
      <c r="L72" s="189">
        <v>25.42</v>
      </c>
      <c r="M72" s="189">
        <v>61.61</v>
      </c>
      <c r="N72" s="189">
        <v>31.6</v>
      </c>
      <c r="O72" s="189">
        <v>0</v>
      </c>
      <c r="P72" s="189">
        <v>1.01</v>
      </c>
      <c r="Q72" s="189">
        <v>4.4400000000000004</v>
      </c>
    </row>
    <row r="73" spans="1:17" customFormat="1">
      <c r="A73" s="6" t="s">
        <v>591</v>
      </c>
      <c r="B73" s="189">
        <v>6.93</v>
      </c>
      <c r="C73" s="189">
        <v>21.71</v>
      </c>
      <c r="D73" s="189">
        <v>18.260000000000002</v>
      </c>
      <c r="E73" s="189">
        <v>9.26</v>
      </c>
      <c r="F73" s="189">
        <v>4.13</v>
      </c>
      <c r="G73" s="189">
        <v>90.62</v>
      </c>
      <c r="H73" s="189">
        <v>37.869999999999997</v>
      </c>
      <c r="I73" s="189">
        <v>9.02</v>
      </c>
      <c r="J73" s="189">
        <v>0.54</v>
      </c>
      <c r="K73" s="189">
        <v>53.21</v>
      </c>
      <c r="L73" s="189">
        <v>25.41</v>
      </c>
      <c r="M73" s="189">
        <v>61.85</v>
      </c>
      <c r="N73" s="189">
        <v>25.2</v>
      </c>
      <c r="O73" s="189">
        <v>0</v>
      </c>
      <c r="P73" s="189">
        <v>1.02</v>
      </c>
      <c r="Q73" s="189">
        <v>4.4400000000000004</v>
      </c>
    </row>
    <row r="74" spans="1:17" customFormat="1">
      <c r="A74" s="6" t="s">
        <v>592</v>
      </c>
      <c r="B74" s="189">
        <v>6.96</v>
      </c>
      <c r="C74" s="189">
        <v>21.05</v>
      </c>
      <c r="D74" s="189">
        <v>17.93</v>
      </c>
      <c r="E74" s="189">
        <v>8.85</v>
      </c>
      <c r="F74" s="189">
        <v>3.9</v>
      </c>
      <c r="G74" s="189">
        <v>91.89</v>
      </c>
      <c r="H74" s="189">
        <v>36.119999999999997</v>
      </c>
      <c r="I74" s="189">
        <v>9.06</v>
      </c>
      <c r="J74" s="189">
        <v>0.63</v>
      </c>
      <c r="K74" s="189">
        <v>48.36</v>
      </c>
      <c r="L74" s="189">
        <v>25.3</v>
      </c>
      <c r="M74" s="189">
        <v>61.6</v>
      </c>
      <c r="N74" s="189">
        <v>14</v>
      </c>
      <c r="O74" s="189">
        <v>0</v>
      </c>
      <c r="P74" s="189">
        <v>1.01</v>
      </c>
      <c r="Q74" s="189">
        <v>4.43</v>
      </c>
    </row>
    <row r="75" spans="1:17" customFormat="1">
      <c r="A75" s="6" t="s">
        <v>593</v>
      </c>
      <c r="B75" s="189">
        <v>6.92</v>
      </c>
      <c r="C75" s="189">
        <v>22.85</v>
      </c>
      <c r="D75" s="189">
        <v>18.84</v>
      </c>
      <c r="E75" s="189">
        <v>9.08</v>
      </c>
      <c r="F75" s="189">
        <v>3.28</v>
      </c>
      <c r="G75" s="189">
        <v>92.52</v>
      </c>
      <c r="H75" s="189">
        <v>35.92</v>
      </c>
      <c r="I75" s="189">
        <v>9.08</v>
      </c>
      <c r="J75" s="189">
        <v>0.47</v>
      </c>
      <c r="K75" s="189">
        <v>59.18</v>
      </c>
      <c r="L75" s="189">
        <v>25.14</v>
      </c>
      <c r="M75" s="189">
        <v>62.01</v>
      </c>
      <c r="N75" s="189">
        <v>3.4</v>
      </c>
      <c r="O75" s="189">
        <v>0</v>
      </c>
      <c r="P75" s="189">
        <v>1.03</v>
      </c>
      <c r="Q75" s="189">
        <v>4.42</v>
      </c>
    </row>
    <row r="76" spans="1:17" customFormat="1">
      <c r="A76" s="6" t="s">
        <v>594</v>
      </c>
      <c r="B76" s="189">
        <v>6.91</v>
      </c>
      <c r="C76" s="189">
        <v>23.38</v>
      </c>
      <c r="D76" s="189">
        <v>19.100000000000001</v>
      </c>
      <c r="E76" s="189">
        <v>8.8000000000000007</v>
      </c>
      <c r="F76" s="189">
        <v>3.45</v>
      </c>
      <c r="G76" s="189">
        <v>92.52</v>
      </c>
      <c r="H76" s="189">
        <v>35.92</v>
      </c>
      <c r="I76" s="189">
        <v>9.09</v>
      </c>
      <c r="J76" s="189">
        <v>0.45</v>
      </c>
      <c r="K76" s="189">
        <v>48.87</v>
      </c>
      <c r="L76" s="189">
        <v>24.98</v>
      </c>
      <c r="M76" s="189">
        <v>62.88</v>
      </c>
      <c r="N76" s="189">
        <v>0</v>
      </c>
      <c r="O76" s="189">
        <v>0</v>
      </c>
      <c r="P76" s="189">
        <v>1.05</v>
      </c>
      <c r="Q76" s="189">
        <v>4.4400000000000004</v>
      </c>
    </row>
    <row r="77" spans="1:17" customFormat="1">
      <c r="A77" s="6" t="s">
        <v>595</v>
      </c>
      <c r="B77" s="189">
        <v>6.86</v>
      </c>
      <c r="C77" s="189">
        <v>24.5</v>
      </c>
      <c r="D77" s="189">
        <v>19.66</v>
      </c>
      <c r="E77" s="189">
        <v>8.66</v>
      </c>
      <c r="F77" s="189">
        <v>3.29</v>
      </c>
      <c r="G77" s="189">
        <v>92.52</v>
      </c>
      <c r="H77" s="189">
        <v>35.92</v>
      </c>
      <c r="I77" s="189">
        <v>9.09</v>
      </c>
      <c r="J77" s="189">
        <v>0.45</v>
      </c>
      <c r="K77" s="189">
        <v>57.95</v>
      </c>
      <c r="L77" s="189">
        <v>24.8</v>
      </c>
      <c r="M77" s="189">
        <v>64.010000000000005</v>
      </c>
      <c r="N77" s="189">
        <v>0</v>
      </c>
      <c r="O77" s="189">
        <v>0</v>
      </c>
      <c r="P77" s="189">
        <v>1.07</v>
      </c>
      <c r="Q77" s="189">
        <v>4.4800000000000004</v>
      </c>
    </row>
    <row r="78" spans="1:17" customFormat="1">
      <c r="A78" s="6" t="s">
        <v>596</v>
      </c>
      <c r="B78" s="189">
        <v>6.97</v>
      </c>
      <c r="C78" s="189">
        <v>25.59</v>
      </c>
      <c r="D78" s="189">
        <v>20.309999999999999</v>
      </c>
      <c r="E78" s="189">
        <v>8.99</v>
      </c>
      <c r="F78" s="189">
        <v>3.14</v>
      </c>
      <c r="G78" s="189">
        <v>92.41</v>
      </c>
      <c r="H78" s="189">
        <v>35.590000000000003</v>
      </c>
      <c r="I78" s="189">
        <v>9.1199999999999992</v>
      </c>
      <c r="J78" s="189">
        <v>0.4</v>
      </c>
      <c r="K78" s="189">
        <v>57.66</v>
      </c>
      <c r="L78" s="189">
        <v>24.73</v>
      </c>
      <c r="M78" s="189">
        <v>63.87</v>
      </c>
      <c r="N78" s="189">
        <v>0</v>
      </c>
      <c r="O78" s="189">
        <v>0</v>
      </c>
      <c r="P78" s="189">
        <v>1.08</v>
      </c>
      <c r="Q78" s="189">
        <v>4.4800000000000004</v>
      </c>
    </row>
    <row r="79" spans="1:17" customFormat="1">
      <c r="A79" s="6" t="s">
        <v>597</v>
      </c>
      <c r="B79" s="189">
        <v>7.28</v>
      </c>
      <c r="C79" s="189">
        <v>26.57</v>
      </c>
      <c r="D79" s="189">
        <v>21.07</v>
      </c>
      <c r="E79" s="189">
        <v>9.33</v>
      </c>
      <c r="F79" s="189">
        <v>2.98</v>
      </c>
      <c r="G79" s="189">
        <v>92.35</v>
      </c>
      <c r="H79" s="189">
        <v>35.56</v>
      </c>
      <c r="I79" s="189">
        <v>9.16</v>
      </c>
      <c r="J79" s="189">
        <v>0.43</v>
      </c>
      <c r="K79" s="189">
        <v>59.9</v>
      </c>
      <c r="L79" s="189">
        <v>24.68</v>
      </c>
      <c r="M79" s="189">
        <v>62.52</v>
      </c>
      <c r="N79" s="189">
        <v>0</v>
      </c>
      <c r="O79" s="189">
        <v>0</v>
      </c>
      <c r="P79" s="189">
        <v>1.08</v>
      </c>
      <c r="Q79" s="189">
        <v>4.49</v>
      </c>
    </row>
    <row r="80" spans="1:17" customFormat="1">
      <c r="A80" s="6" t="s">
        <v>598</v>
      </c>
      <c r="B80" s="189">
        <v>7.57</v>
      </c>
      <c r="C80" s="189">
        <v>27.71</v>
      </c>
      <c r="D80" s="189">
        <v>21.9</v>
      </c>
      <c r="E80" s="189">
        <v>9.32</v>
      </c>
      <c r="F80" s="189">
        <v>2.91</v>
      </c>
      <c r="G80" s="189">
        <v>92.35</v>
      </c>
      <c r="H80" s="189">
        <v>35.56</v>
      </c>
      <c r="I80" s="189">
        <v>9.2100000000000009</v>
      </c>
      <c r="J80" s="189">
        <v>0.32</v>
      </c>
      <c r="K80" s="189">
        <v>52.71</v>
      </c>
      <c r="L80" s="189">
        <v>24.65</v>
      </c>
      <c r="M80" s="189">
        <v>62.47</v>
      </c>
      <c r="N80" s="189">
        <v>0</v>
      </c>
      <c r="O80" s="189">
        <v>0</v>
      </c>
      <c r="P80" s="189">
        <v>1.1000000000000001</v>
      </c>
      <c r="Q80" s="189">
        <v>4.5</v>
      </c>
    </row>
    <row r="81" spans="1:17" customFormat="1">
      <c r="A81" s="6" t="s">
        <v>599</v>
      </c>
      <c r="B81" s="189">
        <v>8.09</v>
      </c>
      <c r="C81" s="189">
        <v>28.83</v>
      </c>
      <c r="D81" s="189">
        <v>22.9</v>
      </c>
      <c r="E81" s="189">
        <v>7.73</v>
      </c>
      <c r="F81" s="189">
        <v>2.84</v>
      </c>
      <c r="G81" s="189">
        <v>92.35</v>
      </c>
      <c r="H81" s="189">
        <v>35.56</v>
      </c>
      <c r="I81" s="189">
        <v>9.31</v>
      </c>
      <c r="J81" s="189">
        <v>0.35</v>
      </c>
      <c r="K81" s="189">
        <v>62.58</v>
      </c>
      <c r="L81" s="189">
        <v>24.5</v>
      </c>
      <c r="M81" s="189">
        <v>62.93</v>
      </c>
      <c r="N81" s="189">
        <v>0</v>
      </c>
      <c r="O81" s="189">
        <v>0</v>
      </c>
      <c r="P81" s="189">
        <v>1.1200000000000001</v>
      </c>
      <c r="Q81" s="189">
        <v>4.53</v>
      </c>
    </row>
    <row r="82" spans="1:17" customFormat="1">
      <c r="A82" s="6" t="s">
        <v>600</v>
      </c>
      <c r="B82" s="189">
        <v>8.64</v>
      </c>
      <c r="C82" s="189">
        <v>29.49</v>
      </c>
      <c r="D82" s="189">
        <v>23.68</v>
      </c>
      <c r="E82" s="189">
        <v>8.42</v>
      </c>
      <c r="F82" s="189">
        <v>2.91</v>
      </c>
      <c r="G82" s="189">
        <v>96.13</v>
      </c>
      <c r="H82" s="189">
        <v>36.04</v>
      </c>
      <c r="I82" s="189">
        <v>9.4</v>
      </c>
      <c r="J82" s="189">
        <v>0.28000000000000003</v>
      </c>
      <c r="K82" s="189">
        <v>67.239999999999995</v>
      </c>
      <c r="L82" s="189">
        <v>24.4</v>
      </c>
      <c r="M82" s="189">
        <v>63.02</v>
      </c>
      <c r="N82" s="189">
        <v>0</v>
      </c>
      <c r="O82" s="189">
        <v>0</v>
      </c>
      <c r="P82" s="189">
        <v>1.1200000000000001</v>
      </c>
      <c r="Q82" s="189">
        <v>4.5599999999999996</v>
      </c>
    </row>
    <row r="83" spans="1:17" customFormat="1">
      <c r="A83" s="6" t="s">
        <v>601</v>
      </c>
      <c r="B83" s="189">
        <v>9.01</v>
      </c>
      <c r="C83" s="189">
        <v>30.13</v>
      </c>
      <c r="D83" s="189">
        <v>24.32</v>
      </c>
      <c r="E83" s="189">
        <v>8.49</v>
      </c>
      <c r="F83" s="189">
        <v>2.96</v>
      </c>
      <c r="G83" s="189">
        <v>98.02</v>
      </c>
      <c r="H83" s="189">
        <v>36.14</v>
      </c>
      <c r="I83" s="189">
        <v>9.4600000000000009</v>
      </c>
      <c r="J83" s="189">
        <v>0.41</v>
      </c>
      <c r="K83" s="189">
        <v>62.22</v>
      </c>
      <c r="L83" s="189">
        <v>24.35</v>
      </c>
      <c r="M83" s="189">
        <v>62.53</v>
      </c>
      <c r="N83" s="189">
        <v>0</v>
      </c>
      <c r="O83" s="189">
        <v>0</v>
      </c>
      <c r="P83" s="189">
        <v>1.1200000000000001</v>
      </c>
      <c r="Q83" s="189">
        <v>4.57</v>
      </c>
    </row>
    <row r="84" spans="1:17" customFormat="1">
      <c r="A84" s="6" t="s">
        <v>602</v>
      </c>
      <c r="B84" s="189">
        <v>9.14</v>
      </c>
      <c r="C84" s="189">
        <v>30.24</v>
      </c>
      <c r="D84" s="189">
        <v>24.48</v>
      </c>
      <c r="E84" s="189">
        <v>8.98</v>
      </c>
      <c r="F84" s="189">
        <v>2.87</v>
      </c>
      <c r="G84" s="189">
        <v>98.02</v>
      </c>
      <c r="H84" s="189">
        <v>36.14</v>
      </c>
      <c r="I84" s="189">
        <v>9.51</v>
      </c>
      <c r="J84" s="189">
        <v>0.45</v>
      </c>
      <c r="K84" s="189">
        <v>53.89</v>
      </c>
      <c r="L84" s="189">
        <v>24.29</v>
      </c>
      <c r="M84" s="189">
        <v>62.24</v>
      </c>
      <c r="N84" s="189">
        <v>0</v>
      </c>
      <c r="O84" s="189">
        <v>0</v>
      </c>
      <c r="P84" s="189">
        <v>1.1399999999999999</v>
      </c>
      <c r="Q84" s="189">
        <v>4.59</v>
      </c>
    </row>
    <row r="85" spans="1:17" customFormat="1">
      <c r="A85" s="6" t="s">
        <v>603</v>
      </c>
      <c r="B85" s="189">
        <v>9.16</v>
      </c>
      <c r="C85" s="189">
        <v>30.36</v>
      </c>
      <c r="D85" s="189">
        <v>24.56</v>
      </c>
      <c r="E85" s="189">
        <v>8.91</v>
      </c>
      <c r="F85" s="189">
        <v>2.92</v>
      </c>
      <c r="G85" s="189">
        <v>98.02</v>
      </c>
      <c r="H85" s="189">
        <v>36.14</v>
      </c>
      <c r="I85" s="189">
        <v>9.56</v>
      </c>
      <c r="J85" s="189">
        <v>0.4</v>
      </c>
      <c r="K85" s="189">
        <v>61.47</v>
      </c>
      <c r="L85" s="189">
        <v>24.25</v>
      </c>
      <c r="M85" s="189">
        <v>61.77</v>
      </c>
      <c r="N85" s="189">
        <v>0</v>
      </c>
      <c r="O85" s="189">
        <v>0</v>
      </c>
      <c r="P85" s="189">
        <v>1.1399999999999999</v>
      </c>
      <c r="Q85" s="189">
        <v>4.59</v>
      </c>
    </row>
    <row r="86" spans="1:17" customFormat="1">
      <c r="A86" s="6" t="s">
        <v>604</v>
      </c>
      <c r="B86" s="189">
        <v>9.16</v>
      </c>
      <c r="C86" s="189">
        <v>30.55</v>
      </c>
      <c r="D86" s="189">
        <v>24.65</v>
      </c>
      <c r="E86" s="189">
        <v>8.66</v>
      </c>
      <c r="F86" s="189">
        <v>2.88</v>
      </c>
      <c r="G86" s="189">
        <v>96.58</v>
      </c>
      <c r="H86" s="189">
        <v>34.020000000000003</v>
      </c>
      <c r="I86" s="189">
        <v>9.56</v>
      </c>
      <c r="J86" s="189">
        <v>0.4</v>
      </c>
      <c r="K86" s="189">
        <v>61.58</v>
      </c>
      <c r="L86" s="189">
        <v>24.24</v>
      </c>
      <c r="M86" s="189">
        <v>61.29</v>
      </c>
      <c r="N86" s="189">
        <v>0</v>
      </c>
      <c r="O86" s="189">
        <v>0</v>
      </c>
      <c r="P86" s="189">
        <v>1.1399999999999999</v>
      </c>
      <c r="Q86" s="189">
        <v>4.59</v>
      </c>
    </row>
    <row r="87" spans="1:17" customFormat="1">
      <c r="A87" s="6" t="s">
        <v>605</v>
      </c>
      <c r="B87" s="189">
        <v>9.1999999999999993</v>
      </c>
      <c r="C87" s="189">
        <v>30.77</v>
      </c>
      <c r="D87" s="189">
        <v>24.81</v>
      </c>
      <c r="E87" s="189">
        <v>8.4</v>
      </c>
      <c r="F87" s="189">
        <v>2.78</v>
      </c>
      <c r="G87" s="189">
        <v>95.86</v>
      </c>
      <c r="H87" s="189">
        <v>33.770000000000003</v>
      </c>
      <c r="I87" s="189">
        <v>9.51</v>
      </c>
      <c r="J87" s="189">
        <v>0.3</v>
      </c>
      <c r="K87" s="189">
        <v>64.44</v>
      </c>
      <c r="L87" s="189">
        <v>24.19</v>
      </c>
      <c r="M87" s="189">
        <v>61.85</v>
      </c>
      <c r="N87" s="189">
        <v>0</v>
      </c>
      <c r="O87" s="189">
        <v>0</v>
      </c>
      <c r="P87" s="189">
        <v>1.1399999999999999</v>
      </c>
      <c r="Q87" s="189">
        <v>4.5999999999999996</v>
      </c>
    </row>
    <row r="88" spans="1:17" customFormat="1">
      <c r="A88" s="6" t="s">
        <v>606</v>
      </c>
      <c r="B88" s="189">
        <v>9.11</v>
      </c>
      <c r="C88" s="189">
        <v>30.78</v>
      </c>
      <c r="D88" s="189">
        <v>24.74</v>
      </c>
      <c r="E88" s="189">
        <v>8.5500000000000007</v>
      </c>
      <c r="F88" s="189">
        <v>2.77</v>
      </c>
      <c r="G88" s="189">
        <v>95.86</v>
      </c>
      <c r="H88" s="189">
        <v>33.770000000000003</v>
      </c>
      <c r="I88" s="189">
        <v>9.4600000000000009</v>
      </c>
      <c r="J88" s="189">
        <v>0.25</v>
      </c>
      <c r="K88" s="189">
        <v>72.72</v>
      </c>
      <c r="L88" s="189">
        <v>24.09</v>
      </c>
      <c r="M88" s="189">
        <v>62.51</v>
      </c>
      <c r="N88" s="189">
        <v>0</v>
      </c>
      <c r="O88" s="189">
        <v>0</v>
      </c>
      <c r="P88" s="189">
        <v>1.1399999999999999</v>
      </c>
      <c r="Q88" s="189">
        <v>4.5999999999999996</v>
      </c>
    </row>
    <row r="89" spans="1:17" customFormat="1">
      <c r="A89" s="6" t="s">
        <v>607</v>
      </c>
      <c r="B89" s="189">
        <v>8.9700000000000006</v>
      </c>
      <c r="C89" s="189">
        <v>30.66</v>
      </c>
      <c r="D89" s="189">
        <v>24.56</v>
      </c>
      <c r="E89" s="189">
        <v>8.5500000000000007</v>
      </c>
      <c r="F89" s="189">
        <v>2.78</v>
      </c>
      <c r="G89" s="189">
        <v>95.86</v>
      </c>
      <c r="H89" s="189">
        <v>33.770000000000003</v>
      </c>
      <c r="I89" s="189">
        <v>9.42</v>
      </c>
      <c r="J89" s="189">
        <v>0.27</v>
      </c>
      <c r="K89" s="189">
        <v>73.489999999999995</v>
      </c>
      <c r="L89" s="189">
        <v>24.08</v>
      </c>
      <c r="M89" s="189">
        <v>61.9</v>
      </c>
      <c r="N89" s="189">
        <v>0</v>
      </c>
      <c r="O89" s="189">
        <v>0</v>
      </c>
      <c r="P89" s="189">
        <v>1.1299999999999999</v>
      </c>
      <c r="Q89" s="189">
        <v>4.6100000000000003</v>
      </c>
    </row>
    <row r="90" spans="1:17" customFormat="1">
      <c r="A90" s="6" t="s">
        <v>608</v>
      </c>
      <c r="B90" s="189">
        <v>8.9</v>
      </c>
      <c r="C90" s="189">
        <v>30.32</v>
      </c>
      <c r="D90" s="189">
        <v>24.33</v>
      </c>
      <c r="E90" s="189">
        <v>8.85</v>
      </c>
      <c r="F90" s="189">
        <v>2.79</v>
      </c>
      <c r="G90" s="189">
        <v>94.62</v>
      </c>
      <c r="H90" s="189">
        <v>34.53</v>
      </c>
      <c r="I90" s="189">
        <v>9.3800000000000008</v>
      </c>
      <c r="J90" s="189">
        <v>0.31</v>
      </c>
      <c r="K90" s="189">
        <v>64.62</v>
      </c>
      <c r="L90" s="189">
        <v>24.1</v>
      </c>
      <c r="M90" s="189">
        <v>61.12</v>
      </c>
      <c r="N90" s="189">
        <v>0</v>
      </c>
      <c r="O90" s="189">
        <v>0</v>
      </c>
      <c r="P90" s="189">
        <v>1.1200000000000001</v>
      </c>
      <c r="Q90" s="189">
        <v>4.5999999999999996</v>
      </c>
    </row>
    <row r="91" spans="1:17" customFormat="1">
      <c r="A91" s="6" t="s">
        <v>609</v>
      </c>
      <c r="B91" s="189">
        <v>8.74</v>
      </c>
      <c r="C91" s="189">
        <v>30.09</v>
      </c>
      <c r="D91" s="189">
        <v>24.09</v>
      </c>
      <c r="E91" s="189">
        <v>8.58</v>
      </c>
      <c r="F91" s="189">
        <v>2.85</v>
      </c>
      <c r="G91" s="189">
        <v>94</v>
      </c>
      <c r="H91" s="189">
        <v>34.619999999999997</v>
      </c>
      <c r="I91" s="189">
        <v>9.31</v>
      </c>
      <c r="J91" s="189">
        <v>0.37</v>
      </c>
      <c r="K91" s="189">
        <v>65.3</v>
      </c>
      <c r="L91" s="189">
        <v>24.04</v>
      </c>
      <c r="M91" s="189">
        <v>61.13</v>
      </c>
      <c r="N91" s="189">
        <v>0</v>
      </c>
      <c r="O91" s="189">
        <v>0</v>
      </c>
      <c r="P91" s="189">
        <v>1.1100000000000001</v>
      </c>
      <c r="Q91" s="189">
        <v>4.5999999999999996</v>
      </c>
    </row>
    <row r="92" spans="1:17" customFormat="1">
      <c r="A92" s="6" t="s">
        <v>610</v>
      </c>
      <c r="B92" s="189">
        <v>8.52</v>
      </c>
      <c r="C92" s="189">
        <v>29.86</v>
      </c>
      <c r="D92" s="189">
        <v>23.78</v>
      </c>
      <c r="E92" s="189">
        <v>8.67</v>
      </c>
      <c r="F92" s="189">
        <v>2.89</v>
      </c>
      <c r="G92" s="189">
        <v>94</v>
      </c>
      <c r="H92" s="189">
        <v>34.619999999999997</v>
      </c>
      <c r="I92" s="189">
        <v>9.2100000000000009</v>
      </c>
      <c r="J92" s="189">
        <v>0.43</v>
      </c>
      <c r="K92" s="189">
        <v>58.9</v>
      </c>
      <c r="L92" s="189">
        <v>24</v>
      </c>
      <c r="M92" s="189">
        <v>61.19</v>
      </c>
      <c r="N92" s="189">
        <v>0</v>
      </c>
      <c r="O92" s="189">
        <v>0</v>
      </c>
      <c r="P92" s="189">
        <v>1.0900000000000001</v>
      </c>
      <c r="Q92" s="189">
        <v>4.59</v>
      </c>
    </row>
    <row r="93" spans="1:17" customFormat="1">
      <c r="A93" s="6" t="s">
        <v>611</v>
      </c>
      <c r="B93" s="189">
        <v>8.58</v>
      </c>
      <c r="C93" s="189">
        <v>29.55</v>
      </c>
      <c r="D93" s="189">
        <v>23.67</v>
      </c>
      <c r="E93" s="189">
        <v>8.59</v>
      </c>
      <c r="F93" s="189">
        <v>2.86</v>
      </c>
      <c r="G93" s="189">
        <v>94</v>
      </c>
      <c r="H93" s="189">
        <v>34.619999999999997</v>
      </c>
      <c r="I93" s="189">
        <v>9.08</v>
      </c>
      <c r="J93" s="189">
        <v>0.4</v>
      </c>
      <c r="K93" s="189">
        <v>69.92</v>
      </c>
      <c r="L93" s="189">
        <v>23.93</v>
      </c>
      <c r="M93" s="189">
        <v>61.12</v>
      </c>
      <c r="N93" s="189">
        <v>0</v>
      </c>
      <c r="O93" s="189">
        <v>0</v>
      </c>
      <c r="P93" s="189">
        <v>1.08</v>
      </c>
      <c r="Q93" s="189">
        <v>4.58</v>
      </c>
    </row>
    <row r="94" spans="1:17" customFormat="1">
      <c r="A94" s="6" t="s">
        <v>612</v>
      </c>
      <c r="B94" s="189">
        <v>8.5500000000000007</v>
      </c>
      <c r="C94" s="189">
        <v>29.43</v>
      </c>
      <c r="D94" s="189">
        <v>23.58</v>
      </c>
      <c r="E94" s="189">
        <v>8.5</v>
      </c>
      <c r="F94" s="189">
        <v>3.03</v>
      </c>
      <c r="G94" s="189">
        <v>88.16</v>
      </c>
      <c r="H94" s="189">
        <v>32.909999999999997</v>
      </c>
      <c r="I94" s="189">
        <v>8.9</v>
      </c>
      <c r="J94" s="189">
        <v>0.28999999999999998</v>
      </c>
      <c r="K94" s="189">
        <v>76.27</v>
      </c>
      <c r="L94" s="189">
        <v>23.86</v>
      </c>
      <c r="M94" s="189">
        <v>62.07</v>
      </c>
      <c r="N94" s="189">
        <v>0</v>
      </c>
      <c r="O94" s="189">
        <v>0</v>
      </c>
      <c r="P94" s="189">
        <v>1.06</v>
      </c>
      <c r="Q94" s="189">
        <v>4.5599999999999996</v>
      </c>
    </row>
    <row r="95" spans="1:17" customFormat="1">
      <c r="A95" s="6" t="s">
        <v>613</v>
      </c>
      <c r="B95" s="189">
        <v>8.39</v>
      </c>
      <c r="C95" s="189">
        <v>29.3</v>
      </c>
      <c r="D95" s="189">
        <v>23.39</v>
      </c>
      <c r="E95" s="189">
        <v>8.61</v>
      </c>
      <c r="F95" s="189">
        <v>2.91</v>
      </c>
      <c r="G95" s="189">
        <v>85.24</v>
      </c>
      <c r="H95" s="189">
        <v>32.71</v>
      </c>
      <c r="I95" s="189">
        <v>8.7200000000000006</v>
      </c>
      <c r="J95" s="189">
        <v>0.31</v>
      </c>
      <c r="K95" s="189">
        <v>75.63</v>
      </c>
      <c r="L95" s="189">
        <v>23.71</v>
      </c>
      <c r="M95" s="189">
        <v>63.41</v>
      </c>
      <c r="N95" s="189">
        <v>0</v>
      </c>
      <c r="O95" s="189">
        <v>0</v>
      </c>
      <c r="P95" s="189">
        <v>1.05</v>
      </c>
      <c r="Q95" s="189">
        <v>4.5599999999999996</v>
      </c>
    </row>
    <row r="96" spans="1:17" customFormat="1">
      <c r="A96" s="6" t="s">
        <v>614</v>
      </c>
      <c r="B96" s="189">
        <v>8.39</v>
      </c>
      <c r="C96" s="189">
        <v>28.2</v>
      </c>
      <c r="D96" s="189">
        <v>22.81</v>
      </c>
      <c r="E96" s="189">
        <v>8.6199999999999992</v>
      </c>
      <c r="F96" s="189">
        <v>2.82</v>
      </c>
      <c r="G96" s="189">
        <v>85.24</v>
      </c>
      <c r="H96" s="189">
        <v>32.71</v>
      </c>
      <c r="I96" s="189">
        <v>8.57</v>
      </c>
      <c r="J96" s="189">
        <v>0.52</v>
      </c>
      <c r="K96" s="189">
        <v>56.31</v>
      </c>
      <c r="L96" s="189">
        <v>23.5</v>
      </c>
      <c r="M96" s="189">
        <v>64.56</v>
      </c>
      <c r="N96" s="189">
        <v>0</v>
      </c>
      <c r="O96" s="189">
        <v>0</v>
      </c>
      <c r="P96" s="189">
        <v>1.04</v>
      </c>
      <c r="Q96" s="189">
        <v>4.5599999999999996</v>
      </c>
    </row>
    <row r="97" spans="1:22" customFormat="1">
      <c r="A97" s="6" t="s">
        <v>615</v>
      </c>
      <c r="B97" s="189">
        <v>8.68</v>
      </c>
      <c r="C97" s="189">
        <v>26.26</v>
      </c>
      <c r="D97" s="189">
        <v>22.03</v>
      </c>
      <c r="E97" s="189">
        <v>8.31</v>
      </c>
      <c r="F97" s="189">
        <v>3.11</v>
      </c>
      <c r="G97" s="189">
        <v>85.24</v>
      </c>
      <c r="H97" s="189">
        <v>32.71</v>
      </c>
      <c r="I97" s="189">
        <v>8.44</v>
      </c>
      <c r="J97" s="189">
        <v>0.51</v>
      </c>
      <c r="K97" s="189">
        <v>56.65</v>
      </c>
      <c r="L97" s="189">
        <v>23.38</v>
      </c>
      <c r="M97" s="189">
        <v>65.739999999999995</v>
      </c>
      <c r="N97" s="189">
        <v>0</v>
      </c>
      <c r="O97" s="189">
        <v>0</v>
      </c>
      <c r="P97" s="189">
        <v>1.02</v>
      </c>
      <c r="Q97" s="189">
        <v>4.54</v>
      </c>
    </row>
    <row r="98" spans="1:22" customFormat="1">
      <c r="A98" s="6" t="s">
        <v>616</v>
      </c>
      <c r="B98" s="189">
        <v>8.98</v>
      </c>
      <c r="C98" s="189">
        <v>24.08</v>
      </c>
      <c r="D98" s="189">
        <v>21.14</v>
      </c>
      <c r="E98" s="189">
        <v>7.7</v>
      </c>
      <c r="F98" s="189">
        <v>3.21</v>
      </c>
      <c r="G98" s="189">
        <v>82.75</v>
      </c>
      <c r="H98" s="189">
        <v>34.03</v>
      </c>
      <c r="I98" s="189">
        <v>8.35</v>
      </c>
      <c r="J98" s="189">
        <v>0.42</v>
      </c>
      <c r="K98" s="189">
        <v>64.83</v>
      </c>
      <c r="L98" s="189">
        <v>23.22</v>
      </c>
      <c r="M98" s="189">
        <v>66.739999999999995</v>
      </c>
      <c r="N98" s="189">
        <v>0</v>
      </c>
      <c r="O98" s="189">
        <v>0</v>
      </c>
      <c r="P98" s="189">
        <v>1</v>
      </c>
      <c r="Q98" s="189">
        <v>4.55</v>
      </c>
    </row>
    <row r="99" spans="1:22" customFormat="1">
      <c r="A99" s="6" t="s">
        <v>617</v>
      </c>
      <c r="B99" s="189">
        <v>9.3699999999999992</v>
      </c>
      <c r="C99" s="189">
        <v>23.43</v>
      </c>
      <c r="D99" s="189">
        <v>21.11</v>
      </c>
      <c r="E99" s="189">
        <v>7.04</v>
      </c>
      <c r="F99" s="189">
        <v>2.96</v>
      </c>
      <c r="G99" s="189">
        <v>81.5</v>
      </c>
      <c r="H99" s="189">
        <v>34.19</v>
      </c>
      <c r="I99" s="189">
        <v>8.27</v>
      </c>
      <c r="J99" s="189">
        <v>0.44</v>
      </c>
      <c r="K99" s="189">
        <v>54.7</v>
      </c>
      <c r="L99" s="189">
        <v>23.18</v>
      </c>
      <c r="M99" s="189">
        <v>67.2</v>
      </c>
      <c r="N99" s="189">
        <v>0</v>
      </c>
      <c r="O99" s="189">
        <v>0</v>
      </c>
      <c r="P99" s="189">
        <v>0.99</v>
      </c>
      <c r="Q99" s="189">
        <v>4.55</v>
      </c>
    </row>
    <row r="100" spans="1:22" customFormat="1">
      <c r="A100" s="6" t="s">
        <v>618</v>
      </c>
      <c r="B100" s="189">
        <v>9.61</v>
      </c>
      <c r="C100" s="189">
        <v>23.95</v>
      </c>
      <c r="D100" s="189">
        <v>21.57</v>
      </c>
      <c r="E100" s="189">
        <v>7.18</v>
      </c>
      <c r="F100" s="189">
        <v>2.71</v>
      </c>
      <c r="G100" s="189">
        <v>81.5</v>
      </c>
      <c r="H100" s="189">
        <v>34.19</v>
      </c>
      <c r="I100" s="189">
        <v>8.1999999999999993</v>
      </c>
      <c r="J100" s="189">
        <v>0.57999999999999996</v>
      </c>
      <c r="K100" s="189">
        <v>56.46</v>
      </c>
      <c r="L100" s="189">
        <v>23.03</v>
      </c>
      <c r="M100" s="189">
        <v>68.06</v>
      </c>
      <c r="N100" s="189">
        <v>0</v>
      </c>
      <c r="O100" s="189">
        <v>0</v>
      </c>
      <c r="P100" s="189">
        <v>0.97</v>
      </c>
      <c r="Q100" s="189">
        <v>4.53</v>
      </c>
    </row>
    <row r="101" spans="1:22" customFormat="1">
      <c r="A101" s="6" t="s">
        <v>619</v>
      </c>
      <c r="B101" s="189">
        <v>9.7899999999999991</v>
      </c>
      <c r="C101" s="189">
        <v>23.04</v>
      </c>
      <c r="D101" s="189">
        <v>21.24</v>
      </c>
      <c r="E101" s="189">
        <v>7.3</v>
      </c>
      <c r="F101" s="189">
        <v>2.84</v>
      </c>
      <c r="G101" s="189">
        <v>81.5</v>
      </c>
      <c r="H101" s="189">
        <v>34.19</v>
      </c>
      <c r="I101" s="189">
        <v>8.15</v>
      </c>
      <c r="J101" s="189">
        <v>0.48</v>
      </c>
      <c r="K101" s="189">
        <v>49.58</v>
      </c>
      <c r="L101" s="189">
        <v>22.94</v>
      </c>
      <c r="M101" s="189">
        <v>69.319999999999993</v>
      </c>
      <c r="N101" s="189">
        <v>0</v>
      </c>
      <c r="O101" s="189">
        <v>0</v>
      </c>
      <c r="P101" s="189">
        <v>0.97</v>
      </c>
      <c r="Q101" s="189">
        <v>4.55</v>
      </c>
    </row>
    <row r="102" spans="1:22" customFormat="1">
      <c r="A102" s="6" t="s">
        <v>620</v>
      </c>
      <c r="B102" s="189">
        <v>9.91</v>
      </c>
      <c r="C102" s="189">
        <v>23.75</v>
      </c>
      <c r="D102" s="189">
        <v>21.71</v>
      </c>
      <c r="E102" s="189">
        <v>6.97</v>
      </c>
      <c r="F102" s="189">
        <v>2.78</v>
      </c>
      <c r="G102" s="189">
        <v>75.25</v>
      </c>
      <c r="H102" s="189">
        <v>29.95</v>
      </c>
      <c r="I102" s="189">
        <v>8.08</v>
      </c>
      <c r="J102" s="189">
        <v>0.49</v>
      </c>
      <c r="K102" s="189">
        <v>59.62</v>
      </c>
      <c r="L102" s="189">
        <v>22.44</v>
      </c>
      <c r="M102" s="189">
        <v>73.87</v>
      </c>
      <c r="N102" s="189">
        <v>0</v>
      </c>
      <c r="O102" s="189">
        <v>0</v>
      </c>
      <c r="P102" s="189">
        <v>0.96</v>
      </c>
      <c r="Q102" s="189">
        <v>4.54</v>
      </c>
    </row>
    <row r="103" spans="1:22" customFormat="1">
      <c r="A103" s="6" t="s">
        <v>621</v>
      </c>
      <c r="B103" s="189">
        <v>10.1</v>
      </c>
      <c r="C103" s="189">
        <v>24.14</v>
      </c>
      <c r="D103" s="189">
        <v>22.06</v>
      </c>
      <c r="E103" s="189">
        <v>7.39</v>
      </c>
      <c r="F103" s="189">
        <v>2.74</v>
      </c>
      <c r="G103" s="189">
        <v>72.12</v>
      </c>
      <c r="H103" s="189">
        <v>29.44</v>
      </c>
      <c r="I103" s="189">
        <v>8.01</v>
      </c>
      <c r="J103" s="189">
        <v>0.66</v>
      </c>
      <c r="K103" s="189">
        <v>46.23</v>
      </c>
      <c r="L103" s="189">
        <v>22.27</v>
      </c>
      <c r="M103" s="189">
        <v>74.37</v>
      </c>
      <c r="N103" s="189">
        <v>0</v>
      </c>
      <c r="O103" s="189">
        <v>0</v>
      </c>
      <c r="P103" s="189">
        <v>0.96</v>
      </c>
      <c r="Q103" s="189">
        <v>4.54</v>
      </c>
    </row>
    <row r="104" spans="1:22" customFormat="1">
      <c r="A104" s="6" t="s">
        <v>622</v>
      </c>
      <c r="B104" s="189">
        <v>10.3</v>
      </c>
      <c r="C104" s="189">
        <v>22.5</v>
      </c>
      <c r="D104" s="189">
        <v>21.37</v>
      </c>
      <c r="E104" s="189">
        <v>7.32</v>
      </c>
      <c r="F104" s="189">
        <v>3.15</v>
      </c>
      <c r="G104" s="189">
        <v>72.12</v>
      </c>
      <c r="H104" s="189">
        <v>29.44</v>
      </c>
      <c r="I104" s="189">
        <v>7.94</v>
      </c>
      <c r="J104" s="189">
        <v>0.68</v>
      </c>
      <c r="K104" s="189">
        <v>44.96</v>
      </c>
      <c r="L104" s="189">
        <v>22.08</v>
      </c>
      <c r="M104" s="189">
        <v>76.31</v>
      </c>
      <c r="N104" s="189">
        <v>0</v>
      </c>
      <c r="O104" s="189">
        <v>0</v>
      </c>
      <c r="P104" s="189">
        <v>0.94</v>
      </c>
      <c r="Q104" s="189">
        <v>4.55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6.33</v>
      </c>
      <c r="C106" s="183">
        <f>MIN(C9:C104)</f>
        <v>20.74</v>
      </c>
      <c r="D106" s="183">
        <f t="shared" ref="D106:Q106" si="0">MIN(D9:D104)</f>
        <v>17.78</v>
      </c>
      <c r="E106" s="183">
        <f t="shared" si="0"/>
        <v>6.76</v>
      </c>
      <c r="F106" s="183">
        <f t="shared" si="0"/>
        <v>2.41</v>
      </c>
      <c r="G106" s="183">
        <f t="shared" si="0"/>
        <v>66.209999999999994</v>
      </c>
      <c r="H106" s="183">
        <f t="shared" si="0"/>
        <v>29.17</v>
      </c>
      <c r="I106" s="183">
        <f t="shared" si="0"/>
        <v>6.37</v>
      </c>
      <c r="J106" s="183">
        <f t="shared" si="0"/>
        <v>0.02</v>
      </c>
      <c r="K106" s="183">
        <f t="shared" si="0"/>
        <v>28.94</v>
      </c>
      <c r="L106" s="183">
        <f t="shared" si="0"/>
        <v>19.41</v>
      </c>
      <c r="M106" s="183">
        <f t="shared" si="0"/>
        <v>58.1</v>
      </c>
      <c r="N106" s="183">
        <f t="shared" si="0"/>
        <v>0</v>
      </c>
      <c r="O106" s="183">
        <f t="shared" si="0"/>
        <v>0</v>
      </c>
      <c r="P106" s="183">
        <f t="shared" si="0"/>
        <v>0.8</v>
      </c>
      <c r="Q106" s="183">
        <f t="shared" si="0"/>
        <v>4.42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16.09</v>
      </c>
      <c r="C107" s="184">
        <f t="shared" ref="C107:Q107" si="1">MAX(C9:C104)</f>
        <v>30.85</v>
      </c>
      <c r="D107" s="184">
        <f t="shared" si="1"/>
        <v>28.4</v>
      </c>
      <c r="E107" s="184">
        <f t="shared" si="1"/>
        <v>11.12</v>
      </c>
      <c r="F107" s="184">
        <f t="shared" si="1"/>
        <v>5.09</v>
      </c>
      <c r="G107" s="184">
        <f t="shared" si="1"/>
        <v>99.81</v>
      </c>
      <c r="H107" s="184">
        <f t="shared" si="1"/>
        <v>38.83</v>
      </c>
      <c r="I107" s="184">
        <f t="shared" si="1"/>
        <v>9.56</v>
      </c>
      <c r="J107" s="184">
        <f t="shared" si="1"/>
        <v>0.91</v>
      </c>
      <c r="K107" s="184">
        <f t="shared" si="1"/>
        <v>234.79</v>
      </c>
      <c r="L107" s="184">
        <f t="shared" si="1"/>
        <v>26.94</v>
      </c>
      <c r="M107" s="184">
        <f t="shared" si="1"/>
        <v>87.16</v>
      </c>
      <c r="N107" s="184">
        <f t="shared" si="1"/>
        <v>237.6</v>
      </c>
      <c r="O107" s="184">
        <f t="shared" si="1"/>
        <v>0</v>
      </c>
      <c r="P107" s="184">
        <f t="shared" si="1"/>
        <v>1.1399999999999999</v>
      </c>
      <c r="Q107" s="184">
        <f t="shared" si="1"/>
        <v>4.8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9.7636458333333316</v>
      </c>
      <c r="C108" s="183">
        <f t="shared" ref="C108:Q108" si="2">AVERAGE(C9:C104)</f>
        <v>25.736041666666665</v>
      </c>
      <c r="D108" s="183">
        <f t="shared" si="2"/>
        <v>22.627083333333328</v>
      </c>
      <c r="E108" s="183">
        <f t="shared" si="2"/>
        <v>8.5522916666666671</v>
      </c>
      <c r="F108" s="183">
        <f t="shared" si="2"/>
        <v>3.1306249999999998</v>
      </c>
      <c r="G108" s="183">
        <f t="shared" si="2"/>
        <v>83.343229166666703</v>
      </c>
      <c r="H108" s="183">
        <f t="shared" si="2"/>
        <v>33.794895833333328</v>
      </c>
      <c r="I108" s="183">
        <f t="shared" si="2"/>
        <v>7.9031250000000002</v>
      </c>
      <c r="J108" s="183">
        <f t="shared" si="2"/>
        <v>0.46114583333333337</v>
      </c>
      <c r="K108" s="183">
        <f t="shared" si="2"/>
        <v>66.868749999999991</v>
      </c>
      <c r="L108" s="183">
        <f t="shared" si="2"/>
        <v>23.096249999999998</v>
      </c>
      <c r="M108" s="183">
        <f t="shared" si="2"/>
        <v>71.014166666666682</v>
      </c>
      <c r="N108" s="183">
        <f t="shared" si="2"/>
        <v>40.069791666666667</v>
      </c>
      <c r="O108" s="183">
        <f t="shared" si="2"/>
        <v>0</v>
      </c>
      <c r="P108" s="183">
        <f t="shared" si="2"/>
        <v>0.96124999999999983</v>
      </c>
      <c r="Q108" s="183">
        <f t="shared" si="2"/>
        <v>4.5844791666666671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2.5176974107690104</v>
      </c>
      <c r="C109" s="183">
        <f t="shared" ref="C109:Q109" si="3">STDEV(C9:C104)</f>
        <v>3.0923625712276763</v>
      </c>
      <c r="D109" s="183">
        <f t="shared" si="3"/>
        <v>2.7607786531937766</v>
      </c>
      <c r="E109" s="183">
        <f t="shared" si="3"/>
        <v>1.0663844267495775</v>
      </c>
      <c r="F109" s="183">
        <f t="shared" si="3"/>
        <v>0.63376371572410517</v>
      </c>
      <c r="G109" s="183">
        <f t="shared" si="3"/>
        <v>11.040402309106561</v>
      </c>
      <c r="H109" s="183">
        <f t="shared" si="3"/>
        <v>2.7017658922275438</v>
      </c>
      <c r="I109" s="183">
        <f t="shared" si="3"/>
        <v>1.108982760532317</v>
      </c>
      <c r="J109" s="183">
        <f t="shared" si="3"/>
        <v>0.21928529742476258</v>
      </c>
      <c r="K109" s="183">
        <f t="shared" si="3"/>
        <v>40.826025632522303</v>
      </c>
      <c r="L109" s="183">
        <f t="shared" si="3"/>
        <v>2.3150279070729147</v>
      </c>
      <c r="M109" s="183">
        <f t="shared" si="3"/>
        <v>9.746733829897801</v>
      </c>
      <c r="N109" s="183">
        <f t="shared" si="3"/>
        <v>63.513796461940231</v>
      </c>
      <c r="O109" s="183">
        <f t="shared" si="3"/>
        <v>0</v>
      </c>
      <c r="P109" s="183">
        <f t="shared" si="3"/>
        <v>0.10951808310190629</v>
      </c>
      <c r="Q109" s="183">
        <f t="shared" si="3"/>
        <v>9.8599346551332956E-2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05/12/2023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623</v>
      </c>
      <c r="B9" s="189">
        <v>10.77</v>
      </c>
      <c r="C9" s="189">
        <v>24.49</v>
      </c>
      <c r="D9" s="189">
        <v>22.79</v>
      </c>
      <c r="E9" s="189">
        <v>7.01</v>
      </c>
      <c r="F9" s="189">
        <v>2.78</v>
      </c>
      <c r="G9" s="189">
        <v>72.12</v>
      </c>
      <c r="H9" s="189">
        <v>29.44</v>
      </c>
      <c r="I9" s="189">
        <v>7.87</v>
      </c>
      <c r="J9" s="189">
        <v>0.54</v>
      </c>
      <c r="K9" s="189">
        <v>50.26</v>
      </c>
      <c r="L9" s="189">
        <v>21.82</v>
      </c>
      <c r="M9" s="189">
        <v>79.47</v>
      </c>
      <c r="N9" s="189">
        <v>0</v>
      </c>
      <c r="O9" s="189">
        <v>0</v>
      </c>
      <c r="P9" s="189">
        <v>0.93</v>
      </c>
      <c r="Q9" s="189">
        <v>4.54</v>
      </c>
    </row>
    <row r="10" spans="1:21" customFormat="1">
      <c r="A10" s="6" t="s">
        <v>624</v>
      </c>
      <c r="B10" s="189">
        <v>11.03</v>
      </c>
      <c r="C10" s="189">
        <v>23.14</v>
      </c>
      <c r="D10" s="189">
        <v>22.29</v>
      </c>
      <c r="E10" s="189">
        <v>6.85</v>
      </c>
      <c r="F10" s="189">
        <v>2.75</v>
      </c>
      <c r="G10" s="189">
        <v>71.63</v>
      </c>
      <c r="H10" s="189">
        <v>29.56</v>
      </c>
      <c r="I10" s="189">
        <v>7.78</v>
      </c>
      <c r="J10" s="189">
        <v>0.63</v>
      </c>
      <c r="K10" s="189">
        <v>41.1</v>
      </c>
      <c r="L10" s="189">
        <v>21.65</v>
      </c>
      <c r="M10" s="189">
        <v>80.5</v>
      </c>
      <c r="N10" s="189">
        <v>0</v>
      </c>
      <c r="O10" s="189">
        <v>0</v>
      </c>
      <c r="P10" s="189">
        <v>0.93</v>
      </c>
      <c r="Q10" s="189">
        <v>4.53</v>
      </c>
    </row>
    <row r="11" spans="1:21" customFormat="1">
      <c r="A11" s="6" t="s">
        <v>625</v>
      </c>
      <c r="B11" s="189">
        <v>11.09</v>
      </c>
      <c r="C11" s="189">
        <v>23.79</v>
      </c>
      <c r="D11" s="189">
        <v>22.67</v>
      </c>
      <c r="E11" s="189">
        <v>7.36</v>
      </c>
      <c r="F11" s="189">
        <v>2.7</v>
      </c>
      <c r="G11" s="189">
        <v>71.39</v>
      </c>
      <c r="H11" s="189">
        <v>29.58</v>
      </c>
      <c r="I11" s="189">
        <v>7.69</v>
      </c>
      <c r="J11" s="189">
        <v>0.64</v>
      </c>
      <c r="K11" s="189">
        <v>45.23</v>
      </c>
      <c r="L11" s="189">
        <v>21.61</v>
      </c>
      <c r="M11" s="189">
        <v>81.06</v>
      </c>
      <c r="N11" s="189">
        <v>0</v>
      </c>
      <c r="O11" s="189">
        <v>0</v>
      </c>
      <c r="P11" s="189">
        <v>0.92</v>
      </c>
      <c r="Q11" s="189">
        <v>4.5599999999999996</v>
      </c>
    </row>
    <row r="12" spans="1:21" customFormat="1">
      <c r="A12" s="6" t="s">
        <v>626</v>
      </c>
      <c r="B12" s="189">
        <v>11.16</v>
      </c>
      <c r="C12" s="189">
        <v>22.39</v>
      </c>
      <c r="D12" s="189">
        <v>22</v>
      </c>
      <c r="E12" s="189">
        <v>7.3</v>
      </c>
      <c r="F12" s="189">
        <v>2.85</v>
      </c>
      <c r="G12" s="189">
        <v>71.39</v>
      </c>
      <c r="H12" s="189">
        <v>29.58</v>
      </c>
      <c r="I12" s="189">
        <v>7.64</v>
      </c>
      <c r="J12" s="189">
        <v>0.71</v>
      </c>
      <c r="K12" s="189">
        <v>41.06</v>
      </c>
      <c r="L12" s="189">
        <v>21.56</v>
      </c>
      <c r="M12" s="189">
        <v>81.92</v>
      </c>
      <c r="N12" s="189">
        <v>0</v>
      </c>
      <c r="O12" s="189">
        <v>0</v>
      </c>
      <c r="P12" s="189">
        <v>0.9</v>
      </c>
      <c r="Q12" s="189">
        <v>4.58</v>
      </c>
    </row>
    <row r="13" spans="1:21" customFormat="1">
      <c r="A13" s="6" t="s">
        <v>627</v>
      </c>
      <c r="B13" s="189">
        <v>11.05</v>
      </c>
      <c r="C13" s="189">
        <v>22.73</v>
      </c>
      <c r="D13" s="189">
        <v>22.09</v>
      </c>
      <c r="E13" s="189">
        <v>6.88</v>
      </c>
      <c r="F13" s="189">
        <v>2.77</v>
      </c>
      <c r="G13" s="189">
        <v>71.39</v>
      </c>
      <c r="H13" s="189">
        <v>29.58</v>
      </c>
      <c r="I13" s="189">
        <v>7.57</v>
      </c>
      <c r="J13" s="189">
        <v>0.68</v>
      </c>
      <c r="K13" s="189">
        <v>47.56</v>
      </c>
      <c r="L13" s="189">
        <v>21.5</v>
      </c>
      <c r="M13" s="189">
        <v>82.57</v>
      </c>
      <c r="N13" s="189">
        <v>0</v>
      </c>
      <c r="O13" s="189">
        <v>0</v>
      </c>
      <c r="P13" s="189">
        <v>0.89</v>
      </c>
      <c r="Q13" s="189">
        <v>4.54</v>
      </c>
    </row>
    <row r="14" spans="1:21" customFormat="1">
      <c r="A14" s="6" t="s">
        <v>628</v>
      </c>
      <c r="B14" s="189">
        <v>11.04</v>
      </c>
      <c r="C14" s="189">
        <v>22.2</v>
      </c>
      <c r="D14" s="189">
        <v>21.8</v>
      </c>
      <c r="E14" s="189">
        <v>7.37</v>
      </c>
      <c r="F14" s="189">
        <v>3</v>
      </c>
      <c r="G14" s="189">
        <v>65.400000000000006</v>
      </c>
      <c r="H14" s="189">
        <v>25.87</v>
      </c>
      <c r="I14" s="189">
        <v>7.49</v>
      </c>
      <c r="J14" s="189">
        <v>0.77</v>
      </c>
      <c r="K14" s="189">
        <v>40.51</v>
      </c>
      <c r="L14" s="189">
        <v>21.41</v>
      </c>
      <c r="M14" s="189">
        <v>83.62</v>
      </c>
      <c r="N14" s="189">
        <v>0</v>
      </c>
      <c r="O14" s="189">
        <v>0</v>
      </c>
      <c r="P14" s="189">
        <v>0.88</v>
      </c>
      <c r="Q14" s="189">
        <v>4.55</v>
      </c>
    </row>
    <row r="15" spans="1:21" customFormat="1">
      <c r="A15" s="6" t="s">
        <v>629</v>
      </c>
      <c r="B15" s="189">
        <v>11.01</v>
      </c>
      <c r="C15" s="189">
        <v>22.57</v>
      </c>
      <c r="D15" s="189">
        <v>21.98</v>
      </c>
      <c r="E15" s="189">
        <v>6.84</v>
      </c>
      <c r="F15" s="189">
        <v>2.93</v>
      </c>
      <c r="G15" s="189">
        <v>62.41</v>
      </c>
      <c r="H15" s="189">
        <v>25.44</v>
      </c>
      <c r="I15" s="189">
        <v>7.38</v>
      </c>
      <c r="J15" s="189">
        <v>0.83</v>
      </c>
      <c r="K15" s="189">
        <v>45.01</v>
      </c>
      <c r="L15" s="189">
        <v>21.32</v>
      </c>
      <c r="M15" s="189">
        <v>84.39</v>
      </c>
      <c r="N15" s="189">
        <v>0</v>
      </c>
      <c r="O15" s="189">
        <v>0</v>
      </c>
      <c r="P15" s="189">
        <v>0.87</v>
      </c>
      <c r="Q15" s="189">
        <v>4.55</v>
      </c>
    </row>
    <row r="16" spans="1:21" customFormat="1">
      <c r="A16" s="6" t="s">
        <v>630</v>
      </c>
      <c r="B16" s="189">
        <v>11.06</v>
      </c>
      <c r="C16" s="189">
        <v>21.56</v>
      </c>
      <c r="D16" s="189">
        <v>21.49</v>
      </c>
      <c r="E16" s="189">
        <v>7.19</v>
      </c>
      <c r="F16" s="189">
        <v>3.1</v>
      </c>
      <c r="G16" s="189">
        <v>62.41</v>
      </c>
      <c r="H16" s="189">
        <v>25.44</v>
      </c>
      <c r="I16" s="189">
        <v>7.3</v>
      </c>
      <c r="J16" s="189">
        <v>0.84</v>
      </c>
      <c r="K16" s="189">
        <v>46.16</v>
      </c>
      <c r="L16" s="189">
        <v>21.28</v>
      </c>
      <c r="M16" s="189">
        <v>84.35</v>
      </c>
      <c r="N16" s="189">
        <v>0</v>
      </c>
      <c r="O16" s="189">
        <v>0</v>
      </c>
      <c r="P16" s="189">
        <v>0.86</v>
      </c>
      <c r="Q16" s="189">
        <v>4.54</v>
      </c>
    </row>
    <row r="17" spans="1:17" customFormat="1">
      <c r="A17" s="6" t="s">
        <v>631</v>
      </c>
      <c r="B17" s="189">
        <v>10.93</v>
      </c>
      <c r="C17" s="189">
        <v>21.68</v>
      </c>
      <c r="D17" s="189">
        <v>21.44</v>
      </c>
      <c r="E17" s="189">
        <v>7.11</v>
      </c>
      <c r="F17" s="189">
        <v>2.91</v>
      </c>
      <c r="G17" s="189">
        <v>62.41</v>
      </c>
      <c r="H17" s="189">
        <v>25.44</v>
      </c>
      <c r="I17" s="189">
        <v>7.23</v>
      </c>
      <c r="J17" s="189">
        <v>0.73</v>
      </c>
      <c r="K17" s="189">
        <v>42.69</v>
      </c>
      <c r="L17" s="189">
        <v>21.2</v>
      </c>
      <c r="M17" s="189">
        <v>85.48</v>
      </c>
      <c r="N17" s="189">
        <v>0</v>
      </c>
      <c r="O17" s="189">
        <v>0</v>
      </c>
      <c r="P17" s="189">
        <v>0.84</v>
      </c>
      <c r="Q17" s="189">
        <v>4.5599999999999996</v>
      </c>
    </row>
    <row r="18" spans="1:17" customFormat="1">
      <c r="A18" s="6" t="s">
        <v>632</v>
      </c>
      <c r="B18" s="189">
        <v>10.8</v>
      </c>
      <c r="C18" s="189">
        <v>21.36</v>
      </c>
      <c r="D18" s="189">
        <v>21.17</v>
      </c>
      <c r="E18" s="189">
        <v>7.98</v>
      </c>
      <c r="F18" s="189">
        <v>2.88</v>
      </c>
      <c r="G18" s="189">
        <v>58.49</v>
      </c>
      <c r="H18" s="189">
        <v>26.12</v>
      </c>
      <c r="I18" s="189">
        <v>7.15</v>
      </c>
      <c r="J18" s="189">
        <v>0.86</v>
      </c>
      <c r="K18" s="189">
        <v>41.09</v>
      </c>
      <c r="L18" s="189">
        <v>20.96</v>
      </c>
      <c r="M18" s="189">
        <v>87.28</v>
      </c>
      <c r="N18" s="189">
        <v>0</v>
      </c>
      <c r="O18" s="189">
        <v>0</v>
      </c>
      <c r="P18" s="189">
        <v>0.84</v>
      </c>
      <c r="Q18" s="189">
        <v>4.54</v>
      </c>
    </row>
    <row r="19" spans="1:17" customFormat="1">
      <c r="A19" s="6" t="s">
        <v>633</v>
      </c>
      <c r="B19" s="189">
        <v>10.69</v>
      </c>
      <c r="C19" s="189">
        <v>22.37</v>
      </c>
      <c r="D19" s="189">
        <v>21.61</v>
      </c>
      <c r="E19" s="189">
        <v>8.59</v>
      </c>
      <c r="F19" s="189">
        <v>2.94</v>
      </c>
      <c r="G19" s="189">
        <v>56.53</v>
      </c>
      <c r="H19" s="189">
        <v>26.2</v>
      </c>
      <c r="I19" s="189">
        <v>7.06</v>
      </c>
      <c r="J19" s="189">
        <v>0.96</v>
      </c>
      <c r="K19" s="189">
        <v>47.78</v>
      </c>
      <c r="L19" s="189">
        <v>20.86</v>
      </c>
      <c r="M19" s="189">
        <v>87.95</v>
      </c>
      <c r="N19" s="189">
        <v>0</v>
      </c>
      <c r="O19" s="189">
        <v>0</v>
      </c>
      <c r="P19" s="189">
        <v>0.83</v>
      </c>
      <c r="Q19" s="189">
        <v>4.54</v>
      </c>
    </row>
    <row r="20" spans="1:17" customFormat="1">
      <c r="A20" s="6" t="s">
        <v>634</v>
      </c>
      <c r="B20" s="189">
        <v>10.199999999999999</v>
      </c>
      <c r="C20" s="189">
        <v>22.45</v>
      </c>
      <c r="D20" s="189">
        <v>21.26</v>
      </c>
      <c r="E20" s="189">
        <v>8.58</v>
      </c>
      <c r="F20" s="189">
        <v>2.94</v>
      </c>
      <c r="G20" s="189">
        <v>56.53</v>
      </c>
      <c r="H20" s="189">
        <v>26.2</v>
      </c>
      <c r="I20" s="189">
        <v>6.98</v>
      </c>
      <c r="J20" s="189">
        <v>0.92</v>
      </c>
      <c r="K20" s="189">
        <v>40.479999999999997</v>
      </c>
      <c r="L20" s="189">
        <v>20.6</v>
      </c>
      <c r="M20" s="189">
        <v>90.2</v>
      </c>
      <c r="N20" s="189">
        <v>0</v>
      </c>
      <c r="O20" s="189">
        <v>0</v>
      </c>
      <c r="P20" s="189">
        <v>0.83</v>
      </c>
      <c r="Q20" s="189">
        <v>4.54</v>
      </c>
    </row>
    <row r="21" spans="1:17" customFormat="1">
      <c r="A21" s="6" t="s">
        <v>635</v>
      </c>
      <c r="B21" s="189">
        <v>9.6</v>
      </c>
      <c r="C21" s="189">
        <v>22.7</v>
      </c>
      <c r="D21" s="189">
        <v>20.91</v>
      </c>
      <c r="E21" s="189">
        <v>8.4700000000000006</v>
      </c>
      <c r="F21" s="189">
        <v>3</v>
      </c>
      <c r="G21" s="189">
        <v>56.53</v>
      </c>
      <c r="H21" s="189">
        <v>26.2</v>
      </c>
      <c r="I21" s="189">
        <v>6.88</v>
      </c>
      <c r="J21" s="189">
        <v>0.83</v>
      </c>
      <c r="K21" s="189">
        <v>35.520000000000003</v>
      </c>
      <c r="L21" s="189">
        <v>20.3</v>
      </c>
      <c r="M21" s="189">
        <v>92.69</v>
      </c>
      <c r="N21" s="189">
        <v>0</v>
      </c>
      <c r="O21" s="189">
        <v>0</v>
      </c>
      <c r="P21" s="189">
        <v>0.82</v>
      </c>
      <c r="Q21" s="189">
        <v>4.55</v>
      </c>
    </row>
    <row r="22" spans="1:17" customFormat="1">
      <c r="A22" s="6" t="s">
        <v>636</v>
      </c>
      <c r="B22" s="189">
        <v>9.25</v>
      </c>
      <c r="C22" s="189">
        <v>23.13</v>
      </c>
      <c r="D22" s="189">
        <v>20.85</v>
      </c>
      <c r="E22" s="189">
        <v>8.15</v>
      </c>
      <c r="F22" s="189">
        <v>3.01</v>
      </c>
      <c r="G22" s="189">
        <v>53.56</v>
      </c>
      <c r="H22" s="189">
        <v>25.24</v>
      </c>
      <c r="I22" s="189">
        <v>6.77</v>
      </c>
      <c r="J22" s="189">
        <v>0.98</v>
      </c>
      <c r="K22" s="189">
        <v>45.41</v>
      </c>
      <c r="L22" s="189">
        <v>20.21</v>
      </c>
      <c r="M22" s="189">
        <v>92.79</v>
      </c>
      <c r="N22" s="189">
        <v>0</v>
      </c>
      <c r="O22" s="189">
        <v>0</v>
      </c>
      <c r="P22" s="189">
        <v>0.81</v>
      </c>
      <c r="Q22" s="189">
        <v>4.53</v>
      </c>
    </row>
    <row r="23" spans="1:17" customFormat="1">
      <c r="A23" s="6" t="s">
        <v>637</v>
      </c>
      <c r="B23" s="189">
        <v>8.8699999999999992</v>
      </c>
      <c r="C23" s="189">
        <v>23.3</v>
      </c>
      <c r="D23" s="189">
        <v>20.64</v>
      </c>
      <c r="E23" s="189">
        <v>8.17</v>
      </c>
      <c r="F23" s="189">
        <v>3.06</v>
      </c>
      <c r="G23" s="189">
        <v>52.08</v>
      </c>
      <c r="H23" s="189">
        <v>25.12</v>
      </c>
      <c r="I23" s="189">
        <v>6.65</v>
      </c>
      <c r="J23" s="189">
        <v>0.9</v>
      </c>
      <c r="K23" s="189">
        <v>39.92</v>
      </c>
      <c r="L23" s="189">
        <v>20.22</v>
      </c>
      <c r="M23" s="189">
        <v>92.64</v>
      </c>
      <c r="N23" s="189">
        <v>0</v>
      </c>
      <c r="O23" s="189">
        <v>0</v>
      </c>
      <c r="P23" s="189">
        <v>0.8</v>
      </c>
      <c r="Q23" s="189">
        <v>4.51</v>
      </c>
    </row>
    <row r="24" spans="1:17" customFormat="1">
      <c r="A24" s="6" t="s">
        <v>638</v>
      </c>
      <c r="B24" s="189">
        <v>8.73</v>
      </c>
      <c r="C24" s="189">
        <v>23.63</v>
      </c>
      <c r="D24" s="189">
        <v>20.7</v>
      </c>
      <c r="E24" s="189">
        <v>8.2200000000000006</v>
      </c>
      <c r="F24" s="189">
        <v>2.98</v>
      </c>
      <c r="G24" s="189">
        <v>52.08</v>
      </c>
      <c r="H24" s="189">
        <v>25.12</v>
      </c>
      <c r="I24" s="189">
        <v>6.52</v>
      </c>
      <c r="J24" s="189">
        <v>0.88</v>
      </c>
      <c r="K24" s="189">
        <v>36.19</v>
      </c>
      <c r="L24" s="189">
        <v>20.22</v>
      </c>
      <c r="M24" s="189">
        <v>92.77</v>
      </c>
      <c r="N24" s="189">
        <v>0</v>
      </c>
      <c r="O24" s="189">
        <v>0</v>
      </c>
      <c r="P24" s="189">
        <v>0.79</v>
      </c>
      <c r="Q24" s="189">
        <v>4.5</v>
      </c>
    </row>
    <row r="25" spans="1:17" customFormat="1">
      <c r="A25" s="6" t="s">
        <v>639</v>
      </c>
      <c r="B25" s="189">
        <v>8.6300000000000008</v>
      </c>
      <c r="C25" s="189">
        <v>23.76</v>
      </c>
      <c r="D25" s="189">
        <v>20.69</v>
      </c>
      <c r="E25" s="189">
        <v>8.7200000000000006</v>
      </c>
      <c r="F25" s="189">
        <v>2.93</v>
      </c>
      <c r="G25" s="189">
        <v>52.08</v>
      </c>
      <c r="H25" s="189">
        <v>25.12</v>
      </c>
      <c r="I25" s="189">
        <v>6.43</v>
      </c>
      <c r="J25" s="189">
        <v>0.76</v>
      </c>
      <c r="K25" s="189">
        <v>41.23</v>
      </c>
      <c r="L25" s="189">
        <v>20.07</v>
      </c>
      <c r="M25" s="189">
        <v>94.29</v>
      </c>
      <c r="N25" s="189">
        <v>0</v>
      </c>
      <c r="O25" s="189">
        <v>0</v>
      </c>
      <c r="P25" s="189">
        <v>0.78</v>
      </c>
      <c r="Q25" s="189">
        <v>4.5</v>
      </c>
    </row>
    <row r="26" spans="1:17" customFormat="1">
      <c r="A26" s="6" t="s">
        <v>640</v>
      </c>
      <c r="B26" s="189">
        <v>8.5500000000000007</v>
      </c>
      <c r="C26" s="189">
        <v>23.82</v>
      </c>
      <c r="D26" s="189">
        <v>20.66</v>
      </c>
      <c r="E26" s="189">
        <v>8.94</v>
      </c>
      <c r="F26" s="189">
        <v>2.9</v>
      </c>
      <c r="G26" s="189">
        <v>48.27</v>
      </c>
      <c r="H26" s="189">
        <v>22.61</v>
      </c>
      <c r="I26" s="189">
        <v>6.34</v>
      </c>
      <c r="J26" s="189">
        <v>0.82</v>
      </c>
      <c r="K26" s="189">
        <v>45.37</v>
      </c>
      <c r="L26" s="189">
        <v>20.03</v>
      </c>
      <c r="M26" s="189">
        <v>95.12</v>
      </c>
      <c r="N26" s="189">
        <v>0</v>
      </c>
      <c r="O26" s="189">
        <v>0</v>
      </c>
      <c r="P26" s="189">
        <v>0.77</v>
      </c>
      <c r="Q26" s="189">
        <v>4.51</v>
      </c>
    </row>
    <row r="27" spans="1:17" customFormat="1">
      <c r="A27" s="6" t="s">
        <v>641</v>
      </c>
      <c r="B27" s="189">
        <v>8.83</v>
      </c>
      <c r="C27" s="189">
        <v>24.03</v>
      </c>
      <c r="D27" s="189">
        <v>20.99</v>
      </c>
      <c r="E27" s="189">
        <v>8.6999999999999993</v>
      </c>
      <c r="F27" s="189">
        <v>2.74</v>
      </c>
      <c r="G27" s="189">
        <v>46.36</v>
      </c>
      <c r="H27" s="189">
        <v>22.31</v>
      </c>
      <c r="I27" s="189">
        <v>6.24</v>
      </c>
      <c r="J27" s="189">
        <v>0.95</v>
      </c>
      <c r="K27" s="189">
        <v>43.71</v>
      </c>
      <c r="L27" s="189">
        <v>20</v>
      </c>
      <c r="M27" s="189">
        <v>94.96</v>
      </c>
      <c r="N27" s="189">
        <v>0</v>
      </c>
      <c r="O27" s="189">
        <v>0</v>
      </c>
      <c r="P27" s="189">
        <v>0.75</v>
      </c>
      <c r="Q27" s="189">
        <v>4.51</v>
      </c>
    </row>
    <row r="28" spans="1:17" customFormat="1">
      <c r="A28" s="6" t="s">
        <v>642</v>
      </c>
      <c r="B28" s="189">
        <v>9.15</v>
      </c>
      <c r="C28" s="189">
        <v>24.27</v>
      </c>
      <c r="D28" s="189">
        <v>21.37</v>
      </c>
      <c r="E28" s="189">
        <v>8.6300000000000008</v>
      </c>
      <c r="F28" s="189">
        <v>2.78</v>
      </c>
      <c r="G28" s="189">
        <v>46.36</v>
      </c>
      <c r="H28" s="189">
        <v>22.31</v>
      </c>
      <c r="I28" s="189">
        <v>6.18</v>
      </c>
      <c r="J28" s="189">
        <v>0.98</v>
      </c>
      <c r="K28" s="189">
        <v>47.45</v>
      </c>
      <c r="L28" s="189">
        <v>19.850000000000001</v>
      </c>
      <c r="M28" s="189">
        <v>95.55</v>
      </c>
      <c r="N28" s="189">
        <v>0</v>
      </c>
      <c r="O28" s="189">
        <v>0</v>
      </c>
      <c r="P28" s="189">
        <v>0.75</v>
      </c>
      <c r="Q28" s="189">
        <v>4.53</v>
      </c>
    </row>
    <row r="29" spans="1:17" customFormat="1">
      <c r="A29" s="6" t="s">
        <v>643</v>
      </c>
      <c r="B29" s="189">
        <v>9.3000000000000007</v>
      </c>
      <c r="C29" s="189">
        <v>24.9</v>
      </c>
      <c r="D29" s="189">
        <v>21.82</v>
      </c>
      <c r="E29" s="189">
        <v>9.0500000000000007</v>
      </c>
      <c r="F29" s="189">
        <v>2.76</v>
      </c>
      <c r="G29" s="189">
        <v>46.36</v>
      </c>
      <c r="H29" s="189">
        <v>22.31</v>
      </c>
      <c r="I29" s="189">
        <v>6.14</v>
      </c>
      <c r="J29" s="189">
        <v>0.79</v>
      </c>
      <c r="K29" s="189">
        <v>42.21</v>
      </c>
      <c r="L29" s="189">
        <v>19.829999999999998</v>
      </c>
      <c r="M29" s="189">
        <v>95.83</v>
      </c>
      <c r="N29" s="189">
        <v>0</v>
      </c>
      <c r="O29" s="189">
        <v>0</v>
      </c>
      <c r="P29" s="189">
        <v>0.74</v>
      </c>
      <c r="Q29" s="189">
        <v>4.54</v>
      </c>
    </row>
    <row r="30" spans="1:17" customFormat="1">
      <c r="A30" s="6" t="s">
        <v>644</v>
      </c>
      <c r="B30" s="189">
        <v>9.74</v>
      </c>
      <c r="C30" s="189">
        <v>25.41</v>
      </c>
      <c r="D30" s="189">
        <v>22.44</v>
      </c>
      <c r="E30" s="189">
        <v>8.75</v>
      </c>
      <c r="F30" s="189">
        <v>2.5</v>
      </c>
      <c r="G30" s="189">
        <v>43.41</v>
      </c>
      <c r="H30" s="189">
        <v>21.06</v>
      </c>
      <c r="I30" s="189">
        <v>6.07</v>
      </c>
      <c r="J30" s="189">
        <v>0.83</v>
      </c>
      <c r="K30" s="189">
        <v>49.99</v>
      </c>
      <c r="L30" s="189">
        <v>19.86</v>
      </c>
      <c r="M30" s="189">
        <v>95.69</v>
      </c>
      <c r="N30" s="189">
        <v>0</v>
      </c>
      <c r="O30" s="189">
        <v>0</v>
      </c>
      <c r="P30" s="189">
        <v>0.73</v>
      </c>
      <c r="Q30" s="189">
        <v>4.5599999999999996</v>
      </c>
    </row>
    <row r="31" spans="1:17" customFormat="1">
      <c r="A31" s="6" t="s">
        <v>645</v>
      </c>
      <c r="B31" s="189">
        <v>10.199999999999999</v>
      </c>
      <c r="C31" s="189">
        <v>25.82</v>
      </c>
      <c r="D31" s="189">
        <v>23.02</v>
      </c>
      <c r="E31" s="189">
        <v>8.9499999999999993</v>
      </c>
      <c r="F31" s="189">
        <v>2.58</v>
      </c>
      <c r="G31" s="189">
        <v>41.93</v>
      </c>
      <c r="H31" s="189">
        <v>20.91</v>
      </c>
      <c r="I31" s="189">
        <v>6.01</v>
      </c>
      <c r="J31" s="189">
        <v>0.97</v>
      </c>
      <c r="K31" s="189">
        <v>45.86</v>
      </c>
      <c r="L31" s="189">
        <v>19.82</v>
      </c>
      <c r="M31" s="189">
        <v>95.15</v>
      </c>
      <c r="N31" s="189">
        <v>0</v>
      </c>
      <c r="O31" s="189">
        <v>0</v>
      </c>
      <c r="P31" s="189">
        <v>0.74</v>
      </c>
      <c r="Q31" s="189">
        <v>4.57</v>
      </c>
    </row>
    <row r="32" spans="1:17" customFormat="1">
      <c r="A32" s="6" t="s">
        <v>646</v>
      </c>
      <c r="B32" s="189">
        <v>10.39</v>
      </c>
      <c r="C32" s="189">
        <v>25.98</v>
      </c>
      <c r="D32" s="189">
        <v>23.26</v>
      </c>
      <c r="E32" s="189">
        <v>9.3000000000000007</v>
      </c>
      <c r="F32" s="189">
        <v>2.76</v>
      </c>
      <c r="G32" s="189">
        <v>41.93</v>
      </c>
      <c r="H32" s="189">
        <v>20.91</v>
      </c>
      <c r="I32" s="189">
        <v>5.98</v>
      </c>
      <c r="J32" s="189">
        <v>0.9</v>
      </c>
      <c r="K32" s="189">
        <v>43.61</v>
      </c>
      <c r="L32" s="189">
        <v>19.8</v>
      </c>
      <c r="M32" s="189">
        <v>94.51</v>
      </c>
      <c r="N32" s="189">
        <v>0</v>
      </c>
      <c r="O32" s="189">
        <v>0</v>
      </c>
      <c r="P32" s="189">
        <v>0.72</v>
      </c>
      <c r="Q32" s="189">
        <v>4.5999999999999996</v>
      </c>
    </row>
    <row r="33" spans="1:17" customFormat="1">
      <c r="A33" s="6" t="s">
        <v>647</v>
      </c>
      <c r="B33" s="189">
        <v>10.51</v>
      </c>
      <c r="C33" s="189">
        <v>26.18</v>
      </c>
      <c r="D33" s="189">
        <v>23.46</v>
      </c>
      <c r="E33" s="189">
        <v>9.11</v>
      </c>
      <c r="F33" s="189">
        <v>2.69</v>
      </c>
      <c r="G33" s="189">
        <v>41.93</v>
      </c>
      <c r="H33" s="189">
        <v>20.91</v>
      </c>
      <c r="I33" s="189">
        <v>5.92</v>
      </c>
      <c r="J33" s="189">
        <v>0.78</v>
      </c>
      <c r="K33" s="189">
        <v>50.79</v>
      </c>
      <c r="L33" s="189">
        <v>19.82</v>
      </c>
      <c r="M33" s="189">
        <v>94.44</v>
      </c>
      <c r="N33" s="189">
        <v>0</v>
      </c>
      <c r="O33" s="189">
        <v>0</v>
      </c>
      <c r="P33" s="189">
        <v>0.72</v>
      </c>
      <c r="Q33" s="189">
        <v>4.63</v>
      </c>
    </row>
    <row r="34" spans="1:17" customFormat="1">
      <c r="A34" s="6" t="s">
        <v>648</v>
      </c>
      <c r="B34" s="189">
        <v>10.69</v>
      </c>
      <c r="C34" s="189">
        <v>26.23</v>
      </c>
      <c r="D34" s="189">
        <v>23.62</v>
      </c>
      <c r="E34" s="189">
        <v>9.17</v>
      </c>
      <c r="F34" s="189">
        <v>2.71</v>
      </c>
      <c r="G34" s="189">
        <v>36.36</v>
      </c>
      <c r="H34" s="189">
        <v>19.66</v>
      </c>
      <c r="I34" s="189">
        <v>5.86</v>
      </c>
      <c r="J34" s="189">
        <v>0.68</v>
      </c>
      <c r="K34" s="189">
        <v>57.16</v>
      </c>
      <c r="L34" s="189">
        <v>19.71</v>
      </c>
      <c r="M34" s="189">
        <v>95.37</v>
      </c>
      <c r="N34" s="189">
        <v>0</v>
      </c>
      <c r="O34" s="189">
        <v>0</v>
      </c>
      <c r="P34" s="189">
        <v>0.72</v>
      </c>
      <c r="Q34" s="189">
        <v>4.6100000000000003</v>
      </c>
    </row>
    <row r="35" spans="1:17" customFormat="1">
      <c r="A35" s="6" t="s">
        <v>649</v>
      </c>
      <c r="B35" s="189">
        <v>10.81</v>
      </c>
      <c r="C35" s="189">
        <v>26.01</v>
      </c>
      <c r="D35" s="189">
        <v>23.61</v>
      </c>
      <c r="E35" s="189">
        <v>8.9600000000000009</v>
      </c>
      <c r="F35" s="189">
        <v>2.76</v>
      </c>
      <c r="G35" s="189">
        <v>33.57</v>
      </c>
      <c r="H35" s="189">
        <v>19.41</v>
      </c>
      <c r="I35" s="189">
        <v>5.8</v>
      </c>
      <c r="J35" s="189">
        <v>0.83</v>
      </c>
      <c r="K35" s="189">
        <v>55.12</v>
      </c>
      <c r="L35" s="189">
        <v>19.57</v>
      </c>
      <c r="M35" s="189">
        <v>96.14</v>
      </c>
      <c r="N35" s="189">
        <v>0</v>
      </c>
      <c r="O35" s="189">
        <v>0.2</v>
      </c>
      <c r="P35" s="189">
        <v>0.71</v>
      </c>
      <c r="Q35" s="189">
        <v>4.5999999999999996</v>
      </c>
    </row>
    <row r="36" spans="1:17" customFormat="1">
      <c r="A36" s="6" t="s">
        <v>650</v>
      </c>
      <c r="B36" s="189">
        <v>10.84</v>
      </c>
      <c r="C36" s="189">
        <v>26.18</v>
      </c>
      <c r="D36" s="189">
        <v>23.73</v>
      </c>
      <c r="E36" s="189">
        <v>8.48</v>
      </c>
      <c r="F36" s="189">
        <v>2.64</v>
      </c>
      <c r="G36" s="189">
        <v>33.57</v>
      </c>
      <c r="H36" s="189">
        <v>19.41</v>
      </c>
      <c r="I36" s="189">
        <v>5.78</v>
      </c>
      <c r="J36" s="189">
        <v>0.79</v>
      </c>
      <c r="K36" s="189">
        <v>56.29</v>
      </c>
      <c r="L36" s="189">
        <v>19.39</v>
      </c>
      <c r="M36" s="189">
        <v>97.2</v>
      </c>
      <c r="N36" s="189">
        <v>0</v>
      </c>
      <c r="O36" s="189">
        <v>0.4</v>
      </c>
      <c r="P36" s="189">
        <v>0.71</v>
      </c>
      <c r="Q36" s="189">
        <v>4.6100000000000003</v>
      </c>
    </row>
    <row r="37" spans="1:17" customFormat="1">
      <c r="A37" s="6" t="s">
        <v>651</v>
      </c>
      <c r="B37" s="189">
        <v>10.91</v>
      </c>
      <c r="C37" s="189">
        <v>25.83</v>
      </c>
      <c r="D37" s="189">
        <v>23.6</v>
      </c>
      <c r="E37" s="189">
        <v>8.85</v>
      </c>
      <c r="F37" s="189">
        <v>2.8</v>
      </c>
      <c r="G37" s="189">
        <v>33.57</v>
      </c>
      <c r="H37" s="189">
        <v>19.41</v>
      </c>
      <c r="I37" s="189">
        <v>5.76</v>
      </c>
      <c r="J37" s="189">
        <v>0.98</v>
      </c>
      <c r="K37" s="189">
        <v>44.93</v>
      </c>
      <c r="L37" s="189">
        <v>19.329999999999998</v>
      </c>
      <c r="M37" s="189">
        <v>97.98</v>
      </c>
      <c r="N37" s="189">
        <v>4.5</v>
      </c>
      <c r="O37" s="189">
        <v>0</v>
      </c>
      <c r="P37" s="189">
        <v>0.7</v>
      </c>
      <c r="Q37" s="189">
        <v>4.6100000000000003</v>
      </c>
    </row>
    <row r="38" spans="1:17" customFormat="1">
      <c r="A38" s="6" t="s">
        <v>652</v>
      </c>
      <c r="B38" s="189">
        <v>10.92</v>
      </c>
      <c r="C38" s="189">
        <v>26.26</v>
      </c>
      <c r="D38" s="189">
        <v>23.82</v>
      </c>
      <c r="E38" s="189">
        <v>8.81</v>
      </c>
      <c r="F38" s="189">
        <v>2.68</v>
      </c>
      <c r="G38" s="189">
        <v>32.4</v>
      </c>
      <c r="H38" s="189">
        <v>16.54</v>
      </c>
      <c r="I38" s="189">
        <v>5.73</v>
      </c>
      <c r="J38" s="189">
        <v>0.89</v>
      </c>
      <c r="K38" s="189">
        <v>42.31</v>
      </c>
      <c r="L38" s="189">
        <v>19.37</v>
      </c>
      <c r="M38" s="189">
        <v>98.27</v>
      </c>
      <c r="N38" s="189">
        <v>14.8</v>
      </c>
      <c r="O38" s="189">
        <v>0</v>
      </c>
      <c r="P38" s="189">
        <v>0.71</v>
      </c>
      <c r="Q38" s="189">
        <v>4.63</v>
      </c>
    </row>
    <row r="39" spans="1:17" customFormat="1">
      <c r="A39" s="6" t="s">
        <v>653</v>
      </c>
      <c r="B39" s="189">
        <v>10.92</v>
      </c>
      <c r="C39" s="189">
        <v>26.38</v>
      </c>
      <c r="D39" s="189">
        <v>23.89</v>
      </c>
      <c r="E39" s="189">
        <v>8.6999999999999993</v>
      </c>
      <c r="F39" s="189">
        <v>2.6</v>
      </c>
      <c r="G39" s="189">
        <v>31.81</v>
      </c>
      <c r="H39" s="189">
        <v>16.2</v>
      </c>
      <c r="I39" s="189">
        <v>5.72</v>
      </c>
      <c r="J39" s="189">
        <v>0.88</v>
      </c>
      <c r="K39" s="189">
        <v>46.33</v>
      </c>
      <c r="L39" s="189">
        <v>19.510000000000002</v>
      </c>
      <c r="M39" s="189">
        <v>98.51</v>
      </c>
      <c r="N39" s="189">
        <v>31.2</v>
      </c>
      <c r="O39" s="189">
        <v>0</v>
      </c>
      <c r="P39" s="189">
        <v>0.71</v>
      </c>
      <c r="Q39" s="189">
        <v>4.63</v>
      </c>
    </row>
    <row r="40" spans="1:17" customFormat="1">
      <c r="A40" s="6" t="s">
        <v>654</v>
      </c>
      <c r="B40" s="189">
        <v>11.25</v>
      </c>
      <c r="C40" s="189">
        <v>26.8</v>
      </c>
      <c r="D40" s="189">
        <v>24.37</v>
      </c>
      <c r="E40" s="189">
        <v>8.7799999999999994</v>
      </c>
      <c r="F40" s="189">
        <v>2.81</v>
      </c>
      <c r="G40" s="189">
        <v>31.81</v>
      </c>
      <c r="H40" s="189">
        <v>16.2</v>
      </c>
      <c r="I40" s="189">
        <v>5.72</v>
      </c>
      <c r="J40" s="189">
        <v>1.1299999999999999</v>
      </c>
      <c r="K40" s="189">
        <v>42.17</v>
      </c>
      <c r="L40" s="189">
        <v>19.57</v>
      </c>
      <c r="M40" s="189">
        <v>98.56</v>
      </c>
      <c r="N40" s="189">
        <v>37.799999999999997</v>
      </c>
      <c r="O40" s="189">
        <v>0</v>
      </c>
      <c r="P40" s="189">
        <v>0.7</v>
      </c>
      <c r="Q40" s="189">
        <v>4.63</v>
      </c>
    </row>
    <row r="41" spans="1:17" customFormat="1">
      <c r="A41" s="6" t="s">
        <v>655</v>
      </c>
      <c r="B41" s="189">
        <v>11.85</v>
      </c>
      <c r="C41" s="189">
        <v>23.39</v>
      </c>
      <c r="D41" s="189">
        <v>23.08</v>
      </c>
      <c r="E41" s="189">
        <v>8.99</v>
      </c>
      <c r="F41" s="189">
        <v>3.28</v>
      </c>
      <c r="G41" s="189">
        <v>31.81</v>
      </c>
      <c r="H41" s="189">
        <v>16.2</v>
      </c>
      <c r="I41" s="189">
        <v>5.73</v>
      </c>
      <c r="J41" s="189">
        <v>1.0900000000000001</v>
      </c>
      <c r="K41" s="189">
        <v>42.71</v>
      </c>
      <c r="L41" s="189">
        <v>19.27</v>
      </c>
      <c r="M41" s="189">
        <v>96.91</v>
      </c>
      <c r="N41" s="189">
        <v>33</v>
      </c>
      <c r="O41" s="189">
        <v>0</v>
      </c>
      <c r="P41" s="189">
        <v>0.67</v>
      </c>
      <c r="Q41" s="189">
        <v>4.63</v>
      </c>
    </row>
    <row r="42" spans="1:17" customFormat="1">
      <c r="A42" s="6" t="s">
        <v>656</v>
      </c>
      <c r="B42" s="189">
        <v>12.1</v>
      </c>
      <c r="C42" s="189">
        <v>21.65</v>
      </c>
      <c r="D42" s="189">
        <v>22.36</v>
      </c>
      <c r="E42" s="189">
        <v>8.34</v>
      </c>
      <c r="F42" s="189">
        <v>3.08</v>
      </c>
      <c r="G42" s="189">
        <v>27.96</v>
      </c>
      <c r="H42" s="189">
        <v>14.61</v>
      </c>
      <c r="I42" s="189">
        <v>5.69</v>
      </c>
      <c r="J42" s="189">
        <v>0.89</v>
      </c>
      <c r="K42" s="189">
        <v>47.02</v>
      </c>
      <c r="L42" s="189">
        <v>19.18</v>
      </c>
      <c r="M42" s="189">
        <v>95.28</v>
      </c>
      <c r="N42" s="189">
        <v>48.2</v>
      </c>
      <c r="O42" s="189">
        <v>0</v>
      </c>
      <c r="P42" s="189">
        <v>0.65</v>
      </c>
      <c r="Q42" s="189">
        <v>4.62</v>
      </c>
    </row>
    <row r="43" spans="1:17" customFormat="1">
      <c r="A43" s="6" t="s">
        <v>657</v>
      </c>
      <c r="B43" s="189">
        <v>12.21</v>
      </c>
      <c r="C43" s="189">
        <v>22.31</v>
      </c>
      <c r="D43" s="189">
        <v>22.8</v>
      </c>
      <c r="E43" s="189">
        <v>8.34</v>
      </c>
      <c r="F43" s="189">
        <v>2.85</v>
      </c>
      <c r="G43" s="189">
        <v>26.03</v>
      </c>
      <c r="H43" s="189">
        <v>14.43</v>
      </c>
      <c r="I43" s="189">
        <v>5.62</v>
      </c>
      <c r="J43" s="189">
        <v>0.72</v>
      </c>
      <c r="K43" s="189">
        <v>57.84</v>
      </c>
      <c r="L43" s="189">
        <v>19.34</v>
      </c>
      <c r="M43" s="189">
        <v>93.84</v>
      </c>
      <c r="N43" s="189">
        <v>27.6</v>
      </c>
      <c r="O43" s="189">
        <v>0.2</v>
      </c>
      <c r="P43" s="189">
        <v>0.63</v>
      </c>
      <c r="Q43" s="189">
        <v>4.6100000000000003</v>
      </c>
    </row>
    <row r="44" spans="1:17" customFormat="1">
      <c r="A44" s="6" t="s">
        <v>658</v>
      </c>
      <c r="B44" s="189">
        <v>12.36</v>
      </c>
      <c r="C44" s="189">
        <v>21.71</v>
      </c>
      <c r="D44" s="189">
        <v>22.61</v>
      </c>
      <c r="E44" s="189">
        <v>7.73</v>
      </c>
      <c r="F44" s="189">
        <v>2.83</v>
      </c>
      <c r="G44" s="189">
        <v>26.03</v>
      </c>
      <c r="H44" s="189">
        <v>14.43</v>
      </c>
      <c r="I44" s="189">
        <v>5.53</v>
      </c>
      <c r="J44" s="189">
        <v>0.57999999999999996</v>
      </c>
      <c r="K44" s="189">
        <v>54.48</v>
      </c>
      <c r="L44" s="189">
        <v>19.18</v>
      </c>
      <c r="M44" s="189">
        <v>95.71</v>
      </c>
      <c r="N44" s="189">
        <v>18</v>
      </c>
      <c r="O44" s="189">
        <v>0.2</v>
      </c>
      <c r="P44" s="189">
        <v>0.63</v>
      </c>
      <c r="Q44" s="189">
        <v>4.62</v>
      </c>
    </row>
    <row r="45" spans="1:17" customFormat="1">
      <c r="A45" s="6" t="s">
        <v>659</v>
      </c>
      <c r="B45" s="189">
        <v>12.54</v>
      </c>
      <c r="C45" s="189">
        <v>21.83</v>
      </c>
      <c r="D45" s="189">
        <v>22.82</v>
      </c>
      <c r="E45" s="189">
        <v>7.84</v>
      </c>
      <c r="F45" s="189">
        <v>2.71</v>
      </c>
      <c r="G45" s="189">
        <v>26.03</v>
      </c>
      <c r="H45" s="189">
        <v>14.43</v>
      </c>
      <c r="I45" s="189">
        <v>5.41</v>
      </c>
      <c r="J45" s="189">
        <v>0.59</v>
      </c>
      <c r="K45" s="189">
        <v>64.33</v>
      </c>
      <c r="L45" s="189">
        <v>19.16</v>
      </c>
      <c r="M45" s="189">
        <v>97.37</v>
      </c>
      <c r="N45" s="189">
        <v>31.9</v>
      </c>
      <c r="O45" s="189">
        <v>0.6</v>
      </c>
      <c r="P45" s="189">
        <v>0.62</v>
      </c>
      <c r="Q45" s="189">
        <v>4.6100000000000003</v>
      </c>
    </row>
    <row r="46" spans="1:17" customFormat="1">
      <c r="A46" s="6" t="s">
        <v>660</v>
      </c>
      <c r="B46" s="189">
        <v>12.65</v>
      </c>
      <c r="C46" s="189">
        <v>21.76</v>
      </c>
      <c r="D46" s="189">
        <v>22.86</v>
      </c>
      <c r="E46" s="189">
        <v>7.62</v>
      </c>
      <c r="F46" s="189">
        <v>2.78</v>
      </c>
      <c r="G46" s="189">
        <v>23.24</v>
      </c>
      <c r="H46" s="189">
        <v>12.46</v>
      </c>
      <c r="I46" s="189">
        <v>5.34</v>
      </c>
      <c r="J46" s="189">
        <v>0.84</v>
      </c>
      <c r="K46" s="189">
        <v>52.55</v>
      </c>
      <c r="L46" s="189">
        <v>19</v>
      </c>
      <c r="M46" s="189">
        <v>97.86</v>
      </c>
      <c r="N46" s="189">
        <v>34.5</v>
      </c>
      <c r="O46" s="189">
        <v>0.6</v>
      </c>
      <c r="P46" s="189">
        <v>0.62</v>
      </c>
      <c r="Q46" s="189">
        <v>4.63</v>
      </c>
    </row>
    <row r="47" spans="1:17" customFormat="1">
      <c r="A47" s="6" t="s">
        <v>661</v>
      </c>
      <c r="B47" s="189">
        <v>12.73</v>
      </c>
      <c r="C47" s="189">
        <v>21.17</v>
      </c>
      <c r="D47" s="189">
        <v>22.62</v>
      </c>
      <c r="E47" s="189">
        <v>7.57</v>
      </c>
      <c r="F47" s="189">
        <v>2.77</v>
      </c>
      <c r="G47" s="189">
        <v>21.85</v>
      </c>
      <c r="H47" s="189">
        <v>12.23</v>
      </c>
      <c r="I47" s="189">
        <v>5.26</v>
      </c>
      <c r="J47" s="189">
        <v>0.86</v>
      </c>
      <c r="K47" s="189">
        <v>47.01</v>
      </c>
      <c r="L47" s="189">
        <v>18.920000000000002</v>
      </c>
      <c r="M47" s="189">
        <v>98.7</v>
      </c>
      <c r="N47" s="189">
        <v>32.200000000000003</v>
      </c>
      <c r="O47" s="189">
        <v>0.4</v>
      </c>
      <c r="P47" s="189">
        <v>0.6</v>
      </c>
      <c r="Q47" s="189">
        <v>4.63</v>
      </c>
    </row>
    <row r="48" spans="1:17" customFormat="1">
      <c r="A48" s="6" t="s">
        <v>662</v>
      </c>
      <c r="B48" s="189">
        <v>13.08</v>
      </c>
      <c r="C48" s="189">
        <v>21.47</v>
      </c>
      <c r="D48" s="189">
        <v>23.06</v>
      </c>
      <c r="E48" s="189">
        <v>7.42</v>
      </c>
      <c r="F48" s="189">
        <v>2.7</v>
      </c>
      <c r="G48" s="189">
        <v>21.85</v>
      </c>
      <c r="H48" s="189">
        <v>12.23</v>
      </c>
      <c r="I48" s="189">
        <v>5.18</v>
      </c>
      <c r="J48" s="189">
        <v>0.94</v>
      </c>
      <c r="K48" s="189">
        <v>38.35</v>
      </c>
      <c r="L48" s="189">
        <v>18.93</v>
      </c>
      <c r="M48" s="189">
        <v>98.86</v>
      </c>
      <c r="N48" s="189">
        <v>44.5</v>
      </c>
      <c r="O48" s="189">
        <v>0</v>
      </c>
      <c r="P48" s="189">
        <v>0.6</v>
      </c>
      <c r="Q48" s="189">
        <v>4.6100000000000003</v>
      </c>
    </row>
    <row r="49" spans="1:17" customFormat="1">
      <c r="A49" s="6" t="s">
        <v>663</v>
      </c>
      <c r="B49" s="189">
        <v>13.42</v>
      </c>
      <c r="C49" s="189">
        <v>21.42</v>
      </c>
      <c r="D49" s="189">
        <v>23.31</v>
      </c>
      <c r="E49" s="189">
        <v>5.97</v>
      </c>
      <c r="F49" s="189">
        <v>2.76</v>
      </c>
      <c r="G49" s="189">
        <v>21.85</v>
      </c>
      <c r="H49" s="189">
        <v>12.23</v>
      </c>
      <c r="I49" s="189">
        <v>5.12</v>
      </c>
      <c r="J49" s="189">
        <v>0.9</v>
      </c>
      <c r="K49" s="189">
        <v>48.29</v>
      </c>
      <c r="L49" s="189">
        <v>18.96</v>
      </c>
      <c r="M49" s="189">
        <v>98.75</v>
      </c>
      <c r="N49" s="189">
        <v>44</v>
      </c>
      <c r="O49" s="189">
        <v>0</v>
      </c>
      <c r="P49" s="189">
        <v>0.61</v>
      </c>
      <c r="Q49" s="189">
        <v>4.6100000000000003</v>
      </c>
    </row>
    <row r="50" spans="1:17" customFormat="1">
      <c r="A50" s="6" t="s">
        <v>664</v>
      </c>
      <c r="B50" s="189">
        <v>13.42</v>
      </c>
      <c r="C50" s="189">
        <v>21.63</v>
      </c>
      <c r="D50" s="189">
        <v>23.41</v>
      </c>
      <c r="E50" s="189">
        <v>6.62</v>
      </c>
      <c r="F50" s="189">
        <v>2.78</v>
      </c>
      <c r="G50" s="189">
        <v>20.46</v>
      </c>
      <c r="H50" s="189">
        <v>10.57</v>
      </c>
      <c r="I50" s="189">
        <v>5.09</v>
      </c>
      <c r="J50" s="189">
        <v>0.93</v>
      </c>
      <c r="K50" s="189">
        <v>47.45</v>
      </c>
      <c r="L50" s="189">
        <v>19.02</v>
      </c>
      <c r="M50" s="189">
        <v>98.45</v>
      </c>
      <c r="N50" s="189">
        <v>49.1</v>
      </c>
      <c r="O50" s="189">
        <v>0</v>
      </c>
      <c r="P50" s="189">
        <v>0.6</v>
      </c>
      <c r="Q50" s="189">
        <v>4.63</v>
      </c>
    </row>
    <row r="51" spans="1:17" customFormat="1">
      <c r="A51" s="6" t="s">
        <v>665</v>
      </c>
      <c r="B51" s="189">
        <v>13.5</v>
      </c>
      <c r="C51" s="189">
        <v>21.48</v>
      </c>
      <c r="D51" s="189">
        <v>23.4</v>
      </c>
      <c r="E51" s="189">
        <v>6.48</v>
      </c>
      <c r="F51" s="189">
        <v>2.69</v>
      </c>
      <c r="G51" s="189">
        <v>19.760000000000002</v>
      </c>
      <c r="H51" s="189">
        <v>10.37</v>
      </c>
      <c r="I51" s="189">
        <v>5.08</v>
      </c>
      <c r="J51" s="189">
        <v>1.1399999999999999</v>
      </c>
      <c r="K51" s="189">
        <v>38.36</v>
      </c>
      <c r="L51" s="189">
        <v>19.07</v>
      </c>
      <c r="M51" s="189">
        <v>98.26</v>
      </c>
      <c r="N51" s="189">
        <v>101.8</v>
      </c>
      <c r="O51" s="189">
        <v>0</v>
      </c>
      <c r="P51" s="189">
        <v>0.6</v>
      </c>
      <c r="Q51" s="189">
        <v>4.6500000000000004</v>
      </c>
    </row>
    <row r="52" spans="1:17" customFormat="1">
      <c r="A52" s="6" t="s">
        <v>666</v>
      </c>
      <c r="B52" s="189">
        <v>13.52</v>
      </c>
      <c r="C52" s="189">
        <v>21.53</v>
      </c>
      <c r="D52" s="189">
        <v>23.44</v>
      </c>
      <c r="E52" s="189">
        <v>6.64</v>
      </c>
      <c r="F52" s="189">
        <v>2.79</v>
      </c>
      <c r="G52" s="189">
        <v>19.760000000000002</v>
      </c>
      <c r="H52" s="189">
        <v>10.37</v>
      </c>
      <c r="I52" s="189">
        <v>5.04</v>
      </c>
      <c r="J52" s="189">
        <v>0.74</v>
      </c>
      <c r="K52" s="189">
        <v>56.59</v>
      </c>
      <c r="L52" s="189">
        <v>19.25</v>
      </c>
      <c r="M52" s="189">
        <v>96.88</v>
      </c>
      <c r="N52" s="189">
        <v>66.7</v>
      </c>
      <c r="O52" s="189">
        <v>0</v>
      </c>
      <c r="P52" s="189">
        <v>0.6</v>
      </c>
      <c r="Q52" s="189">
        <v>4.6500000000000004</v>
      </c>
    </row>
    <row r="53" spans="1:17" customFormat="1">
      <c r="A53" s="6" t="s">
        <v>667</v>
      </c>
      <c r="B53" s="189">
        <v>13.6</v>
      </c>
      <c r="C53" s="189">
        <v>21.66</v>
      </c>
      <c r="D53" s="189">
        <v>23.57</v>
      </c>
      <c r="E53" s="189">
        <v>6.94</v>
      </c>
      <c r="F53" s="189">
        <v>2.8</v>
      </c>
      <c r="G53" s="189">
        <v>19.760000000000002</v>
      </c>
      <c r="H53" s="189">
        <v>10.37</v>
      </c>
      <c r="I53" s="189">
        <v>5.0199999999999996</v>
      </c>
      <c r="J53" s="189">
        <v>0.98</v>
      </c>
      <c r="K53" s="189">
        <v>46.07</v>
      </c>
      <c r="L53" s="189">
        <v>19.2</v>
      </c>
      <c r="M53" s="189">
        <v>95.89</v>
      </c>
      <c r="N53" s="189">
        <v>36.299999999999997</v>
      </c>
      <c r="O53" s="189">
        <v>0</v>
      </c>
      <c r="P53" s="189">
        <v>0.59</v>
      </c>
      <c r="Q53" s="189">
        <v>4.66</v>
      </c>
    </row>
    <row r="54" spans="1:17" customFormat="1">
      <c r="A54" s="6" t="s">
        <v>668</v>
      </c>
      <c r="B54" s="189">
        <v>13.81</v>
      </c>
      <c r="C54" s="189">
        <v>21.42</v>
      </c>
      <c r="D54" s="189">
        <v>23.62</v>
      </c>
      <c r="E54" s="189">
        <v>6.31</v>
      </c>
      <c r="F54" s="189">
        <v>2.67</v>
      </c>
      <c r="G54" s="189">
        <v>22.81</v>
      </c>
      <c r="H54" s="189">
        <v>8.51</v>
      </c>
      <c r="I54" s="189">
        <v>5</v>
      </c>
      <c r="J54" s="189">
        <v>0.79</v>
      </c>
      <c r="K54" s="189">
        <v>51.34</v>
      </c>
      <c r="L54" s="189">
        <v>19.059999999999999</v>
      </c>
      <c r="M54" s="189">
        <v>94.49</v>
      </c>
      <c r="N54" s="189">
        <v>37.6</v>
      </c>
      <c r="O54" s="189">
        <v>0</v>
      </c>
      <c r="P54" s="189">
        <v>0.59</v>
      </c>
      <c r="Q54" s="189">
        <v>4.6399999999999997</v>
      </c>
    </row>
    <row r="55" spans="1:17" customFormat="1">
      <c r="A55" s="6" t="s">
        <v>669</v>
      </c>
      <c r="B55" s="189">
        <v>13.8</v>
      </c>
      <c r="C55" s="189">
        <v>21.61</v>
      </c>
      <c r="D55" s="189">
        <v>23.71</v>
      </c>
      <c r="E55" s="189">
        <v>6.32</v>
      </c>
      <c r="F55" s="189">
        <v>2.77</v>
      </c>
      <c r="G55" s="189">
        <v>24.33</v>
      </c>
      <c r="H55" s="189">
        <v>8.2899999999999991</v>
      </c>
      <c r="I55" s="189">
        <v>4.93</v>
      </c>
      <c r="J55" s="189">
        <v>0.75</v>
      </c>
      <c r="K55" s="189">
        <v>51.54</v>
      </c>
      <c r="L55" s="189">
        <v>19</v>
      </c>
      <c r="M55" s="189">
        <v>94.21</v>
      </c>
      <c r="N55" s="189">
        <v>33.4</v>
      </c>
      <c r="O55" s="189">
        <v>0</v>
      </c>
      <c r="P55" s="189">
        <v>0.59</v>
      </c>
      <c r="Q55" s="189">
        <v>4.63</v>
      </c>
    </row>
    <row r="56" spans="1:17" customFormat="1">
      <c r="A56" s="6" t="s">
        <v>670</v>
      </c>
      <c r="B56" s="189">
        <v>13.86</v>
      </c>
      <c r="C56" s="189">
        <v>22.16</v>
      </c>
      <c r="D56" s="189">
        <v>24.04</v>
      </c>
      <c r="E56" s="189">
        <v>6.58</v>
      </c>
      <c r="F56" s="189">
        <v>2.75</v>
      </c>
      <c r="G56" s="189">
        <v>24.33</v>
      </c>
      <c r="H56" s="189">
        <v>8.2899999999999991</v>
      </c>
      <c r="I56" s="189">
        <v>4.8899999999999997</v>
      </c>
      <c r="J56" s="189">
        <v>1.1299999999999999</v>
      </c>
      <c r="K56" s="189">
        <v>43.27</v>
      </c>
      <c r="L56" s="189">
        <v>18.98</v>
      </c>
      <c r="M56" s="189">
        <v>93.36</v>
      </c>
      <c r="N56" s="189">
        <v>63.6</v>
      </c>
      <c r="O56" s="189">
        <v>0</v>
      </c>
      <c r="P56" s="189">
        <v>0.59</v>
      </c>
      <c r="Q56" s="189">
        <v>4.6500000000000004</v>
      </c>
    </row>
    <row r="57" spans="1:17" customFormat="1">
      <c r="A57" s="6" t="s">
        <v>671</v>
      </c>
      <c r="B57" s="189">
        <v>13.9</v>
      </c>
      <c r="C57" s="189">
        <v>21.01</v>
      </c>
      <c r="D57" s="189">
        <v>23.47</v>
      </c>
      <c r="E57" s="189">
        <v>6.39</v>
      </c>
      <c r="F57" s="189">
        <v>2.96</v>
      </c>
      <c r="G57" s="189">
        <v>24.33</v>
      </c>
      <c r="H57" s="189">
        <v>8.2899999999999991</v>
      </c>
      <c r="I57" s="189">
        <v>4.8499999999999996</v>
      </c>
      <c r="J57" s="189">
        <v>1.07</v>
      </c>
      <c r="K57" s="189">
        <v>36.89</v>
      </c>
      <c r="L57" s="189">
        <v>19.239999999999998</v>
      </c>
      <c r="M57" s="189">
        <v>92.74</v>
      </c>
      <c r="N57" s="189">
        <v>119.5</v>
      </c>
      <c r="O57" s="189">
        <v>0</v>
      </c>
      <c r="P57" s="189">
        <v>0.56999999999999995</v>
      </c>
      <c r="Q57" s="189">
        <v>4.66</v>
      </c>
    </row>
    <row r="58" spans="1:17" customFormat="1">
      <c r="A58" s="6" t="s">
        <v>672</v>
      </c>
      <c r="B58" s="189">
        <v>13.63</v>
      </c>
      <c r="C58" s="189">
        <v>22.2</v>
      </c>
      <c r="D58" s="189">
        <v>23.88</v>
      </c>
      <c r="E58" s="189">
        <v>6.51</v>
      </c>
      <c r="F58" s="189">
        <v>2.84</v>
      </c>
      <c r="G58" s="189">
        <v>23.26</v>
      </c>
      <c r="H58" s="189">
        <v>8.7100000000000009</v>
      </c>
      <c r="I58" s="189">
        <v>4.79</v>
      </c>
      <c r="J58" s="189">
        <v>1.04</v>
      </c>
      <c r="K58" s="189">
        <v>43.1</v>
      </c>
      <c r="L58" s="189">
        <v>19.25</v>
      </c>
      <c r="M58" s="189">
        <v>91.8</v>
      </c>
      <c r="N58" s="189">
        <v>55.2</v>
      </c>
      <c r="O58" s="189">
        <v>0</v>
      </c>
      <c r="P58" s="189">
        <v>0.57999999999999996</v>
      </c>
      <c r="Q58" s="189">
        <v>4.66</v>
      </c>
    </row>
    <row r="59" spans="1:17" customFormat="1">
      <c r="A59" s="6" t="s">
        <v>673</v>
      </c>
      <c r="B59" s="189">
        <v>13.63</v>
      </c>
      <c r="C59" s="189">
        <v>21.69</v>
      </c>
      <c r="D59" s="189">
        <v>23.61</v>
      </c>
      <c r="E59" s="189">
        <v>6.77</v>
      </c>
      <c r="F59" s="189">
        <v>2.77</v>
      </c>
      <c r="G59" s="189">
        <v>22.72</v>
      </c>
      <c r="H59" s="189">
        <v>8.7899999999999991</v>
      </c>
      <c r="I59" s="189">
        <v>4.7300000000000004</v>
      </c>
      <c r="J59" s="189">
        <v>0.86</v>
      </c>
      <c r="K59" s="189">
        <v>41.6</v>
      </c>
      <c r="L59" s="189">
        <v>19.28</v>
      </c>
      <c r="M59" s="189">
        <v>91.92</v>
      </c>
      <c r="N59" s="189">
        <v>64.099999999999994</v>
      </c>
      <c r="O59" s="189">
        <v>0</v>
      </c>
      <c r="P59" s="189">
        <v>0.56999999999999995</v>
      </c>
      <c r="Q59" s="189">
        <v>4.66</v>
      </c>
    </row>
    <row r="60" spans="1:17" customFormat="1">
      <c r="A60" s="6" t="s">
        <v>674</v>
      </c>
      <c r="B60" s="189">
        <v>13.77</v>
      </c>
      <c r="C60" s="189">
        <v>22.1</v>
      </c>
      <c r="D60" s="189">
        <v>23.94</v>
      </c>
      <c r="E60" s="189">
        <v>6.77</v>
      </c>
      <c r="F60" s="189">
        <v>2.57</v>
      </c>
      <c r="G60" s="189">
        <v>22.72</v>
      </c>
      <c r="H60" s="189">
        <v>8.7899999999999991</v>
      </c>
      <c r="I60" s="189">
        <v>4.63</v>
      </c>
      <c r="J60" s="189">
        <v>0.93</v>
      </c>
      <c r="K60" s="189">
        <v>50.88</v>
      </c>
      <c r="L60" s="189">
        <v>19.420000000000002</v>
      </c>
      <c r="M60" s="189">
        <v>90.82</v>
      </c>
      <c r="N60" s="189">
        <v>58.3</v>
      </c>
      <c r="O60" s="189">
        <v>0</v>
      </c>
      <c r="P60" s="189">
        <v>0.57999999999999996</v>
      </c>
      <c r="Q60" s="189">
        <v>4.6900000000000004</v>
      </c>
    </row>
    <row r="61" spans="1:17" customFormat="1">
      <c r="A61" s="6" t="s">
        <v>675</v>
      </c>
      <c r="B61" s="189">
        <v>14</v>
      </c>
      <c r="C61" s="189">
        <v>22.98</v>
      </c>
      <c r="D61" s="189">
        <v>24.58</v>
      </c>
      <c r="E61" s="189">
        <v>6.56</v>
      </c>
      <c r="F61" s="189">
        <v>2.63</v>
      </c>
      <c r="G61" s="189">
        <v>22.72</v>
      </c>
      <c r="H61" s="189">
        <v>8.7899999999999991</v>
      </c>
      <c r="I61" s="189">
        <v>4.55</v>
      </c>
      <c r="J61" s="189">
        <v>1.08</v>
      </c>
      <c r="K61" s="189">
        <v>42.06</v>
      </c>
      <c r="L61" s="189">
        <v>19.43</v>
      </c>
      <c r="M61" s="189">
        <v>90.52</v>
      </c>
      <c r="N61" s="189">
        <v>64.099999999999994</v>
      </c>
      <c r="O61" s="189">
        <v>0</v>
      </c>
      <c r="P61" s="189">
        <v>0.57999999999999996</v>
      </c>
      <c r="Q61" s="189">
        <v>4.71</v>
      </c>
    </row>
    <row r="62" spans="1:17" customFormat="1">
      <c r="A62" s="6" t="s">
        <v>676</v>
      </c>
      <c r="B62" s="189">
        <v>13.93</v>
      </c>
      <c r="C62" s="189">
        <v>23.88</v>
      </c>
      <c r="D62" s="189">
        <v>25</v>
      </c>
      <c r="E62" s="189">
        <v>7.53</v>
      </c>
      <c r="F62" s="189">
        <v>2.82</v>
      </c>
      <c r="G62" s="189">
        <v>26.91</v>
      </c>
      <c r="H62" s="189">
        <v>10.34</v>
      </c>
      <c r="I62" s="189">
        <v>4.45</v>
      </c>
      <c r="J62" s="189">
        <v>0.98</v>
      </c>
      <c r="K62" s="189">
        <v>46.56</v>
      </c>
      <c r="L62" s="189">
        <v>19.28</v>
      </c>
      <c r="M62" s="189">
        <v>90.66</v>
      </c>
      <c r="N62" s="189">
        <v>44.1</v>
      </c>
      <c r="O62" s="189">
        <v>0</v>
      </c>
      <c r="P62" s="189">
        <v>0.56999999999999995</v>
      </c>
      <c r="Q62" s="189">
        <v>4.72</v>
      </c>
    </row>
    <row r="63" spans="1:17" customFormat="1">
      <c r="A63" s="6" t="s">
        <v>677</v>
      </c>
      <c r="B63" s="189">
        <v>11.82</v>
      </c>
      <c r="C63" s="189">
        <v>25.58</v>
      </c>
      <c r="D63" s="189">
        <v>24.19</v>
      </c>
      <c r="E63" s="189">
        <v>6.91</v>
      </c>
      <c r="F63" s="189">
        <v>3.39</v>
      </c>
      <c r="G63" s="189">
        <v>29</v>
      </c>
      <c r="H63" s="189">
        <v>10.53</v>
      </c>
      <c r="I63" s="189">
        <v>4.3499999999999996</v>
      </c>
      <c r="J63" s="189">
        <v>0.91</v>
      </c>
      <c r="K63" s="189">
        <v>50.06</v>
      </c>
      <c r="L63" s="189">
        <v>19.440000000000001</v>
      </c>
      <c r="M63" s="189">
        <v>89.6</v>
      </c>
      <c r="N63" s="189">
        <v>61.1</v>
      </c>
      <c r="O63" s="189">
        <v>0</v>
      </c>
      <c r="P63" s="189">
        <v>0.53</v>
      </c>
      <c r="Q63" s="189">
        <v>4.7</v>
      </c>
    </row>
    <row r="64" spans="1:17" customFormat="1">
      <c r="A64" s="6" t="s">
        <v>678</v>
      </c>
      <c r="B64" s="189">
        <v>9.92</v>
      </c>
      <c r="C64" s="189">
        <v>27.25</v>
      </c>
      <c r="D64" s="189">
        <v>23.54</v>
      </c>
      <c r="E64" s="189">
        <v>6.91</v>
      </c>
      <c r="F64" s="189">
        <v>3.02</v>
      </c>
      <c r="G64" s="189">
        <v>29</v>
      </c>
      <c r="H64" s="189">
        <v>10.53</v>
      </c>
      <c r="I64" s="189">
        <v>4.13</v>
      </c>
      <c r="J64" s="189">
        <v>0.9</v>
      </c>
      <c r="K64" s="189">
        <v>39.64</v>
      </c>
      <c r="L64" s="189">
        <v>19.63</v>
      </c>
      <c r="M64" s="189">
        <v>88.48</v>
      </c>
      <c r="N64" s="189">
        <v>51.2</v>
      </c>
      <c r="O64" s="189">
        <v>0</v>
      </c>
      <c r="P64" s="189">
        <v>0.52</v>
      </c>
      <c r="Q64" s="189">
        <v>4.67</v>
      </c>
    </row>
    <row r="65" spans="1:17" customFormat="1">
      <c r="A65" s="6" t="s">
        <v>679</v>
      </c>
      <c r="B65" s="189">
        <v>9.6999999999999993</v>
      </c>
      <c r="C65" s="189">
        <v>28.34</v>
      </c>
      <c r="D65" s="189">
        <v>23.93</v>
      </c>
      <c r="E65" s="189">
        <v>6.43</v>
      </c>
      <c r="F65" s="189">
        <v>2.65</v>
      </c>
      <c r="G65" s="189">
        <v>29</v>
      </c>
      <c r="H65" s="189">
        <v>10.53</v>
      </c>
      <c r="I65" s="189">
        <v>3.73</v>
      </c>
      <c r="J65" s="189">
        <v>0.85</v>
      </c>
      <c r="K65" s="189">
        <v>43.87</v>
      </c>
      <c r="L65" s="189">
        <v>19.61</v>
      </c>
      <c r="M65" s="189">
        <v>88.4</v>
      </c>
      <c r="N65" s="189">
        <v>33.6</v>
      </c>
      <c r="O65" s="189">
        <v>0</v>
      </c>
      <c r="P65" s="189">
        <v>0.51</v>
      </c>
      <c r="Q65" s="189">
        <v>4.6399999999999997</v>
      </c>
    </row>
    <row r="66" spans="1:17" customFormat="1">
      <c r="A66" s="6" t="s">
        <v>680</v>
      </c>
      <c r="B66" s="189">
        <v>10.050000000000001</v>
      </c>
      <c r="C66" s="189">
        <v>28.41</v>
      </c>
      <c r="D66" s="189">
        <v>24.25</v>
      </c>
      <c r="E66" s="189">
        <v>7.29</v>
      </c>
      <c r="F66" s="189">
        <v>2.6</v>
      </c>
      <c r="G66" s="189">
        <v>24.74</v>
      </c>
      <c r="H66" s="189">
        <v>10.14</v>
      </c>
      <c r="I66" s="189">
        <v>3.57</v>
      </c>
      <c r="J66" s="189">
        <v>0.96</v>
      </c>
      <c r="K66" s="189">
        <v>42.67</v>
      </c>
      <c r="L66" s="189">
        <v>19.600000000000001</v>
      </c>
      <c r="M66" s="189">
        <v>87.76</v>
      </c>
      <c r="N66" s="189">
        <v>53.6</v>
      </c>
      <c r="O66" s="189">
        <v>0</v>
      </c>
      <c r="P66" s="189">
        <v>0.52</v>
      </c>
      <c r="Q66" s="189">
        <v>4.62</v>
      </c>
    </row>
    <row r="67" spans="1:17" customFormat="1">
      <c r="A67" s="6" t="s">
        <v>681</v>
      </c>
      <c r="B67" s="189">
        <v>10.61</v>
      </c>
      <c r="C67" s="189">
        <v>28.91</v>
      </c>
      <c r="D67" s="189">
        <v>24.97</v>
      </c>
      <c r="E67" s="189">
        <v>6.88</v>
      </c>
      <c r="F67" s="189">
        <v>2.69</v>
      </c>
      <c r="G67" s="189">
        <v>22.62</v>
      </c>
      <c r="H67" s="189">
        <v>10.09</v>
      </c>
      <c r="I67" s="189">
        <v>3.63</v>
      </c>
      <c r="J67" s="189">
        <v>1.1200000000000001</v>
      </c>
      <c r="K67" s="189">
        <v>45.67</v>
      </c>
      <c r="L67" s="189">
        <v>19.59</v>
      </c>
      <c r="M67" s="189">
        <v>87.92</v>
      </c>
      <c r="N67" s="189">
        <v>42</v>
      </c>
      <c r="O67" s="189">
        <v>0</v>
      </c>
      <c r="P67" s="189">
        <v>0.52</v>
      </c>
      <c r="Q67" s="189">
        <v>4.63</v>
      </c>
    </row>
    <row r="68" spans="1:17" customFormat="1">
      <c r="A68" s="6" t="s">
        <v>682</v>
      </c>
      <c r="B68" s="189">
        <v>11.47</v>
      </c>
      <c r="C68" s="189">
        <v>28.62</v>
      </c>
      <c r="D68" s="189">
        <v>25.5</v>
      </c>
      <c r="E68" s="189">
        <v>7.3</v>
      </c>
      <c r="F68" s="189">
        <v>2.99</v>
      </c>
      <c r="G68" s="189">
        <v>22.62</v>
      </c>
      <c r="H68" s="189">
        <v>10.09</v>
      </c>
      <c r="I68" s="189">
        <v>3.75</v>
      </c>
      <c r="J68" s="189">
        <v>1</v>
      </c>
      <c r="K68" s="189">
        <v>41.45</v>
      </c>
      <c r="L68" s="189">
        <v>19.579999999999998</v>
      </c>
      <c r="M68" s="189">
        <v>88.1</v>
      </c>
      <c r="N68" s="189">
        <v>37.799999999999997</v>
      </c>
      <c r="O68" s="189">
        <v>0</v>
      </c>
      <c r="P68" s="189">
        <v>0.52</v>
      </c>
      <c r="Q68" s="189">
        <v>4.67</v>
      </c>
    </row>
    <row r="69" spans="1:17" customFormat="1">
      <c r="A69" s="6" t="s">
        <v>683</v>
      </c>
      <c r="B69" s="189">
        <v>11.88</v>
      </c>
      <c r="C69" s="189">
        <v>29.03</v>
      </c>
      <c r="D69" s="189">
        <v>26.04</v>
      </c>
      <c r="E69" s="189">
        <v>6.74</v>
      </c>
      <c r="F69" s="189">
        <v>2.83</v>
      </c>
      <c r="G69" s="189">
        <v>22.62</v>
      </c>
      <c r="H69" s="189">
        <v>10.09</v>
      </c>
      <c r="I69" s="189">
        <v>3.89</v>
      </c>
      <c r="J69" s="189">
        <v>1.0900000000000001</v>
      </c>
      <c r="K69" s="189">
        <v>44.3</v>
      </c>
      <c r="L69" s="189">
        <v>19.38</v>
      </c>
      <c r="M69" s="189">
        <v>90</v>
      </c>
      <c r="N69" s="189">
        <v>42.9</v>
      </c>
      <c r="O69" s="189">
        <v>0</v>
      </c>
      <c r="P69" s="189">
        <v>0.51</v>
      </c>
      <c r="Q69" s="189">
        <v>4.68</v>
      </c>
    </row>
    <row r="70" spans="1:17" customFormat="1">
      <c r="A70" s="6" t="s">
        <v>684</v>
      </c>
      <c r="B70" s="189">
        <v>12.06</v>
      </c>
      <c r="C70" s="189">
        <v>28.84</v>
      </c>
      <c r="D70" s="189">
        <v>26.09</v>
      </c>
      <c r="E70" s="189">
        <v>7.04</v>
      </c>
      <c r="F70" s="189">
        <v>3.03</v>
      </c>
      <c r="G70" s="189">
        <v>26.04</v>
      </c>
      <c r="H70" s="189">
        <v>8.16</v>
      </c>
      <c r="I70" s="189">
        <v>4.01</v>
      </c>
      <c r="J70" s="189">
        <v>1.1000000000000001</v>
      </c>
      <c r="K70" s="189">
        <v>43.7</v>
      </c>
      <c r="L70" s="189">
        <v>18.93</v>
      </c>
      <c r="M70" s="189">
        <v>92.79</v>
      </c>
      <c r="N70" s="189">
        <v>23.6</v>
      </c>
      <c r="O70" s="189">
        <v>0</v>
      </c>
      <c r="P70" s="189">
        <v>0.52</v>
      </c>
      <c r="Q70" s="189">
        <v>4.7</v>
      </c>
    </row>
    <row r="71" spans="1:17" customFormat="1">
      <c r="A71" s="6" t="s">
        <v>685</v>
      </c>
      <c r="B71" s="189">
        <v>12.17</v>
      </c>
      <c r="C71" s="189">
        <v>28.91</v>
      </c>
      <c r="D71" s="189">
        <v>26.22</v>
      </c>
      <c r="E71" s="189">
        <v>7.12</v>
      </c>
      <c r="F71" s="189">
        <v>2.84</v>
      </c>
      <c r="G71" s="189">
        <v>27.76</v>
      </c>
      <c r="H71" s="189">
        <v>7.94</v>
      </c>
      <c r="I71" s="189">
        <v>4.09</v>
      </c>
      <c r="J71" s="189">
        <v>1.04</v>
      </c>
      <c r="K71" s="189">
        <v>39.590000000000003</v>
      </c>
      <c r="L71" s="189">
        <v>18.84</v>
      </c>
      <c r="M71" s="189">
        <v>93.24</v>
      </c>
      <c r="N71" s="189">
        <v>17.600000000000001</v>
      </c>
      <c r="O71" s="189">
        <v>0</v>
      </c>
      <c r="P71" s="189">
        <v>0.51</v>
      </c>
      <c r="Q71" s="189">
        <v>4.7</v>
      </c>
    </row>
    <row r="72" spans="1:17" customFormat="1">
      <c r="A72" s="6" t="s">
        <v>686</v>
      </c>
      <c r="B72" s="189">
        <v>12.49</v>
      </c>
      <c r="C72" s="189">
        <v>29.01</v>
      </c>
      <c r="D72" s="189">
        <v>26.53</v>
      </c>
      <c r="E72" s="189">
        <v>7.08</v>
      </c>
      <c r="F72" s="189">
        <v>2.81</v>
      </c>
      <c r="G72" s="189">
        <v>27.76</v>
      </c>
      <c r="H72" s="189">
        <v>7.94</v>
      </c>
      <c r="I72" s="189">
        <v>4.1399999999999997</v>
      </c>
      <c r="J72" s="189">
        <v>1.0900000000000001</v>
      </c>
      <c r="K72" s="189">
        <v>48.82</v>
      </c>
      <c r="L72" s="189">
        <v>18.989999999999998</v>
      </c>
      <c r="M72" s="189">
        <v>91.78</v>
      </c>
      <c r="N72" s="189">
        <v>12.5</v>
      </c>
      <c r="O72" s="189">
        <v>0</v>
      </c>
      <c r="P72" s="189">
        <v>0.52</v>
      </c>
      <c r="Q72" s="189">
        <v>4.71</v>
      </c>
    </row>
    <row r="73" spans="1:17" customFormat="1">
      <c r="A73" s="6" t="s">
        <v>687</v>
      </c>
      <c r="B73" s="189">
        <v>12.75</v>
      </c>
      <c r="C73" s="189">
        <v>28.75</v>
      </c>
      <c r="D73" s="189">
        <v>26.6</v>
      </c>
      <c r="E73" s="189">
        <v>7.4</v>
      </c>
      <c r="F73" s="189">
        <v>2.69</v>
      </c>
      <c r="G73" s="189">
        <v>27.76</v>
      </c>
      <c r="H73" s="189">
        <v>7.94</v>
      </c>
      <c r="I73" s="189">
        <v>4.16</v>
      </c>
      <c r="J73" s="189">
        <v>0.94</v>
      </c>
      <c r="K73" s="189">
        <v>43.01</v>
      </c>
      <c r="L73" s="189">
        <v>19.02</v>
      </c>
      <c r="M73" s="189">
        <v>91.6</v>
      </c>
      <c r="N73" s="189">
        <v>6.4</v>
      </c>
      <c r="O73" s="189">
        <v>0</v>
      </c>
      <c r="P73" s="189">
        <v>0.51</v>
      </c>
      <c r="Q73" s="189">
        <v>4.71</v>
      </c>
    </row>
    <row r="74" spans="1:17" customFormat="1">
      <c r="A74" s="6" t="s">
        <v>688</v>
      </c>
      <c r="B74" s="189">
        <v>12.91</v>
      </c>
      <c r="C74" s="189">
        <v>28.92</v>
      </c>
      <c r="D74" s="189">
        <v>26.81</v>
      </c>
      <c r="E74" s="189">
        <v>7.06</v>
      </c>
      <c r="F74" s="189">
        <v>2.62</v>
      </c>
      <c r="G74" s="189">
        <v>28.86</v>
      </c>
      <c r="H74" s="189">
        <v>8.5</v>
      </c>
      <c r="I74" s="189">
        <v>4.13</v>
      </c>
      <c r="J74" s="189">
        <v>0.93</v>
      </c>
      <c r="K74" s="189">
        <v>44.24</v>
      </c>
      <c r="L74" s="189">
        <v>18.98</v>
      </c>
      <c r="M74" s="189">
        <v>91.39</v>
      </c>
      <c r="N74" s="189">
        <v>0.9</v>
      </c>
      <c r="O74" s="189">
        <v>0</v>
      </c>
      <c r="P74" s="189">
        <v>0.52</v>
      </c>
      <c r="Q74" s="189">
        <v>4.71</v>
      </c>
    </row>
    <row r="75" spans="1:17" customFormat="1">
      <c r="A75" s="6" t="s">
        <v>689</v>
      </c>
      <c r="B75" s="189">
        <v>13.2</v>
      </c>
      <c r="C75" s="189">
        <v>28.64</v>
      </c>
      <c r="D75" s="189">
        <v>26.9</v>
      </c>
      <c r="E75" s="189">
        <v>6.8</v>
      </c>
      <c r="F75" s="189">
        <v>2.6</v>
      </c>
      <c r="G75" s="189">
        <v>29.41</v>
      </c>
      <c r="H75" s="189">
        <v>8.57</v>
      </c>
      <c r="I75" s="189">
        <v>4.09</v>
      </c>
      <c r="J75" s="189">
        <v>1</v>
      </c>
      <c r="K75" s="189">
        <v>46.11</v>
      </c>
      <c r="L75" s="189">
        <v>18.809999999999999</v>
      </c>
      <c r="M75" s="189">
        <v>92.83</v>
      </c>
      <c r="N75" s="189">
        <v>0.9</v>
      </c>
      <c r="O75" s="189">
        <v>0</v>
      </c>
      <c r="P75" s="189">
        <v>0.51</v>
      </c>
      <c r="Q75" s="189">
        <v>4.71</v>
      </c>
    </row>
    <row r="76" spans="1:17" customFormat="1">
      <c r="A76" s="6" t="s">
        <v>690</v>
      </c>
      <c r="B76" s="189">
        <v>13.21</v>
      </c>
      <c r="C76" s="189">
        <v>28.93</v>
      </c>
      <c r="D76" s="189">
        <v>27.06</v>
      </c>
      <c r="E76" s="189">
        <v>7.36</v>
      </c>
      <c r="F76" s="189">
        <v>2.61</v>
      </c>
      <c r="G76" s="189">
        <v>29.41</v>
      </c>
      <c r="H76" s="189">
        <v>8.57</v>
      </c>
      <c r="I76" s="189">
        <v>4.0599999999999996</v>
      </c>
      <c r="J76" s="189">
        <v>0.81</v>
      </c>
      <c r="K76" s="189">
        <v>51.2</v>
      </c>
      <c r="L76" s="189">
        <v>18.75</v>
      </c>
      <c r="M76" s="189">
        <v>93.63</v>
      </c>
      <c r="N76" s="189">
        <v>0</v>
      </c>
      <c r="O76" s="189">
        <v>0.2</v>
      </c>
      <c r="P76" s="189">
        <v>0.52</v>
      </c>
      <c r="Q76" s="189">
        <v>4.72</v>
      </c>
    </row>
    <row r="77" spans="1:17" customFormat="1">
      <c r="A77" s="6" t="s">
        <v>691</v>
      </c>
      <c r="B77" s="189">
        <v>13.64</v>
      </c>
      <c r="C77" s="189">
        <v>28.77</v>
      </c>
      <c r="D77" s="189">
        <v>27.32</v>
      </c>
      <c r="E77" s="189">
        <v>7.29</v>
      </c>
      <c r="F77" s="189">
        <v>2.5499999999999998</v>
      </c>
      <c r="G77" s="189">
        <v>29.41</v>
      </c>
      <c r="H77" s="189">
        <v>8.57</v>
      </c>
      <c r="I77" s="189">
        <v>4.01</v>
      </c>
      <c r="J77" s="189">
        <v>0.7</v>
      </c>
      <c r="K77" s="189">
        <v>45.32</v>
      </c>
      <c r="L77" s="189">
        <v>18.600000000000001</v>
      </c>
      <c r="M77" s="189">
        <v>95.94</v>
      </c>
      <c r="N77" s="189">
        <v>0</v>
      </c>
      <c r="O77" s="189">
        <v>0.6</v>
      </c>
      <c r="P77" s="189">
        <v>0.52</v>
      </c>
      <c r="Q77" s="189">
        <v>4.7300000000000004</v>
      </c>
    </row>
    <row r="78" spans="1:17" customFormat="1">
      <c r="A78" s="6" t="s">
        <v>692</v>
      </c>
      <c r="B78" s="189">
        <v>14.36</v>
      </c>
      <c r="C78" s="189">
        <v>29.29</v>
      </c>
      <c r="D78" s="189">
        <v>28.17</v>
      </c>
      <c r="E78" s="189">
        <v>7.54</v>
      </c>
      <c r="F78" s="189">
        <v>2.6</v>
      </c>
      <c r="G78" s="189">
        <v>27.88</v>
      </c>
      <c r="H78" s="189">
        <v>9.7200000000000006</v>
      </c>
      <c r="I78" s="189">
        <v>3.99</v>
      </c>
      <c r="J78" s="189">
        <v>0.66</v>
      </c>
      <c r="K78" s="189">
        <v>44.03</v>
      </c>
      <c r="L78" s="189">
        <v>18.440000000000001</v>
      </c>
      <c r="M78" s="189">
        <v>97.84</v>
      </c>
      <c r="N78" s="189">
        <v>0</v>
      </c>
      <c r="O78" s="189">
        <v>0.2</v>
      </c>
      <c r="P78" s="189">
        <v>0.51</v>
      </c>
      <c r="Q78" s="189">
        <v>4.74</v>
      </c>
    </row>
    <row r="79" spans="1:17" customFormat="1">
      <c r="A79" s="6" t="s">
        <v>693</v>
      </c>
      <c r="B79" s="189">
        <v>15.35</v>
      </c>
      <c r="C79" s="189">
        <v>30.58</v>
      </c>
      <c r="D79" s="189">
        <v>29.64</v>
      </c>
      <c r="E79" s="189">
        <v>7.3</v>
      </c>
      <c r="F79" s="189">
        <v>2.4500000000000002</v>
      </c>
      <c r="G79" s="189">
        <v>27.11</v>
      </c>
      <c r="H79" s="189">
        <v>9.86</v>
      </c>
      <c r="I79" s="189">
        <v>3.98</v>
      </c>
      <c r="J79" s="189">
        <v>0.64</v>
      </c>
      <c r="K79" s="189">
        <v>43.98</v>
      </c>
      <c r="L79" s="189">
        <v>18.39</v>
      </c>
      <c r="M79" s="189">
        <v>98.6</v>
      </c>
      <c r="N79" s="189">
        <v>0</v>
      </c>
      <c r="O79" s="189">
        <v>0</v>
      </c>
      <c r="P79" s="189">
        <v>0.52</v>
      </c>
      <c r="Q79" s="189">
        <v>4.79</v>
      </c>
    </row>
    <row r="80" spans="1:17" customFormat="1">
      <c r="A80" s="6" t="s">
        <v>694</v>
      </c>
      <c r="B80" s="189">
        <v>16.690000000000001</v>
      </c>
      <c r="C80" s="189">
        <v>28.47</v>
      </c>
      <c r="D80" s="189">
        <v>29.61</v>
      </c>
      <c r="E80" s="189">
        <v>7.53</v>
      </c>
      <c r="F80" s="189">
        <v>2.72</v>
      </c>
      <c r="G80" s="189">
        <v>27.11</v>
      </c>
      <c r="H80" s="189">
        <v>9.86</v>
      </c>
      <c r="I80" s="189">
        <v>3.99</v>
      </c>
      <c r="J80" s="189">
        <v>0.67</v>
      </c>
      <c r="K80" s="189">
        <v>44.5</v>
      </c>
      <c r="L80" s="189">
        <v>18.36</v>
      </c>
      <c r="M80" s="189">
        <v>98.49</v>
      </c>
      <c r="N80" s="189">
        <v>0</v>
      </c>
      <c r="O80" s="189">
        <v>0</v>
      </c>
      <c r="P80" s="189">
        <v>0.51</v>
      </c>
      <c r="Q80" s="189">
        <v>4.82</v>
      </c>
    </row>
    <row r="81" spans="1:17" customFormat="1">
      <c r="A81" s="6" t="s">
        <v>695</v>
      </c>
      <c r="B81" s="189">
        <v>17.72</v>
      </c>
      <c r="C81" s="189">
        <v>25.23</v>
      </c>
      <c r="D81" s="189">
        <v>28.74</v>
      </c>
      <c r="E81" s="189">
        <v>6.39</v>
      </c>
      <c r="F81" s="189">
        <v>2.86</v>
      </c>
      <c r="G81" s="189">
        <v>27.11</v>
      </c>
      <c r="H81" s="189">
        <v>9.86</v>
      </c>
      <c r="I81" s="189">
        <v>4.03</v>
      </c>
      <c r="J81" s="189">
        <v>0.79</v>
      </c>
      <c r="K81" s="189">
        <v>44.26</v>
      </c>
      <c r="L81" s="189">
        <v>18.23</v>
      </c>
      <c r="M81" s="189">
        <v>98.72</v>
      </c>
      <c r="N81" s="189">
        <v>0</v>
      </c>
      <c r="O81" s="189">
        <v>0</v>
      </c>
      <c r="P81" s="189">
        <v>0.49</v>
      </c>
      <c r="Q81" s="189">
        <v>4.8499999999999996</v>
      </c>
    </row>
    <row r="82" spans="1:17" customFormat="1">
      <c r="A82" s="6" t="s">
        <v>696</v>
      </c>
      <c r="B82" s="189">
        <v>18.149999999999999</v>
      </c>
      <c r="C82" s="189">
        <v>24.6</v>
      </c>
      <c r="D82" s="189">
        <v>28.76</v>
      </c>
      <c r="E82" s="189">
        <v>6.87</v>
      </c>
      <c r="F82" s="189">
        <v>2.74</v>
      </c>
      <c r="G82" s="189">
        <v>24.97</v>
      </c>
      <c r="H82" s="189">
        <v>9.35</v>
      </c>
      <c r="I82" s="189">
        <v>4.01</v>
      </c>
      <c r="J82" s="189">
        <v>0.65</v>
      </c>
      <c r="K82" s="189">
        <v>56.53</v>
      </c>
      <c r="L82" s="189">
        <v>18.22</v>
      </c>
      <c r="M82" s="189">
        <v>98.28</v>
      </c>
      <c r="N82" s="189">
        <v>0</v>
      </c>
      <c r="O82" s="189">
        <v>0</v>
      </c>
      <c r="P82" s="189">
        <v>0.49</v>
      </c>
      <c r="Q82" s="189">
        <v>4.82</v>
      </c>
    </row>
    <row r="83" spans="1:17" customFormat="1">
      <c r="A83" s="6" t="s">
        <v>697</v>
      </c>
      <c r="B83" s="189">
        <v>18.14</v>
      </c>
      <c r="C83" s="189">
        <v>25.21</v>
      </c>
      <c r="D83" s="189">
        <v>29.07</v>
      </c>
      <c r="E83" s="189">
        <v>7.4</v>
      </c>
      <c r="F83" s="189">
        <v>2.48</v>
      </c>
      <c r="G83" s="189">
        <v>23.9</v>
      </c>
      <c r="H83" s="189">
        <v>9.25</v>
      </c>
      <c r="I83" s="189">
        <v>3.97</v>
      </c>
      <c r="J83" s="189">
        <v>0.74</v>
      </c>
      <c r="K83" s="189">
        <v>55.9</v>
      </c>
      <c r="L83" s="189">
        <v>18.29</v>
      </c>
      <c r="M83" s="189">
        <v>98.1</v>
      </c>
      <c r="N83" s="189">
        <v>0</v>
      </c>
      <c r="O83" s="189">
        <v>0</v>
      </c>
      <c r="P83" s="189">
        <v>0.49</v>
      </c>
      <c r="Q83" s="189">
        <v>4.8</v>
      </c>
    </row>
    <row r="84" spans="1:17" customFormat="1">
      <c r="A84" s="6" t="s">
        <v>698</v>
      </c>
      <c r="B84" s="189">
        <v>17.95</v>
      </c>
      <c r="C84" s="189">
        <v>23.83</v>
      </c>
      <c r="D84" s="189">
        <v>28.2</v>
      </c>
      <c r="E84" s="189">
        <v>6.87</v>
      </c>
      <c r="F84" s="189">
        <v>2.69</v>
      </c>
      <c r="G84" s="189">
        <v>23.9</v>
      </c>
      <c r="H84" s="189">
        <v>9.25</v>
      </c>
      <c r="I84" s="189">
        <v>3.98</v>
      </c>
      <c r="J84" s="189">
        <v>0.5</v>
      </c>
      <c r="K84" s="189">
        <v>51.02</v>
      </c>
      <c r="L84" s="189">
        <v>18.399999999999999</v>
      </c>
      <c r="M84" s="189">
        <v>98.38</v>
      </c>
      <c r="N84" s="189">
        <v>0</v>
      </c>
      <c r="O84" s="189">
        <v>0</v>
      </c>
      <c r="P84" s="189">
        <v>0.48</v>
      </c>
      <c r="Q84" s="189">
        <v>4.8</v>
      </c>
    </row>
    <row r="85" spans="1:17" customFormat="1">
      <c r="A85" s="6" t="s">
        <v>699</v>
      </c>
      <c r="B85" s="189">
        <v>17.8</v>
      </c>
      <c r="C85" s="189">
        <v>24.54</v>
      </c>
      <c r="D85" s="189">
        <v>28.44</v>
      </c>
      <c r="E85" s="189">
        <v>6.96</v>
      </c>
      <c r="F85" s="189">
        <v>2.59</v>
      </c>
      <c r="G85" s="189">
        <v>23.9</v>
      </c>
      <c r="H85" s="189">
        <v>9.25</v>
      </c>
      <c r="I85" s="189">
        <v>3.94</v>
      </c>
      <c r="J85" s="189">
        <v>0.69</v>
      </c>
      <c r="K85" s="189">
        <v>50.79</v>
      </c>
      <c r="L85" s="189">
        <v>18.43</v>
      </c>
      <c r="M85" s="189">
        <v>98.38</v>
      </c>
      <c r="N85" s="189">
        <v>0</v>
      </c>
      <c r="O85" s="189">
        <v>0</v>
      </c>
      <c r="P85" s="189">
        <v>0.49</v>
      </c>
      <c r="Q85" s="189">
        <v>4.79</v>
      </c>
    </row>
    <row r="86" spans="1:17" customFormat="1">
      <c r="A86" s="6" t="s">
        <v>700</v>
      </c>
      <c r="B86" s="189">
        <v>17.84</v>
      </c>
      <c r="C86" s="189">
        <v>23.84</v>
      </c>
      <c r="D86" s="189">
        <v>28.11</v>
      </c>
      <c r="E86" s="189">
        <v>6.85</v>
      </c>
      <c r="F86" s="189">
        <v>2.73</v>
      </c>
      <c r="G86" s="189">
        <v>20.5</v>
      </c>
      <c r="H86" s="189">
        <v>6.89</v>
      </c>
      <c r="I86" s="189">
        <v>3.92</v>
      </c>
      <c r="J86" s="189">
        <v>0.53</v>
      </c>
      <c r="K86" s="189">
        <v>57.56</v>
      </c>
      <c r="L86" s="189">
        <v>18.420000000000002</v>
      </c>
      <c r="M86" s="189">
        <v>98.16</v>
      </c>
      <c r="N86" s="189">
        <v>0</v>
      </c>
      <c r="O86" s="189">
        <v>0</v>
      </c>
      <c r="P86" s="189">
        <v>0.48</v>
      </c>
      <c r="Q86" s="189">
        <v>4.79</v>
      </c>
    </row>
    <row r="87" spans="1:17" customFormat="1">
      <c r="A87" s="6" t="s">
        <v>701</v>
      </c>
      <c r="B87" s="189">
        <v>17.96</v>
      </c>
      <c r="C87" s="189">
        <v>23.76</v>
      </c>
      <c r="D87" s="189">
        <v>28.17</v>
      </c>
      <c r="E87" s="189">
        <v>6.81</v>
      </c>
      <c r="F87" s="189">
        <v>2.61</v>
      </c>
      <c r="G87" s="189">
        <v>18.8</v>
      </c>
      <c r="H87" s="189">
        <v>6.6</v>
      </c>
      <c r="I87" s="189">
        <v>3.89</v>
      </c>
      <c r="J87" s="189">
        <v>0.76</v>
      </c>
      <c r="K87" s="189">
        <v>46.69</v>
      </c>
      <c r="L87" s="189">
        <v>18.41</v>
      </c>
      <c r="M87" s="189">
        <v>97.83</v>
      </c>
      <c r="N87" s="189">
        <v>0</v>
      </c>
      <c r="O87" s="189">
        <v>0</v>
      </c>
      <c r="P87" s="189">
        <v>0.48</v>
      </c>
      <c r="Q87" s="189">
        <v>4.78</v>
      </c>
    </row>
    <row r="88" spans="1:17" customFormat="1">
      <c r="A88" s="6" t="s">
        <v>702</v>
      </c>
      <c r="B88" s="189">
        <v>17.989999999999998</v>
      </c>
      <c r="C88" s="189">
        <v>23.19</v>
      </c>
      <c r="D88" s="189">
        <v>27.89</v>
      </c>
      <c r="E88" s="189">
        <v>7.06</v>
      </c>
      <c r="F88" s="189">
        <v>2.66</v>
      </c>
      <c r="G88" s="189">
        <v>18.8</v>
      </c>
      <c r="H88" s="189">
        <v>6.6</v>
      </c>
      <c r="I88" s="189">
        <v>3.89</v>
      </c>
      <c r="J88" s="189">
        <v>0.6</v>
      </c>
      <c r="K88" s="189">
        <v>49.87</v>
      </c>
      <c r="L88" s="189">
        <v>18.420000000000002</v>
      </c>
      <c r="M88" s="189">
        <v>97.37</v>
      </c>
      <c r="N88" s="189">
        <v>0</v>
      </c>
      <c r="O88" s="189">
        <v>0</v>
      </c>
      <c r="P88" s="189">
        <v>0.48</v>
      </c>
      <c r="Q88" s="189">
        <v>4.78</v>
      </c>
    </row>
    <row r="89" spans="1:17" customFormat="1">
      <c r="A89" s="6" t="s">
        <v>703</v>
      </c>
      <c r="B89" s="189">
        <v>17.989999999999998</v>
      </c>
      <c r="C89" s="189">
        <v>22.56</v>
      </c>
      <c r="D89" s="189">
        <v>27.57</v>
      </c>
      <c r="E89" s="189">
        <v>7.21</v>
      </c>
      <c r="F89" s="189">
        <v>2.87</v>
      </c>
      <c r="G89" s="189">
        <v>18.8</v>
      </c>
      <c r="H89" s="189">
        <v>6.6</v>
      </c>
      <c r="I89" s="189">
        <v>3.85</v>
      </c>
      <c r="J89" s="189">
        <v>0.82</v>
      </c>
      <c r="K89" s="189">
        <v>52.92</v>
      </c>
      <c r="L89" s="189">
        <v>18.420000000000002</v>
      </c>
      <c r="M89" s="189">
        <v>96.75</v>
      </c>
      <c r="N89" s="189">
        <v>0</v>
      </c>
      <c r="O89" s="189">
        <v>0</v>
      </c>
      <c r="P89" s="189">
        <v>0.48</v>
      </c>
      <c r="Q89" s="189">
        <v>4.78</v>
      </c>
    </row>
    <row r="90" spans="1:17" customFormat="1">
      <c r="A90" s="6" t="s">
        <v>704</v>
      </c>
      <c r="B90" s="189">
        <v>17.93</v>
      </c>
      <c r="C90" s="189">
        <v>23.63</v>
      </c>
      <c r="D90" s="189">
        <v>28.08</v>
      </c>
      <c r="E90" s="189">
        <v>6.92</v>
      </c>
      <c r="F90" s="189">
        <v>2.7</v>
      </c>
      <c r="G90" s="189">
        <v>17.2</v>
      </c>
      <c r="H90" s="189">
        <v>8.34</v>
      </c>
      <c r="I90" s="189">
        <v>3.84</v>
      </c>
      <c r="J90" s="189">
        <v>0.59</v>
      </c>
      <c r="K90" s="189">
        <v>48.51</v>
      </c>
      <c r="L90" s="189">
        <v>18.43</v>
      </c>
      <c r="M90" s="189">
        <v>95.7</v>
      </c>
      <c r="N90" s="189">
        <v>0</v>
      </c>
      <c r="O90" s="189">
        <v>0</v>
      </c>
      <c r="P90" s="189">
        <v>0.48</v>
      </c>
      <c r="Q90" s="189">
        <v>4.79</v>
      </c>
    </row>
    <row r="91" spans="1:17" customFormat="1">
      <c r="A91" s="6" t="s">
        <v>705</v>
      </c>
      <c r="B91" s="189">
        <v>17.95</v>
      </c>
      <c r="C91" s="189">
        <v>22.49</v>
      </c>
      <c r="D91" s="189">
        <v>27.49</v>
      </c>
      <c r="E91" s="189">
        <v>7.04</v>
      </c>
      <c r="F91" s="189">
        <v>2.78</v>
      </c>
      <c r="G91" s="189">
        <v>16.399999999999999</v>
      </c>
      <c r="H91" s="189">
        <v>8.5500000000000007</v>
      </c>
      <c r="I91" s="189">
        <v>3.78</v>
      </c>
      <c r="J91" s="189">
        <v>0.51</v>
      </c>
      <c r="K91" s="189">
        <v>51.04</v>
      </c>
      <c r="L91" s="189">
        <v>18.54</v>
      </c>
      <c r="M91" s="189">
        <v>95.38</v>
      </c>
      <c r="N91" s="189">
        <v>0</v>
      </c>
      <c r="O91" s="189">
        <v>0</v>
      </c>
      <c r="P91" s="189">
        <v>0.48</v>
      </c>
      <c r="Q91" s="189">
        <v>4.8</v>
      </c>
    </row>
    <row r="92" spans="1:17" customFormat="1">
      <c r="A92" s="6" t="s">
        <v>706</v>
      </c>
      <c r="B92" s="189">
        <v>17.95</v>
      </c>
      <c r="C92" s="189">
        <v>23.06</v>
      </c>
      <c r="D92" s="189">
        <v>27.79</v>
      </c>
      <c r="E92" s="189">
        <v>6.83</v>
      </c>
      <c r="F92" s="189">
        <v>2.59</v>
      </c>
      <c r="G92" s="189">
        <v>16.399999999999999</v>
      </c>
      <c r="H92" s="189">
        <v>8.5500000000000007</v>
      </c>
      <c r="I92" s="189">
        <v>3.75</v>
      </c>
      <c r="J92" s="189">
        <v>0.49</v>
      </c>
      <c r="K92" s="189">
        <v>60.98</v>
      </c>
      <c r="L92" s="189">
        <v>18.57</v>
      </c>
      <c r="M92" s="189">
        <v>95.35</v>
      </c>
      <c r="N92" s="189">
        <v>0</v>
      </c>
      <c r="O92" s="189">
        <v>0</v>
      </c>
      <c r="P92" s="189">
        <v>0.48</v>
      </c>
      <c r="Q92" s="189">
        <v>4.79</v>
      </c>
    </row>
    <row r="93" spans="1:17" customFormat="1">
      <c r="A93" s="6" t="s">
        <v>707</v>
      </c>
      <c r="B93" s="189">
        <v>17.93</v>
      </c>
      <c r="C93" s="189">
        <v>22.18</v>
      </c>
      <c r="D93" s="189">
        <v>27.32</v>
      </c>
      <c r="E93" s="189">
        <v>6.93</v>
      </c>
      <c r="F93" s="189">
        <v>2.86</v>
      </c>
      <c r="G93" s="189">
        <v>16.399999999999999</v>
      </c>
      <c r="H93" s="189">
        <v>8.5500000000000007</v>
      </c>
      <c r="I93" s="189">
        <v>3.72</v>
      </c>
      <c r="J93" s="189">
        <v>0.67</v>
      </c>
      <c r="K93" s="189">
        <v>57.34</v>
      </c>
      <c r="L93" s="189">
        <v>18.61</v>
      </c>
      <c r="M93" s="189">
        <v>95.07</v>
      </c>
      <c r="N93" s="189">
        <v>0</v>
      </c>
      <c r="O93" s="189">
        <v>0</v>
      </c>
      <c r="P93" s="189">
        <v>0.47</v>
      </c>
      <c r="Q93" s="189">
        <v>4.79</v>
      </c>
    </row>
    <row r="94" spans="1:17" customFormat="1">
      <c r="A94" s="6" t="s">
        <v>708</v>
      </c>
      <c r="B94" s="189">
        <v>17.72</v>
      </c>
      <c r="C94" s="189">
        <v>22.85</v>
      </c>
      <c r="D94" s="189">
        <v>27.5</v>
      </c>
      <c r="E94" s="189">
        <v>7.09</v>
      </c>
      <c r="F94" s="189">
        <v>2.63</v>
      </c>
      <c r="G94" s="189">
        <v>20.56</v>
      </c>
      <c r="H94" s="189">
        <v>7.64</v>
      </c>
      <c r="I94" s="189">
        <v>3.69</v>
      </c>
      <c r="J94" s="189">
        <v>0.64</v>
      </c>
      <c r="K94" s="189">
        <v>53.03</v>
      </c>
      <c r="L94" s="189">
        <v>18.66</v>
      </c>
      <c r="M94" s="189">
        <v>95.51</v>
      </c>
      <c r="N94" s="189">
        <v>0</v>
      </c>
      <c r="O94" s="189">
        <v>0</v>
      </c>
      <c r="P94" s="189">
        <v>0.47</v>
      </c>
      <c r="Q94" s="189">
        <v>4.78</v>
      </c>
    </row>
    <row r="95" spans="1:17" customFormat="1">
      <c r="A95" s="6" t="s">
        <v>709</v>
      </c>
      <c r="B95" s="189">
        <v>17.809999999999999</v>
      </c>
      <c r="C95" s="189">
        <v>22.25</v>
      </c>
      <c r="D95" s="189">
        <v>27.25</v>
      </c>
      <c r="E95" s="189">
        <v>6.48</v>
      </c>
      <c r="F95" s="189">
        <v>2.69</v>
      </c>
      <c r="G95" s="189">
        <v>22.64</v>
      </c>
      <c r="H95" s="189">
        <v>7.53</v>
      </c>
      <c r="I95" s="189">
        <v>3.67</v>
      </c>
      <c r="J95" s="189">
        <v>0.7</v>
      </c>
      <c r="K95" s="189">
        <v>53.34</v>
      </c>
      <c r="L95" s="189">
        <v>18.7</v>
      </c>
      <c r="M95" s="189">
        <v>95.85</v>
      </c>
      <c r="N95" s="189">
        <v>0</v>
      </c>
      <c r="O95" s="189">
        <v>0</v>
      </c>
      <c r="P95" s="189">
        <v>0.46</v>
      </c>
      <c r="Q95" s="189">
        <v>4.79</v>
      </c>
    </row>
    <row r="96" spans="1:17" customFormat="1">
      <c r="A96" s="6" t="s">
        <v>710</v>
      </c>
      <c r="B96" s="189">
        <v>17.8</v>
      </c>
      <c r="C96" s="189">
        <v>21.85</v>
      </c>
      <c r="D96" s="189">
        <v>27.04</v>
      </c>
      <c r="E96" s="189">
        <v>6.78</v>
      </c>
      <c r="F96" s="189">
        <v>2.67</v>
      </c>
      <c r="G96" s="189">
        <v>22.64</v>
      </c>
      <c r="H96" s="189">
        <v>7.53</v>
      </c>
      <c r="I96" s="189">
        <v>3.63</v>
      </c>
      <c r="J96" s="189">
        <v>0.62</v>
      </c>
      <c r="K96" s="189">
        <v>53.91</v>
      </c>
      <c r="L96" s="189">
        <v>18.75</v>
      </c>
      <c r="M96" s="189">
        <v>95.61</v>
      </c>
      <c r="N96" s="189">
        <v>0</v>
      </c>
      <c r="O96" s="189">
        <v>0.2</v>
      </c>
      <c r="P96" s="189">
        <v>0.46</v>
      </c>
      <c r="Q96" s="189">
        <v>4.8</v>
      </c>
    </row>
    <row r="97" spans="1:22" customFormat="1">
      <c r="A97" s="6" t="s">
        <v>711</v>
      </c>
      <c r="B97" s="189">
        <v>17.829999999999998</v>
      </c>
      <c r="C97" s="189">
        <v>22.15</v>
      </c>
      <c r="D97" s="189">
        <v>27.23</v>
      </c>
      <c r="E97" s="189">
        <v>6.71</v>
      </c>
      <c r="F97" s="189">
        <v>2.61</v>
      </c>
      <c r="G97" s="189">
        <v>22.64</v>
      </c>
      <c r="H97" s="189">
        <v>7.53</v>
      </c>
      <c r="I97" s="189">
        <v>3.62</v>
      </c>
      <c r="J97" s="189">
        <v>0.6</v>
      </c>
      <c r="K97" s="189">
        <v>54.57</v>
      </c>
      <c r="L97" s="189">
        <v>18.739999999999998</v>
      </c>
      <c r="M97" s="189">
        <v>95.62</v>
      </c>
      <c r="N97" s="189">
        <v>0</v>
      </c>
      <c r="O97" s="189">
        <v>0</v>
      </c>
      <c r="P97" s="189">
        <v>0.45</v>
      </c>
      <c r="Q97" s="189">
        <v>4.7699999999999996</v>
      </c>
    </row>
    <row r="98" spans="1:22" customFormat="1">
      <c r="A98" s="6" t="s">
        <v>712</v>
      </c>
      <c r="B98" s="189">
        <v>17.850000000000001</v>
      </c>
      <c r="C98" s="189">
        <v>21.83</v>
      </c>
      <c r="D98" s="189">
        <v>27.07</v>
      </c>
      <c r="E98" s="189">
        <v>6.85</v>
      </c>
      <c r="F98" s="189">
        <v>2.67</v>
      </c>
      <c r="G98" s="189">
        <v>23.16</v>
      </c>
      <c r="H98" s="189">
        <v>8.61</v>
      </c>
      <c r="I98" s="189">
        <v>3.58</v>
      </c>
      <c r="J98" s="189">
        <v>0.66</v>
      </c>
      <c r="K98" s="189">
        <v>51.79</v>
      </c>
      <c r="L98" s="189">
        <v>18.84</v>
      </c>
      <c r="M98" s="189">
        <v>95.29</v>
      </c>
      <c r="N98" s="189">
        <v>0</v>
      </c>
      <c r="O98" s="189">
        <v>0</v>
      </c>
      <c r="P98" s="189">
        <v>0.47</v>
      </c>
      <c r="Q98" s="189">
        <v>4.79</v>
      </c>
    </row>
    <row r="99" spans="1:22" customFormat="1">
      <c r="A99" s="6" t="s">
        <v>713</v>
      </c>
      <c r="B99" s="189">
        <v>17.690000000000001</v>
      </c>
      <c r="C99" s="189">
        <v>21.44</v>
      </c>
      <c r="D99" s="189">
        <v>26.74</v>
      </c>
      <c r="E99" s="189">
        <v>6.89</v>
      </c>
      <c r="F99" s="189">
        <v>2.75</v>
      </c>
      <c r="G99" s="189">
        <v>23.42</v>
      </c>
      <c r="H99" s="189">
        <v>8.74</v>
      </c>
      <c r="I99" s="189">
        <v>3.54</v>
      </c>
      <c r="J99" s="189">
        <v>0.59</v>
      </c>
      <c r="K99" s="189">
        <v>48.34</v>
      </c>
      <c r="L99" s="189">
        <v>18.86</v>
      </c>
      <c r="M99" s="189">
        <v>95.48</v>
      </c>
      <c r="N99" s="189">
        <v>0</v>
      </c>
      <c r="O99" s="189">
        <v>0</v>
      </c>
      <c r="P99" s="189">
        <v>0.46</v>
      </c>
      <c r="Q99" s="189">
        <v>4.78</v>
      </c>
    </row>
    <row r="100" spans="1:22" customFormat="1">
      <c r="A100" s="6" t="s">
        <v>714</v>
      </c>
      <c r="B100" s="189">
        <v>17.46</v>
      </c>
      <c r="C100" s="189">
        <v>21.87</v>
      </c>
      <c r="D100" s="189">
        <v>26.78</v>
      </c>
      <c r="E100" s="189">
        <v>6.83</v>
      </c>
      <c r="F100" s="189">
        <v>2.76</v>
      </c>
      <c r="G100" s="189">
        <v>23.42</v>
      </c>
      <c r="H100" s="189">
        <v>8.74</v>
      </c>
      <c r="I100" s="189">
        <v>3.51</v>
      </c>
      <c r="J100" s="189">
        <v>0.78</v>
      </c>
      <c r="K100" s="189">
        <v>44.31</v>
      </c>
      <c r="L100" s="189">
        <v>18.84</v>
      </c>
      <c r="M100" s="189">
        <v>95.71</v>
      </c>
      <c r="N100" s="189">
        <v>0</v>
      </c>
      <c r="O100" s="189">
        <v>0</v>
      </c>
      <c r="P100" s="189">
        <v>0.47</v>
      </c>
      <c r="Q100" s="189">
        <v>4.76</v>
      </c>
    </row>
    <row r="101" spans="1:22" customFormat="1">
      <c r="A101" s="6" t="s">
        <v>715</v>
      </c>
      <c r="B101" s="189">
        <v>17.37</v>
      </c>
      <c r="C101" s="189">
        <v>22.34</v>
      </c>
      <c r="D101" s="189">
        <v>26.95</v>
      </c>
      <c r="E101" s="189">
        <v>6.81</v>
      </c>
      <c r="F101" s="189">
        <v>2.68</v>
      </c>
      <c r="G101" s="189">
        <v>23.42</v>
      </c>
      <c r="H101" s="189">
        <v>8.74</v>
      </c>
      <c r="I101" s="189">
        <v>3.47</v>
      </c>
      <c r="J101" s="189">
        <v>0.63</v>
      </c>
      <c r="K101" s="189">
        <v>51.09</v>
      </c>
      <c r="L101" s="189">
        <v>18.82</v>
      </c>
      <c r="M101" s="189">
        <v>95.26</v>
      </c>
      <c r="N101" s="189">
        <v>0</v>
      </c>
      <c r="O101" s="189">
        <v>0</v>
      </c>
      <c r="P101" s="189">
        <v>0.47</v>
      </c>
      <c r="Q101" s="189">
        <v>4.76</v>
      </c>
    </row>
    <row r="102" spans="1:22" customFormat="1">
      <c r="A102" s="6" t="s">
        <v>716</v>
      </c>
      <c r="B102" s="189">
        <v>17.16</v>
      </c>
      <c r="C102" s="189">
        <v>22.56</v>
      </c>
      <c r="D102" s="189">
        <v>26.9</v>
      </c>
      <c r="E102" s="189">
        <v>7.19</v>
      </c>
      <c r="F102" s="189">
        <v>2.7</v>
      </c>
      <c r="G102" s="189">
        <v>24.83</v>
      </c>
      <c r="H102" s="189">
        <v>7.49</v>
      </c>
      <c r="I102" s="189">
        <v>3.41</v>
      </c>
      <c r="J102" s="189">
        <v>0.69</v>
      </c>
      <c r="K102" s="189">
        <v>48.92</v>
      </c>
      <c r="L102" s="189">
        <v>18.79</v>
      </c>
      <c r="M102" s="189">
        <v>95.06</v>
      </c>
      <c r="N102" s="189">
        <v>0</v>
      </c>
      <c r="O102" s="189">
        <v>0</v>
      </c>
      <c r="P102" s="189">
        <v>0.47</v>
      </c>
      <c r="Q102" s="189">
        <v>4.7699999999999996</v>
      </c>
    </row>
    <row r="103" spans="1:22" customFormat="1">
      <c r="A103" s="6" t="s">
        <v>717</v>
      </c>
      <c r="B103" s="189">
        <v>17.010000000000002</v>
      </c>
      <c r="C103" s="189">
        <v>22.61</v>
      </c>
      <c r="D103" s="189">
        <v>26.8</v>
      </c>
      <c r="E103" s="189">
        <v>7.27</v>
      </c>
      <c r="F103" s="189">
        <v>2.85</v>
      </c>
      <c r="G103" s="189">
        <v>25.53</v>
      </c>
      <c r="H103" s="189">
        <v>7.34</v>
      </c>
      <c r="I103" s="189">
        <v>3.35</v>
      </c>
      <c r="J103" s="189">
        <v>0.65</v>
      </c>
      <c r="K103" s="189">
        <v>52.51</v>
      </c>
      <c r="L103" s="189">
        <v>18.79</v>
      </c>
      <c r="M103" s="189">
        <v>94.67</v>
      </c>
      <c r="N103" s="189">
        <v>0</v>
      </c>
      <c r="O103" s="189">
        <v>0</v>
      </c>
      <c r="P103" s="189">
        <v>0.46</v>
      </c>
      <c r="Q103" s="189">
        <v>4.78</v>
      </c>
    </row>
    <row r="104" spans="1:22" customFormat="1">
      <c r="A104" s="6" t="s">
        <v>718</v>
      </c>
      <c r="B104" s="189">
        <v>16.78</v>
      </c>
      <c r="C104" s="189">
        <v>22.91</v>
      </c>
      <c r="D104" s="189">
        <v>26.77</v>
      </c>
      <c r="E104" s="189">
        <v>7.21</v>
      </c>
      <c r="F104" s="189">
        <v>2.77</v>
      </c>
      <c r="G104" s="189">
        <v>25.53</v>
      </c>
      <c r="H104" s="189">
        <v>7.34</v>
      </c>
      <c r="I104" s="189">
        <v>3.3</v>
      </c>
      <c r="J104" s="189">
        <v>0.74</v>
      </c>
      <c r="K104" s="189">
        <v>46.97</v>
      </c>
      <c r="L104" s="189">
        <v>18.78</v>
      </c>
      <c r="M104" s="189">
        <v>94.4</v>
      </c>
      <c r="N104" s="189">
        <v>0</v>
      </c>
      <c r="O104" s="189">
        <v>0</v>
      </c>
      <c r="P104" s="189">
        <v>0.46</v>
      </c>
      <c r="Q104" s="189">
        <v>4.7699999999999996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8.5500000000000007</v>
      </c>
      <c r="C106" s="183">
        <f>MIN(C9:C104)</f>
        <v>21.01</v>
      </c>
      <c r="D106" s="183">
        <f t="shared" ref="D106:Q106" si="0">MIN(D9:D104)</f>
        <v>20.64</v>
      </c>
      <c r="E106" s="183">
        <f t="shared" si="0"/>
        <v>5.97</v>
      </c>
      <c r="F106" s="183">
        <f t="shared" si="0"/>
        <v>2.4500000000000002</v>
      </c>
      <c r="G106" s="183">
        <f t="shared" si="0"/>
        <v>16.399999999999999</v>
      </c>
      <c r="H106" s="183">
        <f t="shared" si="0"/>
        <v>6.6</v>
      </c>
      <c r="I106" s="183">
        <f t="shared" si="0"/>
        <v>3.3</v>
      </c>
      <c r="J106" s="183">
        <f t="shared" si="0"/>
        <v>0.49</v>
      </c>
      <c r="K106" s="183">
        <f t="shared" si="0"/>
        <v>35.520000000000003</v>
      </c>
      <c r="L106" s="183">
        <f t="shared" si="0"/>
        <v>18.22</v>
      </c>
      <c r="M106" s="183">
        <f t="shared" si="0"/>
        <v>79.47</v>
      </c>
      <c r="N106" s="183">
        <f t="shared" si="0"/>
        <v>0</v>
      </c>
      <c r="O106" s="183">
        <f t="shared" si="0"/>
        <v>0</v>
      </c>
      <c r="P106" s="183">
        <f t="shared" si="0"/>
        <v>0.45</v>
      </c>
      <c r="Q106" s="183">
        <f t="shared" si="0"/>
        <v>4.5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18.149999999999999</v>
      </c>
      <c r="C107" s="184">
        <f t="shared" ref="C107:Q107" si="1">MAX(C9:C104)</f>
        <v>30.58</v>
      </c>
      <c r="D107" s="184">
        <f t="shared" si="1"/>
        <v>29.64</v>
      </c>
      <c r="E107" s="184">
        <f t="shared" si="1"/>
        <v>9.3000000000000007</v>
      </c>
      <c r="F107" s="184">
        <f t="shared" si="1"/>
        <v>3.39</v>
      </c>
      <c r="G107" s="184">
        <f t="shared" si="1"/>
        <v>72.12</v>
      </c>
      <c r="H107" s="184">
        <f t="shared" si="1"/>
        <v>29.58</v>
      </c>
      <c r="I107" s="184">
        <f t="shared" si="1"/>
        <v>7.87</v>
      </c>
      <c r="J107" s="184">
        <f t="shared" si="1"/>
        <v>1.1399999999999999</v>
      </c>
      <c r="K107" s="184">
        <f t="shared" si="1"/>
        <v>64.33</v>
      </c>
      <c r="L107" s="184">
        <f t="shared" si="1"/>
        <v>21.82</v>
      </c>
      <c r="M107" s="184">
        <f t="shared" si="1"/>
        <v>98.86</v>
      </c>
      <c r="N107" s="184">
        <f t="shared" si="1"/>
        <v>119.5</v>
      </c>
      <c r="O107" s="184">
        <f t="shared" si="1"/>
        <v>0.6</v>
      </c>
      <c r="P107" s="184">
        <f t="shared" si="1"/>
        <v>0.93</v>
      </c>
      <c r="Q107" s="184">
        <f t="shared" si="1"/>
        <v>4.8499999999999996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13.2321875</v>
      </c>
      <c r="C108" s="183">
        <f t="shared" ref="C108:Q108" si="2">AVERAGE(C9:C104)</f>
        <v>24.181666666666661</v>
      </c>
      <c r="D108" s="183">
        <f t="shared" si="2"/>
        <v>24.596458333333334</v>
      </c>
      <c r="E108" s="183">
        <f t="shared" si="2"/>
        <v>7.4420833333333318</v>
      </c>
      <c r="F108" s="183">
        <f t="shared" si="2"/>
        <v>2.7757291666666668</v>
      </c>
      <c r="G108" s="183">
        <f t="shared" si="2"/>
        <v>33.037187499999995</v>
      </c>
      <c r="H108" s="183">
        <f t="shared" si="2"/>
        <v>14.183749999999984</v>
      </c>
      <c r="I108" s="183">
        <f t="shared" si="2"/>
        <v>5.0480208333333341</v>
      </c>
      <c r="J108" s="183">
        <f t="shared" si="2"/>
        <v>0.81812499999999977</v>
      </c>
      <c r="K108" s="183">
        <f t="shared" si="2"/>
        <v>47.220208333333346</v>
      </c>
      <c r="L108" s="183">
        <f t="shared" si="2"/>
        <v>19.401770833333334</v>
      </c>
      <c r="M108" s="183">
        <f t="shared" si="2"/>
        <v>93.550520833333337</v>
      </c>
      <c r="N108" s="183">
        <f t="shared" si="2"/>
        <v>16.459374999999998</v>
      </c>
      <c r="O108" s="183">
        <f t="shared" si="2"/>
        <v>3.9583333333333338E-2</v>
      </c>
      <c r="P108" s="183">
        <f t="shared" si="2"/>
        <v>0.6178125000000001</v>
      </c>
      <c r="Q108" s="183">
        <f t="shared" si="2"/>
        <v>4.6632291666666665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3.0308912023138004</v>
      </c>
      <c r="C109" s="183">
        <f t="shared" ref="C109:Q109" si="3">STDEV(C9:C104)</f>
        <v>2.5982458320007122</v>
      </c>
      <c r="D109" s="183">
        <f t="shared" si="3"/>
        <v>2.5131108753753453</v>
      </c>
      <c r="E109" s="183">
        <f t="shared" si="3"/>
        <v>0.8415385867460099</v>
      </c>
      <c r="F109" s="183">
        <f t="shared" si="3"/>
        <v>0.16046475128049439</v>
      </c>
      <c r="G109" s="183">
        <f t="shared" si="3"/>
        <v>15.246072122500058</v>
      </c>
      <c r="H109" s="183">
        <f t="shared" si="3"/>
        <v>7.2719601715660138</v>
      </c>
      <c r="I109" s="183">
        <f t="shared" si="3"/>
        <v>1.3049473631583843</v>
      </c>
      <c r="J109" s="183">
        <f t="shared" si="3"/>
        <v>0.16643198389479852</v>
      </c>
      <c r="K109" s="183">
        <f t="shared" si="3"/>
        <v>5.7681776706642198</v>
      </c>
      <c r="L109" s="183">
        <f t="shared" si="3"/>
        <v>0.88996746811229022</v>
      </c>
      <c r="M109" s="183">
        <f t="shared" si="3"/>
        <v>4.6538602810299663</v>
      </c>
      <c r="N109" s="183">
        <f t="shared" si="3"/>
        <v>25.288223088498818</v>
      </c>
      <c r="O109" s="183">
        <f t="shared" si="3"/>
        <v>0.12521910621547938</v>
      </c>
      <c r="P109" s="183">
        <f t="shared" si="3"/>
        <v>0.1403694608036794</v>
      </c>
      <c r="Q109" s="183">
        <f t="shared" si="3"/>
        <v>9.5724327784637755E-2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06/12/2023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719</v>
      </c>
      <c r="B9" s="189">
        <v>16.45</v>
      </c>
      <c r="C9" s="189">
        <v>21.77</v>
      </c>
      <c r="D9" s="189">
        <v>25.91</v>
      </c>
      <c r="E9" s="189">
        <v>6.96</v>
      </c>
      <c r="F9" s="189">
        <v>2.77</v>
      </c>
      <c r="G9" s="189">
        <v>25.53</v>
      </c>
      <c r="H9" s="189">
        <v>7.34</v>
      </c>
      <c r="I9" s="189">
        <v>3.25</v>
      </c>
      <c r="J9" s="189">
        <v>0.83</v>
      </c>
      <c r="K9" s="189">
        <v>40.49</v>
      </c>
      <c r="L9" s="189">
        <v>18.78</v>
      </c>
      <c r="M9" s="189">
        <v>94.44</v>
      </c>
      <c r="N9" s="189">
        <v>0</v>
      </c>
      <c r="O9" s="189">
        <v>0</v>
      </c>
      <c r="P9" s="189">
        <v>0.45</v>
      </c>
      <c r="Q9" s="189">
        <v>4.76</v>
      </c>
    </row>
    <row r="10" spans="1:21" customFormat="1">
      <c r="A10" s="6" t="s">
        <v>720</v>
      </c>
      <c r="B10" s="189">
        <v>16.420000000000002</v>
      </c>
      <c r="C10" s="189">
        <v>22.99</v>
      </c>
      <c r="D10" s="189">
        <v>26.53</v>
      </c>
      <c r="E10" s="189">
        <v>7.11</v>
      </c>
      <c r="F10" s="189">
        <v>2.68</v>
      </c>
      <c r="G10" s="189">
        <v>25.18</v>
      </c>
      <c r="H10" s="189">
        <v>7.79</v>
      </c>
      <c r="I10" s="189">
        <v>3.21</v>
      </c>
      <c r="J10" s="189">
        <v>0.74</v>
      </c>
      <c r="K10" s="189">
        <v>42.44</v>
      </c>
      <c r="L10" s="189">
        <v>18.760000000000002</v>
      </c>
      <c r="M10" s="189">
        <v>94.76</v>
      </c>
      <c r="N10" s="189">
        <v>0</v>
      </c>
      <c r="O10" s="189">
        <v>0</v>
      </c>
      <c r="P10" s="189">
        <v>0.45</v>
      </c>
      <c r="Q10" s="189">
        <v>4.7699999999999996</v>
      </c>
    </row>
    <row r="11" spans="1:21" customFormat="1">
      <c r="A11" s="6" t="s">
        <v>721</v>
      </c>
      <c r="B11" s="189">
        <v>16.23</v>
      </c>
      <c r="C11" s="189">
        <v>23.31</v>
      </c>
      <c r="D11" s="189">
        <v>26.54</v>
      </c>
      <c r="E11" s="189">
        <v>7.54</v>
      </c>
      <c r="F11" s="189">
        <v>2.6</v>
      </c>
      <c r="G11" s="189">
        <v>25.01</v>
      </c>
      <c r="H11" s="189">
        <v>7.88</v>
      </c>
      <c r="I11" s="189">
        <v>3.18</v>
      </c>
      <c r="J11" s="189">
        <v>0.68</v>
      </c>
      <c r="K11" s="189">
        <v>52.76</v>
      </c>
      <c r="L11" s="189">
        <v>18.739999999999998</v>
      </c>
      <c r="M11" s="189">
        <v>94.6</v>
      </c>
      <c r="N11" s="189">
        <v>0</v>
      </c>
      <c r="O11" s="189">
        <v>0</v>
      </c>
      <c r="P11" s="189">
        <v>0.44</v>
      </c>
      <c r="Q11" s="189">
        <v>4.76</v>
      </c>
    </row>
    <row r="12" spans="1:21" customFormat="1">
      <c r="A12" s="6" t="s">
        <v>722</v>
      </c>
      <c r="B12" s="189">
        <v>16.11</v>
      </c>
      <c r="C12" s="189">
        <v>23.41</v>
      </c>
      <c r="D12" s="189">
        <v>26.51</v>
      </c>
      <c r="E12" s="189">
        <v>7.11</v>
      </c>
      <c r="F12" s="189">
        <v>2.64</v>
      </c>
      <c r="G12" s="189">
        <v>25.01</v>
      </c>
      <c r="H12" s="189">
        <v>7.88</v>
      </c>
      <c r="I12" s="189">
        <v>3.14</v>
      </c>
      <c r="J12" s="189">
        <v>0.85</v>
      </c>
      <c r="K12" s="189">
        <v>42.21</v>
      </c>
      <c r="L12" s="189">
        <v>18.760000000000002</v>
      </c>
      <c r="M12" s="189">
        <v>94.15</v>
      </c>
      <c r="N12" s="189">
        <v>0</v>
      </c>
      <c r="O12" s="189">
        <v>0</v>
      </c>
      <c r="P12" s="189">
        <v>0.45</v>
      </c>
      <c r="Q12" s="189">
        <v>4.75</v>
      </c>
    </row>
    <row r="13" spans="1:21" customFormat="1">
      <c r="A13" s="6" t="s">
        <v>723</v>
      </c>
      <c r="B13" s="189">
        <v>15.99</v>
      </c>
      <c r="C13" s="189">
        <v>23.16</v>
      </c>
      <c r="D13" s="189">
        <v>26.27</v>
      </c>
      <c r="E13" s="189">
        <v>6.88</v>
      </c>
      <c r="F13" s="189">
        <v>2.72</v>
      </c>
      <c r="G13" s="189">
        <v>25.01</v>
      </c>
      <c r="H13" s="189">
        <v>7.88</v>
      </c>
      <c r="I13" s="189">
        <v>3.11</v>
      </c>
      <c r="J13" s="189">
        <v>0.57999999999999996</v>
      </c>
      <c r="K13" s="189">
        <v>46.14</v>
      </c>
      <c r="L13" s="189">
        <v>18.79</v>
      </c>
      <c r="M13" s="189">
        <v>94.35</v>
      </c>
      <c r="N13" s="189">
        <v>0</v>
      </c>
      <c r="O13" s="189">
        <v>0</v>
      </c>
      <c r="P13" s="189">
        <v>0.43</v>
      </c>
      <c r="Q13" s="189">
        <v>4.75</v>
      </c>
    </row>
    <row r="14" spans="1:21" customFormat="1">
      <c r="A14" s="6" t="s">
        <v>724</v>
      </c>
      <c r="B14" s="189">
        <v>15.98</v>
      </c>
      <c r="C14" s="189">
        <v>23.53</v>
      </c>
      <c r="D14" s="189">
        <v>26.46</v>
      </c>
      <c r="E14" s="189">
        <v>7.09</v>
      </c>
      <c r="F14" s="189">
        <v>2.78</v>
      </c>
      <c r="G14" s="189">
        <v>22.96</v>
      </c>
      <c r="H14" s="189">
        <v>6.05</v>
      </c>
      <c r="I14" s="189">
        <v>3.08</v>
      </c>
      <c r="J14" s="189">
        <v>0.59</v>
      </c>
      <c r="K14" s="189">
        <v>49.01</v>
      </c>
      <c r="L14" s="189">
        <v>18.79</v>
      </c>
      <c r="M14" s="189">
        <v>94.57</v>
      </c>
      <c r="N14" s="189">
        <v>0</v>
      </c>
      <c r="O14" s="189">
        <v>0</v>
      </c>
      <c r="P14" s="189">
        <v>0.44</v>
      </c>
      <c r="Q14" s="189">
        <v>4.76</v>
      </c>
    </row>
    <row r="15" spans="1:21" customFormat="1">
      <c r="A15" s="6" t="s">
        <v>725</v>
      </c>
      <c r="B15" s="189">
        <v>15.99</v>
      </c>
      <c r="C15" s="189">
        <v>23.66</v>
      </c>
      <c r="D15" s="189">
        <v>26.54</v>
      </c>
      <c r="E15" s="189">
        <v>7.09</v>
      </c>
      <c r="F15" s="189">
        <v>2.58</v>
      </c>
      <c r="G15" s="189">
        <v>21.94</v>
      </c>
      <c r="H15" s="189">
        <v>5.83</v>
      </c>
      <c r="I15" s="189">
        <v>3.03</v>
      </c>
      <c r="J15" s="189">
        <v>0.73</v>
      </c>
      <c r="K15" s="189">
        <v>47.62</v>
      </c>
      <c r="L15" s="189">
        <v>18.79</v>
      </c>
      <c r="M15" s="189">
        <v>94.4</v>
      </c>
      <c r="N15" s="189">
        <v>0</v>
      </c>
      <c r="O15" s="189">
        <v>0</v>
      </c>
      <c r="P15" s="189">
        <v>0.43</v>
      </c>
      <c r="Q15" s="189">
        <v>4.75</v>
      </c>
    </row>
    <row r="16" spans="1:21" customFormat="1">
      <c r="A16" s="6" t="s">
        <v>726</v>
      </c>
      <c r="B16" s="189">
        <v>15.78</v>
      </c>
      <c r="C16" s="189">
        <v>23.4</v>
      </c>
      <c r="D16" s="189">
        <v>26.23</v>
      </c>
      <c r="E16" s="189">
        <v>6.88</v>
      </c>
      <c r="F16" s="189">
        <v>2.67</v>
      </c>
      <c r="G16" s="189">
        <v>21.94</v>
      </c>
      <c r="H16" s="189">
        <v>5.83</v>
      </c>
      <c r="I16" s="189">
        <v>2.98</v>
      </c>
      <c r="J16" s="189">
        <v>0.75</v>
      </c>
      <c r="K16" s="189">
        <v>43.31</v>
      </c>
      <c r="L16" s="189">
        <v>18.78</v>
      </c>
      <c r="M16" s="189">
        <v>94.23</v>
      </c>
      <c r="N16" s="189">
        <v>0</v>
      </c>
      <c r="O16" s="189">
        <v>0</v>
      </c>
      <c r="P16" s="189">
        <v>0.43</v>
      </c>
      <c r="Q16" s="189">
        <v>4.75</v>
      </c>
    </row>
    <row r="17" spans="1:17" customFormat="1">
      <c r="A17" s="6" t="s">
        <v>727</v>
      </c>
      <c r="B17" s="189">
        <v>15.59</v>
      </c>
      <c r="C17" s="189">
        <v>23.43</v>
      </c>
      <c r="D17" s="189">
        <v>26.09</v>
      </c>
      <c r="E17" s="189">
        <v>5.95</v>
      </c>
      <c r="F17" s="189">
        <v>2.64</v>
      </c>
      <c r="G17" s="189">
        <v>21.94</v>
      </c>
      <c r="H17" s="189">
        <v>5.83</v>
      </c>
      <c r="I17" s="189">
        <v>2.96</v>
      </c>
      <c r="J17" s="189">
        <v>0.78</v>
      </c>
      <c r="K17" s="189">
        <v>49.78</v>
      </c>
      <c r="L17" s="189">
        <v>18.75</v>
      </c>
      <c r="M17" s="189">
        <v>94.48</v>
      </c>
      <c r="N17" s="189">
        <v>0</v>
      </c>
      <c r="O17" s="189">
        <v>0</v>
      </c>
      <c r="P17" s="189">
        <v>0.43</v>
      </c>
      <c r="Q17" s="189">
        <v>4.76</v>
      </c>
    </row>
    <row r="18" spans="1:17" customFormat="1">
      <c r="A18" s="6" t="s">
        <v>728</v>
      </c>
      <c r="B18" s="189">
        <v>15.28</v>
      </c>
      <c r="C18" s="189">
        <v>23.33</v>
      </c>
      <c r="D18" s="189">
        <v>25.8</v>
      </c>
      <c r="E18" s="189">
        <v>6.96</v>
      </c>
      <c r="F18" s="189">
        <v>2.64</v>
      </c>
      <c r="G18" s="189">
        <v>20.96</v>
      </c>
      <c r="H18" s="189">
        <v>4.47</v>
      </c>
      <c r="I18" s="189">
        <v>2.93</v>
      </c>
      <c r="J18" s="189">
        <v>0.88</v>
      </c>
      <c r="K18" s="189">
        <v>39.85</v>
      </c>
      <c r="L18" s="189">
        <v>18.75</v>
      </c>
      <c r="M18" s="189">
        <v>94.32</v>
      </c>
      <c r="N18" s="189">
        <v>0</v>
      </c>
      <c r="O18" s="189">
        <v>0</v>
      </c>
      <c r="P18" s="189">
        <v>0.42</v>
      </c>
      <c r="Q18" s="189">
        <v>4.75</v>
      </c>
    </row>
    <row r="19" spans="1:17" customFormat="1">
      <c r="A19" s="6" t="s">
        <v>729</v>
      </c>
      <c r="B19" s="189">
        <v>14.94</v>
      </c>
      <c r="C19" s="189">
        <v>22.92</v>
      </c>
      <c r="D19" s="189">
        <v>25.31</v>
      </c>
      <c r="E19" s="189">
        <v>6.47</v>
      </c>
      <c r="F19" s="189">
        <v>2.71</v>
      </c>
      <c r="G19" s="189">
        <v>20.47</v>
      </c>
      <c r="H19" s="189">
        <v>4.3099999999999996</v>
      </c>
      <c r="I19" s="189">
        <v>2.89</v>
      </c>
      <c r="J19" s="189">
        <v>0.89</v>
      </c>
      <c r="K19" s="189">
        <v>44.96</v>
      </c>
      <c r="L19" s="189">
        <v>18.66</v>
      </c>
      <c r="M19" s="189">
        <v>94.79</v>
      </c>
      <c r="N19" s="189">
        <v>0</v>
      </c>
      <c r="O19" s="189">
        <v>0</v>
      </c>
      <c r="P19" s="189">
        <v>0.42</v>
      </c>
      <c r="Q19" s="189">
        <v>4.74</v>
      </c>
    </row>
    <row r="20" spans="1:17" customFormat="1">
      <c r="A20" s="6" t="s">
        <v>730</v>
      </c>
      <c r="B20" s="189">
        <v>14.84</v>
      </c>
      <c r="C20" s="189">
        <v>23.23</v>
      </c>
      <c r="D20" s="189">
        <v>25.39</v>
      </c>
      <c r="E20" s="189">
        <v>6.91</v>
      </c>
      <c r="F20" s="189">
        <v>2.61</v>
      </c>
      <c r="G20" s="189">
        <v>20.47</v>
      </c>
      <c r="H20" s="189">
        <v>4.3099999999999996</v>
      </c>
      <c r="I20" s="189">
        <v>2.84</v>
      </c>
      <c r="J20" s="189">
        <v>0.75</v>
      </c>
      <c r="K20" s="189">
        <v>45.95</v>
      </c>
      <c r="L20" s="189">
        <v>18.62</v>
      </c>
      <c r="M20" s="189">
        <v>95.45</v>
      </c>
      <c r="N20" s="189">
        <v>0</v>
      </c>
      <c r="O20" s="189">
        <v>0</v>
      </c>
      <c r="P20" s="189">
        <v>0.41</v>
      </c>
      <c r="Q20" s="189">
        <v>4.74</v>
      </c>
    </row>
    <row r="21" spans="1:17" customFormat="1">
      <c r="A21" s="6" t="s">
        <v>731</v>
      </c>
      <c r="B21" s="189">
        <v>14.72</v>
      </c>
      <c r="C21" s="189">
        <v>23.12</v>
      </c>
      <c r="D21" s="189">
        <v>25.24</v>
      </c>
      <c r="E21" s="189">
        <v>6.57</v>
      </c>
      <c r="F21" s="189">
        <v>2.67</v>
      </c>
      <c r="G21" s="189">
        <v>20.47</v>
      </c>
      <c r="H21" s="189">
        <v>4.3099999999999996</v>
      </c>
      <c r="I21" s="189">
        <v>2.8</v>
      </c>
      <c r="J21" s="189">
        <v>0.76</v>
      </c>
      <c r="K21" s="189">
        <v>43.72</v>
      </c>
      <c r="L21" s="189">
        <v>18.66</v>
      </c>
      <c r="M21" s="189">
        <v>95.06</v>
      </c>
      <c r="N21" s="189">
        <v>0</v>
      </c>
      <c r="O21" s="189">
        <v>0</v>
      </c>
      <c r="P21" s="189">
        <v>0.41</v>
      </c>
      <c r="Q21" s="189">
        <v>4.76</v>
      </c>
    </row>
    <row r="22" spans="1:17" customFormat="1">
      <c r="A22" s="6" t="s">
        <v>732</v>
      </c>
      <c r="B22" s="189">
        <v>14.6</v>
      </c>
      <c r="C22" s="189">
        <v>23.45</v>
      </c>
      <c r="D22" s="189">
        <v>25.31</v>
      </c>
      <c r="E22" s="189">
        <v>6.96</v>
      </c>
      <c r="F22" s="189">
        <v>2.65</v>
      </c>
      <c r="G22" s="189">
        <v>18.78</v>
      </c>
      <c r="H22" s="189">
        <v>3.24</v>
      </c>
      <c r="I22" s="189">
        <v>2.77</v>
      </c>
      <c r="J22" s="189">
        <v>0.81</v>
      </c>
      <c r="K22" s="189">
        <v>38.19</v>
      </c>
      <c r="L22" s="189">
        <v>18.7</v>
      </c>
      <c r="M22" s="189">
        <v>94.66</v>
      </c>
      <c r="N22" s="189">
        <v>0</v>
      </c>
      <c r="O22" s="189">
        <v>0</v>
      </c>
      <c r="P22" s="189">
        <v>0.41</v>
      </c>
      <c r="Q22" s="189">
        <v>4.76</v>
      </c>
    </row>
    <row r="23" spans="1:17" customFormat="1">
      <c r="A23" s="6" t="s">
        <v>733</v>
      </c>
      <c r="B23" s="189">
        <v>14.75</v>
      </c>
      <c r="C23" s="189">
        <v>23.99</v>
      </c>
      <c r="D23" s="189">
        <v>25.72</v>
      </c>
      <c r="E23" s="189">
        <v>6.75</v>
      </c>
      <c r="F23" s="189">
        <v>2.61</v>
      </c>
      <c r="G23" s="189">
        <v>17.940000000000001</v>
      </c>
      <c r="H23" s="189">
        <v>3.11</v>
      </c>
      <c r="I23" s="189">
        <v>2.73</v>
      </c>
      <c r="J23" s="189">
        <v>0.92</v>
      </c>
      <c r="K23" s="189">
        <v>39.630000000000003</v>
      </c>
      <c r="L23" s="189">
        <v>18.68</v>
      </c>
      <c r="M23" s="189">
        <v>94.45</v>
      </c>
      <c r="N23" s="189">
        <v>0</v>
      </c>
      <c r="O23" s="189">
        <v>0</v>
      </c>
      <c r="P23" s="189">
        <v>0.4</v>
      </c>
      <c r="Q23" s="189">
        <v>4.71</v>
      </c>
    </row>
    <row r="24" spans="1:17" customFormat="1">
      <c r="A24" s="6" t="s">
        <v>734</v>
      </c>
      <c r="B24" s="189">
        <v>15.12</v>
      </c>
      <c r="C24" s="189">
        <v>21.1</v>
      </c>
      <c r="D24" s="189">
        <v>24.49</v>
      </c>
      <c r="E24" s="189">
        <v>6.84</v>
      </c>
      <c r="F24" s="189">
        <v>2.94</v>
      </c>
      <c r="G24" s="189">
        <v>17.940000000000001</v>
      </c>
      <c r="H24" s="189">
        <v>3.11</v>
      </c>
      <c r="I24" s="189">
        <v>2.73</v>
      </c>
      <c r="J24" s="189">
        <v>0.79</v>
      </c>
      <c r="K24" s="189">
        <v>42.25</v>
      </c>
      <c r="L24" s="189">
        <v>18.66</v>
      </c>
      <c r="M24" s="189">
        <v>94.55</v>
      </c>
      <c r="N24" s="189">
        <v>0</v>
      </c>
      <c r="O24" s="189">
        <v>0</v>
      </c>
      <c r="P24" s="189">
        <v>0.38</v>
      </c>
      <c r="Q24" s="189">
        <v>4.71</v>
      </c>
    </row>
    <row r="25" spans="1:17" customFormat="1">
      <c r="A25" s="6" t="s">
        <v>735</v>
      </c>
      <c r="B25" s="189">
        <v>15.27</v>
      </c>
      <c r="C25" s="189">
        <v>19.64</v>
      </c>
      <c r="D25" s="189">
        <v>23.86</v>
      </c>
      <c r="E25" s="189">
        <v>6.07</v>
      </c>
      <c r="F25" s="189">
        <v>2.93</v>
      </c>
      <c r="G25" s="189">
        <v>17.940000000000001</v>
      </c>
      <c r="H25" s="189">
        <v>3.11</v>
      </c>
      <c r="I25" s="189">
        <v>2.75</v>
      </c>
      <c r="J25" s="189">
        <v>1</v>
      </c>
      <c r="K25" s="189">
        <v>35.81</v>
      </c>
      <c r="L25" s="189">
        <v>18.64</v>
      </c>
      <c r="M25" s="189">
        <v>94.57</v>
      </c>
      <c r="N25" s="189">
        <v>0</v>
      </c>
      <c r="O25" s="189">
        <v>0</v>
      </c>
      <c r="P25" s="189">
        <v>0.38</v>
      </c>
      <c r="Q25" s="189">
        <v>4.71</v>
      </c>
    </row>
    <row r="26" spans="1:17" customFormat="1">
      <c r="A26" s="6" t="s">
        <v>736</v>
      </c>
      <c r="B26" s="189">
        <v>15.28</v>
      </c>
      <c r="C26" s="189">
        <v>20.16</v>
      </c>
      <c r="D26" s="189">
        <v>24.14</v>
      </c>
      <c r="E26" s="189">
        <v>5.99</v>
      </c>
      <c r="F26" s="189">
        <v>2.7</v>
      </c>
      <c r="G26" s="189">
        <v>18.399999999999999</v>
      </c>
      <c r="H26" s="189">
        <v>3.46</v>
      </c>
      <c r="I26" s="189">
        <v>2.73</v>
      </c>
      <c r="J26" s="189">
        <v>0.87</v>
      </c>
      <c r="K26" s="189">
        <v>40.049999999999997</v>
      </c>
      <c r="L26" s="189">
        <v>18.63</v>
      </c>
      <c r="M26" s="189">
        <v>94.51</v>
      </c>
      <c r="N26" s="189">
        <v>0</v>
      </c>
      <c r="O26" s="189">
        <v>0</v>
      </c>
      <c r="P26" s="189">
        <v>0.38</v>
      </c>
      <c r="Q26" s="189">
        <v>4.7</v>
      </c>
    </row>
    <row r="27" spans="1:17" customFormat="1">
      <c r="A27" s="6" t="s">
        <v>737</v>
      </c>
      <c r="B27" s="189">
        <v>15.27</v>
      </c>
      <c r="C27" s="189">
        <v>20.94</v>
      </c>
      <c r="D27" s="189">
        <v>24.54</v>
      </c>
      <c r="E27" s="189">
        <v>6.19</v>
      </c>
      <c r="F27" s="189">
        <v>2.67</v>
      </c>
      <c r="G27" s="189">
        <v>18.63</v>
      </c>
      <c r="H27" s="189">
        <v>3.5</v>
      </c>
      <c r="I27" s="189">
        <v>2.74</v>
      </c>
      <c r="J27" s="189">
        <v>0.77</v>
      </c>
      <c r="K27" s="189">
        <v>44.78</v>
      </c>
      <c r="L27" s="189">
        <v>18.66</v>
      </c>
      <c r="M27" s="189">
        <v>94.38</v>
      </c>
      <c r="N27" s="189">
        <v>0</v>
      </c>
      <c r="O27" s="189">
        <v>0</v>
      </c>
      <c r="P27" s="189">
        <v>0.37</v>
      </c>
      <c r="Q27" s="189">
        <v>4.6900000000000004</v>
      </c>
    </row>
    <row r="28" spans="1:17" customFormat="1">
      <c r="A28" s="6" t="s">
        <v>738</v>
      </c>
      <c r="B28" s="189">
        <v>15.44</v>
      </c>
      <c r="C28" s="189">
        <v>19.940000000000001</v>
      </c>
      <c r="D28" s="189">
        <v>24.15</v>
      </c>
      <c r="E28" s="189">
        <v>6.59</v>
      </c>
      <c r="F28" s="189">
        <v>2.6</v>
      </c>
      <c r="G28" s="189">
        <v>18.63</v>
      </c>
      <c r="H28" s="189">
        <v>3.5</v>
      </c>
      <c r="I28" s="189">
        <v>2.73</v>
      </c>
      <c r="J28" s="189">
        <v>0.7</v>
      </c>
      <c r="K28" s="189">
        <v>43.95</v>
      </c>
      <c r="L28" s="189">
        <v>18.71</v>
      </c>
      <c r="M28" s="189">
        <v>94.18</v>
      </c>
      <c r="N28" s="189">
        <v>0</v>
      </c>
      <c r="O28" s="189">
        <v>0</v>
      </c>
      <c r="P28" s="189">
        <v>0.35</v>
      </c>
      <c r="Q28" s="189">
        <v>4.7</v>
      </c>
    </row>
    <row r="29" spans="1:17" customFormat="1">
      <c r="A29" s="6" t="s">
        <v>739</v>
      </c>
      <c r="B29" s="189">
        <v>15.6</v>
      </c>
      <c r="C29" s="189">
        <v>19.79</v>
      </c>
      <c r="D29" s="189">
        <v>24.21</v>
      </c>
      <c r="E29" s="189">
        <v>6.42</v>
      </c>
      <c r="F29" s="189">
        <v>2.6</v>
      </c>
      <c r="G29" s="189">
        <v>18.63</v>
      </c>
      <c r="H29" s="189">
        <v>3.5</v>
      </c>
      <c r="I29" s="189">
        <v>2.7</v>
      </c>
      <c r="J29" s="189">
        <v>0.74</v>
      </c>
      <c r="K29" s="189">
        <v>39.94</v>
      </c>
      <c r="L29" s="189">
        <v>18.71</v>
      </c>
      <c r="M29" s="189">
        <v>94.13</v>
      </c>
      <c r="N29" s="189">
        <v>0</v>
      </c>
      <c r="O29" s="189">
        <v>0</v>
      </c>
      <c r="P29" s="189">
        <v>0.35</v>
      </c>
      <c r="Q29" s="189">
        <v>4.7</v>
      </c>
    </row>
    <row r="30" spans="1:17" customFormat="1">
      <c r="A30" s="6" t="s">
        <v>740</v>
      </c>
      <c r="B30" s="189">
        <v>15.64</v>
      </c>
      <c r="C30" s="189">
        <v>20.66</v>
      </c>
      <c r="D30" s="189">
        <v>24.69</v>
      </c>
      <c r="E30" s="189">
        <v>6.22</v>
      </c>
      <c r="F30" s="189">
        <v>2.5</v>
      </c>
      <c r="G30" s="189">
        <v>17.190000000000001</v>
      </c>
      <c r="H30" s="189">
        <v>6.08</v>
      </c>
      <c r="I30" s="189">
        <v>2.7</v>
      </c>
      <c r="J30" s="189">
        <v>0.7</v>
      </c>
      <c r="K30" s="189">
        <v>49.49</v>
      </c>
      <c r="L30" s="189">
        <v>18.72</v>
      </c>
      <c r="M30" s="189">
        <v>94.02</v>
      </c>
      <c r="N30" s="189">
        <v>0</v>
      </c>
      <c r="O30" s="189">
        <v>0</v>
      </c>
      <c r="P30" s="189">
        <v>0.36</v>
      </c>
      <c r="Q30" s="189">
        <v>4.7</v>
      </c>
    </row>
    <row r="31" spans="1:17" customFormat="1">
      <c r="A31" s="6" t="s">
        <v>741</v>
      </c>
      <c r="B31" s="189">
        <v>15.75</v>
      </c>
      <c r="C31" s="189">
        <v>19.77</v>
      </c>
      <c r="D31" s="189">
        <v>24.31</v>
      </c>
      <c r="E31" s="189">
        <v>6.17</v>
      </c>
      <c r="F31" s="189">
        <v>2.8</v>
      </c>
      <c r="G31" s="189">
        <v>16.47</v>
      </c>
      <c r="H31" s="189">
        <v>6.39</v>
      </c>
      <c r="I31" s="189">
        <v>2.68</v>
      </c>
      <c r="J31" s="189">
        <v>0.7</v>
      </c>
      <c r="K31" s="189">
        <v>57.98</v>
      </c>
      <c r="L31" s="189">
        <v>18.739999999999998</v>
      </c>
      <c r="M31" s="189">
        <v>93.88</v>
      </c>
      <c r="N31" s="189">
        <v>0</v>
      </c>
      <c r="O31" s="189">
        <v>0</v>
      </c>
      <c r="P31" s="189">
        <v>0.35</v>
      </c>
      <c r="Q31" s="189">
        <v>4.7</v>
      </c>
    </row>
    <row r="32" spans="1:17" customFormat="1">
      <c r="A32" s="6" t="s">
        <v>742</v>
      </c>
      <c r="B32" s="189">
        <v>15.76</v>
      </c>
      <c r="C32" s="189">
        <v>20.079999999999998</v>
      </c>
      <c r="D32" s="189">
        <v>24.48</v>
      </c>
      <c r="E32" s="189">
        <v>5.87</v>
      </c>
      <c r="F32" s="189">
        <v>2.7</v>
      </c>
      <c r="G32" s="189">
        <v>16.47</v>
      </c>
      <c r="H32" s="189">
        <v>6.39</v>
      </c>
      <c r="I32" s="189">
        <v>2.68</v>
      </c>
      <c r="J32" s="189">
        <v>0.68</v>
      </c>
      <c r="K32" s="189">
        <v>51.63</v>
      </c>
      <c r="L32" s="189">
        <v>18.760000000000002</v>
      </c>
      <c r="M32" s="189">
        <v>93.65</v>
      </c>
      <c r="N32" s="189">
        <v>0</v>
      </c>
      <c r="O32" s="189">
        <v>0</v>
      </c>
      <c r="P32" s="189">
        <v>0.35</v>
      </c>
      <c r="Q32" s="189">
        <v>4.7</v>
      </c>
    </row>
    <row r="33" spans="1:17" customFormat="1">
      <c r="A33" s="6" t="s">
        <v>743</v>
      </c>
      <c r="B33" s="189">
        <v>15.86</v>
      </c>
      <c r="C33" s="189">
        <v>19.52</v>
      </c>
      <c r="D33" s="189">
        <v>24.27</v>
      </c>
      <c r="E33" s="189">
        <v>6.21</v>
      </c>
      <c r="F33" s="189">
        <v>2.79</v>
      </c>
      <c r="G33" s="189">
        <v>16.47</v>
      </c>
      <c r="H33" s="189">
        <v>6.39</v>
      </c>
      <c r="I33" s="189">
        <v>2.68</v>
      </c>
      <c r="J33" s="189">
        <v>0.79</v>
      </c>
      <c r="K33" s="189">
        <v>48.34</v>
      </c>
      <c r="L33" s="189">
        <v>18.760000000000002</v>
      </c>
      <c r="M33" s="189">
        <v>93.53</v>
      </c>
      <c r="N33" s="189">
        <v>0</v>
      </c>
      <c r="O33" s="189">
        <v>0</v>
      </c>
      <c r="P33" s="189">
        <v>0.34</v>
      </c>
      <c r="Q33" s="189">
        <v>4.6900000000000004</v>
      </c>
    </row>
    <row r="34" spans="1:17" customFormat="1">
      <c r="A34" s="6" t="s">
        <v>744</v>
      </c>
      <c r="B34" s="189">
        <v>15.79</v>
      </c>
      <c r="C34" s="189">
        <v>20.64</v>
      </c>
      <c r="D34" s="189">
        <v>24.8</v>
      </c>
      <c r="E34" s="189">
        <v>5.8</v>
      </c>
      <c r="F34" s="189">
        <v>2.63</v>
      </c>
      <c r="G34" s="189">
        <v>16.12</v>
      </c>
      <c r="H34" s="189">
        <v>5.85</v>
      </c>
      <c r="I34" s="189">
        <v>2.69</v>
      </c>
      <c r="J34" s="189">
        <v>0.63</v>
      </c>
      <c r="K34" s="189">
        <v>52.98</v>
      </c>
      <c r="L34" s="189">
        <v>18.72</v>
      </c>
      <c r="M34" s="189">
        <v>94.17</v>
      </c>
      <c r="N34" s="189">
        <v>0</v>
      </c>
      <c r="O34" s="189">
        <v>0</v>
      </c>
      <c r="P34" s="189">
        <v>0.36</v>
      </c>
      <c r="Q34" s="189">
        <v>4.68</v>
      </c>
    </row>
    <row r="35" spans="1:17" customFormat="1">
      <c r="A35" s="6" t="s">
        <v>745</v>
      </c>
      <c r="B35" s="189">
        <v>15.87</v>
      </c>
      <c r="C35" s="189">
        <v>20.9</v>
      </c>
      <c r="D35" s="189">
        <v>25</v>
      </c>
      <c r="E35" s="189">
        <v>5.83</v>
      </c>
      <c r="F35" s="189">
        <v>2.71</v>
      </c>
      <c r="G35" s="189">
        <v>15.94</v>
      </c>
      <c r="H35" s="189">
        <v>5.75</v>
      </c>
      <c r="I35" s="189">
        <v>2.69</v>
      </c>
      <c r="J35" s="189">
        <v>0.65</v>
      </c>
      <c r="K35" s="189">
        <v>49.94</v>
      </c>
      <c r="L35" s="189">
        <v>18.670000000000002</v>
      </c>
      <c r="M35" s="189">
        <v>94.86</v>
      </c>
      <c r="N35" s="189">
        <v>0</v>
      </c>
      <c r="O35" s="189">
        <v>0</v>
      </c>
      <c r="P35" s="189">
        <v>0.36</v>
      </c>
      <c r="Q35" s="189">
        <v>4.6900000000000004</v>
      </c>
    </row>
    <row r="36" spans="1:17" customFormat="1">
      <c r="A36" s="6" t="s">
        <v>746</v>
      </c>
      <c r="B36" s="189">
        <v>16.12</v>
      </c>
      <c r="C36" s="189">
        <v>19.82</v>
      </c>
      <c r="D36" s="189">
        <v>24.63</v>
      </c>
      <c r="E36" s="189">
        <v>6.34</v>
      </c>
      <c r="F36" s="189">
        <v>2.84</v>
      </c>
      <c r="G36" s="189">
        <v>15.94</v>
      </c>
      <c r="H36" s="189">
        <v>5.75</v>
      </c>
      <c r="I36" s="189">
        <v>2.7</v>
      </c>
      <c r="J36" s="189">
        <v>0.83</v>
      </c>
      <c r="K36" s="189">
        <v>45.91</v>
      </c>
      <c r="L36" s="189">
        <v>18.559999999999999</v>
      </c>
      <c r="M36" s="189">
        <v>96</v>
      </c>
      <c r="N36" s="189">
        <v>2</v>
      </c>
      <c r="O36" s="189">
        <v>0</v>
      </c>
      <c r="P36" s="189">
        <v>0.36</v>
      </c>
      <c r="Q36" s="189">
        <v>4.71</v>
      </c>
    </row>
    <row r="37" spans="1:17" customFormat="1">
      <c r="A37" s="6" t="s">
        <v>747</v>
      </c>
      <c r="B37" s="189">
        <v>16.309999999999999</v>
      </c>
      <c r="C37" s="189">
        <v>19.829999999999998</v>
      </c>
      <c r="D37" s="189">
        <v>24.79</v>
      </c>
      <c r="E37" s="189">
        <v>6.08</v>
      </c>
      <c r="F37" s="189">
        <v>2.7</v>
      </c>
      <c r="G37" s="189">
        <v>15.94</v>
      </c>
      <c r="H37" s="189">
        <v>5.75</v>
      </c>
      <c r="I37" s="189">
        <v>2.74</v>
      </c>
      <c r="J37" s="189">
        <v>0.85</v>
      </c>
      <c r="K37" s="189">
        <v>48.16</v>
      </c>
      <c r="L37" s="189">
        <v>18.57</v>
      </c>
      <c r="M37" s="189">
        <v>96.09</v>
      </c>
      <c r="N37" s="189">
        <v>8.1</v>
      </c>
      <c r="O37" s="189">
        <v>0</v>
      </c>
      <c r="P37" s="189">
        <v>0.36</v>
      </c>
      <c r="Q37" s="189">
        <v>4.72</v>
      </c>
    </row>
    <row r="38" spans="1:17" customFormat="1">
      <c r="A38" s="6" t="s">
        <v>748</v>
      </c>
      <c r="B38" s="189">
        <v>16.53</v>
      </c>
      <c r="C38" s="189">
        <v>19.77</v>
      </c>
      <c r="D38" s="189">
        <v>24.94</v>
      </c>
      <c r="E38" s="189">
        <v>6.05</v>
      </c>
      <c r="F38" s="189">
        <v>2.7</v>
      </c>
      <c r="G38" s="189">
        <v>15.8</v>
      </c>
      <c r="H38" s="189">
        <v>4.42</v>
      </c>
      <c r="I38" s="189">
        <v>2.74</v>
      </c>
      <c r="J38" s="189">
        <v>0.88</v>
      </c>
      <c r="K38" s="189">
        <v>45.05</v>
      </c>
      <c r="L38" s="189">
        <v>18.7</v>
      </c>
      <c r="M38" s="189">
        <v>95.21</v>
      </c>
      <c r="N38" s="189">
        <v>14.5</v>
      </c>
      <c r="O38" s="189">
        <v>0</v>
      </c>
      <c r="P38" s="189">
        <v>0.37</v>
      </c>
      <c r="Q38" s="189">
        <v>4.71</v>
      </c>
    </row>
    <row r="39" spans="1:17" customFormat="1">
      <c r="A39" s="6" t="s">
        <v>749</v>
      </c>
      <c r="B39" s="189">
        <v>16.66</v>
      </c>
      <c r="C39" s="189">
        <v>20.75</v>
      </c>
      <c r="D39" s="189">
        <v>25.55</v>
      </c>
      <c r="E39" s="189">
        <v>6</v>
      </c>
      <c r="F39" s="189">
        <v>2.65</v>
      </c>
      <c r="G39" s="189">
        <v>15.72</v>
      </c>
      <c r="H39" s="189">
        <v>4.26</v>
      </c>
      <c r="I39" s="189">
        <v>2.75</v>
      </c>
      <c r="J39" s="189">
        <v>0.75</v>
      </c>
      <c r="K39" s="189">
        <v>50.27</v>
      </c>
      <c r="L39" s="189">
        <v>18.87</v>
      </c>
      <c r="M39" s="189">
        <v>94.05</v>
      </c>
      <c r="N39" s="189">
        <v>15.6</v>
      </c>
      <c r="O39" s="189">
        <v>0</v>
      </c>
      <c r="P39" s="189">
        <v>0.37</v>
      </c>
      <c r="Q39" s="189">
        <v>4.7</v>
      </c>
    </row>
    <row r="40" spans="1:17" customFormat="1">
      <c r="A40" s="6" t="s">
        <v>750</v>
      </c>
      <c r="B40" s="189">
        <v>16.82</v>
      </c>
      <c r="C40" s="189">
        <v>19.97</v>
      </c>
      <c r="D40" s="189">
        <v>25.27</v>
      </c>
      <c r="E40" s="189">
        <v>6.2</v>
      </c>
      <c r="F40" s="189">
        <v>2.83</v>
      </c>
      <c r="G40" s="189">
        <v>15.72</v>
      </c>
      <c r="H40" s="189">
        <v>4.26</v>
      </c>
      <c r="I40" s="189">
        <v>2.78</v>
      </c>
      <c r="J40" s="189">
        <v>0.9</v>
      </c>
      <c r="K40" s="189">
        <v>53.81</v>
      </c>
      <c r="L40" s="189">
        <v>18.95</v>
      </c>
      <c r="M40" s="189">
        <v>93.2</v>
      </c>
      <c r="N40" s="189">
        <v>15.4</v>
      </c>
      <c r="O40" s="189">
        <v>0</v>
      </c>
      <c r="P40" s="189">
        <v>0.37</v>
      </c>
      <c r="Q40" s="189">
        <v>4.7300000000000004</v>
      </c>
    </row>
    <row r="41" spans="1:17" customFormat="1">
      <c r="A41" s="6" t="s">
        <v>751</v>
      </c>
      <c r="B41" s="189">
        <v>16.829999999999998</v>
      </c>
      <c r="C41" s="189">
        <v>20.54</v>
      </c>
      <c r="D41" s="189">
        <v>25.58</v>
      </c>
      <c r="E41" s="189">
        <v>5.86</v>
      </c>
      <c r="F41" s="189">
        <v>2.58</v>
      </c>
      <c r="G41" s="189">
        <v>15.72</v>
      </c>
      <c r="H41" s="189">
        <v>4.26</v>
      </c>
      <c r="I41" s="189">
        <v>2.79</v>
      </c>
      <c r="J41" s="189">
        <v>0.85</v>
      </c>
      <c r="K41" s="189">
        <v>52.74</v>
      </c>
      <c r="L41" s="189">
        <v>19.04</v>
      </c>
      <c r="M41" s="189">
        <v>92.41</v>
      </c>
      <c r="N41" s="189">
        <v>19</v>
      </c>
      <c r="O41" s="189">
        <v>0</v>
      </c>
      <c r="P41" s="189">
        <v>0.37</v>
      </c>
      <c r="Q41" s="189">
        <v>4.74</v>
      </c>
    </row>
    <row r="42" spans="1:17" customFormat="1">
      <c r="A42" s="6" t="s">
        <v>752</v>
      </c>
      <c r="B42" s="189">
        <v>16.98</v>
      </c>
      <c r="C42" s="189">
        <v>19.829999999999998</v>
      </c>
      <c r="D42" s="189">
        <v>25.33</v>
      </c>
      <c r="E42" s="189">
        <v>6.2</v>
      </c>
      <c r="F42" s="189">
        <v>2.71</v>
      </c>
      <c r="G42" s="189">
        <v>16.53</v>
      </c>
      <c r="H42" s="189">
        <v>4.5199999999999996</v>
      </c>
      <c r="I42" s="189">
        <v>2.81</v>
      </c>
      <c r="J42" s="189">
        <v>0.89</v>
      </c>
      <c r="K42" s="189">
        <v>45.67</v>
      </c>
      <c r="L42" s="189">
        <v>19.2</v>
      </c>
      <c r="M42" s="189">
        <v>91.68</v>
      </c>
      <c r="N42" s="189">
        <v>31.1</v>
      </c>
      <c r="O42" s="189">
        <v>0</v>
      </c>
      <c r="P42" s="189">
        <v>0.38</v>
      </c>
      <c r="Q42" s="189">
        <v>4.75</v>
      </c>
    </row>
    <row r="43" spans="1:17" customFormat="1">
      <c r="A43" s="6" t="s">
        <v>753</v>
      </c>
      <c r="B43" s="189">
        <v>17</v>
      </c>
      <c r="C43" s="189">
        <v>20.2</v>
      </c>
      <c r="D43" s="189">
        <v>25.53</v>
      </c>
      <c r="E43" s="189">
        <v>6.2</v>
      </c>
      <c r="F43" s="189">
        <v>2.76</v>
      </c>
      <c r="G43" s="189">
        <v>16.93</v>
      </c>
      <c r="H43" s="189">
        <v>4.5599999999999996</v>
      </c>
      <c r="I43" s="189">
        <v>2.8</v>
      </c>
      <c r="J43" s="189">
        <v>0.76</v>
      </c>
      <c r="K43" s="189">
        <v>49.61</v>
      </c>
      <c r="L43" s="189">
        <v>19.37</v>
      </c>
      <c r="M43" s="189">
        <v>90.72</v>
      </c>
      <c r="N43" s="189">
        <v>28.1</v>
      </c>
      <c r="O43" s="189">
        <v>0</v>
      </c>
      <c r="P43" s="189">
        <v>0.39</v>
      </c>
      <c r="Q43" s="189">
        <v>4.75</v>
      </c>
    </row>
    <row r="44" spans="1:17" customFormat="1">
      <c r="A44" s="6" t="s">
        <v>754</v>
      </c>
      <c r="B44" s="189">
        <v>17.059999999999999</v>
      </c>
      <c r="C44" s="189">
        <v>20.74</v>
      </c>
      <c r="D44" s="189">
        <v>25.87</v>
      </c>
      <c r="E44" s="189">
        <v>5.98</v>
      </c>
      <c r="F44" s="189">
        <v>2.74</v>
      </c>
      <c r="G44" s="189">
        <v>16.93</v>
      </c>
      <c r="H44" s="189">
        <v>4.5599999999999996</v>
      </c>
      <c r="I44" s="189">
        <v>2.8</v>
      </c>
      <c r="J44" s="189">
        <v>0.88</v>
      </c>
      <c r="K44" s="189">
        <v>48.41</v>
      </c>
      <c r="L44" s="189">
        <v>19.440000000000001</v>
      </c>
      <c r="M44" s="189">
        <v>90.42</v>
      </c>
      <c r="N44" s="189">
        <v>48.2</v>
      </c>
      <c r="O44" s="189">
        <v>0</v>
      </c>
      <c r="P44" s="189">
        <v>0.39</v>
      </c>
      <c r="Q44" s="189">
        <v>4.76</v>
      </c>
    </row>
    <row r="45" spans="1:17" customFormat="1">
      <c r="A45" s="6" t="s">
        <v>755</v>
      </c>
      <c r="B45" s="189">
        <v>16.850000000000001</v>
      </c>
      <c r="C45" s="189">
        <v>20.85</v>
      </c>
      <c r="D45" s="189">
        <v>25.76</v>
      </c>
      <c r="E45" s="189">
        <v>6.01</v>
      </c>
      <c r="F45" s="189">
        <v>2.8</v>
      </c>
      <c r="G45" s="189">
        <v>16.93</v>
      </c>
      <c r="H45" s="189">
        <v>4.5599999999999996</v>
      </c>
      <c r="I45" s="189">
        <v>2.8</v>
      </c>
      <c r="J45" s="189">
        <v>0.92</v>
      </c>
      <c r="K45" s="189">
        <v>53.89</v>
      </c>
      <c r="L45" s="189">
        <v>19.62</v>
      </c>
      <c r="M45" s="189">
        <v>89.3</v>
      </c>
      <c r="N45" s="189">
        <v>59.3</v>
      </c>
      <c r="O45" s="189">
        <v>0</v>
      </c>
      <c r="P45" s="189">
        <v>0.4</v>
      </c>
      <c r="Q45" s="189">
        <v>4.76</v>
      </c>
    </row>
    <row r="46" spans="1:17" customFormat="1">
      <c r="A46" s="6" t="s">
        <v>756</v>
      </c>
      <c r="B46" s="189">
        <v>16.649999999999999</v>
      </c>
      <c r="C46" s="189">
        <v>21.09</v>
      </c>
      <c r="D46" s="189">
        <v>25.72</v>
      </c>
      <c r="E46" s="189">
        <v>5.86</v>
      </c>
      <c r="F46" s="189">
        <v>2.93</v>
      </c>
      <c r="G46" s="189">
        <v>17.350000000000001</v>
      </c>
      <c r="H46" s="189">
        <v>4.47</v>
      </c>
      <c r="I46" s="189">
        <v>2.8</v>
      </c>
      <c r="J46" s="189">
        <v>0.87</v>
      </c>
      <c r="K46" s="189">
        <v>55.76</v>
      </c>
      <c r="L46" s="189">
        <v>19.8</v>
      </c>
      <c r="M46" s="189">
        <v>88.58</v>
      </c>
      <c r="N46" s="189">
        <v>54</v>
      </c>
      <c r="O46" s="189">
        <v>0</v>
      </c>
      <c r="P46" s="189">
        <v>0.41</v>
      </c>
      <c r="Q46" s="189">
        <v>4.74</v>
      </c>
    </row>
    <row r="47" spans="1:17" customFormat="1">
      <c r="A47" s="6" t="s">
        <v>757</v>
      </c>
      <c r="B47" s="189">
        <v>16.420000000000002</v>
      </c>
      <c r="C47" s="189">
        <v>21.43</v>
      </c>
      <c r="D47" s="189">
        <v>25.71</v>
      </c>
      <c r="E47" s="189">
        <v>6.01</v>
      </c>
      <c r="F47" s="189">
        <v>2.75</v>
      </c>
      <c r="G47" s="189">
        <v>17.55</v>
      </c>
      <c r="H47" s="189">
        <v>4.46</v>
      </c>
      <c r="I47" s="189">
        <v>2.8</v>
      </c>
      <c r="J47" s="189">
        <v>0.7</v>
      </c>
      <c r="K47" s="189">
        <v>58.83</v>
      </c>
      <c r="L47" s="189">
        <v>19.940000000000001</v>
      </c>
      <c r="M47" s="189">
        <v>88.75</v>
      </c>
      <c r="N47" s="189">
        <v>63.6</v>
      </c>
      <c r="O47" s="189">
        <v>0</v>
      </c>
      <c r="P47" s="189">
        <v>0.41</v>
      </c>
      <c r="Q47" s="189">
        <v>4.75</v>
      </c>
    </row>
    <row r="48" spans="1:17" customFormat="1">
      <c r="A48" s="6" t="s">
        <v>758</v>
      </c>
      <c r="B48" s="189">
        <v>16.32</v>
      </c>
      <c r="C48" s="189">
        <v>21.88</v>
      </c>
      <c r="D48" s="189">
        <v>25.87</v>
      </c>
      <c r="E48" s="189">
        <v>6.41</v>
      </c>
      <c r="F48" s="189">
        <v>2.67</v>
      </c>
      <c r="G48" s="189">
        <v>17.55</v>
      </c>
      <c r="H48" s="189">
        <v>4.46</v>
      </c>
      <c r="I48" s="189">
        <v>2.8</v>
      </c>
      <c r="J48" s="189">
        <v>0.91</v>
      </c>
      <c r="K48" s="189">
        <v>52.76</v>
      </c>
      <c r="L48" s="189">
        <v>19.93</v>
      </c>
      <c r="M48" s="189">
        <v>89.03</v>
      </c>
      <c r="N48" s="189">
        <v>101.4</v>
      </c>
      <c r="O48" s="189">
        <v>0</v>
      </c>
      <c r="P48" s="189">
        <v>0.43</v>
      </c>
      <c r="Q48" s="189">
        <v>4.7300000000000004</v>
      </c>
    </row>
    <row r="49" spans="1:17" customFormat="1">
      <c r="A49" s="6" t="s">
        <v>759</v>
      </c>
      <c r="B49" s="189">
        <v>16.45</v>
      </c>
      <c r="C49" s="189">
        <v>22.26</v>
      </c>
      <c r="D49" s="189">
        <v>26.17</v>
      </c>
      <c r="E49" s="189">
        <v>6.92</v>
      </c>
      <c r="F49" s="189">
        <v>2.68</v>
      </c>
      <c r="G49" s="189">
        <v>17.55</v>
      </c>
      <c r="H49" s="189">
        <v>4.46</v>
      </c>
      <c r="I49" s="189">
        <v>2.82</v>
      </c>
      <c r="J49" s="189">
        <v>0.84</v>
      </c>
      <c r="K49" s="189">
        <v>53.02</v>
      </c>
      <c r="L49" s="189">
        <v>20.2</v>
      </c>
      <c r="M49" s="189">
        <v>88.39</v>
      </c>
      <c r="N49" s="189">
        <v>78.7</v>
      </c>
      <c r="O49" s="189">
        <v>0</v>
      </c>
      <c r="P49" s="189">
        <v>0.44</v>
      </c>
      <c r="Q49" s="189">
        <v>4.74</v>
      </c>
    </row>
    <row r="50" spans="1:17" customFormat="1">
      <c r="A50" s="6" t="s">
        <v>760</v>
      </c>
      <c r="B50" s="189">
        <v>16.59</v>
      </c>
      <c r="C50" s="189">
        <v>22.58</v>
      </c>
      <c r="D50" s="189">
        <v>26.46</v>
      </c>
      <c r="E50" s="189">
        <v>8.16</v>
      </c>
      <c r="F50" s="189">
        <v>2.64</v>
      </c>
      <c r="G50" s="189">
        <v>19.28</v>
      </c>
      <c r="H50" s="189">
        <v>4.37</v>
      </c>
      <c r="I50" s="189">
        <v>2.86</v>
      </c>
      <c r="J50" s="189">
        <v>0.91</v>
      </c>
      <c r="K50" s="189">
        <v>46.69</v>
      </c>
      <c r="L50" s="189">
        <v>20.190000000000001</v>
      </c>
      <c r="M50" s="189">
        <v>88.52</v>
      </c>
      <c r="N50" s="189">
        <v>70.3</v>
      </c>
      <c r="O50" s="189">
        <v>0</v>
      </c>
      <c r="P50" s="189">
        <v>0.45</v>
      </c>
      <c r="Q50" s="189">
        <v>4.76</v>
      </c>
    </row>
    <row r="51" spans="1:17" customFormat="1">
      <c r="A51" s="6" t="s">
        <v>761</v>
      </c>
      <c r="B51" s="189">
        <v>16.760000000000002</v>
      </c>
      <c r="C51" s="189">
        <v>22.68</v>
      </c>
      <c r="D51" s="189">
        <v>26.64</v>
      </c>
      <c r="E51" s="189">
        <v>7.98</v>
      </c>
      <c r="F51" s="189">
        <v>2.7</v>
      </c>
      <c r="G51" s="189">
        <v>20.14</v>
      </c>
      <c r="H51" s="189">
        <v>4.3600000000000003</v>
      </c>
      <c r="I51" s="189">
        <v>2.88</v>
      </c>
      <c r="J51" s="189">
        <v>0.76</v>
      </c>
      <c r="K51" s="189">
        <v>53.78</v>
      </c>
      <c r="L51" s="189">
        <v>20.190000000000001</v>
      </c>
      <c r="M51" s="189">
        <v>88.31</v>
      </c>
      <c r="N51" s="189">
        <v>54.1</v>
      </c>
      <c r="O51" s="189">
        <v>0</v>
      </c>
      <c r="P51" s="189">
        <v>0.45</v>
      </c>
      <c r="Q51" s="189">
        <v>4.74</v>
      </c>
    </row>
    <row r="52" spans="1:17" customFormat="1">
      <c r="A52" s="6" t="s">
        <v>762</v>
      </c>
      <c r="B52" s="189">
        <v>16.75</v>
      </c>
      <c r="C52" s="189">
        <v>22.88</v>
      </c>
      <c r="D52" s="189">
        <v>26.74</v>
      </c>
      <c r="E52" s="189">
        <v>8.26</v>
      </c>
      <c r="F52" s="189">
        <v>2.68</v>
      </c>
      <c r="G52" s="189">
        <v>20.14</v>
      </c>
      <c r="H52" s="189">
        <v>4.3600000000000003</v>
      </c>
      <c r="I52" s="189">
        <v>2.9</v>
      </c>
      <c r="J52" s="189">
        <v>0.87</v>
      </c>
      <c r="K52" s="189">
        <v>44.53</v>
      </c>
      <c r="L52" s="189">
        <v>20.190000000000001</v>
      </c>
      <c r="M52" s="189">
        <v>88.85</v>
      </c>
      <c r="N52" s="189">
        <v>56.9</v>
      </c>
      <c r="O52" s="189">
        <v>0</v>
      </c>
      <c r="P52" s="189">
        <v>0.45</v>
      </c>
      <c r="Q52" s="189">
        <v>4.76</v>
      </c>
    </row>
    <row r="53" spans="1:17" customFormat="1">
      <c r="A53" s="6" t="s">
        <v>763</v>
      </c>
      <c r="B53" s="189">
        <v>17.03</v>
      </c>
      <c r="C53" s="189">
        <v>23.16</v>
      </c>
      <c r="D53" s="189">
        <v>27.11</v>
      </c>
      <c r="E53" s="189">
        <v>8.48</v>
      </c>
      <c r="F53" s="189">
        <v>2.63</v>
      </c>
      <c r="G53" s="189">
        <v>20.14</v>
      </c>
      <c r="H53" s="189">
        <v>4.3600000000000003</v>
      </c>
      <c r="I53" s="189">
        <v>2.92</v>
      </c>
      <c r="J53" s="189">
        <v>0.94</v>
      </c>
      <c r="K53" s="189">
        <v>45.31</v>
      </c>
      <c r="L53" s="189">
        <v>20.239999999999998</v>
      </c>
      <c r="M53" s="189">
        <v>88.24</v>
      </c>
      <c r="N53" s="189">
        <v>69.400000000000006</v>
      </c>
      <c r="O53" s="189">
        <v>0</v>
      </c>
      <c r="P53" s="189">
        <v>0.46</v>
      </c>
      <c r="Q53" s="189">
        <v>4.78</v>
      </c>
    </row>
    <row r="54" spans="1:17" customFormat="1">
      <c r="A54" s="6" t="s">
        <v>764</v>
      </c>
      <c r="B54" s="189">
        <v>17.25</v>
      </c>
      <c r="C54" s="189">
        <v>23.7</v>
      </c>
      <c r="D54" s="189">
        <v>27.57</v>
      </c>
      <c r="E54" s="189">
        <v>8.08</v>
      </c>
      <c r="F54" s="189">
        <v>2.6</v>
      </c>
      <c r="G54" s="189">
        <v>23.31</v>
      </c>
      <c r="H54" s="189">
        <v>6.59</v>
      </c>
      <c r="I54" s="189">
        <v>2.95</v>
      </c>
      <c r="J54" s="189">
        <v>0.56999999999999995</v>
      </c>
      <c r="K54" s="189">
        <v>49.01</v>
      </c>
      <c r="L54" s="189">
        <v>20.6</v>
      </c>
      <c r="M54" s="189">
        <v>87.01</v>
      </c>
      <c r="N54" s="189">
        <v>68.599999999999994</v>
      </c>
      <c r="O54" s="189">
        <v>0</v>
      </c>
      <c r="P54" s="189">
        <v>0.47</v>
      </c>
      <c r="Q54" s="189">
        <v>4.79</v>
      </c>
    </row>
    <row r="55" spans="1:17" customFormat="1">
      <c r="A55" s="6" t="s">
        <v>765</v>
      </c>
      <c r="B55" s="189">
        <v>17.32</v>
      </c>
      <c r="C55" s="189">
        <v>23.87</v>
      </c>
      <c r="D55" s="189">
        <v>27.71</v>
      </c>
      <c r="E55" s="189">
        <v>7.83</v>
      </c>
      <c r="F55" s="189">
        <v>2.56</v>
      </c>
      <c r="G55" s="189">
        <v>24.9</v>
      </c>
      <c r="H55" s="189">
        <v>6.85</v>
      </c>
      <c r="I55" s="189">
        <v>2.97</v>
      </c>
      <c r="J55" s="189">
        <v>0.7</v>
      </c>
      <c r="K55" s="189">
        <v>56.43</v>
      </c>
      <c r="L55" s="189">
        <v>20.56</v>
      </c>
      <c r="M55" s="189">
        <v>86.42</v>
      </c>
      <c r="N55" s="189">
        <v>32.299999999999997</v>
      </c>
      <c r="O55" s="189">
        <v>0</v>
      </c>
      <c r="P55" s="189">
        <v>0.48</v>
      </c>
      <c r="Q55" s="189">
        <v>4.8099999999999996</v>
      </c>
    </row>
    <row r="56" spans="1:17" customFormat="1">
      <c r="A56" s="6" t="s">
        <v>766</v>
      </c>
      <c r="B56" s="189">
        <v>17.3</v>
      </c>
      <c r="C56" s="189">
        <v>24.22</v>
      </c>
      <c r="D56" s="189">
        <v>27.88</v>
      </c>
      <c r="E56" s="189">
        <v>8.5500000000000007</v>
      </c>
      <c r="F56" s="189">
        <v>2.73</v>
      </c>
      <c r="G56" s="189">
        <v>24.9</v>
      </c>
      <c r="H56" s="189">
        <v>6.85</v>
      </c>
      <c r="I56" s="189">
        <v>3</v>
      </c>
      <c r="J56" s="189">
        <v>0.56000000000000005</v>
      </c>
      <c r="K56" s="189">
        <v>64.84</v>
      </c>
      <c r="L56" s="189">
        <v>20.52</v>
      </c>
      <c r="M56" s="189">
        <v>85.82</v>
      </c>
      <c r="N56" s="189">
        <v>24.9</v>
      </c>
      <c r="O56" s="189">
        <v>0</v>
      </c>
      <c r="P56" s="189">
        <v>0.48</v>
      </c>
      <c r="Q56" s="189">
        <v>4.82</v>
      </c>
    </row>
    <row r="57" spans="1:17" customFormat="1">
      <c r="A57" s="6" t="s">
        <v>767</v>
      </c>
      <c r="B57" s="189">
        <v>17.190000000000001</v>
      </c>
      <c r="C57" s="189">
        <v>24.06</v>
      </c>
      <c r="D57" s="189">
        <v>27.71</v>
      </c>
      <c r="E57" s="189">
        <v>8.3800000000000008</v>
      </c>
      <c r="F57" s="189">
        <v>2.61</v>
      </c>
      <c r="G57" s="189">
        <v>24.9</v>
      </c>
      <c r="H57" s="189">
        <v>6.85</v>
      </c>
      <c r="I57" s="189">
        <v>3.04</v>
      </c>
      <c r="J57" s="189">
        <v>0.41</v>
      </c>
      <c r="K57" s="189">
        <v>74.14</v>
      </c>
      <c r="L57" s="189">
        <v>20.59</v>
      </c>
      <c r="M57" s="189">
        <v>84.68</v>
      </c>
      <c r="N57" s="189">
        <v>32</v>
      </c>
      <c r="O57" s="189">
        <v>0</v>
      </c>
      <c r="P57" s="189">
        <v>0.48</v>
      </c>
      <c r="Q57" s="189">
        <v>4.8</v>
      </c>
    </row>
    <row r="58" spans="1:17" customFormat="1">
      <c r="A58" s="6" t="s">
        <v>768</v>
      </c>
      <c r="B58" s="189">
        <v>16.8</v>
      </c>
      <c r="C58" s="189">
        <v>24.58</v>
      </c>
      <c r="D58" s="189">
        <v>27.66</v>
      </c>
      <c r="E58" s="189">
        <v>8.48</v>
      </c>
      <c r="F58" s="189">
        <v>2.58</v>
      </c>
      <c r="G58" s="189">
        <v>25.99</v>
      </c>
      <c r="H58" s="189">
        <v>7.66</v>
      </c>
      <c r="I58" s="189">
        <v>3.06</v>
      </c>
      <c r="J58" s="189">
        <v>0.63</v>
      </c>
      <c r="K58" s="189">
        <v>58.67</v>
      </c>
      <c r="L58" s="189">
        <v>20.61</v>
      </c>
      <c r="M58" s="189">
        <v>84.14</v>
      </c>
      <c r="N58" s="189">
        <v>28.3</v>
      </c>
      <c r="O58" s="189">
        <v>0</v>
      </c>
      <c r="P58" s="189">
        <v>0.49</v>
      </c>
      <c r="Q58" s="189">
        <v>4.79</v>
      </c>
    </row>
    <row r="59" spans="1:17" customFormat="1">
      <c r="A59" s="6" t="s">
        <v>769</v>
      </c>
      <c r="B59" s="189">
        <v>16.38</v>
      </c>
      <c r="C59" s="189">
        <v>24.54</v>
      </c>
      <c r="D59" s="189">
        <v>27.31</v>
      </c>
      <c r="E59" s="189">
        <v>8.64</v>
      </c>
      <c r="F59" s="189">
        <v>2.84</v>
      </c>
      <c r="G59" s="189">
        <v>26.53</v>
      </c>
      <c r="H59" s="189">
        <v>7.81</v>
      </c>
      <c r="I59" s="189">
        <v>3.04</v>
      </c>
      <c r="J59" s="189">
        <v>0.79</v>
      </c>
      <c r="K59" s="189">
        <v>57.47</v>
      </c>
      <c r="L59" s="189">
        <v>20.5</v>
      </c>
      <c r="M59" s="189">
        <v>84.2</v>
      </c>
      <c r="N59" s="189">
        <v>25.4</v>
      </c>
      <c r="O59" s="189">
        <v>0</v>
      </c>
      <c r="P59" s="189">
        <v>0.48</v>
      </c>
      <c r="Q59" s="189">
        <v>4.79</v>
      </c>
    </row>
    <row r="60" spans="1:17" customFormat="1">
      <c r="A60" s="6" t="s">
        <v>770</v>
      </c>
      <c r="B60" s="189">
        <v>15.95</v>
      </c>
      <c r="C60" s="189">
        <v>24.58</v>
      </c>
      <c r="D60" s="189">
        <v>26.98</v>
      </c>
      <c r="E60" s="189">
        <v>9.01</v>
      </c>
      <c r="F60" s="189">
        <v>2.82</v>
      </c>
      <c r="G60" s="189">
        <v>26.53</v>
      </c>
      <c r="H60" s="189">
        <v>7.81</v>
      </c>
      <c r="I60" s="189">
        <v>3.05</v>
      </c>
      <c r="J60" s="189">
        <v>0.64</v>
      </c>
      <c r="K60" s="189">
        <v>66.040000000000006</v>
      </c>
      <c r="L60" s="189">
        <v>20.420000000000002</v>
      </c>
      <c r="M60" s="189">
        <v>84.25</v>
      </c>
      <c r="N60" s="189">
        <v>21.5</v>
      </c>
      <c r="O60" s="189">
        <v>0</v>
      </c>
      <c r="P60" s="189">
        <v>0.5</v>
      </c>
      <c r="Q60" s="189">
        <v>4.79</v>
      </c>
    </row>
    <row r="61" spans="1:17" customFormat="1">
      <c r="A61" s="6" t="s">
        <v>771</v>
      </c>
      <c r="B61" s="189">
        <v>15.48</v>
      </c>
      <c r="C61" s="189">
        <v>24.5</v>
      </c>
      <c r="D61" s="189">
        <v>26.57</v>
      </c>
      <c r="E61" s="189">
        <v>8.39</v>
      </c>
      <c r="F61" s="189">
        <v>2.71</v>
      </c>
      <c r="G61" s="189">
        <v>26.53</v>
      </c>
      <c r="H61" s="189">
        <v>7.81</v>
      </c>
      <c r="I61" s="189">
        <v>3.07</v>
      </c>
      <c r="J61" s="189">
        <v>0.65</v>
      </c>
      <c r="K61" s="189">
        <v>59.39</v>
      </c>
      <c r="L61" s="189">
        <v>20.41</v>
      </c>
      <c r="M61" s="189">
        <v>85</v>
      </c>
      <c r="N61" s="189">
        <v>29.6</v>
      </c>
      <c r="O61" s="189">
        <v>0</v>
      </c>
      <c r="P61" s="189">
        <v>0.5</v>
      </c>
      <c r="Q61" s="189">
        <v>4.7699999999999996</v>
      </c>
    </row>
    <row r="62" spans="1:17" customFormat="1">
      <c r="A62" s="6" t="s">
        <v>772</v>
      </c>
      <c r="B62" s="189">
        <v>15.19</v>
      </c>
      <c r="C62" s="189">
        <v>25.46</v>
      </c>
      <c r="D62" s="189">
        <v>26.83</v>
      </c>
      <c r="E62" s="189">
        <v>8.82</v>
      </c>
      <c r="F62" s="189">
        <v>2.66</v>
      </c>
      <c r="G62" s="189">
        <v>25.41</v>
      </c>
      <c r="H62" s="189">
        <v>5.79</v>
      </c>
      <c r="I62" s="189">
        <v>3.09</v>
      </c>
      <c r="J62" s="189">
        <v>0.82</v>
      </c>
      <c r="K62" s="189">
        <v>50.62</v>
      </c>
      <c r="L62" s="189">
        <v>20.46</v>
      </c>
      <c r="M62" s="189">
        <v>85.04</v>
      </c>
      <c r="N62" s="189">
        <v>55.9</v>
      </c>
      <c r="O62" s="189">
        <v>0</v>
      </c>
      <c r="P62" s="189">
        <v>0.5</v>
      </c>
      <c r="Q62" s="189">
        <v>4.75</v>
      </c>
    </row>
    <row r="63" spans="1:17" customFormat="1">
      <c r="A63" s="6" t="s">
        <v>773</v>
      </c>
      <c r="B63" s="189">
        <v>15.23</v>
      </c>
      <c r="C63" s="189">
        <v>23.9</v>
      </c>
      <c r="D63" s="189">
        <v>26.05</v>
      </c>
      <c r="E63" s="189">
        <v>8.84</v>
      </c>
      <c r="F63" s="189">
        <v>2.95</v>
      </c>
      <c r="G63" s="189">
        <v>24.85</v>
      </c>
      <c r="H63" s="189">
        <v>5.55</v>
      </c>
      <c r="I63" s="189">
        <v>3.1</v>
      </c>
      <c r="J63" s="189">
        <v>0.77</v>
      </c>
      <c r="K63" s="189">
        <v>60.93</v>
      </c>
      <c r="L63" s="189">
        <v>20.52</v>
      </c>
      <c r="M63" s="189">
        <v>85.41</v>
      </c>
      <c r="N63" s="189">
        <v>62</v>
      </c>
      <c r="O63" s="189">
        <v>0</v>
      </c>
      <c r="P63" s="189">
        <v>0.48</v>
      </c>
      <c r="Q63" s="189">
        <v>4.74</v>
      </c>
    </row>
    <row r="64" spans="1:17" customFormat="1">
      <c r="A64" s="6" t="s">
        <v>774</v>
      </c>
      <c r="B64" s="189">
        <v>15.43</v>
      </c>
      <c r="C64" s="189">
        <v>21.05</v>
      </c>
      <c r="D64" s="189">
        <v>24.72</v>
      </c>
      <c r="E64" s="189">
        <v>8.39</v>
      </c>
      <c r="F64" s="189">
        <v>3.05</v>
      </c>
      <c r="G64" s="189">
        <v>24.85</v>
      </c>
      <c r="H64" s="189">
        <v>5.55</v>
      </c>
      <c r="I64" s="189">
        <v>3.12</v>
      </c>
      <c r="J64" s="189">
        <v>0.76</v>
      </c>
      <c r="K64" s="189">
        <v>62.02</v>
      </c>
      <c r="L64" s="189">
        <v>20.27</v>
      </c>
      <c r="M64" s="189">
        <v>86.78</v>
      </c>
      <c r="N64" s="189">
        <v>30.1</v>
      </c>
      <c r="O64" s="189">
        <v>0</v>
      </c>
      <c r="P64" s="189">
        <v>0.46</v>
      </c>
      <c r="Q64" s="189">
        <v>4.75</v>
      </c>
    </row>
    <row r="65" spans="1:17" customFormat="1">
      <c r="A65" s="6" t="s">
        <v>775</v>
      </c>
      <c r="B65" s="189">
        <v>15.36</v>
      </c>
      <c r="C65" s="189">
        <v>19.34</v>
      </c>
      <c r="D65" s="189">
        <v>23.77</v>
      </c>
      <c r="E65" s="189">
        <v>7.81</v>
      </c>
      <c r="F65" s="189">
        <v>3.1</v>
      </c>
      <c r="G65" s="189">
        <v>24.85</v>
      </c>
      <c r="H65" s="189">
        <v>5.55</v>
      </c>
      <c r="I65" s="189">
        <v>3.14</v>
      </c>
      <c r="J65" s="189">
        <v>0.59</v>
      </c>
      <c r="K65" s="189">
        <v>63.85</v>
      </c>
      <c r="L65" s="189">
        <v>20.07</v>
      </c>
      <c r="M65" s="189">
        <v>88.01</v>
      </c>
      <c r="N65" s="189">
        <v>24.8</v>
      </c>
      <c r="O65" s="189">
        <v>0</v>
      </c>
      <c r="P65" s="189">
        <v>0.43</v>
      </c>
      <c r="Q65" s="189">
        <v>4.74</v>
      </c>
    </row>
    <row r="66" spans="1:17" customFormat="1">
      <c r="A66" s="6" t="s">
        <v>776</v>
      </c>
      <c r="B66" s="189">
        <v>15.21</v>
      </c>
      <c r="C66" s="189">
        <v>19.25</v>
      </c>
      <c r="D66" s="189">
        <v>23.61</v>
      </c>
      <c r="E66" s="189">
        <v>8.1300000000000008</v>
      </c>
      <c r="F66" s="189">
        <v>2.8</v>
      </c>
      <c r="G66" s="189">
        <v>23.45</v>
      </c>
      <c r="H66" s="189">
        <v>6.77</v>
      </c>
      <c r="I66" s="189">
        <v>3.15</v>
      </c>
      <c r="J66" s="189">
        <v>0.71</v>
      </c>
      <c r="K66" s="189">
        <v>60.97</v>
      </c>
      <c r="L66" s="189">
        <v>19.89</v>
      </c>
      <c r="M66" s="189">
        <v>89.35</v>
      </c>
      <c r="N66" s="189">
        <v>37</v>
      </c>
      <c r="O66" s="189">
        <v>0</v>
      </c>
      <c r="P66" s="189">
        <v>0.45</v>
      </c>
      <c r="Q66" s="189">
        <v>4.7</v>
      </c>
    </row>
    <row r="67" spans="1:17" customFormat="1">
      <c r="A67" s="6" t="s">
        <v>777</v>
      </c>
      <c r="B67" s="189">
        <v>15.09</v>
      </c>
      <c r="C67" s="189">
        <v>19.899999999999999</v>
      </c>
      <c r="D67" s="189">
        <v>23.84</v>
      </c>
      <c r="E67" s="189">
        <v>8.15</v>
      </c>
      <c r="F67" s="189">
        <v>2.6</v>
      </c>
      <c r="G67" s="189">
        <v>22.75</v>
      </c>
      <c r="H67" s="189">
        <v>6.92</v>
      </c>
      <c r="I67" s="189">
        <v>3.16</v>
      </c>
      <c r="J67" s="189">
        <v>0.73</v>
      </c>
      <c r="K67" s="189">
        <v>60.42</v>
      </c>
      <c r="L67" s="189">
        <v>19.79</v>
      </c>
      <c r="M67" s="189">
        <v>91.22</v>
      </c>
      <c r="N67" s="189">
        <v>45.3</v>
      </c>
      <c r="O67" s="189">
        <v>0</v>
      </c>
      <c r="P67" s="189">
        <v>0.45</v>
      </c>
      <c r="Q67" s="189">
        <v>4.67</v>
      </c>
    </row>
    <row r="68" spans="1:17" customFormat="1">
      <c r="A68" s="6" t="s">
        <v>778</v>
      </c>
      <c r="B68" s="189">
        <v>15.02</v>
      </c>
      <c r="C68" s="189">
        <v>20.65</v>
      </c>
      <c r="D68" s="189">
        <v>24.19</v>
      </c>
      <c r="E68" s="189">
        <v>7.77</v>
      </c>
      <c r="F68" s="189">
        <v>2.5499999999999998</v>
      </c>
      <c r="G68" s="189">
        <v>22.75</v>
      </c>
      <c r="H68" s="189">
        <v>6.92</v>
      </c>
      <c r="I68" s="189">
        <v>3.16</v>
      </c>
      <c r="J68" s="189">
        <v>0.66</v>
      </c>
      <c r="K68" s="189">
        <v>64.06</v>
      </c>
      <c r="L68" s="189">
        <v>19.68</v>
      </c>
      <c r="M68" s="189">
        <v>92.65</v>
      </c>
      <c r="N68" s="189">
        <v>35.700000000000003</v>
      </c>
      <c r="O68" s="189">
        <v>0</v>
      </c>
      <c r="P68" s="189">
        <v>0.47</v>
      </c>
      <c r="Q68" s="189">
        <v>4.66</v>
      </c>
    </row>
    <row r="69" spans="1:17" customFormat="1">
      <c r="A69" s="6" t="s">
        <v>779</v>
      </c>
      <c r="B69" s="189">
        <v>15.03</v>
      </c>
      <c r="C69" s="189">
        <v>20.97</v>
      </c>
      <c r="D69" s="189">
        <v>24.36</v>
      </c>
      <c r="E69" s="189">
        <v>7.95</v>
      </c>
      <c r="F69" s="189">
        <v>2.63</v>
      </c>
      <c r="G69" s="189">
        <v>22.75</v>
      </c>
      <c r="H69" s="189">
        <v>6.92</v>
      </c>
      <c r="I69" s="189">
        <v>3.16</v>
      </c>
      <c r="J69" s="189">
        <v>0.72</v>
      </c>
      <c r="K69" s="189">
        <v>58.95</v>
      </c>
      <c r="L69" s="189">
        <v>19.739999999999998</v>
      </c>
      <c r="M69" s="189">
        <v>92.84</v>
      </c>
      <c r="N69" s="189">
        <v>29.3</v>
      </c>
      <c r="O69" s="189">
        <v>0</v>
      </c>
      <c r="P69" s="189">
        <v>0.47</v>
      </c>
      <c r="Q69" s="189">
        <v>4.68</v>
      </c>
    </row>
    <row r="70" spans="1:17" customFormat="1">
      <c r="A70" s="6" t="s">
        <v>780</v>
      </c>
      <c r="B70" s="189">
        <v>15.14</v>
      </c>
      <c r="C70" s="189">
        <v>20.9</v>
      </c>
      <c r="D70" s="189">
        <v>24.41</v>
      </c>
      <c r="E70" s="189">
        <v>7.61</v>
      </c>
      <c r="F70" s="189">
        <v>2.72</v>
      </c>
      <c r="G70" s="189">
        <v>22.89</v>
      </c>
      <c r="H70" s="189">
        <v>5.79</v>
      </c>
      <c r="I70" s="189">
        <v>3.16</v>
      </c>
      <c r="J70" s="189">
        <v>0.66</v>
      </c>
      <c r="K70" s="189">
        <v>65.39</v>
      </c>
      <c r="L70" s="189">
        <v>19.7</v>
      </c>
      <c r="M70" s="189">
        <v>92.36</v>
      </c>
      <c r="N70" s="189">
        <v>12.6</v>
      </c>
      <c r="O70" s="189">
        <v>0</v>
      </c>
      <c r="P70" s="189">
        <v>0.47</v>
      </c>
      <c r="Q70" s="189">
        <v>4.6500000000000004</v>
      </c>
    </row>
    <row r="71" spans="1:17" customFormat="1">
      <c r="A71" s="6" t="s">
        <v>781</v>
      </c>
      <c r="B71" s="189">
        <v>15.13</v>
      </c>
      <c r="C71" s="189">
        <v>20.73</v>
      </c>
      <c r="D71" s="189">
        <v>24.32</v>
      </c>
      <c r="E71" s="189">
        <v>8.26</v>
      </c>
      <c r="F71" s="189">
        <v>2.76</v>
      </c>
      <c r="G71" s="189">
        <v>22.96</v>
      </c>
      <c r="H71" s="189">
        <v>5.66</v>
      </c>
      <c r="I71" s="189">
        <v>3.17</v>
      </c>
      <c r="J71" s="189">
        <v>0.65</v>
      </c>
      <c r="K71" s="189">
        <v>62.68</v>
      </c>
      <c r="L71" s="189">
        <v>19.690000000000001</v>
      </c>
      <c r="M71" s="189">
        <v>92.24</v>
      </c>
      <c r="N71" s="189">
        <v>15.9</v>
      </c>
      <c r="O71" s="189">
        <v>0</v>
      </c>
      <c r="P71" s="189">
        <v>0.47</v>
      </c>
      <c r="Q71" s="189">
        <v>4.67</v>
      </c>
    </row>
    <row r="72" spans="1:17" customFormat="1">
      <c r="A72" s="6" t="s">
        <v>782</v>
      </c>
      <c r="B72" s="189">
        <v>15.04</v>
      </c>
      <c r="C72" s="189">
        <v>19.93</v>
      </c>
      <c r="D72" s="189">
        <v>23.82</v>
      </c>
      <c r="E72" s="189">
        <v>7.97</v>
      </c>
      <c r="F72" s="189">
        <v>2.87</v>
      </c>
      <c r="G72" s="189">
        <v>22.96</v>
      </c>
      <c r="H72" s="189">
        <v>5.66</v>
      </c>
      <c r="I72" s="189">
        <v>3.18</v>
      </c>
      <c r="J72" s="189">
        <v>0.65</v>
      </c>
      <c r="K72" s="189">
        <v>66.36</v>
      </c>
      <c r="L72" s="189">
        <v>19.78</v>
      </c>
      <c r="M72" s="189">
        <v>91.8</v>
      </c>
      <c r="N72" s="189">
        <v>7.9</v>
      </c>
      <c r="O72" s="189">
        <v>0</v>
      </c>
      <c r="P72" s="189">
        <v>0.46</v>
      </c>
      <c r="Q72" s="189">
        <v>4.67</v>
      </c>
    </row>
    <row r="73" spans="1:17" customFormat="1">
      <c r="A73" s="6" t="s">
        <v>783</v>
      </c>
      <c r="B73" s="189">
        <v>15.07</v>
      </c>
      <c r="C73" s="189">
        <v>18.940000000000001</v>
      </c>
      <c r="D73" s="189">
        <v>23.33</v>
      </c>
      <c r="E73" s="189">
        <v>7.59</v>
      </c>
      <c r="F73" s="189">
        <v>2.89</v>
      </c>
      <c r="G73" s="189">
        <v>22.96</v>
      </c>
      <c r="H73" s="189">
        <v>5.66</v>
      </c>
      <c r="I73" s="189">
        <v>3.2</v>
      </c>
      <c r="J73" s="189">
        <v>0.82</v>
      </c>
      <c r="K73" s="189">
        <v>53.32</v>
      </c>
      <c r="L73" s="189">
        <v>19.71</v>
      </c>
      <c r="M73" s="189">
        <v>91.18</v>
      </c>
      <c r="N73" s="189">
        <v>3.3</v>
      </c>
      <c r="O73" s="189">
        <v>0</v>
      </c>
      <c r="P73" s="189">
        <v>0.45</v>
      </c>
      <c r="Q73" s="189">
        <v>4.68</v>
      </c>
    </row>
    <row r="74" spans="1:17" customFormat="1">
      <c r="A74" s="6" t="s">
        <v>784</v>
      </c>
      <c r="B74" s="189">
        <v>14.97</v>
      </c>
      <c r="C74" s="189">
        <v>19.489999999999998</v>
      </c>
      <c r="D74" s="189">
        <v>23.54</v>
      </c>
      <c r="E74" s="189">
        <v>7.73</v>
      </c>
      <c r="F74" s="189">
        <v>2.76</v>
      </c>
      <c r="G74" s="189">
        <v>22.35</v>
      </c>
      <c r="H74" s="189">
        <v>7.11</v>
      </c>
      <c r="I74" s="189">
        <v>3.19</v>
      </c>
      <c r="J74" s="189">
        <v>0.69</v>
      </c>
      <c r="K74" s="189">
        <v>54.83</v>
      </c>
      <c r="L74" s="189">
        <v>19.7</v>
      </c>
      <c r="M74" s="189">
        <v>91.04</v>
      </c>
      <c r="N74" s="189">
        <v>5.9</v>
      </c>
      <c r="O74" s="189">
        <v>0</v>
      </c>
      <c r="P74" s="189">
        <v>0.45</v>
      </c>
      <c r="Q74" s="189">
        <v>4.68</v>
      </c>
    </row>
    <row r="75" spans="1:17" customFormat="1">
      <c r="A75" s="6" t="s">
        <v>785</v>
      </c>
      <c r="B75" s="189">
        <v>14.82</v>
      </c>
      <c r="C75" s="189">
        <v>20.6</v>
      </c>
      <c r="D75" s="189">
        <v>24</v>
      </c>
      <c r="E75" s="189">
        <v>8</v>
      </c>
      <c r="F75" s="189">
        <v>2.62</v>
      </c>
      <c r="G75" s="189">
        <v>22.04</v>
      </c>
      <c r="H75" s="189">
        <v>7.36</v>
      </c>
      <c r="I75" s="189">
        <v>3.21</v>
      </c>
      <c r="J75" s="189">
        <v>0.85</v>
      </c>
      <c r="K75" s="189">
        <v>50.76</v>
      </c>
      <c r="L75" s="189">
        <v>19.690000000000001</v>
      </c>
      <c r="M75" s="189">
        <v>91.03</v>
      </c>
      <c r="N75" s="189">
        <v>0</v>
      </c>
      <c r="O75" s="189">
        <v>0</v>
      </c>
      <c r="P75" s="189">
        <v>0.46</v>
      </c>
      <c r="Q75" s="189">
        <v>4.67</v>
      </c>
    </row>
    <row r="76" spans="1:17" customFormat="1">
      <c r="A76" s="6" t="s">
        <v>786</v>
      </c>
      <c r="B76" s="189">
        <v>15.08</v>
      </c>
      <c r="C76" s="189">
        <v>19.97</v>
      </c>
      <c r="D76" s="189">
        <v>23.87</v>
      </c>
      <c r="E76" s="189">
        <v>8.2100000000000009</v>
      </c>
      <c r="F76" s="189">
        <v>2.7</v>
      </c>
      <c r="G76" s="189">
        <v>22.04</v>
      </c>
      <c r="H76" s="189">
        <v>7.36</v>
      </c>
      <c r="I76" s="189">
        <v>3.21</v>
      </c>
      <c r="J76" s="189">
        <v>0.72</v>
      </c>
      <c r="K76" s="189">
        <v>49.88</v>
      </c>
      <c r="L76" s="189">
        <v>19.38</v>
      </c>
      <c r="M76" s="189">
        <v>94.33</v>
      </c>
      <c r="N76" s="189">
        <v>0</v>
      </c>
      <c r="O76" s="189">
        <v>0</v>
      </c>
      <c r="P76" s="189">
        <v>0.46</v>
      </c>
      <c r="Q76" s="189">
        <v>4.6900000000000004</v>
      </c>
    </row>
    <row r="77" spans="1:17" customFormat="1">
      <c r="A77" s="6" t="s">
        <v>787</v>
      </c>
      <c r="B77" s="189">
        <v>15.56</v>
      </c>
      <c r="C77" s="189">
        <v>20.34</v>
      </c>
      <c r="D77" s="189">
        <v>24.45</v>
      </c>
      <c r="E77" s="189">
        <v>7.94</v>
      </c>
      <c r="F77" s="189">
        <v>2.63</v>
      </c>
      <c r="G77" s="189">
        <v>22.04</v>
      </c>
      <c r="H77" s="189">
        <v>7.36</v>
      </c>
      <c r="I77" s="189">
        <v>3.2</v>
      </c>
      <c r="J77" s="189">
        <v>0.71</v>
      </c>
      <c r="K77" s="189">
        <v>53.94</v>
      </c>
      <c r="L77" s="189">
        <v>19.239999999999998</v>
      </c>
      <c r="M77" s="189">
        <v>95.72</v>
      </c>
      <c r="N77" s="189">
        <v>0</v>
      </c>
      <c r="O77" s="189">
        <v>0</v>
      </c>
      <c r="P77" s="189">
        <v>0.46</v>
      </c>
      <c r="Q77" s="189">
        <v>4.7</v>
      </c>
    </row>
    <row r="78" spans="1:17" customFormat="1">
      <c r="A78" s="6" t="s">
        <v>788</v>
      </c>
      <c r="B78" s="189">
        <v>15.8</v>
      </c>
      <c r="C78" s="189">
        <v>20.37</v>
      </c>
      <c r="D78" s="189">
        <v>24.67</v>
      </c>
      <c r="E78" s="189">
        <v>7.58</v>
      </c>
      <c r="F78" s="189">
        <v>2.63</v>
      </c>
      <c r="G78" s="189">
        <v>21.05</v>
      </c>
      <c r="H78" s="189">
        <v>7.46</v>
      </c>
      <c r="I78" s="189">
        <v>3.23</v>
      </c>
      <c r="J78" s="189">
        <v>0.75</v>
      </c>
      <c r="K78" s="189">
        <v>52.63</v>
      </c>
      <c r="L78" s="189">
        <v>19.239999999999998</v>
      </c>
      <c r="M78" s="189">
        <v>95.4</v>
      </c>
      <c r="N78" s="189">
        <v>0</v>
      </c>
      <c r="O78" s="189">
        <v>0</v>
      </c>
      <c r="P78" s="189">
        <v>0.46</v>
      </c>
      <c r="Q78" s="189">
        <v>4.7</v>
      </c>
    </row>
    <row r="79" spans="1:17" customFormat="1">
      <c r="A79" s="6" t="s">
        <v>789</v>
      </c>
      <c r="B79" s="189">
        <v>16.23</v>
      </c>
      <c r="C79" s="189">
        <v>20.399999999999999</v>
      </c>
      <c r="D79" s="189">
        <v>25.02</v>
      </c>
      <c r="E79" s="189">
        <v>7.75</v>
      </c>
      <c r="F79" s="189">
        <v>2.66</v>
      </c>
      <c r="G79" s="189">
        <v>20.56</v>
      </c>
      <c r="H79" s="189">
        <v>7.48</v>
      </c>
      <c r="I79" s="189">
        <v>3.24</v>
      </c>
      <c r="J79" s="189">
        <v>0.74</v>
      </c>
      <c r="K79" s="189">
        <v>50.9</v>
      </c>
      <c r="L79" s="189">
        <v>19.3</v>
      </c>
      <c r="M79" s="189">
        <v>95.11</v>
      </c>
      <c r="N79" s="189">
        <v>0</v>
      </c>
      <c r="O79" s="189">
        <v>0</v>
      </c>
      <c r="P79" s="189">
        <v>0.47</v>
      </c>
      <c r="Q79" s="189">
        <v>4.6900000000000004</v>
      </c>
    </row>
    <row r="80" spans="1:17" customFormat="1">
      <c r="A80" s="6" t="s">
        <v>790</v>
      </c>
      <c r="B80" s="189">
        <v>16.690000000000001</v>
      </c>
      <c r="C80" s="189">
        <v>21.07</v>
      </c>
      <c r="D80" s="189">
        <v>25.74</v>
      </c>
      <c r="E80" s="189">
        <v>7.53</v>
      </c>
      <c r="F80" s="189">
        <v>2.57</v>
      </c>
      <c r="G80" s="189">
        <v>20.56</v>
      </c>
      <c r="H80" s="189">
        <v>7.48</v>
      </c>
      <c r="I80" s="189">
        <v>3.29</v>
      </c>
      <c r="J80" s="189">
        <v>0.76</v>
      </c>
      <c r="K80" s="189">
        <v>58.35</v>
      </c>
      <c r="L80" s="189">
        <v>19.22</v>
      </c>
      <c r="M80" s="189">
        <v>95.62</v>
      </c>
      <c r="N80" s="189">
        <v>0</v>
      </c>
      <c r="O80" s="189">
        <v>0</v>
      </c>
      <c r="P80" s="189">
        <v>0.47</v>
      </c>
      <c r="Q80" s="189">
        <v>4.7300000000000004</v>
      </c>
    </row>
    <row r="81" spans="1:17" customFormat="1">
      <c r="A81" s="6" t="s">
        <v>791</v>
      </c>
      <c r="B81" s="189">
        <v>17.079999999999998</v>
      </c>
      <c r="C81" s="189">
        <v>20.260000000000002</v>
      </c>
      <c r="D81" s="189">
        <v>25.64</v>
      </c>
      <c r="E81" s="189">
        <v>7.15</v>
      </c>
      <c r="F81" s="189">
        <v>2.79</v>
      </c>
      <c r="G81" s="189">
        <v>20.56</v>
      </c>
      <c r="H81" s="189">
        <v>7.48</v>
      </c>
      <c r="I81" s="189">
        <v>3.33</v>
      </c>
      <c r="J81" s="189">
        <v>0.72</v>
      </c>
      <c r="K81" s="189">
        <v>59.75</v>
      </c>
      <c r="L81" s="189">
        <v>19.03</v>
      </c>
      <c r="M81" s="189">
        <v>96.97</v>
      </c>
      <c r="N81" s="189">
        <v>0</v>
      </c>
      <c r="O81" s="189">
        <v>0.2</v>
      </c>
      <c r="P81" s="189">
        <v>0.48</v>
      </c>
      <c r="Q81" s="189">
        <v>4.7300000000000004</v>
      </c>
    </row>
    <row r="82" spans="1:17" customFormat="1">
      <c r="A82" s="6" t="s">
        <v>792</v>
      </c>
      <c r="B82" s="189">
        <v>16.91</v>
      </c>
      <c r="C82" s="189">
        <v>20.04</v>
      </c>
      <c r="D82" s="189">
        <v>25.38</v>
      </c>
      <c r="E82" s="189">
        <v>7.39</v>
      </c>
      <c r="F82" s="189">
        <v>2.83</v>
      </c>
      <c r="G82" s="189">
        <v>22.05</v>
      </c>
      <c r="H82" s="189">
        <v>8.64</v>
      </c>
      <c r="I82" s="189">
        <v>3.36</v>
      </c>
      <c r="J82" s="189">
        <v>0.62</v>
      </c>
      <c r="K82" s="189">
        <v>65.489999999999995</v>
      </c>
      <c r="L82" s="189">
        <v>18.97</v>
      </c>
      <c r="M82" s="189">
        <v>97.74</v>
      </c>
      <c r="N82" s="189">
        <v>0</v>
      </c>
      <c r="O82" s="189">
        <v>0</v>
      </c>
      <c r="P82" s="189">
        <v>0.49</v>
      </c>
      <c r="Q82" s="189">
        <v>4.72</v>
      </c>
    </row>
    <row r="83" spans="1:17" customFormat="1">
      <c r="A83" s="6" t="s">
        <v>793</v>
      </c>
      <c r="B83" s="189">
        <v>16.739999999999998</v>
      </c>
      <c r="C83" s="189">
        <v>20.6</v>
      </c>
      <c r="D83" s="189">
        <v>25.54</v>
      </c>
      <c r="E83" s="189">
        <v>7.27</v>
      </c>
      <c r="F83" s="189">
        <v>2.78</v>
      </c>
      <c r="G83" s="189">
        <v>22.79</v>
      </c>
      <c r="H83" s="189">
        <v>9.09</v>
      </c>
      <c r="I83" s="189">
        <v>3.39</v>
      </c>
      <c r="J83" s="189">
        <v>0.56999999999999995</v>
      </c>
      <c r="K83" s="189">
        <v>62.7</v>
      </c>
      <c r="L83" s="189">
        <v>18.989999999999998</v>
      </c>
      <c r="M83" s="189">
        <v>98.05</v>
      </c>
      <c r="N83" s="189">
        <v>0</v>
      </c>
      <c r="O83" s="189">
        <v>0</v>
      </c>
      <c r="P83" s="189">
        <v>0.51</v>
      </c>
      <c r="Q83" s="189">
        <v>4.72</v>
      </c>
    </row>
    <row r="84" spans="1:17" customFormat="1">
      <c r="A84" s="6" t="s">
        <v>794</v>
      </c>
      <c r="B84" s="189">
        <v>16.62</v>
      </c>
      <c r="C84" s="189">
        <v>20.9</v>
      </c>
      <c r="D84" s="189">
        <v>25.59</v>
      </c>
      <c r="E84" s="189">
        <v>7.63</v>
      </c>
      <c r="F84" s="189">
        <v>2.61</v>
      </c>
      <c r="G84" s="189">
        <v>22.79</v>
      </c>
      <c r="H84" s="189">
        <v>9.09</v>
      </c>
      <c r="I84" s="189">
        <v>3.45</v>
      </c>
      <c r="J84" s="189">
        <v>0.62</v>
      </c>
      <c r="K84" s="189">
        <v>57.23</v>
      </c>
      <c r="L84" s="189">
        <v>19.010000000000002</v>
      </c>
      <c r="M84" s="189">
        <v>98.16</v>
      </c>
      <c r="N84" s="189">
        <v>0</v>
      </c>
      <c r="O84" s="189">
        <v>0</v>
      </c>
      <c r="P84" s="189">
        <v>0.52</v>
      </c>
      <c r="Q84" s="189">
        <v>4.71</v>
      </c>
    </row>
    <row r="85" spans="1:17" customFormat="1">
      <c r="A85" s="6" t="s">
        <v>795</v>
      </c>
      <c r="B85" s="189">
        <v>16.45</v>
      </c>
      <c r="C85" s="189">
        <v>21.23</v>
      </c>
      <c r="D85" s="189">
        <v>25.64</v>
      </c>
      <c r="E85" s="189">
        <v>7.61</v>
      </c>
      <c r="F85" s="189">
        <v>2.5499999999999998</v>
      </c>
      <c r="G85" s="189">
        <v>22.79</v>
      </c>
      <c r="H85" s="189">
        <v>9.09</v>
      </c>
      <c r="I85" s="189">
        <v>3.51</v>
      </c>
      <c r="J85" s="189">
        <v>0.66</v>
      </c>
      <c r="K85" s="189">
        <v>58.89</v>
      </c>
      <c r="L85" s="189">
        <v>19.02</v>
      </c>
      <c r="M85" s="189">
        <v>98.06</v>
      </c>
      <c r="N85" s="189">
        <v>0</v>
      </c>
      <c r="O85" s="189">
        <v>0</v>
      </c>
      <c r="P85" s="189">
        <v>0.53</v>
      </c>
      <c r="Q85" s="189">
        <v>4.71</v>
      </c>
    </row>
    <row r="86" spans="1:17" customFormat="1">
      <c r="A86" s="6" t="s">
        <v>796</v>
      </c>
      <c r="B86" s="189">
        <v>16.2</v>
      </c>
      <c r="C86" s="189">
        <v>21.78</v>
      </c>
      <c r="D86" s="189">
        <v>25.72</v>
      </c>
      <c r="E86" s="189">
        <v>7.78</v>
      </c>
      <c r="F86" s="189">
        <v>2.57</v>
      </c>
      <c r="G86" s="189">
        <v>19.61</v>
      </c>
      <c r="H86" s="189">
        <v>8.2200000000000006</v>
      </c>
      <c r="I86" s="189">
        <v>3.56</v>
      </c>
      <c r="J86" s="189">
        <v>0.8</v>
      </c>
      <c r="K86" s="189">
        <v>51.57</v>
      </c>
      <c r="L86" s="189">
        <v>19.03</v>
      </c>
      <c r="M86" s="189">
        <v>97.8</v>
      </c>
      <c r="N86" s="189">
        <v>0</v>
      </c>
      <c r="O86" s="189">
        <v>0.2</v>
      </c>
      <c r="P86" s="189">
        <v>0.54</v>
      </c>
      <c r="Q86" s="189">
        <v>4.71</v>
      </c>
    </row>
    <row r="87" spans="1:17" customFormat="1">
      <c r="A87" s="6" t="s">
        <v>797</v>
      </c>
      <c r="B87" s="189">
        <v>16.29</v>
      </c>
      <c r="C87" s="189">
        <v>21.84</v>
      </c>
      <c r="D87" s="189">
        <v>25.82</v>
      </c>
      <c r="E87" s="189">
        <v>7.37</v>
      </c>
      <c r="F87" s="189">
        <v>2.57</v>
      </c>
      <c r="G87" s="189">
        <v>18.02</v>
      </c>
      <c r="H87" s="189">
        <v>8.1199999999999992</v>
      </c>
      <c r="I87" s="189">
        <v>3.59</v>
      </c>
      <c r="J87" s="189">
        <v>0.76</v>
      </c>
      <c r="K87" s="189">
        <v>55.87</v>
      </c>
      <c r="L87" s="189">
        <v>18.97</v>
      </c>
      <c r="M87" s="189">
        <v>98.09</v>
      </c>
      <c r="N87" s="189">
        <v>0</v>
      </c>
      <c r="O87" s="189">
        <v>0.2</v>
      </c>
      <c r="P87" s="189">
        <v>0.54</v>
      </c>
      <c r="Q87" s="189">
        <v>4.74</v>
      </c>
    </row>
    <row r="88" spans="1:17" customFormat="1">
      <c r="A88" s="6" t="s">
        <v>798</v>
      </c>
      <c r="B88" s="189">
        <v>16.38</v>
      </c>
      <c r="C88" s="189">
        <v>21.88</v>
      </c>
      <c r="D88" s="189">
        <v>25.92</v>
      </c>
      <c r="E88" s="189">
        <v>7.77</v>
      </c>
      <c r="F88" s="189">
        <v>2.71</v>
      </c>
      <c r="G88" s="189">
        <v>18.02</v>
      </c>
      <c r="H88" s="189">
        <v>8.1199999999999992</v>
      </c>
      <c r="I88" s="189">
        <v>3.62</v>
      </c>
      <c r="J88" s="189">
        <v>0.67</v>
      </c>
      <c r="K88" s="189">
        <v>55.12</v>
      </c>
      <c r="L88" s="189">
        <v>18.97</v>
      </c>
      <c r="M88" s="189">
        <v>98.4</v>
      </c>
      <c r="N88" s="189">
        <v>0</v>
      </c>
      <c r="O88" s="189">
        <v>0</v>
      </c>
      <c r="P88" s="189">
        <v>0.54</v>
      </c>
      <c r="Q88" s="189">
        <v>4.75</v>
      </c>
    </row>
    <row r="89" spans="1:17" customFormat="1">
      <c r="A89" s="6" t="s">
        <v>799</v>
      </c>
      <c r="B89" s="189">
        <v>16.39</v>
      </c>
      <c r="C89" s="189">
        <v>22.26</v>
      </c>
      <c r="D89" s="189">
        <v>26.13</v>
      </c>
      <c r="E89" s="189">
        <v>7.76</v>
      </c>
      <c r="F89" s="189">
        <v>2.74</v>
      </c>
      <c r="G89" s="189">
        <v>18.02</v>
      </c>
      <c r="H89" s="189">
        <v>8.1199999999999992</v>
      </c>
      <c r="I89" s="189">
        <v>3.63</v>
      </c>
      <c r="J89" s="189">
        <v>0.71</v>
      </c>
      <c r="K89" s="189">
        <v>60.92</v>
      </c>
      <c r="L89" s="189">
        <v>18.98</v>
      </c>
      <c r="M89" s="189">
        <v>98.53</v>
      </c>
      <c r="N89" s="189">
        <v>0</v>
      </c>
      <c r="O89" s="189">
        <v>0</v>
      </c>
      <c r="P89" s="189">
        <v>0.55000000000000004</v>
      </c>
      <c r="Q89" s="189">
        <v>4.75</v>
      </c>
    </row>
    <row r="90" spans="1:17" customFormat="1">
      <c r="A90" s="6" t="s">
        <v>800</v>
      </c>
      <c r="B90" s="189">
        <v>16.36</v>
      </c>
      <c r="C90" s="189">
        <v>22.37</v>
      </c>
      <c r="D90" s="189">
        <v>26.16</v>
      </c>
      <c r="E90" s="189">
        <v>8.0399999999999991</v>
      </c>
      <c r="F90" s="189">
        <v>2.71</v>
      </c>
      <c r="G90" s="189">
        <v>17.87</v>
      </c>
      <c r="H90" s="189">
        <v>8.06</v>
      </c>
      <c r="I90" s="189">
        <v>3.64</v>
      </c>
      <c r="J90" s="189">
        <v>0.54</v>
      </c>
      <c r="K90" s="189">
        <v>61.7</v>
      </c>
      <c r="L90" s="189">
        <v>19.03</v>
      </c>
      <c r="M90" s="189">
        <v>98.57</v>
      </c>
      <c r="N90" s="189">
        <v>0</v>
      </c>
      <c r="O90" s="189">
        <v>0.2</v>
      </c>
      <c r="P90" s="189">
        <v>0.55000000000000004</v>
      </c>
      <c r="Q90" s="189">
        <v>4.75</v>
      </c>
    </row>
    <row r="91" spans="1:17" customFormat="1">
      <c r="A91" s="6" t="s">
        <v>801</v>
      </c>
      <c r="B91" s="189">
        <v>16.399999999999999</v>
      </c>
      <c r="C91" s="189">
        <v>22.43</v>
      </c>
      <c r="D91" s="189">
        <v>26.22</v>
      </c>
      <c r="E91" s="189">
        <v>8.24</v>
      </c>
      <c r="F91" s="189">
        <v>2.77</v>
      </c>
      <c r="G91" s="189">
        <v>17.8</v>
      </c>
      <c r="H91" s="189">
        <v>8.0399999999999991</v>
      </c>
      <c r="I91" s="189">
        <v>3.64</v>
      </c>
      <c r="J91" s="189">
        <v>0.55000000000000004</v>
      </c>
      <c r="K91" s="189">
        <v>55.45</v>
      </c>
      <c r="L91" s="189">
        <v>19.010000000000002</v>
      </c>
      <c r="M91" s="189">
        <v>98.67</v>
      </c>
      <c r="N91" s="189">
        <v>0</v>
      </c>
      <c r="O91" s="189">
        <v>0</v>
      </c>
      <c r="P91" s="189">
        <v>0.55000000000000004</v>
      </c>
      <c r="Q91" s="189">
        <v>4.76</v>
      </c>
    </row>
    <row r="92" spans="1:17" customFormat="1">
      <c r="A92" s="6" t="s">
        <v>802</v>
      </c>
      <c r="B92" s="189">
        <v>16.399999999999999</v>
      </c>
      <c r="C92" s="189">
        <v>22.64</v>
      </c>
      <c r="D92" s="189">
        <v>26.33</v>
      </c>
      <c r="E92" s="189">
        <v>7.87</v>
      </c>
      <c r="F92" s="189">
        <v>2.69</v>
      </c>
      <c r="G92" s="189">
        <v>17.8</v>
      </c>
      <c r="H92" s="189">
        <v>8.0399999999999991</v>
      </c>
      <c r="I92" s="189">
        <v>3.63</v>
      </c>
      <c r="J92" s="189">
        <v>0.75</v>
      </c>
      <c r="K92" s="189">
        <v>60.04</v>
      </c>
      <c r="L92" s="189">
        <v>19.02</v>
      </c>
      <c r="M92" s="189">
        <v>98.71</v>
      </c>
      <c r="N92" s="189">
        <v>0</v>
      </c>
      <c r="O92" s="189">
        <v>0</v>
      </c>
      <c r="P92" s="189">
        <v>0.55000000000000004</v>
      </c>
      <c r="Q92" s="189">
        <v>4.7699999999999996</v>
      </c>
    </row>
    <row r="93" spans="1:17" customFormat="1">
      <c r="A93" s="6" t="s">
        <v>803</v>
      </c>
      <c r="B93" s="189">
        <v>16.21</v>
      </c>
      <c r="C93" s="189">
        <v>22.73</v>
      </c>
      <c r="D93" s="189">
        <v>26.23</v>
      </c>
      <c r="E93" s="189">
        <v>7.87</v>
      </c>
      <c r="F93" s="189">
        <v>2.64</v>
      </c>
      <c r="G93" s="189">
        <v>17.8</v>
      </c>
      <c r="H93" s="189">
        <v>8.0399999999999991</v>
      </c>
      <c r="I93" s="189">
        <v>3.64</v>
      </c>
      <c r="J93" s="189">
        <v>0.65</v>
      </c>
      <c r="K93" s="189">
        <v>61.15</v>
      </c>
      <c r="L93" s="189">
        <v>18.989999999999998</v>
      </c>
      <c r="M93" s="189">
        <v>98.85</v>
      </c>
      <c r="N93" s="189">
        <v>0</v>
      </c>
      <c r="O93" s="189">
        <v>0.4</v>
      </c>
      <c r="P93" s="189">
        <v>0.55000000000000004</v>
      </c>
      <c r="Q93" s="189">
        <v>4.75</v>
      </c>
    </row>
    <row r="94" spans="1:17" customFormat="1">
      <c r="A94" s="6" t="s">
        <v>804</v>
      </c>
      <c r="B94" s="189">
        <v>16.11</v>
      </c>
      <c r="C94" s="189">
        <v>23.09</v>
      </c>
      <c r="D94" s="189">
        <v>26.33</v>
      </c>
      <c r="E94" s="189">
        <v>8.39</v>
      </c>
      <c r="F94" s="189">
        <v>2.56</v>
      </c>
      <c r="G94" s="189">
        <v>17.47</v>
      </c>
      <c r="H94" s="189">
        <v>7.48</v>
      </c>
      <c r="I94" s="189">
        <v>3.66</v>
      </c>
      <c r="J94" s="189">
        <v>0.7</v>
      </c>
      <c r="K94" s="189">
        <v>59.34</v>
      </c>
      <c r="L94" s="189">
        <v>18.920000000000002</v>
      </c>
      <c r="M94" s="189">
        <v>99.19</v>
      </c>
      <c r="N94" s="189">
        <v>0</v>
      </c>
      <c r="O94" s="189">
        <v>0.2</v>
      </c>
      <c r="P94" s="189">
        <v>0.55000000000000004</v>
      </c>
      <c r="Q94" s="189">
        <v>4.75</v>
      </c>
    </row>
    <row r="95" spans="1:17" customFormat="1">
      <c r="A95" s="6" t="s">
        <v>805</v>
      </c>
      <c r="B95" s="189">
        <v>16.12</v>
      </c>
      <c r="C95" s="189">
        <v>23.35</v>
      </c>
      <c r="D95" s="189">
        <v>26.48</v>
      </c>
      <c r="E95" s="189">
        <v>8.17</v>
      </c>
      <c r="F95" s="189">
        <v>2.5299999999999998</v>
      </c>
      <c r="G95" s="189">
        <v>17.309999999999999</v>
      </c>
      <c r="H95" s="189">
        <v>7.42</v>
      </c>
      <c r="I95" s="189">
        <v>3.64</v>
      </c>
      <c r="J95" s="189">
        <v>0.72</v>
      </c>
      <c r="K95" s="189">
        <v>53.53</v>
      </c>
      <c r="L95" s="189">
        <v>18.940000000000001</v>
      </c>
      <c r="M95" s="189">
        <v>99.47</v>
      </c>
      <c r="N95" s="189">
        <v>0</v>
      </c>
      <c r="O95" s="189">
        <v>0</v>
      </c>
      <c r="P95" s="189">
        <v>0.54</v>
      </c>
      <c r="Q95" s="189">
        <v>4.76</v>
      </c>
    </row>
    <row r="96" spans="1:17" customFormat="1">
      <c r="A96" s="6" t="s">
        <v>806</v>
      </c>
      <c r="B96" s="189">
        <v>16.02</v>
      </c>
      <c r="C96" s="189">
        <v>22.93</v>
      </c>
      <c r="D96" s="189">
        <v>26.18</v>
      </c>
      <c r="E96" s="189">
        <v>8.2100000000000009</v>
      </c>
      <c r="F96" s="189">
        <v>2.56</v>
      </c>
      <c r="G96" s="189">
        <v>17.309999999999999</v>
      </c>
      <c r="H96" s="189">
        <v>7.42</v>
      </c>
      <c r="I96" s="189">
        <v>3.66</v>
      </c>
      <c r="J96" s="189">
        <v>0.65</v>
      </c>
      <c r="K96" s="189">
        <v>57.57</v>
      </c>
      <c r="L96" s="189">
        <v>18.97</v>
      </c>
      <c r="M96" s="189">
        <v>99.62</v>
      </c>
      <c r="N96" s="189">
        <v>0</v>
      </c>
      <c r="O96" s="189">
        <v>0</v>
      </c>
      <c r="P96" s="189">
        <v>0.53</v>
      </c>
      <c r="Q96" s="189">
        <v>4.7699999999999996</v>
      </c>
    </row>
    <row r="97" spans="1:22" customFormat="1">
      <c r="A97" s="6" t="s">
        <v>807</v>
      </c>
      <c r="B97" s="189">
        <v>15.81</v>
      </c>
      <c r="C97" s="189">
        <v>23.09</v>
      </c>
      <c r="D97" s="189">
        <v>26.1</v>
      </c>
      <c r="E97" s="189">
        <v>8.5399999999999991</v>
      </c>
      <c r="F97" s="189">
        <v>2.57</v>
      </c>
      <c r="G97" s="189">
        <v>17.309999999999999</v>
      </c>
      <c r="H97" s="189">
        <v>7.42</v>
      </c>
      <c r="I97" s="189">
        <v>3.65</v>
      </c>
      <c r="J97" s="189">
        <v>0.77</v>
      </c>
      <c r="K97" s="189">
        <v>56.82</v>
      </c>
      <c r="L97" s="189">
        <v>18.920000000000002</v>
      </c>
      <c r="M97" s="189">
        <v>99.77</v>
      </c>
      <c r="N97" s="189">
        <v>0</v>
      </c>
      <c r="O97" s="189">
        <v>0.4</v>
      </c>
      <c r="P97" s="189">
        <v>0.53</v>
      </c>
      <c r="Q97" s="189">
        <v>4.7699999999999996</v>
      </c>
    </row>
    <row r="98" spans="1:22" customFormat="1">
      <c r="A98" s="6" t="s">
        <v>808</v>
      </c>
      <c r="B98" s="189">
        <v>15.58</v>
      </c>
      <c r="C98" s="189">
        <v>23.12</v>
      </c>
      <c r="D98" s="189">
        <v>25.93</v>
      </c>
      <c r="E98" s="189">
        <v>8.6300000000000008</v>
      </c>
      <c r="F98" s="189">
        <v>2.57</v>
      </c>
      <c r="G98" s="189">
        <v>15.54</v>
      </c>
      <c r="H98" s="189">
        <v>6.82</v>
      </c>
      <c r="I98" s="189">
        <v>3.63</v>
      </c>
      <c r="J98" s="189">
        <v>0.76</v>
      </c>
      <c r="K98" s="189">
        <v>54.97</v>
      </c>
      <c r="L98" s="189">
        <v>18.89</v>
      </c>
      <c r="M98" s="189">
        <v>99.93</v>
      </c>
      <c r="N98" s="189">
        <v>0</v>
      </c>
      <c r="O98" s="189">
        <v>0.2</v>
      </c>
      <c r="P98" s="189">
        <v>0.52</v>
      </c>
      <c r="Q98" s="189">
        <v>4.75</v>
      </c>
    </row>
    <row r="99" spans="1:22" customFormat="1">
      <c r="A99" s="6" t="s">
        <v>809</v>
      </c>
      <c r="B99" s="189">
        <v>15.23</v>
      </c>
      <c r="C99" s="189">
        <v>23.14</v>
      </c>
      <c r="D99" s="189">
        <v>25.65</v>
      </c>
      <c r="E99" s="189">
        <v>8.24</v>
      </c>
      <c r="F99" s="189">
        <v>2.57</v>
      </c>
      <c r="G99" s="189">
        <v>14.66</v>
      </c>
      <c r="H99" s="189">
        <v>6.62</v>
      </c>
      <c r="I99" s="189">
        <v>3.61</v>
      </c>
      <c r="J99" s="189">
        <v>0.88</v>
      </c>
      <c r="K99" s="189">
        <v>54.72</v>
      </c>
      <c r="L99" s="189">
        <v>18.88</v>
      </c>
      <c r="M99" s="189">
        <v>100.42</v>
      </c>
      <c r="N99" s="189">
        <v>0</v>
      </c>
      <c r="O99" s="189">
        <v>0.4</v>
      </c>
      <c r="P99" s="189">
        <v>0.52</v>
      </c>
      <c r="Q99" s="189">
        <v>4.74</v>
      </c>
    </row>
    <row r="100" spans="1:22" customFormat="1">
      <c r="A100" s="6" t="s">
        <v>810</v>
      </c>
      <c r="B100" s="189">
        <v>14.98</v>
      </c>
      <c r="C100" s="189">
        <v>22.92</v>
      </c>
      <c r="D100" s="189">
        <v>25.34</v>
      </c>
      <c r="E100" s="189">
        <v>8.67</v>
      </c>
      <c r="F100" s="189">
        <v>2.56</v>
      </c>
      <c r="G100" s="189">
        <v>14.66</v>
      </c>
      <c r="H100" s="189">
        <v>6.62</v>
      </c>
      <c r="I100" s="189">
        <v>3.59</v>
      </c>
      <c r="J100" s="189">
        <v>0.78</v>
      </c>
      <c r="K100" s="189">
        <v>56.48</v>
      </c>
      <c r="L100" s="189">
        <v>18.82</v>
      </c>
      <c r="M100" s="189">
        <v>100.73</v>
      </c>
      <c r="N100" s="189">
        <v>0</v>
      </c>
      <c r="O100" s="189">
        <v>0.2</v>
      </c>
      <c r="P100" s="189">
        <v>0.52</v>
      </c>
      <c r="Q100" s="189">
        <v>4.7300000000000004</v>
      </c>
    </row>
    <row r="101" spans="1:22" customFormat="1">
      <c r="A101" s="6" t="s">
        <v>811</v>
      </c>
      <c r="B101" s="189">
        <v>14.83</v>
      </c>
      <c r="C101" s="189">
        <v>22.99</v>
      </c>
      <c r="D101" s="189">
        <v>25.25</v>
      </c>
      <c r="E101" s="189">
        <v>8.66</v>
      </c>
      <c r="F101" s="189">
        <v>2.5</v>
      </c>
      <c r="G101" s="189">
        <v>14.66</v>
      </c>
      <c r="H101" s="189">
        <v>6.62</v>
      </c>
      <c r="I101" s="189">
        <v>3.55</v>
      </c>
      <c r="J101" s="189">
        <v>0.71</v>
      </c>
      <c r="K101" s="189">
        <v>55.64</v>
      </c>
      <c r="L101" s="189">
        <v>18.82</v>
      </c>
      <c r="M101" s="189">
        <v>100.49</v>
      </c>
      <c r="N101" s="189">
        <v>0</v>
      </c>
      <c r="O101" s="189">
        <v>0.2</v>
      </c>
      <c r="P101" s="189">
        <v>0.52</v>
      </c>
      <c r="Q101" s="189">
        <v>4.7300000000000004</v>
      </c>
    </row>
    <row r="102" spans="1:22" customFormat="1">
      <c r="A102" s="6" t="s">
        <v>812</v>
      </c>
      <c r="B102" s="189">
        <v>14.62</v>
      </c>
      <c r="C102" s="189">
        <v>24.03</v>
      </c>
      <c r="D102" s="189">
        <v>25.63</v>
      </c>
      <c r="E102" s="189">
        <v>8.18</v>
      </c>
      <c r="F102" s="189">
        <v>2.58</v>
      </c>
      <c r="G102" s="189">
        <v>13.98</v>
      </c>
      <c r="H102" s="189">
        <v>7.04</v>
      </c>
      <c r="I102" s="189">
        <v>3.52</v>
      </c>
      <c r="J102" s="189">
        <v>0.53</v>
      </c>
      <c r="K102" s="189">
        <v>58.15</v>
      </c>
      <c r="L102" s="189">
        <v>18.850000000000001</v>
      </c>
      <c r="M102" s="189">
        <v>100.54</v>
      </c>
      <c r="N102" s="189">
        <v>0</v>
      </c>
      <c r="O102" s="189">
        <v>0</v>
      </c>
      <c r="P102" s="189">
        <v>0.51</v>
      </c>
      <c r="Q102" s="189">
        <v>4.72</v>
      </c>
    </row>
    <row r="103" spans="1:22" customFormat="1">
      <c r="A103" s="6" t="s">
        <v>813</v>
      </c>
      <c r="B103" s="189">
        <v>14.66</v>
      </c>
      <c r="C103" s="189">
        <v>21.16</v>
      </c>
      <c r="D103" s="189">
        <v>24.16</v>
      </c>
      <c r="E103" s="189">
        <v>8.07</v>
      </c>
      <c r="F103" s="189">
        <v>2.98</v>
      </c>
      <c r="G103" s="189">
        <v>13.64</v>
      </c>
      <c r="H103" s="189">
        <v>7.09</v>
      </c>
      <c r="I103" s="189">
        <v>3.52</v>
      </c>
      <c r="J103" s="189">
        <v>0.6</v>
      </c>
      <c r="K103" s="189">
        <v>59.54</v>
      </c>
      <c r="L103" s="189">
        <v>18.86</v>
      </c>
      <c r="M103" s="189">
        <v>100.69</v>
      </c>
      <c r="N103" s="189">
        <v>0</v>
      </c>
      <c r="O103" s="189">
        <v>0.2</v>
      </c>
      <c r="P103" s="189">
        <v>0.49</v>
      </c>
      <c r="Q103" s="189">
        <v>4.7300000000000004</v>
      </c>
    </row>
    <row r="104" spans="1:22" customFormat="1">
      <c r="A104" s="6" t="s">
        <v>814</v>
      </c>
      <c r="B104" s="189">
        <v>14.75</v>
      </c>
      <c r="C104" s="189">
        <v>18.47</v>
      </c>
      <c r="D104" s="189">
        <v>22.83</v>
      </c>
      <c r="E104" s="189">
        <v>8.1</v>
      </c>
      <c r="F104" s="189">
        <v>2.87</v>
      </c>
      <c r="G104" s="189">
        <v>13.64</v>
      </c>
      <c r="H104" s="189">
        <v>7.09</v>
      </c>
      <c r="I104" s="189">
        <v>3.5</v>
      </c>
      <c r="J104" s="189">
        <v>0.69</v>
      </c>
      <c r="K104" s="189">
        <v>60.58</v>
      </c>
      <c r="L104" s="189">
        <v>18.86</v>
      </c>
      <c r="M104" s="189">
        <v>100.75</v>
      </c>
      <c r="N104" s="189">
        <v>0</v>
      </c>
      <c r="O104" s="189">
        <v>0.6</v>
      </c>
      <c r="P104" s="189">
        <v>0.46</v>
      </c>
      <c r="Q104" s="189">
        <v>4.7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14.6</v>
      </c>
      <c r="C106" s="183">
        <f>MIN(C9:C104)</f>
        <v>18.47</v>
      </c>
      <c r="D106" s="183">
        <f t="shared" ref="D106:Q106" si="0">MIN(D9:D104)</f>
        <v>22.83</v>
      </c>
      <c r="E106" s="183">
        <f t="shared" si="0"/>
        <v>5.8</v>
      </c>
      <c r="F106" s="183">
        <f t="shared" si="0"/>
        <v>2.5</v>
      </c>
      <c r="G106" s="183">
        <f t="shared" si="0"/>
        <v>13.64</v>
      </c>
      <c r="H106" s="183">
        <f t="shared" si="0"/>
        <v>3.11</v>
      </c>
      <c r="I106" s="183">
        <f t="shared" si="0"/>
        <v>2.68</v>
      </c>
      <c r="J106" s="183">
        <f t="shared" si="0"/>
        <v>0.41</v>
      </c>
      <c r="K106" s="183">
        <f t="shared" si="0"/>
        <v>35.81</v>
      </c>
      <c r="L106" s="183">
        <f t="shared" si="0"/>
        <v>18.559999999999999</v>
      </c>
      <c r="M106" s="183">
        <f t="shared" si="0"/>
        <v>84.14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17.32</v>
      </c>
      <c r="C107" s="184">
        <f t="shared" ref="C107:Q107" si="1">MAX(C9:C104)</f>
        <v>25.46</v>
      </c>
      <c r="D107" s="184">
        <f t="shared" si="1"/>
        <v>27.88</v>
      </c>
      <c r="E107" s="184">
        <f t="shared" si="1"/>
        <v>9.01</v>
      </c>
      <c r="F107" s="184">
        <f t="shared" si="1"/>
        <v>3.1</v>
      </c>
      <c r="G107" s="184">
        <f t="shared" si="1"/>
        <v>26.53</v>
      </c>
      <c r="H107" s="184">
        <f t="shared" si="1"/>
        <v>9.09</v>
      </c>
      <c r="I107" s="184">
        <f t="shared" si="1"/>
        <v>3.66</v>
      </c>
      <c r="J107" s="184">
        <f t="shared" si="1"/>
        <v>1</v>
      </c>
      <c r="K107" s="184">
        <f t="shared" si="1"/>
        <v>74.14</v>
      </c>
      <c r="L107" s="184">
        <f t="shared" si="1"/>
        <v>20.61</v>
      </c>
      <c r="M107" s="184">
        <f t="shared" si="1"/>
        <v>100.75</v>
      </c>
      <c r="N107" s="184">
        <f t="shared" si="1"/>
        <v>101.4</v>
      </c>
      <c r="O107" s="184">
        <f t="shared" si="1"/>
        <v>0.6</v>
      </c>
      <c r="P107" s="184">
        <f t="shared" si="1"/>
        <v>0.55000000000000004</v>
      </c>
      <c r="Q107" s="184">
        <f t="shared" si="1"/>
        <v>4.82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15.9203125</v>
      </c>
      <c r="C108" s="183">
        <f t="shared" ref="C108:Q108" si="2">AVERAGE(C9:C104)</f>
        <v>21.756874999999997</v>
      </c>
      <c r="D108" s="183">
        <f t="shared" si="2"/>
        <v>25.485312499999992</v>
      </c>
      <c r="E108" s="183">
        <f t="shared" si="2"/>
        <v>7.3690624999999974</v>
      </c>
      <c r="F108" s="183">
        <f t="shared" si="2"/>
        <v>2.6972916666666671</v>
      </c>
      <c r="G108" s="183">
        <f t="shared" si="2"/>
        <v>19.979791666666657</v>
      </c>
      <c r="H108" s="183">
        <f t="shared" si="2"/>
        <v>6.1839583333333366</v>
      </c>
      <c r="I108" s="183">
        <f t="shared" si="2"/>
        <v>3.1036458333333319</v>
      </c>
      <c r="J108" s="183">
        <f t="shared" si="2"/>
        <v>0.73947916666666635</v>
      </c>
      <c r="K108" s="183">
        <f t="shared" si="2"/>
        <v>53.202812499999986</v>
      </c>
      <c r="L108" s="183">
        <f t="shared" si="2"/>
        <v>19.275208333333342</v>
      </c>
      <c r="M108" s="183">
        <f t="shared" si="2"/>
        <v>93.580625000000012</v>
      </c>
      <c r="N108" s="183">
        <f t="shared" si="2"/>
        <v>14.770833333333334</v>
      </c>
      <c r="O108" s="183">
        <f t="shared" si="2"/>
        <v>3.7500000000000012E-2</v>
      </c>
      <c r="P108" s="183">
        <f t="shared" si="2"/>
        <v>0.45072916666666657</v>
      </c>
      <c r="Q108" s="183">
        <f t="shared" si="2"/>
        <v>4.7319791666666671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0.75049520931884117</v>
      </c>
      <c r="C109" s="183">
        <f t="shared" ref="C109:Q109" si="3">STDEV(C9:C104)</f>
        <v>1.6363015501911464</v>
      </c>
      <c r="D109" s="183">
        <f t="shared" si="3"/>
        <v>1.0903036304530813</v>
      </c>
      <c r="E109" s="183">
        <f t="shared" si="3"/>
        <v>0.9264681982499211</v>
      </c>
      <c r="F109" s="183">
        <f t="shared" si="3"/>
        <v>0.12099133650295234</v>
      </c>
      <c r="G109" s="183">
        <f t="shared" si="3"/>
        <v>3.5095916629077029</v>
      </c>
      <c r="H109" s="183">
        <f t="shared" si="3"/>
        <v>1.5931012319020053</v>
      </c>
      <c r="I109" s="183">
        <f t="shared" si="3"/>
        <v>0.31813310617667734</v>
      </c>
      <c r="J109" s="183">
        <f t="shared" si="3"/>
        <v>0.10833058363582221</v>
      </c>
      <c r="K109" s="183">
        <f t="shared" si="3"/>
        <v>7.6184788788599231</v>
      </c>
      <c r="L109" s="183">
        <f t="shared" si="3"/>
        <v>0.63021964285889454</v>
      </c>
      <c r="M109" s="183">
        <f t="shared" si="3"/>
        <v>4.4619471351464126</v>
      </c>
      <c r="N109" s="183">
        <f t="shared" si="3"/>
        <v>23.367475897592389</v>
      </c>
      <c r="O109" s="183">
        <f t="shared" si="3"/>
        <v>0.10587977293038305</v>
      </c>
      <c r="P109" s="183">
        <f t="shared" si="3"/>
        <v>5.9245160436003655E-2</v>
      </c>
      <c r="Q109" s="183">
        <f t="shared" si="3"/>
        <v>3.5440678134971711E-2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07/12/2023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815</v>
      </c>
      <c r="B9" s="189">
        <v>14.29</v>
      </c>
      <c r="C9" s="189">
        <v>19.7</v>
      </c>
      <c r="D9" s="189">
        <v>23.11</v>
      </c>
      <c r="E9" s="189">
        <v>7.68</v>
      </c>
      <c r="F9" s="189">
        <v>2.64</v>
      </c>
      <c r="G9" s="189">
        <v>13.64</v>
      </c>
      <c r="H9" s="189">
        <v>7.09</v>
      </c>
      <c r="I9" s="189">
        <v>3.51</v>
      </c>
      <c r="J9" s="189">
        <v>0.55000000000000004</v>
      </c>
      <c r="K9" s="189">
        <v>58.49</v>
      </c>
      <c r="L9" s="189">
        <v>18.84</v>
      </c>
      <c r="M9" s="189">
        <v>100.71</v>
      </c>
      <c r="N9" s="189">
        <v>0</v>
      </c>
      <c r="O9" s="189">
        <v>0.8</v>
      </c>
      <c r="P9" s="189">
        <v>0.46</v>
      </c>
      <c r="Q9" s="189">
        <v>4.6900000000000004</v>
      </c>
    </row>
    <row r="10" spans="1:21" customFormat="1">
      <c r="A10" s="6" t="s">
        <v>816</v>
      </c>
      <c r="B10" s="189">
        <v>14.23</v>
      </c>
      <c r="C10" s="189">
        <v>19.87</v>
      </c>
      <c r="D10" s="189">
        <v>23.14</v>
      </c>
      <c r="E10" s="189">
        <v>7.84</v>
      </c>
      <c r="F10" s="189">
        <v>2.59</v>
      </c>
      <c r="G10" s="189">
        <v>12.74</v>
      </c>
      <c r="H10" s="189">
        <v>6.87</v>
      </c>
      <c r="I10" s="189">
        <v>3.48</v>
      </c>
      <c r="J10" s="189">
        <v>0.56000000000000005</v>
      </c>
      <c r="K10" s="189">
        <v>57.36</v>
      </c>
      <c r="L10" s="189">
        <v>18.86</v>
      </c>
      <c r="M10" s="189">
        <v>100.68</v>
      </c>
      <c r="N10" s="189">
        <v>0</v>
      </c>
      <c r="O10" s="189">
        <v>0.4</v>
      </c>
      <c r="P10" s="189">
        <v>0.48</v>
      </c>
      <c r="Q10" s="189">
        <v>4.67</v>
      </c>
    </row>
    <row r="11" spans="1:21" customFormat="1">
      <c r="A11" s="6" t="s">
        <v>817</v>
      </c>
      <c r="B11" s="189">
        <v>14.36</v>
      </c>
      <c r="C11" s="189">
        <v>20.62</v>
      </c>
      <c r="D11" s="189">
        <v>23.64</v>
      </c>
      <c r="E11" s="189">
        <v>8.09</v>
      </c>
      <c r="F11" s="189">
        <v>2.4300000000000002</v>
      </c>
      <c r="G11" s="189">
        <v>12.28</v>
      </c>
      <c r="H11" s="189">
        <v>6.83</v>
      </c>
      <c r="I11" s="189">
        <v>3.48</v>
      </c>
      <c r="J11" s="189">
        <v>0.38</v>
      </c>
      <c r="K11" s="189">
        <v>72.44</v>
      </c>
      <c r="L11" s="189">
        <v>18.86</v>
      </c>
      <c r="M11" s="189">
        <v>100.78</v>
      </c>
      <c r="N11" s="189">
        <v>0</v>
      </c>
      <c r="O11" s="189">
        <v>0.8</v>
      </c>
      <c r="P11" s="189">
        <v>0.47</v>
      </c>
      <c r="Q11" s="189">
        <v>4.66</v>
      </c>
    </row>
    <row r="12" spans="1:21" customFormat="1">
      <c r="A12" s="6" t="s">
        <v>818</v>
      </c>
      <c r="B12" s="189">
        <v>14.56</v>
      </c>
      <c r="C12" s="189">
        <v>19.43</v>
      </c>
      <c r="D12" s="189">
        <v>23.18</v>
      </c>
      <c r="E12" s="189">
        <v>7.81</v>
      </c>
      <c r="F12" s="189">
        <v>2.66</v>
      </c>
      <c r="G12" s="189">
        <v>12.28</v>
      </c>
      <c r="H12" s="189">
        <v>6.83</v>
      </c>
      <c r="I12" s="189">
        <v>3.51</v>
      </c>
      <c r="J12" s="189">
        <v>0.28999999999999998</v>
      </c>
      <c r="K12" s="189">
        <v>85</v>
      </c>
      <c r="L12" s="189">
        <v>18.88</v>
      </c>
      <c r="M12" s="189">
        <v>100.72</v>
      </c>
      <c r="N12" s="189">
        <v>0</v>
      </c>
      <c r="O12" s="189">
        <v>0.8</v>
      </c>
      <c r="P12" s="189">
        <v>0.46</v>
      </c>
      <c r="Q12" s="189">
        <v>4.66</v>
      </c>
    </row>
    <row r="13" spans="1:21" customFormat="1">
      <c r="A13" s="6" t="s">
        <v>819</v>
      </c>
      <c r="B13" s="189">
        <v>14.38</v>
      </c>
      <c r="C13" s="189">
        <v>19.28</v>
      </c>
      <c r="D13" s="189">
        <v>22.95</v>
      </c>
      <c r="E13" s="189">
        <v>7.89</v>
      </c>
      <c r="F13" s="189">
        <v>2.66</v>
      </c>
      <c r="G13" s="189">
        <v>12.28</v>
      </c>
      <c r="H13" s="189">
        <v>6.83</v>
      </c>
      <c r="I13" s="189">
        <v>3.5</v>
      </c>
      <c r="J13" s="189">
        <v>0.25</v>
      </c>
      <c r="K13" s="189">
        <v>80.63</v>
      </c>
      <c r="L13" s="189">
        <v>18.89</v>
      </c>
      <c r="M13" s="189">
        <v>100.79</v>
      </c>
      <c r="N13" s="189">
        <v>0</v>
      </c>
      <c r="O13" s="189">
        <v>0.4</v>
      </c>
      <c r="P13" s="189">
        <v>0.46</v>
      </c>
      <c r="Q13" s="189">
        <v>4.6500000000000004</v>
      </c>
    </row>
    <row r="14" spans="1:21" customFormat="1">
      <c r="A14" s="6" t="s">
        <v>820</v>
      </c>
      <c r="B14" s="189">
        <v>14.29</v>
      </c>
      <c r="C14" s="189">
        <v>19.440000000000001</v>
      </c>
      <c r="D14" s="189">
        <v>22.97</v>
      </c>
      <c r="E14" s="189">
        <v>7.62</v>
      </c>
      <c r="F14" s="189">
        <v>2.67</v>
      </c>
      <c r="G14" s="189">
        <v>9.91</v>
      </c>
      <c r="H14" s="189">
        <v>5.22</v>
      </c>
      <c r="I14" s="189">
        <v>3.52</v>
      </c>
      <c r="J14" s="189">
        <v>0.23</v>
      </c>
      <c r="K14" s="189">
        <v>77.69</v>
      </c>
      <c r="L14" s="189">
        <v>18.89</v>
      </c>
      <c r="M14" s="189">
        <v>100.69</v>
      </c>
      <c r="N14" s="189">
        <v>0</v>
      </c>
      <c r="O14" s="189">
        <v>0.4</v>
      </c>
      <c r="P14" s="189">
        <v>0.46</v>
      </c>
      <c r="Q14" s="189">
        <v>4.67</v>
      </c>
    </row>
    <row r="15" spans="1:21" customFormat="1">
      <c r="A15" s="6" t="s">
        <v>821</v>
      </c>
      <c r="B15" s="189">
        <v>14.42</v>
      </c>
      <c r="C15" s="189">
        <v>18.760000000000002</v>
      </c>
      <c r="D15" s="189">
        <v>22.72</v>
      </c>
      <c r="E15" s="189">
        <v>7.7</v>
      </c>
      <c r="F15" s="189">
        <v>2.69</v>
      </c>
      <c r="G15" s="189">
        <v>8.7200000000000006</v>
      </c>
      <c r="H15" s="189">
        <v>5.03</v>
      </c>
      <c r="I15" s="189">
        <v>3.5</v>
      </c>
      <c r="J15" s="189">
        <v>0.32</v>
      </c>
      <c r="K15" s="189">
        <v>66.02</v>
      </c>
      <c r="L15" s="189">
        <v>18.920000000000002</v>
      </c>
      <c r="M15" s="189">
        <v>100.59</v>
      </c>
      <c r="N15" s="189">
        <v>0</v>
      </c>
      <c r="O15" s="189">
        <v>0.4</v>
      </c>
      <c r="P15" s="189">
        <v>0.46</v>
      </c>
      <c r="Q15" s="189">
        <v>4.68</v>
      </c>
    </row>
    <row r="16" spans="1:21" customFormat="1">
      <c r="A16" s="6" t="s">
        <v>822</v>
      </c>
      <c r="B16" s="189">
        <v>14.5</v>
      </c>
      <c r="C16" s="189">
        <v>19.010000000000002</v>
      </c>
      <c r="D16" s="189">
        <v>22.92</v>
      </c>
      <c r="E16" s="189">
        <v>7.94</v>
      </c>
      <c r="F16" s="189">
        <v>2.63</v>
      </c>
      <c r="G16" s="189">
        <v>8.7200000000000006</v>
      </c>
      <c r="H16" s="189">
        <v>5.03</v>
      </c>
      <c r="I16" s="189">
        <v>3.51</v>
      </c>
      <c r="J16" s="189">
        <v>0.36</v>
      </c>
      <c r="K16" s="189">
        <v>61.9</v>
      </c>
      <c r="L16" s="189">
        <v>18.88</v>
      </c>
      <c r="M16" s="189">
        <v>100.59</v>
      </c>
      <c r="N16" s="189">
        <v>0</v>
      </c>
      <c r="O16" s="189">
        <v>0.4</v>
      </c>
      <c r="P16" s="189">
        <v>0.47</v>
      </c>
      <c r="Q16" s="189">
        <v>4.66</v>
      </c>
    </row>
    <row r="17" spans="1:17" customFormat="1">
      <c r="A17" s="6" t="s">
        <v>823</v>
      </c>
      <c r="B17" s="189">
        <v>14.55</v>
      </c>
      <c r="C17" s="189">
        <v>19.37</v>
      </c>
      <c r="D17" s="189">
        <v>23.14</v>
      </c>
      <c r="E17" s="189">
        <v>5.6</v>
      </c>
      <c r="F17" s="189">
        <v>2.56</v>
      </c>
      <c r="G17" s="189">
        <v>8.7200000000000006</v>
      </c>
      <c r="H17" s="189">
        <v>5.03</v>
      </c>
      <c r="I17" s="189">
        <v>3.51</v>
      </c>
      <c r="J17" s="189">
        <v>0.4</v>
      </c>
      <c r="K17" s="189">
        <v>63.44</v>
      </c>
      <c r="L17" s="189">
        <v>18.86</v>
      </c>
      <c r="M17" s="189">
        <v>100.58</v>
      </c>
      <c r="N17" s="189">
        <v>0</v>
      </c>
      <c r="O17" s="189">
        <v>0.4</v>
      </c>
      <c r="P17" s="189">
        <v>0.46</v>
      </c>
      <c r="Q17" s="189">
        <v>4.67</v>
      </c>
    </row>
    <row r="18" spans="1:17" customFormat="1">
      <c r="A18" s="6" t="s">
        <v>824</v>
      </c>
      <c r="B18" s="189">
        <v>14.78</v>
      </c>
      <c r="C18" s="189">
        <v>19.059999999999999</v>
      </c>
      <c r="D18" s="189">
        <v>23.16</v>
      </c>
      <c r="E18" s="189">
        <v>6.51</v>
      </c>
      <c r="F18" s="189">
        <v>2.65</v>
      </c>
      <c r="G18" s="189">
        <v>7.23</v>
      </c>
      <c r="H18" s="189">
        <v>3.9</v>
      </c>
      <c r="I18" s="189">
        <v>3.51</v>
      </c>
      <c r="J18" s="189">
        <v>0.28999999999999998</v>
      </c>
      <c r="K18" s="189">
        <v>45.51</v>
      </c>
      <c r="L18" s="189">
        <v>18.89</v>
      </c>
      <c r="M18" s="189">
        <v>100.58</v>
      </c>
      <c r="N18" s="189">
        <v>0</v>
      </c>
      <c r="O18" s="189">
        <v>0.2</v>
      </c>
      <c r="P18" s="189">
        <v>0.47</v>
      </c>
      <c r="Q18" s="189">
        <v>4.68</v>
      </c>
    </row>
    <row r="19" spans="1:17" customFormat="1">
      <c r="A19" s="6" t="s">
        <v>825</v>
      </c>
      <c r="B19" s="189">
        <v>14.97</v>
      </c>
      <c r="C19" s="189">
        <v>19.510000000000002</v>
      </c>
      <c r="D19" s="189">
        <v>23.55</v>
      </c>
      <c r="E19" s="189">
        <v>6.49</v>
      </c>
      <c r="F19" s="189">
        <v>2.5299999999999998</v>
      </c>
      <c r="G19" s="189">
        <v>6.48</v>
      </c>
      <c r="H19" s="189">
        <v>3.76</v>
      </c>
      <c r="I19" s="189">
        <v>3.53</v>
      </c>
      <c r="J19" s="189">
        <v>0.26</v>
      </c>
      <c r="K19" s="189">
        <v>35.9</v>
      </c>
      <c r="L19" s="189">
        <v>18.91</v>
      </c>
      <c r="M19" s="189">
        <v>100.6</v>
      </c>
      <c r="N19" s="189">
        <v>0</v>
      </c>
      <c r="O19" s="189">
        <v>0.2</v>
      </c>
      <c r="P19" s="189">
        <v>0.47</v>
      </c>
      <c r="Q19" s="189">
        <v>4.7</v>
      </c>
    </row>
    <row r="20" spans="1:17" customFormat="1">
      <c r="A20" s="6" t="s">
        <v>826</v>
      </c>
      <c r="B20" s="189">
        <v>15.23</v>
      </c>
      <c r="C20" s="189">
        <v>19.309999999999999</v>
      </c>
      <c r="D20" s="189">
        <v>23.65</v>
      </c>
      <c r="E20" s="189">
        <v>6.86</v>
      </c>
      <c r="F20" s="189">
        <v>2.5299999999999998</v>
      </c>
      <c r="G20" s="189">
        <v>6.48</v>
      </c>
      <c r="H20" s="189">
        <v>3.76</v>
      </c>
      <c r="I20" s="189">
        <v>3.51</v>
      </c>
      <c r="J20" s="189">
        <v>0.35</v>
      </c>
      <c r="K20" s="189">
        <v>44.68</v>
      </c>
      <c r="L20" s="189">
        <v>18.87</v>
      </c>
      <c r="M20" s="189">
        <v>100.6</v>
      </c>
      <c r="N20" s="189">
        <v>0</v>
      </c>
      <c r="O20" s="189">
        <v>0.4</v>
      </c>
      <c r="P20" s="189">
        <v>0.48</v>
      </c>
      <c r="Q20" s="189">
        <v>4.7</v>
      </c>
    </row>
    <row r="21" spans="1:17" customFormat="1">
      <c r="A21" s="6" t="s">
        <v>827</v>
      </c>
      <c r="B21" s="189">
        <v>15.45</v>
      </c>
      <c r="C21" s="189">
        <v>18.98</v>
      </c>
      <c r="D21" s="189">
        <v>23.66</v>
      </c>
      <c r="E21" s="189">
        <v>6.7</v>
      </c>
      <c r="F21" s="189">
        <v>2.61</v>
      </c>
      <c r="G21" s="189">
        <v>6.48</v>
      </c>
      <c r="H21" s="189">
        <v>3.76</v>
      </c>
      <c r="I21" s="189">
        <v>3.52</v>
      </c>
      <c r="J21" s="189">
        <v>0.28999999999999998</v>
      </c>
      <c r="K21" s="189">
        <v>45.98</v>
      </c>
      <c r="L21" s="189">
        <v>18.87</v>
      </c>
      <c r="M21" s="189">
        <v>100.6</v>
      </c>
      <c r="N21" s="189">
        <v>0</v>
      </c>
      <c r="O21" s="189">
        <v>0.4</v>
      </c>
      <c r="P21" s="189">
        <v>0.47</v>
      </c>
      <c r="Q21" s="189">
        <v>4.72</v>
      </c>
    </row>
    <row r="22" spans="1:17" customFormat="1">
      <c r="A22" s="6" t="s">
        <v>828</v>
      </c>
      <c r="B22" s="189">
        <v>15.62</v>
      </c>
      <c r="C22" s="189">
        <v>19.7</v>
      </c>
      <c r="D22" s="189">
        <v>24.17</v>
      </c>
      <c r="E22" s="189">
        <v>6.49</v>
      </c>
      <c r="F22" s="189">
        <v>2.62</v>
      </c>
      <c r="G22" s="189">
        <v>5.38</v>
      </c>
      <c r="H22" s="189">
        <v>2.94</v>
      </c>
      <c r="I22" s="189">
        <v>3.55</v>
      </c>
      <c r="J22" s="189">
        <v>0.26</v>
      </c>
      <c r="K22" s="189">
        <v>50.56</v>
      </c>
      <c r="L22" s="189">
        <v>18.86</v>
      </c>
      <c r="M22" s="189">
        <v>100.6</v>
      </c>
      <c r="N22" s="189">
        <v>0</v>
      </c>
      <c r="O22" s="189">
        <v>0.4</v>
      </c>
      <c r="P22" s="189">
        <v>0.48</v>
      </c>
      <c r="Q22" s="189">
        <v>4.72</v>
      </c>
    </row>
    <row r="23" spans="1:17" customFormat="1">
      <c r="A23" s="6" t="s">
        <v>829</v>
      </c>
      <c r="B23" s="189">
        <v>15.92</v>
      </c>
      <c r="C23" s="189">
        <v>18.96</v>
      </c>
      <c r="D23" s="189">
        <v>24.03</v>
      </c>
      <c r="E23" s="189">
        <v>6.76</v>
      </c>
      <c r="F23" s="189">
        <v>2.74</v>
      </c>
      <c r="G23" s="189">
        <v>4.83</v>
      </c>
      <c r="H23" s="189">
        <v>2.85</v>
      </c>
      <c r="I23" s="189">
        <v>3.55</v>
      </c>
      <c r="J23" s="189">
        <v>0.32</v>
      </c>
      <c r="K23" s="189">
        <v>54.49</v>
      </c>
      <c r="L23" s="189">
        <v>18.84</v>
      </c>
      <c r="M23" s="189">
        <v>100.6</v>
      </c>
      <c r="N23" s="189">
        <v>0</v>
      </c>
      <c r="O23" s="189">
        <v>0.4</v>
      </c>
      <c r="P23" s="189">
        <v>0.47</v>
      </c>
      <c r="Q23" s="189">
        <v>4.7300000000000004</v>
      </c>
    </row>
    <row r="24" spans="1:17" customFormat="1">
      <c r="A24" s="6" t="s">
        <v>830</v>
      </c>
      <c r="B24" s="189">
        <v>16.18</v>
      </c>
      <c r="C24" s="189">
        <v>19.579999999999998</v>
      </c>
      <c r="D24" s="189">
        <v>24.56</v>
      </c>
      <c r="E24" s="189">
        <v>6.66</v>
      </c>
      <c r="F24" s="189">
        <v>2.69</v>
      </c>
      <c r="G24" s="189">
        <v>4.83</v>
      </c>
      <c r="H24" s="189">
        <v>2.85</v>
      </c>
      <c r="I24" s="189">
        <v>3.56</v>
      </c>
      <c r="J24" s="189">
        <v>0.27</v>
      </c>
      <c r="K24" s="189">
        <v>57.02</v>
      </c>
      <c r="L24" s="189">
        <v>18.850000000000001</v>
      </c>
      <c r="M24" s="189">
        <v>100.6</v>
      </c>
      <c r="N24" s="189">
        <v>0</v>
      </c>
      <c r="O24" s="189">
        <v>0.4</v>
      </c>
      <c r="P24" s="189">
        <v>0.47</v>
      </c>
      <c r="Q24" s="189">
        <v>4.72</v>
      </c>
    </row>
    <row r="25" spans="1:17" customFormat="1">
      <c r="A25" s="6" t="s">
        <v>831</v>
      </c>
      <c r="B25" s="189">
        <v>16.399999999999999</v>
      </c>
      <c r="C25" s="189">
        <v>19.63</v>
      </c>
      <c r="D25" s="189">
        <v>24.76</v>
      </c>
      <c r="E25" s="189">
        <v>6.75</v>
      </c>
      <c r="F25" s="189">
        <v>2.6</v>
      </c>
      <c r="G25" s="189">
        <v>4.83</v>
      </c>
      <c r="H25" s="189">
        <v>2.85</v>
      </c>
      <c r="I25" s="189">
        <v>3.56</v>
      </c>
      <c r="J25" s="189">
        <v>0.27</v>
      </c>
      <c r="K25" s="189">
        <v>58.51</v>
      </c>
      <c r="L25" s="189">
        <v>18.829999999999998</v>
      </c>
      <c r="M25" s="189">
        <v>100.61</v>
      </c>
      <c r="N25" s="189">
        <v>0</v>
      </c>
      <c r="O25" s="189">
        <v>0.4</v>
      </c>
      <c r="P25" s="189">
        <v>0.48</v>
      </c>
      <c r="Q25" s="189">
        <v>4.74</v>
      </c>
    </row>
    <row r="26" spans="1:17" customFormat="1">
      <c r="A26" s="6" t="s">
        <v>832</v>
      </c>
      <c r="B26" s="189">
        <v>16.440000000000001</v>
      </c>
      <c r="C26" s="189">
        <v>20.059999999999999</v>
      </c>
      <c r="D26" s="189">
        <v>25.01</v>
      </c>
      <c r="E26" s="189">
        <v>6.59</v>
      </c>
      <c r="F26" s="189">
        <v>2.72</v>
      </c>
      <c r="G26" s="189">
        <v>4.09</v>
      </c>
      <c r="H26" s="189">
        <v>2.94</v>
      </c>
      <c r="I26" s="189">
        <v>3.56</v>
      </c>
      <c r="J26" s="189">
        <v>0.33</v>
      </c>
      <c r="K26" s="189">
        <v>56.12</v>
      </c>
      <c r="L26" s="189">
        <v>18.82</v>
      </c>
      <c r="M26" s="189">
        <v>100.66</v>
      </c>
      <c r="N26" s="189">
        <v>0</v>
      </c>
      <c r="O26" s="189">
        <v>0</v>
      </c>
      <c r="P26" s="189">
        <v>0.49</v>
      </c>
      <c r="Q26" s="189">
        <v>4.72</v>
      </c>
    </row>
    <row r="27" spans="1:17" customFormat="1">
      <c r="A27" s="6" t="s">
        <v>833</v>
      </c>
      <c r="B27" s="189">
        <v>16.420000000000002</v>
      </c>
      <c r="C27" s="189">
        <v>20.29</v>
      </c>
      <c r="D27" s="189">
        <v>25.13</v>
      </c>
      <c r="E27" s="189">
        <v>6.49</v>
      </c>
      <c r="F27" s="189">
        <v>2.66</v>
      </c>
      <c r="G27" s="189">
        <v>3.73</v>
      </c>
      <c r="H27" s="189">
        <v>2.95</v>
      </c>
      <c r="I27" s="189">
        <v>3.57</v>
      </c>
      <c r="J27" s="189">
        <v>0.22</v>
      </c>
      <c r="K27" s="189">
        <v>77.02</v>
      </c>
      <c r="L27" s="189">
        <v>18.87</v>
      </c>
      <c r="M27" s="189">
        <v>100.69</v>
      </c>
      <c r="N27" s="189">
        <v>0</v>
      </c>
      <c r="O27" s="189">
        <v>0.2</v>
      </c>
      <c r="P27" s="189">
        <v>0.5</v>
      </c>
      <c r="Q27" s="189">
        <v>4.72</v>
      </c>
    </row>
    <row r="28" spans="1:17" customFormat="1">
      <c r="A28" s="6" t="s">
        <v>834</v>
      </c>
      <c r="B28" s="189">
        <v>16.18</v>
      </c>
      <c r="C28" s="189">
        <v>20.68</v>
      </c>
      <c r="D28" s="189">
        <v>25.13</v>
      </c>
      <c r="E28" s="189">
        <v>6.41</v>
      </c>
      <c r="F28" s="189">
        <v>2.7</v>
      </c>
      <c r="G28" s="189">
        <v>3.73</v>
      </c>
      <c r="H28" s="189">
        <v>2.95</v>
      </c>
      <c r="I28" s="189">
        <v>3.57</v>
      </c>
      <c r="J28" s="189">
        <v>0.26</v>
      </c>
      <c r="K28" s="189">
        <v>66.53</v>
      </c>
      <c r="L28" s="189">
        <v>18.84</v>
      </c>
      <c r="M28" s="189">
        <v>100.71</v>
      </c>
      <c r="N28" s="189">
        <v>0</v>
      </c>
      <c r="O28" s="189">
        <v>0</v>
      </c>
      <c r="P28" s="189">
        <v>0.5</v>
      </c>
      <c r="Q28" s="189">
        <v>4.72</v>
      </c>
    </row>
    <row r="29" spans="1:17" customFormat="1">
      <c r="A29" s="6" t="s">
        <v>835</v>
      </c>
      <c r="B29" s="189">
        <v>16.14</v>
      </c>
      <c r="C29" s="189">
        <v>20.92</v>
      </c>
      <c r="D29" s="189">
        <v>25.22</v>
      </c>
      <c r="E29" s="189">
        <v>6.59</v>
      </c>
      <c r="F29" s="189">
        <v>2.74</v>
      </c>
      <c r="G29" s="189">
        <v>3.73</v>
      </c>
      <c r="H29" s="189">
        <v>2.95</v>
      </c>
      <c r="I29" s="189">
        <v>3.56</v>
      </c>
      <c r="J29" s="189">
        <v>0.32</v>
      </c>
      <c r="K29" s="189">
        <v>61.85</v>
      </c>
      <c r="L29" s="189">
        <v>18.760000000000002</v>
      </c>
      <c r="M29" s="189">
        <v>100.72</v>
      </c>
      <c r="N29" s="189">
        <v>0</v>
      </c>
      <c r="O29" s="189">
        <v>0.2</v>
      </c>
      <c r="P29" s="189">
        <v>0.5</v>
      </c>
      <c r="Q29" s="189">
        <v>4.7300000000000004</v>
      </c>
    </row>
    <row r="30" spans="1:17" customFormat="1">
      <c r="A30" s="6" t="s">
        <v>836</v>
      </c>
      <c r="B30" s="189">
        <v>16.05</v>
      </c>
      <c r="C30" s="189">
        <v>21.47</v>
      </c>
      <c r="D30" s="189">
        <v>25.44</v>
      </c>
      <c r="E30" s="189">
        <v>6.54</v>
      </c>
      <c r="F30" s="189">
        <v>2.67</v>
      </c>
      <c r="G30" s="189">
        <v>3.71</v>
      </c>
      <c r="H30" s="189">
        <v>2.78</v>
      </c>
      <c r="I30" s="189">
        <v>3.57</v>
      </c>
      <c r="J30" s="189">
        <v>0.34</v>
      </c>
      <c r="K30" s="189">
        <v>67.150000000000006</v>
      </c>
      <c r="L30" s="189">
        <v>18.72</v>
      </c>
      <c r="M30" s="189">
        <v>100.73</v>
      </c>
      <c r="N30" s="189">
        <v>0</v>
      </c>
      <c r="O30" s="189">
        <v>0</v>
      </c>
      <c r="P30" s="189">
        <v>0.5</v>
      </c>
      <c r="Q30" s="189">
        <v>4.7300000000000004</v>
      </c>
    </row>
    <row r="31" spans="1:17" customFormat="1">
      <c r="A31" s="6" t="s">
        <v>837</v>
      </c>
      <c r="B31" s="189">
        <v>15.86</v>
      </c>
      <c r="C31" s="189">
        <v>21.8</v>
      </c>
      <c r="D31" s="189">
        <v>25.46</v>
      </c>
      <c r="E31" s="189">
        <v>7.02</v>
      </c>
      <c r="F31" s="189">
        <v>2.54</v>
      </c>
      <c r="G31" s="189">
        <v>3.71</v>
      </c>
      <c r="H31" s="189">
        <v>2.76</v>
      </c>
      <c r="I31" s="189">
        <v>3.55</v>
      </c>
      <c r="J31" s="189">
        <v>0.39</v>
      </c>
      <c r="K31" s="189">
        <v>56.52</v>
      </c>
      <c r="L31" s="189">
        <v>18.7</v>
      </c>
      <c r="M31" s="189">
        <v>100.75</v>
      </c>
      <c r="N31" s="189">
        <v>0</v>
      </c>
      <c r="O31" s="189">
        <v>0</v>
      </c>
      <c r="P31" s="189">
        <v>0.5</v>
      </c>
      <c r="Q31" s="189">
        <v>4.74</v>
      </c>
    </row>
    <row r="32" spans="1:17" customFormat="1">
      <c r="A32" s="6" t="s">
        <v>838</v>
      </c>
      <c r="B32" s="189">
        <v>15.98</v>
      </c>
      <c r="C32" s="189">
        <v>21.94</v>
      </c>
      <c r="D32" s="189">
        <v>25.63</v>
      </c>
      <c r="E32" s="189">
        <v>6.99</v>
      </c>
      <c r="F32" s="189">
        <v>2.69</v>
      </c>
      <c r="G32" s="189">
        <v>3.71</v>
      </c>
      <c r="H32" s="189">
        <v>2.76</v>
      </c>
      <c r="I32" s="189">
        <v>3.54</v>
      </c>
      <c r="J32" s="189">
        <v>0.45</v>
      </c>
      <c r="K32" s="189">
        <v>48.03</v>
      </c>
      <c r="L32" s="189">
        <v>18.559999999999999</v>
      </c>
      <c r="M32" s="189">
        <v>100.69</v>
      </c>
      <c r="N32" s="189">
        <v>0</v>
      </c>
      <c r="O32" s="189">
        <v>0</v>
      </c>
      <c r="P32" s="189">
        <v>0.51</v>
      </c>
      <c r="Q32" s="189">
        <v>4.75</v>
      </c>
    </row>
    <row r="33" spans="1:17" customFormat="1">
      <c r="A33" s="6" t="s">
        <v>839</v>
      </c>
      <c r="B33" s="189">
        <v>16.03</v>
      </c>
      <c r="C33" s="189">
        <v>22.33</v>
      </c>
      <c r="D33" s="189">
        <v>25.88</v>
      </c>
      <c r="E33" s="189">
        <v>7.12</v>
      </c>
      <c r="F33" s="189">
        <v>2.62</v>
      </c>
      <c r="G33" s="189">
        <v>3.71</v>
      </c>
      <c r="H33" s="189">
        <v>2.76</v>
      </c>
      <c r="I33" s="189">
        <v>3.55</v>
      </c>
      <c r="J33" s="189">
        <v>0.42</v>
      </c>
      <c r="K33" s="189">
        <v>50.23</v>
      </c>
      <c r="L33" s="189">
        <v>18.57</v>
      </c>
      <c r="M33" s="189">
        <v>100.7</v>
      </c>
      <c r="N33" s="189">
        <v>0</v>
      </c>
      <c r="O33" s="189">
        <v>0</v>
      </c>
      <c r="P33" s="189">
        <v>0.51</v>
      </c>
      <c r="Q33" s="189">
        <v>4.75</v>
      </c>
    </row>
    <row r="34" spans="1:17" customFormat="1">
      <c r="A34" s="6" t="s">
        <v>840</v>
      </c>
      <c r="B34" s="189">
        <v>16.309999999999999</v>
      </c>
      <c r="C34" s="189">
        <v>22.48</v>
      </c>
      <c r="D34" s="189">
        <v>26.18</v>
      </c>
      <c r="E34" s="189">
        <v>7.44</v>
      </c>
      <c r="F34" s="189">
        <v>2.64</v>
      </c>
      <c r="G34" s="189">
        <v>3.24</v>
      </c>
      <c r="H34" s="189">
        <v>2.1800000000000002</v>
      </c>
      <c r="I34" s="189">
        <v>3.6</v>
      </c>
      <c r="J34" s="189">
        <v>0.39</v>
      </c>
      <c r="K34" s="189">
        <v>57.9</v>
      </c>
      <c r="L34" s="189">
        <v>18.579999999999998</v>
      </c>
      <c r="M34" s="189">
        <v>100.7</v>
      </c>
      <c r="N34" s="189">
        <v>0</v>
      </c>
      <c r="O34" s="189">
        <v>0</v>
      </c>
      <c r="P34" s="189">
        <v>0.53</v>
      </c>
      <c r="Q34" s="189">
        <v>4.7699999999999996</v>
      </c>
    </row>
    <row r="35" spans="1:17" customFormat="1">
      <c r="A35" s="6" t="s">
        <v>841</v>
      </c>
      <c r="B35" s="189">
        <v>16.59</v>
      </c>
      <c r="C35" s="189">
        <v>22.67</v>
      </c>
      <c r="D35" s="189">
        <v>26.5</v>
      </c>
      <c r="E35" s="189">
        <v>7.23</v>
      </c>
      <c r="F35" s="189">
        <v>2.62</v>
      </c>
      <c r="G35" s="189">
        <v>3.01</v>
      </c>
      <c r="H35" s="189">
        <v>2.0699999999999998</v>
      </c>
      <c r="I35" s="189">
        <v>3.65</v>
      </c>
      <c r="J35" s="189">
        <v>0.42</v>
      </c>
      <c r="K35" s="189">
        <v>45.73</v>
      </c>
      <c r="L35" s="189">
        <v>18.600000000000001</v>
      </c>
      <c r="M35" s="189">
        <v>100.7</v>
      </c>
      <c r="N35" s="189">
        <v>0</v>
      </c>
      <c r="O35" s="189">
        <v>0.2</v>
      </c>
      <c r="P35" s="189">
        <v>0.53</v>
      </c>
      <c r="Q35" s="189">
        <v>4.78</v>
      </c>
    </row>
    <row r="36" spans="1:17" customFormat="1">
      <c r="A36" s="6" t="s">
        <v>842</v>
      </c>
      <c r="B36" s="189">
        <v>16.989999999999998</v>
      </c>
      <c r="C36" s="189">
        <v>22.77</v>
      </c>
      <c r="D36" s="189">
        <v>26.87</v>
      </c>
      <c r="E36" s="189">
        <v>7.27</v>
      </c>
      <c r="F36" s="189">
        <v>2.56</v>
      </c>
      <c r="G36" s="189">
        <v>3.01</v>
      </c>
      <c r="H36" s="189">
        <v>2.0699999999999998</v>
      </c>
      <c r="I36" s="189">
        <v>3.75</v>
      </c>
      <c r="J36" s="189">
        <v>0.51</v>
      </c>
      <c r="K36" s="189">
        <v>45.23</v>
      </c>
      <c r="L36" s="189">
        <v>18.649999999999999</v>
      </c>
      <c r="M36" s="189">
        <v>100.7</v>
      </c>
      <c r="N36" s="189">
        <v>0</v>
      </c>
      <c r="O36" s="189">
        <v>0</v>
      </c>
      <c r="P36" s="189">
        <v>0.53</v>
      </c>
      <c r="Q36" s="189">
        <v>4.79</v>
      </c>
    </row>
    <row r="37" spans="1:17" customFormat="1">
      <c r="A37" s="6" t="s">
        <v>843</v>
      </c>
      <c r="B37" s="189">
        <v>17.510000000000002</v>
      </c>
      <c r="C37" s="189">
        <v>23.16</v>
      </c>
      <c r="D37" s="189">
        <v>27.5</v>
      </c>
      <c r="E37" s="189">
        <v>7.41</v>
      </c>
      <c r="F37" s="189">
        <v>2.48</v>
      </c>
      <c r="G37" s="189">
        <v>3.01</v>
      </c>
      <c r="H37" s="189">
        <v>2.0699999999999998</v>
      </c>
      <c r="I37" s="189">
        <v>3.85</v>
      </c>
      <c r="J37" s="189">
        <v>0.53</v>
      </c>
      <c r="K37" s="189">
        <v>49.69</v>
      </c>
      <c r="L37" s="189">
        <v>18.64</v>
      </c>
      <c r="M37" s="189">
        <v>100.72</v>
      </c>
      <c r="N37" s="189">
        <v>1.2</v>
      </c>
      <c r="O37" s="189">
        <v>0.2</v>
      </c>
      <c r="P37" s="189">
        <v>0.55000000000000004</v>
      </c>
      <c r="Q37" s="189">
        <v>4.82</v>
      </c>
    </row>
    <row r="38" spans="1:17" customFormat="1">
      <c r="A38" s="6" t="s">
        <v>844</v>
      </c>
      <c r="B38" s="189">
        <v>17.84</v>
      </c>
      <c r="C38" s="189">
        <v>23.14</v>
      </c>
      <c r="D38" s="189">
        <v>27.75</v>
      </c>
      <c r="E38" s="189">
        <v>7.33</v>
      </c>
      <c r="F38" s="189">
        <v>2.5499999999999998</v>
      </c>
      <c r="G38" s="189">
        <v>3.62</v>
      </c>
      <c r="H38" s="189">
        <v>1.57</v>
      </c>
      <c r="I38" s="189">
        <v>3.93</v>
      </c>
      <c r="J38" s="189">
        <v>0.51</v>
      </c>
      <c r="K38" s="189">
        <v>42.48</v>
      </c>
      <c r="L38" s="189">
        <v>18.55</v>
      </c>
      <c r="M38" s="189">
        <v>100.71</v>
      </c>
      <c r="N38" s="189">
        <v>9.5</v>
      </c>
      <c r="O38" s="189">
        <v>0</v>
      </c>
      <c r="P38" s="189">
        <v>0.56000000000000005</v>
      </c>
      <c r="Q38" s="189">
        <v>4.82</v>
      </c>
    </row>
    <row r="39" spans="1:17" customFormat="1">
      <c r="A39" s="6" t="s">
        <v>845</v>
      </c>
      <c r="B39" s="189">
        <v>18.38</v>
      </c>
      <c r="C39" s="189">
        <v>23.26</v>
      </c>
      <c r="D39" s="189">
        <v>28.24</v>
      </c>
      <c r="E39" s="189">
        <v>7.12</v>
      </c>
      <c r="F39" s="189">
        <v>2.5</v>
      </c>
      <c r="G39" s="189">
        <v>3.92</v>
      </c>
      <c r="H39" s="189">
        <v>1.51</v>
      </c>
      <c r="I39" s="189">
        <v>4.0199999999999996</v>
      </c>
      <c r="J39" s="189">
        <v>0.42</v>
      </c>
      <c r="K39" s="189">
        <v>46.01</v>
      </c>
      <c r="L39" s="189">
        <v>18.61</v>
      </c>
      <c r="M39" s="189">
        <v>100.72</v>
      </c>
      <c r="N39" s="189">
        <v>11.1</v>
      </c>
      <c r="O39" s="189">
        <v>0</v>
      </c>
      <c r="P39" s="189">
        <v>0.57999999999999996</v>
      </c>
      <c r="Q39" s="189">
        <v>4.84</v>
      </c>
    </row>
    <row r="40" spans="1:17" customFormat="1">
      <c r="A40" s="6" t="s">
        <v>846</v>
      </c>
      <c r="B40" s="189">
        <v>19.03</v>
      </c>
      <c r="C40" s="189">
        <v>23.88</v>
      </c>
      <c r="D40" s="189">
        <v>29.09</v>
      </c>
      <c r="E40" s="189">
        <v>7.6</v>
      </c>
      <c r="F40" s="189">
        <v>2.41</v>
      </c>
      <c r="G40" s="189">
        <v>3.92</v>
      </c>
      <c r="H40" s="189">
        <v>1.51</v>
      </c>
      <c r="I40" s="189">
        <v>4.13</v>
      </c>
      <c r="J40" s="189">
        <v>0.41</v>
      </c>
      <c r="K40" s="189">
        <v>55.28</v>
      </c>
      <c r="L40" s="189">
        <v>18.7</v>
      </c>
      <c r="M40" s="189">
        <v>100.73</v>
      </c>
      <c r="N40" s="189">
        <v>15.5</v>
      </c>
      <c r="O40" s="189">
        <v>0</v>
      </c>
      <c r="P40" s="189">
        <v>0.59</v>
      </c>
      <c r="Q40" s="189">
        <v>4.8899999999999997</v>
      </c>
    </row>
    <row r="41" spans="1:17" customFormat="1">
      <c r="A41" s="6" t="s">
        <v>847</v>
      </c>
      <c r="B41" s="189">
        <v>19.690000000000001</v>
      </c>
      <c r="C41" s="189">
        <v>23.8</v>
      </c>
      <c r="D41" s="189">
        <v>29.58</v>
      </c>
      <c r="E41" s="189">
        <v>7.8</v>
      </c>
      <c r="F41" s="189">
        <v>2.54</v>
      </c>
      <c r="G41" s="189">
        <v>3.92</v>
      </c>
      <c r="H41" s="189">
        <v>1.51</v>
      </c>
      <c r="I41" s="189">
        <v>4.25</v>
      </c>
      <c r="J41" s="189">
        <v>0.37</v>
      </c>
      <c r="K41" s="189">
        <v>55.09</v>
      </c>
      <c r="L41" s="189">
        <v>18.829999999999998</v>
      </c>
      <c r="M41" s="189">
        <v>100.76</v>
      </c>
      <c r="N41" s="189">
        <v>15.3</v>
      </c>
      <c r="O41" s="189">
        <v>0</v>
      </c>
      <c r="P41" s="189">
        <v>0.61</v>
      </c>
      <c r="Q41" s="189">
        <v>4.91</v>
      </c>
    </row>
    <row r="42" spans="1:17" customFormat="1">
      <c r="A42" s="6" t="s">
        <v>848</v>
      </c>
      <c r="B42" s="189">
        <v>20.5</v>
      </c>
      <c r="C42" s="189">
        <v>24.35</v>
      </c>
      <c r="D42" s="189">
        <v>30.52</v>
      </c>
      <c r="E42" s="189">
        <v>7.65</v>
      </c>
      <c r="F42" s="189">
        <v>2.5299999999999998</v>
      </c>
      <c r="G42" s="189">
        <v>5.48</v>
      </c>
      <c r="H42" s="189">
        <v>3.38</v>
      </c>
      <c r="I42" s="189">
        <v>4.3499999999999996</v>
      </c>
      <c r="J42" s="189">
        <v>0.43</v>
      </c>
      <c r="K42" s="189">
        <v>43.6</v>
      </c>
      <c r="L42" s="189">
        <v>18.899999999999999</v>
      </c>
      <c r="M42" s="189">
        <v>100.8</v>
      </c>
      <c r="N42" s="189">
        <v>19.600000000000001</v>
      </c>
      <c r="O42" s="189">
        <v>0</v>
      </c>
      <c r="P42" s="189">
        <v>0.62</v>
      </c>
      <c r="Q42" s="189">
        <v>4.93</v>
      </c>
    </row>
    <row r="43" spans="1:17" customFormat="1">
      <c r="A43" s="6" t="s">
        <v>849</v>
      </c>
      <c r="B43" s="189">
        <v>21.36</v>
      </c>
      <c r="C43" s="189">
        <v>24.43</v>
      </c>
      <c r="D43" s="189">
        <v>31.25</v>
      </c>
      <c r="E43" s="189">
        <v>7.75</v>
      </c>
      <c r="F43" s="189">
        <v>2.52</v>
      </c>
      <c r="G43" s="189">
        <v>6.27</v>
      </c>
      <c r="H43" s="189">
        <v>3.59</v>
      </c>
      <c r="I43" s="189">
        <v>4.43</v>
      </c>
      <c r="J43" s="189">
        <v>0.4</v>
      </c>
      <c r="K43" s="189">
        <v>46.85</v>
      </c>
      <c r="L43" s="189">
        <v>19.010000000000002</v>
      </c>
      <c r="M43" s="189">
        <v>100.82</v>
      </c>
      <c r="N43" s="189">
        <v>30.3</v>
      </c>
      <c r="O43" s="189">
        <v>0</v>
      </c>
      <c r="P43" s="189">
        <v>0.64</v>
      </c>
      <c r="Q43" s="189">
        <v>4.93</v>
      </c>
    </row>
    <row r="44" spans="1:17" customFormat="1">
      <c r="A44" s="6" t="s">
        <v>850</v>
      </c>
      <c r="B44" s="189">
        <v>22.1</v>
      </c>
      <c r="C44" s="189">
        <v>24.53</v>
      </c>
      <c r="D44" s="189">
        <v>31.89</v>
      </c>
      <c r="E44" s="189">
        <v>8.0500000000000007</v>
      </c>
      <c r="F44" s="189">
        <v>2.66</v>
      </c>
      <c r="G44" s="189">
        <v>6.27</v>
      </c>
      <c r="H44" s="189">
        <v>3.59</v>
      </c>
      <c r="I44" s="189">
        <v>4.53</v>
      </c>
      <c r="J44" s="189">
        <v>0.43</v>
      </c>
      <c r="K44" s="189">
        <v>44.57</v>
      </c>
      <c r="L44" s="189">
        <v>19.11</v>
      </c>
      <c r="M44" s="189">
        <v>100.85</v>
      </c>
      <c r="N44" s="189">
        <v>39.6</v>
      </c>
      <c r="O44" s="189">
        <v>0</v>
      </c>
      <c r="P44" s="189">
        <v>0.65</v>
      </c>
      <c r="Q44" s="189">
        <v>4.97</v>
      </c>
    </row>
    <row r="45" spans="1:17" customFormat="1">
      <c r="A45" s="6" t="s">
        <v>851</v>
      </c>
      <c r="B45" s="189">
        <v>22.76</v>
      </c>
      <c r="C45" s="189">
        <v>24.42</v>
      </c>
      <c r="D45" s="189">
        <v>32.36</v>
      </c>
      <c r="E45" s="189">
        <v>7.87</v>
      </c>
      <c r="F45" s="189">
        <v>2.59</v>
      </c>
      <c r="G45" s="189">
        <v>6.27</v>
      </c>
      <c r="H45" s="189">
        <v>3.59</v>
      </c>
      <c r="I45" s="189">
        <v>4.6900000000000004</v>
      </c>
      <c r="J45" s="189">
        <v>0.33</v>
      </c>
      <c r="K45" s="189">
        <v>31.95</v>
      </c>
      <c r="L45" s="189">
        <v>19.36</v>
      </c>
      <c r="M45" s="189">
        <v>100.85</v>
      </c>
      <c r="N45" s="189">
        <v>28.9</v>
      </c>
      <c r="O45" s="189">
        <v>0</v>
      </c>
      <c r="P45" s="189">
        <v>0.67</v>
      </c>
      <c r="Q45" s="189">
        <v>4.99</v>
      </c>
    </row>
    <row r="46" spans="1:17" customFormat="1">
      <c r="A46" s="6" t="s">
        <v>852</v>
      </c>
      <c r="B46" s="189">
        <v>24.03</v>
      </c>
      <c r="C46" s="189">
        <v>23.64</v>
      </c>
      <c r="D46" s="189">
        <v>32.97</v>
      </c>
      <c r="E46" s="189">
        <v>8.1999999999999993</v>
      </c>
      <c r="F46" s="189">
        <v>2.71</v>
      </c>
      <c r="G46" s="189">
        <v>7.33</v>
      </c>
      <c r="H46" s="189">
        <v>3.94</v>
      </c>
      <c r="I46" s="189">
        <v>4.87</v>
      </c>
      <c r="J46" s="189">
        <v>0.43</v>
      </c>
      <c r="K46" s="189">
        <v>36.49</v>
      </c>
      <c r="L46" s="189">
        <v>19.32</v>
      </c>
      <c r="M46" s="189">
        <v>100.75</v>
      </c>
      <c r="N46" s="189">
        <v>32.200000000000003</v>
      </c>
      <c r="O46" s="189">
        <v>0</v>
      </c>
      <c r="P46" s="189">
        <v>0.68</v>
      </c>
      <c r="Q46" s="189">
        <v>4.99</v>
      </c>
    </row>
    <row r="47" spans="1:17" customFormat="1">
      <c r="A47" s="6" t="s">
        <v>853</v>
      </c>
      <c r="B47" s="189">
        <v>25.47</v>
      </c>
      <c r="C47" s="189">
        <v>21.76</v>
      </c>
      <c r="D47" s="189">
        <v>33.15</v>
      </c>
      <c r="E47" s="189">
        <v>7.76</v>
      </c>
      <c r="F47" s="189">
        <v>2.93</v>
      </c>
      <c r="G47" s="189">
        <v>7.86</v>
      </c>
      <c r="H47" s="189">
        <v>3.98</v>
      </c>
      <c r="I47" s="189">
        <v>4.95</v>
      </c>
      <c r="J47" s="189">
        <v>0.46</v>
      </c>
      <c r="K47" s="189">
        <v>26.09</v>
      </c>
      <c r="L47" s="189">
        <v>19.48</v>
      </c>
      <c r="M47" s="189">
        <v>100.61</v>
      </c>
      <c r="N47" s="189">
        <v>62.8</v>
      </c>
      <c r="O47" s="189">
        <v>0</v>
      </c>
      <c r="P47" s="189">
        <v>0.67</v>
      </c>
      <c r="Q47" s="189">
        <v>5.03</v>
      </c>
    </row>
    <row r="48" spans="1:17" customFormat="1">
      <c r="A48" s="6" t="s">
        <v>854</v>
      </c>
      <c r="B48" s="189">
        <v>26.57</v>
      </c>
      <c r="C48" s="189">
        <v>20.85</v>
      </c>
      <c r="D48" s="189">
        <v>33.549999999999997</v>
      </c>
      <c r="E48" s="189">
        <v>7.54</v>
      </c>
      <c r="F48" s="189">
        <v>2.82</v>
      </c>
      <c r="G48" s="189">
        <v>7.86</v>
      </c>
      <c r="H48" s="189">
        <v>3.98</v>
      </c>
      <c r="I48" s="189">
        <v>5.01</v>
      </c>
      <c r="J48" s="189">
        <v>0.43</v>
      </c>
      <c r="K48" s="189">
        <v>25.71</v>
      </c>
      <c r="L48" s="189">
        <v>19.59</v>
      </c>
      <c r="M48" s="189">
        <v>100.56</v>
      </c>
      <c r="N48" s="189">
        <v>69.599999999999994</v>
      </c>
      <c r="O48" s="189">
        <v>0.2</v>
      </c>
      <c r="P48" s="189">
        <v>0.68</v>
      </c>
      <c r="Q48" s="189">
        <v>5.05</v>
      </c>
    </row>
    <row r="49" spans="1:17" customFormat="1">
      <c r="A49" s="6" t="s">
        <v>855</v>
      </c>
      <c r="B49" s="189">
        <v>27.47</v>
      </c>
      <c r="C49" s="189">
        <v>22.09</v>
      </c>
      <c r="D49" s="189">
        <v>34.92</v>
      </c>
      <c r="E49" s="189">
        <v>6.39</v>
      </c>
      <c r="F49" s="189">
        <v>2.64</v>
      </c>
      <c r="G49" s="189">
        <v>7.86</v>
      </c>
      <c r="H49" s="189">
        <v>3.98</v>
      </c>
      <c r="I49" s="189">
        <v>5.08</v>
      </c>
      <c r="J49" s="189">
        <v>0.43</v>
      </c>
      <c r="K49" s="189">
        <v>14.95</v>
      </c>
      <c r="L49" s="189">
        <v>19.59</v>
      </c>
      <c r="M49" s="189">
        <v>100.54</v>
      </c>
      <c r="N49" s="189">
        <v>45.6</v>
      </c>
      <c r="O49" s="189">
        <v>0</v>
      </c>
      <c r="P49" s="189">
        <v>0.7</v>
      </c>
      <c r="Q49" s="189">
        <v>5.08</v>
      </c>
    </row>
    <row r="50" spans="1:17" customFormat="1">
      <c r="A50" s="6" t="s">
        <v>856</v>
      </c>
      <c r="B50" s="189">
        <v>28.27</v>
      </c>
      <c r="C50" s="189">
        <v>21.49</v>
      </c>
      <c r="D50" s="189">
        <v>35.25</v>
      </c>
      <c r="E50" s="189">
        <v>7.32</v>
      </c>
      <c r="F50" s="189">
        <v>2.79</v>
      </c>
      <c r="G50" s="189">
        <v>8.32</v>
      </c>
      <c r="H50" s="189">
        <v>4.57</v>
      </c>
      <c r="I50" s="189">
        <v>5.17</v>
      </c>
      <c r="J50" s="189">
        <v>0.32</v>
      </c>
      <c r="K50" s="189">
        <v>19.96</v>
      </c>
      <c r="L50" s="189">
        <v>19.52</v>
      </c>
      <c r="M50" s="189">
        <v>100.53</v>
      </c>
      <c r="N50" s="189">
        <v>42.1</v>
      </c>
      <c r="O50" s="189">
        <v>0</v>
      </c>
      <c r="P50" s="189">
        <v>0.71</v>
      </c>
      <c r="Q50" s="189">
        <v>5.09</v>
      </c>
    </row>
    <row r="51" spans="1:17" customFormat="1">
      <c r="A51" s="6" t="s">
        <v>857</v>
      </c>
      <c r="B51" s="189">
        <v>28.73</v>
      </c>
      <c r="C51" s="189">
        <v>22.22</v>
      </c>
      <c r="D51" s="189">
        <v>36</v>
      </c>
      <c r="E51" s="189">
        <v>7.33</v>
      </c>
      <c r="F51" s="189">
        <v>2.59</v>
      </c>
      <c r="G51" s="189">
        <v>8.5399999999999991</v>
      </c>
      <c r="H51" s="189">
        <v>4.6399999999999997</v>
      </c>
      <c r="I51" s="189">
        <v>5.25</v>
      </c>
      <c r="J51" s="189">
        <v>0.34</v>
      </c>
      <c r="K51" s="189">
        <v>23.8</v>
      </c>
      <c r="L51" s="189">
        <v>19.63</v>
      </c>
      <c r="M51" s="189">
        <v>100.53</v>
      </c>
      <c r="N51" s="189">
        <v>39.200000000000003</v>
      </c>
      <c r="O51" s="189">
        <v>0</v>
      </c>
      <c r="P51" s="189">
        <v>0.72</v>
      </c>
      <c r="Q51" s="189">
        <v>5.0999999999999996</v>
      </c>
    </row>
    <row r="52" spans="1:17" customFormat="1">
      <c r="A52" s="6" t="s">
        <v>858</v>
      </c>
      <c r="B52" s="189">
        <v>29.23</v>
      </c>
      <c r="C52" s="189">
        <v>21.42</v>
      </c>
      <c r="D52" s="189">
        <v>35.979999999999997</v>
      </c>
      <c r="E52" s="189">
        <v>7.33</v>
      </c>
      <c r="F52" s="189">
        <v>2.78</v>
      </c>
      <c r="G52" s="189">
        <v>8.5399999999999991</v>
      </c>
      <c r="H52" s="189">
        <v>4.6399999999999997</v>
      </c>
      <c r="I52" s="189">
        <v>5.29</v>
      </c>
      <c r="J52" s="189">
        <v>0.21</v>
      </c>
      <c r="K52" s="189">
        <v>47.2</v>
      </c>
      <c r="L52" s="189">
        <v>19.61</v>
      </c>
      <c r="M52" s="189">
        <v>100.53</v>
      </c>
      <c r="N52" s="189">
        <v>44.4</v>
      </c>
      <c r="O52" s="189">
        <v>0</v>
      </c>
      <c r="P52" s="189">
        <v>0.72</v>
      </c>
      <c r="Q52" s="189">
        <v>5.12</v>
      </c>
    </row>
    <row r="53" spans="1:17" customFormat="1">
      <c r="A53" s="6" t="s">
        <v>859</v>
      </c>
      <c r="B53" s="189">
        <v>29.45</v>
      </c>
      <c r="C53" s="189">
        <v>21.4</v>
      </c>
      <c r="D53" s="189">
        <v>36.15</v>
      </c>
      <c r="E53" s="189">
        <v>7.49</v>
      </c>
      <c r="F53" s="189">
        <v>2.7</v>
      </c>
      <c r="G53" s="189">
        <v>8.5399999999999991</v>
      </c>
      <c r="H53" s="189">
        <v>4.6399999999999997</v>
      </c>
      <c r="I53" s="189">
        <v>5.34</v>
      </c>
      <c r="J53" s="189">
        <v>0.28000000000000003</v>
      </c>
      <c r="K53" s="189">
        <v>25.79</v>
      </c>
      <c r="L53" s="189">
        <v>19.62</v>
      </c>
      <c r="M53" s="189">
        <v>100.53</v>
      </c>
      <c r="N53" s="189">
        <v>43.5</v>
      </c>
      <c r="O53" s="189">
        <v>0</v>
      </c>
      <c r="P53" s="189">
        <v>0.73</v>
      </c>
      <c r="Q53" s="189">
        <v>5.0999999999999996</v>
      </c>
    </row>
    <row r="54" spans="1:17" customFormat="1">
      <c r="A54" s="6" t="s">
        <v>860</v>
      </c>
      <c r="B54" s="189">
        <v>29.57</v>
      </c>
      <c r="C54" s="189">
        <v>21.27</v>
      </c>
      <c r="D54" s="189">
        <v>36.17</v>
      </c>
      <c r="E54" s="189">
        <v>7.45</v>
      </c>
      <c r="F54" s="189">
        <v>2.7</v>
      </c>
      <c r="G54" s="189">
        <v>18.02</v>
      </c>
      <c r="H54" s="189">
        <v>5.58</v>
      </c>
      <c r="I54" s="189">
        <v>5.4</v>
      </c>
      <c r="J54" s="189">
        <v>0.41</v>
      </c>
      <c r="K54" s="189">
        <v>302.93</v>
      </c>
      <c r="L54" s="189">
        <v>19.63</v>
      </c>
      <c r="M54" s="189">
        <v>100.51</v>
      </c>
      <c r="N54" s="189">
        <v>43.1</v>
      </c>
      <c r="O54" s="189">
        <v>0</v>
      </c>
      <c r="P54" s="189">
        <v>0.73</v>
      </c>
      <c r="Q54" s="189">
        <v>5.0999999999999996</v>
      </c>
    </row>
    <row r="55" spans="1:17" customFormat="1">
      <c r="A55" s="6" t="s">
        <v>861</v>
      </c>
      <c r="B55" s="189">
        <v>29.79</v>
      </c>
      <c r="C55" s="189">
        <v>21.05</v>
      </c>
      <c r="D55" s="189">
        <v>36.24</v>
      </c>
      <c r="E55" s="189">
        <v>7.46</v>
      </c>
      <c r="F55" s="189">
        <v>2.66</v>
      </c>
      <c r="G55" s="189">
        <v>22.76</v>
      </c>
      <c r="H55" s="189">
        <v>5.82</v>
      </c>
      <c r="I55" s="189">
        <v>5.41</v>
      </c>
      <c r="J55" s="189">
        <v>0.17</v>
      </c>
      <c r="K55" s="189">
        <v>350.26</v>
      </c>
      <c r="L55" s="189">
        <v>19.66</v>
      </c>
      <c r="M55" s="189">
        <v>100.44</v>
      </c>
      <c r="N55" s="189">
        <v>40.1</v>
      </c>
      <c r="O55" s="189">
        <v>0</v>
      </c>
      <c r="P55" s="189">
        <v>0.74</v>
      </c>
      <c r="Q55" s="189">
        <v>5.1100000000000003</v>
      </c>
    </row>
    <row r="56" spans="1:17" customFormat="1">
      <c r="A56" s="6" t="s">
        <v>862</v>
      </c>
      <c r="B56" s="189">
        <v>29.6</v>
      </c>
      <c r="C56" s="189">
        <v>21.54</v>
      </c>
      <c r="D56" s="189">
        <v>36.35</v>
      </c>
      <c r="E56" s="189">
        <v>7.57</v>
      </c>
      <c r="F56" s="189">
        <v>2.6</v>
      </c>
      <c r="G56" s="189">
        <v>22.76</v>
      </c>
      <c r="H56" s="189">
        <v>5.82</v>
      </c>
      <c r="I56" s="189">
        <v>5.46</v>
      </c>
      <c r="J56" s="189">
        <v>0.19</v>
      </c>
      <c r="K56" s="189">
        <v>49.96</v>
      </c>
      <c r="L56" s="189">
        <v>19.71</v>
      </c>
      <c r="M56" s="189">
        <v>99.99</v>
      </c>
      <c r="N56" s="189">
        <v>41.9</v>
      </c>
      <c r="O56" s="189">
        <v>0</v>
      </c>
      <c r="P56" s="189">
        <v>0.74</v>
      </c>
      <c r="Q56" s="189">
        <v>5.14</v>
      </c>
    </row>
    <row r="57" spans="1:17" customFormat="1">
      <c r="A57" s="6" t="s">
        <v>863</v>
      </c>
      <c r="B57" s="189">
        <v>29.69</v>
      </c>
      <c r="C57" s="189">
        <v>21.06</v>
      </c>
      <c r="D57" s="189">
        <v>36.159999999999997</v>
      </c>
      <c r="E57" s="189">
        <v>7.51</v>
      </c>
      <c r="F57" s="189">
        <v>2.63</v>
      </c>
      <c r="G57" s="189">
        <v>22.76</v>
      </c>
      <c r="H57" s="189">
        <v>5.82</v>
      </c>
      <c r="I57" s="189">
        <v>5.47</v>
      </c>
      <c r="J57" s="189">
        <v>0.36</v>
      </c>
      <c r="K57" s="189">
        <v>319.44</v>
      </c>
      <c r="L57" s="189">
        <v>19.77</v>
      </c>
      <c r="M57" s="189">
        <v>99.71</v>
      </c>
      <c r="N57" s="189">
        <v>35.200000000000003</v>
      </c>
      <c r="O57" s="189">
        <v>0</v>
      </c>
      <c r="P57" s="189">
        <v>0.75</v>
      </c>
      <c r="Q57" s="189">
        <v>5.14</v>
      </c>
    </row>
    <row r="58" spans="1:17" customFormat="1">
      <c r="A58" s="6" t="s">
        <v>864</v>
      </c>
      <c r="B58" s="189">
        <v>29.99</v>
      </c>
      <c r="C58" s="189">
        <v>21.68</v>
      </c>
      <c r="D58" s="189">
        <v>36.729999999999997</v>
      </c>
      <c r="E58" s="189">
        <v>7.39</v>
      </c>
      <c r="F58" s="189">
        <v>2.62</v>
      </c>
      <c r="G58" s="189">
        <v>32.43</v>
      </c>
      <c r="H58" s="189">
        <v>9.6199999999999992</v>
      </c>
      <c r="I58" s="189">
        <v>5.48</v>
      </c>
      <c r="J58" s="189">
        <v>0.22</v>
      </c>
      <c r="K58" s="189">
        <v>346.51</v>
      </c>
      <c r="L58" s="189">
        <v>19.7</v>
      </c>
      <c r="M58" s="189">
        <v>99.68</v>
      </c>
      <c r="N58" s="189">
        <v>35.799999999999997</v>
      </c>
      <c r="O58" s="189">
        <v>0</v>
      </c>
      <c r="P58" s="189">
        <v>0.78</v>
      </c>
      <c r="Q58" s="189">
        <v>5.14</v>
      </c>
    </row>
    <row r="59" spans="1:17" customFormat="1">
      <c r="A59" s="6" t="s">
        <v>865</v>
      </c>
      <c r="B59" s="189">
        <v>30.7</v>
      </c>
      <c r="C59" s="189">
        <v>21.91</v>
      </c>
      <c r="D59" s="189">
        <v>37.42</v>
      </c>
      <c r="E59" s="189">
        <v>7.65</v>
      </c>
      <c r="F59" s="189">
        <v>2.68</v>
      </c>
      <c r="G59" s="189">
        <v>37.26</v>
      </c>
      <c r="H59" s="189">
        <v>10.36</v>
      </c>
      <c r="I59" s="189">
        <v>5.52</v>
      </c>
      <c r="J59" s="189">
        <v>0.21</v>
      </c>
      <c r="K59" s="189">
        <v>329.45</v>
      </c>
      <c r="L59" s="189">
        <v>19.66</v>
      </c>
      <c r="M59" s="189">
        <v>99.65</v>
      </c>
      <c r="N59" s="189">
        <v>30.1</v>
      </c>
      <c r="O59" s="189">
        <v>0</v>
      </c>
      <c r="P59" s="189">
        <v>0.8</v>
      </c>
      <c r="Q59" s="189">
        <v>5.16</v>
      </c>
    </row>
    <row r="60" spans="1:17" customFormat="1">
      <c r="A60" s="6" t="s">
        <v>866</v>
      </c>
      <c r="B60" s="189">
        <v>31.73</v>
      </c>
      <c r="C60" s="189">
        <v>21.94</v>
      </c>
      <c r="D60" s="189">
        <v>38.26</v>
      </c>
      <c r="E60" s="189">
        <v>7.72</v>
      </c>
      <c r="F60" s="189">
        <v>2.5299999999999998</v>
      </c>
      <c r="G60" s="189">
        <v>37.26</v>
      </c>
      <c r="H60" s="189">
        <v>10.36</v>
      </c>
      <c r="I60" s="189">
        <v>5.61</v>
      </c>
      <c r="J60" s="189">
        <v>0.33</v>
      </c>
      <c r="K60" s="189">
        <v>337.73</v>
      </c>
      <c r="L60" s="189">
        <v>19.57</v>
      </c>
      <c r="M60" s="189">
        <v>99.57</v>
      </c>
      <c r="N60" s="189">
        <v>29.9</v>
      </c>
      <c r="O60" s="189">
        <v>0</v>
      </c>
      <c r="P60" s="189">
        <v>0.82</v>
      </c>
      <c r="Q60" s="189">
        <v>5.18</v>
      </c>
    </row>
    <row r="61" spans="1:17" customFormat="1">
      <c r="A61" s="6" t="s">
        <v>867</v>
      </c>
      <c r="B61" s="189">
        <v>32.58</v>
      </c>
      <c r="C61" s="189">
        <v>21.6</v>
      </c>
      <c r="D61" s="189">
        <v>38.770000000000003</v>
      </c>
      <c r="E61" s="189">
        <v>7.78</v>
      </c>
      <c r="F61" s="189">
        <v>2.61</v>
      </c>
      <c r="G61" s="189">
        <v>37.26</v>
      </c>
      <c r="H61" s="189">
        <v>10.36</v>
      </c>
      <c r="I61" s="189">
        <v>5.7</v>
      </c>
      <c r="J61" s="189">
        <v>0.41</v>
      </c>
      <c r="K61" s="189">
        <v>309.97000000000003</v>
      </c>
      <c r="L61" s="189">
        <v>19.53</v>
      </c>
      <c r="M61" s="189">
        <v>99.59</v>
      </c>
      <c r="N61" s="189">
        <v>29.9</v>
      </c>
      <c r="O61" s="189">
        <v>0</v>
      </c>
      <c r="P61" s="189">
        <v>0.84</v>
      </c>
      <c r="Q61" s="189">
        <v>5.22</v>
      </c>
    </row>
    <row r="62" spans="1:17" customFormat="1">
      <c r="A62" s="6" t="s">
        <v>868</v>
      </c>
      <c r="B62" s="189">
        <v>32.869999999999997</v>
      </c>
      <c r="C62" s="189">
        <v>21.62</v>
      </c>
      <c r="D62" s="189">
        <v>39.01</v>
      </c>
      <c r="E62" s="189">
        <v>7.68</v>
      </c>
      <c r="F62" s="189">
        <v>2.73</v>
      </c>
      <c r="G62" s="189">
        <v>50.53</v>
      </c>
      <c r="H62" s="189">
        <v>10.73</v>
      </c>
      <c r="I62" s="189">
        <v>5.75</v>
      </c>
      <c r="J62" s="189">
        <v>0.48</v>
      </c>
      <c r="K62" s="189">
        <v>321.85000000000002</v>
      </c>
      <c r="L62" s="189">
        <v>19.47</v>
      </c>
      <c r="M62" s="189">
        <v>99.57</v>
      </c>
      <c r="N62" s="189">
        <v>17.399999999999999</v>
      </c>
      <c r="O62" s="189">
        <v>0</v>
      </c>
      <c r="P62" s="189">
        <v>0.85</v>
      </c>
      <c r="Q62" s="189">
        <v>5.22</v>
      </c>
    </row>
    <row r="63" spans="1:17" customFormat="1">
      <c r="A63" s="6" t="s">
        <v>869</v>
      </c>
      <c r="B63" s="189">
        <v>31.41</v>
      </c>
      <c r="C63" s="189">
        <v>22.69</v>
      </c>
      <c r="D63" s="189">
        <v>38.39</v>
      </c>
      <c r="E63" s="189">
        <v>9.26</v>
      </c>
      <c r="F63" s="189">
        <v>2.5299999999999998</v>
      </c>
      <c r="G63" s="189">
        <v>57.17</v>
      </c>
      <c r="H63" s="189">
        <v>10.78</v>
      </c>
      <c r="I63" s="189">
        <v>5.81</v>
      </c>
      <c r="J63" s="189">
        <v>0.26</v>
      </c>
      <c r="K63" s="189">
        <v>317.18</v>
      </c>
      <c r="L63" s="189">
        <v>19.43</v>
      </c>
      <c r="M63" s="189">
        <v>99.51</v>
      </c>
      <c r="N63" s="189">
        <v>17.399999999999999</v>
      </c>
      <c r="O63" s="189">
        <v>0</v>
      </c>
      <c r="P63" s="189">
        <v>0.85</v>
      </c>
      <c r="Q63" s="189">
        <v>5.2</v>
      </c>
    </row>
    <row r="64" spans="1:17" customFormat="1">
      <c r="A64" s="6" t="s">
        <v>870</v>
      </c>
      <c r="B64" s="189">
        <v>29.7</v>
      </c>
      <c r="C64" s="189">
        <v>22.22</v>
      </c>
      <c r="D64" s="189">
        <v>36.78</v>
      </c>
      <c r="E64" s="189">
        <v>7.89</v>
      </c>
      <c r="F64" s="189">
        <v>2.74</v>
      </c>
      <c r="G64" s="189">
        <v>57.17</v>
      </c>
      <c r="H64" s="189">
        <v>10.78</v>
      </c>
      <c r="I64" s="189">
        <v>5.91</v>
      </c>
      <c r="J64" s="189">
        <v>0.27</v>
      </c>
      <c r="K64" s="189">
        <v>337.53</v>
      </c>
      <c r="L64" s="189">
        <v>19.399999999999999</v>
      </c>
      <c r="M64" s="189">
        <v>99.57</v>
      </c>
      <c r="N64" s="189">
        <v>15.1</v>
      </c>
      <c r="O64" s="189">
        <v>0</v>
      </c>
      <c r="P64" s="189">
        <v>0.86</v>
      </c>
      <c r="Q64" s="189">
        <v>5.17</v>
      </c>
    </row>
    <row r="65" spans="1:17" customFormat="1">
      <c r="A65" s="6" t="s">
        <v>871</v>
      </c>
      <c r="B65" s="189">
        <v>27.16</v>
      </c>
      <c r="C65" s="189">
        <v>22.58</v>
      </c>
      <c r="D65" s="189">
        <v>34.93</v>
      </c>
      <c r="E65" s="189">
        <v>7.88</v>
      </c>
      <c r="F65" s="189">
        <v>2.73</v>
      </c>
      <c r="G65" s="189">
        <v>57.17</v>
      </c>
      <c r="H65" s="189">
        <v>10.78</v>
      </c>
      <c r="I65" s="189">
        <v>6</v>
      </c>
      <c r="J65" s="189">
        <v>0.24</v>
      </c>
      <c r="K65" s="189">
        <v>23.53</v>
      </c>
      <c r="L65" s="189">
        <v>19.489999999999998</v>
      </c>
      <c r="M65" s="189">
        <v>99.75</v>
      </c>
      <c r="N65" s="189">
        <v>19.3</v>
      </c>
      <c r="O65" s="189">
        <v>0</v>
      </c>
      <c r="P65" s="189">
        <v>0.83</v>
      </c>
      <c r="Q65" s="189">
        <v>5.12</v>
      </c>
    </row>
    <row r="66" spans="1:17" customFormat="1">
      <c r="A66" s="6" t="s">
        <v>872</v>
      </c>
      <c r="B66" s="189">
        <v>22.53</v>
      </c>
      <c r="C66" s="189">
        <v>24.04</v>
      </c>
      <c r="D66" s="189">
        <v>31.98</v>
      </c>
      <c r="E66" s="189">
        <v>8.2200000000000006</v>
      </c>
      <c r="F66" s="189">
        <v>2.5299999999999998</v>
      </c>
      <c r="G66" s="189">
        <v>50.38</v>
      </c>
      <c r="H66" s="189">
        <v>10.92</v>
      </c>
      <c r="I66" s="189">
        <v>6.03</v>
      </c>
      <c r="J66" s="189">
        <v>0.28999999999999998</v>
      </c>
      <c r="K66" s="189">
        <v>323.76</v>
      </c>
      <c r="L66" s="189">
        <v>19.43</v>
      </c>
      <c r="M66" s="189">
        <v>99.85</v>
      </c>
      <c r="N66" s="189">
        <v>28.1</v>
      </c>
      <c r="O66" s="189">
        <v>0</v>
      </c>
      <c r="P66" s="189">
        <v>0.85</v>
      </c>
      <c r="Q66" s="189">
        <v>5</v>
      </c>
    </row>
    <row r="67" spans="1:17" customFormat="1">
      <c r="A67" s="6" t="s">
        <v>873</v>
      </c>
      <c r="B67" s="189">
        <v>20.100000000000001</v>
      </c>
      <c r="C67" s="189">
        <v>24.24</v>
      </c>
      <c r="D67" s="189">
        <v>30.13</v>
      </c>
      <c r="E67" s="189">
        <v>7.45</v>
      </c>
      <c r="F67" s="189">
        <v>2.54</v>
      </c>
      <c r="G67" s="189">
        <v>46.99</v>
      </c>
      <c r="H67" s="189">
        <v>10.94</v>
      </c>
      <c r="I67" s="189">
        <v>5.92</v>
      </c>
      <c r="J67" s="189">
        <v>0.24</v>
      </c>
      <c r="K67" s="189">
        <v>320.66000000000003</v>
      </c>
      <c r="L67" s="189">
        <v>19.489999999999998</v>
      </c>
      <c r="M67" s="189">
        <v>99.92</v>
      </c>
      <c r="N67" s="189">
        <v>63.1</v>
      </c>
      <c r="O67" s="189">
        <v>0</v>
      </c>
      <c r="P67" s="189">
        <v>0.85</v>
      </c>
      <c r="Q67" s="189">
        <v>4.92</v>
      </c>
    </row>
    <row r="68" spans="1:17" customFormat="1">
      <c r="A68" s="6" t="s">
        <v>874</v>
      </c>
      <c r="B68" s="189">
        <v>18.73</v>
      </c>
      <c r="C68" s="189">
        <v>24.6</v>
      </c>
      <c r="D68" s="189">
        <v>29.22</v>
      </c>
      <c r="E68" s="189">
        <v>7.61</v>
      </c>
      <c r="F68" s="189">
        <v>2.6</v>
      </c>
      <c r="G68" s="189">
        <v>46.99</v>
      </c>
      <c r="H68" s="189">
        <v>10.94</v>
      </c>
      <c r="I68" s="189">
        <v>5.51</v>
      </c>
      <c r="J68" s="189">
        <v>0.28999999999999998</v>
      </c>
      <c r="K68" s="189">
        <v>320.91000000000003</v>
      </c>
      <c r="L68" s="189">
        <v>19.79</v>
      </c>
      <c r="M68" s="189">
        <v>100.04</v>
      </c>
      <c r="N68" s="189">
        <v>39.1</v>
      </c>
      <c r="O68" s="189">
        <v>0</v>
      </c>
      <c r="P68" s="189">
        <v>0.85</v>
      </c>
      <c r="Q68" s="189">
        <v>4.87</v>
      </c>
    </row>
    <row r="69" spans="1:17" customFormat="1">
      <c r="A69" s="6" t="s">
        <v>875</v>
      </c>
      <c r="B69" s="189">
        <v>18.55</v>
      </c>
      <c r="C69" s="189">
        <v>24.66</v>
      </c>
      <c r="D69" s="189">
        <v>29.11</v>
      </c>
      <c r="E69" s="189">
        <v>7.46</v>
      </c>
      <c r="F69" s="189">
        <v>2.63</v>
      </c>
      <c r="G69" s="189">
        <v>46.99</v>
      </c>
      <c r="H69" s="189">
        <v>10.94</v>
      </c>
      <c r="I69" s="189">
        <v>5.25</v>
      </c>
      <c r="J69" s="189">
        <v>0.24</v>
      </c>
      <c r="K69" s="189">
        <v>21.31</v>
      </c>
      <c r="L69" s="189">
        <v>19.68</v>
      </c>
      <c r="M69" s="189">
        <v>99.35</v>
      </c>
      <c r="N69" s="189">
        <v>29</v>
      </c>
      <c r="O69" s="189">
        <v>0</v>
      </c>
      <c r="P69" s="189">
        <v>0.85</v>
      </c>
      <c r="Q69" s="189">
        <v>4.8600000000000003</v>
      </c>
    </row>
    <row r="70" spans="1:17" customFormat="1">
      <c r="A70" s="6" t="s">
        <v>876</v>
      </c>
      <c r="B70" s="189">
        <v>20.100000000000001</v>
      </c>
      <c r="C70" s="189">
        <v>26.2</v>
      </c>
      <c r="D70" s="189">
        <v>31.15</v>
      </c>
      <c r="E70" s="189">
        <v>7.15</v>
      </c>
      <c r="F70" s="189">
        <v>2.69</v>
      </c>
      <c r="G70" s="189">
        <v>52.61</v>
      </c>
      <c r="H70" s="189">
        <v>15.67</v>
      </c>
      <c r="I70" s="189">
        <v>5.21</v>
      </c>
      <c r="J70" s="189">
        <v>0.33</v>
      </c>
      <c r="K70" s="189">
        <v>308.45999999999998</v>
      </c>
      <c r="L70" s="189">
        <v>19.77</v>
      </c>
      <c r="M70" s="189">
        <v>99.24</v>
      </c>
      <c r="N70" s="189">
        <v>34.799999999999997</v>
      </c>
      <c r="O70" s="189">
        <v>0</v>
      </c>
      <c r="P70" s="189">
        <v>0.85</v>
      </c>
      <c r="Q70" s="189">
        <v>4.91</v>
      </c>
    </row>
    <row r="71" spans="1:17" customFormat="1">
      <c r="A71" s="6" t="s">
        <v>877</v>
      </c>
      <c r="B71" s="189">
        <v>20.399999999999999</v>
      </c>
      <c r="C71" s="189">
        <v>26.98</v>
      </c>
      <c r="D71" s="189">
        <v>31.8</v>
      </c>
      <c r="E71" s="189">
        <v>6.88</v>
      </c>
      <c r="F71" s="189">
        <v>2.56</v>
      </c>
      <c r="G71" s="189">
        <v>55.42</v>
      </c>
      <c r="H71" s="189">
        <v>16.23</v>
      </c>
      <c r="I71" s="189">
        <v>5.21</v>
      </c>
      <c r="J71" s="189">
        <v>0.43</v>
      </c>
      <c r="K71" s="189">
        <v>307.95999999999998</v>
      </c>
      <c r="L71" s="189">
        <v>19.8</v>
      </c>
      <c r="M71" s="189">
        <v>98.22</v>
      </c>
      <c r="N71" s="189">
        <v>12.4</v>
      </c>
      <c r="O71" s="189">
        <v>0</v>
      </c>
      <c r="P71" s="189">
        <v>0.85</v>
      </c>
      <c r="Q71" s="189">
        <v>4.92</v>
      </c>
    </row>
    <row r="72" spans="1:17" customFormat="1">
      <c r="A72" s="6" t="s">
        <v>878</v>
      </c>
      <c r="B72" s="189">
        <v>20.47</v>
      </c>
      <c r="C72" s="189">
        <v>27.1</v>
      </c>
      <c r="D72" s="189">
        <v>31.92</v>
      </c>
      <c r="E72" s="189">
        <v>7.34</v>
      </c>
      <c r="F72" s="189">
        <v>2.67</v>
      </c>
      <c r="G72" s="189">
        <v>55.42</v>
      </c>
      <c r="H72" s="189">
        <v>16.23</v>
      </c>
      <c r="I72" s="189">
        <v>5.24</v>
      </c>
      <c r="J72" s="189">
        <v>0.47</v>
      </c>
      <c r="K72" s="189">
        <v>291.58999999999997</v>
      </c>
      <c r="L72" s="189">
        <v>19.75</v>
      </c>
      <c r="M72" s="189">
        <v>98.78</v>
      </c>
      <c r="N72" s="189">
        <v>15</v>
      </c>
      <c r="O72" s="189">
        <v>0</v>
      </c>
      <c r="P72" s="189">
        <v>0.86</v>
      </c>
      <c r="Q72" s="189">
        <v>4.92</v>
      </c>
    </row>
    <row r="73" spans="1:17" customFormat="1">
      <c r="A73" s="6" t="s">
        <v>879</v>
      </c>
      <c r="B73" s="189">
        <v>20.38</v>
      </c>
      <c r="C73" s="189">
        <v>27.42</v>
      </c>
      <c r="D73" s="189">
        <v>32.020000000000003</v>
      </c>
      <c r="E73" s="189">
        <v>7.52</v>
      </c>
      <c r="F73" s="189">
        <v>2.61</v>
      </c>
      <c r="G73" s="189">
        <v>55.42</v>
      </c>
      <c r="H73" s="189">
        <v>16.23</v>
      </c>
      <c r="I73" s="189">
        <v>5.27</v>
      </c>
      <c r="J73" s="189">
        <v>0.3</v>
      </c>
      <c r="K73" s="189">
        <v>291.76</v>
      </c>
      <c r="L73" s="189">
        <v>19.7</v>
      </c>
      <c r="M73" s="189">
        <v>98.81</v>
      </c>
      <c r="N73" s="189">
        <v>6.5</v>
      </c>
      <c r="O73" s="189">
        <v>0</v>
      </c>
      <c r="P73" s="189">
        <v>0.85</v>
      </c>
      <c r="Q73" s="189">
        <v>4.93</v>
      </c>
    </row>
    <row r="74" spans="1:17" customFormat="1">
      <c r="A74" s="6" t="s">
        <v>880</v>
      </c>
      <c r="B74" s="189">
        <v>20.47</v>
      </c>
      <c r="C74" s="189">
        <v>27.28</v>
      </c>
      <c r="D74" s="189">
        <v>32.020000000000003</v>
      </c>
      <c r="E74" s="189">
        <v>7.61</v>
      </c>
      <c r="F74" s="189">
        <v>2.69</v>
      </c>
      <c r="G74" s="189">
        <v>54.71</v>
      </c>
      <c r="H74" s="189">
        <v>15.38</v>
      </c>
      <c r="I74" s="189">
        <v>5.3</v>
      </c>
      <c r="J74" s="189">
        <v>0.5</v>
      </c>
      <c r="K74" s="189">
        <v>302.58999999999997</v>
      </c>
      <c r="L74" s="189">
        <v>19.739999999999998</v>
      </c>
      <c r="M74" s="189">
        <v>97.77</v>
      </c>
      <c r="N74" s="189">
        <v>4.7</v>
      </c>
      <c r="O74" s="189">
        <v>0</v>
      </c>
      <c r="P74" s="189">
        <v>0.86</v>
      </c>
      <c r="Q74" s="189">
        <v>4.9400000000000004</v>
      </c>
    </row>
    <row r="75" spans="1:17" customFormat="1">
      <c r="A75" s="6" t="s">
        <v>881</v>
      </c>
      <c r="B75" s="189">
        <v>21.14</v>
      </c>
      <c r="C75" s="189">
        <v>27.61</v>
      </c>
      <c r="D75" s="189">
        <v>32.729999999999997</v>
      </c>
      <c r="E75" s="189">
        <v>7.57</v>
      </c>
      <c r="F75" s="189">
        <v>2.5299999999999998</v>
      </c>
      <c r="G75" s="189">
        <v>54.34</v>
      </c>
      <c r="H75" s="189">
        <v>15.28</v>
      </c>
      <c r="I75" s="189">
        <v>5.65</v>
      </c>
      <c r="J75" s="189">
        <v>0.24</v>
      </c>
      <c r="K75" s="189">
        <v>13.92</v>
      </c>
      <c r="L75" s="189">
        <v>19.809999999999999</v>
      </c>
      <c r="M75" s="189">
        <v>97.78</v>
      </c>
      <c r="N75" s="189">
        <v>1.1000000000000001</v>
      </c>
      <c r="O75" s="189">
        <v>0</v>
      </c>
      <c r="P75" s="189">
        <v>0.87</v>
      </c>
      <c r="Q75" s="189">
        <v>4.95</v>
      </c>
    </row>
    <row r="76" spans="1:17" customFormat="1">
      <c r="A76" s="6" t="s">
        <v>882</v>
      </c>
      <c r="B76" s="189">
        <v>22.21</v>
      </c>
      <c r="C76" s="189">
        <v>27.7</v>
      </c>
      <c r="D76" s="189">
        <v>33.630000000000003</v>
      </c>
      <c r="E76" s="189">
        <v>7.54</v>
      </c>
      <c r="F76" s="189">
        <v>2.62</v>
      </c>
      <c r="G76" s="189">
        <v>54.34</v>
      </c>
      <c r="H76" s="189">
        <v>15.28</v>
      </c>
      <c r="I76" s="189">
        <v>5.92</v>
      </c>
      <c r="J76" s="189">
        <v>0.21</v>
      </c>
      <c r="K76" s="189">
        <v>318.45999999999998</v>
      </c>
      <c r="L76" s="189">
        <v>19.760000000000002</v>
      </c>
      <c r="M76" s="189">
        <v>98.22</v>
      </c>
      <c r="N76" s="189">
        <v>0</v>
      </c>
      <c r="O76" s="189">
        <v>0</v>
      </c>
      <c r="P76" s="189">
        <v>0.88</v>
      </c>
      <c r="Q76" s="189">
        <v>4.9800000000000004</v>
      </c>
    </row>
    <row r="77" spans="1:17" customFormat="1">
      <c r="A77" s="6" t="s">
        <v>883</v>
      </c>
      <c r="B77" s="189">
        <v>22.71</v>
      </c>
      <c r="C77" s="189">
        <v>28.2</v>
      </c>
      <c r="D77" s="189">
        <v>34.299999999999997</v>
      </c>
      <c r="E77" s="189">
        <v>7.83</v>
      </c>
      <c r="F77" s="189">
        <v>2.4700000000000002</v>
      </c>
      <c r="G77" s="189">
        <v>54.34</v>
      </c>
      <c r="H77" s="189">
        <v>15.28</v>
      </c>
      <c r="I77" s="189">
        <v>6.03</v>
      </c>
      <c r="J77" s="189">
        <v>0.21</v>
      </c>
      <c r="K77" s="189">
        <v>330.73</v>
      </c>
      <c r="L77" s="189">
        <v>19.7</v>
      </c>
      <c r="M77" s="189">
        <v>98.92</v>
      </c>
      <c r="N77" s="189">
        <v>0</v>
      </c>
      <c r="O77" s="189">
        <v>0</v>
      </c>
      <c r="P77" s="189">
        <v>0.89</v>
      </c>
      <c r="Q77" s="189">
        <v>5.01</v>
      </c>
    </row>
    <row r="78" spans="1:17" customFormat="1">
      <c r="A78" s="6" t="s">
        <v>884</v>
      </c>
      <c r="B78" s="189">
        <v>23.29</v>
      </c>
      <c r="C78" s="189">
        <v>28.25</v>
      </c>
      <c r="D78" s="189">
        <v>34.78</v>
      </c>
      <c r="E78" s="189">
        <v>7.8</v>
      </c>
      <c r="F78" s="189">
        <v>2.5299999999999998</v>
      </c>
      <c r="G78" s="189">
        <v>60.84</v>
      </c>
      <c r="H78" s="189">
        <v>16.940000000000001</v>
      </c>
      <c r="I78" s="189">
        <v>6.15</v>
      </c>
      <c r="J78" s="189">
        <v>0.14000000000000001</v>
      </c>
      <c r="K78" s="189">
        <v>318.16000000000003</v>
      </c>
      <c r="L78" s="189">
        <v>19.7</v>
      </c>
      <c r="M78" s="189">
        <v>98.8</v>
      </c>
      <c r="N78" s="189">
        <v>0</v>
      </c>
      <c r="O78" s="189">
        <v>0</v>
      </c>
      <c r="P78" s="189">
        <v>0.89</v>
      </c>
      <c r="Q78" s="189">
        <v>5.0199999999999996</v>
      </c>
    </row>
    <row r="79" spans="1:17" customFormat="1">
      <c r="A79" s="6" t="s">
        <v>885</v>
      </c>
      <c r="B79" s="189">
        <v>24.02</v>
      </c>
      <c r="C79" s="189">
        <v>28.48</v>
      </c>
      <c r="D79" s="189">
        <v>35.49</v>
      </c>
      <c r="E79" s="189">
        <v>8.1199999999999992</v>
      </c>
      <c r="F79" s="189">
        <v>2.5499999999999998</v>
      </c>
      <c r="G79" s="189">
        <v>64.09</v>
      </c>
      <c r="H79" s="189">
        <v>17.13</v>
      </c>
      <c r="I79" s="189">
        <v>6.22</v>
      </c>
      <c r="J79" s="189">
        <v>0.15</v>
      </c>
      <c r="K79" s="189">
        <v>37.229999999999997</v>
      </c>
      <c r="L79" s="189">
        <v>19.739999999999998</v>
      </c>
      <c r="M79" s="189">
        <v>97.95</v>
      </c>
      <c r="N79" s="189">
        <v>0</v>
      </c>
      <c r="O79" s="189">
        <v>0</v>
      </c>
      <c r="P79" s="189">
        <v>0.91</v>
      </c>
      <c r="Q79" s="189">
        <v>5.03</v>
      </c>
    </row>
    <row r="80" spans="1:17" customFormat="1">
      <c r="A80" s="6" t="s">
        <v>886</v>
      </c>
      <c r="B80" s="189">
        <v>26.02</v>
      </c>
      <c r="C80" s="189">
        <v>28.53</v>
      </c>
      <c r="D80" s="189">
        <v>37.119999999999997</v>
      </c>
      <c r="E80" s="189">
        <v>8.31</v>
      </c>
      <c r="F80" s="189">
        <v>2.7</v>
      </c>
      <c r="G80" s="189">
        <v>64.09</v>
      </c>
      <c r="H80" s="189">
        <v>17.13</v>
      </c>
      <c r="I80" s="189">
        <v>6.32</v>
      </c>
      <c r="J80" s="189">
        <v>0.27</v>
      </c>
      <c r="K80" s="189">
        <v>65.040000000000006</v>
      </c>
      <c r="L80" s="189">
        <v>19.760000000000002</v>
      </c>
      <c r="M80" s="189">
        <v>98.03</v>
      </c>
      <c r="N80" s="189">
        <v>0</v>
      </c>
      <c r="O80" s="189">
        <v>0</v>
      </c>
      <c r="P80" s="189">
        <v>0.93</v>
      </c>
      <c r="Q80" s="189">
        <v>5.08</v>
      </c>
    </row>
    <row r="81" spans="1:17" customFormat="1">
      <c r="A81" s="6" t="s">
        <v>887</v>
      </c>
      <c r="B81" s="189">
        <v>27.51</v>
      </c>
      <c r="C81" s="189">
        <v>28.31</v>
      </c>
      <c r="D81" s="189">
        <v>38.200000000000003</v>
      </c>
      <c r="E81" s="189">
        <v>5.36</v>
      </c>
      <c r="F81" s="189">
        <v>2.54</v>
      </c>
      <c r="G81" s="189">
        <v>64.09</v>
      </c>
      <c r="H81" s="189">
        <v>17.13</v>
      </c>
      <c r="I81" s="189">
        <v>6.48</v>
      </c>
      <c r="J81" s="189">
        <v>0.09</v>
      </c>
      <c r="K81" s="189">
        <v>105.46</v>
      </c>
      <c r="L81" s="189">
        <v>19.77</v>
      </c>
      <c r="M81" s="189">
        <v>97.69</v>
      </c>
      <c r="N81" s="189">
        <v>0</v>
      </c>
      <c r="O81" s="189">
        <v>0</v>
      </c>
      <c r="P81" s="189">
        <v>0.94</v>
      </c>
      <c r="Q81" s="189">
        <v>5.14</v>
      </c>
    </row>
    <row r="82" spans="1:17" customFormat="1">
      <c r="A82" s="6" t="s">
        <v>888</v>
      </c>
      <c r="B82" s="189">
        <v>27.77</v>
      </c>
      <c r="C82" s="189">
        <v>28.85</v>
      </c>
      <c r="D82" s="189">
        <v>38.69</v>
      </c>
      <c r="E82" s="189">
        <v>5.74</v>
      </c>
      <c r="F82" s="189">
        <v>2.48</v>
      </c>
      <c r="G82" s="189">
        <v>66.97</v>
      </c>
      <c r="H82" s="189">
        <v>19.07</v>
      </c>
      <c r="I82" s="189">
        <v>6.62</v>
      </c>
      <c r="J82" s="189">
        <v>0.16</v>
      </c>
      <c r="K82" s="189">
        <v>57.78</v>
      </c>
      <c r="L82" s="189">
        <v>19.72</v>
      </c>
      <c r="M82" s="189">
        <v>97.75</v>
      </c>
      <c r="N82" s="189">
        <v>0</v>
      </c>
      <c r="O82" s="189">
        <v>0</v>
      </c>
      <c r="P82" s="189">
        <v>0.95</v>
      </c>
      <c r="Q82" s="189">
        <v>5.16</v>
      </c>
    </row>
    <row r="83" spans="1:17" customFormat="1">
      <c r="A83" s="6" t="s">
        <v>889</v>
      </c>
      <c r="B83" s="189">
        <v>28.48</v>
      </c>
      <c r="C83" s="189">
        <v>28.65</v>
      </c>
      <c r="D83" s="189">
        <v>39.159999999999997</v>
      </c>
      <c r="E83" s="189">
        <v>6.27</v>
      </c>
      <c r="F83" s="189">
        <v>2.41</v>
      </c>
      <c r="G83" s="189">
        <v>68.400000000000006</v>
      </c>
      <c r="H83" s="189">
        <v>19.440000000000001</v>
      </c>
      <c r="I83" s="189">
        <v>6.71</v>
      </c>
      <c r="J83" s="189">
        <v>0.24</v>
      </c>
      <c r="K83" s="189">
        <v>52.57</v>
      </c>
      <c r="L83" s="189">
        <v>19.600000000000001</v>
      </c>
      <c r="M83" s="189">
        <v>97.77</v>
      </c>
      <c r="N83" s="189">
        <v>0</v>
      </c>
      <c r="O83" s="189">
        <v>0</v>
      </c>
      <c r="P83" s="189">
        <v>0.96</v>
      </c>
      <c r="Q83" s="189">
        <v>5.16</v>
      </c>
    </row>
    <row r="84" spans="1:17" customFormat="1">
      <c r="A84" s="6" t="s">
        <v>890</v>
      </c>
      <c r="B84" s="189">
        <v>29.82</v>
      </c>
      <c r="C84" s="189">
        <v>28.34</v>
      </c>
      <c r="D84" s="189">
        <v>40.07</v>
      </c>
      <c r="E84" s="189">
        <v>6.02</v>
      </c>
      <c r="F84" s="189">
        <v>2.4500000000000002</v>
      </c>
      <c r="G84" s="189">
        <v>68.400000000000006</v>
      </c>
      <c r="H84" s="189">
        <v>19.440000000000001</v>
      </c>
      <c r="I84" s="189">
        <v>6.82</v>
      </c>
      <c r="J84" s="189">
        <v>0.15</v>
      </c>
      <c r="K84" s="189">
        <v>66.900000000000006</v>
      </c>
      <c r="L84" s="189">
        <v>19.5</v>
      </c>
      <c r="M84" s="189">
        <v>98.56</v>
      </c>
      <c r="N84" s="189">
        <v>0</v>
      </c>
      <c r="O84" s="189">
        <v>0</v>
      </c>
      <c r="P84" s="189">
        <v>0.99</v>
      </c>
      <c r="Q84" s="189">
        <v>5.23</v>
      </c>
    </row>
    <row r="85" spans="1:17" customFormat="1">
      <c r="A85" s="6" t="s">
        <v>891</v>
      </c>
      <c r="B85" s="189">
        <v>31.16</v>
      </c>
      <c r="C85" s="189">
        <v>29.73</v>
      </c>
      <c r="D85" s="189">
        <v>41.87</v>
      </c>
      <c r="E85" s="189">
        <v>6.28</v>
      </c>
      <c r="F85" s="189">
        <v>2.44</v>
      </c>
      <c r="G85" s="189">
        <v>68.400000000000006</v>
      </c>
      <c r="H85" s="189">
        <v>19.440000000000001</v>
      </c>
      <c r="I85" s="189">
        <v>6.96</v>
      </c>
      <c r="J85" s="189">
        <v>0.23</v>
      </c>
      <c r="K85" s="189">
        <v>48.1</v>
      </c>
      <c r="L85" s="189">
        <v>19.420000000000002</v>
      </c>
      <c r="M85" s="189">
        <v>99.07</v>
      </c>
      <c r="N85" s="189">
        <v>0</v>
      </c>
      <c r="O85" s="189">
        <v>0</v>
      </c>
      <c r="P85" s="189">
        <v>1</v>
      </c>
      <c r="Q85" s="189">
        <v>5.25</v>
      </c>
    </row>
    <row r="86" spans="1:17" customFormat="1">
      <c r="A86" s="6" t="s">
        <v>892</v>
      </c>
      <c r="B86" s="189">
        <v>33.299999999999997</v>
      </c>
      <c r="C86" s="189">
        <v>27.08</v>
      </c>
      <c r="D86" s="189">
        <v>42.2</v>
      </c>
      <c r="E86" s="189">
        <v>6.28</v>
      </c>
      <c r="F86" s="189">
        <v>2.79</v>
      </c>
      <c r="G86" s="189">
        <v>72.069999999999993</v>
      </c>
      <c r="H86" s="189">
        <v>20.58</v>
      </c>
      <c r="I86" s="189">
        <v>7.07</v>
      </c>
      <c r="J86" s="189">
        <v>0.3</v>
      </c>
      <c r="K86" s="189">
        <v>22.22</v>
      </c>
      <c r="L86" s="189">
        <v>19.39</v>
      </c>
      <c r="M86" s="189">
        <v>99.38</v>
      </c>
      <c r="N86" s="189">
        <v>0</v>
      </c>
      <c r="O86" s="189">
        <v>0</v>
      </c>
      <c r="P86" s="189">
        <v>0.99</v>
      </c>
      <c r="Q86" s="189">
        <v>5.29</v>
      </c>
    </row>
    <row r="87" spans="1:17" customFormat="1">
      <c r="A87" s="6" t="s">
        <v>893</v>
      </c>
      <c r="B87" s="189">
        <v>35.119999999999997</v>
      </c>
      <c r="C87" s="189">
        <v>23.57</v>
      </c>
      <c r="D87" s="189">
        <v>41.83</v>
      </c>
      <c r="E87" s="189">
        <v>5.3</v>
      </c>
      <c r="F87" s="189">
        <v>3.01</v>
      </c>
      <c r="G87" s="189">
        <v>73.900000000000006</v>
      </c>
      <c r="H87" s="189">
        <v>20.71</v>
      </c>
      <c r="I87" s="189">
        <v>7.2</v>
      </c>
      <c r="J87" s="189">
        <v>0.23</v>
      </c>
      <c r="K87" s="189">
        <v>27.06</v>
      </c>
      <c r="L87" s="189">
        <v>19.3</v>
      </c>
      <c r="M87" s="189">
        <v>99.43</v>
      </c>
      <c r="N87" s="189">
        <v>0</v>
      </c>
      <c r="O87" s="189">
        <v>0</v>
      </c>
      <c r="P87" s="189">
        <v>0.99</v>
      </c>
      <c r="Q87" s="189">
        <v>5.31</v>
      </c>
    </row>
    <row r="88" spans="1:17" customFormat="1">
      <c r="A88" s="6" t="s">
        <v>894</v>
      </c>
      <c r="B88" s="189">
        <v>35.92</v>
      </c>
      <c r="C88" s="189">
        <v>22.08</v>
      </c>
      <c r="D88" s="189">
        <v>41.69</v>
      </c>
      <c r="E88" s="189">
        <v>5.66</v>
      </c>
      <c r="F88" s="189">
        <v>2.82</v>
      </c>
      <c r="G88" s="189">
        <v>73.900000000000006</v>
      </c>
      <c r="H88" s="189">
        <v>20.71</v>
      </c>
      <c r="I88" s="189">
        <v>7.39</v>
      </c>
      <c r="J88" s="189">
        <v>0.26</v>
      </c>
      <c r="K88" s="189">
        <v>30.12</v>
      </c>
      <c r="L88" s="189">
        <v>19.190000000000001</v>
      </c>
      <c r="M88" s="189">
        <v>99.62</v>
      </c>
      <c r="N88" s="189">
        <v>0</v>
      </c>
      <c r="O88" s="189">
        <v>0</v>
      </c>
      <c r="P88" s="189">
        <v>0.99</v>
      </c>
      <c r="Q88" s="189">
        <v>5.31</v>
      </c>
    </row>
    <row r="89" spans="1:17" customFormat="1">
      <c r="A89" s="6" t="s">
        <v>895</v>
      </c>
      <c r="B89" s="189">
        <v>36.33</v>
      </c>
      <c r="C89" s="189">
        <v>22.71</v>
      </c>
      <c r="D89" s="189">
        <v>42.35</v>
      </c>
      <c r="E89" s="189">
        <v>5.21</v>
      </c>
      <c r="F89" s="189">
        <v>2.57</v>
      </c>
      <c r="G89" s="189">
        <v>73.900000000000006</v>
      </c>
      <c r="H89" s="189">
        <v>20.71</v>
      </c>
      <c r="I89" s="189">
        <v>7.49</v>
      </c>
      <c r="J89" s="189">
        <v>0.26</v>
      </c>
      <c r="K89" s="189">
        <v>40.82</v>
      </c>
      <c r="L89" s="189">
        <v>19.05</v>
      </c>
      <c r="M89" s="189">
        <v>99.85</v>
      </c>
      <c r="N89" s="189">
        <v>0</v>
      </c>
      <c r="O89" s="189">
        <v>0</v>
      </c>
      <c r="P89" s="189">
        <v>1</v>
      </c>
      <c r="Q89" s="189">
        <v>5.3</v>
      </c>
    </row>
    <row r="90" spans="1:17" customFormat="1">
      <c r="A90" s="6" t="s">
        <v>896</v>
      </c>
      <c r="B90" s="189">
        <v>36.89</v>
      </c>
      <c r="C90" s="189">
        <v>23.21</v>
      </c>
      <c r="D90" s="189">
        <v>43.06</v>
      </c>
      <c r="E90" s="189">
        <v>5.01</v>
      </c>
      <c r="F90" s="189">
        <v>2.48</v>
      </c>
      <c r="G90" s="189">
        <v>73.069999999999993</v>
      </c>
      <c r="H90" s="189">
        <v>21.85</v>
      </c>
      <c r="I90" s="189">
        <v>7.54</v>
      </c>
      <c r="J90" s="189">
        <v>0.24</v>
      </c>
      <c r="K90" s="189">
        <v>51.01</v>
      </c>
      <c r="L90" s="189">
        <v>18.91</v>
      </c>
      <c r="M90" s="189">
        <v>100.02</v>
      </c>
      <c r="N90" s="189">
        <v>0</v>
      </c>
      <c r="O90" s="189">
        <v>0</v>
      </c>
      <c r="P90" s="189">
        <v>1.01</v>
      </c>
      <c r="Q90" s="189">
        <v>5.32</v>
      </c>
    </row>
    <row r="91" spans="1:17" customFormat="1">
      <c r="A91" s="6" t="s">
        <v>897</v>
      </c>
      <c r="B91" s="189">
        <v>37.46</v>
      </c>
      <c r="C91" s="189">
        <v>24.52</v>
      </c>
      <c r="D91" s="189">
        <v>44.2</v>
      </c>
      <c r="E91" s="189">
        <v>5.49</v>
      </c>
      <c r="F91" s="189">
        <v>2.34</v>
      </c>
      <c r="G91" s="189">
        <v>72.650000000000006</v>
      </c>
      <c r="H91" s="189">
        <v>21.98</v>
      </c>
      <c r="I91" s="189">
        <v>7.59</v>
      </c>
      <c r="J91" s="189">
        <v>0.12</v>
      </c>
      <c r="K91" s="189">
        <v>114.89</v>
      </c>
      <c r="L91" s="189">
        <v>18.88</v>
      </c>
      <c r="M91" s="189">
        <v>100.21</v>
      </c>
      <c r="N91" s="189">
        <v>0</v>
      </c>
      <c r="O91" s="189">
        <v>0</v>
      </c>
      <c r="P91" s="189">
        <v>1.03</v>
      </c>
      <c r="Q91" s="189">
        <v>5.33</v>
      </c>
    </row>
    <row r="92" spans="1:17" customFormat="1">
      <c r="A92" s="6" t="s">
        <v>898</v>
      </c>
      <c r="B92" s="189">
        <v>37.770000000000003</v>
      </c>
      <c r="C92" s="189">
        <v>22.66</v>
      </c>
      <c r="D92" s="189">
        <v>43.47</v>
      </c>
      <c r="E92" s="189">
        <v>5.32</v>
      </c>
      <c r="F92" s="189">
        <v>2.78</v>
      </c>
      <c r="G92" s="189">
        <v>72.650000000000006</v>
      </c>
      <c r="H92" s="189">
        <v>21.98</v>
      </c>
      <c r="I92" s="189">
        <v>7.62</v>
      </c>
      <c r="J92" s="189">
        <v>0.16</v>
      </c>
      <c r="K92" s="189">
        <v>61.21</v>
      </c>
      <c r="L92" s="189">
        <v>18.8</v>
      </c>
      <c r="M92" s="189">
        <v>100.36</v>
      </c>
      <c r="N92" s="189">
        <v>0</v>
      </c>
      <c r="O92" s="189">
        <v>0</v>
      </c>
      <c r="P92" s="189">
        <v>1.01</v>
      </c>
      <c r="Q92" s="189">
        <v>5.36</v>
      </c>
    </row>
    <row r="93" spans="1:17" customFormat="1">
      <c r="A93" s="6" t="s">
        <v>899</v>
      </c>
      <c r="B93" s="189">
        <v>37.81</v>
      </c>
      <c r="C93" s="189">
        <v>22.95</v>
      </c>
      <c r="D93" s="189">
        <v>43.66</v>
      </c>
      <c r="E93" s="189">
        <v>5.14</v>
      </c>
      <c r="F93" s="189">
        <v>2.67</v>
      </c>
      <c r="G93" s="189">
        <v>72.650000000000006</v>
      </c>
      <c r="H93" s="189">
        <v>21.98</v>
      </c>
      <c r="I93" s="189">
        <v>7.63</v>
      </c>
      <c r="J93" s="189">
        <v>0.11</v>
      </c>
      <c r="K93" s="189">
        <v>155.43</v>
      </c>
      <c r="L93" s="189">
        <v>18.940000000000001</v>
      </c>
      <c r="M93" s="189">
        <v>100.54</v>
      </c>
      <c r="N93" s="189">
        <v>0</v>
      </c>
      <c r="O93" s="189">
        <v>0</v>
      </c>
      <c r="P93" s="189">
        <v>1.02</v>
      </c>
      <c r="Q93" s="189">
        <v>5.36</v>
      </c>
    </row>
    <row r="94" spans="1:17" customFormat="1">
      <c r="A94" s="6" t="s">
        <v>900</v>
      </c>
      <c r="B94" s="189">
        <v>37.69</v>
      </c>
      <c r="C94" s="189">
        <v>22.57</v>
      </c>
      <c r="D94" s="189">
        <v>43.37</v>
      </c>
      <c r="E94" s="189">
        <v>5.43</v>
      </c>
      <c r="F94" s="189">
        <v>2.69</v>
      </c>
      <c r="G94" s="189">
        <v>70.66</v>
      </c>
      <c r="H94" s="189">
        <v>21.84</v>
      </c>
      <c r="I94" s="189">
        <v>7.6</v>
      </c>
      <c r="J94" s="189">
        <v>0.1</v>
      </c>
      <c r="K94" s="189">
        <v>205.53</v>
      </c>
      <c r="L94" s="189">
        <v>18.86</v>
      </c>
      <c r="M94" s="189">
        <v>100.62</v>
      </c>
      <c r="N94" s="189">
        <v>0</v>
      </c>
      <c r="O94" s="189">
        <v>0</v>
      </c>
      <c r="P94" s="189">
        <v>1.02</v>
      </c>
      <c r="Q94" s="189">
        <v>5.35</v>
      </c>
    </row>
    <row r="95" spans="1:17" customFormat="1">
      <c r="A95" s="6" t="s">
        <v>901</v>
      </c>
      <c r="B95" s="189">
        <v>37.6</v>
      </c>
      <c r="C95" s="189">
        <v>22.41</v>
      </c>
      <c r="D95" s="189">
        <v>43.21</v>
      </c>
      <c r="E95" s="189">
        <v>5.35</v>
      </c>
      <c r="F95" s="189">
        <v>2.58</v>
      </c>
      <c r="G95" s="189">
        <v>69.67</v>
      </c>
      <c r="H95" s="189">
        <v>21.82</v>
      </c>
      <c r="I95" s="189">
        <v>7.65</v>
      </c>
      <c r="J95" s="189">
        <v>0.13</v>
      </c>
      <c r="K95" s="189">
        <v>46.24</v>
      </c>
      <c r="L95" s="189">
        <v>18.97</v>
      </c>
      <c r="M95" s="189">
        <v>100.8</v>
      </c>
      <c r="N95" s="189">
        <v>0</v>
      </c>
      <c r="O95" s="189">
        <v>0</v>
      </c>
      <c r="P95" s="189">
        <v>1.03</v>
      </c>
      <c r="Q95" s="189">
        <v>5.34</v>
      </c>
    </row>
    <row r="96" spans="1:17" customFormat="1">
      <c r="A96" s="6" t="s">
        <v>902</v>
      </c>
      <c r="B96" s="189">
        <v>38.340000000000003</v>
      </c>
      <c r="C96" s="189">
        <v>22.7</v>
      </c>
      <c r="D96" s="189">
        <v>43.96</v>
      </c>
      <c r="E96" s="189">
        <v>5.19</v>
      </c>
      <c r="F96" s="189">
        <v>2.4700000000000002</v>
      </c>
      <c r="G96" s="189">
        <v>69.67</v>
      </c>
      <c r="H96" s="189">
        <v>21.82</v>
      </c>
      <c r="I96" s="189">
        <v>7.68</v>
      </c>
      <c r="J96" s="189">
        <v>0.21</v>
      </c>
      <c r="K96" s="189">
        <v>29.1</v>
      </c>
      <c r="L96" s="189">
        <v>19.059999999999999</v>
      </c>
      <c r="M96" s="189">
        <v>100.91</v>
      </c>
      <c r="N96" s="189">
        <v>0</v>
      </c>
      <c r="O96" s="189">
        <v>0</v>
      </c>
      <c r="P96" s="189">
        <v>1.03</v>
      </c>
      <c r="Q96" s="189">
        <v>5.35</v>
      </c>
    </row>
    <row r="97" spans="1:22" customFormat="1">
      <c r="A97" s="6" t="s">
        <v>903</v>
      </c>
      <c r="B97" s="189">
        <v>39.26</v>
      </c>
      <c r="C97" s="189">
        <v>21.97</v>
      </c>
      <c r="D97" s="189">
        <v>44.31</v>
      </c>
      <c r="E97" s="189">
        <v>5.3</v>
      </c>
      <c r="F97" s="189">
        <v>2.5</v>
      </c>
      <c r="G97" s="189">
        <v>69.67</v>
      </c>
      <c r="H97" s="189">
        <v>21.82</v>
      </c>
      <c r="I97" s="189">
        <v>7.74</v>
      </c>
      <c r="J97" s="189">
        <v>0.11</v>
      </c>
      <c r="K97" s="189">
        <v>64.11</v>
      </c>
      <c r="L97" s="189">
        <v>19.09</v>
      </c>
      <c r="M97" s="189">
        <v>101.09</v>
      </c>
      <c r="N97" s="189">
        <v>0</v>
      </c>
      <c r="O97" s="189">
        <v>0</v>
      </c>
      <c r="P97" s="189">
        <v>1.03</v>
      </c>
      <c r="Q97" s="189">
        <v>5.37</v>
      </c>
    </row>
    <row r="98" spans="1:22" customFormat="1">
      <c r="A98" s="6" t="s">
        <v>904</v>
      </c>
      <c r="B98" s="189">
        <v>39.340000000000003</v>
      </c>
      <c r="C98" s="189">
        <v>22.88</v>
      </c>
      <c r="D98" s="189">
        <v>44.85</v>
      </c>
      <c r="E98" s="189">
        <v>5.09</v>
      </c>
      <c r="F98" s="189">
        <v>2.4</v>
      </c>
      <c r="G98" s="189">
        <v>71.12</v>
      </c>
      <c r="H98" s="189">
        <v>20.68</v>
      </c>
      <c r="I98" s="189">
        <v>7.75</v>
      </c>
      <c r="J98" s="189">
        <v>0.09</v>
      </c>
      <c r="K98" s="189">
        <v>168.04</v>
      </c>
      <c r="L98" s="189">
        <v>19.16</v>
      </c>
      <c r="M98" s="189">
        <v>101.82</v>
      </c>
      <c r="N98" s="189">
        <v>0</v>
      </c>
      <c r="O98" s="189">
        <v>0</v>
      </c>
      <c r="P98" s="189">
        <v>1.03</v>
      </c>
      <c r="Q98" s="189">
        <v>5.4</v>
      </c>
    </row>
    <row r="99" spans="1:22" customFormat="1">
      <c r="A99" s="6" t="s">
        <v>905</v>
      </c>
      <c r="B99" s="189">
        <v>38.729999999999997</v>
      </c>
      <c r="C99" s="189">
        <v>22.15</v>
      </c>
      <c r="D99" s="189">
        <v>43.98</v>
      </c>
      <c r="E99" s="189">
        <v>4.8</v>
      </c>
      <c r="F99" s="189">
        <v>2.4700000000000002</v>
      </c>
      <c r="G99" s="189">
        <v>71.849999999999994</v>
      </c>
      <c r="H99" s="189">
        <v>20.55</v>
      </c>
      <c r="I99" s="189">
        <v>7.73</v>
      </c>
      <c r="J99" s="189">
        <v>0.06</v>
      </c>
      <c r="K99" s="189">
        <v>199.39</v>
      </c>
      <c r="L99" s="189">
        <v>19.21</v>
      </c>
      <c r="M99" s="189">
        <v>101.67</v>
      </c>
      <c r="N99" s="189">
        <v>0</v>
      </c>
      <c r="O99" s="189">
        <v>0</v>
      </c>
      <c r="P99" s="189">
        <v>1.01</v>
      </c>
      <c r="Q99" s="189">
        <v>5.39</v>
      </c>
    </row>
    <row r="100" spans="1:22" customFormat="1">
      <c r="A100" s="6" t="s">
        <v>906</v>
      </c>
      <c r="B100" s="189">
        <v>37.67</v>
      </c>
      <c r="C100" s="189">
        <v>22.67</v>
      </c>
      <c r="D100" s="189">
        <v>43.4</v>
      </c>
      <c r="E100" s="189">
        <v>4.46</v>
      </c>
      <c r="F100" s="189">
        <v>2.4300000000000002</v>
      </c>
      <c r="G100" s="189">
        <v>71.849999999999994</v>
      </c>
      <c r="H100" s="189">
        <v>20.55</v>
      </c>
      <c r="I100" s="189">
        <v>7.7</v>
      </c>
      <c r="J100" s="189">
        <v>0.04</v>
      </c>
      <c r="K100" s="189">
        <v>116.06</v>
      </c>
      <c r="L100" s="189">
        <v>19.21</v>
      </c>
      <c r="M100" s="189">
        <v>100.35</v>
      </c>
      <c r="N100" s="189">
        <v>0</v>
      </c>
      <c r="O100" s="189">
        <v>0</v>
      </c>
      <c r="P100" s="189">
        <v>1</v>
      </c>
      <c r="Q100" s="189">
        <v>5.37</v>
      </c>
    </row>
    <row r="101" spans="1:22" customFormat="1">
      <c r="A101" s="6" t="s">
        <v>907</v>
      </c>
      <c r="B101" s="189">
        <v>36.96</v>
      </c>
      <c r="C101" s="189">
        <v>20.98</v>
      </c>
      <c r="D101" s="189">
        <v>41.96</v>
      </c>
      <c r="E101" s="189">
        <v>4.63</v>
      </c>
      <c r="F101" s="189">
        <v>2.66</v>
      </c>
      <c r="G101" s="189">
        <v>71.849999999999994</v>
      </c>
      <c r="H101" s="189">
        <v>20.55</v>
      </c>
      <c r="I101" s="189">
        <v>7.66</v>
      </c>
      <c r="J101" s="189">
        <v>0.25</v>
      </c>
      <c r="K101" s="189">
        <v>47.29</v>
      </c>
      <c r="L101" s="189">
        <v>19.14</v>
      </c>
      <c r="M101" s="189">
        <v>100.24</v>
      </c>
      <c r="N101" s="189">
        <v>0</v>
      </c>
      <c r="O101" s="189">
        <v>0</v>
      </c>
      <c r="P101" s="189">
        <v>0.99</v>
      </c>
      <c r="Q101" s="189">
        <v>5.34</v>
      </c>
    </row>
    <row r="102" spans="1:22" customFormat="1">
      <c r="A102" s="6" t="s">
        <v>908</v>
      </c>
      <c r="B102" s="189">
        <v>36.51</v>
      </c>
      <c r="C102" s="189">
        <v>22.36</v>
      </c>
      <c r="D102" s="189">
        <v>42.32</v>
      </c>
      <c r="E102" s="189">
        <v>4.5999999999999996</v>
      </c>
      <c r="F102" s="189">
        <v>2.5099999999999998</v>
      </c>
      <c r="G102" s="189">
        <v>64.23</v>
      </c>
      <c r="H102" s="189">
        <v>18</v>
      </c>
      <c r="I102" s="189">
        <v>7.61</v>
      </c>
      <c r="J102" s="189">
        <v>0.17</v>
      </c>
      <c r="K102" s="189">
        <v>59.16</v>
      </c>
      <c r="L102" s="189">
        <v>19.149999999999999</v>
      </c>
      <c r="M102" s="189">
        <v>100.28</v>
      </c>
      <c r="N102" s="189">
        <v>0</v>
      </c>
      <c r="O102" s="189">
        <v>0</v>
      </c>
      <c r="P102" s="189">
        <v>0.99</v>
      </c>
      <c r="Q102" s="189">
        <v>5.28</v>
      </c>
    </row>
    <row r="103" spans="1:22" customFormat="1">
      <c r="A103" s="6" t="s">
        <v>909</v>
      </c>
      <c r="B103" s="189">
        <v>36.26</v>
      </c>
      <c r="C103" s="189">
        <v>21.04</v>
      </c>
      <c r="D103" s="189">
        <v>41.42</v>
      </c>
      <c r="E103" s="189">
        <v>4.83</v>
      </c>
      <c r="F103" s="189">
        <v>2.75</v>
      </c>
      <c r="G103" s="189">
        <v>60.42</v>
      </c>
      <c r="H103" s="189">
        <v>17.7</v>
      </c>
      <c r="I103" s="189">
        <v>7.55</v>
      </c>
      <c r="J103" s="189">
        <v>0.11</v>
      </c>
      <c r="K103" s="189">
        <v>123.7</v>
      </c>
      <c r="L103" s="189">
        <v>19.23</v>
      </c>
      <c r="M103" s="189">
        <v>100.49</v>
      </c>
      <c r="N103" s="189">
        <v>0</v>
      </c>
      <c r="O103" s="189">
        <v>0</v>
      </c>
      <c r="P103" s="189">
        <v>0.97</v>
      </c>
      <c r="Q103" s="189">
        <v>5.3</v>
      </c>
    </row>
    <row r="104" spans="1:22" customFormat="1">
      <c r="A104" s="6" t="s">
        <v>910</v>
      </c>
      <c r="B104" s="189">
        <v>35.51</v>
      </c>
      <c r="C104" s="189">
        <v>22.05</v>
      </c>
      <c r="D104" s="189">
        <v>41.35</v>
      </c>
      <c r="E104" s="189">
        <v>4.47</v>
      </c>
      <c r="F104" s="189">
        <v>2.52</v>
      </c>
      <c r="G104" s="189">
        <v>60.42</v>
      </c>
      <c r="H104" s="189">
        <v>17.7</v>
      </c>
      <c r="I104" s="189">
        <v>7.51</v>
      </c>
      <c r="J104" s="189">
        <v>0.11</v>
      </c>
      <c r="K104" s="189">
        <v>87.4</v>
      </c>
      <c r="L104" s="189">
        <v>19.2</v>
      </c>
      <c r="M104" s="189">
        <v>100.37</v>
      </c>
      <c r="N104" s="189">
        <v>0</v>
      </c>
      <c r="O104" s="189">
        <v>0</v>
      </c>
      <c r="P104" s="189">
        <v>0.96</v>
      </c>
      <c r="Q104" s="189">
        <v>5.28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14.23</v>
      </c>
      <c r="C106" s="183">
        <f>MIN(C9:C104)</f>
        <v>18.760000000000002</v>
      </c>
      <c r="D106" s="183">
        <f t="shared" ref="D106:Q106" si="0">MIN(D9:D104)</f>
        <v>22.72</v>
      </c>
      <c r="E106" s="183">
        <f t="shared" si="0"/>
        <v>4.46</v>
      </c>
      <c r="F106" s="183">
        <f t="shared" si="0"/>
        <v>2.34</v>
      </c>
      <c r="G106" s="183">
        <f t="shared" si="0"/>
        <v>3.01</v>
      </c>
      <c r="H106" s="183">
        <f t="shared" si="0"/>
        <v>1.51</v>
      </c>
      <c r="I106" s="183">
        <f t="shared" si="0"/>
        <v>3.48</v>
      </c>
      <c r="J106" s="183">
        <f t="shared" si="0"/>
        <v>0.04</v>
      </c>
      <c r="K106" s="183">
        <f t="shared" si="0"/>
        <v>13.92</v>
      </c>
      <c r="L106" s="183">
        <f t="shared" si="0"/>
        <v>18.55</v>
      </c>
      <c r="M106" s="183">
        <f t="shared" si="0"/>
        <v>97.69</v>
      </c>
      <c r="N106" s="183">
        <f t="shared" si="0"/>
        <v>0</v>
      </c>
      <c r="O106" s="183">
        <f t="shared" si="0"/>
        <v>0</v>
      </c>
      <c r="P106" s="183">
        <f t="shared" si="0"/>
        <v>0.46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39.340000000000003</v>
      </c>
      <c r="C107" s="184">
        <f t="shared" ref="C107:Q107" si="1">MAX(C9:C104)</f>
        <v>29.73</v>
      </c>
      <c r="D107" s="184">
        <f t="shared" si="1"/>
        <v>44.85</v>
      </c>
      <c r="E107" s="184">
        <f t="shared" si="1"/>
        <v>9.26</v>
      </c>
      <c r="F107" s="184">
        <f t="shared" si="1"/>
        <v>3.01</v>
      </c>
      <c r="G107" s="184">
        <f t="shared" si="1"/>
        <v>73.900000000000006</v>
      </c>
      <c r="H107" s="184">
        <f t="shared" si="1"/>
        <v>21.98</v>
      </c>
      <c r="I107" s="184">
        <f t="shared" si="1"/>
        <v>7.75</v>
      </c>
      <c r="J107" s="184">
        <f t="shared" si="1"/>
        <v>0.56000000000000005</v>
      </c>
      <c r="K107" s="184">
        <f t="shared" si="1"/>
        <v>350.26</v>
      </c>
      <c r="L107" s="184">
        <f t="shared" si="1"/>
        <v>19.809999999999999</v>
      </c>
      <c r="M107" s="184">
        <f t="shared" si="1"/>
        <v>101.82</v>
      </c>
      <c r="N107" s="184">
        <f t="shared" si="1"/>
        <v>69.599999999999994</v>
      </c>
      <c r="O107" s="184">
        <f t="shared" si="1"/>
        <v>0.8</v>
      </c>
      <c r="P107" s="184">
        <f t="shared" si="1"/>
        <v>1.03</v>
      </c>
      <c r="Q107" s="184">
        <f t="shared" si="1"/>
        <v>5.4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24.652395833333347</v>
      </c>
      <c r="C108" s="183">
        <f t="shared" ref="C108:Q108" si="2">AVERAGE(C9:C104)</f>
        <v>22.878645833333334</v>
      </c>
      <c r="D108" s="183">
        <f t="shared" si="2"/>
        <v>33.07395833333333</v>
      </c>
      <c r="E108" s="183">
        <f t="shared" si="2"/>
        <v>6.8739583333333307</v>
      </c>
      <c r="F108" s="183">
        <f t="shared" si="2"/>
        <v>2.6129166666666661</v>
      </c>
      <c r="G108" s="183">
        <f t="shared" si="2"/>
        <v>33.695</v>
      </c>
      <c r="H108" s="183">
        <f t="shared" si="2"/>
        <v>10.236145833333337</v>
      </c>
      <c r="I108" s="183">
        <f t="shared" si="2"/>
        <v>5.2965624999999994</v>
      </c>
      <c r="J108" s="183">
        <f t="shared" si="2"/>
        <v>0.29395833333333327</v>
      </c>
      <c r="K108" s="183">
        <f t="shared" si="2"/>
        <v>116.47822916666667</v>
      </c>
      <c r="L108" s="183">
        <f t="shared" si="2"/>
        <v>19.207604166666673</v>
      </c>
      <c r="M108" s="183">
        <f t="shared" si="2"/>
        <v>100.08666666666669</v>
      </c>
      <c r="N108" s="183">
        <f t="shared" si="2"/>
        <v>11.86875</v>
      </c>
      <c r="O108" s="183">
        <f t="shared" si="2"/>
        <v>8.9583333333333334E-2</v>
      </c>
      <c r="P108" s="183">
        <f t="shared" si="2"/>
        <v>0.74187499999999995</v>
      </c>
      <c r="Q108" s="183">
        <f t="shared" si="2"/>
        <v>5.001145833333335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8.2167729284345867</v>
      </c>
      <c r="C109" s="183">
        <f t="shared" ref="C109:Q109" si="3">STDEV(C9:C104)</f>
        <v>2.7996325397195192</v>
      </c>
      <c r="D109" s="183">
        <f t="shared" si="3"/>
        <v>7.0520503146497058</v>
      </c>
      <c r="E109" s="183">
        <f t="shared" si="3"/>
        <v>1.0750378002330305</v>
      </c>
      <c r="F109" s="183">
        <f t="shared" si="3"/>
        <v>0.11563933647490396</v>
      </c>
      <c r="G109" s="183">
        <f t="shared" si="3"/>
        <v>28.016531322924699</v>
      </c>
      <c r="H109" s="183">
        <f t="shared" si="3"/>
        <v>7.2384859379048008</v>
      </c>
      <c r="I109" s="183">
        <f t="shared" si="3"/>
        <v>1.4935488138023918</v>
      </c>
      <c r="J109" s="183">
        <f t="shared" si="3"/>
        <v>0.12083463399179059</v>
      </c>
      <c r="K109" s="183">
        <f t="shared" si="3"/>
        <v>112.99131661089146</v>
      </c>
      <c r="L109" s="183">
        <f t="shared" si="3"/>
        <v>0.39707547947899574</v>
      </c>
      <c r="M109" s="183">
        <f t="shared" si="3"/>
        <v>0.92901721321714004</v>
      </c>
      <c r="N109" s="183">
        <f t="shared" si="3"/>
        <v>17.884661540578637</v>
      </c>
      <c r="O109" s="183">
        <f t="shared" si="3"/>
        <v>0.18777319278806701</v>
      </c>
      <c r="P109" s="183">
        <f t="shared" si="3"/>
        <v>0.20421512135361936</v>
      </c>
      <c r="Q109" s="183">
        <f t="shared" si="3"/>
        <v>0.23573343460986962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08/12/2023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911</v>
      </c>
      <c r="B9" s="189">
        <v>35.32</v>
      </c>
      <c r="C9" s="189">
        <v>22.94</v>
      </c>
      <c r="D9" s="189">
        <v>41.66</v>
      </c>
      <c r="E9" s="189">
        <v>4.8600000000000003</v>
      </c>
      <c r="F9" s="189">
        <v>2.5299999999999998</v>
      </c>
      <c r="G9" s="189">
        <v>60.42</v>
      </c>
      <c r="H9" s="189">
        <v>17.7</v>
      </c>
      <c r="I9" s="189">
        <v>7.45</v>
      </c>
      <c r="J9" s="189">
        <v>7.0000000000000007E-2</v>
      </c>
      <c r="K9" s="189">
        <v>116.98</v>
      </c>
      <c r="L9" s="189">
        <v>19.21</v>
      </c>
      <c r="M9" s="189">
        <v>100.9</v>
      </c>
      <c r="N9" s="189">
        <v>0</v>
      </c>
      <c r="O9" s="189">
        <v>0</v>
      </c>
      <c r="P9" s="189">
        <v>0.97</v>
      </c>
      <c r="Q9" s="189">
        <v>5.27</v>
      </c>
    </row>
    <row r="10" spans="1:21" customFormat="1">
      <c r="A10" s="6" t="s">
        <v>912</v>
      </c>
      <c r="B10" s="189">
        <v>34.67</v>
      </c>
      <c r="C10" s="189">
        <v>23.09</v>
      </c>
      <c r="D10" s="189">
        <v>41.22</v>
      </c>
      <c r="E10" s="189">
        <v>5.5</v>
      </c>
      <c r="F10" s="189">
        <v>2.61</v>
      </c>
      <c r="G10" s="189">
        <v>52.15</v>
      </c>
      <c r="H10" s="189">
        <v>16.34</v>
      </c>
      <c r="I10" s="189">
        <v>7.37</v>
      </c>
      <c r="J10" s="189">
        <v>7.0000000000000007E-2</v>
      </c>
      <c r="K10" s="189">
        <v>73.930000000000007</v>
      </c>
      <c r="L10" s="189">
        <v>19.190000000000001</v>
      </c>
      <c r="M10" s="189">
        <v>101.54</v>
      </c>
      <c r="N10" s="189">
        <v>0</v>
      </c>
      <c r="O10" s="189">
        <v>0</v>
      </c>
      <c r="P10" s="189">
        <v>0.97</v>
      </c>
      <c r="Q10" s="189">
        <v>5.22</v>
      </c>
    </row>
    <row r="11" spans="1:21" customFormat="1">
      <c r="A11" s="6" t="s">
        <v>913</v>
      </c>
      <c r="B11" s="189">
        <v>33.93</v>
      </c>
      <c r="C11" s="189">
        <v>23.28</v>
      </c>
      <c r="D11" s="189">
        <v>40.729999999999997</v>
      </c>
      <c r="E11" s="189">
        <v>4.6399999999999997</v>
      </c>
      <c r="F11" s="189">
        <v>2.54</v>
      </c>
      <c r="G11" s="189">
        <v>48.02</v>
      </c>
      <c r="H11" s="189">
        <v>16.13</v>
      </c>
      <c r="I11" s="189">
        <v>7.3</v>
      </c>
      <c r="J11" s="189">
        <v>0.1</v>
      </c>
      <c r="K11" s="189">
        <v>99.93</v>
      </c>
      <c r="L11" s="189">
        <v>19.25</v>
      </c>
      <c r="M11" s="189">
        <v>101.62</v>
      </c>
      <c r="N11" s="189">
        <v>0</v>
      </c>
      <c r="O11" s="189">
        <v>0</v>
      </c>
      <c r="P11" s="189">
        <v>0.96</v>
      </c>
      <c r="Q11" s="189">
        <v>5.25</v>
      </c>
    </row>
    <row r="12" spans="1:21" customFormat="1">
      <c r="A12" s="6" t="s">
        <v>914</v>
      </c>
      <c r="B12" s="189">
        <v>33.159999999999997</v>
      </c>
      <c r="C12" s="189">
        <v>23.36</v>
      </c>
      <c r="D12" s="189">
        <v>40.15</v>
      </c>
      <c r="E12" s="189">
        <v>5.13</v>
      </c>
      <c r="F12" s="189">
        <v>2.64</v>
      </c>
      <c r="G12" s="189">
        <v>48.02</v>
      </c>
      <c r="H12" s="189">
        <v>16.13</v>
      </c>
      <c r="I12" s="189">
        <v>7.21</v>
      </c>
      <c r="J12" s="189">
        <v>0.12</v>
      </c>
      <c r="K12" s="189">
        <v>37.19</v>
      </c>
      <c r="L12" s="189">
        <v>19.2</v>
      </c>
      <c r="M12" s="189">
        <v>101.27</v>
      </c>
      <c r="N12" s="189">
        <v>0</v>
      </c>
      <c r="O12" s="189">
        <v>0</v>
      </c>
      <c r="P12" s="189">
        <v>0.94</v>
      </c>
      <c r="Q12" s="189">
        <v>5.23</v>
      </c>
    </row>
    <row r="13" spans="1:21" customFormat="1">
      <c r="A13" s="6" t="s">
        <v>915</v>
      </c>
      <c r="B13" s="189">
        <v>32.78</v>
      </c>
      <c r="C13" s="189">
        <v>23.21</v>
      </c>
      <c r="D13" s="189">
        <v>39.76</v>
      </c>
      <c r="E13" s="189">
        <v>4.88</v>
      </c>
      <c r="F13" s="189">
        <v>2.66</v>
      </c>
      <c r="G13" s="189">
        <v>48.02</v>
      </c>
      <c r="H13" s="189">
        <v>16.13</v>
      </c>
      <c r="I13" s="189">
        <v>7.15</v>
      </c>
      <c r="J13" s="189">
        <v>0.17</v>
      </c>
      <c r="K13" s="189">
        <v>27.68</v>
      </c>
      <c r="L13" s="189">
        <v>19.170000000000002</v>
      </c>
      <c r="M13" s="189">
        <v>101.22</v>
      </c>
      <c r="N13" s="189">
        <v>0</v>
      </c>
      <c r="O13" s="189">
        <v>0</v>
      </c>
      <c r="P13" s="189">
        <v>0.94</v>
      </c>
      <c r="Q13" s="189">
        <v>5.21</v>
      </c>
    </row>
    <row r="14" spans="1:21" customFormat="1">
      <c r="A14" s="6" t="s">
        <v>916</v>
      </c>
      <c r="B14" s="189">
        <v>32.72</v>
      </c>
      <c r="C14" s="189">
        <v>23.7</v>
      </c>
      <c r="D14" s="189">
        <v>39.97</v>
      </c>
      <c r="E14" s="189">
        <v>4.9000000000000004</v>
      </c>
      <c r="F14" s="189">
        <v>2.68</v>
      </c>
      <c r="G14" s="189">
        <v>40.35</v>
      </c>
      <c r="H14" s="189">
        <v>13.81</v>
      </c>
      <c r="I14" s="189">
        <v>7.1</v>
      </c>
      <c r="J14" s="189">
        <v>0.2</v>
      </c>
      <c r="K14" s="189">
        <v>19.920000000000002</v>
      </c>
      <c r="L14" s="189">
        <v>19.14</v>
      </c>
      <c r="M14" s="189">
        <v>100.36</v>
      </c>
      <c r="N14" s="189">
        <v>0</v>
      </c>
      <c r="O14" s="189">
        <v>0</v>
      </c>
      <c r="P14" s="189">
        <v>0.93</v>
      </c>
      <c r="Q14" s="189">
        <v>5.19</v>
      </c>
    </row>
    <row r="15" spans="1:21" customFormat="1">
      <c r="A15" s="6" t="s">
        <v>917</v>
      </c>
      <c r="B15" s="189">
        <v>32.82</v>
      </c>
      <c r="C15" s="189">
        <v>23.84</v>
      </c>
      <c r="D15" s="189">
        <v>40.119999999999997</v>
      </c>
      <c r="E15" s="189">
        <v>5.1100000000000003</v>
      </c>
      <c r="F15" s="189">
        <v>2.75</v>
      </c>
      <c r="G15" s="189">
        <v>36.51</v>
      </c>
      <c r="H15" s="189">
        <v>13.53</v>
      </c>
      <c r="I15" s="189">
        <v>7.02</v>
      </c>
      <c r="J15" s="189">
        <v>0.22</v>
      </c>
      <c r="K15" s="189">
        <v>34.58</v>
      </c>
      <c r="L15" s="189">
        <v>19.079999999999998</v>
      </c>
      <c r="M15" s="189">
        <v>100.24</v>
      </c>
      <c r="N15" s="189">
        <v>0</v>
      </c>
      <c r="O15" s="189">
        <v>0</v>
      </c>
      <c r="P15" s="189">
        <v>0.92</v>
      </c>
      <c r="Q15" s="189">
        <v>5.19</v>
      </c>
    </row>
    <row r="16" spans="1:21" customFormat="1">
      <c r="A16" s="6" t="s">
        <v>918</v>
      </c>
      <c r="B16" s="189">
        <v>32.61</v>
      </c>
      <c r="C16" s="189">
        <v>23.83</v>
      </c>
      <c r="D16" s="189">
        <v>39.950000000000003</v>
      </c>
      <c r="E16" s="189">
        <v>5.2</v>
      </c>
      <c r="F16" s="189">
        <v>2.5099999999999998</v>
      </c>
      <c r="G16" s="189">
        <v>36.51</v>
      </c>
      <c r="H16" s="189">
        <v>13.53</v>
      </c>
      <c r="I16" s="189">
        <v>6.98</v>
      </c>
      <c r="J16" s="189">
        <v>0.19</v>
      </c>
      <c r="K16" s="189">
        <v>32.65</v>
      </c>
      <c r="L16" s="189">
        <v>19.059999999999999</v>
      </c>
      <c r="M16" s="189">
        <v>100.62</v>
      </c>
      <c r="N16" s="189">
        <v>0</v>
      </c>
      <c r="O16" s="189">
        <v>0</v>
      </c>
      <c r="P16" s="189">
        <v>0.92</v>
      </c>
      <c r="Q16" s="189">
        <v>5.21</v>
      </c>
    </row>
    <row r="17" spans="1:17" customFormat="1">
      <c r="A17" s="6" t="s">
        <v>919</v>
      </c>
      <c r="B17" s="189">
        <v>32.130000000000003</v>
      </c>
      <c r="C17" s="189">
        <v>24.23</v>
      </c>
      <c r="D17" s="189">
        <v>39.78</v>
      </c>
      <c r="E17" s="189">
        <v>5.83</v>
      </c>
      <c r="F17" s="189">
        <v>2.52</v>
      </c>
      <c r="G17" s="189">
        <v>36.51</v>
      </c>
      <c r="H17" s="189">
        <v>13.53</v>
      </c>
      <c r="I17" s="189">
        <v>6.92</v>
      </c>
      <c r="J17" s="189">
        <v>0.25</v>
      </c>
      <c r="K17" s="189">
        <v>38.97</v>
      </c>
      <c r="L17" s="189">
        <v>19.05</v>
      </c>
      <c r="M17" s="189">
        <v>101.88</v>
      </c>
      <c r="N17" s="189">
        <v>0</v>
      </c>
      <c r="O17" s="189">
        <v>0</v>
      </c>
      <c r="P17" s="189">
        <v>0.91</v>
      </c>
      <c r="Q17" s="189">
        <v>5.2</v>
      </c>
    </row>
    <row r="18" spans="1:17" customFormat="1">
      <c r="A18" s="6" t="s">
        <v>920</v>
      </c>
      <c r="B18" s="189">
        <v>31.76</v>
      </c>
      <c r="C18" s="189">
        <v>24.26</v>
      </c>
      <c r="D18" s="189">
        <v>39.49</v>
      </c>
      <c r="E18" s="189">
        <v>6.83</v>
      </c>
      <c r="F18" s="189">
        <v>2.5299999999999998</v>
      </c>
      <c r="G18" s="189">
        <v>34.89</v>
      </c>
      <c r="H18" s="189">
        <v>14.89</v>
      </c>
      <c r="I18" s="189">
        <v>6.86</v>
      </c>
      <c r="J18" s="189">
        <v>0.25</v>
      </c>
      <c r="K18" s="189">
        <v>32.479999999999997</v>
      </c>
      <c r="L18" s="189">
        <v>18.989999999999998</v>
      </c>
      <c r="M18" s="189">
        <v>101.91</v>
      </c>
      <c r="N18" s="189">
        <v>0</v>
      </c>
      <c r="O18" s="189">
        <v>0</v>
      </c>
      <c r="P18" s="189">
        <v>0.9</v>
      </c>
      <c r="Q18" s="189">
        <v>5.21</v>
      </c>
    </row>
    <row r="19" spans="1:17" customFormat="1">
      <c r="A19" s="6" t="s">
        <v>921</v>
      </c>
      <c r="B19" s="189">
        <v>31.54</v>
      </c>
      <c r="C19" s="189">
        <v>24.55</v>
      </c>
      <c r="D19" s="189">
        <v>39.47</v>
      </c>
      <c r="E19" s="189">
        <v>6.78</v>
      </c>
      <c r="F19" s="189">
        <v>2.61</v>
      </c>
      <c r="G19" s="189">
        <v>34.07</v>
      </c>
      <c r="H19" s="189">
        <v>15.06</v>
      </c>
      <c r="I19" s="189">
        <v>6.81</v>
      </c>
      <c r="J19" s="189">
        <v>0.28000000000000003</v>
      </c>
      <c r="K19" s="189">
        <v>39.909999999999997</v>
      </c>
      <c r="L19" s="189">
        <v>18.98</v>
      </c>
      <c r="M19" s="189">
        <v>101.78</v>
      </c>
      <c r="N19" s="189">
        <v>0</v>
      </c>
      <c r="O19" s="189">
        <v>0</v>
      </c>
      <c r="P19" s="189">
        <v>0.89</v>
      </c>
      <c r="Q19" s="189">
        <v>5.18</v>
      </c>
    </row>
    <row r="20" spans="1:17" customFormat="1">
      <c r="A20" s="6" t="s">
        <v>922</v>
      </c>
      <c r="B20" s="189">
        <v>31.36</v>
      </c>
      <c r="C20" s="189">
        <v>24.58</v>
      </c>
      <c r="D20" s="189">
        <v>39.340000000000003</v>
      </c>
      <c r="E20" s="189">
        <v>6.33</v>
      </c>
      <c r="F20" s="189">
        <v>2.58</v>
      </c>
      <c r="G20" s="189">
        <v>34.07</v>
      </c>
      <c r="H20" s="189">
        <v>15.06</v>
      </c>
      <c r="I20" s="189">
        <v>6.75</v>
      </c>
      <c r="J20" s="189">
        <v>0.32</v>
      </c>
      <c r="K20" s="189">
        <v>38.46</v>
      </c>
      <c r="L20" s="189">
        <v>18.989999999999998</v>
      </c>
      <c r="M20" s="189">
        <v>101.82</v>
      </c>
      <c r="N20" s="189">
        <v>0</v>
      </c>
      <c r="O20" s="189">
        <v>0</v>
      </c>
      <c r="P20" s="189">
        <v>0.88</v>
      </c>
      <c r="Q20" s="189">
        <v>5.19</v>
      </c>
    </row>
    <row r="21" spans="1:17" customFormat="1">
      <c r="A21" s="6" t="s">
        <v>923</v>
      </c>
      <c r="B21" s="189">
        <v>31.36</v>
      </c>
      <c r="C21" s="189">
        <v>24.65</v>
      </c>
      <c r="D21" s="189">
        <v>39.380000000000003</v>
      </c>
      <c r="E21" s="189">
        <v>7.29</v>
      </c>
      <c r="F21" s="189">
        <v>2.66</v>
      </c>
      <c r="G21" s="189">
        <v>34.07</v>
      </c>
      <c r="H21" s="189">
        <v>15.06</v>
      </c>
      <c r="I21" s="189">
        <v>6.71</v>
      </c>
      <c r="J21" s="189">
        <v>0.17</v>
      </c>
      <c r="K21" s="189">
        <v>20</v>
      </c>
      <c r="L21" s="189">
        <v>19.010000000000002</v>
      </c>
      <c r="M21" s="189">
        <v>101.9</v>
      </c>
      <c r="N21" s="189">
        <v>0</v>
      </c>
      <c r="O21" s="189">
        <v>0</v>
      </c>
      <c r="P21" s="189">
        <v>0.88</v>
      </c>
      <c r="Q21" s="189">
        <v>5.19</v>
      </c>
    </row>
    <row r="22" spans="1:17" customFormat="1">
      <c r="A22" s="6" t="s">
        <v>924</v>
      </c>
      <c r="B22" s="189">
        <v>31.32</v>
      </c>
      <c r="C22" s="189">
        <v>25.02</v>
      </c>
      <c r="D22" s="189">
        <v>39.54</v>
      </c>
      <c r="E22" s="189">
        <v>6.54</v>
      </c>
      <c r="F22" s="189">
        <v>2.6</v>
      </c>
      <c r="G22" s="189">
        <v>35.950000000000003</v>
      </c>
      <c r="H22" s="189">
        <v>13.47</v>
      </c>
      <c r="I22" s="189">
        <v>6.68</v>
      </c>
      <c r="J22" s="189">
        <v>0.15</v>
      </c>
      <c r="K22" s="189">
        <v>351.08</v>
      </c>
      <c r="L22" s="189">
        <v>19.010000000000002</v>
      </c>
      <c r="M22" s="189">
        <v>101.93</v>
      </c>
      <c r="N22" s="189">
        <v>0</v>
      </c>
      <c r="O22" s="189">
        <v>0</v>
      </c>
      <c r="P22" s="189">
        <v>0.87</v>
      </c>
      <c r="Q22" s="189">
        <v>5.19</v>
      </c>
    </row>
    <row r="23" spans="1:17" customFormat="1">
      <c r="A23" s="6" t="s">
        <v>925</v>
      </c>
      <c r="B23" s="189">
        <v>31.15</v>
      </c>
      <c r="C23" s="189">
        <v>24.68</v>
      </c>
      <c r="D23" s="189">
        <v>39.229999999999997</v>
      </c>
      <c r="E23" s="189">
        <v>6.84</v>
      </c>
      <c r="F23" s="189">
        <v>2.54</v>
      </c>
      <c r="G23" s="189">
        <v>36.880000000000003</v>
      </c>
      <c r="H23" s="189">
        <v>13.28</v>
      </c>
      <c r="I23" s="189">
        <v>6.61</v>
      </c>
      <c r="J23" s="189">
        <v>0.17</v>
      </c>
      <c r="K23" s="189">
        <v>310.81</v>
      </c>
      <c r="L23" s="189">
        <v>19</v>
      </c>
      <c r="M23" s="189">
        <v>101.85</v>
      </c>
      <c r="N23" s="189">
        <v>0</v>
      </c>
      <c r="O23" s="189">
        <v>0</v>
      </c>
      <c r="P23" s="189">
        <v>0.86</v>
      </c>
      <c r="Q23" s="189">
        <v>5.19</v>
      </c>
    </row>
    <row r="24" spans="1:17" customFormat="1">
      <c r="A24" s="6" t="s">
        <v>926</v>
      </c>
      <c r="B24" s="189">
        <v>30.68</v>
      </c>
      <c r="C24" s="189">
        <v>24.84</v>
      </c>
      <c r="D24" s="189">
        <v>38.94</v>
      </c>
      <c r="E24" s="189">
        <v>6.85</v>
      </c>
      <c r="F24" s="189">
        <v>2.5</v>
      </c>
      <c r="G24" s="189">
        <v>36.880000000000003</v>
      </c>
      <c r="H24" s="189">
        <v>13.28</v>
      </c>
      <c r="I24" s="189">
        <v>6.56</v>
      </c>
      <c r="J24" s="189">
        <v>0.11</v>
      </c>
      <c r="K24" s="189">
        <v>273.25</v>
      </c>
      <c r="L24" s="189">
        <v>19.03</v>
      </c>
      <c r="M24" s="189">
        <v>101.61</v>
      </c>
      <c r="N24" s="189">
        <v>0</v>
      </c>
      <c r="O24" s="189">
        <v>0</v>
      </c>
      <c r="P24" s="189">
        <v>0.85</v>
      </c>
      <c r="Q24" s="189">
        <v>5.19</v>
      </c>
    </row>
    <row r="25" spans="1:17" customFormat="1">
      <c r="A25" s="6" t="s">
        <v>927</v>
      </c>
      <c r="B25" s="189">
        <v>30.29</v>
      </c>
      <c r="C25" s="189">
        <v>24.61</v>
      </c>
      <c r="D25" s="189">
        <v>38.5</v>
      </c>
      <c r="E25" s="189">
        <v>6.97</v>
      </c>
      <c r="F25" s="189">
        <v>2.4</v>
      </c>
      <c r="G25" s="189">
        <v>36.880000000000003</v>
      </c>
      <c r="H25" s="189">
        <v>13.28</v>
      </c>
      <c r="I25" s="189">
        <v>6.51</v>
      </c>
      <c r="J25" s="189">
        <v>0.08</v>
      </c>
      <c r="K25" s="189">
        <v>333.54</v>
      </c>
      <c r="L25" s="189">
        <v>19.03</v>
      </c>
      <c r="M25" s="189">
        <v>100.6</v>
      </c>
      <c r="N25" s="189">
        <v>0</v>
      </c>
      <c r="O25" s="189">
        <v>0</v>
      </c>
      <c r="P25" s="189">
        <v>0.84</v>
      </c>
      <c r="Q25" s="189">
        <v>5.15</v>
      </c>
    </row>
    <row r="26" spans="1:17" customFormat="1">
      <c r="A26" s="6" t="s">
        <v>928</v>
      </c>
      <c r="B26" s="189">
        <v>30.46</v>
      </c>
      <c r="C26" s="189">
        <v>24.63</v>
      </c>
      <c r="D26" s="189">
        <v>38.65</v>
      </c>
      <c r="E26" s="189">
        <v>6.94</v>
      </c>
      <c r="F26" s="189">
        <v>2.5099999999999998</v>
      </c>
      <c r="G26" s="189">
        <v>33.590000000000003</v>
      </c>
      <c r="H26" s="189">
        <v>9.84</v>
      </c>
      <c r="I26" s="189">
        <v>6.47</v>
      </c>
      <c r="J26" s="189">
        <v>0.09</v>
      </c>
      <c r="K26" s="189">
        <v>89.54</v>
      </c>
      <c r="L26" s="189">
        <v>19.03</v>
      </c>
      <c r="M26" s="189">
        <v>102.08</v>
      </c>
      <c r="N26" s="189">
        <v>0</v>
      </c>
      <c r="O26" s="189">
        <v>0</v>
      </c>
      <c r="P26" s="189">
        <v>0.84</v>
      </c>
      <c r="Q26" s="189">
        <v>5.15</v>
      </c>
    </row>
    <row r="27" spans="1:17" customFormat="1">
      <c r="A27" s="6" t="s">
        <v>929</v>
      </c>
      <c r="B27" s="189">
        <v>30.25</v>
      </c>
      <c r="C27" s="189">
        <v>24.86</v>
      </c>
      <c r="D27" s="189">
        <v>38.6</v>
      </c>
      <c r="E27" s="189">
        <v>6.84</v>
      </c>
      <c r="F27" s="189">
        <v>2.56</v>
      </c>
      <c r="G27" s="189">
        <v>31.95</v>
      </c>
      <c r="H27" s="189">
        <v>9.43</v>
      </c>
      <c r="I27" s="189">
        <v>6.42</v>
      </c>
      <c r="J27" s="189">
        <v>0.17</v>
      </c>
      <c r="K27" s="189">
        <v>49.53</v>
      </c>
      <c r="L27" s="189">
        <v>19.03</v>
      </c>
      <c r="M27" s="189">
        <v>102.4</v>
      </c>
      <c r="N27" s="189">
        <v>0</v>
      </c>
      <c r="O27" s="189">
        <v>0</v>
      </c>
      <c r="P27" s="189">
        <v>0.83</v>
      </c>
      <c r="Q27" s="189">
        <v>5.16</v>
      </c>
    </row>
    <row r="28" spans="1:17" customFormat="1">
      <c r="A28" s="6" t="s">
        <v>930</v>
      </c>
      <c r="B28" s="189">
        <v>30.11</v>
      </c>
      <c r="C28" s="189">
        <v>25.14</v>
      </c>
      <c r="D28" s="189">
        <v>38.630000000000003</v>
      </c>
      <c r="E28" s="189">
        <v>6.9</v>
      </c>
      <c r="F28" s="189">
        <v>2.62</v>
      </c>
      <c r="G28" s="189">
        <v>31.95</v>
      </c>
      <c r="H28" s="189">
        <v>9.43</v>
      </c>
      <c r="I28" s="189">
        <v>6.38</v>
      </c>
      <c r="J28" s="189">
        <v>0.43</v>
      </c>
      <c r="K28" s="189">
        <v>36.630000000000003</v>
      </c>
      <c r="L28" s="189">
        <v>18.940000000000001</v>
      </c>
      <c r="M28" s="189">
        <v>101.45</v>
      </c>
      <c r="N28" s="189">
        <v>0</v>
      </c>
      <c r="O28" s="189">
        <v>0</v>
      </c>
      <c r="P28" s="189">
        <v>0.82</v>
      </c>
      <c r="Q28" s="189">
        <v>5.17</v>
      </c>
    </row>
    <row r="29" spans="1:17" customFormat="1">
      <c r="A29" s="6" t="s">
        <v>931</v>
      </c>
      <c r="B29" s="189">
        <v>30.5</v>
      </c>
      <c r="C29" s="189">
        <v>25.05</v>
      </c>
      <c r="D29" s="189">
        <v>38.9</v>
      </c>
      <c r="E29" s="189">
        <v>7.09</v>
      </c>
      <c r="F29" s="189">
        <v>2.68</v>
      </c>
      <c r="G29" s="189">
        <v>31.95</v>
      </c>
      <c r="H29" s="189">
        <v>9.43</v>
      </c>
      <c r="I29" s="189">
        <v>6.39</v>
      </c>
      <c r="J29" s="189">
        <v>0.45</v>
      </c>
      <c r="K29" s="189">
        <v>37.75</v>
      </c>
      <c r="L29" s="189">
        <v>18.88</v>
      </c>
      <c r="M29" s="189">
        <v>100.48</v>
      </c>
      <c r="N29" s="189">
        <v>0</v>
      </c>
      <c r="O29" s="189">
        <v>0</v>
      </c>
      <c r="P29" s="189">
        <v>0.81</v>
      </c>
      <c r="Q29" s="189">
        <v>5.17</v>
      </c>
    </row>
    <row r="30" spans="1:17" customFormat="1">
      <c r="A30" s="6" t="s">
        <v>932</v>
      </c>
      <c r="B30" s="189">
        <v>31.25</v>
      </c>
      <c r="C30" s="189">
        <v>21.58</v>
      </c>
      <c r="D30" s="189">
        <v>37.68</v>
      </c>
      <c r="E30" s="189">
        <v>6.8</v>
      </c>
      <c r="F30" s="189">
        <v>3.04</v>
      </c>
      <c r="G30" s="189">
        <v>32.61</v>
      </c>
      <c r="H30" s="189">
        <v>11.24</v>
      </c>
      <c r="I30" s="189">
        <v>6.37</v>
      </c>
      <c r="J30" s="189">
        <v>0.41</v>
      </c>
      <c r="K30" s="189">
        <v>36.36</v>
      </c>
      <c r="L30" s="189">
        <v>18.86</v>
      </c>
      <c r="M30" s="189">
        <v>100.82</v>
      </c>
      <c r="N30" s="189">
        <v>0</v>
      </c>
      <c r="O30" s="189">
        <v>0</v>
      </c>
      <c r="P30" s="189">
        <v>0.79</v>
      </c>
      <c r="Q30" s="189">
        <v>5.16</v>
      </c>
    </row>
    <row r="31" spans="1:17" customFormat="1">
      <c r="A31" s="6" t="s">
        <v>933</v>
      </c>
      <c r="B31" s="189">
        <v>31.68</v>
      </c>
      <c r="C31" s="189">
        <v>20.23</v>
      </c>
      <c r="D31" s="189">
        <v>37.33</v>
      </c>
      <c r="E31" s="189">
        <v>7.04</v>
      </c>
      <c r="F31" s="189">
        <v>2.92</v>
      </c>
      <c r="G31" s="189">
        <v>32.94</v>
      </c>
      <c r="H31" s="189">
        <v>11.46</v>
      </c>
      <c r="I31" s="189">
        <v>6.38</v>
      </c>
      <c r="J31" s="189">
        <v>0.48</v>
      </c>
      <c r="K31" s="189">
        <v>41.42</v>
      </c>
      <c r="L31" s="189">
        <v>18.829999999999998</v>
      </c>
      <c r="M31" s="189">
        <v>100.71</v>
      </c>
      <c r="N31" s="189">
        <v>0</v>
      </c>
      <c r="O31" s="189">
        <v>0</v>
      </c>
      <c r="P31" s="189">
        <v>0.78</v>
      </c>
      <c r="Q31" s="189">
        <v>5.17</v>
      </c>
    </row>
    <row r="32" spans="1:17" customFormat="1">
      <c r="A32" s="6" t="s">
        <v>934</v>
      </c>
      <c r="B32" s="189">
        <v>31.68</v>
      </c>
      <c r="C32" s="189">
        <v>20.62</v>
      </c>
      <c r="D32" s="189">
        <v>37.53</v>
      </c>
      <c r="E32" s="189">
        <v>6.82</v>
      </c>
      <c r="F32" s="189">
        <v>2.8</v>
      </c>
      <c r="G32" s="189">
        <v>32.94</v>
      </c>
      <c r="H32" s="189">
        <v>11.46</v>
      </c>
      <c r="I32" s="189">
        <v>6.4</v>
      </c>
      <c r="J32" s="189">
        <v>0.4</v>
      </c>
      <c r="K32" s="189">
        <v>30.97</v>
      </c>
      <c r="L32" s="189">
        <v>18.87</v>
      </c>
      <c r="M32" s="189">
        <v>100.7</v>
      </c>
      <c r="N32" s="189">
        <v>0</v>
      </c>
      <c r="O32" s="189">
        <v>0</v>
      </c>
      <c r="P32" s="189">
        <v>0.79</v>
      </c>
      <c r="Q32" s="189">
        <v>5.16</v>
      </c>
    </row>
    <row r="33" spans="1:17" customFormat="1">
      <c r="A33" s="6" t="s">
        <v>935</v>
      </c>
      <c r="B33" s="189">
        <v>31.71</v>
      </c>
      <c r="C33" s="189">
        <v>20.03</v>
      </c>
      <c r="D33" s="189">
        <v>37.25</v>
      </c>
      <c r="E33" s="189">
        <v>6.44</v>
      </c>
      <c r="F33" s="189">
        <v>2.75</v>
      </c>
      <c r="G33" s="189">
        <v>32.94</v>
      </c>
      <c r="H33" s="189">
        <v>11.46</v>
      </c>
      <c r="I33" s="189">
        <v>6.42</v>
      </c>
      <c r="J33" s="189">
        <v>0.45</v>
      </c>
      <c r="K33" s="189">
        <v>28.15</v>
      </c>
      <c r="L33" s="189">
        <v>18.91</v>
      </c>
      <c r="M33" s="189">
        <v>100.67</v>
      </c>
      <c r="N33" s="189">
        <v>0</v>
      </c>
      <c r="O33" s="189">
        <v>0</v>
      </c>
      <c r="P33" s="189">
        <v>0.77</v>
      </c>
      <c r="Q33" s="189">
        <v>5.15</v>
      </c>
    </row>
    <row r="34" spans="1:17" customFormat="1">
      <c r="A34" s="6" t="s">
        <v>936</v>
      </c>
      <c r="B34" s="189">
        <v>31.66</v>
      </c>
      <c r="C34" s="189">
        <v>20.73</v>
      </c>
      <c r="D34" s="189">
        <v>37.57</v>
      </c>
      <c r="E34" s="189">
        <v>6.75</v>
      </c>
      <c r="F34" s="189">
        <v>2.38</v>
      </c>
      <c r="G34" s="189">
        <v>33.57</v>
      </c>
      <c r="H34" s="189">
        <v>11.35</v>
      </c>
      <c r="I34" s="189">
        <v>6.43</v>
      </c>
      <c r="J34" s="189">
        <v>0.4</v>
      </c>
      <c r="K34" s="189">
        <v>37.520000000000003</v>
      </c>
      <c r="L34" s="189">
        <v>18.96</v>
      </c>
      <c r="M34" s="189">
        <v>100.82</v>
      </c>
      <c r="N34" s="189">
        <v>0</v>
      </c>
      <c r="O34" s="189">
        <v>0</v>
      </c>
      <c r="P34" s="189">
        <v>0.77</v>
      </c>
      <c r="Q34" s="189">
        <v>5.15</v>
      </c>
    </row>
    <row r="35" spans="1:17" customFormat="1">
      <c r="A35" s="6" t="s">
        <v>937</v>
      </c>
      <c r="B35" s="189">
        <v>31.75</v>
      </c>
      <c r="C35" s="189">
        <v>20.69</v>
      </c>
      <c r="D35" s="189">
        <v>37.619999999999997</v>
      </c>
      <c r="E35" s="189">
        <v>6.5</v>
      </c>
      <c r="F35" s="189">
        <v>2.48</v>
      </c>
      <c r="G35" s="189">
        <v>33.880000000000003</v>
      </c>
      <c r="H35" s="189">
        <v>11.33</v>
      </c>
      <c r="I35" s="189">
        <v>6.41</v>
      </c>
      <c r="J35" s="189">
        <v>0.41</v>
      </c>
      <c r="K35" s="189">
        <v>39.75</v>
      </c>
      <c r="L35" s="189">
        <v>19.03</v>
      </c>
      <c r="M35" s="189">
        <v>101.02</v>
      </c>
      <c r="N35" s="189">
        <v>0</v>
      </c>
      <c r="O35" s="189">
        <v>0</v>
      </c>
      <c r="P35" s="189">
        <v>0.77</v>
      </c>
      <c r="Q35" s="189">
        <v>5.14</v>
      </c>
    </row>
    <row r="36" spans="1:17" customFormat="1">
      <c r="A36" s="6" t="s">
        <v>938</v>
      </c>
      <c r="B36" s="189">
        <v>31.96</v>
      </c>
      <c r="C36" s="189">
        <v>20.03</v>
      </c>
      <c r="D36" s="189">
        <v>37.450000000000003</v>
      </c>
      <c r="E36" s="189">
        <v>6.73</v>
      </c>
      <c r="F36" s="189">
        <v>2.59</v>
      </c>
      <c r="G36" s="189">
        <v>33.880000000000003</v>
      </c>
      <c r="H36" s="189">
        <v>11.33</v>
      </c>
      <c r="I36" s="189">
        <v>6.38</v>
      </c>
      <c r="J36" s="189">
        <v>0.38</v>
      </c>
      <c r="K36" s="189">
        <v>44.36</v>
      </c>
      <c r="L36" s="189">
        <v>19.16</v>
      </c>
      <c r="M36" s="189">
        <v>100.75</v>
      </c>
      <c r="N36" s="189">
        <v>5</v>
      </c>
      <c r="O36" s="189">
        <v>0</v>
      </c>
      <c r="P36" s="189">
        <v>0.76</v>
      </c>
      <c r="Q36" s="189">
        <v>5.14</v>
      </c>
    </row>
    <row r="37" spans="1:17" customFormat="1">
      <c r="A37" s="6" t="s">
        <v>939</v>
      </c>
      <c r="B37" s="189">
        <v>32.26</v>
      </c>
      <c r="C37" s="189">
        <v>20.48</v>
      </c>
      <c r="D37" s="189">
        <v>37.92</v>
      </c>
      <c r="E37" s="189">
        <v>6.26</v>
      </c>
      <c r="F37" s="189">
        <v>2.62</v>
      </c>
      <c r="G37" s="189">
        <v>33.880000000000003</v>
      </c>
      <c r="H37" s="189">
        <v>11.33</v>
      </c>
      <c r="I37" s="189">
        <v>6.39</v>
      </c>
      <c r="J37" s="189">
        <v>0.4</v>
      </c>
      <c r="K37" s="189">
        <v>31.31</v>
      </c>
      <c r="L37" s="189">
        <v>19.23</v>
      </c>
      <c r="M37" s="189">
        <v>100.32</v>
      </c>
      <c r="N37" s="189">
        <v>3.4</v>
      </c>
      <c r="O37" s="189">
        <v>0</v>
      </c>
      <c r="P37" s="189">
        <v>0.77</v>
      </c>
      <c r="Q37" s="189">
        <v>5.16</v>
      </c>
    </row>
    <row r="38" spans="1:17" customFormat="1">
      <c r="A38" s="6" t="s">
        <v>940</v>
      </c>
      <c r="B38" s="189">
        <v>32.61</v>
      </c>
      <c r="C38" s="189">
        <v>20.59</v>
      </c>
      <c r="D38" s="189">
        <v>38.26</v>
      </c>
      <c r="E38" s="189">
        <v>6.7</v>
      </c>
      <c r="F38" s="189">
        <v>2.67</v>
      </c>
      <c r="G38" s="189">
        <v>36.06</v>
      </c>
      <c r="H38" s="189">
        <v>10.65</v>
      </c>
      <c r="I38" s="189">
        <v>6.37</v>
      </c>
      <c r="J38" s="189">
        <v>0.4</v>
      </c>
      <c r="K38" s="189">
        <v>49.75</v>
      </c>
      <c r="L38" s="189">
        <v>19.329999999999998</v>
      </c>
      <c r="M38" s="189">
        <v>99.48</v>
      </c>
      <c r="N38" s="189">
        <v>28.1</v>
      </c>
      <c r="O38" s="189">
        <v>0</v>
      </c>
      <c r="P38" s="189">
        <v>0.76</v>
      </c>
      <c r="Q38" s="189">
        <v>5.17</v>
      </c>
    </row>
    <row r="39" spans="1:17" customFormat="1">
      <c r="A39" s="6" t="s">
        <v>941</v>
      </c>
      <c r="B39" s="189">
        <v>32.74</v>
      </c>
      <c r="C39" s="189">
        <v>21.55</v>
      </c>
      <c r="D39" s="189">
        <v>38.86</v>
      </c>
      <c r="E39" s="189">
        <v>6.64</v>
      </c>
      <c r="F39" s="189">
        <v>2.4500000000000002</v>
      </c>
      <c r="G39" s="189">
        <v>37.159999999999997</v>
      </c>
      <c r="H39" s="189">
        <v>10.57</v>
      </c>
      <c r="I39" s="189">
        <v>6.37</v>
      </c>
      <c r="J39" s="189">
        <v>0.47</v>
      </c>
      <c r="K39" s="189">
        <v>38.619999999999997</v>
      </c>
      <c r="L39" s="189">
        <v>19.52</v>
      </c>
      <c r="M39" s="189">
        <v>97.87</v>
      </c>
      <c r="N39" s="189">
        <v>55.4</v>
      </c>
      <c r="O39" s="189">
        <v>0</v>
      </c>
      <c r="P39" s="189">
        <v>0.78</v>
      </c>
      <c r="Q39" s="189">
        <v>5.17</v>
      </c>
    </row>
    <row r="40" spans="1:17" customFormat="1">
      <c r="A40" s="6" t="s">
        <v>942</v>
      </c>
      <c r="B40" s="189">
        <v>33.119999999999997</v>
      </c>
      <c r="C40" s="189">
        <v>19.68</v>
      </c>
      <c r="D40" s="189">
        <v>38.200000000000003</v>
      </c>
      <c r="E40" s="189">
        <v>6.86</v>
      </c>
      <c r="F40" s="189">
        <v>2.69</v>
      </c>
      <c r="G40" s="189">
        <v>37.159999999999997</v>
      </c>
      <c r="H40" s="189">
        <v>10.57</v>
      </c>
      <c r="I40" s="189">
        <v>6.4</v>
      </c>
      <c r="J40" s="189">
        <v>0.43</v>
      </c>
      <c r="K40" s="189">
        <v>41.03</v>
      </c>
      <c r="L40" s="189">
        <v>19.8</v>
      </c>
      <c r="M40" s="189">
        <v>95.97</v>
      </c>
      <c r="N40" s="189">
        <v>62.6</v>
      </c>
      <c r="O40" s="189">
        <v>0</v>
      </c>
      <c r="P40" s="189">
        <v>0.76</v>
      </c>
      <c r="Q40" s="189">
        <v>5.16</v>
      </c>
    </row>
    <row r="41" spans="1:17" customFormat="1">
      <c r="A41" s="6" t="s">
        <v>943</v>
      </c>
      <c r="B41" s="189">
        <v>33.130000000000003</v>
      </c>
      <c r="C41" s="189">
        <v>20.100000000000001</v>
      </c>
      <c r="D41" s="189">
        <v>38.42</v>
      </c>
      <c r="E41" s="189">
        <v>6.57</v>
      </c>
      <c r="F41" s="189">
        <v>2.58</v>
      </c>
      <c r="G41" s="189">
        <v>37.159999999999997</v>
      </c>
      <c r="H41" s="189">
        <v>10.57</v>
      </c>
      <c r="I41" s="189">
        <v>6.41</v>
      </c>
      <c r="J41" s="189">
        <v>0.48</v>
      </c>
      <c r="K41" s="189">
        <v>50.86</v>
      </c>
      <c r="L41" s="189">
        <v>19.91</v>
      </c>
      <c r="M41" s="189">
        <v>93.82</v>
      </c>
      <c r="N41" s="189">
        <v>75.3</v>
      </c>
      <c r="O41" s="189">
        <v>0</v>
      </c>
      <c r="P41" s="189">
        <v>0.76</v>
      </c>
      <c r="Q41" s="189">
        <v>5.16</v>
      </c>
    </row>
    <row r="42" spans="1:17" customFormat="1">
      <c r="A42" s="6" t="s">
        <v>944</v>
      </c>
      <c r="B42" s="189">
        <v>32.92</v>
      </c>
      <c r="C42" s="189">
        <v>20.22</v>
      </c>
      <c r="D42" s="189">
        <v>38.31</v>
      </c>
      <c r="E42" s="189">
        <v>6.87</v>
      </c>
      <c r="F42" s="189">
        <v>2.6</v>
      </c>
      <c r="G42" s="189">
        <v>37.79</v>
      </c>
      <c r="H42" s="189">
        <v>10.63</v>
      </c>
      <c r="I42" s="189">
        <v>6.39</v>
      </c>
      <c r="J42" s="189">
        <v>0.45</v>
      </c>
      <c r="K42" s="189">
        <v>48.85</v>
      </c>
      <c r="L42" s="189">
        <v>20.260000000000002</v>
      </c>
      <c r="M42" s="189">
        <v>91.42</v>
      </c>
      <c r="N42" s="189">
        <v>134</v>
      </c>
      <c r="O42" s="189">
        <v>0</v>
      </c>
      <c r="P42" s="189">
        <v>0.76</v>
      </c>
      <c r="Q42" s="189">
        <v>5.18</v>
      </c>
    </row>
    <row r="43" spans="1:17" customFormat="1">
      <c r="A43" s="6" t="s">
        <v>945</v>
      </c>
      <c r="B43" s="189">
        <v>32.840000000000003</v>
      </c>
      <c r="C43" s="189">
        <v>21.07</v>
      </c>
      <c r="D43" s="189">
        <v>38.700000000000003</v>
      </c>
      <c r="E43" s="189">
        <v>6.86</v>
      </c>
      <c r="F43" s="189">
        <v>2.4900000000000002</v>
      </c>
      <c r="G43" s="189">
        <v>38.1</v>
      </c>
      <c r="H43" s="189">
        <v>10.64</v>
      </c>
      <c r="I43" s="189">
        <v>6.39</v>
      </c>
      <c r="J43" s="189">
        <v>0.47</v>
      </c>
      <c r="K43" s="189">
        <v>29.42</v>
      </c>
      <c r="L43" s="189">
        <v>20.65</v>
      </c>
      <c r="M43" s="189">
        <v>89.45</v>
      </c>
      <c r="N43" s="189">
        <v>122.3</v>
      </c>
      <c r="O43" s="189">
        <v>0</v>
      </c>
      <c r="P43" s="189">
        <v>0.76</v>
      </c>
      <c r="Q43" s="189">
        <v>5.17</v>
      </c>
    </row>
    <row r="44" spans="1:17" customFormat="1">
      <c r="A44" s="6" t="s">
        <v>946</v>
      </c>
      <c r="B44" s="189">
        <v>32.79</v>
      </c>
      <c r="C44" s="189">
        <v>19.97</v>
      </c>
      <c r="D44" s="189">
        <v>38.08</v>
      </c>
      <c r="E44" s="189">
        <v>6.86</v>
      </c>
      <c r="F44" s="189">
        <v>2.63</v>
      </c>
      <c r="G44" s="189">
        <v>38.1</v>
      </c>
      <c r="H44" s="189">
        <v>10.64</v>
      </c>
      <c r="I44" s="189">
        <v>6.35</v>
      </c>
      <c r="J44" s="189">
        <v>0.47</v>
      </c>
      <c r="K44" s="189">
        <v>21.46</v>
      </c>
      <c r="L44" s="189">
        <v>21.18</v>
      </c>
      <c r="M44" s="189">
        <v>87.28</v>
      </c>
      <c r="N44" s="189">
        <v>206.7</v>
      </c>
      <c r="O44" s="189">
        <v>0</v>
      </c>
      <c r="P44" s="189">
        <v>0.76</v>
      </c>
      <c r="Q44" s="189">
        <v>5.17</v>
      </c>
    </row>
    <row r="45" spans="1:17" customFormat="1">
      <c r="A45" s="6" t="s">
        <v>947</v>
      </c>
      <c r="B45" s="189">
        <v>32.71</v>
      </c>
      <c r="C45" s="189">
        <v>20.03</v>
      </c>
      <c r="D45" s="189">
        <v>38.049999999999997</v>
      </c>
      <c r="E45" s="189">
        <v>6.58</v>
      </c>
      <c r="F45" s="189">
        <v>2.65</v>
      </c>
      <c r="G45" s="189">
        <v>38.1</v>
      </c>
      <c r="H45" s="189">
        <v>10.64</v>
      </c>
      <c r="I45" s="189">
        <v>6.34</v>
      </c>
      <c r="J45" s="189">
        <v>0.61</v>
      </c>
      <c r="K45" s="189">
        <v>37.15</v>
      </c>
      <c r="L45" s="189">
        <v>21.07</v>
      </c>
      <c r="M45" s="189">
        <v>86.47</v>
      </c>
      <c r="N45" s="189">
        <v>111.3</v>
      </c>
      <c r="O45" s="189">
        <v>0</v>
      </c>
      <c r="P45" s="189">
        <v>0.77</v>
      </c>
      <c r="Q45" s="189">
        <v>5.15</v>
      </c>
    </row>
    <row r="46" spans="1:17" customFormat="1">
      <c r="A46" s="6" t="s">
        <v>948</v>
      </c>
      <c r="B46" s="189">
        <v>32.6</v>
      </c>
      <c r="C46" s="189">
        <v>19.47</v>
      </c>
      <c r="D46" s="189">
        <v>37.67</v>
      </c>
      <c r="E46" s="189">
        <v>6.45</v>
      </c>
      <c r="F46" s="189">
        <v>2.62</v>
      </c>
      <c r="G46" s="189">
        <v>36.94</v>
      </c>
      <c r="H46" s="189">
        <v>9.52</v>
      </c>
      <c r="I46" s="189">
        <v>6.33</v>
      </c>
      <c r="J46" s="189">
        <v>0.41</v>
      </c>
      <c r="K46" s="189">
        <v>18.84</v>
      </c>
      <c r="L46" s="189">
        <v>21.07</v>
      </c>
      <c r="M46" s="189">
        <v>84.8</v>
      </c>
      <c r="N46" s="189">
        <v>119</v>
      </c>
      <c r="O46" s="189">
        <v>0</v>
      </c>
      <c r="P46" s="189">
        <v>0.77</v>
      </c>
      <c r="Q46" s="189">
        <v>5.17</v>
      </c>
    </row>
    <row r="47" spans="1:17" customFormat="1">
      <c r="A47" s="6" t="s">
        <v>949</v>
      </c>
      <c r="B47" s="189">
        <v>32.5</v>
      </c>
      <c r="C47" s="189">
        <v>19.43</v>
      </c>
      <c r="D47" s="189">
        <v>37.56</v>
      </c>
      <c r="E47" s="189">
        <v>6.54</v>
      </c>
      <c r="F47" s="189">
        <v>2.69</v>
      </c>
      <c r="G47" s="189">
        <v>36.35</v>
      </c>
      <c r="H47" s="189">
        <v>9.39</v>
      </c>
      <c r="I47" s="189">
        <v>6.35</v>
      </c>
      <c r="J47" s="189">
        <v>0.37</v>
      </c>
      <c r="K47" s="189">
        <v>60.94</v>
      </c>
      <c r="L47" s="189">
        <v>21.44</v>
      </c>
      <c r="M47" s="189">
        <v>81.97</v>
      </c>
      <c r="N47" s="189">
        <v>117.3</v>
      </c>
      <c r="O47" s="189">
        <v>0</v>
      </c>
      <c r="P47" s="189">
        <v>0.77</v>
      </c>
      <c r="Q47" s="189">
        <v>5.17</v>
      </c>
    </row>
    <row r="48" spans="1:17" customFormat="1">
      <c r="A48" s="6" t="s">
        <v>950</v>
      </c>
      <c r="B48" s="189">
        <v>32.25</v>
      </c>
      <c r="C48" s="189">
        <v>20.81</v>
      </c>
      <c r="D48" s="189">
        <v>38.090000000000003</v>
      </c>
      <c r="E48" s="189">
        <v>6.7</v>
      </c>
      <c r="F48" s="189">
        <v>2.46</v>
      </c>
      <c r="G48" s="189">
        <v>36.35</v>
      </c>
      <c r="H48" s="189">
        <v>9.39</v>
      </c>
      <c r="I48" s="189">
        <v>6.33</v>
      </c>
      <c r="J48" s="189">
        <v>0.43</v>
      </c>
      <c r="K48" s="189">
        <v>40.49</v>
      </c>
      <c r="L48" s="189">
        <v>21.53</v>
      </c>
      <c r="M48" s="189">
        <v>82.05</v>
      </c>
      <c r="N48" s="189">
        <v>98.7</v>
      </c>
      <c r="O48" s="189">
        <v>0</v>
      </c>
      <c r="P48" s="189">
        <v>0.78</v>
      </c>
      <c r="Q48" s="189">
        <v>5.16</v>
      </c>
    </row>
    <row r="49" spans="1:17" customFormat="1">
      <c r="A49" s="6" t="s">
        <v>951</v>
      </c>
      <c r="B49" s="189">
        <v>32.049999999999997</v>
      </c>
      <c r="C49" s="189">
        <v>21.65</v>
      </c>
      <c r="D49" s="189">
        <v>38.36</v>
      </c>
      <c r="E49" s="189">
        <v>7.2</v>
      </c>
      <c r="F49" s="189">
        <v>2.5299999999999998</v>
      </c>
      <c r="G49" s="189">
        <v>36.35</v>
      </c>
      <c r="H49" s="189">
        <v>9.39</v>
      </c>
      <c r="I49" s="189">
        <v>6.29</v>
      </c>
      <c r="J49" s="189">
        <v>0.09</v>
      </c>
      <c r="K49" s="189">
        <v>111.95</v>
      </c>
      <c r="L49" s="189">
        <v>21.75</v>
      </c>
      <c r="M49" s="189">
        <v>80.38</v>
      </c>
      <c r="N49" s="189">
        <v>218.5</v>
      </c>
      <c r="O49" s="189">
        <v>0</v>
      </c>
      <c r="P49" s="189">
        <v>0.8</v>
      </c>
      <c r="Q49" s="189">
        <v>5.16</v>
      </c>
    </row>
    <row r="50" spans="1:17" customFormat="1">
      <c r="A50" s="6" t="s">
        <v>952</v>
      </c>
      <c r="B50" s="189">
        <v>31.34</v>
      </c>
      <c r="C50" s="189">
        <v>22.36</v>
      </c>
      <c r="D50" s="189">
        <v>38.159999999999997</v>
      </c>
      <c r="E50" s="189">
        <v>8.1</v>
      </c>
      <c r="F50" s="189">
        <v>2.5499999999999998</v>
      </c>
      <c r="G50" s="189">
        <v>34.39</v>
      </c>
      <c r="H50" s="189">
        <v>9.7899999999999991</v>
      </c>
      <c r="I50" s="189">
        <v>6.25</v>
      </c>
      <c r="J50" s="189">
        <v>0.15</v>
      </c>
      <c r="K50" s="189">
        <v>146.82</v>
      </c>
      <c r="L50" s="189">
        <v>23.06</v>
      </c>
      <c r="M50" s="189">
        <v>76.14</v>
      </c>
      <c r="N50" s="189">
        <v>362.1</v>
      </c>
      <c r="O50" s="189">
        <v>0</v>
      </c>
      <c r="P50" s="189">
        <v>0.79</v>
      </c>
      <c r="Q50" s="189">
        <v>5.15</v>
      </c>
    </row>
    <row r="51" spans="1:17" customFormat="1">
      <c r="A51" s="6" t="s">
        <v>953</v>
      </c>
      <c r="B51" s="189">
        <v>30.51</v>
      </c>
      <c r="C51" s="189">
        <v>23.04</v>
      </c>
      <c r="D51" s="189">
        <v>37.86</v>
      </c>
      <c r="E51" s="189">
        <v>8.48</v>
      </c>
      <c r="F51" s="189">
        <v>2.58</v>
      </c>
      <c r="G51" s="189">
        <v>33.4</v>
      </c>
      <c r="H51" s="189">
        <v>9.84</v>
      </c>
      <c r="I51" s="189">
        <v>6.18</v>
      </c>
      <c r="J51" s="189">
        <v>0.37</v>
      </c>
      <c r="K51" s="189">
        <v>20.84</v>
      </c>
      <c r="L51" s="189">
        <v>23.03</v>
      </c>
      <c r="M51" s="189">
        <v>76.040000000000006</v>
      </c>
      <c r="N51" s="189">
        <v>136.9</v>
      </c>
      <c r="O51" s="189">
        <v>0</v>
      </c>
      <c r="P51" s="189">
        <v>0.79</v>
      </c>
      <c r="Q51" s="189">
        <v>5.1100000000000003</v>
      </c>
    </row>
    <row r="52" spans="1:17" customFormat="1">
      <c r="A52" s="6" t="s">
        <v>954</v>
      </c>
      <c r="B52" s="189">
        <v>30.41</v>
      </c>
      <c r="C52" s="189">
        <v>23.44</v>
      </c>
      <c r="D52" s="189">
        <v>37.979999999999997</v>
      </c>
      <c r="E52" s="189">
        <v>8.56</v>
      </c>
      <c r="F52" s="189">
        <v>2.66</v>
      </c>
      <c r="G52" s="189">
        <v>33.4</v>
      </c>
      <c r="H52" s="189">
        <v>9.84</v>
      </c>
      <c r="I52" s="189">
        <v>6.11</v>
      </c>
      <c r="J52" s="189">
        <v>0.25</v>
      </c>
      <c r="K52" s="189">
        <v>341.3</v>
      </c>
      <c r="L52" s="189">
        <v>22.56</v>
      </c>
      <c r="M52" s="189">
        <v>77.91</v>
      </c>
      <c r="N52" s="189">
        <v>103.6</v>
      </c>
      <c r="O52" s="189">
        <v>0</v>
      </c>
      <c r="P52" s="189">
        <v>0.78</v>
      </c>
      <c r="Q52" s="189">
        <v>5.14</v>
      </c>
    </row>
    <row r="53" spans="1:17" customFormat="1">
      <c r="A53" s="6" t="s">
        <v>955</v>
      </c>
      <c r="B53" s="189">
        <v>30.12</v>
      </c>
      <c r="C53" s="189">
        <v>24.03</v>
      </c>
      <c r="D53" s="189">
        <v>38.06</v>
      </c>
      <c r="E53" s="189">
        <v>8.6300000000000008</v>
      </c>
      <c r="F53" s="189">
        <v>2.65</v>
      </c>
      <c r="G53" s="189">
        <v>33.4</v>
      </c>
      <c r="H53" s="189">
        <v>9.84</v>
      </c>
      <c r="I53" s="189">
        <v>6.05</v>
      </c>
      <c r="J53" s="189">
        <v>0.31</v>
      </c>
      <c r="K53" s="189">
        <v>8.26</v>
      </c>
      <c r="L53" s="189">
        <v>22.29</v>
      </c>
      <c r="M53" s="189">
        <v>78.48</v>
      </c>
      <c r="N53" s="189">
        <v>82.9</v>
      </c>
      <c r="O53" s="189">
        <v>0</v>
      </c>
      <c r="P53" s="189">
        <v>0.78</v>
      </c>
      <c r="Q53" s="189">
        <v>5.13</v>
      </c>
    </row>
    <row r="54" spans="1:17" customFormat="1">
      <c r="A54" s="6" t="s">
        <v>956</v>
      </c>
      <c r="B54" s="189">
        <v>29.83</v>
      </c>
      <c r="C54" s="189">
        <v>24.59</v>
      </c>
      <c r="D54" s="189">
        <v>38.119999999999997</v>
      </c>
      <c r="E54" s="189">
        <v>8.6300000000000008</v>
      </c>
      <c r="F54" s="189">
        <v>2.79</v>
      </c>
      <c r="G54" s="189">
        <v>33.67</v>
      </c>
      <c r="H54" s="189">
        <v>11.23</v>
      </c>
      <c r="I54" s="189">
        <v>5.98</v>
      </c>
      <c r="J54" s="189">
        <v>0.26</v>
      </c>
      <c r="K54" s="189">
        <v>38.340000000000003</v>
      </c>
      <c r="L54" s="189">
        <v>22.6</v>
      </c>
      <c r="M54" s="189">
        <v>75.8</v>
      </c>
      <c r="N54" s="189">
        <v>154.80000000000001</v>
      </c>
      <c r="O54" s="189">
        <v>0</v>
      </c>
      <c r="P54" s="189">
        <v>0.78</v>
      </c>
      <c r="Q54" s="189">
        <v>5.13</v>
      </c>
    </row>
    <row r="55" spans="1:17" customFormat="1">
      <c r="A55" s="6" t="s">
        <v>957</v>
      </c>
      <c r="B55" s="189">
        <v>29.57</v>
      </c>
      <c r="C55" s="189">
        <v>24.83</v>
      </c>
      <c r="D55" s="189">
        <v>38.04</v>
      </c>
      <c r="E55" s="189">
        <v>8.6999999999999993</v>
      </c>
      <c r="F55" s="189">
        <v>2.68</v>
      </c>
      <c r="G55" s="189">
        <v>33.81</v>
      </c>
      <c r="H55" s="189">
        <v>11.4</v>
      </c>
      <c r="I55" s="189">
        <v>5.92</v>
      </c>
      <c r="J55" s="189">
        <v>0.17</v>
      </c>
      <c r="K55" s="189">
        <v>131.27000000000001</v>
      </c>
      <c r="L55" s="189">
        <v>23.39</v>
      </c>
      <c r="M55" s="189">
        <v>73.040000000000006</v>
      </c>
      <c r="N55" s="189">
        <v>208.5</v>
      </c>
      <c r="O55" s="189">
        <v>0</v>
      </c>
      <c r="P55" s="189">
        <v>0.78</v>
      </c>
      <c r="Q55" s="189">
        <v>5.12</v>
      </c>
    </row>
    <row r="56" spans="1:17" customFormat="1">
      <c r="A56" s="6" t="s">
        <v>958</v>
      </c>
      <c r="B56" s="189">
        <v>28.6</v>
      </c>
      <c r="C56" s="189">
        <v>25.08</v>
      </c>
      <c r="D56" s="189">
        <v>37.39</v>
      </c>
      <c r="E56" s="189">
        <v>8.6199999999999992</v>
      </c>
      <c r="F56" s="189">
        <v>2.74</v>
      </c>
      <c r="G56" s="189">
        <v>33.81</v>
      </c>
      <c r="H56" s="189">
        <v>11.4</v>
      </c>
      <c r="I56" s="189">
        <v>5.89</v>
      </c>
      <c r="J56" s="189">
        <v>0.22</v>
      </c>
      <c r="K56" s="189">
        <v>293.27</v>
      </c>
      <c r="L56" s="189">
        <v>23.53</v>
      </c>
      <c r="M56" s="189">
        <v>72.09</v>
      </c>
      <c r="N56" s="189">
        <v>260.60000000000002</v>
      </c>
      <c r="O56" s="189">
        <v>0</v>
      </c>
      <c r="P56" s="189">
        <v>0.77</v>
      </c>
      <c r="Q56" s="189">
        <v>5.0999999999999996</v>
      </c>
    </row>
    <row r="57" spans="1:17" customFormat="1">
      <c r="A57" s="6" t="s">
        <v>959</v>
      </c>
      <c r="B57" s="189">
        <v>27.7</v>
      </c>
      <c r="C57" s="189">
        <v>25.19</v>
      </c>
      <c r="D57" s="189">
        <v>36.72</v>
      </c>
      <c r="E57" s="189">
        <v>9.0399999999999991</v>
      </c>
      <c r="F57" s="189">
        <v>2.79</v>
      </c>
      <c r="G57" s="189">
        <v>33.81</v>
      </c>
      <c r="H57" s="189">
        <v>11.4</v>
      </c>
      <c r="I57" s="189">
        <v>5.83</v>
      </c>
      <c r="J57" s="189">
        <v>0.34</v>
      </c>
      <c r="K57" s="189">
        <v>41.73</v>
      </c>
      <c r="L57" s="189">
        <v>23.66</v>
      </c>
      <c r="M57" s="189">
        <v>71.349999999999994</v>
      </c>
      <c r="N57" s="189">
        <v>219.3</v>
      </c>
      <c r="O57" s="189">
        <v>0</v>
      </c>
      <c r="P57" s="189">
        <v>0.77</v>
      </c>
      <c r="Q57" s="189">
        <v>5.08</v>
      </c>
    </row>
    <row r="58" spans="1:17" customFormat="1">
      <c r="A58" s="6" t="s">
        <v>960</v>
      </c>
      <c r="B58" s="189">
        <v>27.06</v>
      </c>
      <c r="C58" s="189">
        <v>25.54</v>
      </c>
      <c r="D58" s="189">
        <v>36.4</v>
      </c>
      <c r="E58" s="189">
        <v>8.8699999999999992</v>
      </c>
      <c r="F58" s="189">
        <v>2.75</v>
      </c>
      <c r="G58" s="189">
        <v>32.54</v>
      </c>
      <c r="H58" s="189">
        <v>10.67</v>
      </c>
      <c r="I58" s="189">
        <v>5.75</v>
      </c>
      <c r="J58" s="189">
        <v>0.28000000000000003</v>
      </c>
      <c r="K58" s="189">
        <v>49.51</v>
      </c>
      <c r="L58" s="189">
        <v>23.82</v>
      </c>
      <c r="M58" s="189">
        <v>70.8</v>
      </c>
      <c r="N58" s="189">
        <v>262.5</v>
      </c>
      <c r="O58" s="189">
        <v>0</v>
      </c>
      <c r="P58" s="189">
        <v>0.76</v>
      </c>
      <c r="Q58" s="189">
        <v>5.08</v>
      </c>
    </row>
    <row r="59" spans="1:17" customFormat="1">
      <c r="A59" s="6" t="s">
        <v>961</v>
      </c>
      <c r="B59" s="189">
        <v>26.4</v>
      </c>
      <c r="C59" s="189">
        <v>25.5</v>
      </c>
      <c r="D59" s="189">
        <v>35.840000000000003</v>
      </c>
      <c r="E59" s="189">
        <v>8.99</v>
      </c>
      <c r="F59" s="189">
        <v>2.68</v>
      </c>
      <c r="G59" s="189">
        <v>31.91</v>
      </c>
      <c r="H59" s="189">
        <v>10.53</v>
      </c>
      <c r="I59" s="189">
        <v>5.67</v>
      </c>
      <c r="J59" s="189">
        <v>0.37</v>
      </c>
      <c r="K59" s="189">
        <v>145.16</v>
      </c>
      <c r="L59" s="189">
        <v>24.72</v>
      </c>
      <c r="M59" s="189">
        <v>65.72</v>
      </c>
      <c r="N59" s="189">
        <v>388.8</v>
      </c>
      <c r="O59" s="189">
        <v>0</v>
      </c>
      <c r="P59" s="189">
        <v>0.74</v>
      </c>
      <c r="Q59" s="189">
        <v>5.07</v>
      </c>
    </row>
    <row r="60" spans="1:17" customFormat="1">
      <c r="A60" s="6" t="s">
        <v>962</v>
      </c>
      <c r="B60" s="189">
        <v>25.01</v>
      </c>
      <c r="C60" s="189">
        <v>25.59</v>
      </c>
      <c r="D60" s="189">
        <v>34.78</v>
      </c>
      <c r="E60" s="189">
        <v>9.31</v>
      </c>
      <c r="F60" s="189">
        <v>2.78</v>
      </c>
      <c r="G60" s="189">
        <v>31.91</v>
      </c>
      <c r="H60" s="189">
        <v>10.53</v>
      </c>
      <c r="I60" s="189">
        <v>5.62</v>
      </c>
      <c r="J60" s="189">
        <v>0.28999999999999998</v>
      </c>
      <c r="K60" s="189">
        <v>60.68</v>
      </c>
      <c r="L60" s="189">
        <v>24.82</v>
      </c>
      <c r="M60" s="189">
        <v>64.739999999999995</v>
      </c>
      <c r="N60" s="189">
        <v>196.1</v>
      </c>
      <c r="O60" s="189">
        <v>0</v>
      </c>
      <c r="P60" s="189">
        <v>0.74</v>
      </c>
      <c r="Q60" s="189">
        <v>5.01</v>
      </c>
    </row>
    <row r="61" spans="1:17" customFormat="1">
      <c r="A61" s="6" t="s">
        <v>963</v>
      </c>
      <c r="B61" s="189">
        <v>24.07</v>
      </c>
      <c r="C61" s="189">
        <v>25.75</v>
      </c>
      <c r="D61" s="189">
        <v>34.11</v>
      </c>
      <c r="E61" s="189">
        <v>8.7899999999999991</v>
      </c>
      <c r="F61" s="189">
        <v>2.72</v>
      </c>
      <c r="G61" s="189">
        <v>31.91</v>
      </c>
      <c r="H61" s="189">
        <v>10.53</v>
      </c>
      <c r="I61" s="189">
        <v>5.55</v>
      </c>
      <c r="J61" s="189">
        <v>0.19</v>
      </c>
      <c r="K61" s="189">
        <v>47.37</v>
      </c>
      <c r="L61" s="189">
        <v>24.28</v>
      </c>
      <c r="M61" s="189">
        <v>66.13</v>
      </c>
      <c r="N61" s="189">
        <v>157.9</v>
      </c>
      <c r="O61" s="189">
        <v>0</v>
      </c>
      <c r="P61" s="189">
        <v>0.74</v>
      </c>
      <c r="Q61" s="189">
        <v>5.01</v>
      </c>
    </row>
    <row r="62" spans="1:17" customFormat="1">
      <c r="A62" s="6" t="s">
        <v>964</v>
      </c>
      <c r="B62" s="189">
        <v>23.47</v>
      </c>
      <c r="C62" s="189">
        <v>25.91</v>
      </c>
      <c r="D62" s="189">
        <v>33.71</v>
      </c>
      <c r="E62" s="189">
        <v>8.99</v>
      </c>
      <c r="F62" s="189">
        <v>2.66</v>
      </c>
      <c r="G62" s="189">
        <v>28.52</v>
      </c>
      <c r="H62" s="189">
        <v>9.23</v>
      </c>
      <c r="I62" s="189">
        <v>5.45</v>
      </c>
      <c r="J62" s="189">
        <v>0.27</v>
      </c>
      <c r="K62" s="189">
        <v>46.44</v>
      </c>
      <c r="L62" s="189">
        <v>24.05</v>
      </c>
      <c r="M62" s="189">
        <v>66.900000000000006</v>
      </c>
      <c r="N62" s="189">
        <v>229.1</v>
      </c>
      <c r="O62" s="189">
        <v>0</v>
      </c>
      <c r="P62" s="189">
        <v>0.72</v>
      </c>
      <c r="Q62" s="189">
        <v>5.01</v>
      </c>
    </row>
    <row r="63" spans="1:17" customFormat="1">
      <c r="A63" s="6" t="s">
        <v>965</v>
      </c>
      <c r="B63" s="189">
        <v>22.84</v>
      </c>
      <c r="C63" s="189">
        <v>25.92</v>
      </c>
      <c r="D63" s="189">
        <v>33.21</v>
      </c>
      <c r="E63" s="189">
        <v>8.85</v>
      </c>
      <c r="F63" s="189">
        <v>2.64</v>
      </c>
      <c r="G63" s="189">
        <v>26.82</v>
      </c>
      <c r="H63" s="189">
        <v>9.07</v>
      </c>
      <c r="I63" s="189">
        <v>5.37</v>
      </c>
      <c r="J63" s="189">
        <v>0.06</v>
      </c>
      <c r="K63" s="189">
        <v>135.88999999999999</v>
      </c>
      <c r="L63" s="189">
        <v>25.19</v>
      </c>
      <c r="M63" s="189">
        <v>61.96</v>
      </c>
      <c r="N63" s="189">
        <v>570.4</v>
      </c>
      <c r="O63" s="189">
        <v>0</v>
      </c>
      <c r="P63" s="189">
        <v>0.72</v>
      </c>
      <c r="Q63" s="189">
        <v>4.97</v>
      </c>
    </row>
    <row r="64" spans="1:17" customFormat="1">
      <c r="A64" s="6" t="s">
        <v>966</v>
      </c>
      <c r="B64" s="189">
        <v>21.71</v>
      </c>
      <c r="C64" s="189">
        <v>25.9</v>
      </c>
      <c r="D64" s="189">
        <v>32.299999999999997</v>
      </c>
      <c r="E64" s="189">
        <v>8.92</v>
      </c>
      <c r="F64" s="189">
        <v>2.75</v>
      </c>
      <c r="G64" s="189">
        <v>26.82</v>
      </c>
      <c r="H64" s="189">
        <v>9.07</v>
      </c>
      <c r="I64" s="189">
        <v>5.31</v>
      </c>
      <c r="J64" s="189">
        <v>0.32</v>
      </c>
      <c r="K64" s="189">
        <v>293.82</v>
      </c>
      <c r="L64" s="189">
        <v>25.39</v>
      </c>
      <c r="M64" s="189">
        <v>61</v>
      </c>
      <c r="N64" s="189">
        <v>325.89999999999998</v>
      </c>
      <c r="O64" s="189">
        <v>0</v>
      </c>
      <c r="P64" s="189">
        <v>0.7</v>
      </c>
      <c r="Q64" s="189">
        <v>4.91</v>
      </c>
    </row>
    <row r="65" spans="1:17" customFormat="1">
      <c r="A65" s="6" t="s">
        <v>967</v>
      </c>
      <c r="B65" s="189">
        <v>20.58</v>
      </c>
      <c r="C65" s="189">
        <v>25.89</v>
      </c>
      <c r="D65" s="189">
        <v>31.38</v>
      </c>
      <c r="E65" s="189">
        <v>9.16</v>
      </c>
      <c r="F65" s="189">
        <v>2.85</v>
      </c>
      <c r="G65" s="189">
        <v>26.82</v>
      </c>
      <c r="H65" s="189">
        <v>9.07</v>
      </c>
      <c r="I65" s="189">
        <v>5.24</v>
      </c>
      <c r="J65" s="189">
        <v>0.21</v>
      </c>
      <c r="K65" s="189">
        <v>270.39999999999998</v>
      </c>
      <c r="L65" s="189">
        <v>24.84</v>
      </c>
      <c r="M65" s="189">
        <v>63.44</v>
      </c>
      <c r="N65" s="189">
        <v>161.19999999999999</v>
      </c>
      <c r="O65" s="189">
        <v>0</v>
      </c>
      <c r="P65" s="189">
        <v>0.61</v>
      </c>
      <c r="Q65" s="189">
        <v>4.8899999999999997</v>
      </c>
    </row>
    <row r="66" spans="1:17" customFormat="1">
      <c r="A66" s="6" t="s">
        <v>968</v>
      </c>
      <c r="B66" s="189">
        <v>19.649999999999999</v>
      </c>
      <c r="C66" s="189">
        <v>26.16</v>
      </c>
      <c r="D66" s="189">
        <v>30.77</v>
      </c>
      <c r="E66" s="189">
        <v>8.93</v>
      </c>
      <c r="F66" s="189">
        <v>2.86</v>
      </c>
      <c r="G66" s="189">
        <v>25.06</v>
      </c>
      <c r="H66" s="189">
        <v>9.0500000000000007</v>
      </c>
      <c r="I66" s="189">
        <v>5.14</v>
      </c>
      <c r="J66" s="189">
        <v>0.45</v>
      </c>
      <c r="K66" s="189">
        <v>296.67</v>
      </c>
      <c r="L66" s="189">
        <v>24.76</v>
      </c>
      <c r="M66" s="189">
        <v>63.59</v>
      </c>
      <c r="N66" s="189">
        <v>145</v>
      </c>
      <c r="O66" s="189">
        <v>0</v>
      </c>
      <c r="P66" s="189">
        <v>0.64</v>
      </c>
      <c r="Q66" s="189">
        <v>4.8600000000000003</v>
      </c>
    </row>
    <row r="67" spans="1:17" customFormat="1">
      <c r="A67" s="6" t="s">
        <v>969</v>
      </c>
      <c r="B67" s="189">
        <v>19.170000000000002</v>
      </c>
      <c r="C67" s="189">
        <v>25.61</v>
      </c>
      <c r="D67" s="189">
        <v>30.11</v>
      </c>
      <c r="E67" s="189">
        <v>9.34</v>
      </c>
      <c r="F67" s="189">
        <v>2.81</v>
      </c>
      <c r="G67" s="189">
        <v>24.17</v>
      </c>
      <c r="H67" s="189">
        <v>9.0500000000000007</v>
      </c>
      <c r="I67" s="189">
        <v>5.07</v>
      </c>
      <c r="J67" s="189">
        <v>0.26</v>
      </c>
      <c r="K67" s="189">
        <v>257.77</v>
      </c>
      <c r="L67" s="189">
        <v>24.43</v>
      </c>
      <c r="M67" s="189">
        <v>65.069999999999993</v>
      </c>
      <c r="N67" s="189">
        <v>123</v>
      </c>
      <c r="O67" s="189">
        <v>0</v>
      </c>
      <c r="P67" s="189">
        <v>0.64</v>
      </c>
      <c r="Q67" s="189">
        <v>4.83</v>
      </c>
    </row>
    <row r="68" spans="1:17" customFormat="1">
      <c r="A68" s="6" t="s">
        <v>970</v>
      </c>
      <c r="B68" s="189">
        <v>18.62</v>
      </c>
      <c r="C68" s="189">
        <v>24.77</v>
      </c>
      <c r="D68" s="189">
        <v>29.22</v>
      </c>
      <c r="E68" s="189">
        <v>9.3000000000000007</v>
      </c>
      <c r="F68" s="189">
        <v>2.89</v>
      </c>
      <c r="G68" s="189">
        <v>24.17</v>
      </c>
      <c r="H68" s="189">
        <v>9.0500000000000007</v>
      </c>
      <c r="I68" s="189">
        <v>5.0199999999999996</v>
      </c>
      <c r="J68" s="189">
        <v>0.5</v>
      </c>
      <c r="K68" s="189">
        <v>275.23</v>
      </c>
      <c r="L68" s="189">
        <v>24.54</v>
      </c>
      <c r="M68" s="189">
        <v>63.92</v>
      </c>
      <c r="N68" s="189">
        <v>133.80000000000001</v>
      </c>
      <c r="O68" s="189">
        <v>0</v>
      </c>
      <c r="P68" s="189">
        <v>0.62</v>
      </c>
      <c r="Q68" s="189">
        <v>4.79</v>
      </c>
    </row>
    <row r="69" spans="1:17" customFormat="1">
      <c r="A69" s="6" t="s">
        <v>971</v>
      </c>
      <c r="B69" s="189">
        <v>18.72</v>
      </c>
      <c r="C69" s="189">
        <v>22.35</v>
      </c>
      <c r="D69" s="189">
        <v>28.03</v>
      </c>
      <c r="E69" s="189">
        <v>9.07</v>
      </c>
      <c r="F69" s="189">
        <v>3.1</v>
      </c>
      <c r="G69" s="189">
        <v>24.17</v>
      </c>
      <c r="H69" s="189">
        <v>9.0500000000000007</v>
      </c>
      <c r="I69" s="189">
        <v>4.96</v>
      </c>
      <c r="J69" s="189">
        <v>0.44</v>
      </c>
      <c r="K69" s="189">
        <v>282.52999999999997</v>
      </c>
      <c r="L69" s="189">
        <v>24.56</v>
      </c>
      <c r="M69" s="189">
        <v>65.61</v>
      </c>
      <c r="N69" s="189">
        <v>105.1</v>
      </c>
      <c r="O69" s="189">
        <v>0</v>
      </c>
      <c r="P69" s="189">
        <v>0.61</v>
      </c>
      <c r="Q69" s="189">
        <v>4.7699999999999996</v>
      </c>
    </row>
    <row r="70" spans="1:17" customFormat="1">
      <c r="A70" s="6" t="s">
        <v>972</v>
      </c>
      <c r="B70" s="189">
        <v>18.77</v>
      </c>
      <c r="C70" s="189">
        <v>20.32</v>
      </c>
      <c r="D70" s="189">
        <v>27.02</v>
      </c>
      <c r="E70" s="189">
        <v>8.6199999999999992</v>
      </c>
      <c r="F70" s="189">
        <v>3.18</v>
      </c>
      <c r="G70" s="189">
        <v>25.74</v>
      </c>
      <c r="H70" s="189">
        <v>7.75</v>
      </c>
      <c r="I70" s="189">
        <v>4.9400000000000004</v>
      </c>
      <c r="J70" s="189">
        <v>0.3</v>
      </c>
      <c r="K70" s="189">
        <v>268.07</v>
      </c>
      <c r="L70" s="189">
        <v>24.43</v>
      </c>
      <c r="M70" s="189">
        <v>67.44</v>
      </c>
      <c r="N70" s="189">
        <v>72.900000000000006</v>
      </c>
      <c r="O70" s="189">
        <v>0</v>
      </c>
      <c r="P70" s="189">
        <v>0.6</v>
      </c>
      <c r="Q70" s="189">
        <v>4.79</v>
      </c>
    </row>
    <row r="71" spans="1:17" customFormat="1">
      <c r="A71" s="6" t="s">
        <v>973</v>
      </c>
      <c r="B71" s="189">
        <v>18.82</v>
      </c>
      <c r="C71" s="189">
        <v>19.100000000000001</v>
      </c>
      <c r="D71" s="189">
        <v>26.42</v>
      </c>
      <c r="E71" s="189">
        <v>8.56</v>
      </c>
      <c r="F71" s="189">
        <v>3.08</v>
      </c>
      <c r="G71" s="189">
        <v>26.52</v>
      </c>
      <c r="H71" s="189">
        <v>7.59</v>
      </c>
      <c r="I71" s="189">
        <v>4.97</v>
      </c>
      <c r="J71" s="189">
        <v>0.28999999999999998</v>
      </c>
      <c r="K71" s="189">
        <v>274.77</v>
      </c>
      <c r="L71" s="189">
        <v>24.17</v>
      </c>
      <c r="M71" s="189">
        <v>67.599999999999994</v>
      </c>
      <c r="N71" s="189">
        <v>57.2</v>
      </c>
      <c r="O71" s="189">
        <v>0</v>
      </c>
      <c r="P71" s="189">
        <v>0.59</v>
      </c>
      <c r="Q71" s="189">
        <v>4.7699999999999996</v>
      </c>
    </row>
    <row r="72" spans="1:17" customFormat="1">
      <c r="A72" s="6" t="s">
        <v>974</v>
      </c>
      <c r="B72" s="189">
        <v>18.649999999999999</v>
      </c>
      <c r="C72" s="189">
        <v>18.87</v>
      </c>
      <c r="D72" s="189">
        <v>26.16</v>
      </c>
      <c r="E72" s="189">
        <v>7.96</v>
      </c>
      <c r="F72" s="189">
        <v>2.93</v>
      </c>
      <c r="G72" s="189">
        <v>26.52</v>
      </c>
      <c r="H72" s="189">
        <v>7.59</v>
      </c>
      <c r="I72" s="189">
        <v>5</v>
      </c>
      <c r="J72" s="189">
        <v>0.36</v>
      </c>
      <c r="K72" s="189">
        <v>279.57</v>
      </c>
      <c r="L72" s="189">
        <v>24.02</v>
      </c>
      <c r="M72" s="189">
        <v>67.569999999999993</v>
      </c>
      <c r="N72" s="189">
        <v>48</v>
      </c>
      <c r="O72" s="189">
        <v>0</v>
      </c>
      <c r="P72" s="189">
        <v>0.59</v>
      </c>
      <c r="Q72" s="189">
        <v>4.74</v>
      </c>
    </row>
    <row r="73" spans="1:17" customFormat="1">
      <c r="A73" s="6" t="s">
        <v>975</v>
      </c>
      <c r="B73" s="189">
        <v>18.5</v>
      </c>
      <c r="C73" s="189">
        <v>19.399999999999999</v>
      </c>
      <c r="D73" s="189">
        <v>26.32</v>
      </c>
      <c r="E73" s="189">
        <v>7.88</v>
      </c>
      <c r="F73" s="189">
        <v>2.8</v>
      </c>
      <c r="G73" s="189">
        <v>26.52</v>
      </c>
      <c r="H73" s="189">
        <v>7.59</v>
      </c>
      <c r="I73" s="189">
        <v>5.01</v>
      </c>
      <c r="J73" s="189">
        <v>0.11</v>
      </c>
      <c r="K73" s="189">
        <v>200.75</v>
      </c>
      <c r="L73" s="189">
        <v>23.76</v>
      </c>
      <c r="M73" s="189">
        <v>70.2</v>
      </c>
      <c r="N73" s="189">
        <v>35.799999999999997</v>
      </c>
      <c r="O73" s="189">
        <v>0</v>
      </c>
      <c r="P73" s="189">
        <v>0.59</v>
      </c>
      <c r="Q73" s="189">
        <v>4.7300000000000004</v>
      </c>
    </row>
    <row r="74" spans="1:17" customFormat="1">
      <c r="A74" s="6" t="s">
        <v>976</v>
      </c>
      <c r="B74" s="189">
        <v>18.36</v>
      </c>
      <c r="C74" s="189">
        <v>20.34</v>
      </c>
      <c r="D74" s="189">
        <v>26.7</v>
      </c>
      <c r="E74" s="189">
        <v>8.1999999999999993</v>
      </c>
      <c r="F74" s="189">
        <v>2.63</v>
      </c>
      <c r="G74" s="189">
        <v>27.9</v>
      </c>
      <c r="H74" s="189">
        <v>12.01</v>
      </c>
      <c r="I74" s="189">
        <v>5.0199999999999996</v>
      </c>
      <c r="J74" s="189">
        <v>0.14000000000000001</v>
      </c>
      <c r="K74" s="189">
        <v>241.24</v>
      </c>
      <c r="L74" s="189">
        <v>23.45</v>
      </c>
      <c r="M74" s="189">
        <v>72.239999999999995</v>
      </c>
      <c r="N74" s="189">
        <v>24.7</v>
      </c>
      <c r="O74" s="189">
        <v>0</v>
      </c>
      <c r="P74" s="189">
        <v>0.59</v>
      </c>
      <c r="Q74" s="189">
        <v>4.71</v>
      </c>
    </row>
    <row r="75" spans="1:17" customFormat="1">
      <c r="A75" s="6" t="s">
        <v>977</v>
      </c>
      <c r="B75" s="189">
        <v>18.34</v>
      </c>
      <c r="C75" s="189">
        <v>20.36</v>
      </c>
      <c r="D75" s="189">
        <v>26.7</v>
      </c>
      <c r="E75" s="189">
        <v>8.23</v>
      </c>
      <c r="F75" s="189">
        <v>2.56</v>
      </c>
      <c r="G75" s="189">
        <v>28.58</v>
      </c>
      <c r="H75" s="189">
        <v>12.53</v>
      </c>
      <c r="I75" s="189">
        <v>5.03</v>
      </c>
      <c r="J75" s="189">
        <v>0.22</v>
      </c>
      <c r="K75" s="189">
        <v>270.10000000000002</v>
      </c>
      <c r="L75" s="189">
        <v>23.02</v>
      </c>
      <c r="M75" s="189">
        <v>74.36</v>
      </c>
      <c r="N75" s="189">
        <v>13</v>
      </c>
      <c r="O75" s="189">
        <v>0</v>
      </c>
      <c r="P75" s="189">
        <v>0.6</v>
      </c>
      <c r="Q75" s="189">
        <v>4.7300000000000004</v>
      </c>
    </row>
    <row r="76" spans="1:17" customFormat="1">
      <c r="A76" s="6" t="s">
        <v>978</v>
      </c>
      <c r="B76" s="189">
        <v>18.25</v>
      </c>
      <c r="C76" s="189">
        <v>20.77</v>
      </c>
      <c r="D76" s="189">
        <v>26.84</v>
      </c>
      <c r="E76" s="189">
        <v>8.32</v>
      </c>
      <c r="F76" s="189">
        <v>2.64</v>
      </c>
      <c r="G76" s="189">
        <v>28.58</v>
      </c>
      <c r="H76" s="189">
        <v>12.53</v>
      </c>
      <c r="I76" s="189">
        <v>5.07</v>
      </c>
      <c r="J76" s="189">
        <v>0.12</v>
      </c>
      <c r="K76" s="189">
        <v>172.83</v>
      </c>
      <c r="L76" s="189">
        <v>22.49</v>
      </c>
      <c r="M76" s="189">
        <v>76.53</v>
      </c>
      <c r="N76" s="189">
        <v>2.8</v>
      </c>
      <c r="O76" s="189">
        <v>0</v>
      </c>
      <c r="P76" s="189">
        <v>0.6</v>
      </c>
      <c r="Q76" s="189">
        <v>4.74</v>
      </c>
    </row>
    <row r="77" spans="1:17" customFormat="1">
      <c r="A77" s="6" t="s">
        <v>979</v>
      </c>
      <c r="B77" s="189">
        <v>18.079999999999998</v>
      </c>
      <c r="C77" s="189">
        <v>21.11</v>
      </c>
      <c r="D77" s="189">
        <v>26.88</v>
      </c>
      <c r="E77" s="189">
        <v>8.39</v>
      </c>
      <c r="F77" s="189">
        <v>2.58</v>
      </c>
      <c r="G77" s="189">
        <v>28.58</v>
      </c>
      <c r="H77" s="189">
        <v>12.53</v>
      </c>
      <c r="I77" s="189">
        <v>5.09</v>
      </c>
      <c r="J77" s="189">
        <v>0.13</v>
      </c>
      <c r="K77" s="189">
        <v>186.13</v>
      </c>
      <c r="L77" s="189">
        <v>22.02</v>
      </c>
      <c r="M77" s="189">
        <v>78.819999999999993</v>
      </c>
      <c r="N77" s="189">
        <v>0</v>
      </c>
      <c r="O77" s="189">
        <v>0</v>
      </c>
      <c r="P77" s="189">
        <v>0.6</v>
      </c>
      <c r="Q77" s="189">
        <v>4.7300000000000004</v>
      </c>
    </row>
    <row r="78" spans="1:17" customFormat="1">
      <c r="A78" s="6" t="s">
        <v>980</v>
      </c>
      <c r="B78" s="189">
        <v>18.02</v>
      </c>
      <c r="C78" s="189">
        <v>19.54</v>
      </c>
      <c r="D78" s="189">
        <v>26.01</v>
      </c>
      <c r="E78" s="189">
        <v>8.1999999999999993</v>
      </c>
      <c r="F78" s="189">
        <v>2.88</v>
      </c>
      <c r="G78" s="189">
        <v>30.48</v>
      </c>
      <c r="H78" s="189">
        <v>11.17</v>
      </c>
      <c r="I78" s="189">
        <v>5.0999999999999996</v>
      </c>
      <c r="J78" s="189">
        <v>0.09</v>
      </c>
      <c r="K78" s="189">
        <v>214.91</v>
      </c>
      <c r="L78" s="189">
        <v>21.55</v>
      </c>
      <c r="M78" s="189">
        <v>82.11</v>
      </c>
      <c r="N78" s="189">
        <v>0</v>
      </c>
      <c r="O78" s="189">
        <v>0</v>
      </c>
      <c r="P78" s="189">
        <v>0.59</v>
      </c>
      <c r="Q78" s="189">
        <v>4.7300000000000004</v>
      </c>
    </row>
    <row r="79" spans="1:17" customFormat="1">
      <c r="A79" s="6" t="s">
        <v>981</v>
      </c>
      <c r="B79" s="189">
        <v>18.03</v>
      </c>
      <c r="C79" s="189">
        <v>18</v>
      </c>
      <c r="D79" s="189">
        <v>25.22</v>
      </c>
      <c r="E79" s="189">
        <v>7.9</v>
      </c>
      <c r="F79" s="189">
        <v>2.76</v>
      </c>
      <c r="G79" s="189">
        <v>31.43</v>
      </c>
      <c r="H79" s="189">
        <v>11.01</v>
      </c>
      <c r="I79" s="189">
        <v>5.1100000000000003</v>
      </c>
      <c r="J79" s="189">
        <v>0.11</v>
      </c>
      <c r="K79" s="189">
        <v>166.66</v>
      </c>
      <c r="L79" s="189">
        <v>21.06</v>
      </c>
      <c r="M79" s="189">
        <v>86.05</v>
      </c>
      <c r="N79" s="189">
        <v>0</v>
      </c>
      <c r="O79" s="189">
        <v>0</v>
      </c>
      <c r="P79" s="189">
        <v>0.57999999999999996</v>
      </c>
      <c r="Q79" s="189">
        <v>4.72</v>
      </c>
    </row>
    <row r="80" spans="1:17" customFormat="1">
      <c r="A80" s="6" t="s">
        <v>982</v>
      </c>
      <c r="B80" s="189">
        <v>17.93</v>
      </c>
      <c r="C80" s="189">
        <v>17.96</v>
      </c>
      <c r="D80" s="189">
        <v>25.11</v>
      </c>
      <c r="E80" s="189">
        <v>7.96</v>
      </c>
      <c r="F80" s="189">
        <v>2.73</v>
      </c>
      <c r="G80" s="189">
        <v>31.43</v>
      </c>
      <c r="H80" s="189">
        <v>11.01</v>
      </c>
      <c r="I80" s="189">
        <v>5.12</v>
      </c>
      <c r="J80" s="189">
        <v>0.13</v>
      </c>
      <c r="K80" s="189">
        <v>186.34</v>
      </c>
      <c r="L80" s="189">
        <v>20.71</v>
      </c>
      <c r="M80" s="189">
        <v>87.33</v>
      </c>
      <c r="N80" s="189">
        <v>0</v>
      </c>
      <c r="O80" s="189">
        <v>0</v>
      </c>
      <c r="P80" s="189">
        <v>0.57999999999999996</v>
      </c>
      <c r="Q80" s="189">
        <v>4.72</v>
      </c>
    </row>
    <row r="81" spans="1:17" customFormat="1">
      <c r="A81" s="6" t="s">
        <v>983</v>
      </c>
      <c r="B81" s="189">
        <v>17.77</v>
      </c>
      <c r="C81" s="189">
        <v>19.27</v>
      </c>
      <c r="D81" s="189">
        <v>25.67</v>
      </c>
      <c r="E81" s="189">
        <v>7.37</v>
      </c>
      <c r="F81" s="189">
        <v>2.54</v>
      </c>
      <c r="G81" s="189">
        <v>31.43</v>
      </c>
      <c r="H81" s="189">
        <v>11.01</v>
      </c>
      <c r="I81" s="189">
        <v>5.16</v>
      </c>
      <c r="J81" s="189">
        <v>0.11</v>
      </c>
      <c r="K81" s="189">
        <v>174.26</v>
      </c>
      <c r="L81" s="189">
        <v>20.32</v>
      </c>
      <c r="M81" s="189">
        <v>90.12</v>
      </c>
      <c r="N81" s="189">
        <v>0</v>
      </c>
      <c r="O81" s="189">
        <v>0</v>
      </c>
      <c r="P81" s="189">
        <v>0.6</v>
      </c>
      <c r="Q81" s="189">
        <v>4.6900000000000004</v>
      </c>
    </row>
    <row r="82" spans="1:17" customFormat="1">
      <c r="A82" s="6" t="s">
        <v>984</v>
      </c>
      <c r="B82" s="189">
        <v>17.760000000000002</v>
      </c>
      <c r="C82" s="189">
        <v>20.03</v>
      </c>
      <c r="D82" s="189">
        <v>26.06</v>
      </c>
      <c r="E82" s="189">
        <v>7.93</v>
      </c>
      <c r="F82" s="189">
        <v>2.5299999999999998</v>
      </c>
      <c r="G82" s="189">
        <v>31.75</v>
      </c>
      <c r="H82" s="189">
        <v>13.69</v>
      </c>
      <c r="I82" s="189">
        <v>5.2</v>
      </c>
      <c r="J82" s="189">
        <v>0.19</v>
      </c>
      <c r="K82" s="189">
        <v>167.16</v>
      </c>
      <c r="L82" s="189">
        <v>20.18</v>
      </c>
      <c r="M82" s="189">
        <v>90.74</v>
      </c>
      <c r="N82" s="189">
        <v>0</v>
      </c>
      <c r="O82" s="189">
        <v>0</v>
      </c>
      <c r="P82" s="189">
        <v>0.61</v>
      </c>
      <c r="Q82" s="189">
        <v>4.7</v>
      </c>
    </row>
    <row r="83" spans="1:17" customFormat="1">
      <c r="A83" s="6" t="s">
        <v>985</v>
      </c>
      <c r="B83" s="189">
        <v>17.84</v>
      </c>
      <c r="C83" s="189">
        <v>20.52</v>
      </c>
      <c r="D83" s="189">
        <v>26.38</v>
      </c>
      <c r="E83" s="189">
        <v>8.1300000000000008</v>
      </c>
      <c r="F83" s="189">
        <v>2.41</v>
      </c>
      <c r="G83" s="189">
        <v>31.92</v>
      </c>
      <c r="H83" s="189">
        <v>14.2</v>
      </c>
      <c r="I83" s="189">
        <v>5.24</v>
      </c>
      <c r="J83" s="189">
        <v>0.09</v>
      </c>
      <c r="K83" s="189">
        <v>216.75</v>
      </c>
      <c r="L83" s="189">
        <v>19.899999999999999</v>
      </c>
      <c r="M83" s="189">
        <v>91.56</v>
      </c>
      <c r="N83" s="189">
        <v>0</v>
      </c>
      <c r="O83" s="189">
        <v>0</v>
      </c>
      <c r="P83" s="189">
        <v>0.63</v>
      </c>
      <c r="Q83" s="189">
        <v>4.72</v>
      </c>
    </row>
    <row r="84" spans="1:17" customFormat="1">
      <c r="A84" s="6" t="s">
        <v>986</v>
      </c>
      <c r="B84" s="189">
        <v>17.86</v>
      </c>
      <c r="C84" s="189">
        <v>20.53</v>
      </c>
      <c r="D84" s="189">
        <v>26.4</v>
      </c>
      <c r="E84" s="189">
        <v>8.39</v>
      </c>
      <c r="F84" s="189">
        <v>2.52</v>
      </c>
      <c r="G84" s="189">
        <v>31.92</v>
      </c>
      <c r="H84" s="189">
        <v>14.2</v>
      </c>
      <c r="I84" s="189">
        <v>5.32</v>
      </c>
      <c r="J84" s="189">
        <v>0.2</v>
      </c>
      <c r="K84" s="189">
        <v>165.27</v>
      </c>
      <c r="L84" s="189">
        <v>19.79</v>
      </c>
      <c r="M84" s="189">
        <v>92.22</v>
      </c>
      <c r="N84" s="189">
        <v>0</v>
      </c>
      <c r="O84" s="189">
        <v>0</v>
      </c>
      <c r="P84" s="189">
        <v>0.64</v>
      </c>
      <c r="Q84" s="189">
        <v>4.6900000000000004</v>
      </c>
    </row>
    <row r="85" spans="1:17" customFormat="1">
      <c r="A85" s="6" t="s">
        <v>987</v>
      </c>
      <c r="B85" s="189">
        <v>17.77</v>
      </c>
      <c r="C85" s="189">
        <v>20.7</v>
      </c>
      <c r="D85" s="189">
        <v>26.42</v>
      </c>
      <c r="E85" s="189">
        <v>8.5299999999999994</v>
      </c>
      <c r="F85" s="189">
        <v>2.54</v>
      </c>
      <c r="G85" s="189">
        <v>31.92</v>
      </c>
      <c r="H85" s="189">
        <v>14.2</v>
      </c>
      <c r="I85" s="189">
        <v>5.41</v>
      </c>
      <c r="J85" s="189">
        <v>0.06</v>
      </c>
      <c r="K85" s="189">
        <v>160.91999999999999</v>
      </c>
      <c r="L85" s="189">
        <v>19.59</v>
      </c>
      <c r="M85" s="189">
        <v>93.55</v>
      </c>
      <c r="N85" s="189">
        <v>0</v>
      </c>
      <c r="O85" s="189">
        <v>0</v>
      </c>
      <c r="P85" s="189">
        <v>0.65</v>
      </c>
      <c r="Q85" s="189">
        <v>4.7</v>
      </c>
    </row>
    <row r="86" spans="1:17" customFormat="1">
      <c r="A86" s="6" t="s">
        <v>988</v>
      </c>
      <c r="B86" s="189">
        <v>17.760000000000002</v>
      </c>
      <c r="C86" s="189">
        <v>20.72</v>
      </c>
      <c r="D86" s="189">
        <v>26.41</v>
      </c>
      <c r="E86" s="189">
        <v>8.3800000000000008</v>
      </c>
      <c r="F86" s="189">
        <v>2.5299999999999998</v>
      </c>
      <c r="G86" s="189">
        <v>34.21</v>
      </c>
      <c r="H86" s="189">
        <v>13.95</v>
      </c>
      <c r="I86" s="189">
        <v>5.5</v>
      </c>
      <c r="J86" s="189">
        <v>7.0000000000000007E-2</v>
      </c>
      <c r="K86" s="189">
        <v>201.81</v>
      </c>
      <c r="L86" s="189">
        <v>19.440000000000001</v>
      </c>
      <c r="M86" s="189">
        <v>94.15</v>
      </c>
      <c r="N86" s="189">
        <v>0</v>
      </c>
      <c r="O86" s="189">
        <v>0</v>
      </c>
      <c r="P86" s="189">
        <v>0.67</v>
      </c>
      <c r="Q86" s="189">
        <v>4.71</v>
      </c>
    </row>
    <row r="87" spans="1:17" customFormat="1">
      <c r="A87" s="6" t="s">
        <v>989</v>
      </c>
      <c r="B87" s="189">
        <v>17.73</v>
      </c>
      <c r="C87" s="189">
        <v>20.56</v>
      </c>
      <c r="D87" s="189">
        <v>26.32</v>
      </c>
      <c r="E87" s="189">
        <v>8.5299999999999994</v>
      </c>
      <c r="F87" s="189">
        <v>2.65</v>
      </c>
      <c r="G87" s="189">
        <v>35.35</v>
      </c>
      <c r="H87" s="189">
        <v>13.92</v>
      </c>
      <c r="I87" s="189">
        <v>5.56</v>
      </c>
      <c r="J87" s="189">
        <v>0.09</v>
      </c>
      <c r="K87" s="189">
        <v>244.98</v>
      </c>
      <c r="L87" s="189">
        <v>19.29</v>
      </c>
      <c r="M87" s="189">
        <v>94.66</v>
      </c>
      <c r="N87" s="189">
        <v>0</v>
      </c>
      <c r="O87" s="189">
        <v>0</v>
      </c>
      <c r="P87" s="189">
        <v>0.68</v>
      </c>
      <c r="Q87" s="189">
        <v>4.7300000000000004</v>
      </c>
    </row>
    <row r="88" spans="1:17" customFormat="1">
      <c r="A88" s="6" t="s">
        <v>990</v>
      </c>
      <c r="B88" s="189">
        <v>17.53</v>
      </c>
      <c r="C88" s="189">
        <v>21.01</v>
      </c>
      <c r="D88" s="189">
        <v>26.38</v>
      </c>
      <c r="E88" s="189">
        <v>8.68</v>
      </c>
      <c r="F88" s="189">
        <v>2.65</v>
      </c>
      <c r="G88" s="189">
        <v>35.35</v>
      </c>
      <c r="H88" s="189">
        <v>13.92</v>
      </c>
      <c r="I88" s="189">
        <v>5.64</v>
      </c>
      <c r="J88" s="189">
        <v>0.08</v>
      </c>
      <c r="K88" s="189">
        <v>186.92</v>
      </c>
      <c r="L88" s="189">
        <v>19.36</v>
      </c>
      <c r="M88" s="189">
        <v>94.27</v>
      </c>
      <c r="N88" s="189">
        <v>0</v>
      </c>
      <c r="O88" s="189">
        <v>0</v>
      </c>
      <c r="P88" s="189">
        <v>0.7</v>
      </c>
      <c r="Q88" s="189">
        <v>4.75</v>
      </c>
    </row>
    <row r="89" spans="1:17" customFormat="1">
      <c r="A89" s="6" t="s">
        <v>991</v>
      </c>
      <c r="B89" s="189">
        <v>17.309999999999999</v>
      </c>
      <c r="C89" s="189">
        <v>21.29</v>
      </c>
      <c r="D89" s="189">
        <v>26.36</v>
      </c>
      <c r="E89" s="189">
        <v>8.86</v>
      </c>
      <c r="F89" s="189">
        <v>2.6</v>
      </c>
      <c r="G89" s="189">
        <v>35.35</v>
      </c>
      <c r="H89" s="189">
        <v>13.92</v>
      </c>
      <c r="I89" s="189">
        <v>5.75</v>
      </c>
      <c r="J89" s="189">
        <v>0.09</v>
      </c>
      <c r="K89" s="189">
        <v>184.71</v>
      </c>
      <c r="L89" s="189">
        <v>19.329999999999998</v>
      </c>
      <c r="M89" s="189">
        <v>94.48</v>
      </c>
      <c r="N89" s="189">
        <v>0</v>
      </c>
      <c r="O89" s="189">
        <v>0</v>
      </c>
      <c r="P89" s="189">
        <v>0.72</v>
      </c>
      <c r="Q89" s="189">
        <v>4.76</v>
      </c>
    </row>
    <row r="90" spans="1:17" customFormat="1">
      <c r="A90" s="6" t="s">
        <v>992</v>
      </c>
      <c r="B90" s="189">
        <v>17.12</v>
      </c>
      <c r="C90" s="189">
        <v>21.82</v>
      </c>
      <c r="D90" s="189">
        <v>26.48</v>
      </c>
      <c r="E90" s="189">
        <v>8.56</v>
      </c>
      <c r="F90" s="189">
        <v>2.5099999999999998</v>
      </c>
      <c r="G90" s="189">
        <v>34.93</v>
      </c>
      <c r="H90" s="189">
        <v>14.57</v>
      </c>
      <c r="I90" s="189">
        <v>5.92</v>
      </c>
      <c r="J90" s="189">
        <v>0.1</v>
      </c>
      <c r="K90" s="189">
        <v>204.32</v>
      </c>
      <c r="L90" s="189">
        <v>19.23</v>
      </c>
      <c r="M90" s="189">
        <v>94.6</v>
      </c>
      <c r="N90" s="189">
        <v>0</v>
      </c>
      <c r="O90" s="189">
        <v>0</v>
      </c>
      <c r="P90" s="189">
        <v>0.74</v>
      </c>
      <c r="Q90" s="189">
        <v>4.71</v>
      </c>
    </row>
    <row r="91" spans="1:17" customFormat="1">
      <c r="A91" s="6" t="s">
        <v>993</v>
      </c>
      <c r="B91" s="189">
        <v>16.89</v>
      </c>
      <c r="C91" s="189">
        <v>22.05</v>
      </c>
      <c r="D91" s="189">
        <v>26.42</v>
      </c>
      <c r="E91" s="189">
        <v>8.52</v>
      </c>
      <c r="F91" s="189">
        <v>2.5299999999999998</v>
      </c>
      <c r="G91" s="189">
        <v>34.72</v>
      </c>
      <c r="H91" s="189">
        <v>14.65</v>
      </c>
      <c r="I91" s="189">
        <v>6.07</v>
      </c>
      <c r="J91" s="189">
        <v>0.09</v>
      </c>
      <c r="K91" s="189">
        <v>152.57</v>
      </c>
      <c r="L91" s="189">
        <v>19.25</v>
      </c>
      <c r="M91" s="189">
        <v>94.83</v>
      </c>
      <c r="N91" s="189">
        <v>0</v>
      </c>
      <c r="O91" s="189">
        <v>0</v>
      </c>
      <c r="P91" s="189">
        <v>0.75</v>
      </c>
      <c r="Q91" s="189">
        <v>4.72</v>
      </c>
    </row>
    <row r="92" spans="1:17" customFormat="1">
      <c r="A92" s="6" t="s">
        <v>994</v>
      </c>
      <c r="B92" s="189">
        <v>16.739999999999998</v>
      </c>
      <c r="C92" s="189">
        <v>21.95</v>
      </c>
      <c r="D92" s="189">
        <v>26.24</v>
      </c>
      <c r="E92" s="189">
        <v>9</v>
      </c>
      <c r="F92" s="189">
        <v>2.61</v>
      </c>
      <c r="G92" s="189">
        <v>34.72</v>
      </c>
      <c r="H92" s="189">
        <v>14.65</v>
      </c>
      <c r="I92" s="189">
        <v>6.18</v>
      </c>
      <c r="J92" s="189">
        <v>0.08</v>
      </c>
      <c r="K92" s="189">
        <v>166.39</v>
      </c>
      <c r="L92" s="189">
        <v>19.16</v>
      </c>
      <c r="M92" s="189">
        <v>95.47</v>
      </c>
      <c r="N92" s="189">
        <v>0</v>
      </c>
      <c r="O92" s="189">
        <v>0</v>
      </c>
      <c r="P92" s="189">
        <v>0.76</v>
      </c>
      <c r="Q92" s="189">
        <v>4.72</v>
      </c>
    </row>
    <row r="93" spans="1:17" customFormat="1">
      <c r="A93" s="6" t="s">
        <v>995</v>
      </c>
      <c r="B93" s="189">
        <v>16.46</v>
      </c>
      <c r="C93" s="189">
        <v>22.41</v>
      </c>
      <c r="D93" s="189">
        <v>26.26</v>
      </c>
      <c r="E93" s="189">
        <v>8.75</v>
      </c>
      <c r="F93" s="189">
        <v>2.64</v>
      </c>
      <c r="G93" s="189">
        <v>34.72</v>
      </c>
      <c r="H93" s="189">
        <v>14.65</v>
      </c>
      <c r="I93" s="189">
        <v>6.28</v>
      </c>
      <c r="J93" s="189">
        <v>7.0000000000000007E-2</v>
      </c>
      <c r="K93" s="189">
        <v>239.42</v>
      </c>
      <c r="L93" s="189">
        <v>19.12</v>
      </c>
      <c r="M93" s="189">
        <v>94.99</v>
      </c>
      <c r="N93" s="189">
        <v>0</v>
      </c>
      <c r="O93" s="189">
        <v>0</v>
      </c>
      <c r="P93" s="189">
        <v>0.77</v>
      </c>
      <c r="Q93" s="189">
        <v>4.71</v>
      </c>
    </row>
    <row r="94" spans="1:17" customFormat="1">
      <c r="A94" s="6" t="s">
        <v>996</v>
      </c>
      <c r="B94" s="189">
        <v>16.260000000000002</v>
      </c>
      <c r="C94" s="189">
        <v>22.27</v>
      </c>
      <c r="D94" s="189">
        <v>26.02</v>
      </c>
      <c r="E94" s="189">
        <v>9.0299999999999994</v>
      </c>
      <c r="F94" s="189">
        <v>2.62</v>
      </c>
      <c r="G94" s="189">
        <v>35.119999999999997</v>
      </c>
      <c r="H94" s="189">
        <v>15.59</v>
      </c>
      <c r="I94" s="189">
        <v>6.35</v>
      </c>
      <c r="J94" s="189">
        <v>0.17</v>
      </c>
      <c r="K94" s="189">
        <v>154.06</v>
      </c>
      <c r="L94" s="189">
        <v>19.260000000000002</v>
      </c>
      <c r="M94" s="189">
        <v>94.28</v>
      </c>
      <c r="N94" s="189">
        <v>0</v>
      </c>
      <c r="O94" s="189">
        <v>0</v>
      </c>
      <c r="P94" s="189">
        <v>0.77</v>
      </c>
      <c r="Q94" s="189">
        <v>4.71</v>
      </c>
    </row>
    <row r="95" spans="1:17" customFormat="1">
      <c r="A95" s="6" t="s">
        <v>997</v>
      </c>
      <c r="B95" s="189">
        <v>16.05</v>
      </c>
      <c r="C95" s="189">
        <v>22.68</v>
      </c>
      <c r="D95" s="189">
        <v>26.07</v>
      </c>
      <c r="E95" s="189">
        <v>8.89</v>
      </c>
      <c r="F95" s="189">
        <v>2.74</v>
      </c>
      <c r="G95" s="189">
        <v>35.32</v>
      </c>
      <c r="H95" s="189">
        <v>15.7</v>
      </c>
      <c r="I95" s="189">
        <v>6.39</v>
      </c>
      <c r="J95" s="189">
        <v>7.0000000000000007E-2</v>
      </c>
      <c r="K95" s="189">
        <v>200.6</v>
      </c>
      <c r="L95" s="189">
        <v>19.32</v>
      </c>
      <c r="M95" s="189">
        <v>94.39</v>
      </c>
      <c r="N95" s="189">
        <v>0</v>
      </c>
      <c r="O95" s="189">
        <v>0</v>
      </c>
      <c r="P95" s="189">
        <v>0.78</v>
      </c>
      <c r="Q95" s="189">
        <v>4.7</v>
      </c>
    </row>
    <row r="96" spans="1:17" customFormat="1">
      <c r="A96" s="6" t="s">
        <v>998</v>
      </c>
      <c r="B96" s="189">
        <v>15.89</v>
      </c>
      <c r="C96" s="189">
        <v>22.71</v>
      </c>
      <c r="D96" s="189">
        <v>25.96</v>
      </c>
      <c r="E96" s="189">
        <v>8.68</v>
      </c>
      <c r="F96" s="189">
        <v>2.61</v>
      </c>
      <c r="G96" s="189">
        <v>35.32</v>
      </c>
      <c r="H96" s="189">
        <v>15.7</v>
      </c>
      <c r="I96" s="189">
        <v>6.41</v>
      </c>
      <c r="J96" s="189">
        <v>0.1</v>
      </c>
      <c r="K96" s="189">
        <v>150.56</v>
      </c>
      <c r="L96" s="189">
        <v>19.25</v>
      </c>
      <c r="M96" s="189">
        <v>94.7</v>
      </c>
      <c r="N96" s="189">
        <v>0</v>
      </c>
      <c r="O96" s="189">
        <v>0</v>
      </c>
      <c r="P96" s="189">
        <v>0.79</v>
      </c>
      <c r="Q96" s="189">
        <v>4.71</v>
      </c>
    </row>
    <row r="97" spans="1:22" customFormat="1">
      <c r="A97" s="6" t="s">
        <v>999</v>
      </c>
      <c r="B97" s="189">
        <v>15.78</v>
      </c>
      <c r="C97" s="189">
        <v>22.32</v>
      </c>
      <c r="D97" s="189">
        <v>25.67</v>
      </c>
      <c r="E97" s="189">
        <v>8.58</v>
      </c>
      <c r="F97" s="189">
        <v>2.59</v>
      </c>
      <c r="G97" s="189">
        <v>35.32</v>
      </c>
      <c r="H97" s="189">
        <v>15.7</v>
      </c>
      <c r="I97" s="189">
        <v>6.48</v>
      </c>
      <c r="J97" s="189">
        <v>0.08</v>
      </c>
      <c r="K97" s="189">
        <v>231.17</v>
      </c>
      <c r="L97" s="189">
        <v>19.190000000000001</v>
      </c>
      <c r="M97" s="189">
        <v>94.93</v>
      </c>
      <c r="N97" s="189">
        <v>0</v>
      </c>
      <c r="O97" s="189">
        <v>0</v>
      </c>
      <c r="P97" s="189">
        <v>0.8</v>
      </c>
      <c r="Q97" s="189">
        <v>4.71</v>
      </c>
    </row>
    <row r="98" spans="1:22" customFormat="1">
      <c r="A98" s="6" t="s">
        <v>1000</v>
      </c>
      <c r="B98" s="189">
        <v>15.58</v>
      </c>
      <c r="C98" s="189">
        <v>22.74</v>
      </c>
      <c r="D98" s="189">
        <v>25.73</v>
      </c>
      <c r="E98" s="189">
        <v>8.8699999999999992</v>
      </c>
      <c r="F98" s="189">
        <v>2.4900000000000002</v>
      </c>
      <c r="G98" s="189">
        <v>33.33</v>
      </c>
      <c r="H98" s="189">
        <v>16.62</v>
      </c>
      <c r="I98" s="189">
        <v>6.53</v>
      </c>
      <c r="J98" s="189">
        <v>0.06</v>
      </c>
      <c r="K98" s="189">
        <v>185.68</v>
      </c>
      <c r="L98" s="189">
        <v>19.149999999999999</v>
      </c>
      <c r="M98" s="189">
        <v>95.17</v>
      </c>
      <c r="N98" s="189">
        <v>0</v>
      </c>
      <c r="O98" s="189">
        <v>0</v>
      </c>
      <c r="P98" s="189">
        <v>0.79</v>
      </c>
      <c r="Q98" s="189">
        <v>4.7300000000000004</v>
      </c>
    </row>
    <row r="99" spans="1:22" customFormat="1">
      <c r="A99" s="6" t="s">
        <v>1001</v>
      </c>
      <c r="B99" s="189">
        <v>15.49</v>
      </c>
      <c r="C99" s="189">
        <v>22.72</v>
      </c>
      <c r="D99" s="189">
        <v>25.65</v>
      </c>
      <c r="E99" s="189">
        <v>9.06</v>
      </c>
      <c r="F99" s="189">
        <v>2.41</v>
      </c>
      <c r="G99" s="189">
        <v>32.33</v>
      </c>
      <c r="H99" s="189">
        <v>16.79</v>
      </c>
      <c r="I99" s="189">
        <v>6.51</v>
      </c>
      <c r="J99" s="189">
        <v>0.09</v>
      </c>
      <c r="K99" s="189">
        <v>176.77</v>
      </c>
      <c r="L99" s="189">
        <v>19.21</v>
      </c>
      <c r="M99" s="189">
        <v>95</v>
      </c>
      <c r="N99" s="189">
        <v>0</v>
      </c>
      <c r="O99" s="189">
        <v>0</v>
      </c>
      <c r="P99" s="189">
        <v>0.8</v>
      </c>
      <c r="Q99" s="189">
        <v>4.74</v>
      </c>
    </row>
    <row r="100" spans="1:22" customFormat="1">
      <c r="A100" s="6" t="s">
        <v>1002</v>
      </c>
      <c r="B100" s="189">
        <v>15.27</v>
      </c>
      <c r="C100" s="189">
        <v>22.41</v>
      </c>
      <c r="D100" s="189">
        <v>25.3</v>
      </c>
      <c r="E100" s="189">
        <v>8.83</v>
      </c>
      <c r="F100" s="189">
        <v>2.57</v>
      </c>
      <c r="G100" s="189">
        <v>32.33</v>
      </c>
      <c r="H100" s="189">
        <v>16.79</v>
      </c>
      <c r="I100" s="189">
        <v>6.5</v>
      </c>
      <c r="J100" s="189">
        <v>0.06</v>
      </c>
      <c r="K100" s="189">
        <v>231.23</v>
      </c>
      <c r="L100" s="189">
        <v>19.22</v>
      </c>
      <c r="M100" s="189">
        <v>94.79</v>
      </c>
      <c r="N100" s="189">
        <v>0</v>
      </c>
      <c r="O100" s="189">
        <v>0</v>
      </c>
      <c r="P100" s="189">
        <v>0.79</v>
      </c>
      <c r="Q100" s="189">
        <v>4.72</v>
      </c>
    </row>
    <row r="101" spans="1:22" customFormat="1">
      <c r="A101" s="6" t="s">
        <v>1003</v>
      </c>
      <c r="B101" s="189">
        <v>15.01</v>
      </c>
      <c r="C101" s="189">
        <v>22.97</v>
      </c>
      <c r="D101" s="189">
        <v>25.39</v>
      </c>
      <c r="E101" s="189">
        <v>8.91</v>
      </c>
      <c r="F101" s="189">
        <v>2.56</v>
      </c>
      <c r="G101" s="189">
        <v>32.33</v>
      </c>
      <c r="H101" s="189">
        <v>16.79</v>
      </c>
      <c r="I101" s="189">
        <v>6.47</v>
      </c>
      <c r="J101" s="189">
        <v>0.1</v>
      </c>
      <c r="K101" s="189">
        <v>204.82</v>
      </c>
      <c r="L101" s="189">
        <v>19.18</v>
      </c>
      <c r="M101" s="189">
        <v>95.39</v>
      </c>
      <c r="N101" s="189">
        <v>0</v>
      </c>
      <c r="O101" s="189">
        <v>0</v>
      </c>
      <c r="P101" s="189">
        <v>0.79</v>
      </c>
      <c r="Q101" s="189">
        <v>4.6900000000000004</v>
      </c>
    </row>
    <row r="102" spans="1:22" customFormat="1">
      <c r="A102" s="6" t="s">
        <v>1004</v>
      </c>
      <c r="B102" s="189">
        <v>14.91</v>
      </c>
      <c r="C102" s="189">
        <v>22.8</v>
      </c>
      <c r="D102" s="189">
        <v>25.22</v>
      </c>
      <c r="E102" s="189">
        <v>9.1199999999999992</v>
      </c>
      <c r="F102" s="189">
        <v>2.58</v>
      </c>
      <c r="G102" s="189">
        <v>34.92</v>
      </c>
      <c r="H102" s="189">
        <v>16.670000000000002</v>
      </c>
      <c r="I102" s="189">
        <v>6.42</v>
      </c>
      <c r="J102" s="189">
        <v>0.05</v>
      </c>
      <c r="K102" s="189">
        <v>167.17</v>
      </c>
      <c r="L102" s="189">
        <v>19.02</v>
      </c>
      <c r="M102" s="189">
        <v>95.68</v>
      </c>
      <c r="N102" s="189">
        <v>0</v>
      </c>
      <c r="O102" s="189">
        <v>0</v>
      </c>
      <c r="P102" s="189">
        <v>0.78</v>
      </c>
      <c r="Q102" s="189">
        <v>4.66</v>
      </c>
    </row>
    <row r="103" spans="1:22" customFormat="1">
      <c r="A103" s="6" t="s">
        <v>1005</v>
      </c>
      <c r="B103" s="189">
        <v>14.82</v>
      </c>
      <c r="C103" s="189">
        <v>22.49</v>
      </c>
      <c r="D103" s="189">
        <v>24.98</v>
      </c>
      <c r="E103" s="189">
        <v>8.9</v>
      </c>
      <c r="F103" s="189">
        <v>2.6</v>
      </c>
      <c r="G103" s="189">
        <v>36.22</v>
      </c>
      <c r="H103" s="189">
        <v>16.66</v>
      </c>
      <c r="I103" s="189">
        <v>6.38</v>
      </c>
      <c r="J103" s="189">
        <v>0.08</v>
      </c>
      <c r="K103" s="189">
        <v>217.52</v>
      </c>
      <c r="L103" s="189">
        <v>18.829999999999998</v>
      </c>
      <c r="M103" s="189">
        <v>95.98</v>
      </c>
      <c r="N103" s="189">
        <v>0</v>
      </c>
      <c r="O103" s="189">
        <v>0</v>
      </c>
      <c r="P103" s="189">
        <v>0.77</v>
      </c>
      <c r="Q103" s="189">
        <v>4.67</v>
      </c>
    </row>
    <row r="104" spans="1:22" customFormat="1">
      <c r="A104" s="6" t="s">
        <v>1006</v>
      </c>
      <c r="B104" s="189">
        <v>14.66</v>
      </c>
      <c r="C104" s="189">
        <v>22.7</v>
      </c>
      <c r="D104" s="189">
        <v>24.97</v>
      </c>
      <c r="E104" s="189">
        <v>8.61</v>
      </c>
      <c r="F104" s="189">
        <v>2.67</v>
      </c>
      <c r="G104" s="189">
        <v>36.22</v>
      </c>
      <c r="H104" s="189">
        <v>16.66</v>
      </c>
      <c r="I104" s="189">
        <v>6.36</v>
      </c>
      <c r="J104" s="189">
        <v>0.09</v>
      </c>
      <c r="K104" s="189">
        <v>255.76</v>
      </c>
      <c r="L104" s="189">
        <v>18.649999999999999</v>
      </c>
      <c r="M104" s="189">
        <v>96.74</v>
      </c>
      <c r="N104" s="189">
        <v>0</v>
      </c>
      <c r="O104" s="189">
        <v>0</v>
      </c>
      <c r="P104" s="189">
        <v>0.77</v>
      </c>
      <c r="Q104" s="189">
        <v>4.6900000000000004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14.66</v>
      </c>
      <c r="C106" s="183">
        <f>MIN(C9:C104)</f>
        <v>17.96</v>
      </c>
      <c r="D106" s="183">
        <f t="shared" ref="D106:Q106" si="0">MIN(D9:D104)</f>
        <v>24.97</v>
      </c>
      <c r="E106" s="183">
        <f t="shared" si="0"/>
        <v>4.6399999999999997</v>
      </c>
      <c r="F106" s="183">
        <f t="shared" si="0"/>
        <v>2.38</v>
      </c>
      <c r="G106" s="183">
        <f t="shared" si="0"/>
        <v>24.17</v>
      </c>
      <c r="H106" s="183">
        <f t="shared" si="0"/>
        <v>7.59</v>
      </c>
      <c r="I106" s="183">
        <f t="shared" si="0"/>
        <v>4.9400000000000004</v>
      </c>
      <c r="J106" s="183">
        <f t="shared" si="0"/>
        <v>0.05</v>
      </c>
      <c r="K106" s="183">
        <f t="shared" si="0"/>
        <v>8.26</v>
      </c>
      <c r="L106" s="183">
        <f t="shared" si="0"/>
        <v>18.649999999999999</v>
      </c>
      <c r="M106" s="183">
        <f t="shared" si="0"/>
        <v>61</v>
      </c>
      <c r="N106" s="183">
        <f t="shared" si="0"/>
        <v>0</v>
      </c>
      <c r="O106" s="183">
        <f t="shared" si="0"/>
        <v>0</v>
      </c>
      <c r="P106" s="183">
        <f t="shared" si="0"/>
        <v>0.57999999999999996</v>
      </c>
      <c r="Q106" s="183">
        <f t="shared" si="0"/>
        <v>4.66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35.32</v>
      </c>
      <c r="C107" s="184">
        <f t="shared" ref="C107:Q107" si="1">MAX(C9:C104)</f>
        <v>26.16</v>
      </c>
      <c r="D107" s="184">
        <f t="shared" si="1"/>
        <v>41.66</v>
      </c>
      <c r="E107" s="184">
        <f t="shared" si="1"/>
        <v>9.34</v>
      </c>
      <c r="F107" s="184">
        <f t="shared" si="1"/>
        <v>3.18</v>
      </c>
      <c r="G107" s="184">
        <f t="shared" si="1"/>
        <v>60.42</v>
      </c>
      <c r="H107" s="184">
        <f t="shared" si="1"/>
        <v>17.7</v>
      </c>
      <c r="I107" s="184">
        <f t="shared" si="1"/>
        <v>7.45</v>
      </c>
      <c r="J107" s="184">
        <f t="shared" si="1"/>
        <v>0.61</v>
      </c>
      <c r="K107" s="184">
        <f t="shared" si="1"/>
        <v>351.08</v>
      </c>
      <c r="L107" s="184">
        <f t="shared" si="1"/>
        <v>25.39</v>
      </c>
      <c r="M107" s="184">
        <f t="shared" si="1"/>
        <v>102.4</v>
      </c>
      <c r="N107" s="184">
        <f t="shared" si="1"/>
        <v>570.4</v>
      </c>
      <c r="O107" s="184">
        <f t="shared" si="1"/>
        <v>0</v>
      </c>
      <c r="P107" s="184">
        <f t="shared" si="1"/>
        <v>0.97</v>
      </c>
      <c r="Q107" s="184">
        <f t="shared" si="1"/>
        <v>5.27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25.213750000000001</v>
      </c>
      <c r="C108" s="183">
        <f t="shared" ref="C108:Q108" si="2">AVERAGE(C9:C104)</f>
        <v>22.418749999999989</v>
      </c>
      <c r="D108" s="183">
        <f t="shared" si="2"/>
        <v>33.283854166666679</v>
      </c>
      <c r="E108" s="183">
        <f t="shared" si="2"/>
        <v>7.677395833333331</v>
      </c>
      <c r="F108" s="183">
        <f t="shared" si="2"/>
        <v>2.6486458333333336</v>
      </c>
      <c r="G108" s="183">
        <f t="shared" si="2"/>
        <v>34.018124999999991</v>
      </c>
      <c r="H108" s="183">
        <f t="shared" si="2"/>
        <v>12.250520833333331</v>
      </c>
      <c r="I108" s="183">
        <f t="shared" si="2"/>
        <v>6.072916666666667</v>
      </c>
      <c r="J108" s="183">
        <f t="shared" si="2"/>
        <v>0.23385416666666659</v>
      </c>
      <c r="K108" s="183">
        <f t="shared" si="2"/>
        <v>137.70312499999997</v>
      </c>
      <c r="L108" s="183">
        <f t="shared" si="2"/>
        <v>20.771562499999998</v>
      </c>
      <c r="M108" s="183">
        <f t="shared" si="2"/>
        <v>88.321874999999977</v>
      </c>
      <c r="N108" s="183">
        <f t="shared" si="2"/>
        <v>61.869791666666664</v>
      </c>
      <c r="O108" s="183">
        <f t="shared" si="2"/>
        <v>0</v>
      </c>
      <c r="P108" s="183">
        <f t="shared" si="2"/>
        <v>0.75729166666666714</v>
      </c>
      <c r="Q108" s="183">
        <f t="shared" si="2"/>
        <v>4.9754166666666668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7.0735479447244742</v>
      </c>
      <c r="C109" s="183">
        <f t="shared" ref="C109:Q109" si="3">STDEV(C9:C104)</f>
        <v>2.1665311833485599</v>
      </c>
      <c r="D109" s="183">
        <f t="shared" si="3"/>
        <v>5.9657313258470213</v>
      </c>
      <c r="E109" s="183">
        <f t="shared" si="3"/>
        <v>1.2468286040922043</v>
      </c>
      <c r="F109" s="183">
        <f t="shared" si="3"/>
        <v>0.14976205542664586</v>
      </c>
      <c r="G109" s="183">
        <f t="shared" si="3"/>
        <v>5.491712476181978</v>
      </c>
      <c r="H109" s="183">
        <f t="shared" si="3"/>
        <v>2.6500595305296337</v>
      </c>
      <c r="I109" s="183">
        <f t="shared" si="3"/>
        <v>0.65886971264858052</v>
      </c>
      <c r="J109" s="183">
        <f t="shared" si="3"/>
        <v>0.14592261677930293</v>
      </c>
      <c r="K109" s="183">
        <f t="shared" si="3"/>
        <v>99.253844717392269</v>
      </c>
      <c r="L109" s="183">
        <f t="shared" si="3"/>
        <v>2.1302479856259491</v>
      </c>
      <c r="M109" s="183">
        <f t="shared" si="3"/>
        <v>13.245017916381599</v>
      </c>
      <c r="N109" s="183">
        <f t="shared" si="3"/>
        <v>104.72530395457056</v>
      </c>
      <c r="O109" s="183">
        <f t="shared" si="3"/>
        <v>0</v>
      </c>
      <c r="P109" s="183">
        <f t="shared" si="3"/>
        <v>0.10030982705352592</v>
      </c>
      <c r="Q109" s="183">
        <f t="shared" si="3"/>
        <v>0.21465721347821631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09/12/2023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1007</v>
      </c>
      <c r="B9" s="189">
        <v>14.84</v>
      </c>
      <c r="C9" s="189">
        <v>20.07</v>
      </c>
      <c r="D9" s="189">
        <v>23.74</v>
      </c>
      <c r="E9" s="189">
        <v>9.0299999999999994</v>
      </c>
      <c r="F9" s="189">
        <v>2.69</v>
      </c>
      <c r="G9" s="189">
        <v>36.22</v>
      </c>
      <c r="H9" s="189">
        <v>16.66</v>
      </c>
      <c r="I9" s="189">
        <v>6.33</v>
      </c>
      <c r="J9" s="189">
        <v>0.08</v>
      </c>
      <c r="K9" s="189">
        <v>175.03</v>
      </c>
      <c r="L9" s="189">
        <v>18.690000000000001</v>
      </c>
      <c r="M9" s="189">
        <v>96.95</v>
      </c>
      <c r="N9" s="189">
        <v>0</v>
      </c>
      <c r="O9" s="189">
        <v>0</v>
      </c>
      <c r="P9" s="189">
        <v>0.76</v>
      </c>
      <c r="Q9" s="189">
        <v>4.6900000000000004</v>
      </c>
    </row>
    <row r="10" spans="1:21" customFormat="1">
      <c r="A10" s="6" t="s">
        <v>1008</v>
      </c>
      <c r="B10" s="189">
        <v>14.77</v>
      </c>
      <c r="C10" s="189">
        <v>22.13</v>
      </c>
      <c r="D10" s="189">
        <v>24.76</v>
      </c>
      <c r="E10" s="189">
        <v>8.99</v>
      </c>
      <c r="F10" s="189">
        <v>2.66</v>
      </c>
      <c r="G10" s="189">
        <v>34.020000000000003</v>
      </c>
      <c r="H10" s="189">
        <v>15.47</v>
      </c>
      <c r="I10" s="189">
        <v>6.3</v>
      </c>
      <c r="J10" s="189">
        <v>0.1</v>
      </c>
      <c r="K10" s="189">
        <v>156.96</v>
      </c>
      <c r="L10" s="189">
        <v>18.91</v>
      </c>
      <c r="M10" s="189">
        <v>96.46</v>
      </c>
      <c r="N10" s="189">
        <v>0</v>
      </c>
      <c r="O10" s="189">
        <v>0</v>
      </c>
      <c r="P10" s="189">
        <v>0.77</v>
      </c>
      <c r="Q10" s="189">
        <v>4.67</v>
      </c>
    </row>
    <row r="11" spans="1:21" customFormat="1">
      <c r="A11" s="6" t="s">
        <v>1009</v>
      </c>
      <c r="B11" s="189">
        <v>14.77</v>
      </c>
      <c r="C11" s="189">
        <v>22.09</v>
      </c>
      <c r="D11" s="189">
        <v>24.73</v>
      </c>
      <c r="E11" s="189">
        <v>8.64</v>
      </c>
      <c r="F11" s="189">
        <v>2.6</v>
      </c>
      <c r="G11" s="189">
        <v>32.93</v>
      </c>
      <c r="H11" s="189">
        <v>15.24</v>
      </c>
      <c r="I11" s="189">
        <v>6.26</v>
      </c>
      <c r="J11" s="189">
        <v>0.14000000000000001</v>
      </c>
      <c r="K11" s="189">
        <v>280.64999999999998</v>
      </c>
      <c r="L11" s="189">
        <v>19.02</v>
      </c>
      <c r="M11" s="189">
        <v>96.13</v>
      </c>
      <c r="N11" s="189">
        <v>0</v>
      </c>
      <c r="O11" s="189">
        <v>0</v>
      </c>
      <c r="P11" s="189">
        <v>0.74</v>
      </c>
      <c r="Q11" s="189">
        <v>4.68</v>
      </c>
    </row>
    <row r="12" spans="1:21" customFormat="1">
      <c r="A12" s="6" t="s">
        <v>1010</v>
      </c>
      <c r="B12" s="189">
        <v>14.97</v>
      </c>
      <c r="C12" s="189">
        <v>20.7</v>
      </c>
      <c r="D12" s="189">
        <v>24.18</v>
      </c>
      <c r="E12" s="189">
        <v>8.8699999999999992</v>
      </c>
      <c r="F12" s="189">
        <v>2.84</v>
      </c>
      <c r="G12" s="189">
        <v>32.93</v>
      </c>
      <c r="H12" s="189">
        <v>15.24</v>
      </c>
      <c r="I12" s="189">
        <v>6.21</v>
      </c>
      <c r="J12" s="189">
        <v>0.04</v>
      </c>
      <c r="K12" s="189">
        <v>52.9</v>
      </c>
      <c r="L12" s="189">
        <v>19.149999999999999</v>
      </c>
      <c r="M12" s="189">
        <v>94.51</v>
      </c>
      <c r="N12" s="189">
        <v>0</v>
      </c>
      <c r="O12" s="189">
        <v>0</v>
      </c>
      <c r="P12" s="189">
        <v>0.74</v>
      </c>
      <c r="Q12" s="189">
        <v>4.6500000000000004</v>
      </c>
    </row>
    <row r="13" spans="1:21" customFormat="1">
      <c r="A13" s="6" t="s">
        <v>1011</v>
      </c>
      <c r="B13" s="189">
        <v>15.58</v>
      </c>
      <c r="C13" s="189">
        <v>18.72</v>
      </c>
      <c r="D13" s="189">
        <v>23.63</v>
      </c>
      <c r="E13" s="189">
        <v>8.74</v>
      </c>
      <c r="F13" s="189">
        <v>2.93</v>
      </c>
      <c r="G13" s="189">
        <v>32.93</v>
      </c>
      <c r="H13" s="189">
        <v>15.24</v>
      </c>
      <c r="I13" s="189">
        <v>6.18</v>
      </c>
      <c r="J13" s="189">
        <v>0.17</v>
      </c>
      <c r="K13" s="189">
        <v>49.14</v>
      </c>
      <c r="L13" s="189">
        <v>19.399999999999999</v>
      </c>
      <c r="M13" s="189">
        <v>92.71</v>
      </c>
      <c r="N13" s="189">
        <v>0</v>
      </c>
      <c r="O13" s="189">
        <v>0</v>
      </c>
      <c r="P13" s="189">
        <v>0.71</v>
      </c>
      <c r="Q13" s="189">
        <v>4.67</v>
      </c>
    </row>
    <row r="14" spans="1:21" customFormat="1">
      <c r="A14" s="6" t="s">
        <v>1012</v>
      </c>
      <c r="B14" s="189">
        <v>16.46</v>
      </c>
      <c r="C14" s="189">
        <v>18.39</v>
      </c>
      <c r="D14" s="189">
        <v>24.15</v>
      </c>
      <c r="E14" s="189">
        <v>8.3000000000000007</v>
      </c>
      <c r="F14" s="189">
        <v>2.82</v>
      </c>
      <c r="G14" s="189">
        <v>35.76</v>
      </c>
      <c r="H14" s="189">
        <v>14.84</v>
      </c>
      <c r="I14" s="189">
        <v>6.18</v>
      </c>
      <c r="J14" s="189">
        <v>0.1</v>
      </c>
      <c r="K14" s="189">
        <v>116.86</v>
      </c>
      <c r="L14" s="189">
        <v>19.510000000000002</v>
      </c>
      <c r="M14" s="189">
        <v>93.1</v>
      </c>
      <c r="N14" s="189">
        <v>0</v>
      </c>
      <c r="O14" s="189">
        <v>0</v>
      </c>
      <c r="P14" s="189">
        <v>0.71</v>
      </c>
      <c r="Q14" s="189">
        <v>4.68</v>
      </c>
    </row>
    <row r="15" spans="1:21" customFormat="1">
      <c r="A15" s="6" t="s">
        <v>1013</v>
      </c>
      <c r="B15" s="189">
        <v>17.22</v>
      </c>
      <c r="C15" s="189">
        <v>19.84</v>
      </c>
      <c r="D15" s="189">
        <v>25.53</v>
      </c>
      <c r="E15" s="189">
        <v>8.75</v>
      </c>
      <c r="F15" s="189">
        <v>2.46</v>
      </c>
      <c r="G15" s="189">
        <v>37.18</v>
      </c>
      <c r="H15" s="189">
        <v>14.79</v>
      </c>
      <c r="I15" s="189">
        <v>6.16</v>
      </c>
      <c r="J15" s="189">
        <v>0.11</v>
      </c>
      <c r="K15" s="189">
        <v>116.96</v>
      </c>
      <c r="L15" s="189">
        <v>19.64</v>
      </c>
      <c r="M15" s="189">
        <v>92.91</v>
      </c>
      <c r="N15" s="189">
        <v>0</v>
      </c>
      <c r="O15" s="189">
        <v>0</v>
      </c>
      <c r="P15" s="189">
        <v>0.72</v>
      </c>
      <c r="Q15" s="189">
        <v>4.6900000000000004</v>
      </c>
    </row>
    <row r="16" spans="1:21" customFormat="1">
      <c r="A16" s="6" t="s">
        <v>1014</v>
      </c>
      <c r="B16" s="189">
        <v>18.079999999999998</v>
      </c>
      <c r="C16" s="189">
        <v>18.62</v>
      </c>
      <c r="D16" s="189">
        <v>25.58</v>
      </c>
      <c r="E16" s="189">
        <v>8.23</v>
      </c>
      <c r="F16" s="189">
        <v>2.72</v>
      </c>
      <c r="G16" s="189">
        <v>37.18</v>
      </c>
      <c r="H16" s="189">
        <v>14.79</v>
      </c>
      <c r="I16" s="189">
        <v>6.15</v>
      </c>
      <c r="J16" s="189">
        <v>0.14000000000000001</v>
      </c>
      <c r="K16" s="189">
        <v>134.06</v>
      </c>
      <c r="L16" s="189">
        <v>19.62</v>
      </c>
      <c r="M16" s="189">
        <v>94.12</v>
      </c>
      <c r="N16" s="189">
        <v>0</v>
      </c>
      <c r="O16" s="189">
        <v>0</v>
      </c>
      <c r="P16" s="189">
        <v>0.71</v>
      </c>
      <c r="Q16" s="189">
        <v>4.71</v>
      </c>
    </row>
    <row r="17" spans="1:17" customFormat="1">
      <c r="A17" s="6" t="s">
        <v>1015</v>
      </c>
      <c r="B17" s="189">
        <v>18.88</v>
      </c>
      <c r="C17" s="189">
        <v>20.43</v>
      </c>
      <c r="D17" s="189">
        <v>27.16</v>
      </c>
      <c r="E17" s="189">
        <v>7.08</v>
      </c>
      <c r="F17" s="189">
        <v>2.5</v>
      </c>
      <c r="G17" s="189">
        <v>37.18</v>
      </c>
      <c r="H17" s="189">
        <v>14.79</v>
      </c>
      <c r="I17" s="189">
        <v>6.13</v>
      </c>
      <c r="J17" s="189">
        <v>0.15</v>
      </c>
      <c r="K17" s="189">
        <v>70.760000000000005</v>
      </c>
      <c r="L17" s="189">
        <v>19.48</v>
      </c>
      <c r="M17" s="189">
        <v>93.82</v>
      </c>
      <c r="N17" s="189">
        <v>0</v>
      </c>
      <c r="O17" s="189">
        <v>0</v>
      </c>
      <c r="P17" s="189">
        <v>0.71</v>
      </c>
      <c r="Q17" s="189">
        <v>4.74</v>
      </c>
    </row>
    <row r="18" spans="1:17" customFormat="1">
      <c r="A18" s="6" t="s">
        <v>1016</v>
      </c>
      <c r="B18" s="189">
        <v>19.940000000000001</v>
      </c>
      <c r="C18" s="189">
        <v>19.920000000000002</v>
      </c>
      <c r="D18" s="189">
        <v>27.75</v>
      </c>
      <c r="E18" s="189">
        <v>7.83</v>
      </c>
      <c r="F18" s="189">
        <v>2.65</v>
      </c>
      <c r="G18" s="189">
        <v>40.96</v>
      </c>
      <c r="H18" s="189">
        <v>13.79</v>
      </c>
      <c r="I18" s="189">
        <v>6.1</v>
      </c>
      <c r="J18" s="189">
        <v>0.11</v>
      </c>
      <c r="K18" s="189">
        <v>127.75</v>
      </c>
      <c r="L18" s="189">
        <v>19.399999999999999</v>
      </c>
      <c r="M18" s="189">
        <v>94.42</v>
      </c>
      <c r="N18" s="189">
        <v>0</v>
      </c>
      <c r="O18" s="189">
        <v>0</v>
      </c>
      <c r="P18" s="189">
        <v>0.71</v>
      </c>
      <c r="Q18" s="189">
        <v>4.7699999999999996</v>
      </c>
    </row>
    <row r="19" spans="1:17" customFormat="1">
      <c r="A19" s="6" t="s">
        <v>1017</v>
      </c>
      <c r="B19" s="189">
        <v>20.59</v>
      </c>
      <c r="C19" s="189">
        <v>21.29</v>
      </c>
      <c r="D19" s="189">
        <v>28.99</v>
      </c>
      <c r="E19" s="189">
        <v>7.8</v>
      </c>
      <c r="F19" s="189">
        <v>2.52</v>
      </c>
      <c r="G19" s="189">
        <v>42.86</v>
      </c>
      <c r="H19" s="189">
        <v>13.67</v>
      </c>
      <c r="I19" s="189">
        <v>6.12</v>
      </c>
      <c r="J19" s="189">
        <v>0.1</v>
      </c>
      <c r="K19" s="189">
        <v>182.2</v>
      </c>
      <c r="L19" s="189">
        <v>19.3</v>
      </c>
      <c r="M19" s="189">
        <v>95.2</v>
      </c>
      <c r="N19" s="189">
        <v>0</v>
      </c>
      <c r="O19" s="189">
        <v>0</v>
      </c>
      <c r="P19" s="189">
        <v>0.71</v>
      </c>
      <c r="Q19" s="189">
        <v>4.7699999999999996</v>
      </c>
    </row>
    <row r="20" spans="1:17" customFormat="1">
      <c r="A20" s="6" t="s">
        <v>1018</v>
      </c>
      <c r="B20" s="189">
        <v>21.35</v>
      </c>
      <c r="C20" s="189">
        <v>19.96</v>
      </c>
      <c r="D20" s="189">
        <v>28.9</v>
      </c>
      <c r="E20" s="189">
        <v>8.01</v>
      </c>
      <c r="F20" s="189">
        <v>2.7</v>
      </c>
      <c r="G20" s="189">
        <v>42.86</v>
      </c>
      <c r="H20" s="189">
        <v>13.67</v>
      </c>
      <c r="I20" s="189">
        <v>6.14</v>
      </c>
      <c r="J20" s="189">
        <v>0.01</v>
      </c>
      <c r="K20" s="189">
        <v>52.1</v>
      </c>
      <c r="L20" s="189">
        <v>19.21</v>
      </c>
      <c r="M20" s="189">
        <v>95.83</v>
      </c>
      <c r="N20" s="189">
        <v>0</v>
      </c>
      <c r="O20" s="189">
        <v>0</v>
      </c>
      <c r="P20" s="189">
        <v>0.71</v>
      </c>
      <c r="Q20" s="189">
        <v>4.79</v>
      </c>
    </row>
    <row r="21" spans="1:17" customFormat="1">
      <c r="A21" s="6" t="s">
        <v>1019</v>
      </c>
      <c r="B21" s="189">
        <v>22.45</v>
      </c>
      <c r="C21" s="189">
        <v>20.3</v>
      </c>
      <c r="D21" s="189">
        <v>29.96</v>
      </c>
      <c r="E21" s="189">
        <v>7.65</v>
      </c>
      <c r="F21" s="189">
        <v>2.7</v>
      </c>
      <c r="G21" s="189">
        <v>42.86</v>
      </c>
      <c r="H21" s="189">
        <v>13.67</v>
      </c>
      <c r="I21" s="189">
        <v>6.15</v>
      </c>
      <c r="J21" s="189">
        <v>0.1</v>
      </c>
      <c r="K21" s="189">
        <v>54.98</v>
      </c>
      <c r="L21" s="189">
        <v>19</v>
      </c>
      <c r="M21" s="189">
        <v>95.94</v>
      </c>
      <c r="N21" s="189">
        <v>0</v>
      </c>
      <c r="O21" s="189">
        <v>0</v>
      </c>
      <c r="P21" s="189">
        <v>0.72</v>
      </c>
      <c r="Q21" s="189">
        <v>4.83</v>
      </c>
    </row>
    <row r="22" spans="1:17" customFormat="1">
      <c r="A22" s="6" t="s">
        <v>1020</v>
      </c>
      <c r="B22" s="189">
        <v>23.82</v>
      </c>
      <c r="C22" s="189">
        <v>20.079999999999998</v>
      </c>
      <c r="D22" s="189">
        <v>30.94</v>
      </c>
      <c r="E22" s="189">
        <v>7.97</v>
      </c>
      <c r="F22" s="189">
        <v>2.59</v>
      </c>
      <c r="G22" s="189">
        <v>45.86</v>
      </c>
      <c r="H22" s="189">
        <v>17.87</v>
      </c>
      <c r="I22" s="189">
        <v>6.16</v>
      </c>
      <c r="J22" s="189">
        <v>0.09</v>
      </c>
      <c r="K22" s="189">
        <v>138.16999999999999</v>
      </c>
      <c r="L22" s="189">
        <v>18.82</v>
      </c>
      <c r="M22" s="189">
        <v>96.21</v>
      </c>
      <c r="N22" s="189">
        <v>0</v>
      </c>
      <c r="O22" s="189">
        <v>0</v>
      </c>
      <c r="P22" s="189">
        <v>0.71</v>
      </c>
      <c r="Q22" s="189">
        <v>4.87</v>
      </c>
    </row>
    <row r="23" spans="1:17" customFormat="1">
      <c r="A23" s="6" t="s">
        <v>1021</v>
      </c>
      <c r="B23" s="189">
        <v>24.71</v>
      </c>
      <c r="C23" s="189">
        <v>21.03</v>
      </c>
      <c r="D23" s="189">
        <v>32.159999999999997</v>
      </c>
      <c r="E23" s="189">
        <v>8.17</v>
      </c>
      <c r="F23" s="189">
        <v>2.56</v>
      </c>
      <c r="G23" s="189">
        <v>47.37</v>
      </c>
      <c r="H23" s="189">
        <v>18.37</v>
      </c>
      <c r="I23" s="189">
        <v>6.19</v>
      </c>
      <c r="J23" s="189">
        <v>0.1</v>
      </c>
      <c r="K23" s="189">
        <v>185.36</v>
      </c>
      <c r="L23" s="189">
        <v>18.61</v>
      </c>
      <c r="M23" s="189">
        <v>96.67</v>
      </c>
      <c r="N23" s="189">
        <v>0</v>
      </c>
      <c r="O23" s="189">
        <v>0</v>
      </c>
      <c r="P23" s="189">
        <v>0.72</v>
      </c>
      <c r="Q23" s="189">
        <v>4.91</v>
      </c>
    </row>
    <row r="24" spans="1:17" customFormat="1">
      <c r="A24" s="6" t="s">
        <v>1022</v>
      </c>
      <c r="B24" s="189">
        <v>25.24</v>
      </c>
      <c r="C24" s="189">
        <v>20.329999999999998</v>
      </c>
      <c r="D24" s="189">
        <v>32.21</v>
      </c>
      <c r="E24" s="189">
        <v>8.17</v>
      </c>
      <c r="F24" s="189">
        <v>2.77</v>
      </c>
      <c r="G24" s="189">
        <v>47.37</v>
      </c>
      <c r="H24" s="189">
        <v>18.37</v>
      </c>
      <c r="I24" s="189">
        <v>6.21</v>
      </c>
      <c r="J24" s="189">
        <v>0.12</v>
      </c>
      <c r="K24" s="189">
        <v>197.8</v>
      </c>
      <c r="L24" s="189">
        <v>18.350000000000001</v>
      </c>
      <c r="M24" s="189">
        <v>97.47</v>
      </c>
      <c r="N24" s="189">
        <v>0</v>
      </c>
      <c r="O24" s="189">
        <v>0</v>
      </c>
      <c r="P24" s="189">
        <v>0.72</v>
      </c>
      <c r="Q24" s="189">
        <v>4.9400000000000004</v>
      </c>
    </row>
    <row r="25" spans="1:17" customFormat="1">
      <c r="A25" s="6" t="s">
        <v>1023</v>
      </c>
      <c r="B25" s="189">
        <v>25.45</v>
      </c>
      <c r="C25" s="189">
        <v>20.91</v>
      </c>
      <c r="D25" s="189">
        <v>32.69</v>
      </c>
      <c r="E25" s="189">
        <v>8.23</v>
      </c>
      <c r="F25" s="189">
        <v>2.64</v>
      </c>
      <c r="G25" s="189">
        <v>47.37</v>
      </c>
      <c r="H25" s="189">
        <v>18.37</v>
      </c>
      <c r="I25" s="189">
        <v>6.26</v>
      </c>
      <c r="J25" s="189">
        <v>7.0000000000000007E-2</v>
      </c>
      <c r="K25" s="189">
        <v>181.85</v>
      </c>
      <c r="L25" s="189">
        <v>18.21</v>
      </c>
      <c r="M25" s="189">
        <v>98.11</v>
      </c>
      <c r="N25" s="189">
        <v>0</v>
      </c>
      <c r="O25" s="189">
        <v>0</v>
      </c>
      <c r="P25" s="189">
        <v>0.73</v>
      </c>
      <c r="Q25" s="189">
        <v>4.9400000000000004</v>
      </c>
    </row>
    <row r="26" spans="1:17" customFormat="1">
      <c r="A26" s="6" t="s">
        <v>1024</v>
      </c>
      <c r="B26" s="189">
        <v>26.14</v>
      </c>
      <c r="C26" s="189">
        <v>20.62</v>
      </c>
      <c r="D26" s="189">
        <v>33.090000000000003</v>
      </c>
      <c r="E26" s="189">
        <v>8.26</v>
      </c>
      <c r="F26" s="189">
        <v>2.66</v>
      </c>
      <c r="G26" s="189">
        <v>50.49</v>
      </c>
      <c r="H26" s="189">
        <v>21.57</v>
      </c>
      <c r="I26" s="189">
        <v>6.3</v>
      </c>
      <c r="J26" s="189">
        <v>0.11</v>
      </c>
      <c r="K26" s="189">
        <v>174.67</v>
      </c>
      <c r="L26" s="189">
        <v>18.11</v>
      </c>
      <c r="M26" s="189">
        <v>98.41</v>
      </c>
      <c r="N26" s="189">
        <v>0</v>
      </c>
      <c r="O26" s="189">
        <v>0</v>
      </c>
      <c r="P26" s="189">
        <v>0.73</v>
      </c>
      <c r="Q26" s="189">
        <v>4.95</v>
      </c>
    </row>
    <row r="27" spans="1:17" customFormat="1">
      <c r="A27" s="6" t="s">
        <v>1025</v>
      </c>
      <c r="B27" s="189">
        <v>26.71</v>
      </c>
      <c r="C27" s="189">
        <v>21.52</v>
      </c>
      <c r="D27" s="189">
        <v>34.01</v>
      </c>
      <c r="E27" s="189">
        <v>8.26</v>
      </c>
      <c r="F27" s="189">
        <v>2.5299999999999998</v>
      </c>
      <c r="G27" s="189">
        <v>52.05</v>
      </c>
      <c r="H27" s="189">
        <v>21.95</v>
      </c>
      <c r="I27" s="189">
        <v>6.38</v>
      </c>
      <c r="J27" s="189">
        <v>0.18</v>
      </c>
      <c r="K27" s="189">
        <v>161.81</v>
      </c>
      <c r="L27" s="189">
        <v>17.95</v>
      </c>
      <c r="M27" s="189">
        <v>98.63</v>
      </c>
      <c r="N27" s="189">
        <v>0</v>
      </c>
      <c r="O27" s="189">
        <v>0</v>
      </c>
      <c r="P27" s="189">
        <v>0.74</v>
      </c>
      <c r="Q27" s="189">
        <v>4.97</v>
      </c>
    </row>
    <row r="28" spans="1:17" customFormat="1">
      <c r="A28" s="6" t="s">
        <v>1026</v>
      </c>
      <c r="B28" s="189">
        <v>27.06</v>
      </c>
      <c r="C28" s="189">
        <v>20.11</v>
      </c>
      <c r="D28" s="189">
        <v>33.56</v>
      </c>
      <c r="E28" s="189">
        <v>8.2200000000000006</v>
      </c>
      <c r="F28" s="189">
        <v>2.69</v>
      </c>
      <c r="G28" s="189">
        <v>52.05</v>
      </c>
      <c r="H28" s="189">
        <v>21.95</v>
      </c>
      <c r="I28" s="189">
        <v>6.47</v>
      </c>
      <c r="J28" s="189">
        <v>0.05</v>
      </c>
      <c r="K28" s="189">
        <v>207.89</v>
      </c>
      <c r="L28" s="189">
        <v>17.79</v>
      </c>
      <c r="M28" s="189">
        <v>98.9</v>
      </c>
      <c r="N28" s="189">
        <v>0</v>
      </c>
      <c r="O28" s="189">
        <v>0</v>
      </c>
      <c r="P28" s="189">
        <v>0.72</v>
      </c>
      <c r="Q28" s="189">
        <v>4.97</v>
      </c>
    </row>
    <row r="29" spans="1:17" customFormat="1">
      <c r="A29" s="6" t="s">
        <v>1027</v>
      </c>
      <c r="B29" s="189">
        <v>26.95</v>
      </c>
      <c r="C29" s="189">
        <v>21.15</v>
      </c>
      <c r="D29" s="189">
        <v>34.01</v>
      </c>
      <c r="E29" s="189">
        <v>7.87</v>
      </c>
      <c r="F29" s="189">
        <v>2.4300000000000002</v>
      </c>
      <c r="G29" s="189">
        <v>52.05</v>
      </c>
      <c r="H29" s="189">
        <v>21.95</v>
      </c>
      <c r="I29" s="189">
        <v>6.53</v>
      </c>
      <c r="J29" s="189">
        <v>0.18</v>
      </c>
      <c r="K29" s="189">
        <v>175.98</v>
      </c>
      <c r="L29" s="189">
        <v>17.75</v>
      </c>
      <c r="M29" s="189">
        <v>99.18</v>
      </c>
      <c r="N29" s="189">
        <v>0</v>
      </c>
      <c r="O29" s="189">
        <v>0</v>
      </c>
      <c r="P29" s="189">
        <v>0.74</v>
      </c>
      <c r="Q29" s="189">
        <v>4.97</v>
      </c>
    </row>
    <row r="30" spans="1:17" customFormat="1">
      <c r="A30" s="6" t="s">
        <v>1028</v>
      </c>
      <c r="B30" s="189">
        <v>26.91</v>
      </c>
      <c r="C30" s="189">
        <v>19.829999999999998</v>
      </c>
      <c r="D30" s="189">
        <v>33.29</v>
      </c>
      <c r="E30" s="189">
        <v>8.2200000000000006</v>
      </c>
      <c r="F30" s="189">
        <v>2.65</v>
      </c>
      <c r="G30" s="189">
        <v>50.57</v>
      </c>
      <c r="H30" s="189">
        <v>20.96</v>
      </c>
      <c r="I30" s="189">
        <v>6.56</v>
      </c>
      <c r="J30" s="189">
        <v>0.17</v>
      </c>
      <c r="K30" s="189">
        <v>163.82</v>
      </c>
      <c r="L30" s="189">
        <v>17.73</v>
      </c>
      <c r="M30" s="189">
        <v>99.38</v>
      </c>
      <c r="N30" s="189">
        <v>0</v>
      </c>
      <c r="O30" s="189">
        <v>0</v>
      </c>
      <c r="P30" s="189">
        <v>0.73</v>
      </c>
      <c r="Q30" s="189">
        <v>4.99</v>
      </c>
    </row>
    <row r="31" spans="1:17" customFormat="1">
      <c r="A31" s="6" t="s">
        <v>1029</v>
      </c>
      <c r="B31" s="189">
        <v>26.62</v>
      </c>
      <c r="C31" s="189">
        <v>19.82</v>
      </c>
      <c r="D31" s="189">
        <v>33.049999999999997</v>
      </c>
      <c r="E31" s="189">
        <v>8.27</v>
      </c>
      <c r="F31" s="189">
        <v>2.48</v>
      </c>
      <c r="G31" s="189">
        <v>49.83</v>
      </c>
      <c r="H31" s="189">
        <v>20.84</v>
      </c>
      <c r="I31" s="189">
        <v>6.56</v>
      </c>
      <c r="J31" s="189">
        <v>0.1</v>
      </c>
      <c r="K31" s="189">
        <v>244.27</v>
      </c>
      <c r="L31" s="189">
        <v>17.45</v>
      </c>
      <c r="M31" s="189">
        <v>99.45</v>
      </c>
      <c r="N31" s="189">
        <v>0</v>
      </c>
      <c r="O31" s="189">
        <v>0</v>
      </c>
      <c r="P31" s="189">
        <v>0.74</v>
      </c>
      <c r="Q31" s="189">
        <v>4.95</v>
      </c>
    </row>
    <row r="32" spans="1:17" customFormat="1">
      <c r="A32" s="6" t="s">
        <v>1030</v>
      </c>
      <c r="B32" s="189">
        <v>26.07</v>
      </c>
      <c r="C32" s="189">
        <v>19.989999999999998</v>
      </c>
      <c r="D32" s="189">
        <v>32.700000000000003</v>
      </c>
      <c r="E32" s="189">
        <v>7.82</v>
      </c>
      <c r="F32" s="189">
        <v>2.6</v>
      </c>
      <c r="G32" s="189">
        <v>49.83</v>
      </c>
      <c r="H32" s="189">
        <v>20.84</v>
      </c>
      <c r="I32" s="189">
        <v>6.55</v>
      </c>
      <c r="J32" s="189">
        <v>0.1</v>
      </c>
      <c r="K32" s="189">
        <v>263.16000000000003</v>
      </c>
      <c r="L32" s="189">
        <v>17.13</v>
      </c>
      <c r="M32" s="189">
        <v>99.54</v>
      </c>
      <c r="N32" s="189">
        <v>0</v>
      </c>
      <c r="O32" s="189">
        <v>0</v>
      </c>
      <c r="P32" s="189">
        <v>0.75</v>
      </c>
      <c r="Q32" s="189">
        <v>4.99</v>
      </c>
    </row>
    <row r="33" spans="1:17" customFormat="1">
      <c r="A33" s="6" t="s">
        <v>1031</v>
      </c>
      <c r="B33" s="189">
        <v>25.53</v>
      </c>
      <c r="C33" s="189">
        <v>20.27</v>
      </c>
      <c r="D33" s="189">
        <v>32.409999999999997</v>
      </c>
      <c r="E33" s="189">
        <v>8.15</v>
      </c>
      <c r="F33" s="189">
        <v>2.48</v>
      </c>
      <c r="G33" s="189">
        <v>49.83</v>
      </c>
      <c r="H33" s="189">
        <v>20.84</v>
      </c>
      <c r="I33" s="189">
        <v>6.53</v>
      </c>
      <c r="J33" s="189">
        <v>0.09</v>
      </c>
      <c r="K33" s="189">
        <v>149.69</v>
      </c>
      <c r="L33" s="189">
        <v>17.11</v>
      </c>
      <c r="M33" s="189">
        <v>99.68</v>
      </c>
      <c r="N33" s="189">
        <v>0</v>
      </c>
      <c r="O33" s="189">
        <v>0</v>
      </c>
      <c r="P33" s="189">
        <v>0.75</v>
      </c>
      <c r="Q33" s="189">
        <v>4.96</v>
      </c>
    </row>
    <row r="34" spans="1:17" customFormat="1">
      <c r="A34" s="6" t="s">
        <v>1032</v>
      </c>
      <c r="B34" s="189">
        <v>25.07</v>
      </c>
      <c r="C34" s="189">
        <v>20.440000000000001</v>
      </c>
      <c r="D34" s="189">
        <v>32.130000000000003</v>
      </c>
      <c r="E34" s="189">
        <v>7.92</v>
      </c>
      <c r="F34" s="189">
        <v>2.59</v>
      </c>
      <c r="G34" s="189">
        <v>44.12</v>
      </c>
      <c r="H34" s="189">
        <v>15.44</v>
      </c>
      <c r="I34" s="189">
        <v>6.5</v>
      </c>
      <c r="J34" s="189">
        <v>0.08</v>
      </c>
      <c r="K34" s="189">
        <v>102.67</v>
      </c>
      <c r="L34" s="189">
        <v>17.04</v>
      </c>
      <c r="M34" s="189">
        <v>99.79</v>
      </c>
      <c r="N34" s="189">
        <v>0</v>
      </c>
      <c r="O34" s="189">
        <v>0</v>
      </c>
      <c r="P34" s="189">
        <v>0.76</v>
      </c>
      <c r="Q34" s="189">
        <v>4.9400000000000004</v>
      </c>
    </row>
    <row r="35" spans="1:17" customFormat="1">
      <c r="A35" s="6" t="s">
        <v>1033</v>
      </c>
      <c r="B35" s="189">
        <v>25</v>
      </c>
      <c r="C35" s="189">
        <v>20.47</v>
      </c>
      <c r="D35" s="189">
        <v>32.1</v>
      </c>
      <c r="E35" s="189">
        <v>8.34</v>
      </c>
      <c r="F35" s="189">
        <v>2.67</v>
      </c>
      <c r="G35" s="189">
        <v>41.26</v>
      </c>
      <c r="H35" s="189">
        <v>14.42</v>
      </c>
      <c r="I35" s="189">
        <v>6.51</v>
      </c>
      <c r="J35" s="189">
        <v>0.06</v>
      </c>
      <c r="K35" s="189">
        <v>187.54</v>
      </c>
      <c r="L35" s="189">
        <v>17.170000000000002</v>
      </c>
      <c r="M35" s="189">
        <v>99.93</v>
      </c>
      <c r="N35" s="189">
        <v>0.9</v>
      </c>
      <c r="O35" s="189">
        <v>0</v>
      </c>
      <c r="P35" s="189">
        <v>0.75</v>
      </c>
      <c r="Q35" s="189">
        <v>4.93</v>
      </c>
    </row>
    <row r="36" spans="1:17" customFormat="1">
      <c r="A36" s="6" t="s">
        <v>1034</v>
      </c>
      <c r="B36" s="189">
        <v>25.99</v>
      </c>
      <c r="C36" s="189">
        <v>20.83</v>
      </c>
      <c r="D36" s="189">
        <v>33.08</v>
      </c>
      <c r="E36" s="189">
        <v>8.48</v>
      </c>
      <c r="F36" s="189">
        <v>2.74</v>
      </c>
      <c r="G36" s="189">
        <v>41.26</v>
      </c>
      <c r="H36" s="189">
        <v>14.42</v>
      </c>
      <c r="I36" s="189">
        <v>6.54</v>
      </c>
      <c r="J36" s="189">
        <v>0.09</v>
      </c>
      <c r="K36" s="189">
        <v>205.35</v>
      </c>
      <c r="L36" s="189">
        <v>17.34</v>
      </c>
      <c r="M36" s="189">
        <v>100.07</v>
      </c>
      <c r="N36" s="189">
        <v>7.8</v>
      </c>
      <c r="O36" s="189">
        <v>0</v>
      </c>
      <c r="P36" s="189">
        <v>0.76</v>
      </c>
      <c r="Q36" s="189">
        <v>4.96</v>
      </c>
    </row>
    <row r="37" spans="1:17" customFormat="1">
      <c r="A37" s="6" t="s">
        <v>1035</v>
      </c>
      <c r="B37" s="189">
        <v>27.13</v>
      </c>
      <c r="C37" s="189">
        <v>21.29</v>
      </c>
      <c r="D37" s="189">
        <v>34.229999999999997</v>
      </c>
      <c r="E37" s="189">
        <v>7.87</v>
      </c>
      <c r="F37" s="189">
        <v>2.58</v>
      </c>
      <c r="G37" s="189">
        <v>41.26</v>
      </c>
      <c r="H37" s="189">
        <v>14.42</v>
      </c>
      <c r="I37" s="189">
        <v>6.59</v>
      </c>
      <c r="J37" s="189">
        <v>0.09</v>
      </c>
      <c r="K37" s="189">
        <v>240.49</v>
      </c>
      <c r="L37" s="189">
        <v>17.579999999999998</v>
      </c>
      <c r="M37" s="189">
        <v>100.17</v>
      </c>
      <c r="N37" s="189">
        <v>19</v>
      </c>
      <c r="O37" s="189">
        <v>0</v>
      </c>
      <c r="P37" s="189">
        <v>0.78</v>
      </c>
      <c r="Q37" s="189">
        <v>5.01</v>
      </c>
    </row>
    <row r="38" spans="1:17" customFormat="1">
      <c r="A38" s="6" t="s">
        <v>1036</v>
      </c>
      <c r="B38" s="189">
        <v>27.27</v>
      </c>
      <c r="C38" s="189">
        <v>21.61</v>
      </c>
      <c r="D38" s="189">
        <v>34.51</v>
      </c>
      <c r="E38" s="189">
        <v>8.32</v>
      </c>
      <c r="F38" s="189">
        <v>2.48</v>
      </c>
      <c r="G38" s="189">
        <v>41.26</v>
      </c>
      <c r="H38" s="189">
        <v>15.01</v>
      </c>
      <c r="I38" s="189">
        <v>6.65</v>
      </c>
      <c r="J38" s="189">
        <v>0.11</v>
      </c>
      <c r="K38" s="189">
        <v>242.78</v>
      </c>
      <c r="L38" s="189">
        <v>17.809999999999999</v>
      </c>
      <c r="M38" s="189">
        <v>100.25</v>
      </c>
      <c r="N38" s="189">
        <v>29.2</v>
      </c>
      <c r="O38" s="189">
        <v>0</v>
      </c>
      <c r="P38" s="189">
        <v>0.78</v>
      </c>
      <c r="Q38" s="189">
        <v>5.04</v>
      </c>
    </row>
    <row r="39" spans="1:17" customFormat="1">
      <c r="A39" s="6" t="s">
        <v>1037</v>
      </c>
      <c r="B39" s="189">
        <v>27.18</v>
      </c>
      <c r="C39" s="189">
        <v>21.94</v>
      </c>
      <c r="D39" s="189">
        <v>34.61</v>
      </c>
      <c r="E39" s="189">
        <v>8.6999999999999993</v>
      </c>
      <c r="F39" s="189">
        <v>2.64</v>
      </c>
      <c r="G39" s="189">
        <v>41.26</v>
      </c>
      <c r="H39" s="189">
        <v>15.08</v>
      </c>
      <c r="I39" s="189">
        <v>6.71</v>
      </c>
      <c r="J39" s="189">
        <v>0.09</v>
      </c>
      <c r="K39" s="189">
        <v>209.4</v>
      </c>
      <c r="L39" s="189">
        <v>18.28</v>
      </c>
      <c r="M39" s="189">
        <v>100.3</v>
      </c>
      <c r="N39" s="189">
        <v>56.5</v>
      </c>
      <c r="O39" s="189">
        <v>0</v>
      </c>
      <c r="P39" s="189">
        <v>0.79</v>
      </c>
      <c r="Q39" s="189">
        <v>5.0199999999999996</v>
      </c>
    </row>
    <row r="40" spans="1:17" customFormat="1">
      <c r="A40" s="6" t="s">
        <v>1038</v>
      </c>
      <c r="B40" s="189">
        <v>27.82</v>
      </c>
      <c r="C40" s="189">
        <v>22.76</v>
      </c>
      <c r="D40" s="189">
        <v>35.549999999999997</v>
      </c>
      <c r="E40" s="189">
        <v>8.35</v>
      </c>
      <c r="F40" s="189">
        <v>2.64</v>
      </c>
      <c r="G40" s="189">
        <v>41.26</v>
      </c>
      <c r="H40" s="189">
        <v>15.08</v>
      </c>
      <c r="I40" s="189">
        <v>6.85</v>
      </c>
      <c r="J40" s="189">
        <v>0.09</v>
      </c>
      <c r="K40" s="189">
        <v>185.41</v>
      </c>
      <c r="L40" s="189">
        <v>18.899999999999999</v>
      </c>
      <c r="M40" s="189">
        <v>100.14</v>
      </c>
      <c r="N40" s="189">
        <v>96.6</v>
      </c>
      <c r="O40" s="189">
        <v>0</v>
      </c>
      <c r="P40" s="189">
        <v>0.81</v>
      </c>
      <c r="Q40" s="189">
        <v>5.05</v>
      </c>
    </row>
    <row r="41" spans="1:17" customFormat="1">
      <c r="A41" s="6" t="s">
        <v>1039</v>
      </c>
      <c r="B41" s="189">
        <v>28.38</v>
      </c>
      <c r="C41" s="189">
        <v>22.87</v>
      </c>
      <c r="D41" s="189">
        <v>36.06</v>
      </c>
      <c r="E41" s="189">
        <v>8.5500000000000007</v>
      </c>
      <c r="F41" s="189">
        <v>2.5099999999999998</v>
      </c>
      <c r="G41" s="189">
        <v>41.26</v>
      </c>
      <c r="H41" s="189">
        <v>15.08</v>
      </c>
      <c r="I41" s="189">
        <v>7.03</v>
      </c>
      <c r="J41" s="189">
        <v>0.19</v>
      </c>
      <c r="K41" s="189">
        <v>273.97000000000003</v>
      </c>
      <c r="L41" s="189">
        <v>19.37</v>
      </c>
      <c r="M41" s="189">
        <v>98.19</v>
      </c>
      <c r="N41" s="189">
        <v>117.8</v>
      </c>
      <c r="O41" s="189">
        <v>0</v>
      </c>
      <c r="P41" s="189">
        <v>0.84</v>
      </c>
      <c r="Q41" s="189">
        <v>5.04</v>
      </c>
    </row>
    <row r="42" spans="1:17" customFormat="1">
      <c r="A42" s="6" t="s">
        <v>1040</v>
      </c>
      <c r="B42" s="189">
        <v>28.63</v>
      </c>
      <c r="C42" s="189">
        <v>23.31</v>
      </c>
      <c r="D42" s="189">
        <v>36.49</v>
      </c>
      <c r="E42" s="189">
        <v>8.65</v>
      </c>
      <c r="F42" s="189">
        <v>2.56</v>
      </c>
      <c r="G42" s="189">
        <v>48.02</v>
      </c>
      <c r="H42" s="189">
        <v>22.45</v>
      </c>
      <c r="I42" s="189">
        <v>7.24</v>
      </c>
      <c r="J42" s="189">
        <v>0.19</v>
      </c>
      <c r="K42" s="189">
        <v>282.39999999999998</v>
      </c>
      <c r="L42" s="189">
        <v>19.920000000000002</v>
      </c>
      <c r="M42" s="189">
        <v>93.3</v>
      </c>
      <c r="N42" s="189">
        <v>161</v>
      </c>
      <c r="O42" s="189">
        <v>0</v>
      </c>
      <c r="P42" s="189">
        <v>0.86</v>
      </c>
      <c r="Q42" s="189">
        <v>5.0599999999999996</v>
      </c>
    </row>
    <row r="43" spans="1:17" customFormat="1">
      <c r="A43" s="6" t="s">
        <v>1041</v>
      </c>
      <c r="B43" s="189">
        <v>28.96</v>
      </c>
      <c r="C43" s="189">
        <v>24.03</v>
      </c>
      <c r="D43" s="189">
        <v>37.130000000000003</v>
      </c>
      <c r="E43" s="189">
        <v>8.9499999999999993</v>
      </c>
      <c r="F43" s="189">
        <v>2.4</v>
      </c>
      <c r="G43" s="189">
        <v>51.4</v>
      </c>
      <c r="H43" s="189">
        <v>23.33</v>
      </c>
      <c r="I43" s="189">
        <v>7.5</v>
      </c>
      <c r="J43" s="189">
        <v>0.24</v>
      </c>
      <c r="K43" s="189">
        <v>69.08</v>
      </c>
      <c r="L43" s="189">
        <v>20.83</v>
      </c>
      <c r="M43" s="189">
        <v>88.76</v>
      </c>
      <c r="N43" s="189">
        <v>200.8</v>
      </c>
      <c r="O43" s="189">
        <v>0</v>
      </c>
      <c r="P43" s="189">
        <v>0.9</v>
      </c>
      <c r="Q43" s="189">
        <v>5.0599999999999996</v>
      </c>
    </row>
    <row r="44" spans="1:17" customFormat="1">
      <c r="A44" s="6" t="s">
        <v>1042</v>
      </c>
      <c r="B44" s="189">
        <v>29.2</v>
      </c>
      <c r="C44" s="189">
        <v>24.59</v>
      </c>
      <c r="D44" s="189">
        <v>37.61</v>
      </c>
      <c r="E44" s="189">
        <v>9.41</v>
      </c>
      <c r="F44" s="189">
        <v>2.5499999999999998</v>
      </c>
      <c r="G44" s="189">
        <v>51.4</v>
      </c>
      <c r="H44" s="189">
        <v>23.33</v>
      </c>
      <c r="I44" s="189">
        <v>7.85</v>
      </c>
      <c r="J44" s="189">
        <v>0.25</v>
      </c>
      <c r="K44" s="189">
        <v>27.67</v>
      </c>
      <c r="L44" s="189">
        <v>21.63</v>
      </c>
      <c r="M44" s="189">
        <v>85.13</v>
      </c>
      <c r="N44" s="189">
        <v>206.3</v>
      </c>
      <c r="O44" s="189">
        <v>0</v>
      </c>
      <c r="P44" s="189">
        <v>0.93</v>
      </c>
      <c r="Q44" s="189">
        <v>5.09</v>
      </c>
    </row>
    <row r="45" spans="1:17" customFormat="1">
      <c r="A45" s="6" t="s">
        <v>1043</v>
      </c>
      <c r="B45" s="189">
        <v>29.22</v>
      </c>
      <c r="C45" s="189">
        <v>25.65</v>
      </c>
      <c r="D45" s="189">
        <v>38.18</v>
      </c>
      <c r="E45" s="189">
        <v>9.73</v>
      </c>
      <c r="F45" s="189">
        <v>2.65</v>
      </c>
      <c r="G45" s="189">
        <v>51.4</v>
      </c>
      <c r="H45" s="189">
        <v>23.33</v>
      </c>
      <c r="I45" s="189">
        <v>8.18</v>
      </c>
      <c r="J45" s="189">
        <v>0.3</v>
      </c>
      <c r="K45" s="189">
        <v>19.12</v>
      </c>
      <c r="L45" s="189">
        <v>22.3</v>
      </c>
      <c r="M45" s="189">
        <v>82.81</v>
      </c>
      <c r="N45" s="189">
        <v>145.30000000000001</v>
      </c>
      <c r="O45" s="189">
        <v>0</v>
      </c>
      <c r="P45" s="189">
        <v>0.96</v>
      </c>
      <c r="Q45" s="189">
        <v>5.0999999999999996</v>
      </c>
    </row>
    <row r="46" spans="1:17" customFormat="1">
      <c r="A46" s="6" t="s">
        <v>1044</v>
      </c>
      <c r="B46" s="189">
        <v>28.82</v>
      </c>
      <c r="C46" s="189">
        <v>26.1</v>
      </c>
      <c r="D46" s="189">
        <v>38.1</v>
      </c>
      <c r="E46" s="189">
        <v>9.6</v>
      </c>
      <c r="F46" s="189">
        <v>2.5</v>
      </c>
      <c r="G46" s="189">
        <v>69.52</v>
      </c>
      <c r="H46" s="189">
        <v>33.22</v>
      </c>
      <c r="I46" s="189">
        <v>8.44</v>
      </c>
      <c r="J46" s="189">
        <v>0.28000000000000003</v>
      </c>
      <c r="K46" s="189">
        <v>87.06</v>
      </c>
      <c r="L46" s="189">
        <v>22.91</v>
      </c>
      <c r="M46" s="189">
        <v>79.31</v>
      </c>
      <c r="N46" s="189">
        <v>140.5</v>
      </c>
      <c r="O46" s="189">
        <v>0</v>
      </c>
      <c r="P46" s="189">
        <v>0.98</v>
      </c>
      <c r="Q46" s="189">
        <v>5.1100000000000003</v>
      </c>
    </row>
    <row r="47" spans="1:17" customFormat="1">
      <c r="A47" s="6" t="s">
        <v>1045</v>
      </c>
      <c r="B47" s="189">
        <v>28</v>
      </c>
      <c r="C47" s="189">
        <v>25.99</v>
      </c>
      <c r="D47" s="189">
        <v>37.380000000000003</v>
      </c>
      <c r="E47" s="189">
        <v>9.75</v>
      </c>
      <c r="F47" s="189">
        <v>2.5099999999999998</v>
      </c>
      <c r="G47" s="189">
        <v>78.58</v>
      </c>
      <c r="H47" s="189">
        <v>34.39</v>
      </c>
      <c r="I47" s="189">
        <v>8.6300000000000008</v>
      </c>
      <c r="J47" s="189">
        <v>0.28999999999999998</v>
      </c>
      <c r="K47" s="189">
        <v>61.88</v>
      </c>
      <c r="L47" s="189">
        <v>23.63</v>
      </c>
      <c r="M47" s="189">
        <v>76.349999999999994</v>
      </c>
      <c r="N47" s="189">
        <v>167.4</v>
      </c>
      <c r="O47" s="189">
        <v>0</v>
      </c>
      <c r="P47" s="189">
        <v>0.99</v>
      </c>
      <c r="Q47" s="189">
        <v>5.1100000000000003</v>
      </c>
    </row>
    <row r="48" spans="1:17" customFormat="1">
      <c r="A48" s="6" t="s">
        <v>1046</v>
      </c>
      <c r="B48" s="189">
        <v>26.8</v>
      </c>
      <c r="C48" s="189">
        <v>26.33</v>
      </c>
      <c r="D48" s="189">
        <v>36.6</v>
      </c>
      <c r="E48" s="189">
        <v>9.86</v>
      </c>
      <c r="F48" s="189">
        <v>2.76</v>
      </c>
      <c r="G48" s="189">
        <v>78.58</v>
      </c>
      <c r="H48" s="189">
        <v>34.39</v>
      </c>
      <c r="I48" s="189">
        <v>8.75</v>
      </c>
      <c r="J48" s="189">
        <v>0.25</v>
      </c>
      <c r="K48" s="189">
        <v>109.67</v>
      </c>
      <c r="L48" s="189">
        <v>24.13</v>
      </c>
      <c r="M48" s="189">
        <v>73.239999999999995</v>
      </c>
      <c r="N48" s="189">
        <v>387.7</v>
      </c>
      <c r="O48" s="189">
        <v>0</v>
      </c>
      <c r="P48" s="189">
        <v>0.99</v>
      </c>
      <c r="Q48" s="189">
        <v>5.0599999999999996</v>
      </c>
    </row>
    <row r="49" spans="1:17" customFormat="1">
      <c r="A49" s="6" t="s">
        <v>1047</v>
      </c>
      <c r="B49" s="189">
        <v>25.35</v>
      </c>
      <c r="C49" s="189">
        <v>26.62</v>
      </c>
      <c r="D49" s="189">
        <v>35.58</v>
      </c>
      <c r="E49" s="189">
        <v>7.21</v>
      </c>
      <c r="F49" s="189">
        <v>2.64</v>
      </c>
      <c r="G49" s="189">
        <v>78.58</v>
      </c>
      <c r="H49" s="189">
        <v>34.39</v>
      </c>
      <c r="I49" s="189">
        <v>8.7899999999999991</v>
      </c>
      <c r="J49" s="189">
        <v>0.28000000000000003</v>
      </c>
      <c r="K49" s="189">
        <v>55.63</v>
      </c>
      <c r="L49" s="189">
        <v>24.48</v>
      </c>
      <c r="M49" s="189">
        <v>72.3</v>
      </c>
      <c r="N49" s="189">
        <v>475.7</v>
      </c>
      <c r="O49" s="189">
        <v>0</v>
      </c>
      <c r="P49" s="189">
        <v>0.98</v>
      </c>
      <c r="Q49" s="189">
        <v>5.01</v>
      </c>
    </row>
    <row r="50" spans="1:17" customFormat="1">
      <c r="A50" s="6" t="s">
        <v>1048</v>
      </c>
      <c r="B50" s="189">
        <v>24.02</v>
      </c>
      <c r="C50" s="189">
        <v>26.69</v>
      </c>
      <c r="D50" s="189">
        <v>34.56</v>
      </c>
      <c r="E50" s="189">
        <v>8.51</v>
      </c>
      <c r="F50" s="189">
        <v>2.75</v>
      </c>
      <c r="G50" s="189">
        <v>78.17</v>
      </c>
      <c r="H50" s="189">
        <v>30.5</v>
      </c>
      <c r="I50" s="189">
        <v>8.75</v>
      </c>
      <c r="J50" s="189">
        <v>0.27</v>
      </c>
      <c r="K50" s="189">
        <v>127.59</v>
      </c>
      <c r="L50" s="189">
        <v>25.47</v>
      </c>
      <c r="M50" s="189">
        <v>67.099999999999994</v>
      </c>
      <c r="N50" s="189">
        <v>536.79999999999995</v>
      </c>
      <c r="O50" s="189">
        <v>0</v>
      </c>
      <c r="P50" s="189">
        <v>0.97</v>
      </c>
      <c r="Q50" s="189">
        <v>4.97</v>
      </c>
    </row>
    <row r="51" spans="1:17" customFormat="1">
      <c r="A51" s="6" t="s">
        <v>1049</v>
      </c>
      <c r="B51" s="189">
        <v>22.64</v>
      </c>
      <c r="C51" s="189">
        <v>26.94</v>
      </c>
      <c r="D51" s="189">
        <v>33.590000000000003</v>
      </c>
      <c r="E51" s="189">
        <v>8.27</v>
      </c>
      <c r="F51" s="189">
        <v>2.77</v>
      </c>
      <c r="G51" s="189">
        <v>77.97</v>
      </c>
      <c r="H51" s="189">
        <v>30.04</v>
      </c>
      <c r="I51" s="189">
        <v>8.6300000000000008</v>
      </c>
      <c r="J51" s="189">
        <v>0.31</v>
      </c>
      <c r="K51" s="189">
        <v>105.75</v>
      </c>
      <c r="L51" s="189">
        <v>25.97</v>
      </c>
      <c r="M51" s="189">
        <v>64.17</v>
      </c>
      <c r="N51" s="189">
        <v>576.20000000000005</v>
      </c>
      <c r="O51" s="189">
        <v>0</v>
      </c>
      <c r="P51" s="189">
        <v>0.95</v>
      </c>
      <c r="Q51" s="189">
        <v>4.93</v>
      </c>
    </row>
    <row r="52" spans="1:17" customFormat="1">
      <c r="A52" s="6" t="s">
        <v>1050</v>
      </c>
      <c r="B52" s="189">
        <v>22.04</v>
      </c>
      <c r="C52" s="189">
        <v>24.49</v>
      </c>
      <c r="D52" s="189">
        <v>31.82</v>
      </c>
      <c r="E52" s="189">
        <v>7.9</v>
      </c>
      <c r="F52" s="189">
        <v>2.99</v>
      </c>
      <c r="G52" s="189">
        <v>77.97</v>
      </c>
      <c r="H52" s="189">
        <v>30.04</v>
      </c>
      <c r="I52" s="189">
        <v>8.5</v>
      </c>
      <c r="J52" s="189">
        <v>0.2</v>
      </c>
      <c r="K52" s="189">
        <v>21.21</v>
      </c>
      <c r="L52" s="189">
        <v>25.94</v>
      </c>
      <c r="M52" s="189">
        <v>62.61</v>
      </c>
      <c r="N52" s="189">
        <v>539</v>
      </c>
      <c r="O52" s="189">
        <v>0</v>
      </c>
      <c r="P52" s="189">
        <v>0.93</v>
      </c>
      <c r="Q52" s="189">
        <v>4.8899999999999997</v>
      </c>
    </row>
    <row r="53" spans="1:17" customFormat="1">
      <c r="A53" s="6" t="s">
        <v>1051</v>
      </c>
      <c r="B53" s="189">
        <v>21.57</v>
      </c>
      <c r="C53" s="189">
        <v>22.11</v>
      </c>
      <c r="D53" s="189">
        <v>30.2</v>
      </c>
      <c r="E53" s="189">
        <v>7.66</v>
      </c>
      <c r="F53" s="189">
        <v>3.1</v>
      </c>
      <c r="G53" s="189">
        <v>77.97</v>
      </c>
      <c r="H53" s="189">
        <v>30.04</v>
      </c>
      <c r="I53" s="189">
        <v>8.3800000000000008</v>
      </c>
      <c r="J53" s="189">
        <v>0.16</v>
      </c>
      <c r="K53" s="189">
        <v>263.12</v>
      </c>
      <c r="L53" s="189">
        <v>26.13</v>
      </c>
      <c r="M53" s="189">
        <v>61</v>
      </c>
      <c r="N53" s="189">
        <v>591.79999999999995</v>
      </c>
      <c r="O53" s="189">
        <v>0</v>
      </c>
      <c r="P53" s="189">
        <v>0.91</v>
      </c>
      <c r="Q53" s="189">
        <v>4.8600000000000003</v>
      </c>
    </row>
    <row r="54" spans="1:17" customFormat="1">
      <c r="A54" s="6" t="s">
        <v>1052</v>
      </c>
      <c r="B54" s="189">
        <v>20.92</v>
      </c>
      <c r="C54" s="189">
        <v>21.07</v>
      </c>
      <c r="D54" s="189">
        <v>29.13</v>
      </c>
      <c r="E54" s="189">
        <v>7.79</v>
      </c>
      <c r="F54" s="189">
        <v>3.14</v>
      </c>
      <c r="G54" s="189">
        <v>67.7</v>
      </c>
      <c r="H54" s="189">
        <v>25.63</v>
      </c>
      <c r="I54" s="189">
        <v>8.2799999999999994</v>
      </c>
      <c r="J54" s="189">
        <v>0.38</v>
      </c>
      <c r="K54" s="189">
        <v>23.8</v>
      </c>
      <c r="L54" s="189">
        <v>26.73</v>
      </c>
      <c r="M54" s="189">
        <v>56.64</v>
      </c>
      <c r="N54" s="189">
        <v>591.70000000000005</v>
      </c>
      <c r="O54" s="189">
        <v>0</v>
      </c>
      <c r="P54" s="189">
        <v>0.9</v>
      </c>
      <c r="Q54" s="189">
        <v>4.83</v>
      </c>
    </row>
    <row r="55" spans="1:17" customFormat="1">
      <c r="A55" s="6" t="s">
        <v>1053</v>
      </c>
      <c r="B55" s="189">
        <v>20.350000000000001</v>
      </c>
      <c r="C55" s="189">
        <v>20.82</v>
      </c>
      <c r="D55" s="189">
        <v>28.55</v>
      </c>
      <c r="E55" s="189">
        <v>7.42</v>
      </c>
      <c r="F55" s="189">
        <v>3.12</v>
      </c>
      <c r="G55" s="189">
        <v>62.57</v>
      </c>
      <c r="H55" s="189">
        <v>25.12</v>
      </c>
      <c r="I55" s="189">
        <v>8.19</v>
      </c>
      <c r="J55" s="189">
        <v>0.19</v>
      </c>
      <c r="K55" s="189">
        <v>337.56</v>
      </c>
      <c r="L55" s="189">
        <v>26.72</v>
      </c>
      <c r="M55" s="189">
        <v>54.9</v>
      </c>
      <c r="N55" s="189">
        <v>644.9</v>
      </c>
      <c r="O55" s="189">
        <v>0</v>
      </c>
      <c r="P55" s="189">
        <v>0.88</v>
      </c>
      <c r="Q55" s="189">
        <v>4.79</v>
      </c>
    </row>
    <row r="56" spans="1:17" customFormat="1">
      <c r="A56" s="6" t="s">
        <v>1054</v>
      </c>
      <c r="B56" s="189">
        <v>19.510000000000002</v>
      </c>
      <c r="C56" s="189">
        <v>20.51</v>
      </c>
      <c r="D56" s="189">
        <v>27.72</v>
      </c>
      <c r="E56" s="189">
        <v>6.94</v>
      </c>
      <c r="F56" s="189">
        <v>3.08</v>
      </c>
      <c r="G56" s="189">
        <v>62.57</v>
      </c>
      <c r="H56" s="189">
        <v>25.12</v>
      </c>
      <c r="I56" s="189">
        <v>8.1</v>
      </c>
      <c r="J56" s="189">
        <v>0.1</v>
      </c>
      <c r="K56" s="189">
        <v>277.43</v>
      </c>
      <c r="L56" s="189">
        <v>26.36</v>
      </c>
      <c r="M56" s="189">
        <v>52.83</v>
      </c>
      <c r="N56" s="189">
        <v>306</v>
      </c>
      <c r="O56" s="189">
        <v>0</v>
      </c>
      <c r="P56" s="189">
        <v>0.86</v>
      </c>
      <c r="Q56" s="189">
        <v>4.78</v>
      </c>
    </row>
    <row r="57" spans="1:17" customFormat="1">
      <c r="A57" s="6" t="s">
        <v>1055</v>
      </c>
      <c r="B57" s="189">
        <v>18.84</v>
      </c>
      <c r="C57" s="189">
        <v>19.68</v>
      </c>
      <c r="D57" s="189">
        <v>26.74</v>
      </c>
      <c r="E57" s="189">
        <v>6.84</v>
      </c>
      <c r="F57" s="189">
        <v>2.97</v>
      </c>
      <c r="G57" s="189">
        <v>62.57</v>
      </c>
      <c r="H57" s="189">
        <v>25.12</v>
      </c>
      <c r="I57" s="189">
        <v>8</v>
      </c>
      <c r="J57" s="189">
        <v>0.4</v>
      </c>
      <c r="K57" s="189">
        <v>13.13</v>
      </c>
      <c r="L57" s="189">
        <v>26.08</v>
      </c>
      <c r="M57" s="189">
        <v>52.24</v>
      </c>
      <c r="N57" s="189">
        <v>186.3</v>
      </c>
      <c r="O57" s="189">
        <v>0</v>
      </c>
      <c r="P57" s="189">
        <v>0.84</v>
      </c>
      <c r="Q57" s="189">
        <v>4.75</v>
      </c>
    </row>
    <row r="58" spans="1:17" customFormat="1">
      <c r="A58" s="6" t="s">
        <v>1056</v>
      </c>
      <c r="B58" s="189">
        <v>18.48</v>
      </c>
      <c r="C58" s="189">
        <v>19.28</v>
      </c>
      <c r="D58" s="189">
        <v>26.24</v>
      </c>
      <c r="E58" s="189">
        <v>7.19</v>
      </c>
      <c r="F58" s="189">
        <v>3.06</v>
      </c>
      <c r="G58" s="189">
        <v>58.56</v>
      </c>
      <c r="H58" s="189">
        <v>24.01</v>
      </c>
      <c r="I58" s="189">
        <v>7.87</v>
      </c>
      <c r="J58" s="189">
        <v>0.31</v>
      </c>
      <c r="K58" s="189">
        <v>32.590000000000003</v>
      </c>
      <c r="L58" s="189">
        <v>26.12</v>
      </c>
      <c r="M58" s="189">
        <v>49.07</v>
      </c>
      <c r="N58" s="189">
        <v>325.8</v>
      </c>
      <c r="O58" s="189">
        <v>0</v>
      </c>
      <c r="P58" s="189">
        <v>0.84</v>
      </c>
      <c r="Q58" s="189">
        <v>4.7300000000000004</v>
      </c>
    </row>
    <row r="59" spans="1:17" customFormat="1">
      <c r="A59" s="6" t="s">
        <v>1057</v>
      </c>
      <c r="B59" s="189">
        <v>18.27</v>
      </c>
      <c r="C59" s="189">
        <v>19.27</v>
      </c>
      <c r="D59" s="189">
        <v>26.07</v>
      </c>
      <c r="E59" s="189">
        <v>7.12</v>
      </c>
      <c r="F59" s="189">
        <v>2.94</v>
      </c>
      <c r="G59" s="189">
        <v>56.55</v>
      </c>
      <c r="H59" s="189">
        <v>23.8</v>
      </c>
      <c r="I59" s="189">
        <v>7.75</v>
      </c>
      <c r="J59" s="189">
        <v>0.52</v>
      </c>
      <c r="K59" s="189">
        <v>295.08999999999997</v>
      </c>
      <c r="L59" s="189">
        <v>26.83</v>
      </c>
      <c r="M59" s="189">
        <v>45.77</v>
      </c>
      <c r="N59" s="189">
        <v>532.1</v>
      </c>
      <c r="O59" s="189">
        <v>0</v>
      </c>
      <c r="P59" s="189">
        <v>0.83</v>
      </c>
      <c r="Q59" s="189">
        <v>4.72</v>
      </c>
    </row>
    <row r="60" spans="1:17" customFormat="1">
      <c r="A60" s="6" t="s">
        <v>1058</v>
      </c>
      <c r="B60" s="189">
        <v>17.93</v>
      </c>
      <c r="C60" s="189">
        <v>19.23</v>
      </c>
      <c r="D60" s="189">
        <v>25.78</v>
      </c>
      <c r="E60" s="189">
        <v>7.06</v>
      </c>
      <c r="F60" s="189">
        <v>3.21</v>
      </c>
      <c r="G60" s="189">
        <v>56.55</v>
      </c>
      <c r="H60" s="189">
        <v>23.8</v>
      </c>
      <c r="I60" s="189">
        <v>7.67</v>
      </c>
      <c r="J60" s="189">
        <v>0.63</v>
      </c>
      <c r="K60" s="189">
        <v>310.91000000000003</v>
      </c>
      <c r="L60" s="189">
        <v>26.72</v>
      </c>
      <c r="M60" s="189">
        <v>41.7</v>
      </c>
      <c r="N60" s="189">
        <v>289.5</v>
      </c>
      <c r="O60" s="189">
        <v>0</v>
      </c>
      <c r="P60" s="189">
        <v>0.81</v>
      </c>
      <c r="Q60" s="189">
        <v>4.72</v>
      </c>
    </row>
    <row r="61" spans="1:17" customFormat="1">
      <c r="A61" s="6" t="s">
        <v>1059</v>
      </c>
      <c r="B61" s="189">
        <v>17.55</v>
      </c>
      <c r="C61" s="189">
        <v>19.670000000000002</v>
      </c>
      <c r="D61" s="189">
        <v>25.7</v>
      </c>
      <c r="E61" s="189">
        <v>6.83</v>
      </c>
      <c r="F61" s="189">
        <v>3.02</v>
      </c>
      <c r="G61" s="189">
        <v>56.55</v>
      </c>
      <c r="H61" s="189">
        <v>23.8</v>
      </c>
      <c r="I61" s="189">
        <v>7.55</v>
      </c>
      <c r="J61" s="189">
        <v>0.35</v>
      </c>
      <c r="K61" s="189">
        <v>334.06</v>
      </c>
      <c r="L61" s="189">
        <v>26.24</v>
      </c>
      <c r="M61" s="189">
        <v>43.04</v>
      </c>
      <c r="N61" s="189">
        <v>210.6</v>
      </c>
      <c r="O61" s="189">
        <v>0</v>
      </c>
      <c r="P61" s="189">
        <v>0.8</v>
      </c>
      <c r="Q61" s="189">
        <v>4.71</v>
      </c>
    </row>
    <row r="62" spans="1:17" customFormat="1">
      <c r="A62" s="6" t="s">
        <v>1060</v>
      </c>
      <c r="B62" s="189">
        <v>17.079999999999998</v>
      </c>
      <c r="C62" s="189">
        <v>20.92</v>
      </c>
      <c r="D62" s="189">
        <v>25.97</v>
      </c>
      <c r="E62" s="189">
        <v>6.78</v>
      </c>
      <c r="F62" s="189">
        <v>3</v>
      </c>
      <c r="G62" s="189">
        <v>50.87</v>
      </c>
      <c r="H62" s="189">
        <v>16.86</v>
      </c>
      <c r="I62" s="189">
        <v>7.4</v>
      </c>
      <c r="J62" s="189">
        <v>0.56000000000000005</v>
      </c>
      <c r="K62" s="189">
        <v>311.08999999999997</v>
      </c>
      <c r="L62" s="189">
        <v>26.73</v>
      </c>
      <c r="M62" s="189">
        <v>41.64</v>
      </c>
      <c r="N62" s="189">
        <v>439.2</v>
      </c>
      <c r="O62" s="189">
        <v>0</v>
      </c>
      <c r="P62" s="189">
        <v>0.8</v>
      </c>
      <c r="Q62" s="189">
        <v>4.6900000000000004</v>
      </c>
    </row>
    <row r="63" spans="1:17" customFormat="1">
      <c r="A63" s="6" t="s">
        <v>1061</v>
      </c>
      <c r="B63" s="189">
        <v>16.52</v>
      </c>
      <c r="C63" s="189">
        <v>19.93</v>
      </c>
      <c r="D63" s="189">
        <v>25.01</v>
      </c>
      <c r="E63" s="189">
        <v>7.09</v>
      </c>
      <c r="F63" s="189">
        <v>3.57</v>
      </c>
      <c r="G63" s="189">
        <v>48.03</v>
      </c>
      <c r="H63" s="189">
        <v>16.04</v>
      </c>
      <c r="I63" s="189">
        <v>7.26</v>
      </c>
      <c r="J63" s="189">
        <v>0.66</v>
      </c>
      <c r="K63" s="189">
        <v>324.76</v>
      </c>
      <c r="L63" s="189">
        <v>26.87</v>
      </c>
      <c r="M63" s="189">
        <v>42.36</v>
      </c>
      <c r="N63" s="189">
        <v>474.2</v>
      </c>
      <c r="O63" s="189">
        <v>0</v>
      </c>
      <c r="P63" s="189">
        <v>0.76</v>
      </c>
      <c r="Q63" s="189">
        <v>4.66</v>
      </c>
    </row>
    <row r="64" spans="1:17" customFormat="1">
      <c r="A64" s="6" t="s">
        <v>1062</v>
      </c>
      <c r="B64" s="189">
        <v>15.83</v>
      </c>
      <c r="C64" s="189">
        <v>19.21</v>
      </c>
      <c r="D64" s="189">
        <v>24.08</v>
      </c>
      <c r="E64" s="189">
        <v>6.71</v>
      </c>
      <c r="F64" s="189">
        <v>3.57</v>
      </c>
      <c r="G64" s="189">
        <v>48.03</v>
      </c>
      <c r="H64" s="189">
        <v>16.04</v>
      </c>
      <c r="I64" s="189">
        <v>7.12</v>
      </c>
      <c r="J64" s="189">
        <v>0.56000000000000005</v>
      </c>
      <c r="K64" s="189">
        <v>330.27</v>
      </c>
      <c r="L64" s="189">
        <v>26.86</v>
      </c>
      <c r="M64" s="189">
        <v>40.81</v>
      </c>
      <c r="N64" s="189">
        <v>415.5</v>
      </c>
      <c r="O64" s="189">
        <v>0</v>
      </c>
      <c r="P64" s="189">
        <v>0.76</v>
      </c>
      <c r="Q64" s="189">
        <v>4.6500000000000004</v>
      </c>
    </row>
    <row r="65" spans="1:17" customFormat="1">
      <c r="A65" s="6" t="s">
        <v>1063</v>
      </c>
      <c r="B65" s="189">
        <v>15.35</v>
      </c>
      <c r="C65" s="189">
        <v>18.77</v>
      </c>
      <c r="D65" s="189">
        <v>23.47</v>
      </c>
      <c r="E65" s="189">
        <v>7.07</v>
      </c>
      <c r="F65" s="189">
        <v>3.36</v>
      </c>
      <c r="G65" s="189">
        <v>48.03</v>
      </c>
      <c r="H65" s="189">
        <v>16.04</v>
      </c>
      <c r="I65" s="189">
        <v>6.98</v>
      </c>
      <c r="J65" s="189">
        <v>0.52</v>
      </c>
      <c r="K65" s="189">
        <v>324.95</v>
      </c>
      <c r="L65" s="189">
        <v>26.53</v>
      </c>
      <c r="M65" s="189">
        <v>41.38</v>
      </c>
      <c r="N65" s="189">
        <v>145</v>
      </c>
      <c r="O65" s="189">
        <v>0</v>
      </c>
      <c r="P65" s="189">
        <v>0.72</v>
      </c>
      <c r="Q65" s="189">
        <v>4.6399999999999997</v>
      </c>
    </row>
    <row r="66" spans="1:17" customFormat="1">
      <c r="A66" s="6" t="s">
        <v>1064</v>
      </c>
      <c r="B66" s="189">
        <v>15.07</v>
      </c>
      <c r="C66" s="189">
        <v>18.82</v>
      </c>
      <c r="D66" s="189">
        <v>23.27</v>
      </c>
      <c r="E66" s="189">
        <v>7.16</v>
      </c>
      <c r="F66" s="189">
        <v>4.0599999999999996</v>
      </c>
      <c r="G66" s="189">
        <v>45.18</v>
      </c>
      <c r="H66" s="189">
        <v>14.79</v>
      </c>
      <c r="I66" s="189">
        <v>6.81</v>
      </c>
      <c r="J66" s="189">
        <v>0.59</v>
      </c>
      <c r="K66" s="189">
        <v>19.600000000000001</v>
      </c>
      <c r="L66" s="189">
        <v>26.37</v>
      </c>
      <c r="M66" s="189">
        <v>42.87</v>
      </c>
      <c r="N66" s="189">
        <v>131.4</v>
      </c>
      <c r="O66" s="189">
        <v>0</v>
      </c>
      <c r="P66" s="189">
        <v>0.72</v>
      </c>
      <c r="Q66" s="189">
        <v>4.62</v>
      </c>
    </row>
    <row r="67" spans="1:17" customFormat="1">
      <c r="A67" s="6" t="s">
        <v>1065</v>
      </c>
      <c r="B67" s="189">
        <v>14.78</v>
      </c>
      <c r="C67" s="189">
        <v>20.52</v>
      </c>
      <c r="D67" s="189">
        <v>23.92</v>
      </c>
      <c r="E67" s="189">
        <v>7.37</v>
      </c>
      <c r="F67" s="189">
        <v>3.79</v>
      </c>
      <c r="G67" s="189">
        <v>43.75</v>
      </c>
      <c r="H67" s="189">
        <v>14.64</v>
      </c>
      <c r="I67" s="189">
        <v>6.63</v>
      </c>
      <c r="J67" s="189">
        <v>0.49</v>
      </c>
      <c r="K67" s="189">
        <v>316.87</v>
      </c>
      <c r="L67" s="189">
        <v>26.38</v>
      </c>
      <c r="M67" s="189">
        <v>42.48</v>
      </c>
      <c r="N67" s="189">
        <v>97.1</v>
      </c>
      <c r="O67" s="189">
        <v>0</v>
      </c>
      <c r="P67" s="189">
        <v>0.72</v>
      </c>
      <c r="Q67" s="189">
        <v>4.5999999999999996</v>
      </c>
    </row>
    <row r="68" spans="1:17" customFormat="1">
      <c r="A68" s="6" t="s">
        <v>1066</v>
      </c>
      <c r="B68" s="189">
        <v>14.58</v>
      </c>
      <c r="C68" s="189">
        <v>19.87</v>
      </c>
      <c r="D68" s="189">
        <v>23.42</v>
      </c>
      <c r="E68" s="189">
        <v>6.54</v>
      </c>
      <c r="F68" s="189">
        <v>3.44</v>
      </c>
      <c r="G68" s="189">
        <v>43.75</v>
      </c>
      <c r="H68" s="189">
        <v>14.64</v>
      </c>
      <c r="I68" s="189">
        <v>6.49</v>
      </c>
      <c r="J68" s="189">
        <v>0.62</v>
      </c>
      <c r="K68" s="189">
        <v>311.74</v>
      </c>
      <c r="L68" s="189">
        <v>26.34</v>
      </c>
      <c r="M68" s="189">
        <v>42.84</v>
      </c>
      <c r="N68" s="189">
        <v>83.4</v>
      </c>
      <c r="O68" s="189">
        <v>0</v>
      </c>
      <c r="P68" s="189">
        <v>0.71</v>
      </c>
      <c r="Q68" s="189">
        <v>4.6100000000000003</v>
      </c>
    </row>
    <row r="69" spans="1:17" customFormat="1">
      <c r="A69" s="6" t="s">
        <v>1067</v>
      </c>
      <c r="B69" s="189">
        <v>14.4</v>
      </c>
      <c r="C69" s="189">
        <v>19.010000000000002</v>
      </c>
      <c r="D69" s="189">
        <v>22.83</v>
      </c>
      <c r="E69" s="189">
        <v>6.87</v>
      </c>
      <c r="F69" s="189">
        <v>3.62</v>
      </c>
      <c r="G69" s="189">
        <v>43.75</v>
      </c>
      <c r="H69" s="189">
        <v>14.64</v>
      </c>
      <c r="I69" s="189">
        <v>6.4</v>
      </c>
      <c r="J69" s="189">
        <v>0.45</v>
      </c>
      <c r="K69" s="189">
        <v>343.45</v>
      </c>
      <c r="L69" s="189">
        <v>25.91</v>
      </c>
      <c r="M69" s="189">
        <v>44.48</v>
      </c>
      <c r="N69" s="189">
        <v>66.7</v>
      </c>
      <c r="O69" s="189">
        <v>0</v>
      </c>
      <c r="P69" s="189">
        <v>0.69</v>
      </c>
      <c r="Q69" s="189">
        <v>4.6100000000000003</v>
      </c>
    </row>
    <row r="70" spans="1:17" customFormat="1">
      <c r="A70" s="6" t="s">
        <v>1068</v>
      </c>
      <c r="B70" s="189">
        <v>13.99</v>
      </c>
      <c r="C70" s="189">
        <v>19.3</v>
      </c>
      <c r="D70" s="189">
        <v>22.66</v>
      </c>
      <c r="E70" s="189">
        <v>6.12</v>
      </c>
      <c r="F70" s="189">
        <v>3.18</v>
      </c>
      <c r="G70" s="189">
        <v>42.41</v>
      </c>
      <c r="H70" s="189">
        <v>13.21</v>
      </c>
      <c r="I70" s="189">
        <v>6.3</v>
      </c>
      <c r="J70" s="189">
        <v>0.63</v>
      </c>
      <c r="K70" s="189">
        <v>305.63</v>
      </c>
      <c r="L70" s="189">
        <v>25.56</v>
      </c>
      <c r="M70" s="189">
        <v>44.61</v>
      </c>
      <c r="N70" s="189">
        <v>71.7</v>
      </c>
      <c r="O70" s="189">
        <v>0</v>
      </c>
      <c r="P70" s="189">
        <v>0.67</v>
      </c>
      <c r="Q70" s="189">
        <v>4.57</v>
      </c>
    </row>
    <row r="71" spans="1:17" customFormat="1">
      <c r="A71" s="6" t="s">
        <v>1069</v>
      </c>
      <c r="B71" s="189">
        <v>13.43</v>
      </c>
      <c r="C71" s="189">
        <v>20.260000000000002</v>
      </c>
      <c r="D71" s="189">
        <v>22.71</v>
      </c>
      <c r="E71" s="189">
        <v>6.43</v>
      </c>
      <c r="F71" s="189">
        <v>3.31</v>
      </c>
      <c r="G71" s="189">
        <v>41.74</v>
      </c>
      <c r="H71" s="189">
        <v>13.04</v>
      </c>
      <c r="I71" s="189">
        <v>6.18</v>
      </c>
      <c r="J71" s="189">
        <v>0.42</v>
      </c>
      <c r="K71" s="189">
        <v>319.75</v>
      </c>
      <c r="L71" s="189">
        <v>25.77</v>
      </c>
      <c r="M71" s="189">
        <v>43.6</v>
      </c>
      <c r="N71" s="189">
        <v>80.400000000000006</v>
      </c>
      <c r="O71" s="189">
        <v>0</v>
      </c>
      <c r="P71" s="189">
        <v>0.69</v>
      </c>
      <c r="Q71" s="189">
        <v>4.57</v>
      </c>
    </row>
    <row r="72" spans="1:17" customFormat="1">
      <c r="A72" s="6" t="s">
        <v>1070</v>
      </c>
      <c r="B72" s="189">
        <v>12.85</v>
      </c>
      <c r="C72" s="189">
        <v>21.53</v>
      </c>
      <c r="D72" s="189">
        <v>22.91</v>
      </c>
      <c r="E72" s="189">
        <v>6.47</v>
      </c>
      <c r="F72" s="189">
        <v>3.13</v>
      </c>
      <c r="G72" s="189">
        <v>41.74</v>
      </c>
      <c r="H72" s="189">
        <v>13.04</v>
      </c>
      <c r="I72" s="189">
        <v>6.06</v>
      </c>
      <c r="J72" s="189">
        <v>0.33</v>
      </c>
      <c r="K72" s="189">
        <v>29.99</v>
      </c>
      <c r="L72" s="189">
        <v>25.24</v>
      </c>
      <c r="M72" s="189">
        <v>46.95</v>
      </c>
      <c r="N72" s="189">
        <v>39.4</v>
      </c>
      <c r="O72" s="189">
        <v>0</v>
      </c>
      <c r="P72" s="189">
        <v>0.69</v>
      </c>
      <c r="Q72" s="189">
        <v>4.54</v>
      </c>
    </row>
    <row r="73" spans="1:17" customFormat="1">
      <c r="A73" s="6" t="s">
        <v>1071</v>
      </c>
      <c r="B73" s="189">
        <v>12.9</v>
      </c>
      <c r="C73" s="189">
        <v>22.64</v>
      </c>
      <c r="D73" s="189">
        <v>23.53</v>
      </c>
      <c r="E73" s="189">
        <v>6.38</v>
      </c>
      <c r="F73" s="189">
        <v>3.03</v>
      </c>
      <c r="G73" s="189">
        <v>41.74</v>
      </c>
      <c r="H73" s="189">
        <v>13.04</v>
      </c>
      <c r="I73" s="189">
        <v>5.89</v>
      </c>
      <c r="J73" s="189">
        <v>0.33</v>
      </c>
      <c r="K73" s="189">
        <v>41.14</v>
      </c>
      <c r="L73" s="189">
        <v>24.82</v>
      </c>
      <c r="M73" s="189">
        <v>49.6</v>
      </c>
      <c r="N73" s="189">
        <v>35.700000000000003</v>
      </c>
      <c r="O73" s="189">
        <v>0</v>
      </c>
      <c r="P73" s="189">
        <v>0.68</v>
      </c>
      <c r="Q73" s="189">
        <v>4.54</v>
      </c>
    </row>
    <row r="74" spans="1:17" customFormat="1">
      <c r="A74" s="6" t="s">
        <v>1072</v>
      </c>
      <c r="B74" s="189">
        <v>12.99</v>
      </c>
      <c r="C74" s="189">
        <v>23.69</v>
      </c>
      <c r="D74" s="189">
        <v>24.15</v>
      </c>
      <c r="E74" s="189">
        <v>6.47</v>
      </c>
      <c r="F74" s="189">
        <v>2.76</v>
      </c>
      <c r="G74" s="189">
        <v>42.89</v>
      </c>
      <c r="H74" s="189">
        <v>15.5</v>
      </c>
      <c r="I74" s="189">
        <v>5.75</v>
      </c>
      <c r="J74" s="189">
        <v>0.35</v>
      </c>
      <c r="K74" s="189">
        <v>38.880000000000003</v>
      </c>
      <c r="L74" s="189">
        <v>24.74</v>
      </c>
      <c r="M74" s="189">
        <v>51.14</v>
      </c>
      <c r="N74" s="189">
        <v>32</v>
      </c>
      <c r="O74" s="189">
        <v>0</v>
      </c>
      <c r="P74" s="189">
        <v>0.67</v>
      </c>
      <c r="Q74" s="189">
        <v>4.53</v>
      </c>
    </row>
    <row r="75" spans="1:17" customFormat="1">
      <c r="A75" s="6" t="s">
        <v>1073</v>
      </c>
      <c r="B75" s="189">
        <v>13.04</v>
      </c>
      <c r="C75" s="189">
        <v>24.43</v>
      </c>
      <c r="D75" s="189">
        <v>24.57</v>
      </c>
      <c r="E75" s="189">
        <v>5.85</v>
      </c>
      <c r="F75" s="189">
        <v>2.92</v>
      </c>
      <c r="G75" s="189">
        <v>43.47</v>
      </c>
      <c r="H75" s="189">
        <v>15.79</v>
      </c>
      <c r="I75" s="189">
        <v>5.64</v>
      </c>
      <c r="J75" s="189">
        <v>0.22</v>
      </c>
      <c r="K75" s="189">
        <v>37.450000000000003</v>
      </c>
      <c r="L75" s="189">
        <v>24.63</v>
      </c>
      <c r="M75" s="189">
        <v>52.1</v>
      </c>
      <c r="N75" s="189">
        <v>20.3</v>
      </c>
      <c r="O75" s="189">
        <v>0</v>
      </c>
      <c r="P75" s="189">
        <v>0.68</v>
      </c>
      <c r="Q75" s="189">
        <v>4.5599999999999996</v>
      </c>
    </row>
    <row r="76" spans="1:17" customFormat="1">
      <c r="A76" s="6" t="s">
        <v>1074</v>
      </c>
      <c r="B76" s="189">
        <v>13.36</v>
      </c>
      <c r="C76" s="189">
        <v>25.02</v>
      </c>
      <c r="D76" s="189">
        <v>25.14</v>
      </c>
      <c r="E76" s="189">
        <v>6.06</v>
      </c>
      <c r="F76" s="189">
        <v>2.8</v>
      </c>
      <c r="G76" s="189">
        <v>43.47</v>
      </c>
      <c r="H76" s="189">
        <v>15.79</v>
      </c>
      <c r="I76" s="189">
        <v>5.57</v>
      </c>
      <c r="J76" s="189">
        <v>0.17</v>
      </c>
      <c r="K76" s="189">
        <v>63.62</v>
      </c>
      <c r="L76" s="189">
        <v>24.22</v>
      </c>
      <c r="M76" s="189">
        <v>53.21</v>
      </c>
      <c r="N76" s="189">
        <v>3.2</v>
      </c>
      <c r="O76" s="189">
        <v>0</v>
      </c>
      <c r="P76" s="189">
        <v>0.69</v>
      </c>
      <c r="Q76" s="189">
        <v>4.5599999999999996</v>
      </c>
    </row>
    <row r="77" spans="1:17" customFormat="1">
      <c r="A77" s="6" t="s">
        <v>1075</v>
      </c>
      <c r="B77" s="189">
        <v>13.89</v>
      </c>
      <c r="C77" s="189">
        <v>25.69</v>
      </c>
      <c r="D77" s="189">
        <v>25.91</v>
      </c>
      <c r="E77" s="189">
        <v>5.97</v>
      </c>
      <c r="F77" s="189">
        <v>2.82</v>
      </c>
      <c r="G77" s="189">
        <v>43.47</v>
      </c>
      <c r="H77" s="189">
        <v>15.79</v>
      </c>
      <c r="I77" s="189">
        <v>5.54</v>
      </c>
      <c r="J77" s="189">
        <v>0.11</v>
      </c>
      <c r="K77" s="189">
        <v>129.19</v>
      </c>
      <c r="L77" s="189">
        <v>23.56</v>
      </c>
      <c r="M77" s="189">
        <v>58.66</v>
      </c>
      <c r="N77" s="189">
        <v>0</v>
      </c>
      <c r="O77" s="189">
        <v>0</v>
      </c>
      <c r="P77" s="189">
        <v>0.7</v>
      </c>
      <c r="Q77" s="189">
        <v>4.58</v>
      </c>
    </row>
    <row r="78" spans="1:17" customFormat="1">
      <c r="A78" s="6" t="s">
        <v>1076</v>
      </c>
      <c r="B78" s="189">
        <v>14.49</v>
      </c>
      <c r="C78" s="189">
        <v>26.16</v>
      </c>
      <c r="D78" s="189">
        <v>26.64</v>
      </c>
      <c r="E78" s="189">
        <v>6.4</v>
      </c>
      <c r="F78" s="189">
        <v>2.79</v>
      </c>
      <c r="G78" s="189">
        <v>52.12</v>
      </c>
      <c r="H78" s="189">
        <v>18.88</v>
      </c>
      <c r="I78" s="189">
        <v>5.53</v>
      </c>
      <c r="J78" s="189">
        <v>0.09</v>
      </c>
      <c r="K78" s="189">
        <v>165.03</v>
      </c>
      <c r="L78" s="189">
        <v>22.76</v>
      </c>
      <c r="M78" s="189">
        <v>64.53</v>
      </c>
      <c r="N78" s="189">
        <v>0</v>
      </c>
      <c r="O78" s="189">
        <v>0</v>
      </c>
      <c r="P78" s="189">
        <v>0.71</v>
      </c>
      <c r="Q78" s="189">
        <v>4.6100000000000003</v>
      </c>
    </row>
    <row r="79" spans="1:17" customFormat="1">
      <c r="A79" s="6" t="s">
        <v>1077</v>
      </c>
      <c r="B79" s="189">
        <v>14.94</v>
      </c>
      <c r="C79" s="189">
        <v>26.78</v>
      </c>
      <c r="D79" s="189">
        <v>27.32</v>
      </c>
      <c r="E79" s="189">
        <v>6.44</v>
      </c>
      <c r="F79" s="189">
        <v>2.72</v>
      </c>
      <c r="G79" s="189">
        <v>56.44</v>
      </c>
      <c r="H79" s="189">
        <v>19.239999999999998</v>
      </c>
      <c r="I79" s="189">
        <v>5.51</v>
      </c>
      <c r="J79" s="189">
        <v>0.14000000000000001</v>
      </c>
      <c r="K79" s="189">
        <v>59.62</v>
      </c>
      <c r="L79" s="189">
        <v>22.6</v>
      </c>
      <c r="M79" s="189">
        <v>62.49</v>
      </c>
      <c r="N79" s="189">
        <v>0</v>
      </c>
      <c r="O79" s="189">
        <v>0</v>
      </c>
      <c r="P79" s="189">
        <v>0.73</v>
      </c>
      <c r="Q79" s="189">
        <v>4.63</v>
      </c>
    </row>
    <row r="80" spans="1:17" customFormat="1">
      <c r="A80" s="6" t="s">
        <v>1078</v>
      </c>
      <c r="B80" s="189">
        <v>15.87</v>
      </c>
      <c r="C80" s="189">
        <v>27.13</v>
      </c>
      <c r="D80" s="189">
        <v>28.26</v>
      </c>
      <c r="E80" s="189">
        <v>6.71</v>
      </c>
      <c r="F80" s="189">
        <v>2.61</v>
      </c>
      <c r="G80" s="189">
        <v>56.44</v>
      </c>
      <c r="H80" s="189">
        <v>19.239999999999998</v>
      </c>
      <c r="I80" s="189">
        <v>5.59</v>
      </c>
      <c r="J80" s="189">
        <v>0.18</v>
      </c>
      <c r="K80" s="189">
        <v>61.01</v>
      </c>
      <c r="L80" s="189">
        <v>22.72</v>
      </c>
      <c r="M80" s="189">
        <v>62.09</v>
      </c>
      <c r="N80" s="189">
        <v>0</v>
      </c>
      <c r="O80" s="189">
        <v>0</v>
      </c>
      <c r="P80" s="189">
        <v>0.74</v>
      </c>
      <c r="Q80" s="189">
        <v>4.68</v>
      </c>
    </row>
    <row r="81" spans="1:17" customFormat="1">
      <c r="A81" s="6" t="s">
        <v>1079</v>
      </c>
      <c r="B81" s="189">
        <v>17.170000000000002</v>
      </c>
      <c r="C81" s="189">
        <v>27.41</v>
      </c>
      <c r="D81" s="189">
        <v>29.45</v>
      </c>
      <c r="E81" s="189">
        <v>6.59</v>
      </c>
      <c r="F81" s="189">
        <v>2.65</v>
      </c>
      <c r="G81" s="189">
        <v>56.44</v>
      </c>
      <c r="H81" s="189">
        <v>19.239999999999998</v>
      </c>
      <c r="I81" s="189">
        <v>5.71</v>
      </c>
      <c r="J81" s="189">
        <v>0.12</v>
      </c>
      <c r="K81" s="189">
        <v>136.29</v>
      </c>
      <c r="L81" s="189">
        <v>22.53</v>
      </c>
      <c r="M81" s="189">
        <v>65.17</v>
      </c>
      <c r="N81" s="189">
        <v>0</v>
      </c>
      <c r="O81" s="189">
        <v>0</v>
      </c>
      <c r="P81" s="189">
        <v>0.76</v>
      </c>
      <c r="Q81" s="189">
        <v>4.71</v>
      </c>
    </row>
    <row r="82" spans="1:17" customFormat="1">
      <c r="A82" s="6" t="s">
        <v>1080</v>
      </c>
      <c r="B82" s="189">
        <v>18.54</v>
      </c>
      <c r="C82" s="189">
        <v>28.32</v>
      </c>
      <c r="D82" s="189">
        <v>31.01</v>
      </c>
      <c r="E82" s="189">
        <v>7.81</v>
      </c>
      <c r="F82" s="189">
        <v>2.56</v>
      </c>
      <c r="G82" s="189">
        <v>68.09</v>
      </c>
      <c r="H82" s="189">
        <v>21.45</v>
      </c>
      <c r="I82" s="189">
        <v>5.79</v>
      </c>
      <c r="J82" s="189">
        <v>0.03</v>
      </c>
      <c r="K82" s="189">
        <v>165.7</v>
      </c>
      <c r="L82" s="189">
        <v>21.93</v>
      </c>
      <c r="M82" s="189">
        <v>65.66</v>
      </c>
      <c r="N82" s="189">
        <v>0</v>
      </c>
      <c r="O82" s="189">
        <v>0</v>
      </c>
      <c r="P82" s="189">
        <v>0.78</v>
      </c>
      <c r="Q82" s="189">
        <v>4.76</v>
      </c>
    </row>
    <row r="83" spans="1:17" customFormat="1">
      <c r="A83" s="6" t="s">
        <v>1081</v>
      </c>
      <c r="B83" s="189">
        <v>19.809999999999999</v>
      </c>
      <c r="C83" s="189">
        <v>28.52</v>
      </c>
      <c r="D83" s="189">
        <v>32.130000000000003</v>
      </c>
      <c r="E83" s="189">
        <v>7.99</v>
      </c>
      <c r="F83" s="189">
        <v>2.57</v>
      </c>
      <c r="G83" s="189">
        <v>73.91</v>
      </c>
      <c r="H83" s="189">
        <v>21.88</v>
      </c>
      <c r="I83" s="189">
        <v>5.87</v>
      </c>
      <c r="J83" s="189">
        <v>0.18</v>
      </c>
      <c r="K83" s="189">
        <v>157.71</v>
      </c>
      <c r="L83" s="189">
        <v>21.43</v>
      </c>
      <c r="M83" s="189">
        <v>70.09</v>
      </c>
      <c r="N83" s="189">
        <v>0</v>
      </c>
      <c r="O83" s="189">
        <v>0</v>
      </c>
      <c r="P83" s="189">
        <v>0.8</v>
      </c>
      <c r="Q83" s="189">
        <v>4.8</v>
      </c>
    </row>
    <row r="84" spans="1:17" customFormat="1">
      <c r="A84" s="6" t="s">
        <v>1082</v>
      </c>
      <c r="B84" s="189">
        <v>21.4</v>
      </c>
      <c r="C84" s="189">
        <v>28.7</v>
      </c>
      <c r="D84" s="189">
        <v>33.51</v>
      </c>
      <c r="E84" s="189">
        <v>7.57</v>
      </c>
      <c r="F84" s="189">
        <v>2.56</v>
      </c>
      <c r="G84" s="189">
        <v>73.91</v>
      </c>
      <c r="H84" s="189">
        <v>21.88</v>
      </c>
      <c r="I84" s="189">
        <v>5.96</v>
      </c>
      <c r="J84" s="189">
        <v>0.23</v>
      </c>
      <c r="K84" s="189">
        <v>163.33000000000001</v>
      </c>
      <c r="L84" s="189">
        <v>21</v>
      </c>
      <c r="M84" s="189">
        <v>73.83</v>
      </c>
      <c r="N84" s="189">
        <v>0</v>
      </c>
      <c r="O84" s="189">
        <v>0</v>
      </c>
      <c r="P84" s="189">
        <v>0.83</v>
      </c>
      <c r="Q84" s="189">
        <v>4.84</v>
      </c>
    </row>
    <row r="85" spans="1:17" customFormat="1">
      <c r="A85" s="6" t="s">
        <v>1083</v>
      </c>
      <c r="B85" s="189">
        <v>23.01</v>
      </c>
      <c r="C85" s="189">
        <v>28.98</v>
      </c>
      <c r="D85" s="189">
        <v>34.94</v>
      </c>
      <c r="E85" s="189">
        <v>8.1199999999999992</v>
      </c>
      <c r="F85" s="189">
        <v>2.58</v>
      </c>
      <c r="G85" s="189">
        <v>73.91</v>
      </c>
      <c r="H85" s="189">
        <v>21.88</v>
      </c>
      <c r="I85" s="189">
        <v>6.1</v>
      </c>
      <c r="J85" s="189">
        <v>0.16</v>
      </c>
      <c r="K85" s="189">
        <v>130.52000000000001</v>
      </c>
      <c r="L85" s="189">
        <v>20.79</v>
      </c>
      <c r="M85" s="189">
        <v>74.92</v>
      </c>
      <c r="N85" s="189">
        <v>0</v>
      </c>
      <c r="O85" s="189">
        <v>0</v>
      </c>
      <c r="P85" s="189">
        <v>0.86</v>
      </c>
      <c r="Q85" s="189">
        <v>4.91</v>
      </c>
    </row>
    <row r="86" spans="1:17" customFormat="1">
      <c r="A86" s="6" t="s">
        <v>1084</v>
      </c>
      <c r="B86" s="189">
        <v>24.73</v>
      </c>
      <c r="C86" s="189">
        <v>29.35</v>
      </c>
      <c r="D86" s="189">
        <v>36.520000000000003</v>
      </c>
      <c r="E86" s="189">
        <v>8.3000000000000007</v>
      </c>
      <c r="F86" s="189">
        <v>2.62</v>
      </c>
      <c r="G86" s="189">
        <v>90.76</v>
      </c>
      <c r="H86" s="189">
        <v>24.84</v>
      </c>
      <c r="I86" s="189">
        <v>6.35</v>
      </c>
      <c r="J86" s="189">
        <v>0.15</v>
      </c>
      <c r="K86" s="189">
        <v>155.18</v>
      </c>
      <c r="L86" s="189">
        <v>20.6</v>
      </c>
      <c r="M86" s="189">
        <v>74.98</v>
      </c>
      <c r="N86" s="189">
        <v>0</v>
      </c>
      <c r="O86" s="189">
        <v>0</v>
      </c>
      <c r="P86" s="189">
        <v>0.89</v>
      </c>
      <c r="Q86" s="189">
        <v>4.93</v>
      </c>
    </row>
    <row r="87" spans="1:17" customFormat="1">
      <c r="A87" s="6" t="s">
        <v>1085</v>
      </c>
      <c r="B87" s="189">
        <v>26.61</v>
      </c>
      <c r="C87" s="189">
        <v>29.58</v>
      </c>
      <c r="D87" s="189">
        <v>38.14</v>
      </c>
      <c r="E87" s="189">
        <v>8.4499999999999993</v>
      </c>
      <c r="F87" s="189">
        <v>2.56</v>
      </c>
      <c r="G87" s="189">
        <v>99.18</v>
      </c>
      <c r="H87" s="189">
        <v>25.19</v>
      </c>
      <c r="I87" s="189">
        <v>6.6</v>
      </c>
      <c r="J87" s="189">
        <v>0.15</v>
      </c>
      <c r="K87" s="189">
        <v>154.08000000000001</v>
      </c>
      <c r="L87" s="189">
        <v>20.52</v>
      </c>
      <c r="M87" s="189">
        <v>74.819999999999993</v>
      </c>
      <c r="N87" s="189">
        <v>0</v>
      </c>
      <c r="O87" s="189">
        <v>0</v>
      </c>
      <c r="P87" s="189">
        <v>0.92</v>
      </c>
      <c r="Q87" s="189">
        <v>5</v>
      </c>
    </row>
    <row r="88" spans="1:17" customFormat="1">
      <c r="A88" s="6" t="s">
        <v>1086</v>
      </c>
      <c r="B88" s="189">
        <v>28.42</v>
      </c>
      <c r="C88" s="189">
        <v>29.93</v>
      </c>
      <c r="D88" s="189">
        <v>39.78</v>
      </c>
      <c r="E88" s="189">
        <v>8.56</v>
      </c>
      <c r="F88" s="189">
        <v>2.58</v>
      </c>
      <c r="G88" s="189">
        <v>99.18</v>
      </c>
      <c r="H88" s="189">
        <v>25.19</v>
      </c>
      <c r="I88" s="189">
        <v>6.83</v>
      </c>
      <c r="J88" s="189">
        <v>0.24</v>
      </c>
      <c r="K88" s="189">
        <v>145.27000000000001</v>
      </c>
      <c r="L88" s="189">
        <v>20.48</v>
      </c>
      <c r="M88" s="189">
        <v>76.52</v>
      </c>
      <c r="N88" s="189">
        <v>0</v>
      </c>
      <c r="O88" s="189">
        <v>0</v>
      </c>
      <c r="P88" s="189">
        <v>0.95</v>
      </c>
      <c r="Q88" s="189">
        <v>5.0599999999999996</v>
      </c>
    </row>
    <row r="89" spans="1:17" customFormat="1">
      <c r="A89" s="6" t="s">
        <v>1087</v>
      </c>
      <c r="B89" s="189">
        <v>29.42</v>
      </c>
      <c r="C89" s="189">
        <v>29.95</v>
      </c>
      <c r="D89" s="189">
        <v>40.590000000000003</v>
      </c>
      <c r="E89" s="189">
        <v>8.6999999999999993</v>
      </c>
      <c r="F89" s="189">
        <v>2.67</v>
      </c>
      <c r="G89" s="189">
        <v>99.18</v>
      </c>
      <c r="H89" s="189">
        <v>25.19</v>
      </c>
      <c r="I89" s="189">
        <v>7.05</v>
      </c>
      <c r="J89" s="189">
        <v>0.16</v>
      </c>
      <c r="K89" s="189">
        <v>223.94</v>
      </c>
      <c r="L89" s="189">
        <v>20.18</v>
      </c>
      <c r="M89" s="189">
        <v>76.040000000000006</v>
      </c>
      <c r="N89" s="189">
        <v>0</v>
      </c>
      <c r="O89" s="189">
        <v>0</v>
      </c>
      <c r="P89" s="189">
        <v>0.97</v>
      </c>
      <c r="Q89" s="189">
        <v>5.09</v>
      </c>
    </row>
    <row r="90" spans="1:17" customFormat="1">
      <c r="A90" s="6" t="s">
        <v>1088</v>
      </c>
      <c r="B90" s="189">
        <v>29.69</v>
      </c>
      <c r="C90" s="189">
        <v>29.67</v>
      </c>
      <c r="D90" s="189">
        <v>40.659999999999997</v>
      </c>
      <c r="E90" s="189">
        <v>8.8000000000000007</v>
      </c>
      <c r="F90" s="189">
        <v>2.58</v>
      </c>
      <c r="G90" s="189">
        <v>101.97</v>
      </c>
      <c r="H90" s="189">
        <v>29.08</v>
      </c>
      <c r="I90" s="189">
        <v>7.25</v>
      </c>
      <c r="J90" s="189">
        <v>0.12</v>
      </c>
      <c r="K90" s="189">
        <v>183.39</v>
      </c>
      <c r="L90" s="189">
        <v>19.66</v>
      </c>
      <c r="M90" s="189">
        <v>80.89</v>
      </c>
      <c r="N90" s="189">
        <v>0</v>
      </c>
      <c r="O90" s="189">
        <v>0</v>
      </c>
      <c r="P90" s="189">
        <v>0.99</v>
      </c>
      <c r="Q90" s="189">
        <v>5.09</v>
      </c>
    </row>
    <row r="91" spans="1:17" customFormat="1">
      <c r="A91" s="6" t="s">
        <v>1089</v>
      </c>
      <c r="B91" s="189">
        <v>30.06</v>
      </c>
      <c r="C91" s="189">
        <v>27.99</v>
      </c>
      <c r="D91" s="189">
        <v>40.08</v>
      </c>
      <c r="E91" s="189">
        <v>8.56</v>
      </c>
      <c r="F91" s="189">
        <v>2.83</v>
      </c>
      <c r="G91" s="189">
        <v>103.36</v>
      </c>
      <c r="H91" s="189">
        <v>29.53</v>
      </c>
      <c r="I91" s="189">
        <v>7.4</v>
      </c>
      <c r="J91" s="189">
        <v>0.14000000000000001</v>
      </c>
      <c r="K91" s="189">
        <v>178.88</v>
      </c>
      <c r="L91" s="189">
        <v>19.239999999999998</v>
      </c>
      <c r="M91" s="189">
        <v>84.64</v>
      </c>
      <c r="N91" s="189">
        <v>0</v>
      </c>
      <c r="O91" s="189">
        <v>0</v>
      </c>
      <c r="P91" s="189">
        <v>0.98</v>
      </c>
      <c r="Q91" s="189">
        <v>5.09</v>
      </c>
    </row>
    <row r="92" spans="1:17" customFormat="1">
      <c r="A92" s="6" t="s">
        <v>1090</v>
      </c>
      <c r="B92" s="189">
        <v>30.83</v>
      </c>
      <c r="C92" s="189">
        <v>25.49</v>
      </c>
      <c r="D92" s="189">
        <v>39.4</v>
      </c>
      <c r="E92" s="189">
        <v>8.68</v>
      </c>
      <c r="F92" s="189">
        <v>2.97</v>
      </c>
      <c r="G92" s="189">
        <v>103.36</v>
      </c>
      <c r="H92" s="189">
        <v>29.53</v>
      </c>
      <c r="I92" s="189">
        <v>7.52</v>
      </c>
      <c r="J92" s="189">
        <v>0.15</v>
      </c>
      <c r="K92" s="189">
        <v>178.39</v>
      </c>
      <c r="L92" s="189">
        <v>18.95</v>
      </c>
      <c r="M92" s="189">
        <v>89.41</v>
      </c>
      <c r="N92" s="189">
        <v>0</v>
      </c>
      <c r="O92" s="189">
        <v>0</v>
      </c>
      <c r="P92" s="189">
        <v>0.99</v>
      </c>
      <c r="Q92" s="189">
        <v>5.0999999999999996</v>
      </c>
    </row>
    <row r="93" spans="1:17" customFormat="1">
      <c r="A93" s="6" t="s">
        <v>1091</v>
      </c>
      <c r="B93" s="189">
        <v>31.44</v>
      </c>
      <c r="C93" s="189">
        <v>23.9</v>
      </c>
      <c r="D93" s="189">
        <v>39.049999999999997</v>
      </c>
      <c r="E93" s="189">
        <v>7.95</v>
      </c>
      <c r="F93" s="189">
        <v>2.88</v>
      </c>
      <c r="G93" s="189">
        <v>103.36</v>
      </c>
      <c r="H93" s="189">
        <v>29.53</v>
      </c>
      <c r="I93" s="189">
        <v>7.64</v>
      </c>
      <c r="J93" s="189">
        <v>0.19</v>
      </c>
      <c r="K93" s="189">
        <v>161.25</v>
      </c>
      <c r="L93" s="189">
        <v>18.670000000000002</v>
      </c>
      <c r="M93" s="189">
        <v>89.86</v>
      </c>
      <c r="N93" s="189">
        <v>0</v>
      </c>
      <c r="O93" s="189">
        <v>0</v>
      </c>
      <c r="P93" s="189">
        <v>0.98</v>
      </c>
      <c r="Q93" s="189">
        <v>5.12</v>
      </c>
    </row>
    <row r="94" spans="1:17" customFormat="1">
      <c r="A94" s="6" t="s">
        <v>1092</v>
      </c>
      <c r="B94" s="189">
        <v>31.95</v>
      </c>
      <c r="C94" s="189">
        <v>24.07</v>
      </c>
      <c r="D94" s="189">
        <v>39.549999999999997</v>
      </c>
      <c r="E94" s="189">
        <v>7.99</v>
      </c>
      <c r="F94" s="189">
        <v>2.67</v>
      </c>
      <c r="G94" s="189">
        <v>98.63</v>
      </c>
      <c r="H94" s="189">
        <v>30.28</v>
      </c>
      <c r="I94" s="189">
        <v>7.73</v>
      </c>
      <c r="J94" s="189">
        <v>0.08</v>
      </c>
      <c r="K94" s="189">
        <v>203.77</v>
      </c>
      <c r="L94" s="189">
        <v>18.559999999999999</v>
      </c>
      <c r="M94" s="189">
        <v>88.46</v>
      </c>
      <c r="N94" s="189">
        <v>0</v>
      </c>
      <c r="O94" s="189">
        <v>0</v>
      </c>
      <c r="P94" s="189">
        <v>0.98</v>
      </c>
      <c r="Q94" s="189">
        <v>5.12</v>
      </c>
    </row>
    <row r="95" spans="1:17" customFormat="1">
      <c r="A95" s="6" t="s">
        <v>1093</v>
      </c>
      <c r="B95" s="189">
        <v>33.72</v>
      </c>
      <c r="C95" s="189">
        <v>25</v>
      </c>
      <c r="D95" s="189">
        <v>41.45</v>
      </c>
      <c r="E95" s="189">
        <v>8.36</v>
      </c>
      <c r="F95" s="189">
        <v>2.59</v>
      </c>
      <c r="G95" s="189">
        <v>96.26</v>
      </c>
      <c r="H95" s="189">
        <v>30.37</v>
      </c>
      <c r="I95" s="189">
        <v>7.82</v>
      </c>
      <c r="J95" s="189">
        <v>0.11</v>
      </c>
      <c r="K95" s="189">
        <v>184.35</v>
      </c>
      <c r="L95" s="189">
        <v>18.420000000000002</v>
      </c>
      <c r="M95" s="189">
        <v>87.17</v>
      </c>
      <c r="N95" s="189">
        <v>0</v>
      </c>
      <c r="O95" s="189">
        <v>0</v>
      </c>
      <c r="P95" s="189">
        <v>1.02</v>
      </c>
      <c r="Q95" s="189">
        <v>5.16</v>
      </c>
    </row>
    <row r="96" spans="1:17" customFormat="1">
      <c r="A96" s="6" t="s">
        <v>1094</v>
      </c>
      <c r="B96" s="189">
        <v>38.06</v>
      </c>
      <c r="C96" s="189">
        <v>26.83</v>
      </c>
      <c r="D96" s="189">
        <v>45.89</v>
      </c>
      <c r="E96" s="189">
        <v>8.68</v>
      </c>
      <c r="F96" s="189">
        <v>2.4300000000000002</v>
      </c>
      <c r="G96" s="189">
        <v>96.26</v>
      </c>
      <c r="H96" s="189">
        <v>30.37</v>
      </c>
      <c r="I96" s="189">
        <v>7.94</v>
      </c>
      <c r="J96" s="189">
        <v>0.09</v>
      </c>
      <c r="K96" s="189">
        <v>178.73</v>
      </c>
      <c r="L96" s="189">
        <v>18.23</v>
      </c>
      <c r="M96" s="189">
        <v>88.6</v>
      </c>
      <c r="N96" s="189">
        <v>0</v>
      </c>
      <c r="O96" s="189">
        <v>0</v>
      </c>
      <c r="P96" s="189">
        <v>1.07</v>
      </c>
      <c r="Q96" s="189">
        <v>5.25</v>
      </c>
    </row>
    <row r="97" spans="1:22" customFormat="1">
      <c r="A97" s="6" t="s">
        <v>1095</v>
      </c>
      <c r="B97" s="189">
        <v>42.98</v>
      </c>
      <c r="C97" s="189">
        <v>26.69</v>
      </c>
      <c r="D97" s="189">
        <v>49.77</v>
      </c>
      <c r="E97" s="189">
        <v>9.02</v>
      </c>
      <c r="F97" s="189">
        <v>2.6</v>
      </c>
      <c r="G97" s="189">
        <v>96.26</v>
      </c>
      <c r="H97" s="189">
        <v>30.37</v>
      </c>
      <c r="I97" s="189">
        <v>8.11</v>
      </c>
      <c r="J97" s="189">
        <v>0.12</v>
      </c>
      <c r="K97" s="189">
        <v>227.4</v>
      </c>
      <c r="L97" s="189">
        <v>18.23</v>
      </c>
      <c r="M97" s="189">
        <v>86.64</v>
      </c>
      <c r="N97" s="189">
        <v>0</v>
      </c>
      <c r="O97" s="189">
        <v>0</v>
      </c>
      <c r="P97" s="189">
        <v>1.1000000000000001</v>
      </c>
      <c r="Q97" s="189">
        <v>5.39</v>
      </c>
    </row>
    <row r="98" spans="1:22" customFormat="1">
      <c r="A98" s="6" t="s">
        <v>1096</v>
      </c>
      <c r="B98" s="189">
        <v>46.37</v>
      </c>
      <c r="C98" s="189">
        <v>26.69</v>
      </c>
      <c r="D98" s="189">
        <v>52.48</v>
      </c>
      <c r="E98" s="189">
        <v>8.8000000000000007</v>
      </c>
      <c r="F98" s="189">
        <v>2.66</v>
      </c>
      <c r="G98" s="189">
        <v>110.39</v>
      </c>
      <c r="H98" s="189">
        <v>34.700000000000003</v>
      </c>
      <c r="I98" s="189">
        <v>8.36</v>
      </c>
      <c r="J98" s="189">
        <v>0.2</v>
      </c>
      <c r="K98" s="189">
        <v>259.7</v>
      </c>
      <c r="L98" s="189">
        <v>18.25</v>
      </c>
      <c r="M98" s="189">
        <v>85.09</v>
      </c>
      <c r="N98" s="189">
        <v>0</v>
      </c>
      <c r="O98" s="189">
        <v>0</v>
      </c>
      <c r="P98" s="189">
        <v>1.1200000000000001</v>
      </c>
      <c r="Q98" s="189">
        <v>5.49</v>
      </c>
    </row>
    <row r="99" spans="1:22" customFormat="1">
      <c r="A99" s="6" t="s">
        <v>1097</v>
      </c>
      <c r="B99" s="189">
        <v>49.84</v>
      </c>
      <c r="C99" s="189">
        <v>27.73</v>
      </c>
      <c r="D99" s="189">
        <v>55.81</v>
      </c>
      <c r="E99" s="189">
        <v>8.86</v>
      </c>
      <c r="F99" s="189">
        <v>2.4900000000000002</v>
      </c>
      <c r="G99" s="189">
        <v>117.46</v>
      </c>
      <c r="H99" s="189">
        <v>35.21</v>
      </c>
      <c r="I99" s="189">
        <v>8.52</v>
      </c>
      <c r="J99" s="189">
        <v>0.02</v>
      </c>
      <c r="K99" s="189">
        <v>343.3</v>
      </c>
      <c r="L99" s="189">
        <v>18.36</v>
      </c>
      <c r="M99" s="189">
        <v>82.71</v>
      </c>
      <c r="N99" s="189">
        <v>0</v>
      </c>
      <c r="O99" s="189">
        <v>0</v>
      </c>
      <c r="P99" s="189">
        <v>1.1499999999999999</v>
      </c>
      <c r="Q99" s="189">
        <v>5.58</v>
      </c>
    </row>
    <row r="100" spans="1:22" customFormat="1">
      <c r="A100" s="6" t="s">
        <v>1098</v>
      </c>
      <c r="B100" s="189">
        <v>52.33</v>
      </c>
      <c r="C100" s="189">
        <v>26.63</v>
      </c>
      <c r="D100" s="189">
        <v>57.23</v>
      </c>
      <c r="E100" s="189">
        <v>9.31</v>
      </c>
      <c r="F100" s="189">
        <v>2.79</v>
      </c>
      <c r="G100" s="189">
        <v>117.46</v>
      </c>
      <c r="H100" s="189">
        <v>35.21</v>
      </c>
      <c r="I100" s="189">
        <v>8.65</v>
      </c>
      <c r="J100" s="189">
        <v>0.14000000000000001</v>
      </c>
      <c r="K100" s="189">
        <v>165.81</v>
      </c>
      <c r="L100" s="189">
        <v>18.23</v>
      </c>
      <c r="M100" s="189">
        <v>84.31</v>
      </c>
      <c r="N100" s="189">
        <v>0</v>
      </c>
      <c r="O100" s="189">
        <v>0</v>
      </c>
      <c r="P100" s="189">
        <v>1.1599999999999999</v>
      </c>
      <c r="Q100" s="189">
        <v>5.66</v>
      </c>
    </row>
    <row r="101" spans="1:22" customFormat="1">
      <c r="A101" s="6" t="s">
        <v>1099</v>
      </c>
      <c r="B101" s="189">
        <v>54.37</v>
      </c>
      <c r="C101" s="189">
        <v>28.17</v>
      </c>
      <c r="D101" s="189">
        <v>59.67</v>
      </c>
      <c r="E101" s="189">
        <v>9.16</v>
      </c>
      <c r="F101" s="189">
        <v>2.58</v>
      </c>
      <c r="G101" s="189">
        <v>117.46</v>
      </c>
      <c r="H101" s="189">
        <v>35.21</v>
      </c>
      <c r="I101" s="189">
        <v>8.83</v>
      </c>
      <c r="J101" s="189">
        <v>0.12</v>
      </c>
      <c r="K101" s="189">
        <v>150.38</v>
      </c>
      <c r="L101" s="189">
        <v>18.13</v>
      </c>
      <c r="M101" s="189">
        <v>85.45</v>
      </c>
      <c r="N101" s="189">
        <v>0</v>
      </c>
      <c r="O101" s="189">
        <v>0</v>
      </c>
      <c r="P101" s="189">
        <v>1.2</v>
      </c>
      <c r="Q101" s="189">
        <v>5.72</v>
      </c>
    </row>
    <row r="102" spans="1:22" customFormat="1">
      <c r="A102" s="6" t="s">
        <v>1100</v>
      </c>
      <c r="B102" s="189">
        <v>57.15</v>
      </c>
      <c r="C102" s="189">
        <v>27.32</v>
      </c>
      <c r="D102" s="189">
        <v>61.46</v>
      </c>
      <c r="E102" s="189">
        <v>9.52</v>
      </c>
      <c r="F102" s="189">
        <v>2.74</v>
      </c>
      <c r="G102" s="189">
        <v>130.96</v>
      </c>
      <c r="H102" s="189">
        <v>39.75</v>
      </c>
      <c r="I102" s="189">
        <v>9.0399999999999991</v>
      </c>
      <c r="J102" s="189">
        <v>0.15</v>
      </c>
      <c r="K102" s="189">
        <v>135.07</v>
      </c>
      <c r="L102" s="189">
        <v>17.850000000000001</v>
      </c>
      <c r="M102" s="189">
        <v>87.47</v>
      </c>
      <c r="N102" s="189">
        <v>0</v>
      </c>
      <c r="O102" s="189">
        <v>0</v>
      </c>
      <c r="P102" s="189">
        <v>1.23</v>
      </c>
      <c r="Q102" s="189">
        <v>5.81</v>
      </c>
    </row>
    <row r="103" spans="1:22" customFormat="1">
      <c r="A103" s="6" t="s">
        <v>1101</v>
      </c>
      <c r="B103" s="189">
        <v>59.67</v>
      </c>
      <c r="C103" s="189">
        <v>28.65</v>
      </c>
      <c r="D103" s="189">
        <v>64.17</v>
      </c>
      <c r="E103" s="189">
        <v>9.5299999999999994</v>
      </c>
      <c r="F103" s="189">
        <v>2.4300000000000002</v>
      </c>
      <c r="G103" s="189">
        <v>137.71</v>
      </c>
      <c r="H103" s="189">
        <v>40.28</v>
      </c>
      <c r="I103" s="189">
        <v>9.31</v>
      </c>
      <c r="J103" s="189">
        <v>0.12</v>
      </c>
      <c r="K103" s="189">
        <v>162.24</v>
      </c>
      <c r="L103" s="189">
        <v>17.73</v>
      </c>
      <c r="M103" s="189">
        <v>87.59</v>
      </c>
      <c r="N103" s="189">
        <v>0</v>
      </c>
      <c r="O103" s="189">
        <v>0</v>
      </c>
      <c r="P103" s="189">
        <v>1.26</v>
      </c>
      <c r="Q103" s="189">
        <v>5.87</v>
      </c>
    </row>
    <row r="104" spans="1:22" customFormat="1">
      <c r="A104" s="6" t="s">
        <v>1102</v>
      </c>
      <c r="B104" s="189">
        <v>62.29</v>
      </c>
      <c r="C104" s="189">
        <v>27.04</v>
      </c>
      <c r="D104" s="189">
        <v>65.430000000000007</v>
      </c>
      <c r="E104" s="189">
        <v>9.32</v>
      </c>
      <c r="F104" s="189">
        <v>2.74</v>
      </c>
      <c r="G104" s="189">
        <v>137.71</v>
      </c>
      <c r="H104" s="189">
        <v>40.28</v>
      </c>
      <c r="I104" s="189">
        <v>9.58</v>
      </c>
      <c r="J104" s="189">
        <v>0.1</v>
      </c>
      <c r="K104" s="189">
        <v>197.64</v>
      </c>
      <c r="L104" s="189">
        <v>17.54</v>
      </c>
      <c r="M104" s="189">
        <v>89.3</v>
      </c>
      <c r="N104" s="189">
        <v>0</v>
      </c>
      <c r="O104" s="189">
        <v>0</v>
      </c>
      <c r="P104" s="189">
        <v>1.27</v>
      </c>
      <c r="Q104" s="189">
        <v>5.95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12.85</v>
      </c>
      <c r="C106" s="183">
        <f>MIN(C9:C104)</f>
        <v>18.39</v>
      </c>
      <c r="D106" s="183">
        <f t="shared" ref="D106:Q106" si="0">MIN(D9:D104)</f>
        <v>22.66</v>
      </c>
      <c r="E106" s="183">
        <f t="shared" si="0"/>
        <v>5.85</v>
      </c>
      <c r="F106" s="183">
        <f t="shared" si="0"/>
        <v>2.4</v>
      </c>
      <c r="G106" s="183">
        <f t="shared" si="0"/>
        <v>32.93</v>
      </c>
      <c r="H106" s="183">
        <f t="shared" si="0"/>
        <v>13.04</v>
      </c>
      <c r="I106" s="183">
        <f t="shared" si="0"/>
        <v>5.51</v>
      </c>
      <c r="J106" s="183">
        <f t="shared" si="0"/>
        <v>0.01</v>
      </c>
      <c r="K106" s="183">
        <f t="shared" si="0"/>
        <v>13.13</v>
      </c>
      <c r="L106" s="183">
        <f t="shared" si="0"/>
        <v>17.04</v>
      </c>
      <c r="M106" s="183">
        <f t="shared" si="0"/>
        <v>40.81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4.53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62.29</v>
      </c>
      <c r="C107" s="184">
        <f t="shared" ref="C107:Q107" si="1">MAX(C9:C104)</f>
        <v>29.95</v>
      </c>
      <c r="D107" s="184">
        <f t="shared" si="1"/>
        <v>65.430000000000007</v>
      </c>
      <c r="E107" s="184">
        <f t="shared" si="1"/>
        <v>9.86</v>
      </c>
      <c r="F107" s="184">
        <f t="shared" si="1"/>
        <v>4.0599999999999996</v>
      </c>
      <c r="G107" s="184">
        <f t="shared" si="1"/>
        <v>137.71</v>
      </c>
      <c r="H107" s="184">
        <f t="shared" si="1"/>
        <v>40.28</v>
      </c>
      <c r="I107" s="184">
        <f t="shared" si="1"/>
        <v>9.58</v>
      </c>
      <c r="J107" s="184">
        <f t="shared" si="1"/>
        <v>0.66</v>
      </c>
      <c r="K107" s="184">
        <f t="shared" si="1"/>
        <v>343.45</v>
      </c>
      <c r="L107" s="184">
        <f t="shared" si="1"/>
        <v>26.87</v>
      </c>
      <c r="M107" s="184">
        <f t="shared" si="1"/>
        <v>100.3</v>
      </c>
      <c r="N107" s="184">
        <f t="shared" si="1"/>
        <v>644.9</v>
      </c>
      <c r="O107" s="184">
        <f t="shared" si="1"/>
        <v>0</v>
      </c>
      <c r="P107" s="184">
        <f t="shared" si="1"/>
        <v>1.27</v>
      </c>
      <c r="Q107" s="184">
        <f t="shared" si="1"/>
        <v>5.95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24.55489583333333</v>
      </c>
      <c r="C108" s="183">
        <f t="shared" ref="C108:Q108" si="2">AVERAGE(C9:C104)</f>
        <v>23.177083333333346</v>
      </c>
      <c r="D108" s="183">
        <f t="shared" si="2"/>
        <v>33.151666666666678</v>
      </c>
      <c r="E108" s="183">
        <f t="shared" si="2"/>
        <v>7.9611458333333323</v>
      </c>
      <c r="F108" s="183">
        <f t="shared" si="2"/>
        <v>2.7838541666666679</v>
      </c>
      <c r="G108" s="183">
        <f t="shared" si="2"/>
        <v>62.470312500000006</v>
      </c>
      <c r="H108" s="183">
        <f t="shared" si="2"/>
        <v>21.908645833333338</v>
      </c>
      <c r="I108" s="183">
        <f t="shared" si="2"/>
        <v>7.0015625000000012</v>
      </c>
      <c r="J108" s="183">
        <f t="shared" si="2"/>
        <v>0.20937500000000001</v>
      </c>
      <c r="K108" s="183">
        <f t="shared" si="2"/>
        <v>168.68270833333338</v>
      </c>
      <c r="L108" s="183">
        <f t="shared" si="2"/>
        <v>21.334270833333335</v>
      </c>
      <c r="M108" s="183">
        <f t="shared" si="2"/>
        <v>77.003125000000011</v>
      </c>
      <c r="N108" s="183">
        <f t="shared" si="2"/>
        <v>100.81666666666668</v>
      </c>
      <c r="O108" s="183">
        <f t="shared" si="2"/>
        <v>0</v>
      </c>
      <c r="P108" s="183">
        <f t="shared" si="2"/>
        <v>0.83718749999999986</v>
      </c>
      <c r="Q108" s="183">
        <f t="shared" si="2"/>
        <v>4.9163541666666672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10.562408018389085</v>
      </c>
      <c r="C109" s="183">
        <f t="shared" ref="C109:Q109" si="3">STDEV(C9:C104)</f>
        <v>3.4611695366455182</v>
      </c>
      <c r="D109" s="183">
        <f t="shared" si="3"/>
        <v>9.4734899551233607</v>
      </c>
      <c r="E109" s="183">
        <f t="shared" si="3"/>
        <v>0.96934255505218125</v>
      </c>
      <c r="F109" s="183">
        <f t="shared" si="3"/>
        <v>0.31602921181323085</v>
      </c>
      <c r="G109" s="183">
        <f t="shared" si="3"/>
        <v>26.330389145109386</v>
      </c>
      <c r="H109" s="183">
        <f t="shared" si="3"/>
        <v>7.3531241652127095</v>
      </c>
      <c r="I109" s="183">
        <f t="shared" si="3"/>
        <v>1.0307190419416221</v>
      </c>
      <c r="J109" s="183">
        <f t="shared" si="3"/>
        <v>0.15627783962511999</v>
      </c>
      <c r="K109" s="183">
        <f t="shared" si="3"/>
        <v>93.350198708430682</v>
      </c>
      <c r="L109" s="183">
        <f t="shared" si="3"/>
        <v>3.3723871741235136</v>
      </c>
      <c r="M109" s="183">
        <f t="shared" si="3"/>
        <v>20.361476697171859</v>
      </c>
      <c r="N109" s="183">
        <f t="shared" si="3"/>
        <v>176.04756753527647</v>
      </c>
      <c r="O109" s="183">
        <f t="shared" si="3"/>
        <v>0</v>
      </c>
      <c r="P109" s="183">
        <f t="shared" si="3"/>
        <v>0.14766037222733794</v>
      </c>
      <c r="Q109" s="183">
        <f t="shared" si="3"/>
        <v>0.29836438263399356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10/12/2023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1103</v>
      </c>
      <c r="B9" s="189">
        <v>63.72</v>
      </c>
      <c r="C9" s="189">
        <v>28.48</v>
      </c>
      <c r="D9" s="189">
        <v>67.33</v>
      </c>
      <c r="E9" s="189">
        <v>9.59</v>
      </c>
      <c r="F9" s="189">
        <v>2.68</v>
      </c>
      <c r="G9" s="189">
        <v>137.71</v>
      </c>
      <c r="H9" s="189">
        <v>40.28</v>
      </c>
      <c r="I9" s="189">
        <v>9.89</v>
      </c>
      <c r="J9" s="189">
        <v>0.02</v>
      </c>
      <c r="K9" s="189">
        <v>240.12</v>
      </c>
      <c r="L9" s="189">
        <v>17.37</v>
      </c>
      <c r="M9" s="189">
        <v>89.55</v>
      </c>
      <c r="N9" s="189">
        <v>0</v>
      </c>
      <c r="O9" s="189">
        <v>0</v>
      </c>
      <c r="P9" s="189">
        <v>1.29</v>
      </c>
      <c r="Q9" s="189">
        <v>5.98</v>
      </c>
    </row>
    <row r="10" spans="1:21" customFormat="1">
      <c r="A10" s="6" t="s">
        <v>1104</v>
      </c>
      <c r="B10" s="189">
        <v>64.599999999999994</v>
      </c>
      <c r="C10" s="189">
        <v>27.77</v>
      </c>
      <c r="D10" s="189">
        <v>67.67</v>
      </c>
      <c r="E10" s="189">
        <v>9.2100000000000009</v>
      </c>
      <c r="F10" s="189">
        <v>2.57</v>
      </c>
      <c r="G10" s="189">
        <v>144.55000000000001</v>
      </c>
      <c r="H10" s="189">
        <v>47.73</v>
      </c>
      <c r="I10" s="189">
        <v>10.14</v>
      </c>
      <c r="J10" s="189">
        <v>0.09</v>
      </c>
      <c r="K10" s="189">
        <v>152.03</v>
      </c>
      <c r="L10" s="189">
        <v>17.420000000000002</v>
      </c>
      <c r="M10" s="189">
        <v>87.52</v>
      </c>
      <c r="N10" s="189">
        <v>0</v>
      </c>
      <c r="O10" s="189">
        <v>0</v>
      </c>
      <c r="P10" s="189">
        <v>1.31</v>
      </c>
      <c r="Q10" s="189">
        <v>6.03</v>
      </c>
    </row>
    <row r="11" spans="1:21" customFormat="1">
      <c r="A11" s="6" t="s">
        <v>1105</v>
      </c>
      <c r="B11" s="189">
        <v>65.11</v>
      </c>
      <c r="C11" s="189">
        <v>29.01</v>
      </c>
      <c r="D11" s="189">
        <v>68.73</v>
      </c>
      <c r="E11" s="189">
        <v>9.51</v>
      </c>
      <c r="F11" s="189">
        <v>2.4300000000000002</v>
      </c>
      <c r="G11" s="189">
        <v>147.97</v>
      </c>
      <c r="H11" s="189">
        <v>49.18</v>
      </c>
      <c r="I11" s="189">
        <v>10.37</v>
      </c>
      <c r="J11" s="189">
        <v>0.09</v>
      </c>
      <c r="K11" s="189">
        <v>212.2</v>
      </c>
      <c r="L11" s="189">
        <v>17.12</v>
      </c>
      <c r="M11" s="189">
        <v>90.96</v>
      </c>
      <c r="N11" s="189">
        <v>0</v>
      </c>
      <c r="O11" s="189">
        <v>0</v>
      </c>
      <c r="P11" s="189">
        <v>1.31</v>
      </c>
      <c r="Q11" s="189">
        <v>6.04</v>
      </c>
    </row>
    <row r="12" spans="1:21" customFormat="1">
      <c r="A12" s="6" t="s">
        <v>1106</v>
      </c>
      <c r="B12" s="189">
        <v>65.400000000000006</v>
      </c>
      <c r="C12" s="189">
        <v>27.56</v>
      </c>
      <c r="D12" s="189">
        <v>68.2</v>
      </c>
      <c r="E12" s="189">
        <v>9.9</v>
      </c>
      <c r="F12" s="189">
        <v>2.73</v>
      </c>
      <c r="G12" s="189">
        <v>147.97</v>
      </c>
      <c r="H12" s="189">
        <v>49.18</v>
      </c>
      <c r="I12" s="189">
        <v>10.54</v>
      </c>
      <c r="J12" s="189">
        <v>0.17</v>
      </c>
      <c r="K12" s="189">
        <v>163.34</v>
      </c>
      <c r="L12" s="189">
        <v>17.059999999999999</v>
      </c>
      <c r="M12" s="189">
        <v>92.25</v>
      </c>
      <c r="N12" s="189">
        <v>0</v>
      </c>
      <c r="O12" s="189">
        <v>0</v>
      </c>
      <c r="P12" s="189">
        <v>1.31</v>
      </c>
      <c r="Q12" s="189">
        <v>6.07</v>
      </c>
    </row>
    <row r="13" spans="1:21" customFormat="1">
      <c r="A13" s="6" t="s">
        <v>1107</v>
      </c>
      <c r="B13" s="189">
        <v>64.38</v>
      </c>
      <c r="C13" s="189">
        <v>27.98</v>
      </c>
      <c r="D13" s="189">
        <v>67.599999999999994</v>
      </c>
      <c r="E13" s="189">
        <v>9.7799999999999994</v>
      </c>
      <c r="F13" s="189">
        <v>2.58</v>
      </c>
      <c r="G13" s="189">
        <v>147.97</v>
      </c>
      <c r="H13" s="189">
        <v>49.18</v>
      </c>
      <c r="I13" s="189">
        <v>10.65</v>
      </c>
      <c r="J13" s="189">
        <v>0.05</v>
      </c>
      <c r="K13" s="189">
        <v>120.28</v>
      </c>
      <c r="L13" s="189">
        <v>16.78</v>
      </c>
      <c r="M13" s="189">
        <v>94.82</v>
      </c>
      <c r="N13" s="189">
        <v>0</v>
      </c>
      <c r="O13" s="189">
        <v>0</v>
      </c>
      <c r="P13" s="189">
        <v>1.31</v>
      </c>
      <c r="Q13" s="189">
        <v>6.04</v>
      </c>
    </row>
    <row r="14" spans="1:21" customFormat="1">
      <c r="A14" s="6" t="s">
        <v>1108</v>
      </c>
      <c r="B14" s="189">
        <v>63.75</v>
      </c>
      <c r="C14" s="189">
        <v>28.63</v>
      </c>
      <c r="D14" s="189">
        <v>67.430000000000007</v>
      </c>
      <c r="E14" s="189">
        <v>10.09</v>
      </c>
      <c r="F14" s="189">
        <v>2.39</v>
      </c>
      <c r="G14" s="189">
        <v>137.81</v>
      </c>
      <c r="H14" s="189">
        <v>46.62</v>
      </c>
      <c r="I14" s="189">
        <v>10.72</v>
      </c>
      <c r="J14" s="189">
        <v>0.27</v>
      </c>
      <c r="K14" s="189">
        <v>47.9</v>
      </c>
      <c r="L14" s="189">
        <v>16.77</v>
      </c>
      <c r="M14" s="189">
        <v>91.54</v>
      </c>
      <c r="N14" s="189">
        <v>0</v>
      </c>
      <c r="O14" s="189">
        <v>0</v>
      </c>
      <c r="P14" s="189">
        <v>1.33</v>
      </c>
      <c r="Q14" s="189">
        <v>6.01</v>
      </c>
    </row>
    <row r="15" spans="1:21" customFormat="1">
      <c r="A15" s="6" t="s">
        <v>1109</v>
      </c>
      <c r="B15" s="189">
        <v>64.27</v>
      </c>
      <c r="C15" s="189">
        <v>28.77</v>
      </c>
      <c r="D15" s="189">
        <v>67.92</v>
      </c>
      <c r="E15" s="189">
        <v>9.75</v>
      </c>
      <c r="F15" s="189">
        <v>2.52</v>
      </c>
      <c r="G15" s="189">
        <v>132.72999999999999</v>
      </c>
      <c r="H15" s="189">
        <v>46.31</v>
      </c>
      <c r="I15" s="189">
        <v>10.78</v>
      </c>
      <c r="J15" s="189">
        <v>0.34</v>
      </c>
      <c r="K15" s="189">
        <v>55.34</v>
      </c>
      <c r="L15" s="189">
        <v>17.149999999999999</v>
      </c>
      <c r="M15" s="189">
        <v>85.9</v>
      </c>
      <c r="N15" s="189">
        <v>0</v>
      </c>
      <c r="O15" s="189">
        <v>0</v>
      </c>
      <c r="P15" s="189">
        <v>1.33</v>
      </c>
      <c r="Q15" s="189">
        <v>6.03</v>
      </c>
    </row>
    <row r="16" spans="1:21" customFormat="1">
      <c r="A16" s="6" t="s">
        <v>1110</v>
      </c>
      <c r="B16" s="189">
        <v>63.33</v>
      </c>
      <c r="C16" s="189">
        <v>29.21</v>
      </c>
      <c r="D16" s="189">
        <v>67.400000000000006</v>
      </c>
      <c r="E16" s="189">
        <v>9.66</v>
      </c>
      <c r="F16" s="189">
        <v>2.5499999999999998</v>
      </c>
      <c r="G16" s="189">
        <v>132.72999999999999</v>
      </c>
      <c r="H16" s="189">
        <v>46.31</v>
      </c>
      <c r="I16" s="189">
        <v>10.84</v>
      </c>
      <c r="J16" s="189">
        <v>0.16</v>
      </c>
      <c r="K16" s="189">
        <v>72.290000000000006</v>
      </c>
      <c r="L16" s="189">
        <v>17.29</v>
      </c>
      <c r="M16" s="189">
        <v>83.94</v>
      </c>
      <c r="N16" s="189">
        <v>0</v>
      </c>
      <c r="O16" s="189">
        <v>0</v>
      </c>
      <c r="P16" s="189">
        <v>1.32</v>
      </c>
      <c r="Q16" s="189">
        <v>6.02</v>
      </c>
    </row>
    <row r="17" spans="1:17" customFormat="1">
      <c r="A17" s="6" t="s">
        <v>1111</v>
      </c>
      <c r="B17" s="189">
        <v>61.5</v>
      </c>
      <c r="C17" s="189">
        <v>29.1</v>
      </c>
      <c r="D17" s="189">
        <v>65.87</v>
      </c>
      <c r="E17" s="189">
        <v>8.98</v>
      </c>
      <c r="F17" s="189">
        <v>2.66</v>
      </c>
      <c r="G17" s="189">
        <v>132.72999999999999</v>
      </c>
      <c r="H17" s="189">
        <v>46.31</v>
      </c>
      <c r="I17" s="189">
        <v>10.84</v>
      </c>
      <c r="J17" s="189">
        <v>0.1</v>
      </c>
      <c r="K17" s="189">
        <v>164.62</v>
      </c>
      <c r="L17" s="189">
        <v>16.93</v>
      </c>
      <c r="M17" s="189">
        <v>87.5</v>
      </c>
      <c r="N17" s="189">
        <v>0</v>
      </c>
      <c r="O17" s="189">
        <v>0</v>
      </c>
      <c r="P17" s="189">
        <v>1.3</v>
      </c>
      <c r="Q17" s="189">
        <v>5.97</v>
      </c>
    </row>
    <row r="18" spans="1:17" customFormat="1">
      <c r="A18" s="6" t="s">
        <v>1112</v>
      </c>
      <c r="B18" s="189">
        <v>58.93</v>
      </c>
      <c r="C18" s="189">
        <v>29.17</v>
      </c>
      <c r="D18" s="189">
        <v>63.85</v>
      </c>
      <c r="E18" s="189">
        <v>10.47</v>
      </c>
      <c r="F18" s="189">
        <v>2.68</v>
      </c>
      <c r="G18" s="189">
        <v>131.19</v>
      </c>
      <c r="H18" s="189">
        <v>48.54</v>
      </c>
      <c r="I18" s="189">
        <v>10.74</v>
      </c>
      <c r="J18" s="189">
        <v>0.1</v>
      </c>
      <c r="K18" s="189">
        <v>207.45</v>
      </c>
      <c r="L18" s="189">
        <v>16.559999999999999</v>
      </c>
      <c r="M18" s="189">
        <v>90.7</v>
      </c>
      <c r="N18" s="189">
        <v>0</v>
      </c>
      <c r="O18" s="189">
        <v>0</v>
      </c>
      <c r="P18" s="189">
        <v>1.29</v>
      </c>
      <c r="Q18" s="189">
        <v>5.92</v>
      </c>
    </row>
    <row r="19" spans="1:17" customFormat="1">
      <c r="A19" s="6" t="s">
        <v>1113</v>
      </c>
      <c r="B19" s="189">
        <v>57.4</v>
      </c>
      <c r="C19" s="189">
        <v>28.78</v>
      </c>
      <c r="D19" s="189">
        <v>62.41</v>
      </c>
      <c r="E19" s="189">
        <v>10.25</v>
      </c>
      <c r="F19" s="189">
        <v>2.77</v>
      </c>
      <c r="G19" s="189">
        <v>130.41</v>
      </c>
      <c r="H19" s="189">
        <v>48.81</v>
      </c>
      <c r="I19" s="189">
        <v>10.59</v>
      </c>
      <c r="J19" s="189">
        <v>0.1</v>
      </c>
      <c r="K19" s="189">
        <v>186.19</v>
      </c>
      <c r="L19" s="189">
        <v>16.39</v>
      </c>
      <c r="M19" s="189">
        <v>91.75</v>
      </c>
      <c r="N19" s="189">
        <v>0</v>
      </c>
      <c r="O19" s="189">
        <v>0</v>
      </c>
      <c r="P19" s="189">
        <v>1.27</v>
      </c>
      <c r="Q19" s="189">
        <v>5.89</v>
      </c>
    </row>
    <row r="20" spans="1:17" customFormat="1">
      <c r="A20" s="6" t="s">
        <v>1114</v>
      </c>
      <c r="B20" s="189">
        <v>57.83</v>
      </c>
      <c r="C20" s="189">
        <v>28.96</v>
      </c>
      <c r="D20" s="189">
        <v>62.86</v>
      </c>
      <c r="E20" s="189">
        <v>10.17</v>
      </c>
      <c r="F20" s="189">
        <v>2.72</v>
      </c>
      <c r="G20" s="189">
        <v>130.41</v>
      </c>
      <c r="H20" s="189">
        <v>48.81</v>
      </c>
      <c r="I20" s="189">
        <v>10.41</v>
      </c>
      <c r="J20" s="189">
        <v>0.13</v>
      </c>
      <c r="K20" s="189">
        <v>152.22</v>
      </c>
      <c r="L20" s="189">
        <v>16.34</v>
      </c>
      <c r="M20" s="189">
        <v>91.99</v>
      </c>
      <c r="N20" s="189">
        <v>0</v>
      </c>
      <c r="O20" s="189">
        <v>0</v>
      </c>
      <c r="P20" s="189">
        <v>1.25</v>
      </c>
      <c r="Q20" s="189">
        <v>5.89</v>
      </c>
    </row>
    <row r="21" spans="1:17" customFormat="1">
      <c r="A21" s="6" t="s">
        <v>1115</v>
      </c>
      <c r="B21" s="189">
        <v>57.5</v>
      </c>
      <c r="C21" s="189">
        <v>28.94</v>
      </c>
      <c r="D21" s="189">
        <v>62.58</v>
      </c>
      <c r="E21" s="189">
        <v>9.94</v>
      </c>
      <c r="F21" s="189">
        <v>2.69</v>
      </c>
      <c r="G21" s="189">
        <v>130.41</v>
      </c>
      <c r="H21" s="189">
        <v>48.81</v>
      </c>
      <c r="I21" s="189">
        <v>10.23</v>
      </c>
      <c r="J21" s="189">
        <v>7.0000000000000007E-2</v>
      </c>
      <c r="K21" s="189">
        <v>147.88</v>
      </c>
      <c r="L21" s="189">
        <v>16.260000000000002</v>
      </c>
      <c r="M21" s="189">
        <v>91.36</v>
      </c>
      <c r="N21" s="189">
        <v>0</v>
      </c>
      <c r="O21" s="189">
        <v>0</v>
      </c>
      <c r="P21" s="189">
        <v>1.23</v>
      </c>
      <c r="Q21" s="189">
        <v>5.86</v>
      </c>
    </row>
    <row r="22" spans="1:17" customFormat="1">
      <c r="A22" s="6" t="s">
        <v>1116</v>
      </c>
      <c r="B22" s="189">
        <v>55.85</v>
      </c>
      <c r="C22" s="189">
        <v>28.87</v>
      </c>
      <c r="D22" s="189">
        <v>61.22</v>
      </c>
      <c r="E22" s="189">
        <v>10</v>
      </c>
      <c r="F22" s="189">
        <v>2.69</v>
      </c>
      <c r="G22" s="189">
        <v>119.15</v>
      </c>
      <c r="H22" s="189">
        <v>42.29</v>
      </c>
      <c r="I22" s="189">
        <v>10.039999999999999</v>
      </c>
      <c r="J22" s="189">
        <v>0.1</v>
      </c>
      <c r="K22" s="189">
        <v>130.66999999999999</v>
      </c>
      <c r="L22" s="189">
        <v>16.170000000000002</v>
      </c>
      <c r="M22" s="189">
        <v>90.89</v>
      </c>
      <c r="N22" s="189">
        <v>0</v>
      </c>
      <c r="O22" s="189">
        <v>0</v>
      </c>
      <c r="P22" s="189">
        <v>1.2</v>
      </c>
      <c r="Q22" s="189">
        <v>5.83</v>
      </c>
    </row>
    <row r="23" spans="1:17" customFormat="1">
      <c r="A23" s="6" t="s">
        <v>1117</v>
      </c>
      <c r="B23" s="189">
        <v>53.91</v>
      </c>
      <c r="C23" s="189">
        <v>28.31</v>
      </c>
      <c r="D23" s="189">
        <v>59.38</v>
      </c>
      <c r="E23" s="189">
        <v>9.83</v>
      </c>
      <c r="F23" s="189">
        <v>2.56</v>
      </c>
      <c r="G23" s="189">
        <v>113.52</v>
      </c>
      <c r="H23" s="189">
        <v>41.52</v>
      </c>
      <c r="I23" s="189">
        <v>9.85</v>
      </c>
      <c r="J23" s="189">
        <v>7.0000000000000007E-2</v>
      </c>
      <c r="K23" s="189">
        <v>171.99</v>
      </c>
      <c r="L23" s="189">
        <v>16.02</v>
      </c>
      <c r="M23" s="189">
        <v>90.44</v>
      </c>
      <c r="N23" s="189">
        <v>0</v>
      </c>
      <c r="O23" s="189">
        <v>0</v>
      </c>
      <c r="P23" s="189">
        <v>1.17</v>
      </c>
      <c r="Q23" s="189">
        <v>5.78</v>
      </c>
    </row>
    <row r="24" spans="1:17" customFormat="1">
      <c r="A24" s="6" t="s">
        <v>1118</v>
      </c>
      <c r="B24" s="189">
        <v>51.9</v>
      </c>
      <c r="C24" s="189">
        <v>28.17</v>
      </c>
      <c r="D24" s="189">
        <v>57.69</v>
      </c>
      <c r="E24" s="189">
        <v>9.67</v>
      </c>
      <c r="F24" s="189">
        <v>2.58</v>
      </c>
      <c r="G24" s="189">
        <v>113.52</v>
      </c>
      <c r="H24" s="189">
        <v>41.52</v>
      </c>
      <c r="I24" s="189">
        <v>9.6300000000000008</v>
      </c>
      <c r="J24" s="189">
        <v>0.09</v>
      </c>
      <c r="K24" s="189">
        <v>189.94</v>
      </c>
      <c r="L24" s="189">
        <v>15.9</v>
      </c>
      <c r="M24" s="189">
        <v>91.53</v>
      </c>
      <c r="N24" s="189">
        <v>0</v>
      </c>
      <c r="O24" s="189">
        <v>0</v>
      </c>
      <c r="P24" s="189">
        <v>1.1399999999999999</v>
      </c>
      <c r="Q24" s="189">
        <v>5.72</v>
      </c>
    </row>
    <row r="25" spans="1:17" customFormat="1">
      <c r="A25" s="6" t="s">
        <v>1119</v>
      </c>
      <c r="B25" s="189">
        <v>49.87</v>
      </c>
      <c r="C25" s="189">
        <v>28.16</v>
      </c>
      <c r="D25" s="189">
        <v>56.06</v>
      </c>
      <c r="E25" s="189">
        <v>10.119999999999999</v>
      </c>
      <c r="F25" s="189">
        <v>2.6</v>
      </c>
      <c r="G25" s="189">
        <v>113.52</v>
      </c>
      <c r="H25" s="189">
        <v>41.52</v>
      </c>
      <c r="I25" s="189">
        <v>9.41</v>
      </c>
      <c r="J25" s="189">
        <v>0.12</v>
      </c>
      <c r="K25" s="189">
        <v>73.7</v>
      </c>
      <c r="L25" s="189">
        <v>15.88</v>
      </c>
      <c r="M25" s="189">
        <v>91.08</v>
      </c>
      <c r="N25" s="189">
        <v>0</v>
      </c>
      <c r="O25" s="189">
        <v>0</v>
      </c>
      <c r="P25" s="189">
        <v>1.1100000000000001</v>
      </c>
      <c r="Q25" s="189">
        <v>5.69</v>
      </c>
    </row>
    <row r="26" spans="1:17" customFormat="1">
      <c r="A26" s="6" t="s">
        <v>1120</v>
      </c>
      <c r="B26" s="189">
        <v>48.38</v>
      </c>
      <c r="C26" s="189">
        <v>27.84</v>
      </c>
      <c r="D26" s="189">
        <v>54.69</v>
      </c>
      <c r="E26" s="189">
        <v>9.4499999999999993</v>
      </c>
      <c r="F26" s="189">
        <v>2.64</v>
      </c>
      <c r="G26" s="189">
        <v>98.81</v>
      </c>
      <c r="H26" s="189">
        <v>38.32</v>
      </c>
      <c r="I26" s="189">
        <v>9.19</v>
      </c>
      <c r="J26" s="189">
        <v>0.09</v>
      </c>
      <c r="K26" s="189">
        <v>114.61</v>
      </c>
      <c r="L26" s="189">
        <v>16.11</v>
      </c>
      <c r="M26" s="189">
        <v>88.6</v>
      </c>
      <c r="N26" s="189">
        <v>0</v>
      </c>
      <c r="O26" s="189">
        <v>0</v>
      </c>
      <c r="P26" s="189">
        <v>1.0900000000000001</v>
      </c>
      <c r="Q26" s="189">
        <v>5.62</v>
      </c>
    </row>
    <row r="27" spans="1:17" customFormat="1">
      <c r="A27" s="6" t="s">
        <v>1121</v>
      </c>
      <c r="B27" s="189">
        <v>47.01</v>
      </c>
      <c r="C27" s="189">
        <v>27.97</v>
      </c>
      <c r="D27" s="189">
        <v>53.66</v>
      </c>
      <c r="E27" s="189">
        <v>9.6199999999999992</v>
      </c>
      <c r="F27" s="189">
        <v>2.65</v>
      </c>
      <c r="G27" s="189">
        <v>91.45</v>
      </c>
      <c r="H27" s="189">
        <v>37.94</v>
      </c>
      <c r="I27" s="189">
        <v>8.9600000000000009</v>
      </c>
      <c r="J27" s="189">
        <v>0.06</v>
      </c>
      <c r="K27" s="189">
        <v>248.56</v>
      </c>
      <c r="L27" s="189">
        <v>15.92</v>
      </c>
      <c r="M27" s="189">
        <v>90.35</v>
      </c>
      <c r="N27" s="189">
        <v>0</v>
      </c>
      <c r="O27" s="189">
        <v>0</v>
      </c>
      <c r="P27" s="189">
        <v>1.05</v>
      </c>
      <c r="Q27" s="189">
        <v>5.6</v>
      </c>
    </row>
    <row r="28" spans="1:17" customFormat="1">
      <c r="A28" s="6" t="s">
        <v>1122</v>
      </c>
      <c r="B28" s="189">
        <v>45.97</v>
      </c>
      <c r="C28" s="189">
        <v>27.75</v>
      </c>
      <c r="D28" s="189">
        <v>52.71</v>
      </c>
      <c r="E28" s="189">
        <v>9.2200000000000006</v>
      </c>
      <c r="F28" s="189">
        <v>2.62</v>
      </c>
      <c r="G28" s="189">
        <v>91.45</v>
      </c>
      <c r="H28" s="189">
        <v>37.94</v>
      </c>
      <c r="I28" s="189">
        <v>8.77</v>
      </c>
      <c r="J28" s="189">
        <v>0.14000000000000001</v>
      </c>
      <c r="K28" s="189">
        <v>158.54</v>
      </c>
      <c r="L28" s="189">
        <v>15.84</v>
      </c>
      <c r="M28" s="189">
        <v>91.99</v>
      </c>
      <c r="N28" s="189">
        <v>0</v>
      </c>
      <c r="O28" s="189">
        <v>0</v>
      </c>
      <c r="P28" s="189">
        <v>1.03</v>
      </c>
      <c r="Q28" s="189">
        <v>5.57</v>
      </c>
    </row>
    <row r="29" spans="1:17" customFormat="1">
      <c r="A29" s="6" t="s">
        <v>1123</v>
      </c>
      <c r="B29" s="189">
        <v>44.53</v>
      </c>
      <c r="C29" s="189">
        <v>27.67</v>
      </c>
      <c r="D29" s="189">
        <v>51.52</v>
      </c>
      <c r="E29" s="189">
        <v>9.49</v>
      </c>
      <c r="F29" s="189">
        <v>2.61</v>
      </c>
      <c r="G29" s="189">
        <v>91.45</v>
      </c>
      <c r="H29" s="189">
        <v>37.94</v>
      </c>
      <c r="I29" s="189">
        <v>8.6</v>
      </c>
      <c r="J29" s="189">
        <v>0.16</v>
      </c>
      <c r="K29" s="189">
        <v>220.66</v>
      </c>
      <c r="L29" s="189">
        <v>15.51</v>
      </c>
      <c r="M29" s="189">
        <v>94.94</v>
      </c>
      <c r="N29" s="189">
        <v>0</v>
      </c>
      <c r="O29" s="189">
        <v>0</v>
      </c>
      <c r="P29" s="189">
        <v>1</v>
      </c>
      <c r="Q29" s="189">
        <v>5.5</v>
      </c>
    </row>
    <row r="30" spans="1:17" customFormat="1">
      <c r="A30" s="6" t="s">
        <v>1124</v>
      </c>
      <c r="B30" s="189">
        <v>42.6</v>
      </c>
      <c r="C30" s="189">
        <v>27.39</v>
      </c>
      <c r="D30" s="189">
        <v>49.83</v>
      </c>
      <c r="E30" s="189">
        <v>9.48</v>
      </c>
      <c r="F30" s="189">
        <v>2.5299999999999998</v>
      </c>
      <c r="G30" s="189">
        <v>76.95</v>
      </c>
      <c r="H30" s="189">
        <v>35.619999999999997</v>
      </c>
      <c r="I30" s="189">
        <v>8.42</v>
      </c>
      <c r="J30" s="189">
        <v>0.09</v>
      </c>
      <c r="K30" s="189">
        <v>180.5</v>
      </c>
      <c r="L30" s="189">
        <v>15.24</v>
      </c>
      <c r="M30" s="189">
        <v>96.47</v>
      </c>
      <c r="N30" s="189">
        <v>0</v>
      </c>
      <c r="O30" s="189">
        <v>0</v>
      </c>
      <c r="P30" s="189">
        <v>0.99</v>
      </c>
      <c r="Q30" s="189">
        <v>5.44</v>
      </c>
    </row>
    <row r="31" spans="1:17" customFormat="1">
      <c r="A31" s="6" t="s">
        <v>1125</v>
      </c>
      <c r="B31" s="189">
        <v>40.81</v>
      </c>
      <c r="C31" s="189">
        <v>26.98</v>
      </c>
      <c r="D31" s="189">
        <v>48.17</v>
      </c>
      <c r="E31" s="189">
        <v>9.3699999999999992</v>
      </c>
      <c r="F31" s="189">
        <v>2.48</v>
      </c>
      <c r="G31" s="189">
        <v>69.7</v>
      </c>
      <c r="H31" s="189">
        <v>35.35</v>
      </c>
      <c r="I31" s="189">
        <v>8.2799999999999994</v>
      </c>
      <c r="J31" s="189">
        <v>7.0000000000000007E-2</v>
      </c>
      <c r="K31" s="189">
        <v>218.2</v>
      </c>
      <c r="L31" s="189">
        <v>15.07</v>
      </c>
      <c r="M31" s="189">
        <v>96.97</v>
      </c>
      <c r="N31" s="189">
        <v>0</v>
      </c>
      <c r="O31" s="189">
        <v>0</v>
      </c>
      <c r="P31" s="189">
        <v>0.98</v>
      </c>
      <c r="Q31" s="189">
        <v>5.37</v>
      </c>
    </row>
    <row r="32" spans="1:17" customFormat="1">
      <c r="A32" s="6" t="s">
        <v>1126</v>
      </c>
      <c r="B32" s="189">
        <v>40.43</v>
      </c>
      <c r="C32" s="189">
        <v>26.53</v>
      </c>
      <c r="D32" s="189">
        <v>47.64</v>
      </c>
      <c r="E32" s="189">
        <v>9.26</v>
      </c>
      <c r="F32" s="189">
        <v>2.4700000000000002</v>
      </c>
      <c r="G32" s="189">
        <v>69.7</v>
      </c>
      <c r="H32" s="189">
        <v>35.35</v>
      </c>
      <c r="I32" s="189">
        <v>8.17</v>
      </c>
      <c r="J32" s="189">
        <v>0.2</v>
      </c>
      <c r="K32" s="189">
        <v>237.77</v>
      </c>
      <c r="L32" s="189">
        <v>14.95</v>
      </c>
      <c r="M32" s="189">
        <v>97.17</v>
      </c>
      <c r="N32" s="189">
        <v>0</v>
      </c>
      <c r="O32" s="189">
        <v>0</v>
      </c>
      <c r="P32" s="189">
        <v>0.97</v>
      </c>
      <c r="Q32" s="189">
        <v>5.32</v>
      </c>
    </row>
    <row r="33" spans="1:17" customFormat="1">
      <c r="A33" s="6" t="s">
        <v>1127</v>
      </c>
      <c r="B33" s="189">
        <v>40.07</v>
      </c>
      <c r="C33" s="189">
        <v>26.11</v>
      </c>
      <c r="D33" s="189">
        <v>47.12</v>
      </c>
      <c r="E33" s="189">
        <v>9.19</v>
      </c>
      <c r="F33" s="189">
        <v>2.57</v>
      </c>
      <c r="G33" s="189">
        <v>69.7</v>
      </c>
      <c r="H33" s="189">
        <v>35.35</v>
      </c>
      <c r="I33" s="189">
        <v>8.08</v>
      </c>
      <c r="J33" s="189">
        <v>0.1</v>
      </c>
      <c r="K33" s="189">
        <v>228.84</v>
      </c>
      <c r="L33" s="189">
        <v>14.79</v>
      </c>
      <c r="M33" s="189">
        <v>96.68</v>
      </c>
      <c r="N33" s="189">
        <v>0</v>
      </c>
      <c r="O33" s="189">
        <v>0</v>
      </c>
      <c r="P33" s="189">
        <v>0.95</v>
      </c>
      <c r="Q33" s="189">
        <v>5.3</v>
      </c>
    </row>
    <row r="34" spans="1:17" customFormat="1">
      <c r="A34" s="6" t="s">
        <v>1128</v>
      </c>
      <c r="B34" s="189">
        <v>38.82</v>
      </c>
      <c r="C34" s="189">
        <v>26.54</v>
      </c>
      <c r="D34" s="189">
        <v>46.35</v>
      </c>
      <c r="E34" s="189">
        <v>9.74</v>
      </c>
      <c r="F34" s="189">
        <v>2.5099999999999998</v>
      </c>
      <c r="G34" s="189">
        <v>61.94</v>
      </c>
      <c r="H34" s="189">
        <v>33.9</v>
      </c>
      <c r="I34" s="189">
        <v>8.02</v>
      </c>
      <c r="J34" s="189">
        <v>7.0000000000000007E-2</v>
      </c>
      <c r="K34" s="189">
        <v>178.34</v>
      </c>
      <c r="L34" s="189">
        <v>14.71</v>
      </c>
      <c r="M34" s="189">
        <v>97.28</v>
      </c>
      <c r="N34" s="189">
        <v>0</v>
      </c>
      <c r="O34" s="189">
        <v>0</v>
      </c>
      <c r="P34" s="189">
        <v>0.94</v>
      </c>
      <c r="Q34" s="189">
        <v>5.24</v>
      </c>
    </row>
    <row r="35" spans="1:17" customFormat="1">
      <c r="A35" s="6" t="s">
        <v>1129</v>
      </c>
      <c r="B35" s="189">
        <v>37.86</v>
      </c>
      <c r="C35" s="189">
        <v>24.11</v>
      </c>
      <c r="D35" s="189">
        <v>44.31</v>
      </c>
      <c r="E35" s="189">
        <v>9.17</v>
      </c>
      <c r="F35" s="189">
        <v>2.87</v>
      </c>
      <c r="G35" s="189">
        <v>58.25</v>
      </c>
      <c r="H35" s="189">
        <v>33.619999999999997</v>
      </c>
      <c r="I35" s="189">
        <v>7.95</v>
      </c>
      <c r="J35" s="189">
        <v>0.14000000000000001</v>
      </c>
      <c r="K35" s="189">
        <v>246.17</v>
      </c>
      <c r="L35" s="189">
        <v>14.72</v>
      </c>
      <c r="M35" s="189">
        <v>98.03</v>
      </c>
      <c r="N35" s="189">
        <v>2.7</v>
      </c>
      <c r="O35" s="189">
        <v>0</v>
      </c>
      <c r="P35" s="189">
        <v>0.91</v>
      </c>
      <c r="Q35" s="189">
        <v>5.22</v>
      </c>
    </row>
    <row r="36" spans="1:17" customFormat="1">
      <c r="A36" s="6" t="s">
        <v>1130</v>
      </c>
      <c r="B36" s="189">
        <v>36.869999999999997</v>
      </c>
      <c r="C36" s="189">
        <v>23.9</v>
      </c>
      <c r="D36" s="189">
        <v>43.41</v>
      </c>
      <c r="E36" s="189">
        <v>8.73</v>
      </c>
      <c r="F36" s="189">
        <v>2.62</v>
      </c>
      <c r="G36" s="189">
        <v>58.25</v>
      </c>
      <c r="H36" s="189">
        <v>33.619999999999997</v>
      </c>
      <c r="I36" s="189">
        <v>7.9</v>
      </c>
      <c r="J36" s="189">
        <v>0.09</v>
      </c>
      <c r="K36" s="189">
        <v>148</v>
      </c>
      <c r="L36" s="189">
        <v>14.93</v>
      </c>
      <c r="M36" s="189">
        <v>98.21</v>
      </c>
      <c r="N36" s="189">
        <v>12.2</v>
      </c>
      <c r="O36" s="189">
        <v>0</v>
      </c>
      <c r="P36" s="189">
        <v>0.89</v>
      </c>
      <c r="Q36" s="189">
        <v>5.2</v>
      </c>
    </row>
    <row r="37" spans="1:17" customFormat="1">
      <c r="A37" s="6" t="s">
        <v>1131</v>
      </c>
      <c r="B37" s="189">
        <v>37.28</v>
      </c>
      <c r="C37" s="189">
        <v>24.27</v>
      </c>
      <c r="D37" s="189">
        <v>43.93</v>
      </c>
      <c r="E37" s="189">
        <v>8.7100000000000009</v>
      </c>
      <c r="F37" s="189">
        <v>2.65</v>
      </c>
      <c r="G37" s="189">
        <v>58.25</v>
      </c>
      <c r="H37" s="189">
        <v>33.619999999999997</v>
      </c>
      <c r="I37" s="189">
        <v>7.87</v>
      </c>
      <c r="J37" s="189">
        <v>7.0000000000000007E-2</v>
      </c>
      <c r="K37" s="189">
        <v>242.04</v>
      </c>
      <c r="L37" s="189">
        <v>15.38</v>
      </c>
      <c r="M37" s="189">
        <v>98.01</v>
      </c>
      <c r="N37" s="189">
        <v>23.4</v>
      </c>
      <c r="O37" s="189">
        <v>0</v>
      </c>
      <c r="P37" s="189">
        <v>0.89</v>
      </c>
      <c r="Q37" s="189">
        <v>5.22</v>
      </c>
    </row>
    <row r="38" spans="1:17" customFormat="1">
      <c r="A38" s="6" t="s">
        <v>1132</v>
      </c>
      <c r="B38" s="189">
        <v>40.06</v>
      </c>
      <c r="C38" s="189">
        <v>26.14</v>
      </c>
      <c r="D38" s="189">
        <v>47.13</v>
      </c>
      <c r="E38" s="189">
        <v>9.33</v>
      </c>
      <c r="F38" s="189">
        <v>2.5299999999999998</v>
      </c>
      <c r="G38" s="189">
        <v>63.87</v>
      </c>
      <c r="H38" s="189">
        <v>32.35</v>
      </c>
      <c r="I38" s="189">
        <v>7.85</v>
      </c>
      <c r="J38" s="189">
        <v>0.09</v>
      </c>
      <c r="K38" s="189">
        <v>127.89</v>
      </c>
      <c r="L38" s="189">
        <v>15.95</v>
      </c>
      <c r="M38" s="189">
        <v>94.35</v>
      </c>
      <c r="N38" s="189">
        <v>37.5</v>
      </c>
      <c r="O38" s="189">
        <v>0</v>
      </c>
      <c r="P38" s="189">
        <v>0.91</v>
      </c>
      <c r="Q38" s="189">
        <v>5.26</v>
      </c>
    </row>
    <row r="39" spans="1:17" customFormat="1">
      <c r="A39" s="6" t="s">
        <v>1133</v>
      </c>
      <c r="B39" s="189">
        <v>42.63</v>
      </c>
      <c r="C39" s="189">
        <v>26.41</v>
      </c>
      <c r="D39" s="189">
        <v>49.33</v>
      </c>
      <c r="E39" s="189">
        <v>9.39</v>
      </c>
      <c r="F39" s="189">
        <v>2.56</v>
      </c>
      <c r="G39" s="189">
        <v>66.67</v>
      </c>
      <c r="H39" s="189">
        <v>32.200000000000003</v>
      </c>
      <c r="I39" s="189">
        <v>7.89</v>
      </c>
      <c r="J39" s="189">
        <v>0.38</v>
      </c>
      <c r="K39" s="189">
        <v>43.68</v>
      </c>
      <c r="L39" s="189">
        <v>16.86</v>
      </c>
      <c r="M39" s="189">
        <v>83.88</v>
      </c>
      <c r="N39" s="189">
        <v>51.7</v>
      </c>
      <c r="O39" s="189">
        <v>0</v>
      </c>
      <c r="P39" s="189">
        <v>0.9</v>
      </c>
      <c r="Q39" s="189">
        <v>5.34</v>
      </c>
    </row>
    <row r="40" spans="1:17" customFormat="1">
      <c r="A40" s="6" t="s">
        <v>1134</v>
      </c>
      <c r="B40" s="189">
        <v>43.18</v>
      </c>
      <c r="C40" s="189">
        <v>26.24</v>
      </c>
      <c r="D40" s="189">
        <v>49.69</v>
      </c>
      <c r="E40" s="189">
        <v>9.1300000000000008</v>
      </c>
      <c r="F40" s="189">
        <v>2.56</v>
      </c>
      <c r="G40" s="189">
        <v>66.67</v>
      </c>
      <c r="H40" s="189">
        <v>32.200000000000003</v>
      </c>
      <c r="I40" s="189">
        <v>7.93</v>
      </c>
      <c r="J40" s="189">
        <v>0.38</v>
      </c>
      <c r="K40" s="189">
        <v>48.06</v>
      </c>
      <c r="L40" s="189">
        <v>17.579999999999998</v>
      </c>
      <c r="M40" s="189">
        <v>80.89</v>
      </c>
      <c r="N40" s="189">
        <v>110</v>
      </c>
      <c r="O40" s="189">
        <v>0</v>
      </c>
      <c r="P40" s="189">
        <v>0.89</v>
      </c>
      <c r="Q40" s="189">
        <v>5.37</v>
      </c>
    </row>
    <row r="41" spans="1:17" customFormat="1">
      <c r="A41" s="6" t="s">
        <v>1135</v>
      </c>
      <c r="B41" s="189">
        <v>42.58</v>
      </c>
      <c r="C41" s="189">
        <v>26.1</v>
      </c>
      <c r="D41" s="189">
        <v>49.13</v>
      </c>
      <c r="E41" s="189">
        <v>9.0299999999999994</v>
      </c>
      <c r="F41" s="189">
        <v>2.64</v>
      </c>
      <c r="G41" s="189">
        <v>66.67</v>
      </c>
      <c r="H41" s="189">
        <v>32.200000000000003</v>
      </c>
      <c r="I41" s="189">
        <v>7.99</v>
      </c>
      <c r="J41" s="189">
        <v>0.49</v>
      </c>
      <c r="K41" s="189">
        <v>40.54</v>
      </c>
      <c r="L41" s="189">
        <v>18.309999999999999</v>
      </c>
      <c r="M41" s="189">
        <v>78.64</v>
      </c>
      <c r="N41" s="189">
        <v>191.9</v>
      </c>
      <c r="O41" s="189">
        <v>0</v>
      </c>
      <c r="P41" s="189">
        <v>0.9</v>
      </c>
      <c r="Q41" s="189">
        <v>5.34</v>
      </c>
    </row>
    <row r="42" spans="1:17" customFormat="1">
      <c r="A42" s="6" t="s">
        <v>1136</v>
      </c>
      <c r="B42" s="189">
        <v>41.85</v>
      </c>
      <c r="C42" s="189">
        <v>25.57</v>
      </c>
      <c r="D42" s="189">
        <v>48.27</v>
      </c>
      <c r="E42" s="189">
        <v>9.52</v>
      </c>
      <c r="F42" s="189">
        <v>2.65</v>
      </c>
      <c r="G42" s="189">
        <v>72.62</v>
      </c>
      <c r="H42" s="189">
        <v>34.06</v>
      </c>
      <c r="I42" s="189">
        <v>8.01</v>
      </c>
      <c r="J42" s="189">
        <v>0.28999999999999998</v>
      </c>
      <c r="K42" s="189">
        <v>50.65</v>
      </c>
      <c r="L42" s="189">
        <v>19.36</v>
      </c>
      <c r="M42" s="189">
        <v>75.5</v>
      </c>
      <c r="N42" s="189">
        <v>231.3</v>
      </c>
      <c r="O42" s="189">
        <v>0</v>
      </c>
      <c r="P42" s="189">
        <v>0.89</v>
      </c>
      <c r="Q42" s="189">
        <v>5.35</v>
      </c>
    </row>
    <row r="43" spans="1:17" customFormat="1">
      <c r="A43" s="6" t="s">
        <v>1137</v>
      </c>
      <c r="B43" s="189">
        <v>40.89</v>
      </c>
      <c r="C43" s="189">
        <v>26.64</v>
      </c>
      <c r="D43" s="189">
        <v>48.06</v>
      </c>
      <c r="E43" s="189">
        <v>9.09</v>
      </c>
      <c r="F43" s="189">
        <v>2.6</v>
      </c>
      <c r="G43" s="189">
        <v>75.59</v>
      </c>
      <c r="H43" s="189">
        <v>34.28</v>
      </c>
      <c r="I43" s="189">
        <v>8.0399999999999991</v>
      </c>
      <c r="J43" s="189">
        <v>0.26</v>
      </c>
      <c r="K43" s="189">
        <v>58.12</v>
      </c>
      <c r="L43" s="189">
        <v>20.9</v>
      </c>
      <c r="M43" s="189">
        <v>68.37</v>
      </c>
      <c r="N43" s="189">
        <v>285.7</v>
      </c>
      <c r="O43" s="189">
        <v>0</v>
      </c>
      <c r="P43" s="189">
        <v>0.89</v>
      </c>
      <c r="Q43" s="189">
        <v>5.32</v>
      </c>
    </row>
    <row r="44" spans="1:17" customFormat="1">
      <c r="A44" s="6" t="s">
        <v>1138</v>
      </c>
      <c r="B44" s="189">
        <v>40.020000000000003</v>
      </c>
      <c r="C44" s="189">
        <v>25.6</v>
      </c>
      <c r="D44" s="189">
        <v>46.82</v>
      </c>
      <c r="E44" s="189">
        <v>8.73</v>
      </c>
      <c r="F44" s="189">
        <v>2.76</v>
      </c>
      <c r="G44" s="189">
        <v>75.59</v>
      </c>
      <c r="H44" s="189">
        <v>34.28</v>
      </c>
      <c r="I44" s="189">
        <v>8.0500000000000007</v>
      </c>
      <c r="J44" s="189">
        <v>0.59</v>
      </c>
      <c r="K44" s="189">
        <v>48.93</v>
      </c>
      <c r="L44" s="189">
        <v>21.23</v>
      </c>
      <c r="M44" s="189">
        <v>64.34</v>
      </c>
      <c r="N44" s="189">
        <v>198.7</v>
      </c>
      <c r="O44" s="189">
        <v>0</v>
      </c>
      <c r="P44" s="189">
        <v>0.87</v>
      </c>
      <c r="Q44" s="189">
        <v>5.3</v>
      </c>
    </row>
    <row r="45" spans="1:17" customFormat="1">
      <c r="A45" s="6" t="s">
        <v>1139</v>
      </c>
      <c r="B45" s="189">
        <v>39.19</v>
      </c>
      <c r="C45" s="189">
        <v>25.74</v>
      </c>
      <c r="D45" s="189">
        <v>46.22</v>
      </c>
      <c r="E45" s="189">
        <v>8.99</v>
      </c>
      <c r="F45" s="189">
        <v>2.57</v>
      </c>
      <c r="G45" s="189">
        <v>75.59</v>
      </c>
      <c r="H45" s="189">
        <v>34.28</v>
      </c>
      <c r="I45" s="189">
        <v>8.11</v>
      </c>
      <c r="J45" s="189">
        <v>0.52</v>
      </c>
      <c r="K45" s="189">
        <v>43.44</v>
      </c>
      <c r="L45" s="189">
        <v>21.86</v>
      </c>
      <c r="M45" s="189">
        <v>61.47</v>
      </c>
      <c r="N45" s="189">
        <v>124.8</v>
      </c>
      <c r="O45" s="189">
        <v>0</v>
      </c>
      <c r="P45" s="189">
        <v>0.86</v>
      </c>
      <c r="Q45" s="189">
        <v>5.26</v>
      </c>
    </row>
    <row r="46" spans="1:17" customFormat="1">
      <c r="A46" s="6" t="s">
        <v>1140</v>
      </c>
      <c r="B46" s="189">
        <v>38.49</v>
      </c>
      <c r="C46" s="189">
        <v>25.2</v>
      </c>
      <c r="D46" s="189">
        <v>45.38</v>
      </c>
      <c r="E46" s="189">
        <v>8.67</v>
      </c>
      <c r="F46" s="189">
        <v>2.69</v>
      </c>
      <c r="G46" s="189">
        <v>76.14</v>
      </c>
      <c r="H46" s="189">
        <v>29.82</v>
      </c>
      <c r="I46" s="189">
        <v>8.24</v>
      </c>
      <c r="J46" s="189">
        <v>0.39</v>
      </c>
      <c r="K46" s="189">
        <v>50.77</v>
      </c>
      <c r="L46" s="189">
        <v>22.44</v>
      </c>
      <c r="M46" s="189">
        <v>59.14</v>
      </c>
      <c r="N46" s="189">
        <v>129.19999999999999</v>
      </c>
      <c r="O46" s="189">
        <v>0</v>
      </c>
      <c r="P46" s="189">
        <v>0.86</v>
      </c>
      <c r="Q46" s="189">
        <v>5.26</v>
      </c>
    </row>
    <row r="47" spans="1:17" customFormat="1">
      <c r="A47" s="6" t="s">
        <v>1141</v>
      </c>
      <c r="B47" s="189">
        <v>37.65</v>
      </c>
      <c r="C47" s="189">
        <v>25.3</v>
      </c>
      <c r="D47" s="189">
        <v>44.76</v>
      </c>
      <c r="E47" s="189">
        <v>8.69</v>
      </c>
      <c r="F47" s="189">
        <v>2.66</v>
      </c>
      <c r="G47" s="189">
        <v>76.42</v>
      </c>
      <c r="H47" s="189">
        <v>29.3</v>
      </c>
      <c r="I47" s="189">
        <v>8.41</v>
      </c>
      <c r="J47" s="189">
        <v>0.33</v>
      </c>
      <c r="K47" s="189">
        <v>82.13</v>
      </c>
      <c r="L47" s="189">
        <v>23.48</v>
      </c>
      <c r="M47" s="189">
        <v>51.77</v>
      </c>
      <c r="N47" s="189">
        <v>150.4</v>
      </c>
      <c r="O47" s="189">
        <v>0</v>
      </c>
      <c r="P47" s="189">
        <v>0.86</v>
      </c>
      <c r="Q47" s="189">
        <v>5.2</v>
      </c>
    </row>
    <row r="48" spans="1:17" customFormat="1">
      <c r="A48" s="6" t="s">
        <v>1142</v>
      </c>
      <c r="B48" s="189">
        <v>36.35</v>
      </c>
      <c r="C48" s="189">
        <v>24.57</v>
      </c>
      <c r="D48" s="189">
        <v>43.34</v>
      </c>
      <c r="E48" s="189">
        <v>8.98</v>
      </c>
      <c r="F48" s="189">
        <v>2.72</v>
      </c>
      <c r="G48" s="189">
        <v>76.42</v>
      </c>
      <c r="H48" s="189">
        <v>29.3</v>
      </c>
      <c r="I48" s="189">
        <v>8.5500000000000007</v>
      </c>
      <c r="J48" s="189">
        <v>0.28999999999999998</v>
      </c>
      <c r="K48" s="189">
        <v>82.29</v>
      </c>
      <c r="L48" s="189">
        <v>23.6</v>
      </c>
      <c r="M48" s="189">
        <v>49.61</v>
      </c>
      <c r="N48" s="189">
        <v>319.3</v>
      </c>
      <c r="O48" s="189">
        <v>0</v>
      </c>
      <c r="P48" s="189">
        <v>0.84</v>
      </c>
      <c r="Q48" s="189">
        <v>5.17</v>
      </c>
    </row>
    <row r="49" spans="1:17" customFormat="1">
      <c r="A49" s="6" t="s">
        <v>1143</v>
      </c>
      <c r="B49" s="189">
        <v>34.94</v>
      </c>
      <c r="C49" s="189">
        <v>24.16</v>
      </c>
      <c r="D49" s="189">
        <v>42</v>
      </c>
      <c r="E49" s="189">
        <v>6.76</v>
      </c>
      <c r="F49" s="189">
        <v>2.8</v>
      </c>
      <c r="G49" s="189">
        <v>76.42</v>
      </c>
      <c r="H49" s="189">
        <v>29.3</v>
      </c>
      <c r="I49" s="189">
        <v>8.52</v>
      </c>
      <c r="J49" s="189">
        <v>0.31</v>
      </c>
      <c r="K49" s="189">
        <v>58.78</v>
      </c>
      <c r="L49" s="189">
        <v>24.28</v>
      </c>
      <c r="M49" s="189">
        <v>50.74</v>
      </c>
      <c r="N49" s="189">
        <v>400.8</v>
      </c>
      <c r="O49" s="189">
        <v>0</v>
      </c>
      <c r="P49" s="189">
        <v>0.82</v>
      </c>
      <c r="Q49" s="189">
        <v>5.14</v>
      </c>
    </row>
    <row r="50" spans="1:17" customFormat="1">
      <c r="A50" s="6" t="s">
        <v>1144</v>
      </c>
      <c r="B50" s="189">
        <v>34.08</v>
      </c>
      <c r="C50" s="189">
        <v>23.94</v>
      </c>
      <c r="D50" s="189">
        <v>41.19</v>
      </c>
      <c r="E50" s="189">
        <v>7.83</v>
      </c>
      <c r="F50" s="189">
        <v>2.86</v>
      </c>
      <c r="G50" s="189">
        <v>70.95</v>
      </c>
      <c r="H50" s="189">
        <v>27.04</v>
      </c>
      <c r="I50" s="189">
        <v>8.3699999999999992</v>
      </c>
      <c r="J50" s="189">
        <v>0.19</v>
      </c>
      <c r="K50" s="189">
        <v>136.76</v>
      </c>
      <c r="L50" s="189">
        <v>24.65</v>
      </c>
      <c r="M50" s="189">
        <v>50.35</v>
      </c>
      <c r="N50" s="189">
        <v>353.9</v>
      </c>
      <c r="O50" s="189">
        <v>0</v>
      </c>
      <c r="P50" s="189">
        <v>0.82</v>
      </c>
      <c r="Q50" s="189">
        <v>5.12</v>
      </c>
    </row>
    <row r="51" spans="1:17" customFormat="1">
      <c r="A51" s="6" t="s">
        <v>1145</v>
      </c>
      <c r="B51" s="189">
        <v>33.18</v>
      </c>
      <c r="C51" s="189">
        <v>23.22</v>
      </c>
      <c r="D51" s="189">
        <v>40.090000000000003</v>
      </c>
      <c r="E51" s="189">
        <v>7.55</v>
      </c>
      <c r="F51" s="189">
        <v>2.85</v>
      </c>
      <c r="G51" s="189">
        <v>68.209999999999994</v>
      </c>
      <c r="H51" s="189">
        <v>26.77</v>
      </c>
      <c r="I51" s="189">
        <v>8.2200000000000006</v>
      </c>
      <c r="J51" s="189">
        <v>0.32</v>
      </c>
      <c r="K51" s="189">
        <v>143.02000000000001</v>
      </c>
      <c r="L51" s="189">
        <v>25.04</v>
      </c>
      <c r="M51" s="189">
        <v>47.55</v>
      </c>
      <c r="N51" s="189">
        <v>420.6</v>
      </c>
      <c r="O51" s="189">
        <v>0</v>
      </c>
      <c r="P51" s="189">
        <v>0.79</v>
      </c>
      <c r="Q51" s="189">
        <v>5.0999999999999996</v>
      </c>
    </row>
    <row r="52" spans="1:17" customFormat="1">
      <c r="A52" s="6" t="s">
        <v>1146</v>
      </c>
      <c r="B52" s="189">
        <v>31.88</v>
      </c>
      <c r="C52" s="189">
        <v>24.44</v>
      </c>
      <c r="D52" s="189">
        <v>39.68</v>
      </c>
      <c r="E52" s="189">
        <v>7.45</v>
      </c>
      <c r="F52" s="189">
        <v>2.73</v>
      </c>
      <c r="G52" s="189">
        <v>68.209999999999994</v>
      </c>
      <c r="H52" s="189">
        <v>26.77</v>
      </c>
      <c r="I52" s="189">
        <v>8.1199999999999992</v>
      </c>
      <c r="J52" s="189">
        <v>0.17</v>
      </c>
      <c r="K52" s="189">
        <v>136.25</v>
      </c>
      <c r="L52" s="189">
        <v>25.62</v>
      </c>
      <c r="M52" s="189">
        <v>44.46</v>
      </c>
      <c r="N52" s="189">
        <v>491.8</v>
      </c>
      <c r="O52" s="189">
        <v>0</v>
      </c>
      <c r="P52" s="189">
        <v>0.8</v>
      </c>
      <c r="Q52" s="189">
        <v>5.0199999999999996</v>
      </c>
    </row>
    <row r="53" spans="1:17" customFormat="1">
      <c r="A53" s="6" t="s">
        <v>1147</v>
      </c>
      <c r="B53" s="189">
        <v>30.09</v>
      </c>
      <c r="C53" s="189">
        <v>23.93</v>
      </c>
      <c r="D53" s="189">
        <v>37.979999999999997</v>
      </c>
      <c r="E53" s="189">
        <v>7.55</v>
      </c>
      <c r="F53" s="189">
        <v>2.82</v>
      </c>
      <c r="G53" s="189">
        <v>68.209999999999994</v>
      </c>
      <c r="H53" s="189">
        <v>26.77</v>
      </c>
      <c r="I53" s="189">
        <v>8</v>
      </c>
      <c r="J53" s="189">
        <v>7.0000000000000007E-2</v>
      </c>
      <c r="K53" s="189">
        <v>105.63</v>
      </c>
      <c r="L53" s="189">
        <v>25.94</v>
      </c>
      <c r="M53" s="189">
        <v>42.71</v>
      </c>
      <c r="N53" s="189">
        <v>481.5</v>
      </c>
      <c r="O53" s="189">
        <v>0</v>
      </c>
      <c r="P53" s="189">
        <v>0.77</v>
      </c>
      <c r="Q53" s="189">
        <v>5.01</v>
      </c>
    </row>
    <row r="54" spans="1:17" customFormat="1">
      <c r="A54" s="6" t="s">
        <v>1148</v>
      </c>
      <c r="B54" s="189">
        <v>27.39</v>
      </c>
      <c r="C54" s="189">
        <v>24.39</v>
      </c>
      <c r="D54" s="189">
        <v>36.06</v>
      </c>
      <c r="E54" s="189">
        <v>7.51</v>
      </c>
      <c r="F54" s="189">
        <v>2.95</v>
      </c>
      <c r="G54" s="189">
        <v>57.45</v>
      </c>
      <c r="H54" s="189">
        <v>23.39</v>
      </c>
      <c r="I54" s="189">
        <v>7.82</v>
      </c>
      <c r="J54" s="189">
        <v>0.21</v>
      </c>
      <c r="K54" s="189">
        <v>192.74</v>
      </c>
      <c r="L54" s="189">
        <v>26.09</v>
      </c>
      <c r="M54" s="189">
        <v>42.12</v>
      </c>
      <c r="N54" s="189">
        <v>616.20000000000005</v>
      </c>
      <c r="O54" s="189">
        <v>0</v>
      </c>
      <c r="P54" s="189">
        <v>0.76</v>
      </c>
      <c r="Q54" s="189">
        <v>4.95</v>
      </c>
    </row>
    <row r="55" spans="1:17" customFormat="1">
      <c r="A55" s="6" t="s">
        <v>1149</v>
      </c>
      <c r="B55" s="189">
        <v>24.73</v>
      </c>
      <c r="C55" s="189">
        <v>24.97</v>
      </c>
      <c r="D55" s="189">
        <v>34.229999999999997</v>
      </c>
      <c r="E55" s="189">
        <v>7.26</v>
      </c>
      <c r="F55" s="189">
        <v>3.01</v>
      </c>
      <c r="G55" s="189">
        <v>52.34</v>
      </c>
      <c r="H55" s="189">
        <v>22.99</v>
      </c>
      <c r="I55" s="189">
        <v>7.54</v>
      </c>
      <c r="J55" s="189">
        <v>0.39</v>
      </c>
      <c r="K55" s="189">
        <v>155.22999999999999</v>
      </c>
      <c r="L55" s="189">
        <v>26.71</v>
      </c>
      <c r="M55" s="189">
        <v>39.75</v>
      </c>
      <c r="N55" s="189">
        <v>619.70000000000005</v>
      </c>
      <c r="O55" s="189">
        <v>0</v>
      </c>
      <c r="P55" s="189">
        <v>0.73</v>
      </c>
      <c r="Q55" s="189">
        <v>4.88</v>
      </c>
    </row>
    <row r="56" spans="1:17" customFormat="1">
      <c r="A56" s="6" t="s">
        <v>1150</v>
      </c>
      <c r="B56" s="189">
        <v>22.17</v>
      </c>
      <c r="C56" s="189">
        <v>25.5</v>
      </c>
      <c r="D56" s="189">
        <v>32.450000000000003</v>
      </c>
      <c r="E56" s="189">
        <v>7.08</v>
      </c>
      <c r="F56" s="189">
        <v>3.04</v>
      </c>
      <c r="G56" s="189">
        <v>52.34</v>
      </c>
      <c r="H56" s="189">
        <v>22.99</v>
      </c>
      <c r="I56" s="189">
        <v>7.29</v>
      </c>
      <c r="J56" s="189">
        <v>0.26</v>
      </c>
      <c r="K56" s="189">
        <v>208.9</v>
      </c>
      <c r="L56" s="189">
        <v>27.12</v>
      </c>
      <c r="M56" s="189">
        <v>39.21</v>
      </c>
      <c r="N56" s="189">
        <v>638.5</v>
      </c>
      <c r="O56" s="189">
        <v>0</v>
      </c>
      <c r="P56" s="189">
        <v>0.71</v>
      </c>
      <c r="Q56" s="189">
        <v>4.8</v>
      </c>
    </row>
    <row r="57" spans="1:17" customFormat="1">
      <c r="A57" s="6" t="s">
        <v>1151</v>
      </c>
      <c r="B57" s="189">
        <v>19.98</v>
      </c>
      <c r="C57" s="189">
        <v>25.54</v>
      </c>
      <c r="D57" s="189">
        <v>30.72</v>
      </c>
      <c r="E57" s="189">
        <v>6.7</v>
      </c>
      <c r="F57" s="189">
        <v>3.16</v>
      </c>
      <c r="G57" s="189">
        <v>52.34</v>
      </c>
      <c r="H57" s="189">
        <v>22.99</v>
      </c>
      <c r="I57" s="189">
        <v>7.05</v>
      </c>
      <c r="J57" s="189">
        <v>0.32</v>
      </c>
      <c r="K57" s="189">
        <v>253.57</v>
      </c>
      <c r="L57" s="189">
        <v>27.12</v>
      </c>
      <c r="M57" s="189">
        <v>39.799999999999997</v>
      </c>
      <c r="N57" s="189">
        <v>701.1</v>
      </c>
      <c r="O57" s="189">
        <v>0</v>
      </c>
      <c r="P57" s="189">
        <v>0.7</v>
      </c>
      <c r="Q57" s="189">
        <v>4.74</v>
      </c>
    </row>
    <row r="58" spans="1:17" customFormat="1">
      <c r="A58" s="6" t="s">
        <v>1152</v>
      </c>
      <c r="B58" s="189">
        <v>17.93</v>
      </c>
      <c r="C58" s="189">
        <v>25.52</v>
      </c>
      <c r="D58" s="189">
        <v>29.06</v>
      </c>
      <c r="E58" s="189">
        <v>6.66</v>
      </c>
      <c r="F58" s="189">
        <v>3.17</v>
      </c>
      <c r="G58" s="189">
        <v>42.32</v>
      </c>
      <c r="H58" s="189">
        <v>20.239999999999998</v>
      </c>
      <c r="I58" s="189">
        <v>6.81</v>
      </c>
      <c r="J58" s="189">
        <v>0.67</v>
      </c>
      <c r="K58" s="189">
        <v>281.41000000000003</v>
      </c>
      <c r="L58" s="189">
        <v>26.98</v>
      </c>
      <c r="M58" s="189">
        <v>38.369999999999997</v>
      </c>
      <c r="N58" s="189">
        <v>710.2</v>
      </c>
      <c r="O58" s="189">
        <v>0</v>
      </c>
      <c r="P58" s="189">
        <v>0.69</v>
      </c>
      <c r="Q58" s="189">
        <v>4.67</v>
      </c>
    </row>
    <row r="59" spans="1:17" customFormat="1">
      <c r="A59" s="6" t="s">
        <v>1153</v>
      </c>
      <c r="B59" s="189">
        <v>16.13</v>
      </c>
      <c r="C59" s="189">
        <v>25.45</v>
      </c>
      <c r="D59" s="189">
        <v>27.59</v>
      </c>
      <c r="E59" s="189">
        <v>6.34</v>
      </c>
      <c r="F59" s="189">
        <v>3.05</v>
      </c>
      <c r="G59" s="189">
        <v>37.299999999999997</v>
      </c>
      <c r="H59" s="189">
        <v>19.71</v>
      </c>
      <c r="I59" s="189">
        <v>6.57</v>
      </c>
      <c r="J59" s="189">
        <v>0.03</v>
      </c>
      <c r="K59" s="189">
        <v>266.79000000000002</v>
      </c>
      <c r="L59" s="189">
        <v>27.31</v>
      </c>
      <c r="M59" s="189">
        <v>38.04</v>
      </c>
      <c r="N59" s="189">
        <v>622.5</v>
      </c>
      <c r="O59" s="189">
        <v>0</v>
      </c>
      <c r="P59" s="189">
        <v>0.66</v>
      </c>
      <c r="Q59" s="189">
        <v>4.62</v>
      </c>
    </row>
    <row r="60" spans="1:17" customFormat="1">
      <c r="A60" s="6" t="s">
        <v>1154</v>
      </c>
      <c r="B60" s="189">
        <v>14.41</v>
      </c>
      <c r="C60" s="189">
        <v>25.46</v>
      </c>
      <c r="D60" s="189">
        <v>26.21</v>
      </c>
      <c r="E60" s="189">
        <v>7.25</v>
      </c>
      <c r="F60" s="189">
        <v>3.11</v>
      </c>
      <c r="G60" s="189">
        <v>37.299999999999997</v>
      </c>
      <c r="H60" s="189">
        <v>19.71</v>
      </c>
      <c r="I60" s="189">
        <v>6.37</v>
      </c>
      <c r="J60" s="189">
        <v>0.35</v>
      </c>
      <c r="K60" s="189">
        <v>49.96</v>
      </c>
      <c r="L60" s="189">
        <v>27.58</v>
      </c>
      <c r="M60" s="189">
        <v>37.76</v>
      </c>
      <c r="N60" s="189">
        <v>581.1</v>
      </c>
      <c r="O60" s="189">
        <v>0</v>
      </c>
      <c r="P60" s="189">
        <v>0.64</v>
      </c>
      <c r="Q60" s="189">
        <v>4.58</v>
      </c>
    </row>
    <row r="61" spans="1:17" customFormat="1">
      <c r="A61" s="6" t="s">
        <v>1155</v>
      </c>
      <c r="B61" s="189">
        <v>13.02</v>
      </c>
      <c r="C61" s="189">
        <v>25.39</v>
      </c>
      <c r="D61" s="189">
        <v>25.06</v>
      </c>
      <c r="E61" s="189">
        <v>6.4</v>
      </c>
      <c r="F61" s="189">
        <v>3.08</v>
      </c>
      <c r="G61" s="189">
        <v>37.299999999999997</v>
      </c>
      <c r="H61" s="189">
        <v>19.71</v>
      </c>
      <c r="I61" s="189">
        <v>6.17</v>
      </c>
      <c r="J61" s="189">
        <v>0.43</v>
      </c>
      <c r="K61" s="189">
        <v>38.04</v>
      </c>
      <c r="L61" s="189">
        <v>26.96</v>
      </c>
      <c r="M61" s="189">
        <v>38.340000000000003</v>
      </c>
      <c r="N61" s="189">
        <v>568.6</v>
      </c>
      <c r="O61" s="189">
        <v>0</v>
      </c>
      <c r="P61" s="189">
        <v>0.63</v>
      </c>
      <c r="Q61" s="189">
        <v>4.5199999999999996</v>
      </c>
    </row>
    <row r="62" spans="1:17" customFormat="1">
      <c r="A62" s="6" t="s">
        <v>1156</v>
      </c>
      <c r="B62" s="189">
        <v>11.93</v>
      </c>
      <c r="C62" s="189">
        <v>25.51</v>
      </c>
      <c r="D62" s="189">
        <v>24.25</v>
      </c>
      <c r="E62" s="189">
        <v>6.57</v>
      </c>
      <c r="F62" s="189">
        <v>3.17</v>
      </c>
      <c r="G62" s="189">
        <v>29.34</v>
      </c>
      <c r="H62" s="189">
        <v>15.88</v>
      </c>
      <c r="I62" s="189">
        <v>5.96</v>
      </c>
      <c r="J62" s="189">
        <v>0.18</v>
      </c>
      <c r="K62" s="189">
        <v>196.55</v>
      </c>
      <c r="L62" s="189">
        <v>27.29</v>
      </c>
      <c r="M62" s="189">
        <v>38.090000000000003</v>
      </c>
      <c r="N62" s="189">
        <v>533.5</v>
      </c>
      <c r="O62" s="189">
        <v>0</v>
      </c>
      <c r="P62" s="189">
        <v>0.62</v>
      </c>
      <c r="Q62" s="189">
        <v>4.47</v>
      </c>
    </row>
    <row r="63" spans="1:17" customFormat="1">
      <c r="A63" s="6" t="s">
        <v>1157</v>
      </c>
      <c r="B63" s="189">
        <v>10.99</v>
      </c>
      <c r="C63" s="189">
        <v>25.12</v>
      </c>
      <c r="D63" s="189">
        <v>23.29</v>
      </c>
      <c r="E63" s="189">
        <v>6.8</v>
      </c>
      <c r="F63" s="189">
        <v>3.21</v>
      </c>
      <c r="G63" s="189">
        <v>25.35</v>
      </c>
      <c r="H63" s="189">
        <v>15.44</v>
      </c>
      <c r="I63" s="189">
        <v>5.78</v>
      </c>
      <c r="J63" s="189">
        <v>0.15</v>
      </c>
      <c r="K63" s="189">
        <v>39.36</v>
      </c>
      <c r="L63" s="189">
        <v>27.49</v>
      </c>
      <c r="M63" s="189">
        <v>37.81</v>
      </c>
      <c r="N63" s="189">
        <v>512.9</v>
      </c>
      <c r="O63" s="189">
        <v>0</v>
      </c>
      <c r="P63" s="189">
        <v>0.61</v>
      </c>
      <c r="Q63" s="189">
        <v>4.45</v>
      </c>
    </row>
    <row r="64" spans="1:17" customFormat="1">
      <c r="A64" s="6" t="s">
        <v>1158</v>
      </c>
      <c r="B64" s="189">
        <v>10.18</v>
      </c>
      <c r="C64" s="189">
        <v>24.87</v>
      </c>
      <c r="D64" s="189">
        <v>22.51</v>
      </c>
      <c r="E64" s="189">
        <v>6.97</v>
      </c>
      <c r="F64" s="189">
        <v>3.29</v>
      </c>
      <c r="G64" s="189">
        <v>25.35</v>
      </c>
      <c r="H64" s="189">
        <v>15.44</v>
      </c>
      <c r="I64" s="189">
        <v>5.63</v>
      </c>
      <c r="J64" s="189">
        <v>0.15</v>
      </c>
      <c r="K64" s="189">
        <v>63.25</v>
      </c>
      <c r="L64" s="189">
        <v>27.2</v>
      </c>
      <c r="M64" s="189">
        <v>37.700000000000003</v>
      </c>
      <c r="N64" s="189">
        <v>433.4</v>
      </c>
      <c r="O64" s="189">
        <v>0</v>
      </c>
      <c r="P64" s="189">
        <v>0.6</v>
      </c>
      <c r="Q64" s="189">
        <v>4.41</v>
      </c>
    </row>
    <row r="65" spans="1:17" customFormat="1">
      <c r="A65" s="6" t="s">
        <v>1159</v>
      </c>
      <c r="B65" s="189">
        <v>9.26</v>
      </c>
      <c r="C65" s="189">
        <v>24.72</v>
      </c>
      <c r="D65" s="189">
        <v>21.7</v>
      </c>
      <c r="E65" s="189">
        <v>6.52</v>
      </c>
      <c r="F65" s="189">
        <v>3.38</v>
      </c>
      <c r="G65" s="189">
        <v>25.35</v>
      </c>
      <c r="H65" s="189">
        <v>15.44</v>
      </c>
      <c r="I65" s="189">
        <v>5.49</v>
      </c>
      <c r="J65" s="189">
        <v>0.15</v>
      </c>
      <c r="K65" s="189">
        <v>239.6</v>
      </c>
      <c r="L65" s="189">
        <v>26.85</v>
      </c>
      <c r="M65" s="189">
        <v>38</v>
      </c>
      <c r="N65" s="189">
        <v>176.8</v>
      </c>
      <c r="O65" s="189">
        <v>0</v>
      </c>
      <c r="P65" s="189">
        <v>0.56999999999999995</v>
      </c>
      <c r="Q65" s="189">
        <v>4.38</v>
      </c>
    </row>
    <row r="66" spans="1:17" customFormat="1">
      <c r="A66" s="6" t="s">
        <v>1160</v>
      </c>
      <c r="B66" s="189">
        <v>8.4</v>
      </c>
      <c r="C66" s="189">
        <v>24.29</v>
      </c>
      <c r="D66" s="189">
        <v>20.78</v>
      </c>
      <c r="E66" s="189">
        <v>6.93</v>
      </c>
      <c r="F66" s="189">
        <v>3.5</v>
      </c>
      <c r="G66" s="189">
        <v>25.4</v>
      </c>
      <c r="H66" s="189">
        <v>16.47</v>
      </c>
      <c r="I66" s="189">
        <v>5.34</v>
      </c>
      <c r="J66" s="189">
        <v>0.15</v>
      </c>
      <c r="K66" s="189">
        <v>250.85</v>
      </c>
      <c r="L66" s="189">
        <v>26.42</v>
      </c>
      <c r="M66" s="189">
        <v>39.450000000000003</v>
      </c>
      <c r="N66" s="189">
        <v>136.6</v>
      </c>
      <c r="O66" s="189">
        <v>0</v>
      </c>
      <c r="P66" s="189">
        <v>0.57999999999999996</v>
      </c>
      <c r="Q66" s="189">
        <v>4.3600000000000003</v>
      </c>
    </row>
    <row r="67" spans="1:17" customFormat="1">
      <c r="A67" s="6" t="s">
        <v>1161</v>
      </c>
      <c r="B67" s="189">
        <v>7.92</v>
      </c>
      <c r="C67" s="189">
        <v>23.94</v>
      </c>
      <c r="D67" s="189">
        <v>20.21</v>
      </c>
      <c r="E67" s="189">
        <v>6.68</v>
      </c>
      <c r="F67" s="189">
        <v>3.61</v>
      </c>
      <c r="G67" s="189">
        <v>25.42</v>
      </c>
      <c r="H67" s="189">
        <v>16.600000000000001</v>
      </c>
      <c r="I67" s="189">
        <v>5.2</v>
      </c>
      <c r="J67" s="189">
        <v>0.5</v>
      </c>
      <c r="K67" s="189">
        <v>286.77999999999997</v>
      </c>
      <c r="L67" s="189">
        <v>25.97</v>
      </c>
      <c r="M67" s="189">
        <v>39.57</v>
      </c>
      <c r="N67" s="189">
        <v>104.2</v>
      </c>
      <c r="O67" s="189">
        <v>0</v>
      </c>
      <c r="P67" s="189">
        <v>0.56000000000000005</v>
      </c>
      <c r="Q67" s="189">
        <v>4.34</v>
      </c>
    </row>
    <row r="68" spans="1:17" customFormat="1">
      <c r="A68" s="6" t="s">
        <v>1162</v>
      </c>
      <c r="B68" s="189">
        <v>7.55</v>
      </c>
      <c r="C68" s="189">
        <v>23.81</v>
      </c>
      <c r="D68" s="189">
        <v>19.84</v>
      </c>
      <c r="E68" s="189">
        <v>7.05</v>
      </c>
      <c r="F68" s="189">
        <v>3.59</v>
      </c>
      <c r="G68" s="189">
        <v>25.42</v>
      </c>
      <c r="H68" s="189">
        <v>16.600000000000001</v>
      </c>
      <c r="I68" s="189">
        <v>5.09</v>
      </c>
      <c r="J68" s="189">
        <v>0.3</v>
      </c>
      <c r="K68" s="189">
        <v>272.66000000000003</v>
      </c>
      <c r="L68" s="189">
        <v>25.94</v>
      </c>
      <c r="M68" s="189">
        <v>40.549999999999997</v>
      </c>
      <c r="N68" s="189">
        <v>82.3</v>
      </c>
      <c r="O68" s="189">
        <v>0</v>
      </c>
      <c r="P68" s="189">
        <v>0.56000000000000005</v>
      </c>
      <c r="Q68" s="189">
        <v>4.32</v>
      </c>
    </row>
    <row r="69" spans="1:17" customFormat="1">
      <c r="A69" s="6" t="s">
        <v>1163</v>
      </c>
      <c r="B69" s="189">
        <v>7.18</v>
      </c>
      <c r="C69" s="189">
        <v>23.66</v>
      </c>
      <c r="D69" s="189">
        <v>19.47</v>
      </c>
      <c r="E69" s="189">
        <v>7.26</v>
      </c>
      <c r="F69" s="189">
        <v>3.68</v>
      </c>
      <c r="G69" s="189">
        <v>25.42</v>
      </c>
      <c r="H69" s="189">
        <v>16.600000000000001</v>
      </c>
      <c r="I69" s="189">
        <v>4.9800000000000004</v>
      </c>
      <c r="J69" s="189">
        <v>0.08</v>
      </c>
      <c r="K69" s="189">
        <v>311.2</v>
      </c>
      <c r="L69" s="189">
        <v>25.72</v>
      </c>
      <c r="M69" s="189">
        <v>41.42</v>
      </c>
      <c r="N69" s="189">
        <v>70.2</v>
      </c>
      <c r="O69" s="189">
        <v>0</v>
      </c>
      <c r="P69" s="189">
        <v>0.55000000000000004</v>
      </c>
      <c r="Q69" s="189">
        <v>4.3099999999999996</v>
      </c>
    </row>
    <row r="70" spans="1:17" customFormat="1">
      <c r="A70" s="6" t="s">
        <v>1164</v>
      </c>
      <c r="B70" s="189">
        <v>6.94</v>
      </c>
      <c r="C70" s="189">
        <v>23.33</v>
      </c>
      <c r="D70" s="189">
        <v>19.11</v>
      </c>
      <c r="E70" s="189">
        <v>6.96</v>
      </c>
      <c r="F70" s="189">
        <v>3.7</v>
      </c>
      <c r="G70" s="189">
        <v>25.81</v>
      </c>
      <c r="H70" s="189">
        <v>13.78</v>
      </c>
      <c r="I70" s="189">
        <v>4.8899999999999997</v>
      </c>
      <c r="J70" s="189">
        <v>0.11</v>
      </c>
      <c r="K70" s="189">
        <v>250.67</v>
      </c>
      <c r="L70" s="189">
        <v>25.56</v>
      </c>
      <c r="M70" s="189">
        <v>42.31</v>
      </c>
      <c r="N70" s="189">
        <v>60.5</v>
      </c>
      <c r="O70" s="189">
        <v>0</v>
      </c>
      <c r="P70" s="189">
        <v>0.54</v>
      </c>
      <c r="Q70" s="189">
        <v>4.29</v>
      </c>
    </row>
    <row r="71" spans="1:17" customFormat="1">
      <c r="A71" s="6" t="s">
        <v>1165</v>
      </c>
      <c r="B71" s="189">
        <v>6.69</v>
      </c>
      <c r="C71" s="189">
        <v>23.32</v>
      </c>
      <c r="D71" s="189">
        <v>18.899999999999999</v>
      </c>
      <c r="E71" s="189">
        <v>7.03</v>
      </c>
      <c r="F71" s="189">
        <v>3.51</v>
      </c>
      <c r="G71" s="189">
        <v>26</v>
      </c>
      <c r="H71" s="189">
        <v>13.44</v>
      </c>
      <c r="I71" s="189">
        <v>4.78</v>
      </c>
      <c r="J71" s="189">
        <v>0.2</v>
      </c>
      <c r="K71" s="189">
        <v>42.79</v>
      </c>
      <c r="L71" s="189">
        <v>25.31</v>
      </c>
      <c r="M71" s="189">
        <v>40.21</v>
      </c>
      <c r="N71" s="189">
        <v>52.3</v>
      </c>
      <c r="O71" s="189">
        <v>0</v>
      </c>
      <c r="P71" s="189">
        <v>0.53</v>
      </c>
      <c r="Q71" s="189">
        <v>4.26</v>
      </c>
    </row>
    <row r="72" spans="1:17" customFormat="1">
      <c r="A72" s="6" t="s">
        <v>1166</v>
      </c>
      <c r="B72" s="189">
        <v>6.69</v>
      </c>
      <c r="C72" s="189">
        <v>23.17</v>
      </c>
      <c r="D72" s="189">
        <v>18.82</v>
      </c>
      <c r="E72" s="189">
        <v>7.19</v>
      </c>
      <c r="F72" s="189">
        <v>3.45</v>
      </c>
      <c r="G72" s="189">
        <v>26</v>
      </c>
      <c r="H72" s="189">
        <v>13.44</v>
      </c>
      <c r="I72" s="189">
        <v>4.7</v>
      </c>
      <c r="J72" s="189">
        <v>0.19</v>
      </c>
      <c r="K72" s="189">
        <v>108.81</v>
      </c>
      <c r="L72" s="189">
        <v>25.13</v>
      </c>
      <c r="M72" s="189">
        <v>44</v>
      </c>
      <c r="N72" s="189">
        <v>44.6</v>
      </c>
      <c r="O72" s="189">
        <v>0</v>
      </c>
      <c r="P72" s="189">
        <v>0.54</v>
      </c>
      <c r="Q72" s="189">
        <v>4.2699999999999996</v>
      </c>
    </row>
    <row r="73" spans="1:17" customFormat="1">
      <c r="A73" s="6" t="s">
        <v>1167</v>
      </c>
      <c r="B73" s="189">
        <v>6.65</v>
      </c>
      <c r="C73" s="189">
        <v>23.57</v>
      </c>
      <c r="D73" s="189">
        <v>19</v>
      </c>
      <c r="E73" s="189">
        <v>6.87</v>
      </c>
      <c r="F73" s="189">
        <v>3.34</v>
      </c>
      <c r="G73" s="189">
        <v>26</v>
      </c>
      <c r="H73" s="189">
        <v>13.44</v>
      </c>
      <c r="I73" s="189">
        <v>4.62</v>
      </c>
      <c r="J73" s="189">
        <v>0.16</v>
      </c>
      <c r="K73" s="189">
        <v>168.74</v>
      </c>
      <c r="L73" s="189">
        <v>24.55</v>
      </c>
      <c r="M73" s="189">
        <v>48.36</v>
      </c>
      <c r="N73" s="189">
        <v>36.1</v>
      </c>
      <c r="O73" s="189">
        <v>0</v>
      </c>
      <c r="P73" s="189">
        <v>0.53</v>
      </c>
      <c r="Q73" s="189">
        <v>4.2699999999999996</v>
      </c>
    </row>
    <row r="74" spans="1:17" customFormat="1">
      <c r="A74" s="6" t="s">
        <v>1168</v>
      </c>
      <c r="B74" s="189">
        <v>6.8</v>
      </c>
      <c r="C74" s="189">
        <v>22.93</v>
      </c>
      <c r="D74" s="189">
        <v>18.78</v>
      </c>
      <c r="E74" s="189">
        <v>6.74</v>
      </c>
      <c r="F74" s="189">
        <v>3.22</v>
      </c>
      <c r="G74" s="189">
        <v>31.6</v>
      </c>
      <c r="H74" s="189">
        <v>13.18</v>
      </c>
      <c r="I74" s="189">
        <v>4.5199999999999996</v>
      </c>
      <c r="J74" s="189">
        <v>0.17</v>
      </c>
      <c r="K74" s="189">
        <v>175.95</v>
      </c>
      <c r="L74" s="189">
        <v>24.17</v>
      </c>
      <c r="M74" s="189">
        <v>49.02</v>
      </c>
      <c r="N74" s="189">
        <v>26.8</v>
      </c>
      <c r="O74" s="189">
        <v>0</v>
      </c>
      <c r="P74" s="189">
        <v>0.53</v>
      </c>
      <c r="Q74" s="189">
        <v>4.25</v>
      </c>
    </row>
    <row r="75" spans="1:17" customFormat="1">
      <c r="A75" s="6" t="s">
        <v>1169</v>
      </c>
      <c r="B75" s="189">
        <v>7.08</v>
      </c>
      <c r="C75" s="189">
        <v>20.079999999999998</v>
      </c>
      <c r="D75" s="189">
        <v>17.52</v>
      </c>
      <c r="E75" s="189">
        <v>6.45</v>
      </c>
      <c r="F75" s="189">
        <v>3.31</v>
      </c>
      <c r="G75" s="189">
        <v>34.270000000000003</v>
      </c>
      <c r="H75" s="189">
        <v>13.15</v>
      </c>
      <c r="I75" s="189">
        <v>4.47</v>
      </c>
      <c r="J75" s="189">
        <v>0.23</v>
      </c>
      <c r="K75" s="189">
        <v>167.77</v>
      </c>
      <c r="L75" s="189">
        <v>23.66</v>
      </c>
      <c r="M75" s="189">
        <v>52.44</v>
      </c>
      <c r="N75" s="189">
        <v>15.4</v>
      </c>
      <c r="O75" s="189">
        <v>0</v>
      </c>
      <c r="P75" s="189">
        <v>0.51</v>
      </c>
      <c r="Q75" s="189">
        <v>4.2699999999999996</v>
      </c>
    </row>
    <row r="76" spans="1:17" customFormat="1">
      <c r="A76" s="6" t="s">
        <v>1170</v>
      </c>
      <c r="B76" s="189">
        <v>7.25</v>
      </c>
      <c r="C76" s="189">
        <v>18.28</v>
      </c>
      <c r="D76" s="189">
        <v>16.72</v>
      </c>
      <c r="E76" s="189">
        <v>6.22</v>
      </c>
      <c r="F76" s="189">
        <v>3.13</v>
      </c>
      <c r="G76" s="189">
        <v>34.270000000000003</v>
      </c>
      <c r="H76" s="189">
        <v>13.15</v>
      </c>
      <c r="I76" s="189">
        <v>4.4400000000000004</v>
      </c>
      <c r="J76" s="189">
        <v>0.17</v>
      </c>
      <c r="K76" s="189">
        <v>170.11</v>
      </c>
      <c r="L76" s="189">
        <v>22.97</v>
      </c>
      <c r="M76" s="189">
        <v>55.52</v>
      </c>
      <c r="N76" s="189">
        <v>2.5</v>
      </c>
      <c r="O76" s="189">
        <v>0</v>
      </c>
      <c r="P76" s="189">
        <v>0.5</v>
      </c>
      <c r="Q76" s="189">
        <v>4.2699999999999996</v>
      </c>
    </row>
    <row r="77" spans="1:17" customFormat="1">
      <c r="A77" s="6" t="s">
        <v>1171</v>
      </c>
      <c r="B77" s="189">
        <v>7.53</v>
      </c>
      <c r="C77" s="189">
        <v>17.91</v>
      </c>
      <c r="D77" s="189">
        <v>16.75</v>
      </c>
      <c r="E77" s="189">
        <v>6.33</v>
      </c>
      <c r="F77" s="189">
        <v>2.91</v>
      </c>
      <c r="G77" s="189">
        <v>34.270000000000003</v>
      </c>
      <c r="H77" s="189">
        <v>13.15</v>
      </c>
      <c r="I77" s="189">
        <v>4.41</v>
      </c>
      <c r="J77" s="189">
        <v>0.28000000000000003</v>
      </c>
      <c r="K77" s="189">
        <v>164.68</v>
      </c>
      <c r="L77" s="189">
        <v>22.33</v>
      </c>
      <c r="M77" s="189">
        <v>60.05</v>
      </c>
      <c r="N77" s="189">
        <v>0</v>
      </c>
      <c r="O77" s="189">
        <v>0</v>
      </c>
      <c r="P77" s="189">
        <v>0.5</v>
      </c>
      <c r="Q77" s="189">
        <v>4.26</v>
      </c>
    </row>
    <row r="78" spans="1:17" customFormat="1">
      <c r="A78" s="6" t="s">
        <v>1172</v>
      </c>
      <c r="B78" s="189">
        <v>7.86</v>
      </c>
      <c r="C78" s="189">
        <v>19.190000000000001</v>
      </c>
      <c r="D78" s="189">
        <v>17.68</v>
      </c>
      <c r="E78" s="189">
        <v>6.49</v>
      </c>
      <c r="F78" s="189">
        <v>2.64</v>
      </c>
      <c r="G78" s="189">
        <v>37.380000000000003</v>
      </c>
      <c r="H78" s="189">
        <v>17.02</v>
      </c>
      <c r="I78" s="189">
        <v>4.38</v>
      </c>
      <c r="J78" s="189">
        <v>0.26</v>
      </c>
      <c r="K78" s="189">
        <v>157.80000000000001</v>
      </c>
      <c r="L78" s="189">
        <v>21.64</v>
      </c>
      <c r="M78" s="189">
        <v>65.16</v>
      </c>
      <c r="N78" s="189">
        <v>0</v>
      </c>
      <c r="O78" s="189">
        <v>0</v>
      </c>
      <c r="P78" s="189">
        <v>0.51</v>
      </c>
      <c r="Q78" s="189">
        <v>4.28</v>
      </c>
    </row>
    <row r="79" spans="1:17" customFormat="1">
      <c r="A79" s="6" t="s">
        <v>1173</v>
      </c>
      <c r="B79" s="189">
        <v>8.58</v>
      </c>
      <c r="C79" s="189">
        <v>21.06</v>
      </c>
      <c r="D79" s="189">
        <v>19.23</v>
      </c>
      <c r="E79" s="189">
        <v>6.11</v>
      </c>
      <c r="F79" s="189">
        <v>2.5299999999999998</v>
      </c>
      <c r="G79" s="189">
        <v>38.85</v>
      </c>
      <c r="H79" s="189">
        <v>17.48</v>
      </c>
      <c r="I79" s="189">
        <v>4.38</v>
      </c>
      <c r="J79" s="189">
        <v>0.22</v>
      </c>
      <c r="K79" s="189">
        <v>141.97</v>
      </c>
      <c r="L79" s="189">
        <v>21.14</v>
      </c>
      <c r="M79" s="189">
        <v>67.23</v>
      </c>
      <c r="N79" s="189">
        <v>0</v>
      </c>
      <c r="O79" s="189">
        <v>0</v>
      </c>
      <c r="P79" s="189">
        <v>0.52</v>
      </c>
      <c r="Q79" s="189">
        <v>4.3099999999999996</v>
      </c>
    </row>
    <row r="80" spans="1:17" customFormat="1">
      <c r="A80" s="6" t="s">
        <v>1174</v>
      </c>
      <c r="B80" s="189">
        <v>10.039999999999999</v>
      </c>
      <c r="C80" s="189">
        <v>22.63</v>
      </c>
      <c r="D80" s="189">
        <v>21.22</v>
      </c>
      <c r="E80" s="189">
        <v>6.63</v>
      </c>
      <c r="F80" s="189">
        <v>2.58</v>
      </c>
      <c r="G80" s="189">
        <v>38.85</v>
      </c>
      <c r="H80" s="189">
        <v>17.48</v>
      </c>
      <c r="I80" s="189">
        <v>4.41</v>
      </c>
      <c r="J80" s="189">
        <v>0.21</v>
      </c>
      <c r="K80" s="189">
        <v>136.47999999999999</v>
      </c>
      <c r="L80" s="189">
        <v>21.04</v>
      </c>
      <c r="M80" s="189">
        <v>67.930000000000007</v>
      </c>
      <c r="N80" s="189">
        <v>0</v>
      </c>
      <c r="O80" s="189">
        <v>0</v>
      </c>
      <c r="P80" s="189">
        <v>0.56000000000000005</v>
      </c>
      <c r="Q80" s="189">
        <v>4.3499999999999996</v>
      </c>
    </row>
    <row r="81" spans="1:17" customFormat="1">
      <c r="A81" s="6" t="s">
        <v>1175</v>
      </c>
      <c r="B81" s="189">
        <v>11.66</v>
      </c>
      <c r="C81" s="189">
        <v>23.96</v>
      </c>
      <c r="D81" s="189">
        <v>23.22</v>
      </c>
      <c r="E81" s="189">
        <v>7.19</v>
      </c>
      <c r="F81" s="189">
        <v>2.67</v>
      </c>
      <c r="G81" s="189">
        <v>38.85</v>
      </c>
      <c r="H81" s="189">
        <v>17.48</v>
      </c>
      <c r="I81" s="189">
        <v>4.49</v>
      </c>
      <c r="J81" s="189">
        <v>0.21</v>
      </c>
      <c r="K81" s="189">
        <v>144.38</v>
      </c>
      <c r="L81" s="189">
        <v>20.74</v>
      </c>
      <c r="M81" s="189">
        <v>69.66</v>
      </c>
      <c r="N81" s="189">
        <v>0</v>
      </c>
      <c r="O81" s="189">
        <v>0</v>
      </c>
      <c r="P81" s="189">
        <v>0.6</v>
      </c>
      <c r="Q81" s="189">
        <v>4.3899999999999997</v>
      </c>
    </row>
    <row r="82" spans="1:17" customFormat="1">
      <c r="A82" s="6" t="s">
        <v>1176</v>
      </c>
      <c r="B82" s="189">
        <v>13.61</v>
      </c>
      <c r="C82" s="189">
        <v>23.4</v>
      </c>
      <c r="D82" s="189">
        <v>24.49</v>
      </c>
      <c r="E82" s="189">
        <v>8.5</v>
      </c>
      <c r="F82" s="189">
        <v>2.95</v>
      </c>
      <c r="G82" s="189">
        <v>55.1</v>
      </c>
      <c r="H82" s="189">
        <v>21.33</v>
      </c>
      <c r="I82" s="189">
        <v>4.62</v>
      </c>
      <c r="J82" s="189">
        <v>0.2</v>
      </c>
      <c r="K82" s="189">
        <v>137.08000000000001</v>
      </c>
      <c r="L82" s="189">
        <v>20.440000000000001</v>
      </c>
      <c r="M82" s="189">
        <v>71.209999999999994</v>
      </c>
      <c r="N82" s="189">
        <v>0</v>
      </c>
      <c r="O82" s="189">
        <v>0</v>
      </c>
      <c r="P82" s="189">
        <v>0.64</v>
      </c>
      <c r="Q82" s="189">
        <v>4.45</v>
      </c>
    </row>
    <row r="83" spans="1:17" customFormat="1">
      <c r="A83" s="6" t="s">
        <v>1177</v>
      </c>
      <c r="B83" s="189">
        <v>15.32</v>
      </c>
      <c r="C83" s="189">
        <v>23.95</v>
      </c>
      <c r="D83" s="189">
        <v>26.15</v>
      </c>
      <c r="E83" s="189">
        <v>8.68</v>
      </c>
      <c r="F83" s="189">
        <v>2.75</v>
      </c>
      <c r="G83" s="189">
        <v>62.82</v>
      </c>
      <c r="H83" s="189">
        <v>22.08</v>
      </c>
      <c r="I83" s="189">
        <v>4.8899999999999997</v>
      </c>
      <c r="J83" s="189">
        <v>0.11</v>
      </c>
      <c r="K83" s="189">
        <v>105.15</v>
      </c>
      <c r="L83" s="189">
        <v>20.309999999999999</v>
      </c>
      <c r="M83" s="189">
        <v>69.23</v>
      </c>
      <c r="N83" s="189">
        <v>0</v>
      </c>
      <c r="O83" s="189">
        <v>0</v>
      </c>
      <c r="P83" s="189">
        <v>0.67</v>
      </c>
      <c r="Q83" s="189">
        <v>4.5</v>
      </c>
    </row>
    <row r="84" spans="1:17" customFormat="1">
      <c r="A84" s="6" t="s">
        <v>1178</v>
      </c>
      <c r="B84" s="189">
        <v>16.93</v>
      </c>
      <c r="C84" s="189">
        <v>24.01</v>
      </c>
      <c r="D84" s="189">
        <v>27.47</v>
      </c>
      <c r="E84" s="189">
        <v>8.81</v>
      </c>
      <c r="F84" s="189">
        <v>2.85</v>
      </c>
      <c r="G84" s="189">
        <v>62.82</v>
      </c>
      <c r="H84" s="189">
        <v>22.08</v>
      </c>
      <c r="I84" s="189">
        <v>5.19</v>
      </c>
      <c r="J84" s="189">
        <v>0.13</v>
      </c>
      <c r="K84" s="189">
        <v>125.32</v>
      </c>
      <c r="L84" s="189">
        <v>20.23</v>
      </c>
      <c r="M84" s="189">
        <v>70.63</v>
      </c>
      <c r="N84" s="189">
        <v>0</v>
      </c>
      <c r="O84" s="189">
        <v>0</v>
      </c>
      <c r="P84" s="189">
        <v>0.71</v>
      </c>
      <c r="Q84" s="189">
        <v>4.5999999999999996</v>
      </c>
    </row>
    <row r="85" spans="1:17" customFormat="1">
      <c r="A85" s="6" t="s">
        <v>1179</v>
      </c>
      <c r="B85" s="189">
        <v>17.940000000000001</v>
      </c>
      <c r="C85" s="189">
        <v>24.63</v>
      </c>
      <c r="D85" s="189">
        <v>28.6</v>
      </c>
      <c r="E85" s="189">
        <v>8.67</v>
      </c>
      <c r="F85" s="189">
        <v>2.69</v>
      </c>
      <c r="G85" s="189">
        <v>62.82</v>
      </c>
      <c r="H85" s="189">
        <v>22.08</v>
      </c>
      <c r="I85" s="189">
        <v>5.55</v>
      </c>
      <c r="J85" s="189">
        <v>0.16</v>
      </c>
      <c r="K85" s="189">
        <v>126.84</v>
      </c>
      <c r="L85" s="189">
        <v>20.03</v>
      </c>
      <c r="M85" s="189">
        <v>70.83</v>
      </c>
      <c r="N85" s="189">
        <v>0</v>
      </c>
      <c r="O85" s="189">
        <v>0</v>
      </c>
      <c r="P85" s="189">
        <v>0.73</v>
      </c>
      <c r="Q85" s="189">
        <v>4.6399999999999997</v>
      </c>
    </row>
    <row r="86" spans="1:17" customFormat="1">
      <c r="A86" s="6" t="s">
        <v>1180</v>
      </c>
      <c r="B86" s="189">
        <v>18.86</v>
      </c>
      <c r="C86" s="189">
        <v>24.99</v>
      </c>
      <c r="D86" s="189">
        <v>29.53</v>
      </c>
      <c r="E86" s="189">
        <v>8.67</v>
      </c>
      <c r="F86" s="189">
        <v>2.67</v>
      </c>
      <c r="G86" s="189">
        <v>83.42</v>
      </c>
      <c r="H86" s="189">
        <v>28.15</v>
      </c>
      <c r="I86" s="189">
        <v>5.86</v>
      </c>
      <c r="J86" s="189">
        <v>0.21</v>
      </c>
      <c r="K86" s="189">
        <v>111.08</v>
      </c>
      <c r="L86" s="189">
        <v>19.77</v>
      </c>
      <c r="M86" s="189">
        <v>71.760000000000005</v>
      </c>
      <c r="N86" s="189">
        <v>0</v>
      </c>
      <c r="O86" s="189">
        <v>0</v>
      </c>
      <c r="P86" s="189">
        <v>0.77</v>
      </c>
      <c r="Q86" s="189">
        <v>4.6500000000000004</v>
      </c>
    </row>
    <row r="87" spans="1:17" customFormat="1">
      <c r="A87" s="6" t="s">
        <v>1181</v>
      </c>
      <c r="B87" s="189">
        <v>19.59</v>
      </c>
      <c r="C87" s="189">
        <v>26.11</v>
      </c>
      <c r="D87" s="189">
        <v>30.7</v>
      </c>
      <c r="E87" s="189">
        <v>8.9600000000000009</v>
      </c>
      <c r="F87" s="189">
        <v>2.4300000000000002</v>
      </c>
      <c r="G87" s="189">
        <v>93.21</v>
      </c>
      <c r="H87" s="189">
        <v>28.86</v>
      </c>
      <c r="I87" s="189">
        <v>6.14</v>
      </c>
      <c r="J87" s="189">
        <v>0.14000000000000001</v>
      </c>
      <c r="K87" s="189">
        <v>87.29</v>
      </c>
      <c r="L87" s="189">
        <v>19.989999999999998</v>
      </c>
      <c r="M87" s="189">
        <v>68.14</v>
      </c>
      <c r="N87" s="189">
        <v>0</v>
      </c>
      <c r="O87" s="189">
        <v>0</v>
      </c>
      <c r="P87" s="189">
        <v>0.8</v>
      </c>
      <c r="Q87" s="189">
        <v>4.68</v>
      </c>
    </row>
    <row r="88" spans="1:17" customFormat="1">
      <c r="A88" s="6" t="s">
        <v>1182</v>
      </c>
      <c r="B88" s="189">
        <v>20.32</v>
      </c>
      <c r="C88" s="189">
        <v>25.21</v>
      </c>
      <c r="D88" s="189">
        <v>30.82</v>
      </c>
      <c r="E88" s="189">
        <v>8.91</v>
      </c>
      <c r="F88" s="189">
        <v>2.57</v>
      </c>
      <c r="G88" s="189">
        <v>93.21</v>
      </c>
      <c r="H88" s="189">
        <v>28.86</v>
      </c>
      <c r="I88" s="189">
        <v>6.4</v>
      </c>
      <c r="J88" s="189">
        <v>0.21</v>
      </c>
      <c r="K88" s="189">
        <v>56.23</v>
      </c>
      <c r="L88" s="189">
        <v>20.079999999999998</v>
      </c>
      <c r="M88" s="189">
        <v>65.239999999999995</v>
      </c>
      <c r="N88" s="189">
        <v>0</v>
      </c>
      <c r="O88" s="189">
        <v>0</v>
      </c>
      <c r="P88" s="189">
        <v>0.81</v>
      </c>
      <c r="Q88" s="189">
        <v>4.6900000000000004</v>
      </c>
    </row>
    <row r="89" spans="1:17" customFormat="1">
      <c r="A89" s="6" t="s">
        <v>1183</v>
      </c>
      <c r="B89" s="189">
        <v>20.87</v>
      </c>
      <c r="C89" s="189">
        <v>25.21</v>
      </c>
      <c r="D89" s="189">
        <v>31.26</v>
      </c>
      <c r="E89" s="189">
        <v>8.93</v>
      </c>
      <c r="F89" s="189">
        <v>2.65</v>
      </c>
      <c r="G89" s="189">
        <v>93.21</v>
      </c>
      <c r="H89" s="189">
        <v>28.86</v>
      </c>
      <c r="I89" s="189">
        <v>6.65</v>
      </c>
      <c r="J89" s="189">
        <v>0.14000000000000001</v>
      </c>
      <c r="K89" s="189">
        <v>67.37</v>
      </c>
      <c r="L89" s="189">
        <v>20.07</v>
      </c>
      <c r="M89" s="189">
        <v>65.13</v>
      </c>
      <c r="N89" s="189">
        <v>0</v>
      </c>
      <c r="O89" s="189">
        <v>0</v>
      </c>
      <c r="P89" s="189">
        <v>0.81</v>
      </c>
      <c r="Q89" s="189">
        <v>4.7300000000000004</v>
      </c>
    </row>
    <row r="90" spans="1:17" customFormat="1">
      <c r="A90" s="6" t="s">
        <v>1184</v>
      </c>
      <c r="B90" s="189">
        <v>21.09</v>
      </c>
      <c r="C90" s="189">
        <v>25.98</v>
      </c>
      <c r="D90" s="189">
        <v>31.84</v>
      </c>
      <c r="E90" s="189">
        <v>9.2899999999999991</v>
      </c>
      <c r="F90" s="189">
        <v>2.59</v>
      </c>
      <c r="G90" s="189">
        <v>106.36</v>
      </c>
      <c r="H90" s="189">
        <v>32.6</v>
      </c>
      <c r="I90" s="189">
        <v>6.81</v>
      </c>
      <c r="J90" s="189">
        <v>0.1</v>
      </c>
      <c r="K90" s="189">
        <v>107.4</v>
      </c>
      <c r="L90" s="189">
        <v>19.79</v>
      </c>
      <c r="M90" s="189">
        <v>68.27</v>
      </c>
      <c r="N90" s="189">
        <v>0</v>
      </c>
      <c r="O90" s="189">
        <v>0</v>
      </c>
      <c r="P90" s="189">
        <v>0.83</v>
      </c>
      <c r="Q90" s="189">
        <v>4.72</v>
      </c>
    </row>
    <row r="91" spans="1:17" customFormat="1">
      <c r="A91" s="6" t="s">
        <v>1185</v>
      </c>
      <c r="B91" s="189">
        <v>21.25</v>
      </c>
      <c r="C91" s="189">
        <v>25.85</v>
      </c>
      <c r="D91" s="189">
        <v>31.9</v>
      </c>
      <c r="E91" s="189">
        <v>8.94</v>
      </c>
      <c r="F91" s="189">
        <v>2.7</v>
      </c>
      <c r="G91" s="189">
        <v>112.61</v>
      </c>
      <c r="H91" s="189">
        <v>33.04</v>
      </c>
      <c r="I91" s="189">
        <v>6.93</v>
      </c>
      <c r="J91" s="189">
        <v>0.13</v>
      </c>
      <c r="K91" s="189">
        <v>140.61000000000001</v>
      </c>
      <c r="L91" s="189">
        <v>19.39</v>
      </c>
      <c r="M91" s="189">
        <v>71.89</v>
      </c>
      <c r="N91" s="189">
        <v>0</v>
      </c>
      <c r="O91" s="189">
        <v>0</v>
      </c>
      <c r="P91" s="189">
        <v>0.83</v>
      </c>
      <c r="Q91" s="189">
        <v>4.74</v>
      </c>
    </row>
    <row r="92" spans="1:17" customFormat="1">
      <c r="A92" s="6" t="s">
        <v>1186</v>
      </c>
      <c r="B92" s="189">
        <v>21.21</v>
      </c>
      <c r="C92" s="189">
        <v>27.21</v>
      </c>
      <c r="D92" s="189">
        <v>32.58</v>
      </c>
      <c r="E92" s="189">
        <v>9.34</v>
      </c>
      <c r="F92" s="189">
        <v>2.62</v>
      </c>
      <c r="G92" s="189">
        <v>112.61</v>
      </c>
      <c r="H92" s="189">
        <v>33.04</v>
      </c>
      <c r="I92" s="189">
        <v>7.02</v>
      </c>
      <c r="J92" s="189">
        <v>0.11</v>
      </c>
      <c r="K92" s="189">
        <v>212.96</v>
      </c>
      <c r="L92" s="189">
        <v>18.940000000000001</v>
      </c>
      <c r="M92" s="189">
        <v>74.680000000000007</v>
      </c>
      <c r="N92" s="189">
        <v>0</v>
      </c>
      <c r="O92" s="189">
        <v>0</v>
      </c>
      <c r="P92" s="189">
        <v>0.85</v>
      </c>
      <c r="Q92" s="189">
        <v>4.74</v>
      </c>
    </row>
    <row r="93" spans="1:17" customFormat="1">
      <c r="A93" s="6" t="s">
        <v>1187</v>
      </c>
      <c r="B93" s="189">
        <v>20.74</v>
      </c>
      <c r="C93" s="189">
        <v>26.87</v>
      </c>
      <c r="D93" s="189">
        <v>32.020000000000003</v>
      </c>
      <c r="E93" s="189">
        <v>9.35</v>
      </c>
      <c r="F93" s="189">
        <v>2.73</v>
      </c>
      <c r="G93" s="189">
        <v>112.61</v>
      </c>
      <c r="H93" s="189">
        <v>33.04</v>
      </c>
      <c r="I93" s="189">
        <v>7.11</v>
      </c>
      <c r="J93" s="189">
        <v>0.16</v>
      </c>
      <c r="K93" s="189">
        <v>229.82</v>
      </c>
      <c r="L93" s="189">
        <v>18.37</v>
      </c>
      <c r="M93" s="189">
        <v>80.03</v>
      </c>
      <c r="N93" s="189">
        <v>0</v>
      </c>
      <c r="O93" s="189">
        <v>0</v>
      </c>
      <c r="P93" s="189">
        <v>0.86</v>
      </c>
      <c r="Q93" s="189">
        <v>4.7699999999999996</v>
      </c>
    </row>
    <row r="94" spans="1:17" customFormat="1">
      <c r="A94" s="6" t="s">
        <v>1188</v>
      </c>
      <c r="B94" s="189">
        <v>19.71</v>
      </c>
      <c r="C94" s="189">
        <v>26.91</v>
      </c>
      <c r="D94" s="189">
        <v>31.21</v>
      </c>
      <c r="E94" s="189">
        <v>8.76</v>
      </c>
      <c r="F94" s="189">
        <v>2.88</v>
      </c>
      <c r="G94" s="189">
        <v>109.35</v>
      </c>
      <c r="H94" s="189">
        <v>34.28</v>
      </c>
      <c r="I94" s="189">
        <v>7.21</v>
      </c>
      <c r="J94" s="189">
        <v>0.15</v>
      </c>
      <c r="K94" s="189">
        <v>220</v>
      </c>
      <c r="L94" s="189">
        <v>18.11</v>
      </c>
      <c r="M94" s="189">
        <v>79.290000000000006</v>
      </c>
      <c r="N94" s="189">
        <v>0</v>
      </c>
      <c r="O94" s="189">
        <v>0</v>
      </c>
      <c r="P94" s="189">
        <v>0.86</v>
      </c>
      <c r="Q94" s="189">
        <v>4.75</v>
      </c>
    </row>
    <row r="95" spans="1:17" customFormat="1">
      <c r="A95" s="6" t="s">
        <v>1189</v>
      </c>
      <c r="B95" s="189">
        <v>18.600000000000001</v>
      </c>
      <c r="C95" s="189">
        <v>26.63</v>
      </c>
      <c r="D95" s="189">
        <v>30.18</v>
      </c>
      <c r="E95" s="189">
        <v>9.07</v>
      </c>
      <c r="F95" s="189">
        <v>2.76</v>
      </c>
      <c r="G95" s="189">
        <v>107.8</v>
      </c>
      <c r="H95" s="189">
        <v>34.43</v>
      </c>
      <c r="I95" s="189">
        <v>7.24</v>
      </c>
      <c r="J95" s="189">
        <v>0.17</v>
      </c>
      <c r="K95" s="189">
        <v>197.11</v>
      </c>
      <c r="L95" s="189">
        <v>17.72</v>
      </c>
      <c r="M95" s="189">
        <v>87.05</v>
      </c>
      <c r="N95" s="189">
        <v>0</v>
      </c>
      <c r="O95" s="189">
        <v>0</v>
      </c>
      <c r="P95" s="189">
        <v>0.85</v>
      </c>
      <c r="Q95" s="189">
        <v>4.71</v>
      </c>
    </row>
    <row r="96" spans="1:17" customFormat="1">
      <c r="A96" s="6" t="s">
        <v>1190</v>
      </c>
      <c r="B96" s="189">
        <v>17.78</v>
      </c>
      <c r="C96" s="189">
        <v>26.59</v>
      </c>
      <c r="D96" s="189">
        <v>29.5</v>
      </c>
      <c r="E96" s="189">
        <v>9.02</v>
      </c>
      <c r="F96" s="189">
        <v>2.84</v>
      </c>
      <c r="G96" s="189">
        <v>107.8</v>
      </c>
      <c r="H96" s="189">
        <v>34.43</v>
      </c>
      <c r="I96" s="189">
        <v>7.2</v>
      </c>
      <c r="J96" s="189">
        <v>0.14000000000000001</v>
      </c>
      <c r="K96" s="189">
        <v>204.14</v>
      </c>
      <c r="L96" s="189">
        <v>17.559999999999999</v>
      </c>
      <c r="M96" s="189">
        <v>88.31</v>
      </c>
      <c r="N96" s="189">
        <v>0</v>
      </c>
      <c r="O96" s="189">
        <v>0</v>
      </c>
      <c r="P96" s="189">
        <v>0.85</v>
      </c>
      <c r="Q96" s="189">
        <v>4.67</v>
      </c>
    </row>
    <row r="97" spans="1:22" customFormat="1">
      <c r="A97" s="6" t="s">
        <v>1191</v>
      </c>
      <c r="B97" s="189">
        <v>17.149999999999999</v>
      </c>
      <c r="C97" s="189">
        <v>26.16</v>
      </c>
      <c r="D97" s="189">
        <v>28.77</v>
      </c>
      <c r="E97" s="189">
        <v>9.1999999999999993</v>
      </c>
      <c r="F97" s="189">
        <v>2.8</v>
      </c>
      <c r="G97" s="189">
        <v>107.8</v>
      </c>
      <c r="H97" s="189">
        <v>34.43</v>
      </c>
      <c r="I97" s="189">
        <v>7.14</v>
      </c>
      <c r="J97" s="189">
        <v>0.13</v>
      </c>
      <c r="K97" s="189">
        <v>241.68</v>
      </c>
      <c r="L97" s="189">
        <v>17.43</v>
      </c>
      <c r="M97" s="189">
        <v>86.4</v>
      </c>
      <c r="N97" s="189">
        <v>0</v>
      </c>
      <c r="O97" s="189">
        <v>0</v>
      </c>
      <c r="P97" s="189">
        <v>0.85</v>
      </c>
      <c r="Q97" s="189">
        <v>4.63</v>
      </c>
    </row>
    <row r="98" spans="1:22" customFormat="1">
      <c r="A98" s="6" t="s">
        <v>1192</v>
      </c>
      <c r="B98" s="189">
        <v>16.57</v>
      </c>
      <c r="C98" s="189">
        <v>25.94</v>
      </c>
      <c r="D98" s="189">
        <v>28.19</v>
      </c>
      <c r="E98" s="189">
        <v>8.69</v>
      </c>
      <c r="F98" s="189">
        <v>2.77</v>
      </c>
      <c r="G98" s="189">
        <v>95.69</v>
      </c>
      <c r="H98" s="189">
        <v>34.19</v>
      </c>
      <c r="I98" s="189">
        <v>7.1</v>
      </c>
      <c r="J98" s="189">
        <v>0.11</v>
      </c>
      <c r="K98" s="189">
        <v>227.66</v>
      </c>
      <c r="L98" s="189">
        <v>17.27</v>
      </c>
      <c r="M98" s="189">
        <v>82.89</v>
      </c>
      <c r="N98" s="189">
        <v>0</v>
      </c>
      <c r="O98" s="189">
        <v>0</v>
      </c>
      <c r="P98" s="189">
        <v>0.84</v>
      </c>
      <c r="Q98" s="189">
        <v>4.6100000000000003</v>
      </c>
    </row>
    <row r="99" spans="1:22" customFormat="1">
      <c r="A99" s="6" t="s">
        <v>1193</v>
      </c>
      <c r="B99" s="189">
        <v>15.98</v>
      </c>
      <c r="C99" s="189">
        <v>25.54</v>
      </c>
      <c r="D99" s="189">
        <v>27.51</v>
      </c>
      <c r="E99" s="189">
        <v>8.85</v>
      </c>
      <c r="F99" s="189">
        <v>2.67</v>
      </c>
      <c r="G99" s="189">
        <v>89.93</v>
      </c>
      <c r="H99" s="189">
        <v>34.17</v>
      </c>
      <c r="I99" s="189">
        <v>7.06</v>
      </c>
      <c r="J99" s="189">
        <v>0.1</v>
      </c>
      <c r="K99" s="189">
        <v>224.13</v>
      </c>
      <c r="L99" s="189">
        <v>17.14</v>
      </c>
      <c r="M99" s="189">
        <v>85.22</v>
      </c>
      <c r="N99" s="189">
        <v>0</v>
      </c>
      <c r="O99" s="189">
        <v>0</v>
      </c>
      <c r="P99" s="189">
        <v>0.82</v>
      </c>
      <c r="Q99" s="189">
        <v>4.6100000000000003</v>
      </c>
    </row>
    <row r="100" spans="1:22" customFormat="1">
      <c r="A100" s="6" t="s">
        <v>1194</v>
      </c>
      <c r="B100" s="189">
        <v>15.38</v>
      </c>
      <c r="C100" s="189">
        <v>25.32</v>
      </c>
      <c r="D100" s="189">
        <v>26.91</v>
      </c>
      <c r="E100" s="189">
        <v>9.06</v>
      </c>
      <c r="F100" s="189">
        <v>2.7</v>
      </c>
      <c r="G100" s="189">
        <v>89.93</v>
      </c>
      <c r="H100" s="189">
        <v>34.17</v>
      </c>
      <c r="I100" s="189">
        <v>7</v>
      </c>
      <c r="J100" s="189">
        <v>0.1</v>
      </c>
      <c r="K100" s="189">
        <v>187.79</v>
      </c>
      <c r="L100" s="189">
        <v>16.989999999999998</v>
      </c>
      <c r="M100" s="189">
        <v>90.7</v>
      </c>
      <c r="N100" s="189">
        <v>0</v>
      </c>
      <c r="O100" s="189">
        <v>0</v>
      </c>
      <c r="P100" s="189">
        <v>0.83</v>
      </c>
      <c r="Q100" s="189">
        <v>4.5999999999999996</v>
      </c>
    </row>
    <row r="101" spans="1:22" customFormat="1">
      <c r="A101" s="6" t="s">
        <v>1195</v>
      </c>
      <c r="B101" s="189">
        <v>14.94</v>
      </c>
      <c r="C101" s="189">
        <v>25.02</v>
      </c>
      <c r="D101" s="189">
        <v>26.4</v>
      </c>
      <c r="E101" s="189">
        <v>8.75</v>
      </c>
      <c r="F101" s="189">
        <v>2.68</v>
      </c>
      <c r="G101" s="189">
        <v>89.93</v>
      </c>
      <c r="H101" s="189">
        <v>34.17</v>
      </c>
      <c r="I101" s="189">
        <v>6.91</v>
      </c>
      <c r="J101" s="189">
        <v>0.09</v>
      </c>
      <c r="K101" s="189">
        <v>222.97</v>
      </c>
      <c r="L101" s="189">
        <v>16.89</v>
      </c>
      <c r="M101" s="189">
        <v>88.71</v>
      </c>
      <c r="N101" s="189">
        <v>0</v>
      </c>
      <c r="O101" s="189">
        <v>0</v>
      </c>
      <c r="P101" s="189">
        <v>0.82</v>
      </c>
      <c r="Q101" s="189">
        <v>4.57</v>
      </c>
    </row>
    <row r="102" spans="1:22" customFormat="1">
      <c r="A102" s="6" t="s">
        <v>1196</v>
      </c>
      <c r="B102" s="189">
        <v>14.49</v>
      </c>
      <c r="C102" s="189">
        <v>24.85</v>
      </c>
      <c r="D102" s="189">
        <v>25.95</v>
      </c>
      <c r="E102" s="189">
        <v>8.5500000000000007</v>
      </c>
      <c r="F102" s="189">
        <v>2.7</v>
      </c>
      <c r="G102" s="189">
        <v>82.94</v>
      </c>
      <c r="H102" s="189">
        <v>34.03</v>
      </c>
      <c r="I102" s="189">
        <v>6.83</v>
      </c>
      <c r="J102" s="189">
        <v>0.12</v>
      </c>
      <c r="K102" s="189">
        <v>239.67</v>
      </c>
      <c r="L102" s="189">
        <v>16.84</v>
      </c>
      <c r="M102" s="189">
        <v>88.56</v>
      </c>
      <c r="N102" s="189">
        <v>0</v>
      </c>
      <c r="O102" s="189">
        <v>0</v>
      </c>
      <c r="P102" s="189">
        <v>0.8</v>
      </c>
      <c r="Q102" s="189">
        <v>4.55</v>
      </c>
    </row>
    <row r="103" spans="1:22" customFormat="1">
      <c r="A103" s="6" t="s">
        <v>1197</v>
      </c>
      <c r="B103" s="189">
        <v>14.88</v>
      </c>
      <c r="C103" s="189">
        <v>25.05</v>
      </c>
      <c r="D103" s="189">
        <v>26.37</v>
      </c>
      <c r="E103" s="189">
        <v>8.36</v>
      </c>
      <c r="F103" s="189">
        <v>2.7</v>
      </c>
      <c r="G103" s="189">
        <v>79.62</v>
      </c>
      <c r="H103" s="189">
        <v>34.01</v>
      </c>
      <c r="I103" s="189">
        <v>6.73</v>
      </c>
      <c r="J103" s="189">
        <v>0.03</v>
      </c>
      <c r="K103" s="189">
        <v>239.76</v>
      </c>
      <c r="L103" s="189">
        <v>16.64</v>
      </c>
      <c r="M103" s="189">
        <v>88.66</v>
      </c>
      <c r="N103" s="189">
        <v>0</v>
      </c>
      <c r="O103" s="189">
        <v>0</v>
      </c>
      <c r="P103" s="189">
        <v>0.8</v>
      </c>
      <c r="Q103" s="189">
        <v>4.5599999999999996</v>
      </c>
    </row>
    <row r="104" spans="1:22" customFormat="1">
      <c r="A104" s="6" t="s">
        <v>1198</v>
      </c>
      <c r="B104" s="189">
        <v>17.98</v>
      </c>
      <c r="C104" s="189">
        <v>25.79</v>
      </c>
      <c r="D104" s="189">
        <v>29.24</v>
      </c>
      <c r="E104" s="189">
        <v>8.56</v>
      </c>
      <c r="F104" s="189">
        <v>2.75</v>
      </c>
      <c r="G104" s="189">
        <v>79.62</v>
      </c>
      <c r="H104" s="189">
        <v>34.01</v>
      </c>
      <c r="I104" s="189">
        <v>6.65</v>
      </c>
      <c r="J104" s="189">
        <v>0.13</v>
      </c>
      <c r="K104" s="189">
        <v>195.76</v>
      </c>
      <c r="L104" s="189">
        <v>16.73</v>
      </c>
      <c r="M104" s="189">
        <v>86.89</v>
      </c>
      <c r="N104" s="189">
        <v>0</v>
      </c>
      <c r="O104" s="189">
        <v>0</v>
      </c>
      <c r="P104" s="189">
        <v>0.81</v>
      </c>
      <c r="Q104" s="189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6.65</v>
      </c>
      <c r="C106" s="183">
        <f>MIN(C9:C104)</f>
        <v>17.91</v>
      </c>
      <c r="D106" s="183">
        <f t="shared" ref="D106:Q106" si="0">MIN(D9:D104)</f>
        <v>16.72</v>
      </c>
      <c r="E106" s="183">
        <f t="shared" si="0"/>
        <v>6.11</v>
      </c>
      <c r="F106" s="183">
        <f t="shared" si="0"/>
        <v>2.39</v>
      </c>
      <c r="G106" s="183">
        <f t="shared" si="0"/>
        <v>25.35</v>
      </c>
      <c r="H106" s="183">
        <f t="shared" si="0"/>
        <v>13.15</v>
      </c>
      <c r="I106" s="183">
        <f t="shared" si="0"/>
        <v>4.38</v>
      </c>
      <c r="J106" s="183">
        <f t="shared" si="0"/>
        <v>0.02</v>
      </c>
      <c r="K106" s="183">
        <f t="shared" si="0"/>
        <v>38.04</v>
      </c>
      <c r="L106" s="183">
        <f t="shared" si="0"/>
        <v>14.71</v>
      </c>
      <c r="M106" s="183">
        <f t="shared" si="0"/>
        <v>37.700000000000003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65.400000000000006</v>
      </c>
      <c r="C107" s="184">
        <f t="shared" ref="C107:Q107" si="1">MAX(C9:C104)</f>
        <v>29.21</v>
      </c>
      <c r="D107" s="184">
        <f t="shared" si="1"/>
        <v>68.73</v>
      </c>
      <c r="E107" s="184">
        <f t="shared" si="1"/>
        <v>10.47</v>
      </c>
      <c r="F107" s="184">
        <f t="shared" si="1"/>
        <v>3.7</v>
      </c>
      <c r="G107" s="184">
        <f t="shared" si="1"/>
        <v>147.97</v>
      </c>
      <c r="H107" s="184">
        <f t="shared" si="1"/>
        <v>49.18</v>
      </c>
      <c r="I107" s="184">
        <f t="shared" si="1"/>
        <v>10.84</v>
      </c>
      <c r="J107" s="184">
        <f t="shared" si="1"/>
        <v>0.67</v>
      </c>
      <c r="K107" s="184">
        <f t="shared" si="1"/>
        <v>311.2</v>
      </c>
      <c r="L107" s="184">
        <f t="shared" si="1"/>
        <v>27.58</v>
      </c>
      <c r="M107" s="184">
        <f t="shared" si="1"/>
        <v>98.21</v>
      </c>
      <c r="N107" s="184">
        <f t="shared" si="1"/>
        <v>710.2</v>
      </c>
      <c r="O107" s="184">
        <f t="shared" si="1"/>
        <v>0</v>
      </c>
      <c r="P107" s="184">
        <f t="shared" si="1"/>
        <v>1.33</v>
      </c>
      <c r="Q107" s="184">
        <f t="shared" si="1"/>
        <v>6.07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29.802812500000012</v>
      </c>
      <c r="C108" s="183">
        <f t="shared" ref="C108:Q108" si="2">AVERAGE(C9:C104)</f>
        <v>25.530416666666671</v>
      </c>
      <c r="D108" s="183">
        <f t="shared" si="2"/>
        <v>38.589374999999997</v>
      </c>
      <c r="E108" s="183">
        <f t="shared" si="2"/>
        <v>8.4286458333333325</v>
      </c>
      <c r="F108" s="183">
        <f t="shared" si="2"/>
        <v>2.8131249999999994</v>
      </c>
      <c r="G108" s="183">
        <f t="shared" si="2"/>
        <v>76.49531250000004</v>
      </c>
      <c r="H108" s="183">
        <f t="shared" si="2"/>
        <v>30.095208333333336</v>
      </c>
      <c r="I108" s="183">
        <f t="shared" si="2"/>
        <v>7.395833333333333</v>
      </c>
      <c r="J108" s="183">
        <f t="shared" si="2"/>
        <v>0.18979166666666672</v>
      </c>
      <c r="K108" s="183">
        <f t="shared" si="2"/>
        <v>156.37697916666667</v>
      </c>
      <c r="L108" s="183">
        <f t="shared" si="2"/>
        <v>20.285416666666674</v>
      </c>
      <c r="M108" s="183">
        <f t="shared" si="2"/>
        <v>70.518541666666692</v>
      </c>
      <c r="N108" s="183">
        <f t="shared" si="2"/>
        <v>118.36874999999999</v>
      </c>
      <c r="O108" s="183">
        <f t="shared" si="2"/>
        <v>0</v>
      </c>
      <c r="P108" s="183">
        <f t="shared" si="2"/>
        <v>0.85218749999999943</v>
      </c>
      <c r="Q108" s="183">
        <f t="shared" si="2"/>
        <v>5.0002083333333323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18.560880009940821</v>
      </c>
      <c r="C109" s="183">
        <f t="shared" ref="C109:Q109" si="3">STDEV(C9:C104)</f>
        <v>2.2655590301949351</v>
      </c>
      <c r="D109" s="183">
        <f t="shared" si="3"/>
        <v>15.799492917412536</v>
      </c>
      <c r="E109" s="183">
        <f t="shared" si="3"/>
        <v>1.214888879295182</v>
      </c>
      <c r="F109" s="183">
        <f t="shared" si="3"/>
        <v>0.30740103242644706</v>
      </c>
      <c r="G109" s="183">
        <f t="shared" si="3"/>
        <v>35.729766064994088</v>
      </c>
      <c r="H109" s="183">
        <f t="shared" si="3"/>
        <v>10.58080128088668</v>
      </c>
      <c r="I109" s="183">
        <f t="shared" si="3"/>
        <v>1.8831120192895987</v>
      </c>
      <c r="J109" s="183">
        <f t="shared" si="3"/>
        <v>0.12639103204917707</v>
      </c>
      <c r="K109" s="183">
        <f t="shared" si="3"/>
        <v>71.971300568458247</v>
      </c>
      <c r="L109" s="183">
        <f t="shared" si="3"/>
        <v>4.1733013352845054</v>
      </c>
      <c r="M109" s="183">
        <f t="shared" si="3"/>
        <v>21.031864245481085</v>
      </c>
      <c r="N109" s="183">
        <f t="shared" si="3"/>
        <v>205.47918030660352</v>
      </c>
      <c r="O109" s="183">
        <f t="shared" si="3"/>
        <v>0</v>
      </c>
      <c r="P109" s="183">
        <f t="shared" si="3"/>
        <v>0.23833723619672975</v>
      </c>
      <c r="Q109" s="183">
        <f t="shared" si="3"/>
        <v>0.57049190070669131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11/12/2023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1199</v>
      </c>
      <c r="B9" s="189">
        <v>21.47</v>
      </c>
      <c r="C9" s="189">
        <v>27.38</v>
      </c>
      <c r="D9" s="189">
        <v>32.869999999999997</v>
      </c>
      <c r="E9" s="189">
        <v>9.24</v>
      </c>
      <c r="F9" s="189">
        <v>2.69</v>
      </c>
      <c r="G9" s="189">
        <v>79.62</v>
      </c>
      <c r="H9" s="189">
        <v>34.01</v>
      </c>
      <c r="I9" s="189">
        <v>6.62</v>
      </c>
      <c r="J9" s="189">
        <v>0.09</v>
      </c>
      <c r="K9" s="189">
        <v>195.11</v>
      </c>
      <c r="L9" s="189">
        <v>16.559999999999999</v>
      </c>
      <c r="M9" s="189">
        <v>89.7</v>
      </c>
      <c r="N9" s="189">
        <v>0</v>
      </c>
      <c r="O9" s="189">
        <v>0</v>
      </c>
      <c r="P9" s="189">
        <v>0.82</v>
      </c>
      <c r="Q9" s="189">
        <v>4.7300000000000004</v>
      </c>
    </row>
    <row r="10" spans="1:21" customFormat="1">
      <c r="A10" s="6" t="s">
        <v>1200</v>
      </c>
      <c r="B10" s="189">
        <v>22.44</v>
      </c>
      <c r="C10" s="189">
        <v>27.5</v>
      </c>
      <c r="D10" s="189">
        <v>33.72</v>
      </c>
      <c r="E10" s="189">
        <v>8.6999999999999993</v>
      </c>
      <c r="F10" s="189">
        <v>2.6</v>
      </c>
      <c r="G10" s="189">
        <v>82.96</v>
      </c>
      <c r="H10" s="189">
        <v>34.97</v>
      </c>
      <c r="I10" s="189">
        <v>6.62</v>
      </c>
      <c r="J10" s="189">
        <v>0.1</v>
      </c>
      <c r="K10" s="189">
        <v>212.53</v>
      </c>
      <c r="L10" s="189">
        <v>16.47</v>
      </c>
      <c r="M10" s="189">
        <v>90.64</v>
      </c>
      <c r="N10" s="189">
        <v>0</v>
      </c>
      <c r="O10" s="189">
        <v>0</v>
      </c>
      <c r="P10" s="189">
        <v>0.82</v>
      </c>
      <c r="Q10" s="189">
        <v>4.82</v>
      </c>
    </row>
    <row r="11" spans="1:21" customFormat="1">
      <c r="A11" s="6" t="s">
        <v>1201</v>
      </c>
      <c r="B11" s="189">
        <v>22.51</v>
      </c>
      <c r="C11" s="189">
        <v>27.54</v>
      </c>
      <c r="D11" s="189">
        <v>33.79</v>
      </c>
      <c r="E11" s="189">
        <v>9.01</v>
      </c>
      <c r="F11" s="189">
        <v>2.68</v>
      </c>
      <c r="G11" s="189">
        <v>84.55</v>
      </c>
      <c r="H11" s="189">
        <v>35.130000000000003</v>
      </c>
      <c r="I11" s="189">
        <v>6.57</v>
      </c>
      <c r="J11" s="189">
        <v>7.0000000000000007E-2</v>
      </c>
      <c r="K11" s="189">
        <v>198.9</v>
      </c>
      <c r="L11" s="189">
        <v>16.34</v>
      </c>
      <c r="M11" s="189">
        <v>90.45</v>
      </c>
      <c r="N11" s="189">
        <v>0</v>
      </c>
      <c r="O11" s="189">
        <v>0</v>
      </c>
      <c r="P11" s="189">
        <v>0.81</v>
      </c>
      <c r="Q11" s="189">
        <v>4.84</v>
      </c>
    </row>
    <row r="12" spans="1:21" customFormat="1">
      <c r="A12" s="6" t="s">
        <v>1202</v>
      </c>
      <c r="B12" s="189">
        <v>21.79</v>
      </c>
      <c r="C12" s="189">
        <v>27.43</v>
      </c>
      <c r="D12" s="189">
        <v>33.159999999999997</v>
      </c>
      <c r="E12" s="189">
        <v>8.93</v>
      </c>
      <c r="F12" s="189">
        <v>2.72</v>
      </c>
      <c r="G12" s="189">
        <v>84.55</v>
      </c>
      <c r="H12" s="189">
        <v>35.130000000000003</v>
      </c>
      <c r="I12" s="189">
        <v>6.53</v>
      </c>
      <c r="J12" s="189">
        <v>0.09</v>
      </c>
      <c r="K12" s="189">
        <v>153.58000000000001</v>
      </c>
      <c r="L12" s="189">
        <v>16.25</v>
      </c>
      <c r="M12" s="189">
        <v>88.94</v>
      </c>
      <c r="N12" s="189">
        <v>0</v>
      </c>
      <c r="O12" s="189">
        <v>0</v>
      </c>
      <c r="P12" s="189">
        <v>0.79</v>
      </c>
      <c r="Q12" s="189">
        <v>4.84</v>
      </c>
    </row>
    <row r="13" spans="1:21" customFormat="1">
      <c r="A13" s="6" t="s">
        <v>1203</v>
      </c>
      <c r="B13" s="189">
        <v>20.75</v>
      </c>
      <c r="C13" s="189">
        <v>26.96</v>
      </c>
      <c r="D13" s="189">
        <v>32.07</v>
      </c>
      <c r="E13" s="189">
        <v>8.69</v>
      </c>
      <c r="F13" s="189">
        <v>2.61</v>
      </c>
      <c r="G13" s="189">
        <v>84.55</v>
      </c>
      <c r="H13" s="189">
        <v>35.130000000000003</v>
      </c>
      <c r="I13" s="189">
        <v>6.47</v>
      </c>
      <c r="J13" s="189">
        <v>0.06</v>
      </c>
      <c r="K13" s="189">
        <v>214.87</v>
      </c>
      <c r="L13" s="189">
        <v>16.04</v>
      </c>
      <c r="M13" s="189">
        <v>89.52</v>
      </c>
      <c r="N13" s="189">
        <v>0</v>
      </c>
      <c r="O13" s="189">
        <v>0</v>
      </c>
      <c r="P13" s="189">
        <v>0.78</v>
      </c>
      <c r="Q13" s="189">
        <v>4.8</v>
      </c>
    </row>
    <row r="14" spans="1:21" customFormat="1">
      <c r="A14" s="6" t="s">
        <v>1204</v>
      </c>
      <c r="B14" s="189">
        <v>19.87</v>
      </c>
      <c r="C14" s="189">
        <v>26.29</v>
      </c>
      <c r="D14" s="189">
        <v>31.02</v>
      </c>
      <c r="E14" s="189">
        <v>9.02</v>
      </c>
      <c r="F14" s="189">
        <v>2.48</v>
      </c>
      <c r="G14" s="189">
        <v>73.62</v>
      </c>
      <c r="H14" s="189">
        <v>31.18</v>
      </c>
      <c r="I14" s="189">
        <v>6.36</v>
      </c>
      <c r="J14" s="189">
        <v>0.09</v>
      </c>
      <c r="K14" s="189">
        <v>162.27000000000001</v>
      </c>
      <c r="L14" s="189">
        <v>15.99</v>
      </c>
      <c r="M14" s="189">
        <v>89.24</v>
      </c>
      <c r="N14" s="189">
        <v>0</v>
      </c>
      <c r="O14" s="189">
        <v>0</v>
      </c>
      <c r="P14" s="189">
        <v>0.77</v>
      </c>
      <c r="Q14" s="189">
        <v>4.75</v>
      </c>
    </row>
    <row r="15" spans="1:21" customFormat="1">
      <c r="A15" s="6" t="s">
        <v>1205</v>
      </c>
      <c r="B15" s="189">
        <v>19.71</v>
      </c>
      <c r="C15" s="189">
        <v>26.3</v>
      </c>
      <c r="D15" s="189">
        <v>30.9</v>
      </c>
      <c r="E15" s="189">
        <v>8.65</v>
      </c>
      <c r="F15" s="189">
        <v>2.6</v>
      </c>
      <c r="G15" s="189">
        <v>68.16</v>
      </c>
      <c r="H15" s="189">
        <v>30.72</v>
      </c>
      <c r="I15" s="189">
        <v>6.25</v>
      </c>
      <c r="J15" s="189">
        <v>0.06</v>
      </c>
      <c r="K15" s="189">
        <v>354.19</v>
      </c>
      <c r="L15" s="189">
        <v>15.95</v>
      </c>
      <c r="M15" s="189">
        <v>89.11</v>
      </c>
      <c r="N15" s="189">
        <v>0</v>
      </c>
      <c r="O15" s="189">
        <v>0</v>
      </c>
      <c r="P15" s="189">
        <v>0.75</v>
      </c>
      <c r="Q15" s="189">
        <v>4.7699999999999996</v>
      </c>
    </row>
    <row r="16" spans="1:21" customFormat="1">
      <c r="A16" s="6" t="s">
        <v>1206</v>
      </c>
      <c r="B16" s="189">
        <v>20.67</v>
      </c>
      <c r="C16" s="189">
        <v>26.98</v>
      </c>
      <c r="D16" s="189">
        <v>32.03</v>
      </c>
      <c r="E16" s="189">
        <v>8.76</v>
      </c>
      <c r="F16" s="189">
        <v>2.61</v>
      </c>
      <c r="G16" s="189">
        <v>68.16</v>
      </c>
      <c r="H16" s="189">
        <v>30.72</v>
      </c>
      <c r="I16" s="189">
        <v>6.16</v>
      </c>
      <c r="J16" s="189">
        <v>0.02</v>
      </c>
      <c r="K16" s="189">
        <v>110.17</v>
      </c>
      <c r="L16" s="189">
        <v>16.02</v>
      </c>
      <c r="M16" s="189">
        <v>88.44</v>
      </c>
      <c r="N16" s="189">
        <v>0</v>
      </c>
      <c r="O16" s="189">
        <v>0</v>
      </c>
      <c r="P16" s="189">
        <v>0.75</v>
      </c>
      <c r="Q16" s="189">
        <v>4.78</v>
      </c>
    </row>
    <row r="17" spans="1:17" customFormat="1">
      <c r="A17" s="6" t="s">
        <v>1207</v>
      </c>
      <c r="B17" s="189">
        <v>21.45</v>
      </c>
      <c r="C17" s="189">
        <v>28.09</v>
      </c>
      <c r="D17" s="189">
        <v>33.22</v>
      </c>
      <c r="E17" s="189">
        <v>6.59</v>
      </c>
      <c r="F17" s="189">
        <v>2.66</v>
      </c>
      <c r="G17" s="189">
        <v>68.16</v>
      </c>
      <c r="H17" s="189">
        <v>30.72</v>
      </c>
      <c r="I17" s="189">
        <v>6.08</v>
      </c>
      <c r="J17" s="189">
        <v>7.0000000000000007E-2</v>
      </c>
      <c r="K17" s="189">
        <v>21.25</v>
      </c>
      <c r="L17" s="189">
        <v>16.059999999999999</v>
      </c>
      <c r="M17" s="189">
        <v>87.61</v>
      </c>
      <c r="N17" s="189">
        <v>0</v>
      </c>
      <c r="O17" s="189">
        <v>0</v>
      </c>
      <c r="P17" s="189">
        <v>0.75</v>
      </c>
      <c r="Q17" s="189">
        <v>4.79</v>
      </c>
    </row>
    <row r="18" spans="1:17" customFormat="1">
      <c r="A18" s="6" t="s">
        <v>1208</v>
      </c>
      <c r="B18" s="189">
        <v>22.13</v>
      </c>
      <c r="C18" s="189">
        <v>26.09</v>
      </c>
      <c r="D18" s="189">
        <v>32.729999999999997</v>
      </c>
      <c r="E18" s="189">
        <v>7.19</v>
      </c>
      <c r="F18" s="189">
        <v>2.86</v>
      </c>
      <c r="G18" s="189">
        <v>81.62</v>
      </c>
      <c r="H18" s="189">
        <v>31.51</v>
      </c>
      <c r="I18" s="189">
        <v>5.99</v>
      </c>
      <c r="J18" s="189">
        <v>0.08</v>
      </c>
      <c r="K18" s="189">
        <v>114.01</v>
      </c>
      <c r="L18" s="189">
        <v>16.13</v>
      </c>
      <c r="M18" s="189">
        <v>87.43</v>
      </c>
      <c r="N18" s="189">
        <v>0</v>
      </c>
      <c r="O18" s="189">
        <v>0</v>
      </c>
      <c r="P18" s="189">
        <v>0.73</v>
      </c>
      <c r="Q18" s="189">
        <v>4.82</v>
      </c>
    </row>
    <row r="19" spans="1:17" customFormat="1">
      <c r="A19" s="6" t="s">
        <v>1209</v>
      </c>
      <c r="B19" s="189">
        <v>22.71</v>
      </c>
      <c r="C19" s="189">
        <v>25.22</v>
      </c>
      <c r="D19" s="189">
        <v>32.74</v>
      </c>
      <c r="E19" s="189">
        <v>7.5</v>
      </c>
      <c r="F19" s="189">
        <v>2.71</v>
      </c>
      <c r="G19" s="189">
        <v>88.34</v>
      </c>
      <c r="H19" s="189">
        <v>31.6</v>
      </c>
      <c r="I19" s="189">
        <v>5.94</v>
      </c>
      <c r="J19" s="189">
        <v>0.15</v>
      </c>
      <c r="K19" s="189">
        <v>52.23</v>
      </c>
      <c r="L19" s="189">
        <v>16.02</v>
      </c>
      <c r="M19" s="189">
        <v>87.18</v>
      </c>
      <c r="N19" s="189">
        <v>0</v>
      </c>
      <c r="O19" s="189">
        <v>0</v>
      </c>
      <c r="P19" s="189">
        <v>0.71</v>
      </c>
      <c r="Q19" s="189">
        <v>4.82</v>
      </c>
    </row>
    <row r="20" spans="1:17" customFormat="1">
      <c r="A20" s="6" t="s">
        <v>1210</v>
      </c>
      <c r="B20" s="189">
        <v>23.18</v>
      </c>
      <c r="C20" s="189">
        <v>25.2</v>
      </c>
      <c r="D20" s="189">
        <v>33.11</v>
      </c>
      <c r="E20" s="189">
        <v>7.41</v>
      </c>
      <c r="F20" s="189">
        <v>2.63</v>
      </c>
      <c r="G20" s="189">
        <v>88.34</v>
      </c>
      <c r="H20" s="189">
        <v>31.6</v>
      </c>
      <c r="I20" s="189">
        <v>5.91</v>
      </c>
      <c r="J20" s="189">
        <v>0.25</v>
      </c>
      <c r="K20" s="189">
        <v>51.59</v>
      </c>
      <c r="L20" s="189">
        <v>16.07</v>
      </c>
      <c r="M20" s="189">
        <v>86.1</v>
      </c>
      <c r="N20" s="189">
        <v>0</v>
      </c>
      <c r="O20" s="189">
        <v>0</v>
      </c>
      <c r="P20" s="189">
        <v>0.7</v>
      </c>
      <c r="Q20" s="189">
        <v>4.8</v>
      </c>
    </row>
    <row r="21" spans="1:17" customFormat="1">
      <c r="A21" s="6" t="s">
        <v>1211</v>
      </c>
      <c r="B21" s="189">
        <v>23.2</v>
      </c>
      <c r="C21" s="189">
        <v>25.39</v>
      </c>
      <c r="D21" s="189">
        <v>33.22</v>
      </c>
      <c r="E21" s="189">
        <v>7.5</v>
      </c>
      <c r="F21" s="189">
        <v>2.68</v>
      </c>
      <c r="G21" s="189">
        <v>88.34</v>
      </c>
      <c r="H21" s="189">
        <v>31.6</v>
      </c>
      <c r="I21" s="189">
        <v>5.89</v>
      </c>
      <c r="J21" s="189">
        <v>0.3</v>
      </c>
      <c r="K21" s="189">
        <v>49.82</v>
      </c>
      <c r="L21" s="189">
        <v>15.96</v>
      </c>
      <c r="M21" s="189">
        <v>86.49</v>
      </c>
      <c r="N21" s="189">
        <v>0</v>
      </c>
      <c r="O21" s="189">
        <v>0</v>
      </c>
      <c r="P21" s="189">
        <v>0.7</v>
      </c>
      <c r="Q21" s="189">
        <v>4.83</v>
      </c>
    </row>
    <row r="22" spans="1:17" customFormat="1">
      <c r="A22" s="6" t="s">
        <v>1212</v>
      </c>
      <c r="B22" s="189">
        <v>23.21</v>
      </c>
      <c r="C22" s="189">
        <v>25.57</v>
      </c>
      <c r="D22" s="189">
        <v>33.32</v>
      </c>
      <c r="E22" s="189">
        <v>7.2</v>
      </c>
      <c r="F22" s="189">
        <v>2.65</v>
      </c>
      <c r="G22" s="189">
        <v>82.96</v>
      </c>
      <c r="H22" s="189">
        <v>33.11</v>
      </c>
      <c r="I22" s="189">
        <v>5.88</v>
      </c>
      <c r="J22" s="189">
        <v>0.15</v>
      </c>
      <c r="K22" s="189">
        <v>57.56</v>
      </c>
      <c r="L22" s="189">
        <v>15.84</v>
      </c>
      <c r="M22" s="189">
        <v>87.11</v>
      </c>
      <c r="N22" s="189">
        <v>0</v>
      </c>
      <c r="O22" s="189">
        <v>0</v>
      </c>
      <c r="P22" s="189">
        <v>0.7</v>
      </c>
      <c r="Q22" s="189">
        <v>4.84</v>
      </c>
    </row>
    <row r="23" spans="1:17" customFormat="1">
      <c r="A23" s="6" t="s">
        <v>1213</v>
      </c>
      <c r="B23" s="189">
        <v>23.85</v>
      </c>
      <c r="C23" s="189">
        <v>26.18</v>
      </c>
      <c r="D23" s="189">
        <v>34.15</v>
      </c>
      <c r="E23" s="189">
        <v>6.99</v>
      </c>
      <c r="F23" s="189">
        <v>2.5499999999999998</v>
      </c>
      <c r="G23" s="189">
        <v>80.27</v>
      </c>
      <c r="H23" s="189">
        <v>33.29</v>
      </c>
      <c r="I23" s="189">
        <v>5.91</v>
      </c>
      <c r="J23" s="189">
        <v>0.06</v>
      </c>
      <c r="K23" s="189">
        <v>203.02</v>
      </c>
      <c r="L23" s="189">
        <v>15.57</v>
      </c>
      <c r="M23" s="189">
        <v>89.24</v>
      </c>
      <c r="N23" s="189">
        <v>0</v>
      </c>
      <c r="O23" s="189">
        <v>0</v>
      </c>
      <c r="P23" s="189">
        <v>0.7</v>
      </c>
      <c r="Q23" s="189">
        <v>4.8600000000000003</v>
      </c>
    </row>
    <row r="24" spans="1:17" customFormat="1">
      <c r="A24" s="6" t="s">
        <v>1214</v>
      </c>
      <c r="B24" s="189">
        <v>24.27</v>
      </c>
      <c r="C24" s="189">
        <v>25.7</v>
      </c>
      <c r="D24" s="189">
        <v>34.24</v>
      </c>
      <c r="E24" s="189">
        <v>7.09</v>
      </c>
      <c r="F24" s="189">
        <v>2.61</v>
      </c>
      <c r="G24" s="189">
        <v>80.27</v>
      </c>
      <c r="H24" s="189">
        <v>33.29</v>
      </c>
      <c r="I24" s="189">
        <v>5.92</v>
      </c>
      <c r="J24" s="189">
        <v>0.09</v>
      </c>
      <c r="K24" s="189">
        <v>179.35</v>
      </c>
      <c r="L24" s="189">
        <v>15.3</v>
      </c>
      <c r="M24" s="189">
        <v>91.96</v>
      </c>
      <c r="N24" s="189">
        <v>0</v>
      </c>
      <c r="O24" s="189">
        <v>0</v>
      </c>
      <c r="P24" s="189">
        <v>0.7</v>
      </c>
      <c r="Q24" s="189">
        <v>4.87</v>
      </c>
    </row>
    <row r="25" spans="1:17" customFormat="1">
      <c r="A25" s="6" t="s">
        <v>1215</v>
      </c>
      <c r="B25" s="189">
        <v>23.8</v>
      </c>
      <c r="C25" s="189">
        <v>24.87</v>
      </c>
      <c r="D25" s="189">
        <v>33.43</v>
      </c>
      <c r="E25" s="189">
        <v>7.64</v>
      </c>
      <c r="F25" s="189">
        <v>2.61</v>
      </c>
      <c r="G25" s="189">
        <v>80.27</v>
      </c>
      <c r="H25" s="189">
        <v>33.29</v>
      </c>
      <c r="I25" s="189">
        <v>5.92</v>
      </c>
      <c r="J25" s="189">
        <v>0.11</v>
      </c>
      <c r="K25" s="189">
        <v>229.06</v>
      </c>
      <c r="L25" s="189">
        <v>15.04</v>
      </c>
      <c r="M25" s="189">
        <v>94.2</v>
      </c>
      <c r="N25" s="189">
        <v>0</v>
      </c>
      <c r="O25" s="189">
        <v>0</v>
      </c>
      <c r="P25" s="189">
        <v>0.69</v>
      </c>
      <c r="Q25" s="189">
        <v>4.8600000000000003</v>
      </c>
    </row>
    <row r="26" spans="1:17" customFormat="1">
      <c r="A26" s="6" t="s">
        <v>1216</v>
      </c>
      <c r="B26" s="189">
        <v>23.03</v>
      </c>
      <c r="C26" s="189">
        <v>24.9</v>
      </c>
      <c r="D26" s="189">
        <v>32.83</v>
      </c>
      <c r="E26" s="189">
        <v>7.34</v>
      </c>
      <c r="F26" s="189">
        <v>2.62</v>
      </c>
      <c r="G26" s="189">
        <v>73.209999999999994</v>
      </c>
      <c r="H26" s="189">
        <v>31.8</v>
      </c>
      <c r="I26" s="189">
        <v>5.91</v>
      </c>
      <c r="J26" s="189">
        <v>0.1</v>
      </c>
      <c r="K26" s="189">
        <v>221.16</v>
      </c>
      <c r="L26" s="189">
        <v>14.84</v>
      </c>
      <c r="M26" s="189">
        <v>95.54</v>
      </c>
      <c r="N26" s="189">
        <v>0</v>
      </c>
      <c r="O26" s="189">
        <v>0</v>
      </c>
      <c r="P26" s="189">
        <v>0.68</v>
      </c>
      <c r="Q26" s="189">
        <v>4.84</v>
      </c>
    </row>
    <row r="27" spans="1:17" customFormat="1">
      <c r="A27" s="6" t="s">
        <v>1217</v>
      </c>
      <c r="B27" s="189">
        <v>22.39</v>
      </c>
      <c r="C27" s="189">
        <v>24.62</v>
      </c>
      <c r="D27" s="189">
        <v>32.17</v>
      </c>
      <c r="E27" s="189">
        <v>7.41</v>
      </c>
      <c r="F27" s="189">
        <v>2.58</v>
      </c>
      <c r="G27" s="189">
        <v>69.680000000000007</v>
      </c>
      <c r="H27" s="189">
        <v>31.62</v>
      </c>
      <c r="I27" s="189">
        <v>5.85</v>
      </c>
      <c r="J27" s="189">
        <v>0.08</v>
      </c>
      <c r="K27" s="189">
        <v>230.35</v>
      </c>
      <c r="L27" s="189">
        <v>14.72</v>
      </c>
      <c r="M27" s="189">
        <v>96.2</v>
      </c>
      <c r="N27" s="189">
        <v>0</v>
      </c>
      <c r="O27" s="189">
        <v>0</v>
      </c>
      <c r="P27" s="189">
        <v>0.68</v>
      </c>
      <c r="Q27" s="189">
        <v>4.8</v>
      </c>
    </row>
    <row r="28" spans="1:17" customFormat="1">
      <c r="A28" s="6" t="s">
        <v>1218</v>
      </c>
      <c r="B28" s="189">
        <v>21.66</v>
      </c>
      <c r="C28" s="189">
        <v>24.45</v>
      </c>
      <c r="D28" s="189">
        <v>31.49</v>
      </c>
      <c r="E28" s="189">
        <v>7.39</v>
      </c>
      <c r="F28" s="189">
        <v>2.58</v>
      </c>
      <c r="G28" s="189">
        <v>69.680000000000007</v>
      </c>
      <c r="H28" s="189">
        <v>31.62</v>
      </c>
      <c r="I28" s="189">
        <v>5.83</v>
      </c>
      <c r="J28" s="189">
        <v>7.0000000000000007E-2</v>
      </c>
      <c r="K28" s="189">
        <v>150.63999999999999</v>
      </c>
      <c r="L28" s="189">
        <v>14.66</v>
      </c>
      <c r="M28" s="189">
        <v>96.96</v>
      </c>
      <c r="N28" s="189">
        <v>0</v>
      </c>
      <c r="O28" s="189">
        <v>0</v>
      </c>
      <c r="P28" s="189">
        <v>0.67</v>
      </c>
      <c r="Q28" s="189">
        <v>4.79</v>
      </c>
    </row>
    <row r="29" spans="1:17" customFormat="1">
      <c r="A29" s="6" t="s">
        <v>1219</v>
      </c>
      <c r="B29" s="189">
        <v>21.05</v>
      </c>
      <c r="C29" s="189">
        <v>22.78</v>
      </c>
      <c r="D29" s="189">
        <v>30.13</v>
      </c>
      <c r="E29" s="189">
        <v>7.76</v>
      </c>
      <c r="F29" s="189">
        <v>2.64</v>
      </c>
      <c r="G29" s="189">
        <v>69.680000000000007</v>
      </c>
      <c r="H29" s="189">
        <v>31.62</v>
      </c>
      <c r="I29" s="189">
        <v>5.8</v>
      </c>
      <c r="J29" s="189">
        <v>0.06</v>
      </c>
      <c r="K29" s="189">
        <v>205.08</v>
      </c>
      <c r="L29" s="189">
        <v>14.62</v>
      </c>
      <c r="M29" s="189">
        <v>97.23</v>
      </c>
      <c r="N29" s="189">
        <v>0</v>
      </c>
      <c r="O29" s="189">
        <v>0</v>
      </c>
      <c r="P29" s="189">
        <v>0.66</v>
      </c>
      <c r="Q29" s="189">
        <v>4.78</v>
      </c>
    </row>
    <row r="30" spans="1:17" customFormat="1">
      <c r="A30" s="6" t="s">
        <v>1220</v>
      </c>
      <c r="B30" s="189">
        <v>20.51</v>
      </c>
      <c r="C30" s="189">
        <v>23.47</v>
      </c>
      <c r="D30" s="189">
        <v>30.06</v>
      </c>
      <c r="E30" s="189">
        <v>7.15</v>
      </c>
      <c r="F30" s="189">
        <v>2.3199999999999998</v>
      </c>
      <c r="G30" s="189">
        <v>61.5</v>
      </c>
      <c r="H30" s="189">
        <v>27.53</v>
      </c>
      <c r="I30" s="189">
        <v>5.75</v>
      </c>
      <c r="J30" s="189">
        <v>0.2</v>
      </c>
      <c r="K30" s="189">
        <v>256.07</v>
      </c>
      <c r="L30" s="189">
        <v>14.44</v>
      </c>
      <c r="M30" s="189">
        <v>97.52</v>
      </c>
      <c r="N30" s="189">
        <v>0</v>
      </c>
      <c r="O30" s="189">
        <v>0</v>
      </c>
      <c r="P30" s="189">
        <v>0.66</v>
      </c>
      <c r="Q30" s="189">
        <v>4.74</v>
      </c>
    </row>
    <row r="31" spans="1:17" customFormat="1">
      <c r="A31" s="6" t="s">
        <v>1221</v>
      </c>
      <c r="B31" s="189">
        <v>20.149999999999999</v>
      </c>
      <c r="C31" s="189">
        <v>23.42</v>
      </c>
      <c r="D31" s="189">
        <v>29.74</v>
      </c>
      <c r="E31" s="189">
        <v>6.57</v>
      </c>
      <c r="F31" s="189">
        <v>2.5</v>
      </c>
      <c r="G31" s="189">
        <v>57.41</v>
      </c>
      <c r="H31" s="189">
        <v>27.05</v>
      </c>
      <c r="I31" s="189">
        <v>5.71</v>
      </c>
      <c r="J31" s="189">
        <v>0.1</v>
      </c>
      <c r="K31" s="189">
        <v>219.06</v>
      </c>
      <c r="L31" s="189">
        <v>14.32</v>
      </c>
      <c r="M31" s="189">
        <v>97.49</v>
      </c>
      <c r="N31" s="189">
        <v>0</v>
      </c>
      <c r="O31" s="189">
        <v>0</v>
      </c>
      <c r="P31" s="189">
        <v>0.66</v>
      </c>
      <c r="Q31" s="189">
        <v>4.72</v>
      </c>
    </row>
    <row r="32" spans="1:17" customFormat="1">
      <c r="A32" s="6" t="s">
        <v>1222</v>
      </c>
      <c r="B32" s="189">
        <v>20.440000000000001</v>
      </c>
      <c r="C32" s="189">
        <v>22.95</v>
      </c>
      <c r="D32" s="189">
        <v>29.74</v>
      </c>
      <c r="E32" s="189">
        <v>7.54</v>
      </c>
      <c r="F32" s="189">
        <v>2.63</v>
      </c>
      <c r="G32" s="189">
        <v>57.41</v>
      </c>
      <c r="H32" s="189">
        <v>27.05</v>
      </c>
      <c r="I32" s="189">
        <v>5.68</v>
      </c>
      <c r="J32" s="189">
        <v>0.09</v>
      </c>
      <c r="K32" s="189">
        <v>203.82</v>
      </c>
      <c r="L32" s="189">
        <v>14.31</v>
      </c>
      <c r="M32" s="189">
        <v>97.11</v>
      </c>
      <c r="N32" s="189">
        <v>0</v>
      </c>
      <c r="O32" s="189">
        <v>0</v>
      </c>
      <c r="P32" s="189">
        <v>0.66</v>
      </c>
      <c r="Q32" s="189">
        <v>4.7300000000000004</v>
      </c>
    </row>
    <row r="33" spans="1:17" customFormat="1">
      <c r="A33" s="6" t="s">
        <v>1223</v>
      </c>
      <c r="B33" s="189">
        <v>22.11</v>
      </c>
      <c r="C33" s="189">
        <v>22.98</v>
      </c>
      <c r="D33" s="189">
        <v>31.08</v>
      </c>
      <c r="E33" s="189">
        <v>7.17</v>
      </c>
      <c r="F33" s="189">
        <v>2.54</v>
      </c>
      <c r="G33" s="189">
        <v>57.41</v>
      </c>
      <c r="H33" s="189">
        <v>27.05</v>
      </c>
      <c r="I33" s="189">
        <v>5.68</v>
      </c>
      <c r="J33" s="189">
        <v>0.05</v>
      </c>
      <c r="K33" s="189">
        <v>157.41999999999999</v>
      </c>
      <c r="L33" s="189">
        <v>14.33</v>
      </c>
      <c r="M33" s="189">
        <v>97.26</v>
      </c>
      <c r="N33" s="189">
        <v>0</v>
      </c>
      <c r="O33" s="189">
        <v>0</v>
      </c>
      <c r="P33" s="189">
        <v>0.65</v>
      </c>
      <c r="Q33" s="189">
        <v>4.79</v>
      </c>
    </row>
    <row r="34" spans="1:17" customFormat="1">
      <c r="A34" s="6" t="s">
        <v>1224</v>
      </c>
      <c r="B34" s="189">
        <v>24.09</v>
      </c>
      <c r="C34" s="189">
        <v>22.67</v>
      </c>
      <c r="D34" s="189">
        <v>32.51</v>
      </c>
      <c r="E34" s="189">
        <v>6.94</v>
      </c>
      <c r="F34" s="189">
        <v>2.75</v>
      </c>
      <c r="G34" s="189">
        <v>54.8</v>
      </c>
      <c r="H34" s="189">
        <v>29.57</v>
      </c>
      <c r="I34" s="189">
        <v>5.65</v>
      </c>
      <c r="J34" s="189">
        <v>0.09</v>
      </c>
      <c r="K34" s="189">
        <v>161.38</v>
      </c>
      <c r="L34" s="189">
        <v>14.35</v>
      </c>
      <c r="M34" s="189">
        <v>97.52</v>
      </c>
      <c r="N34" s="189">
        <v>0</v>
      </c>
      <c r="O34" s="189">
        <v>0</v>
      </c>
      <c r="P34" s="189">
        <v>0.64</v>
      </c>
      <c r="Q34" s="189">
        <v>4.8499999999999996</v>
      </c>
    </row>
    <row r="35" spans="1:17" customFormat="1">
      <c r="A35" s="6" t="s">
        <v>1225</v>
      </c>
      <c r="B35" s="189">
        <v>25.67</v>
      </c>
      <c r="C35" s="189">
        <v>24.51</v>
      </c>
      <c r="D35" s="189">
        <v>34.74</v>
      </c>
      <c r="E35" s="189">
        <v>7.86</v>
      </c>
      <c r="F35" s="189">
        <v>2.48</v>
      </c>
      <c r="G35" s="189">
        <v>53.5</v>
      </c>
      <c r="H35" s="189">
        <v>30.06</v>
      </c>
      <c r="I35" s="189">
        <v>5.65</v>
      </c>
      <c r="J35" s="189">
        <v>0.24</v>
      </c>
      <c r="K35" s="189">
        <v>266.56</v>
      </c>
      <c r="L35" s="189">
        <v>14.4</v>
      </c>
      <c r="M35" s="189">
        <v>97.83</v>
      </c>
      <c r="N35" s="189">
        <v>3</v>
      </c>
      <c r="O35" s="189">
        <v>0</v>
      </c>
      <c r="P35" s="189">
        <v>0.65</v>
      </c>
      <c r="Q35" s="189">
        <v>4.88</v>
      </c>
    </row>
    <row r="36" spans="1:17" customFormat="1">
      <c r="A36" s="6" t="s">
        <v>1226</v>
      </c>
      <c r="B36" s="189">
        <v>26.7</v>
      </c>
      <c r="C36" s="189">
        <v>23.82</v>
      </c>
      <c r="D36" s="189">
        <v>35.21</v>
      </c>
      <c r="E36" s="189">
        <v>7.62</v>
      </c>
      <c r="F36" s="189">
        <v>2.54</v>
      </c>
      <c r="G36" s="189">
        <v>53.5</v>
      </c>
      <c r="H36" s="189">
        <v>30.06</v>
      </c>
      <c r="I36" s="189">
        <v>5.67</v>
      </c>
      <c r="J36" s="189">
        <v>0.09</v>
      </c>
      <c r="K36" s="189">
        <v>245.22</v>
      </c>
      <c r="L36" s="189">
        <v>14.32</v>
      </c>
      <c r="M36" s="189">
        <v>97.37</v>
      </c>
      <c r="N36" s="189">
        <v>12.9</v>
      </c>
      <c r="O36" s="189">
        <v>0</v>
      </c>
      <c r="P36" s="189">
        <v>0.66</v>
      </c>
      <c r="Q36" s="189">
        <v>4.92</v>
      </c>
    </row>
    <row r="37" spans="1:17" customFormat="1">
      <c r="A37" s="6" t="s">
        <v>1227</v>
      </c>
      <c r="B37" s="189">
        <v>26.87</v>
      </c>
      <c r="C37" s="189">
        <v>23.58</v>
      </c>
      <c r="D37" s="189">
        <v>35.22</v>
      </c>
      <c r="E37" s="189">
        <v>7.39</v>
      </c>
      <c r="F37" s="189">
        <v>2.66</v>
      </c>
      <c r="G37" s="189">
        <v>53.5</v>
      </c>
      <c r="H37" s="189">
        <v>30.06</v>
      </c>
      <c r="I37" s="189">
        <v>5.7</v>
      </c>
      <c r="J37" s="189">
        <v>0.19</v>
      </c>
      <c r="K37" s="189">
        <v>144.16</v>
      </c>
      <c r="L37" s="189">
        <v>14.94</v>
      </c>
      <c r="M37" s="189">
        <v>97.36</v>
      </c>
      <c r="N37" s="189">
        <v>25.1</v>
      </c>
      <c r="O37" s="189">
        <v>0</v>
      </c>
      <c r="P37" s="189">
        <v>0.67</v>
      </c>
      <c r="Q37" s="189">
        <v>4.93</v>
      </c>
    </row>
    <row r="38" spans="1:17" customFormat="1">
      <c r="A38" s="6" t="s">
        <v>1228</v>
      </c>
      <c r="B38" s="189">
        <v>28.65</v>
      </c>
      <c r="C38" s="189">
        <v>23.56</v>
      </c>
      <c r="D38" s="189">
        <v>36.64</v>
      </c>
      <c r="E38" s="189">
        <v>7.67</v>
      </c>
      <c r="F38" s="189">
        <v>2.74</v>
      </c>
      <c r="G38" s="189">
        <v>53.63</v>
      </c>
      <c r="H38" s="189">
        <v>27.09</v>
      </c>
      <c r="I38" s="189">
        <v>5.69</v>
      </c>
      <c r="J38" s="189">
        <v>0.17</v>
      </c>
      <c r="K38" s="189">
        <v>159.32</v>
      </c>
      <c r="L38" s="189">
        <v>15.81</v>
      </c>
      <c r="M38" s="189">
        <v>94.23</v>
      </c>
      <c r="N38" s="189">
        <v>38.799999999999997</v>
      </c>
      <c r="O38" s="189">
        <v>0</v>
      </c>
      <c r="P38" s="189">
        <v>0.69</v>
      </c>
      <c r="Q38" s="189">
        <v>4.99</v>
      </c>
    </row>
    <row r="39" spans="1:17" customFormat="1">
      <c r="A39" s="6" t="s">
        <v>1229</v>
      </c>
      <c r="B39" s="189">
        <v>31.01</v>
      </c>
      <c r="C39" s="189">
        <v>24.76</v>
      </c>
      <c r="D39" s="189">
        <v>39.159999999999997</v>
      </c>
      <c r="E39" s="189">
        <v>8.0500000000000007</v>
      </c>
      <c r="F39" s="189">
        <v>2.81</v>
      </c>
      <c r="G39" s="189">
        <v>53.69</v>
      </c>
      <c r="H39" s="189">
        <v>26.74</v>
      </c>
      <c r="I39" s="189">
        <v>5.72</v>
      </c>
      <c r="J39" s="189">
        <v>0.18</v>
      </c>
      <c r="K39" s="189">
        <v>77.010000000000005</v>
      </c>
      <c r="L39" s="189">
        <v>16.48</v>
      </c>
      <c r="M39" s="189">
        <v>89.41</v>
      </c>
      <c r="N39" s="189">
        <v>53.2</v>
      </c>
      <c r="O39" s="189">
        <v>0</v>
      </c>
      <c r="P39" s="189">
        <v>0.71</v>
      </c>
      <c r="Q39" s="189">
        <v>5.05</v>
      </c>
    </row>
    <row r="40" spans="1:17" customFormat="1">
      <c r="A40" s="6" t="s">
        <v>1230</v>
      </c>
      <c r="B40" s="189">
        <v>32.51</v>
      </c>
      <c r="C40" s="189">
        <v>26.09</v>
      </c>
      <c r="D40" s="189">
        <v>41.05</v>
      </c>
      <c r="E40" s="189">
        <v>8.01</v>
      </c>
      <c r="F40" s="189">
        <v>2.83</v>
      </c>
      <c r="G40" s="189">
        <v>53.69</v>
      </c>
      <c r="H40" s="189">
        <v>26.74</v>
      </c>
      <c r="I40" s="189">
        <v>5.83</v>
      </c>
      <c r="J40" s="189">
        <v>0.52</v>
      </c>
      <c r="K40" s="189">
        <v>49.11</v>
      </c>
      <c r="L40" s="189">
        <v>17.27</v>
      </c>
      <c r="M40" s="189">
        <v>80.290000000000006</v>
      </c>
      <c r="N40" s="189">
        <v>103</v>
      </c>
      <c r="O40" s="189">
        <v>0</v>
      </c>
      <c r="P40" s="189">
        <v>0.74</v>
      </c>
      <c r="Q40" s="189">
        <v>5.09</v>
      </c>
    </row>
    <row r="41" spans="1:17" customFormat="1">
      <c r="A41" s="6" t="s">
        <v>1231</v>
      </c>
      <c r="B41" s="189">
        <v>32.65</v>
      </c>
      <c r="C41" s="189">
        <v>27.63</v>
      </c>
      <c r="D41" s="189">
        <v>41.97</v>
      </c>
      <c r="E41" s="189">
        <v>7.93</v>
      </c>
      <c r="F41" s="189">
        <v>2.78</v>
      </c>
      <c r="G41" s="189">
        <v>53.69</v>
      </c>
      <c r="H41" s="189">
        <v>26.74</v>
      </c>
      <c r="I41" s="189">
        <v>6.04</v>
      </c>
      <c r="J41" s="189">
        <v>0.52</v>
      </c>
      <c r="K41" s="189">
        <v>35.44</v>
      </c>
      <c r="L41" s="189">
        <v>17.95</v>
      </c>
      <c r="M41" s="189">
        <v>80.540000000000006</v>
      </c>
      <c r="N41" s="189">
        <v>167.2</v>
      </c>
      <c r="O41" s="189">
        <v>0</v>
      </c>
      <c r="P41" s="189">
        <v>0.77</v>
      </c>
      <c r="Q41" s="189">
        <v>5.13</v>
      </c>
    </row>
    <row r="42" spans="1:17" customFormat="1">
      <c r="A42" s="6" t="s">
        <v>1232</v>
      </c>
      <c r="B42" s="189">
        <v>32.619999999999997</v>
      </c>
      <c r="C42" s="189">
        <v>29.49</v>
      </c>
      <c r="D42" s="189">
        <v>42.92</v>
      </c>
      <c r="E42" s="189">
        <v>8.25</v>
      </c>
      <c r="F42" s="189">
        <v>2.7</v>
      </c>
      <c r="G42" s="189">
        <v>68.819999999999993</v>
      </c>
      <c r="H42" s="189">
        <v>33.81</v>
      </c>
      <c r="I42" s="189">
        <v>6.23</v>
      </c>
      <c r="J42" s="189">
        <v>0.56999999999999995</v>
      </c>
      <c r="K42" s="189">
        <v>27.51</v>
      </c>
      <c r="L42" s="189">
        <v>18.64</v>
      </c>
      <c r="M42" s="189">
        <v>77.239999999999995</v>
      </c>
      <c r="N42" s="189">
        <v>199.6</v>
      </c>
      <c r="O42" s="189">
        <v>0</v>
      </c>
      <c r="P42" s="189">
        <v>0.79</v>
      </c>
      <c r="Q42" s="189">
        <v>5.15</v>
      </c>
    </row>
    <row r="43" spans="1:17" customFormat="1">
      <c r="A43" s="6" t="s">
        <v>1233</v>
      </c>
      <c r="B43" s="189">
        <v>32.700000000000003</v>
      </c>
      <c r="C43" s="189">
        <v>30.19</v>
      </c>
      <c r="D43" s="189">
        <v>43.35</v>
      </c>
      <c r="E43" s="189">
        <v>7.86</v>
      </c>
      <c r="F43" s="189">
        <v>2.72</v>
      </c>
      <c r="G43" s="189">
        <v>76.39</v>
      </c>
      <c r="H43" s="189">
        <v>34.65</v>
      </c>
      <c r="I43" s="189">
        <v>6.42</v>
      </c>
      <c r="J43" s="189">
        <v>0.56999999999999995</v>
      </c>
      <c r="K43" s="189">
        <v>39.479999999999997</v>
      </c>
      <c r="L43" s="189">
        <v>19.53</v>
      </c>
      <c r="M43" s="189">
        <v>74.400000000000006</v>
      </c>
      <c r="N43" s="189">
        <v>236.1</v>
      </c>
      <c r="O43" s="189">
        <v>0</v>
      </c>
      <c r="P43" s="189">
        <v>0.8</v>
      </c>
      <c r="Q43" s="189">
        <v>5.14</v>
      </c>
    </row>
    <row r="44" spans="1:17" customFormat="1">
      <c r="A44" s="6" t="s">
        <v>1234</v>
      </c>
      <c r="B44" s="189">
        <v>32.28</v>
      </c>
      <c r="C44" s="189">
        <v>30.09</v>
      </c>
      <c r="D44" s="189">
        <v>42.95</v>
      </c>
      <c r="E44" s="189">
        <v>8.3699999999999992</v>
      </c>
      <c r="F44" s="189">
        <v>2.7</v>
      </c>
      <c r="G44" s="189">
        <v>76.39</v>
      </c>
      <c r="H44" s="189">
        <v>34.65</v>
      </c>
      <c r="I44" s="189">
        <v>6.61</v>
      </c>
      <c r="J44" s="189">
        <v>0.48</v>
      </c>
      <c r="K44" s="189">
        <v>38.17</v>
      </c>
      <c r="L44" s="189">
        <v>20.29</v>
      </c>
      <c r="M44" s="189">
        <v>71.41</v>
      </c>
      <c r="N44" s="189">
        <v>208.1</v>
      </c>
      <c r="O44" s="189">
        <v>0</v>
      </c>
      <c r="P44" s="189">
        <v>0.82</v>
      </c>
      <c r="Q44" s="189">
        <v>5.15</v>
      </c>
    </row>
    <row r="45" spans="1:17" customFormat="1">
      <c r="A45" s="6" t="s">
        <v>1235</v>
      </c>
      <c r="B45" s="189">
        <v>31.4</v>
      </c>
      <c r="C45" s="189">
        <v>29.36</v>
      </c>
      <c r="D45" s="189">
        <v>41.87</v>
      </c>
      <c r="E45" s="189">
        <v>8.5</v>
      </c>
      <c r="F45" s="189">
        <v>2.61</v>
      </c>
      <c r="G45" s="189">
        <v>76.39</v>
      </c>
      <c r="H45" s="189">
        <v>34.65</v>
      </c>
      <c r="I45" s="189">
        <v>6.74</v>
      </c>
      <c r="J45" s="189">
        <v>0.61</v>
      </c>
      <c r="K45" s="189">
        <v>38.29</v>
      </c>
      <c r="L45" s="189">
        <v>21.03</v>
      </c>
      <c r="M45" s="189">
        <v>64.849999999999994</v>
      </c>
      <c r="N45" s="189">
        <v>131.30000000000001</v>
      </c>
      <c r="O45" s="189">
        <v>0</v>
      </c>
      <c r="P45" s="189">
        <v>0.82</v>
      </c>
      <c r="Q45" s="189">
        <v>5.12</v>
      </c>
    </row>
    <row r="46" spans="1:17" customFormat="1">
      <c r="A46" s="6" t="s">
        <v>1236</v>
      </c>
      <c r="B46" s="189">
        <v>30.19</v>
      </c>
      <c r="C46" s="189">
        <v>29.11</v>
      </c>
      <c r="D46" s="189">
        <v>40.76</v>
      </c>
      <c r="E46" s="189">
        <v>8.48</v>
      </c>
      <c r="F46" s="189">
        <v>2.66</v>
      </c>
      <c r="G46" s="189">
        <v>87.13</v>
      </c>
      <c r="H46" s="189">
        <v>37.549999999999997</v>
      </c>
      <c r="I46" s="189">
        <v>6.8</v>
      </c>
      <c r="J46" s="189">
        <v>0.56000000000000005</v>
      </c>
      <c r="K46" s="189">
        <v>43.09</v>
      </c>
      <c r="L46" s="189">
        <v>21.49</v>
      </c>
      <c r="M46" s="189">
        <v>62.07</v>
      </c>
      <c r="N46" s="189">
        <v>139.30000000000001</v>
      </c>
      <c r="O46" s="189">
        <v>0</v>
      </c>
      <c r="P46" s="189">
        <v>0.82</v>
      </c>
      <c r="Q46" s="189">
        <v>5.09</v>
      </c>
    </row>
    <row r="47" spans="1:17" customFormat="1">
      <c r="A47" s="6" t="s">
        <v>1237</v>
      </c>
      <c r="B47" s="189">
        <v>29.17</v>
      </c>
      <c r="C47" s="189">
        <v>29.26</v>
      </c>
      <c r="D47" s="189">
        <v>40.03</v>
      </c>
      <c r="E47" s="189">
        <v>8.31</v>
      </c>
      <c r="F47" s="189">
        <v>2.73</v>
      </c>
      <c r="G47" s="189">
        <v>92.5</v>
      </c>
      <c r="H47" s="189">
        <v>37.89</v>
      </c>
      <c r="I47" s="189">
        <v>6.81</v>
      </c>
      <c r="J47" s="189">
        <v>0.51</v>
      </c>
      <c r="K47" s="189">
        <v>35.35</v>
      </c>
      <c r="L47" s="189">
        <v>22.16</v>
      </c>
      <c r="M47" s="189">
        <v>58.54</v>
      </c>
      <c r="N47" s="189">
        <v>161.5</v>
      </c>
      <c r="O47" s="189">
        <v>0</v>
      </c>
      <c r="P47" s="189">
        <v>0.82</v>
      </c>
      <c r="Q47" s="189">
        <v>5.07</v>
      </c>
    </row>
    <row r="48" spans="1:17" customFormat="1">
      <c r="A48" s="6" t="s">
        <v>1238</v>
      </c>
      <c r="B48" s="189">
        <v>28.14</v>
      </c>
      <c r="C48" s="189">
        <v>29.73</v>
      </c>
      <c r="D48" s="189">
        <v>39.450000000000003</v>
      </c>
      <c r="E48" s="189">
        <v>8.17</v>
      </c>
      <c r="F48" s="189">
        <v>2.72</v>
      </c>
      <c r="G48" s="189">
        <v>92.5</v>
      </c>
      <c r="H48" s="189">
        <v>37.89</v>
      </c>
      <c r="I48" s="189">
        <v>6.77</v>
      </c>
      <c r="J48" s="189">
        <v>0.56999999999999995</v>
      </c>
      <c r="K48" s="189">
        <v>47.68</v>
      </c>
      <c r="L48" s="189">
        <v>22.55</v>
      </c>
      <c r="M48" s="189">
        <v>57.26</v>
      </c>
      <c r="N48" s="189">
        <v>369.9</v>
      </c>
      <c r="O48" s="189">
        <v>0</v>
      </c>
      <c r="P48" s="189">
        <v>0.83</v>
      </c>
      <c r="Q48" s="189">
        <v>5.05</v>
      </c>
    </row>
    <row r="49" spans="1:17" customFormat="1">
      <c r="A49" s="6" t="s">
        <v>1239</v>
      </c>
      <c r="B49" s="189">
        <v>26.98</v>
      </c>
      <c r="C49" s="189">
        <v>30.03</v>
      </c>
      <c r="D49" s="189">
        <v>38.68</v>
      </c>
      <c r="E49" s="189">
        <v>7.34</v>
      </c>
      <c r="F49" s="189">
        <v>2.7</v>
      </c>
      <c r="G49" s="189">
        <v>92.5</v>
      </c>
      <c r="H49" s="189">
        <v>37.89</v>
      </c>
      <c r="I49" s="189">
        <v>6.71</v>
      </c>
      <c r="J49" s="189">
        <v>0.27</v>
      </c>
      <c r="K49" s="189">
        <v>77.91</v>
      </c>
      <c r="L49" s="189">
        <v>23.34</v>
      </c>
      <c r="M49" s="189">
        <v>55.54</v>
      </c>
      <c r="N49" s="189">
        <v>460.3</v>
      </c>
      <c r="O49" s="189">
        <v>0</v>
      </c>
      <c r="P49" s="189">
        <v>0.82</v>
      </c>
      <c r="Q49" s="189">
        <v>5.04</v>
      </c>
    </row>
    <row r="50" spans="1:17" customFormat="1">
      <c r="A50" s="6" t="s">
        <v>1240</v>
      </c>
      <c r="B50" s="189">
        <v>25.58</v>
      </c>
      <c r="C50" s="189">
        <v>30.14</v>
      </c>
      <c r="D50" s="189">
        <v>37.619999999999997</v>
      </c>
      <c r="E50" s="189">
        <v>7.98</v>
      </c>
      <c r="F50" s="189">
        <v>2.83</v>
      </c>
      <c r="G50" s="189">
        <v>87.92</v>
      </c>
      <c r="H50" s="189">
        <v>37.01</v>
      </c>
      <c r="I50" s="189">
        <v>6.65</v>
      </c>
      <c r="J50" s="189">
        <v>0.35</v>
      </c>
      <c r="K50" s="189">
        <v>108.49</v>
      </c>
      <c r="L50" s="189">
        <v>24.04</v>
      </c>
      <c r="M50" s="189">
        <v>52.65</v>
      </c>
      <c r="N50" s="189">
        <v>494.5</v>
      </c>
      <c r="O50" s="189">
        <v>0</v>
      </c>
      <c r="P50" s="189">
        <v>0.82</v>
      </c>
      <c r="Q50" s="189">
        <v>4.9800000000000004</v>
      </c>
    </row>
    <row r="51" spans="1:17" customFormat="1">
      <c r="A51" s="6" t="s">
        <v>1241</v>
      </c>
      <c r="B51" s="189">
        <v>23.85</v>
      </c>
      <c r="C51" s="189">
        <v>30.06</v>
      </c>
      <c r="D51" s="189">
        <v>36.18</v>
      </c>
      <c r="E51" s="189">
        <v>8.2899999999999991</v>
      </c>
      <c r="F51" s="189">
        <v>2.9</v>
      </c>
      <c r="G51" s="189">
        <v>85.63</v>
      </c>
      <c r="H51" s="189">
        <v>36.9</v>
      </c>
      <c r="I51" s="189">
        <v>6.57</v>
      </c>
      <c r="J51" s="189">
        <v>0.24</v>
      </c>
      <c r="K51" s="189">
        <v>39.270000000000003</v>
      </c>
      <c r="L51" s="189">
        <v>24.39</v>
      </c>
      <c r="M51" s="189">
        <v>49.88</v>
      </c>
      <c r="N51" s="189">
        <v>516.6</v>
      </c>
      <c r="O51" s="189">
        <v>0</v>
      </c>
      <c r="P51" s="189">
        <v>0.81</v>
      </c>
      <c r="Q51" s="189">
        <v>4.9400000000000004</v>
      </c>
    </row>
    <row r="52" spans="1:17" customFormat="1">
      <c r="A52" s="6" t="s">
        <v>1242</v>
      </c>
      <c r="B52" s="189">
        <v>22.17</v>
      </c>
      <c r="C52" s="189">
        <v>30.16</v>
      </c>
      <c r="D52" s="189">
        <v>34.89</v>
      </c>
      <c r="E52" s="189">
        <v>8.0500000000000007</v>
      </c>
      <c r="F52" s="189">
        <v>2.94</v>
      </c>
      <c r="G52" s="189">
        <v>85.63</v>
      </c>
      <c r="H52" s="189">
        <v>36.9</v>
      </c>
      <c r="I52" s="189">
        <v>6.49</v>
      </c>
      <c r="J52" s="189">
        <v>0.23</v>
      </c>
      <c r="K52" s="189">
        <v>324.19</v>
      </c>
      <c r="L52" s="189">
        <v>24.47</v>
      </c>
      <c r="M52" s="189">
        <v>50.22</v>
      </c>
      <c r="N52" s="189">
        <v>492.1</v>
      </c>
      <c r="O52" s="189">
        <v>0</v>
      </c>
      <c r="P52" s="189">
        <v>0.81</v>
      </c>
      <c r="Q52" s="189">
        <v>4.9000000000000004</v>
      </c>
    </row>
    <row r="53" spans="1:17" customFormat="1">
      <c r="A53" s="6" t="s">
        <v>1243</v>
      </c>
      <c r="B53" s="189">
        <v>20.149999999999999</v>
      </c>
      <c r="C53" s="189">
        <v>30.21</v>
      </c>
      <c r="D53" s="189">
        <v>33.29</v>
      </c>
      <c r="E53" s="189">
        <v>7.67</v>
      </c>
      <c r="F53" s="189">
        <v>3.01</v>
      </c>
      <c r="G53" s="189">
        <v>85.63</v>
      </c>
      <c r="H53" s="189">
        <v>36.9</v>
      </c>
      <c r="I53" s="189">
        <v>6.38</v>
      </c>
      <c r="J53" s="189">
        <v>0.16</v>
      </c>
      <c r="K53" s="189">
        <v>18.45</v>
      </c>
      <c r="L53" s="189">
        <v>24.85</v>
      </c>
      <c r="M53" s="189">
        <v>49.25</v>
      </c>
      <c r="N53" s="189">
        <v>540.20000000000005</v>
      </c>
      <c r="O53" s="189">
        <v>0</v>
      </c>
      <c r="P53" s="189">
        <v>0.79</v>
      </c>
      <c r="Q53" s="189">
        <v>4.8499999999999996</v>
      </c>
    </row>
    <row r="54" spans="1:17" customFormat="1">
      <c r="A54" s="6" t="s">
        <v>1244</v>
      </c>
      <c r="B54" s="189">
        <v>18.100000000000001</v>
      </c>
      <c r="C54" s="189">
        <v>29.94</v>
      </c>
      <c r="D54" s="189">
        <v>31.51</v>
      </c>
      <c r="E54" s="189">
        <v>7.21</v>
      </c>
      <c r="F54" s="189">
        <v>3.12</v>
      </c>
      <c r="G54" s="189">
        <v>76.8</v>
      </c>
      <c r="H54" s="189">
        <v>32.340000000000003</v>
      </c>
      <c r="I54" s="189">
        <v>6.25</v>
      </c>
      <c r="J54" s="189">
        <v>0.34</v>
      </c>
      <c r="K54" s="189">
        <v>290.41000000000003</v>
      </c>
      <c r="L54" s="189">
        <v>25.08</v>
      </c>
      <c r="M54" s="189">
        <v>48.86</v>
      </c>
      <c r="N54" s="189">
        <v>555.1</v>
      </c>
      <c r="O54" s="189">
        <v>0</v>
      </c>
      <c r="P54" s="189">
        <v>0.79</v>
      </c>
      <c r="Q54" s="189">
        <v>4.8</v>
      </c>
    </row>
    <row r="55" spans="1:17" customFormat="1">
      <c r="A55" s="6" t="s">
        <v>1245</v>
      </c>
      <c r="B55" s="189">
        <v>16.23</v>
      </c>
      <c r="C55" s="189">
        <v>29.59</v>
      </c>
      <c r="D55" s="189">
        <v>29.83</v>
      </c>
      <c r="E55" s="189">
        <v>8.09</v>
      </c>
      <c r="F55" s="189">
        <v>3.12</v>
      </c>
      <c r="G55" s="189">
        <v>72.38</v>
      </c>
      <c r="H55" s="189">
        <v>31.8</v>
      </c>
      <c r="I55" s="189">
        <v>6.11</v>
      </c>
      <c r="J55" s="189">
        <v>0.28000000000000003</v>
      </c>
      <c r="K55" s="189">
        <v>107.05</v>
      </c>
      <c r="L55" s="189">
        <v>25.83</v>
      </c>
      <c r="M55" s="189">
        <v>45.68</v>
      </c>
      <c r="N55" s="189">
        <v>571</v>
      </c>
      <c r="O55" s="189">
        <v>0</v>
      </c>
      <c r="P55" s="189">
        <v>0.76</v>
      </c>
      <c r="Q55" s="189">
        <v>4.7300000000000004</v>
      </c>
    </row>
    <row r="56" spans="1:17" customFormat="1">
      <c r="A56" s="6" t="s">
        <v>1246</v>
      </c>
      <c r="B56" s="189">
        <v>14.28</v>
      </c>
      <c r="C56" s="189">
        <v>28.85</v>
      </c>
      <c r="D56" s="189">
        <v>27.88</v>
      </c>
      <c r="E56" s="189">
        <v>7.78</v>
      </c>
      <c r="F56" s="189">
        <v>3.1</v>
      </c>
      <c r="G56" s="189">
        <v>72.38</v>
      </c>
      <c r="H56" s="189">
        <v>31.8</v>
      </c>
      <c r="I56" s="189">
        <v>6.02</v>
      </c>
      <c r="J56" s="189">
        <v>7.0000000000000007E-2</v>
      </c>
      <c r="K56" s="189">
        <v>218.29</v>
      </c>
      <c r="L56" s="189">
        <v>26.29</v>
      </c>
      <c r="M56" s="189">
        <v>43.91</v>
      </c>
      <c r="N56" s="189">
        <v>589.29999999999995</v>
      </c>
      <c r="O56" s="189">
        <v>0</v>
      </c>
      <c r="P56" s="189">
        <v>0.75</v>
      </c>
      <c r="Q56" s="189">
        <v>4.67</v>
      </c>
    </row>
    <row r="57" spans="1:17" customFormat="1">
      <c r="A57" s="6" t="s">
        <v>1247</v>
      </c>
      <c r="B57" s="189">
        <v>13.27</v>
      </c>
      <c r="C57" s="189">
        <v>27.13</v>
      </c>
      <c r="D57" s="189">
        <v>26.17</v>
      </c>
      <c r="E57" s="189">
        <v>7.43</v>
      </c>
      <c r="F57" s="189">
        <v>2.97</v>
      </c>
      <c r="G57" s="189">
        <v>72.38</v>
      </c>
      <c r="H57" s="189">
        <v>31.8</v>
      </c>
      <c r="I57" s="189">
        <v>5.93</v>
      </c>
      <c r="J57" s="189">
        <v>0.14000000000000001</v>
      </c>
      <c r="K57" s="189">
        <v>345.42</v>
      </c>
      <c r="L57" s="189">
        <v>26.33</v>
      </c>
      <c r="M57" s="189">
        <v>42.11</v>
      </c>
      <c r="N57" s="189">
        <v>588.79999999999995</v>
      </c>
      <c r="O57" s="189">
        <v>0</v>
      </c>
      <c r="P57" s="189">
        <v>0.73</v>
      </c>
      <c r="Q57" s="189">
        <v>4.58</v>
      </c>
    </row>
    <row r="58" spans="1:17" customFormat="1">
      <c r="A58" s="6" t="s">
        <v>1248</v>
      </c>
      <c r="B58" s="189">
        <v>12.76</v>
      </c>
      <c r="C58" s="189">
        <v>24.94</v>
      </c>
      <c r="D58" s="189">
        <v>24.61</v>
      </c>
      <c r="E58" s="189">
        <v>7.22</v>
      </c>
      <c r="F58" s="189">
        <v>3.31</v>
      </c>
      <c r="G58" s="189">
        <v>65.349999999999994</v>
      </c>
      <c r="H58" s="189">
        <v>28.52</v>
      </c>
      <c r="I58" s="189">
        <v>5.81</v>
      </c>
      <c r="J58" s="189">
        <v>0.61</v>
      </c>
      <c r="K58" s="189">
        <v>289.49</v>
      </c>
      <c r="L58" s="189">
        <v>26.36</v>
      </c>
      <c r="M58" s="189">
        <v>41.82</v>
      </c>
      <c r="N58" s="189">
        <v>567.29999999999995</v>
      </c>
      <c r="O58" s="189">
        <v>0</v>
      </c>
      <c r="P58" s="189">
        <v>0.71</v>
      </c>
      <c r="Q58" s="189">
        <v>4.5599999999999996</v>
      </c>
    </row>
    <row r="59" spans="1:17" customFormat="1">
      <c r="A59" s="6" t="s">
        <v>1249</v>
      </c>
      <c r="B59" s="189">
        <v>12.34</v>
      </c>
      <c r="C59" s="189">
        <v>23.65</v>
      </c>
      <c r="D59" s="189">
        <v>23.6</v>
      </c>
      <c r="E59" s="189">
        <v>7.46</v>
      </c>
      <c r="F59" s="189">
        <v>3.23</v>
      </c>
      <c r="G59" s="189">
        <v>61.83</v>
      </c>
      <c r="H59" s="189">
        <v>27.9</v>
      </c>
      <c r="I59" s="189">
        <v>5.72</v>
      </c>
      <c r="J59" s="189">
        <v>0.3</v>
      </c>
      <c r="K59" s="189">
        <v>329.7</v>
      </c>
      <c r="L59" s="189">
        <v>26.44</v>
      </c>
      <c r="M59" s="189">
        <v>40.46</v>
      </c>
      <c r="N59" s="189">
        <v>580.1</v>
      </c>
      <c r="O59" s="189">
        <v>0</v>
      </c>
      <c r="P59" s="189">
        <v>0.69</v>
      </c>
      <c r="Q59" s="189">
        <v>4.54</v>
      </c>
    </row>
    <row r="60" spans="1:17" customFormat="1">
      <c r="A60" s="6" t="s">
        <v>1250</v>
      </c>
      <c r="B60" s="189">
        <v>11.85</v>
      </c>
      <c r="C60" s="189">
        <v>23.02</v>
      </c>
      <c r="D60" s="189">
        <v>22.88</v>
      </c>
      <c r="E60" s="189">
        <v>7.04</v>
      </c>
      <c r="F60" s="189">
        <v>3.1</v>
      </c>
      <c r="G60" s="189">
        <v>61.83</v>
      </c>
      <c r="H60" s="189">
        <v>27.9</v>
      </c>
      <c r="I60" s="189">
        <v>5.68</v>
      </c>
      <c r="J60" s="189">
        <v>0.67</v>
      </c>
      <c r="K60" s="189">
        <v>309.52</v>
      </c>
      <c r="L60" s="189">
        <v>26.65</v>
      </c>
      <c r="M60" s="189">
        <v>39.799999999999997</v>
      </c>
      <c r="N60" s="189">
        <v>522</v>
      </c>
      <c r="O60" s="189">
        <v>0</v>
      </c>
      <c r="P60" s="189">
        <v>0.68</v>
      </c>
      <c r="Q60" s="189">
        <v>4.51</v>
      </c>
    </row>
    <row r="61" spans="1:17" customFormat="1">
      <c r="A61" s="6" t="s">
        <v>1251</v>
      </c>
      <c r="B61" s="189">
        <v>11.31</v>
      </c>
      <c r="C61" s="189">
        <v>22.27</v>
      </c>
      <c r="D61" s="189">
        <v>22.05</v>
      </c>
      <c r="E61" s="189">
        <v>6.67</v>
      </c>
      <c r="F61" s="189">
        <v>3</v>
      </c>
      <c r="G61" s="189">
        <v>61.83</v>
      </c>
      <c r="H61" s="189">
        <v>27.9</v>
      </c>
      <c r="I61" s="189">
        <v>5.61</v>
      </c>
      <c r="J61" s="189">
        <v>0.28999999999999998</v>
      </c>
      <c r="K61" s="189">
        <v>281.06</v>
      </c>
      <c r="L61" s="189">
        <v>26.62</v>
      </c>
      <c r="M61" s="189">
        <v>40.31</v>
      </c>
      <c r="N61" s="189">
        <v>542</v>
      </c>
      <c r="O61" s="189">
        <v>0</v>
      </c>
      <c r="P61" s="189">
        <v>0.67</v>
      </c>
      <c r="Q61" s="189">
        <v>4.49</v>
      </c>
    </row>
    <row r="62" spans="1:17" customFormat="1">
      <c r="A62" s="6" t="s">
        <v>1252</v>
      </c>
      <c r="B62" s="189">
        <v>10.69</v>
      </c>
      <c r="C62" s="189">
        <v>21.54</v>
      </c>
      <c r="D62" s="189">
        <v>21.17</v>
      </c>
      <c r="E62" s="189">
        <v>6.62</v>
      </c>
      <c r="F62" s="189">
        <v>3.11</v>
      </c>
      <c r="G62" s="189">
        <v>57.08</v>
      </c>
      <c r="H62" s="189">
        <v>24.16</v>
      </c>
      <c r="I62" s="189">
        <v>5.55</v>
      </c>
      <c r="J62" s="189">
        <v>0.48</v>
      </c>
      <c r="K62" s="189">
        <v>275.75</v>
      </c>
      <c r="L62" s="189">
        <v>26.74</v>
      </c>
      <c r="M62" s="189">
        <v>39.729999999999997</v>
      </c>
      <c r="N62" s="189">
        <v>527.9</v>
      </c>
      <c r="O62" s="189">
        <v>0</v>
      </c>
      <c r="P62" s="189">
        <v>0.66</v>
      </c>
      <c r="Q62" s="189">
        <v>4.45</v>
      </c>
    </row>
    <row r="63" spans="1:17" customFormat="1">
      <c r="A63" s="6" t="s">
        <v>1253</v>
      </c>
      <c r="B63" s="189">
        <v>9.9700000000000006</v>
      </c>
      <c r="C63" s="189">
        <v>21.05</v>
      </c>
      <c r="D63" s="189">
        <v>20.350000000000001</v>
      </c>
      <c r="E63" s="189">
        <v>7</v>
      </c>
      <c r="F63" s="189">
        <v>3.1</v>
      </c>
      <c r="G63" s="189">
        <v>54.71</v>
      </c>
      <c r="H63" s="189">
        <v>23.71</v>
      </c>
      <c r="I63" s="189">
        <v>5.48</v>
      </c>
      <c r="J63" s="189">
        <v>0.36</v>
      </c>
      <c r="K63" s="189">
        <v>314.87</v>
      </c>
      <c r="L63" s="189">
        <v>26.84</v>
      </c>
      <c r="M63" s="189">
        <v>39.04</v>
      </c>
      <c r="N63" s="189">
        <v>483.3</v>
      </c>
      <c r="O63" s="189">
        <v>0</v>
      </c>
      <c r="P63" s="189">
        <v>0.66</v>
      </c>
      <c r="Q63" s="189">
        <v>4.43</v>
      </c>
    </row>
    <row r="64" spans="1:17" customFormat="1">
      <c r="A64" s="6" t="s">
        <v>1254</v>
      </c>
      <c r="B64" s="189">
        <v>9.44</v>
      </c>
      <c r="C64" s="189">
        <v>20.52</v>
      </c>
      <c r="D64" s="189">
        <v>19.64</v>
      </c>
      <c r="E64" s="189">
        <v>6.94</v>
      </c>
      <c r="F64" s="189">
        <v>3.08</v>
      </c>
      <c r="G64" s="189">
        <v>54.71</v>
      </c>
      <c r="H64" s="189">
        <v>23.71</v>
      </c>
      <c r="I64" s="189">
        <v>5.4</v>
      </c>
      <c r="J64" s="189">
        <v>0.23</v>
      </c>
      <c r="K64" s="189">
        <v>179.01</v>
      </c>
      <c r="L64" s="189">
        <v>26.81</v>
      </c>
      <c r="M64" s="189">
        <v>40.01</v>
      </c>
      <c r="N64" s="189">
        <v>391.4</v>
      </c>
      <c r="O64" s="189">
        <v>0</v>
      </c>
      <c r="P64" s="189">
        <v>0.66</v>
      </c>
      <c r="Q64" s="189">
        <v>4.41</v>
      </c>
    </row>
    <row r="65" spans="1:17" customFormat="1">
      <c r="A65" s="6" t="s">
        <v>1255</v>
      </c>
      <c r="B65" s="189">
        <v>8.9</v>
      </c>
      <c r="C65" s="189">
        <v>20.09</v>
      </c>
      <c r="D65" s="189">
        <v>18.989999999999998</v>
      </c>
      <c r="E65" s="189">
        <v>6.75</v>
      </c>
      <c r="F65" s="189">
        <v>3.1</v>
      </c>
      <c r="G65" s="189">
        <v>54.71</v>
      </c>
      <c r="H65" s="189">
        <v>23.71</v>
      </c>
      <c r="I65" s="189">
        <v>5.33</v>
      </c>
      <c r="J65" s="189">
        <v>0.45</v>
      </c>
      <c r="K65" s="189">
        <v>305.5</v>
      </c>
      <c r="L65" s="189">
        <v>26.57</v>
      </c>
      <c r="M65" s="189">
        <v>39.64</v>
      </c>
      <c r="N65" s="189">
        <v>181.7</v>
      </c>
      <c r="O65" s="189">
        <v>0</v>
      </c>
      <c r="P65" s="189">
        <v>0.63</v>
      </c>
      <c r="Q65" s="189">
        <v>4.4000000000000004</v>
      </c>
    </row>
    <row r="66" spans="1:17" customFormat="1">
      <c r="A66" s="6" t="s">
        <v>1256</v>
      </c>
      <c r="B66" s="189">
        <v>8.56</v>
      </c>
      <c r="C66" s="189">
        <v>20.41</v>
      </c>
      <c r="D66" s="189">
        <v>18.88</v>
      </c>
      <c r="E66" s="189">
        <v>6.93</v>
      </c>
      <c r="F66" s="189">
        <v>3.35</v>
      </c>
      <c r="G66" s="189">
        <v>51.3</v>
      </c>
      <c r="H66" s="189">
        <v>22.99</v>
      </c>
      <c r="I66" s="189">
        <v>5.27</v>
      </c>
      <c r="J66" s="189">
        <v>0.3</v>
      </c>
      <c r="K66" s="189">
        <v>4.74</v>
      </c>
      <c r="L66" s="189">
        <v>25.93</v>
      </c>
      <c r="M66" s="189">
        <v>40.32</v>
      </c>
      <c r="N66" s="189">
        <v>154.5</v>
      </c>
      <c r="O66" s="189">
        <v>0</v>
      </c>
      <c r="P66" s="189">
        <v>0.65</v>
      </c>
      <c r="Q66" s="189">
        <v>4.43</v>
      </c>
    </row>
    <row r="67" spans="1:17" customFormat="1">
      <c r="A67" s="6" t="s">
        <v>1257</v>
      </c>
      <c r="B67" s="189">
        <v>8.41</v>
      </c>
      <c r="C67" s="189">
        <v>20.78</v>
      </c>
      <c r="D67" s="189">
        <v>18.96</v>
      </c>
      <c r="E67" s="189">
        <v>6.59</v>
      </c>
      <c r="F67" s="189">
        <v>3.23</v>
      </c>
      <c r="G67" s="189">
        <v>49.6</v>
      </c>
      <c r="H67" s="189">
        <v>22.9</v>
      </c>
      <c r="I67" s="189">
        <v>5.19</v>
      </c>
      <c r="J67" s="189">
        <v>0.51</v>
      </c>
      <c r="K67" s="189">
        <v>27.39</v>
      </c>
      <c r="L67" s="189">
        <v>25.94</v>
      </c>
      <c r="M67" s="189">
        <v>41.35</v>
      </c>
      <c r="N67" s="189">
        <v>113.2</v>
      </c>
      <c r="O67" s="189">
        <v>0</v>
      </c>
      <c r="P67" s="189">
        <v>0.65</v>
      </c>
      <c r="Q67" s="189">
        <v>4.3899999999999997</v>
      </c>
    </row>
    <row r="68" spans="1:17" customFormat="1">
      <c r="A68" s="6" t="s">
        <v>1258</v>
      </c>
      <c r="B68" s="189">
        <v>8.23</v>
      </c>
      <c r="C68" s="189">
        <v>19.920000000000002</v>
      </c>
      <c r="D68" s="189">
        <v>18.36</v>
      </c>
      <c r="E68" s="189">
        <v>6.89</v>
      </c>
      <c r="F68" s="189">
        <v>3.21</v>
      </c>
      <c r="G68" s="189">
        <v>49.6</v>
      </c>
      <c r="H68" s="189">
        <v>22.9</v>
      </c>
      <c r="I68" s="189">
        <v>5.18</v>
      </c>
      <c r="J68" s="189">
        <v>0.33</v>
      </c>
      <c r="K68" s="189">
        <v>49.99</v>
      </c>
      <c r="L68" s="189">
        <v>25.57</v>
      </c>
      <c r="M68" s="189">
        <v>41.58</v>
      </c>
      <c r="N68" s="189">
        <v>95.4</v>
      </c>
      <c r="O68" s="189">
        <v>0</v>
      </c>
      <c r="P68" s="189">
        <v>0.65</v>
      </c>
      <c r="Q68" s="189">
        <v>4.4000000000000004</v>
      </c>
    </row>
    <row r="69" spans="1:17" customFormat="1">
      <c r="A69" s="6" t="s">
        <v>1259</v>
      </c>
      <c r="B69" s="189">
        <v>8</v>
      </c>
      <c r="C69" s="189">
        <v>19.3</v>
      </c>
      <c r="D69" s="189">
        <v>17.850000000000001</v>
      </c>
      <c r="E69" s="189">
        <v>6.98</v>
      </c>
      <c r="F69" s="189">
        <v>3.31</v>
      </c>
      <c r="G69" s="189">
        <v>49.6</v>
      </c>
      <c r="H69" s="189">
        <v>22.9</v>
      </c>
      <c r="I69" s="189">
        <v>5.17</v>
      </c>
      <c r="J69" s="189">
        <v>0.26</v>
      </c>
      <c r="K69" s="189">
        <v>139.1</v>
      </c>
      <c r="L69" s="189">
        <v>25.46</v>
      </c>
      <c r="M69" s="189">
        <v>40.54</v>
      </c>
      <c r="N69" s="189">
        <v>85.2</v>
      </c>
      <c r="O69" s="189">
        <v>0</v>
      </c>
      <c r="P69" s="189">
        <v>0.65</v>
      </c>
      <c r="Q69" s="189">
        <v>4.41</v>
      </c>
    </row>
    <row r="70" spans="1:17" customFormat="1">
      <c r="A70" s="6" t="s">
        <v>1260</v>
      </c>
      <c r="B70" s="189">
        <v>7.68</v>
      </c>
      <c r="C70" s="189">
        <v>18.84</v>
      </c>
      <c r="D70" s="189">
        <v>17.36</v>
      </c>
      <c r="E70" s="189">
        <v>6.83</v>
      </c>
      <c r="F70" s="189">
        <v>3.23</v>
      </c>
      <c r="G70" s="189">
        <v>51.96</v>
      </c>
      <c r="H70" s="189">
        <v>25.36</v>
      </c>
      <c r="I70" s="189">
        <v>5.14</v>
      </c>
      <c r="J70" s="189">
        <v>0.13</v>
      </c>
      <c r="K70" s="189">
        <v>165.18</v>
      </c>
      <c r="L70" s="189">
        <v>25.35</v>
      </c>
      <c r="M70" s="189">
        <v>41.76</v>
      </c>
      <c r="N70" s="189">
        <v>75.599999999999994</v>
      </c>
      <c r="O70" s="189">
        <v>0</v>
      </c>
      <c r="P70" s="189">
        <v>0.64</v>
      </c>
      <c r="Q70" s="189">
        <v>4.4000000000000004</v>
      </c>
    </row>
    <row r="71" spans="1:17" customFormat="1">
      <c r="A71" s="6" t="s">
        <v>1261</v>
      </c>
      <c r="B71" s="189">
        <v>7.43</v>
      </c>
      <c r="C71" s="189">
        <v>20.04</v>
      </c>
      <c r="D71" s="189">
        <v>17.78</v>
      </c>
      <c r="E71" s="189">
        <v>6.56</v>
      </c>
      <c r="F71" s="189">
        <v>3</v>
      </c>
      <c r="G71" s="189">
        <v>53.14</v>
      </c>
      <c r="H71" s="189">
        <v>25.65</v>
      </c>
      <c r="I71" s="189">
        <v>5.0999999999999996</v>
      </c>
      <c r="J71" s="189">
        <v>0.37</v>
      </c>
      <c r="K71" s="189">
        <v>42.73</v>
      </c>
      <c r="L71" s="189">
        <v>25.16</v>
      </c>
      <c r="M71" s="189">
        <v>42.03</v>
      </c>
      <c r="N71" s="189">
        <v>63.7</v>
      </c>
      <c r="O71" s="189">
        <v>0</v>
      </c>
      <c r="P71" s="189">
        <v>0.64</v>
      </c>
      <c r="Q71" s="189">
        <v>4.38</v>
      </c>
    </row>
    <row r="72" spans="1:17" customFormat="1">
      <c r="A72" s="6" t="s">
        <v>1262</v>
      </c>
      <c r="B72" s="189">
        <v>7.35</v>
      </c>
      <c r="C72" s="189">
        <v>20.7</v>
      </c>
      <c r="D72" s="189">
        <v>18.059999999999999</v>
      </c>
      <c r="E72" s="189">
        <v>6.28</v>
      </c>
      <c r="F72" s="189">
        <v>3.11</v>
      </c>
      <c r="G72" s="189">
        <v>53.14</v>
      </c>
      <c r="H72" s="189">
        <v>25.65</v>
      </c>
      <c r="I72" s="189">
        <v>5.07</v>
      </c>
      <c r="J72" s="189">
        <v>0.25</v>
      </c>
      <c r="K72" s="189">
        <v>286.67</v>
      </c>
      <c r="L72" s="189">
        <v>25.05</v>
      </c>
      <c r="M72" s="189">
        <v>43.02</v>
      </c>
      <c r="N72" s="189">
        <v>52.2</v>
      </c>
      <c r="O72" s="189">
        <v>0</v>
      </c>
      <c r="P72" s="189">
        <v>0.65</v>
      </c>
      <c r="Q72" s="189">
        <v>4.4000000000000004</v>
      </c>
    </row>
    <row r="73" spans="1:17" customFormat="1">
      <c r="A73" s="6" t="s">
        <v>1263</v>
      </c>
      <c r="B73" s="189">
        <v>7.44</v>
      </c>
      <c r="C73" s="189">
        <v>19.760000000000002</v>
      </c>
      <c r="D73" s="189">
        <v>17.64</v>
      </c>
      <c r="E73" s="189">
        <v>6.64</v>
      </c>
      <c r="F73" s="189">
        <v>3.09</v>
      </c>
      <c r="G73" s="189">
        <v>53.14</v>
      </c>
      <c r="H73" s="189">
        <v>25.65</v>
      </c>
      <c r="I73" s="189">
        <v>5.07</v>
      </c>
      <c r="J73" s="189">
        <v>0.23</v>
      </c>
      <c r="K73" s="189">
        <v>28.52</v>
      </c>
      <c r="L73" s="189">
        <v>24.91</v>
      </c>
      <c r="M73" s="189">
        <v>43.97</v>
      </c>
      <c r="N73" s="189">
        <v>40.200000000000003</v>
      </c>
      <c r="O73" s="189">
        <v>0</v>
      </c>
      <c r="P73" s="189">
        <v>0.65</v>
      </c>
      <c r="Q73" s="189">
        <v>4.41</v>
      </c>
    </row>
    <row r="74" spans="1:17" customFormat="1">
      <c r="A74" s="6" t="s">
        <v>1264</v>
      </c>
      <c r="B74" s="189">
        <v>7.67</v>
      </c>
      <c r="C74" s="189">
        <v>19.88</v>
      </c>
      <c r="D74" s="189">
        <v>17.89</v>
      </c>
      <c r="E74" s="189">
        <v>6.89</v>
      </c>
      <c r="F74" s="189">
        <v>3</v>
      </c>
      <c r="G74" s="189">
        <v>62.35</v>
      </c>
      <c r="H74" s="189">
        <v>25.83</v>
      </c>
      <c r="I74" s="189">
        <v>5.07</v>
      </c>
      <c r="J74" s="189">
        <v>0.21</v>
      </c>
      <c r="K74" s="189">
        <v>38.14</v>
      </c>
      <c r="L74" s="189">
        <v>24.64</v>
      </c>
      <c r="M74" s="189">
        <v>44.14</v>
      </c>
      <c r="N74" s="189">
        <v>28.1</v>
      </c>
      <c r="O74" s="189">
        <v>0</v>
      </c>
      <c r="P74" s="189">
        <v>0.66</v>
      </c>
      <c r="Q74" s="189">
        <v>4.42</v>
      </c>
    </row>
    <row r="75" spans="1:17" customFormat="1">
      <c r="A75" s="6" t="s">
        <v>1265</v>
      </c>
      <c r="B75" s="189">
        <v>7.93</v>
      </c>
      <c r="C75" s="189">
        <v>20.88</v>
      </c>
      <c r="D75" s="189">
        <v>18.62</v>
      </c>
      <c r="E75" s="189">
        <v>7.14</v>
      </c>
      <c r="F75" s="189">
        <v>2.86</v>
      </c>
      <c r="G75" s="189">
        <v>66.95</v>
      </c>
      <c r="H75" s="189">
        <v>25.85</v>
      </c>
      <c r="I75" s="189">
        <v>5.0599999999999996</v>
      </c>
      <c r="J75" s="189">
        <v>0.14000000000000001</v>
      </c>
      <c r="K75" s="189">
        <v>74.66</v>
      </c>
      <c r="L75" s="189">
        <v>24.14</v>
      </c>
      <c r="M75" s="189">
        <v>50.32</v>
      </c>
      <c r="N75" s="189">
        <v>13.9</v>
      </c>
      <c r="O75" s="189">
        <v>0</v>
      </c>
      <c r="P75" s="189">
        <v>0.66</v>
      </c>
      <c r="Q75" s="189">
        <v>4.45</v>
      </c>
    </row>
    <row r="76" spans="1:17" customFormat="1">
      <c r="A76" s="6" t="s">
        <v>1266</v>
      </c>
      <c r="B76" s="189">
        <v>8.1</v>
      </c>
      <c r="C76" s="189">
        <v>22.15</v>
      </c>
      <c r="D76" s="189">
        <v>19.420000000000002</v>
      </c>
      <c r="E76" s="189">
        <v>7.1</v>
      </c>
      <c r="F76" s="189">
        <v>2.83</v>
      </c>
      <c r="G76" s="189">
        <v>66.95</v>
      </c>
      <c r="H76" s="189">
        <v>25.85</v>
      </c>
      <c r="I76" s="189">
        <v>5.0599999999999996</v>
      </c>
      <c r="J76" s="189">
        <v>0.1</v>
      </c>
      <c r="K76" s="189">
        <v>70.569999999999993</v>
      </c>
      <c r="L76" s="189">
        <v>23.55</v>
      </c>
      <c r="M76" s="189">
        <v>52.95</v>
      </c>
      <c r="N76" s="189">
        <v>2.2999999999999998</v>
      </c>
      <c r="O76" s="189">
        <v>0</v>
      </c>
      <c r="P76" s="189">
        <v>0.69</v>
      </c>
      <c r="Q76" s="189">
        <v>4.45</v>
      </c>
    </row>
    <row r="77" spans="1:17" customFormat="1">
      <c r="A77" s="6" t="s">
        <v>1267</v>
      </c>
      <c r="B77" s="189">
        <v>8.2899999999999991</v>
      </c>
      <c r="C77" s="189">
        <v>23.44</v>
      </c>
      <c r="D77" s="189">
        <v>20.25</v>
      </c>
      <c r="E77" s="189">
        <v>6.69</v>
      </c>
      <c r="F77" s="189">
        <v>2.76</v>
      </c>
      <c r="G77" s="189">
        <v>66.95</v>
      </c>
      <c r="H77" s="189">
        <v>25.85</v>
      </c>
      <c r="I77" s="189">
        <v>5.09</v>
      </c>
      <c r="J77" s="189">
        <v>0.15</v>
      </c>
      <c r="K77" s="189">
        <v>90.94</v>
      </c>
      <c r="L77" s="189">
        <v>22.99</v>
      </c>
      <c r="M77" s="189">
        <v>56.54</v>
      </c>
      <c r="N77" s="189">
        <v>0</v>
      </c>
      <c r="O77" s="189">
        <v>0</v>
      </c>
      <c r="P77" s="189">
        <v>0.72</v>
      </c>
      <c r="Q77" s="189">
        <v>4.49</v>
      </c>
    </row>
    <row r="78" spans="1:17" customFormat="1">
      <c r="A78" s="6" t="s">
        <v>1268</v>
      </c>
      <c r="B78" s="189">
        <v>8.51</v>
      </c>
      <c r="C78" s="189">
        <v>24.54</v>
      </c>
      <c r="D78" s="189">
        <v>20.99</v>
      </c>
      <c r="E78" s="189">
        <v>7.58</v>
      </c>
      <c r="F78" s="189">
        <v>2.81</v>
      </c>
      <c r="G78" s="189">
        <v>83.7</v>
      </c>
      <c r="H78" s="189">
        <v>34.03</v>
      </c>
      <c r="I78" s="189">
        <v>5.15</v>
      </c>
      <c r="J78" s="189">
        <v>0.19</v>
      </c>
      <c r="K78" s="189">
        <v>140.08000000000001</v>
      </c>
      <c r="L78" s="189">
        <v>22.17</v>
      </c>
      <c r="M78" s="189">
        <v>62.72</v>
      </c>
      <c r="N78" s="189">
        <v>0</v>
      </c>
      <c r="O78" s="189">
        <v>0</v>
      </c>
      <c r="P78" s="189">
        <v>0.74</v>
      </c>
      <c r="Q78" s="189">
        <v>4.5199999999999996</v>
      </c>
    </row>
    <row r="79" spans="1:17" customFormat="1">
      <c r="A79" s="6" t="s">
        <v>1269</v>
      </c>
      <c r="B79" s="189">
        <v>8.6999999999999993</v>
      </c>
      <c r="C79" s="189">
        <v>25.55</v>
      </c>
      <c r="D79" s="189">
        <v>21.68</v>
      </c>
      <c r="E79" s="189">
        <v>7.91</v>
      </c>
      <c r="F79" s="189">
        <v>2.81</v>
      </c>
      <c r="G79" s="189">
        <v>92.07</v>
      </c>
      <c r="H79" s="189">
        <v>34.979999999999997</v>
      </c>
      <c r="I79" s="189">
        <v>5.23</v>
      </c>
      <c r="J79" s="189">
        <v>0.22</v>
      </c>
      <c r="K79" s="189">
        <v>151.72</v>
      </c>
      <c r="L79" s="189">
        <v>21.63</v>
      </c>
      <c r="M79" s="189">
        <v>64.540000000000006</v>
      </c>
      <c r="N79" s="189">
        <v>0</v>
      </c>
      <c r="O79" s="189">
        <v>0</v>
      </c>
      <c r="P79" s="189">
        <v>0.75</v>
      </c>
      <c r="Q79" s="189">
        <v>4.53</v>
      </c>
    </row>
    <row r="80" spans="1:17" customFormat="1">
      <c r="A80" s="6" t="s">
        <v>1270</v>
      </c>
      <c r="B80" s="189">
        <v>9.11</v>
      </c>
      <c r="C80" s="189">
        <v>26.53</v>
      </c>
      <c r="D80" s="189">
        <v>22.52</v>
      </c>
      <c r="E80" s="189">
        <v>7.46</v>
      </c>
      <c r="F80" s="189">
        <v>2.82</v>
      </c>
      <c r="G80" s="189">
        <v>92.07</v>
      </c>
      <c r="H80" s="189">
        <v>34.979999999999997</v>
      </c>
      <c r="I80" s="189">
        <v>5.3</v>
      </c>
      <c r="J80" s="189">
        <v>0.17</v>
      </c>
      <c r="K80" s="189">
        <v>119.71</v>
      </c>
      <c r="L80" s="189">
        <v>21.34</v>
      </c>
      <c r="M80" s="189">
        <v>64.61</v>
      </c>
      <c r="N80" s="189">
        <v>0</v>
      </c>
      <c r="O80" s="189">
        <v>0</v>
      </c>
      <c r="P80" s="189">
        <v>0.77</v>
      </c>
      <c r="Q80" s="189">
        <v>4.57</v>
      </c>
    </row>
    <row r="81" spans="1:17" customFormat="1">
      <c r="A81" s="6" t="s">
        <v>1271</v>
      </c>
      <c r="B81" s="189">
        <v>9.83</v>
      </c>
      <c r="C81" s="189">
        <v>27.52</v>
      </c>
      <c r="D81" s="189">
        <v>23.62</v>
      </c>
      <c r="E81" s="189">
        <v>8.6199999999999992</v>
      </c>
      <c r="F81" s="189">
        <v>2.86</v>
      </c>
      <c r="G81" s="189">
        <v>92.07</v>
      </c>
      <c r="H81" s="189">
        <v>34.979999999999997</v>
      </c>
      <c r="I81" s="189">
        <v>5.37</v>
      </c>
      <c r="J81" s="189">
        <v>0.21</v>
      </c>
      <c r="K81" s="189">
        <v>52.2</v>
      </c>
      <c r="L81" s="189">
        <v>21.3</v>
      </c>
      <c r="M81" s="189">
        <v>60.93</v>
      </c>
      <c r="N81" s="189">
        <v>0</v>
      </c>
      <c r="O81" s="189">
        <v>0</v>
      </c>
      <c r="P81" s="189">
        <v>0.8</v>
      </c>
      <c r="Q81" s="189">
        <v>4.5999999999999996</v>
      </c>
    </row>
    <row r="82" spans="1:17" customFormat="1">
      <c r="A82" s="6" t="s">
        <v>1272</v>
      </c>
      <c r="B82" s="189">
        <v>10.66</v>
      </c>
      <c r="C82" s="189">
        <v>28.77</v>
      </c>
      <c r="D82" s="189">
        <v>24.93</v>
      </c>
      <c r="E82" s="189">
        <v>9.9700000000000006</v>
      </c>
      <c r="F82" s="189">
        <v>2.87</v>
      </c>
      <c r="G82" s="189">
        <v>103.32</v>
      </c>
      <c r="H82" s="189">
        <v>36.96</v>
      </c>
      <c r="I82" s="189">
        <v>5.48</v>
      </c>
      <c r="J82" s="189">
        <v>0.16</v>
      </c>
      <c r="K82" s="189">
        <v>51.58</v>
      </c>
      <c r="L82" s="189">
        <v>21.26</v>
      </c>
      <c r="M82" s="189">
        <v>61.24</v>
      </c>
      <c r="N82" s="189">
        <v>0</v>
      </c>
      <c r="O82" s="189">
        <v>0</v>
      </c>
      <c r="P82" s="189">
        <v>0.84</v>
      </c>
      <c r="Q82" s="189">
        <v>4.6100000000000003</v>
      </c>
    </row>
    <row r="83" spans="1:17" customFormat="1">
      <c r="A83" s="6" t="s">
        <v>1273</v>
      </c>
      <c r="B83" s="189">
        <v>11.73</v>
      </c>
      <c r="C83" s="189">
        <v>29.51</v>
      </c>
      <c r="D83" s="189">
        <v>26.17</v>
      </c>
      <c r="E83" s="189">
        <v>10.6</v>
      </c>
      <c r="F83" s="189">
        <v>2.74</v>
      </c>
      <c r="G83" s="189">
        <v>108.94</v>
      </c>
      <c r="H83" s="189">
        <v>37.36</v>
      </c>
      <c r="I83" s="189">
        <v>5.63</v>
      </c>
      <c r="J83" s="189">
        <v>0.25</v>
      </c>
      <c r="K83" s="189">
        <v>43.18</v>
      </c>
      <c r="L83" s="189">
        <v>20.98</v>
      </c>
      <c r="M83" s="189">
        <v>62.23</v>
      </c>
      <c r="N83" s="189">
        <v>0</v>
      </c>
      <c r="O83" s="189">
        <v>0</v>
      </c>
      <c r="P83" s="189">
        <v>0.88</v>
      </c>
      <c r="Q83" s="189">
        <v>4.6500000000000004</v>
      </c>
    </row>
    <row r="84" spans="1:17" customFormat="1">
      <c r="A84" s="6" t="s">
        <v>1274</v>
      </c>
      <c r="B84" s="189">
        <v>13.13</v>
      </c>
      <c r="C84" s="189">
        <v>30.19</v>
      </c>
      <c r="D84" s="189">
        <v>27.65</v>
      </c>
      <c r="E84" s="189">
        <v>10.59</v>
      </c>
      <c r="F84" s="189">
        <v>2.7</v>
      </c>
      <c r="G84" s="189">
        <v>108.94</v>
      </c>
      <c r="H84" s="189">
        <v>37.36</v>
      </c>
      <c r="I84" s="189">
        <v>5.84</v>
      </c>
      <c r="J84" s="189">
        <v>0.25</v>
      </c>
      <c r="K84" s="189">
        <v>41.8</v>
      </c>
      <c r="L84" s="189">
        <v>20.84</v>
      </c>
      <c r="M84" s="189">
        <v>62.09</v>
      </c>
      <c r="N84" s="189">
        <v>0</v>
      </c>
      <c r="O84" s="189">
        <v>0</v>
      </c>
      <c r="P84" s="189">
        <v>0.9</v>
      </c>
      <c r="Q84" s="189">
        <v>4.74</v>
      </c>
    </row>
    <row r="85" spans="1:17" customFormat="1">
      <c r="A85" s="6" t="s">
        <v>1275</v>
      </c>
      <c r="B85" s="189">
        <v>14.36</v>
      </c>
      <c r="C85" s="189">
        <v>31.14</v>
      </c>
      <c r="D85" s="189">
        <v>29.14</v>
      </c>
      <c r="E85" s="189">
        <v>10.63</v>
      </c>
      <c r="F85" s="189">
        <v>2.7</v>
      </c>
      <c r="G85" s="189">
        <v>108.94</v>
      </c>
      <c r="H85" s="189">
        <v>37.36</v>
      </c>
      <c r="I85" s="189">
        <v>6.11</v>
      </c>
      <c r="J85" s="189">
        <v>0.3</v>
      </c>
      <c r="K85" s="189">
        <v>55.87</v>
      </c>
      <c r="L85" s="189">
        <v>20.89</v>
      </c>
      <c r="M85" s="189">
        <v>60.94</v>
      </c>
      <c r="N85" s="189">
        <v>0</v>
      </c>
      <c r="O85" s="189">
        <v>0</v>
      </c>
      <c r="P85" s="189">
        <v>0.93</v>
      </c>
      <c r="Q85" s="189">
        <v>4.78</v>
      </c>
    </row>
    <row r="86" spans="1:17" customFormat="1">
      <c r="A86" s="6" t="s">
        <v>1276</v>
      </c>
      <c r="B86" s="189">
        <v>15.34</v>
      </c>
      <c r="C86" s="189">
        <v>32.08</v>
      </c>
      <c r="D86" s="189">
        <v>30.42</v>
      </c>
      <c r="E86" s="189">
        <v>10.79</v>
      </c>
      <c r="F86" s="189">
        <v>2.64</v>
      </c>
      <c r="G86" s="189">
        <v>126.85</v>
      </c>
      <c r="H86" s="189">
        <v>41.73</v>
      </c>
      <c r="I86" s="189">
        <v>6.39</v>
      </c>
      <c r="J86" s="189">
        <v>0.22</v>
      </c>
      <c r="K86" s="189">
        <v>57.08</v>
      </c>
      <c r="L86" s="189">
        <v>20.76</v>
      </c>
      <c r="M86" s="189">
        <v>61.89</v>
      </c>
      <c r="N86" s="189">
        <v>0</v>
      </c>
      <c r="O86" s="189">
        <v>0</v>
      </c>
      <c r="P86" s="189">
        <v>0.96</v>
      </c>
      <c r="Q86" s="189">
        <v>4.82</v>
      </c>
    </row>
    <row r="87" spans="1:17" customFormat="1">
      <c r="A87" s="6" t="s">
        <v>1277</v>
      </c>
      <c r="B87" s="189">
        <v>16.62</v>
      </c>
      <c r="C87" s="189">
        <v>32.47</v>
      </c>
      <c r="D87" s="189">
        <v>31.64</v>
      </c>
      <c r="E87" s="189">
        <v>10.75</v>
      </c>
      <c r="F87" s="189">
        <v>2.61</v>
      </c>
      <c r="G87" s="189">
        <v>135.81</v>
      </c>
      <c r="H87" s="189">
        <v>42.24</v>
      </c>
      <c r="I87" s="189">
        <v>6.62</v>
      </c>
      <c r="J87" s="189">
        <v>0.08</v>
      </c>
      <c r="K87" s="189">
        <v>69.77</v>
      </c>
      <c r="L87" s="189">
        <v>20.3</v>
      </c>
      <c r="M87" s="189">
        <v>66.03</v>
      </c>
      <c r="N87" s="189">
        <v>0</v>
      </c>
      <c r="O87" s="189">
        <v>0</v>
      </c>
      <c r="P87" s="189">
        <v>0.98</v>
      </c>
      <c r="Q87" s="189">
        <v>4.9000000000000004</v>
      </c>
    </row>
    <row r="88" spans="1:17" customFormat="1">
      <c r="A88" s="6" t="s">
        <v>1278</v>
      </c>
      <c r="B88" s="189">
        <v>17.649999999999999</v>
      </c>
      <c r="C88" s="189">
        <v>33.090000000000003</v>
      </c>
      <c r="D88" s="189">
        <v>32.799999999999997</v>
      </c>
      <c r="E88" s="189">
        <v>10.82</v>
      </c>
      <c r="F88" s="189">
        <v>2.68</v>
      </c>
      <c r="G88" s="189">
        <v>135.81</v>
      </c>
      <c r="H88" s="189">
        <v>42.24</v>
      </c>
      <c r="I88" s="189">
        <v>6.84</v>
      </c>
      <c r="J88" s="189">
        <v>0.22</v>
      </c>
      <c r="K88" s="189">
        <v>157.86000000000001</v>
      </c>
      <c r="L88" s="189">
        <v>19.79</v>
      </c>
      <c r="M88" s="189">
        <v>70.78</v>
      </c>
      <c r="N88" s="189">
        <v>0</v>
      </c>
      <c r="O88" s="189">
        <v>0</v>
      </c>
      <c r="P88" s="189">
        <v>0.99</v>
      </c>
      <c r="Q88" s="189">
        <v>4.91</v>
      </c>
    </row>
    <row r="89" spans="1:17" customFormat="1">
      <c r="A89" s="6" t="s">
        <v>1279</v>
      </c>
      <c r="B89" s="189">
        <v>17.690000000000001</v>
      </c>
      <c r="C89" s="189">
        <v>33.36</v>
      </c>
      <c r="D89" s="189">
        <v>32.96</v>
      </c>
      <c r="E89" s="189">
        <v>10.41</v>
      </c>
      <c r="F89" s="189">
        <v>2.5499999999999998</v>
      </c>
      <c r="G89" s="189">
        <v>135.81</v>
      </c>
      <c r="H89" s="189">
        <v>42.24</v>
      </c>
      <c r="I89" s="189">
        <v>7.01</v>
      </c>
      <c r="J89" s="189">
        <v>0.17</v>
      </c>
      <c r="K89" s="189">
        <v>175.09</v>
      </c>
      <c r="L89" s="189">
        <v>19.09</v>
      </c>
      <c r="M89" s="189">
        <v>79.739999999999995</v>
      </c>
      <c r="N89" s="189">
        <v>0</v>
      </c>
      <c r="O89" s="189">
        <v>0</v>
      </c>
      <c r="P89" s="189">
        <v>1.01</v>
      </c>
      <c r="Q89" s="189">
        <v>4.93</v>
      </c>
    </row>
    <row r="90" spans="1:17" customFormat="1">
      <c r="A90" s="6" t="s">
        <v>1280</v>
      </c>
      <c r="B90" s="189">
        <v>17.190000000000001</v>
      </c>
      <c r="C90" s="189">
        <v>32.81</v>
      </c>
      <c r="D90" s="189">
        <v>32.28</v>
      </c>
      <c r="E90" s="189">
        <v>10.94</v>
      </c>
      <c r="F90" s="189">
        <v>2.61</v>
      </c>
      <c r="G90" s="189">
        <v>138.94</v>
      </c>
      <c r="H90" s="189">
        <v>46.29</v>
      </c>
      <c r="I90" s="189">
        <v>7.17</v>
      </c>
      <c r="J90" s="189">
        <v>0.16</v>
      </c>
      <c r="K90" s="189">
        <v>153.86000000000001</v>
      </c>
      <c r="L90" s="189">
        <v>18.72</v>
      </c>
      <c r="M90" s="189">
        <v>79.77</v>
      </c>
      <c r="N90" s="189">
        <v>0</v>
      </c>
      <c r="O90" s="189">
        <v>0</v>
      </c>
      <c r="P90" s="189">
        <v>1.02</v>
      </c>
      <c r="Q90" s="189">
        <v>4.91</v>
      </c>
    </row>
    <row r="91" spans="1:17" customFormat="1">
      <c r="A91" s="6" t="s">
        <v>1281</v>
      </c>
      <c r="B91" s="189">
        <v>16.61</v>
      </c>
      <c r="C91" s="189">
        <v>32.549999999999997</v>
      </c>
      <c r="D91" s="189">
        <v>31.67</v>
      </c>
      <c r="E91" s="189">
        <v>10.63</v>
      </c>
      <c r="F91" s="189">
        <v>2.66</v>
      </c>
      <c r="G91" s="189">
        <v>140.51</v>
      </c>
      <c r="H91" s="189">
        <v>46.76</v>
      </c>
      <c r="I91" s="189">
        <v>7.28</v>
      </c>
      <c r="J91" s="189">
        <v>0.16</v>
      </c>
      <c r="K91" s="189">
        <v>169.74</v>
      </c>
      <c r="L91" s="189">
        <v>18.579999999999998</v>
      </c>
      <c r="M91" s="189">
        <v>81.39</v>
      </c>
      <c r="N91" s="189">
        <v>0</v>
      </c>
      <c r="O91" s="189">
        <v>0</v>
      </c>
      <c r="P91" s="189">
        <v>1.02</v>
      </c>
      <c r="Q91" s="189">
        <v>4.92</v>
      </c>
    </row>
    <row r="92" spans="1:17" customFormat="1">
      <c r="A92" s="6" t="s">
        <v>1282</v>
      </c>
      <c r="B92" s="189">
        <v>16.05</v>
      </c>
      <c r="C92" s="189">
        <v>32.020000000000003</v>
      </c>
      <c r="D92" s="189">
        <v>30.96</v>
      </c>
      <c r="E92" s="189">
        <v>10.56</v>
      </c>
      <c r="F92" s="189">
        <v>2.64</v>
      </c>
      <c r="G92" s="189">
        <v>140.51</v>
      </c>
      <c r="H92" s="189">
        <v>46.76</v>
      </c>
      <c r="I92" s="189">
        <v>7.36</v>
      </c>
      <c r="J92" s="189">
        <v>0.13</v>
      </c>
      <c r="K92" s="189">
        <v>169.35</v>
      </c>
      <c r="L92" s="189">
        <v>18.23</v>
      </c>
      <c r="M92" s="189">
        <v>84.39</v>
      </c>
      <c r="N92" s="189">
        <v>0</v>
      </c>
      <c r="O92" s="189">
        <v>0</v>
      </c>
      <c r="P92" s="189">
        <v>1.02</v>
      </c>
      <c r="Q92" s="189">
        <v>4.91</v>
      </c>
    </row>
    <row r="93" spans="1:17" customFormat="1">
      <c r="A93" s="6" t="s">
        <v>1283</v>
      </c>
      <c r="B93" s="189">
        <v>15.35</v>
      </c>
      <c r="C93" s="189">
        <v>31.03</v>
      </c>
      <c r="D93" s="189">
        <v>29.87</v>
      </c>
      <c r="E93" s="189">
        <v>10.53</v>
      </c>
      <c r="F93" s="189">
        <v>2.7</v>
      </c>
      <c r="G93" s="189">
        <v>140.51</v>
      </c>
      <c r="H93" s="189">
        <v>46.76</v>
      </c>
      <c r="I93" s="189">
        <v>7.42</v>
      </c>
      <c r="J93" s="189">
        <v>0.16</v>
      </c>
      <c r="K93" s="189">
        <v>205.41</v>
      </c>
      <c r="L93" s="189">
        <v>18.05</v>
      </c>
      <c r="M93" s="189">
        <v>84.03</v>
      </c>
      <c r="N93" s="189">
        <v>0</v>
      </c>
      <c r="O93" s="189">
        <v>0</v>
      </c>
      <c r="P93" s="189">
        <v>1.02</v>
      </c>
      <c r="Q93" s="189">
        <v>4.8600000000000003</v>
      </c>
    </row>
    <row r="94" spans="1:17" customFormat="1">
      <c r="A94" s="6" t="s">
        <v>1284</v>
      </c>
      <c r="B94" s="189">
        <v>14.66</v>
      </c>
      <c r="C94" s="189">
        <v>30.67</v>
      </c>
      <c r="D94" s="189">
        <v>29.13</v>
      </c>
      <c r="E94" s="189">
        <v>10.85</v>
      </c>
      <c r="F94" s="189">
        <v>2.52</v>
      </c>
      <c r="G94" s="189">
        <v>126</v>
      </c>
      <c r="H94" s="189">
        <v>46.23</v>
      </c>
      <c r="I94" s="189">
        <v>7.45</v>
      </c>
      <c r="J94" s="189">
        <v>0.16</v>
      </c>
      <c r="K94" s="189">
        <v>201.05</v>
      </c>
      <c r="L94" s="189">
        <v>17.88</v>
      </c>
      <c r="M94" s="189">
        <v>83.09</v>
      </c>
      <c r="N94" s="189">
        <v>0</v>
      </c>
      <c r="O94" s="189">
        <v>0</v>
      </c>
      <c r="P94" s="189">
        <v>1.01</v>
      </c>
      <c r="Q94" s="189">
        <v>4.84</v>
      </c>
    </row>
    <row r="95" spans="1:17" customFormat="1">
      <c r="A95" s="6" t="s">
        <v>1285</v>
      </c>
      <c r="B95" s="189">
        <v>14.08</v>
      </c>
      <c r="C95" s="189">
        <v>30.1</v>
      </c>
      <c r="D95" s="189">
        <v>28.37</v>
      </c>
      <c r="E95" s="189">
        <v>10.35</v>
      </c>
      <c r="F95" s="189">
        <v>2.4700000000000002</v>
      </c>
      <c r="G95" s="189">
        <v>118.75</v>
      </c>
      <c r="H95" s="189">
        <v>46.16</v>
      </c>
      <c r="I95" s="189">
        <v>7.45</v>
      </c>
      <c r="J95" s="189">
        <v>0.18</v>
      </c>
      <c r="K95" s="189">
        <v>227.84</v>
      </c>
      <c r="L95" s="189">
        <v>17.670000000000002</v>
      </c>
      <c r="M95" s="189">
        <v>82.66</v>
      </c>
      <c r="N95" s="189">
        <v>0</v>
      </c>
      <c r="O95" s="189">
        <v>0</v>
      </c>
      <c r="P95" s="189">
        <v>1.01</v>
      </c>
      <c r="Q95" s="189">
        <v>4.83</v>
      </c>
    </row>
    <row r="96" spans="1:17" customFormat="1">
      <c r="A96" s="6" t="s">
        <v>1286</v>
      </c>
      <c r="B96" s="189">
        <v>13.6</v>
      </c>
      <c r="C96" s="189">
        <v>29.81</v>
      </c>
      <c r="D96" s="189">
        <v>27.83</v>
      </c>
      <c r="E96" s="189">
        <v>10.24</v>
      </c>
      <c r="F96" s="189">
        <v>2.68</v>
      </c>
      <c r="G96" s="189">
        <v>118.75</v>
      </c>
      <c r="H96" s="189">
        <v>46.16</v>
      </c>
      <c r="I96" s="189">
        <v>7.46</v>
      </c>
      <c r="J96" s="189">
        <v>0.14000000000000001</v>
      </c>
      <c r="K96" s="189">
        <v>221.49</v>
      </c>
      <c r="L96" s="189">
        <v>17.57</v>
      </c>
      <c r="M96" s="189">
        <v>85.48</v>
      </c>
      <c r="N96" s="189">
        <v>0</v>
      </c>
      <c r="O96" s="189">
        <v>0</v>
      </c>
      <c r="P96" s="189">
        <v>1</v>
      </c>
      <c r="Q96" s="189">
        <v>4.76</v>
      </c>
    </row>
    <row r="97" spans="1:22" customFormat="1">
      <c r="A97" s="6" t="s">
        <v>1287</v>
      </c>
      <c r="B97" s="189">
        <v>13.39</v>
      </c>
      <c r="C97" s="189">
        <v>27.49</v>
      </c>
      <c r="D97" s="189">
        <v>26.46</v>
      </c>
      <c r="E97" s="189">
        <v>9.93</v>
      </c>
      <c r="F97" s="189">
        <v>2.89</v>
      </c>
      <c r="G97" s="189">
        <v>118.75</v>
      </c>
      <c r="H97" s="189">
        <v>46.16</v>
      </c>
      <c r="I97" s="189">
        <v>7.45</v>
      </c>
      <c r="J97" s="189">
        <v>0.12</v>
      </c>
      <c r="K97" s="189">
        <v>190.75</v>
      </c>
      <c r="L97" s="189">
        <v>17.32</v>
      </c>
      <c r="M97" s="189">
        <v>85.87</v>
      </c>
      <c r="N97" s="189">
        <v>0</v>
      </c>
      <c r="O97" s="189">
        <v>0</v>
      </c>
      <c r="P97" s="189">
        <v>0.97</v>
      </c>
      <c r="Q97" s="189">
        <v>4.74</v>
      </c>
    </row>
    <row r="98" spans="1:22" customFormat="1">
      <c r="A98" s="6" t="s">
        <v>1288</v>
      </c>
      <c r="B98" s="189">
        <v>13.19</v>
      </c>
      <c r="C98" s="189">
        <v>25.34</v>
      </c>
      <c r="D98" s="189">
        <v>25.16</v>
      </c>
      <c r="E98" s="189">
        <v>9.6300000000000008</v>
      </c>
      <c r="F98" s="189">
        <v>2.9</v>
      </c>
      <c r="G98" s="189">
        <v>104.69</v>
      </c>
      <c r="H98" s="189">
        <v>43.79</v>
      </c>
      <c r="I98" s="189">
        <v>7.45</v>
      </c>
      <c r="J98" s="189">
        <v>0.12</v>
      </c>
      <c r="K98" s="189">
        <v>220.13</v>
      </c>
      <c r="L98" s="189">
        <v>17.309999999999999</v>
      </c>
      <c r="M98" s="189">
        <v>87.14</v>
      </c>
      <c r="N98" s="189">
        <v>0</v>
      </c>
      <c r="O98" s="189">
        <v>0</v>
      </c>
      <c r="P98" s="189">
        <v>0.95</v>
      </c>
      <c r="Q98" s="189">
        <v>4.7</v>
      </c>
    </row>
    <row r="99" spans="1:22" customFormat="1">
      <c r="A99" s="6" t="s">
        <v>1289</v>
      </c>
      <c r="B99" s="189">
        <v>13.05</v>
      </c>
      <c r="C99" s="189">
        <v>26.29</v>
      </c>
      <c r="D99" s="189">
        <v>25.55</v>
      </c>
      <c r="E99" s="189">
        <v>9.81</v>
      </c>
      <c r="F99" s="189">
        <v>2.4300000000000002</v>
      </c>
      <c r="G99" s="189">
        <v>97.66</v>
      </c>
      <c r="H99" s="189">
        <v>43.52</v>
      </c>
      <c r="I99" s="189">
        <v>7.44</v>
      </c>
      <c r="J99" s="189">
        <v>0.13</v>
      </c>
      <c r="K99" s="189">
        <v>189.25</v>
      </c>
      <c r="L99" s="189">
        <v>17.12</v>
      </c>
      <c r="M99" s="189">
        <v>86.34</v>
      </c>
      <c r="N99" s="189">
        <v>0</v>
      </c>
      <c r="O99" s="189">
        <v>0</v>
      </c>
      <c r="P99" s="189">
        <v>0.94</v>
      </c>
      <c r="Q99" s="189">
        <v>4.66</v>
      </c>
    </row>
    <row r="100" spans="1:22" customFormat="1">
      <c r="A100" s="6" t="s">
        <v>1290</v>
      </c>
      <c r="B100" s="189">
        <v>13.36</v>
      </c>
      <c r="C100" s="189">
        <v>25.21</v>
      </c>
      <c r="D100" s="189">
        <v>25.24</v>
      </c>
      <c r="E100" s="189">
        <v>9.6199999999999992</v>
      </c>
      <c r="F100" s="189">
        <v>2.58</v>
      </c>
      <c r="G100" s="189">
        <v>97.66</v>
      </c>
      <c r="H100" s="189">
        <v>43.52</v>
      </c>
      <c r="I100" s="189">
        <v>7.41</v>
      </c>
      <c r="J100" s="189">
        <v>0.15</v>
      </c>
      <c r="K100" s="189">
        <v>215.86</v>
      </c>
      <c r="L100" s="189">
        <v>17.04</v>
      </c>
      <c r="M100" s="189">
        <v>88.24</v>
      </c>
      <c r="N100" s="189">
        <v>0</v>
      </c>
      <c r="O100" s="189">
        <v>0</v>
      </c>
      <c r="P100" s="189">
        <v>0.93</v>
      </c>
      <c r="Q100" s="189">
        <v>4.7</v>
      </c>
    </row>
    <row r="101" spans="1:22" customFormat="1">
      <c r="A101" s="6" t="s">
        <v>1291</v>
      </c>
      <c r="B101" s="189">
        <v>13.57</v>
      </c>
      <c r="C101" s="189">
        <v>26.14</v>
      </c>
      <c r="D101" s="189">
        <v>25.89</v>
      </c>
      <c r="E101" s="189">
        <v>9.5500000000000007</v>
      </c>
      <c r="F101" s="189">
        <v>2.59</v>
      </c>
      <c r="G101" s="189">
        <v>97.66</v>
      </c>
      <c r="H101" s="189">
        <v>43.52</v>
      </c>
      <c r="I101" s="189">
        <v>7.37</v>
      </c>
      <c r="J101" s="189">
        <v>0.13</v>
      </c>
      <c r="K101" s="189">
        <v>239.98</v>
      </c>
      <c r="L101" s="189">
        <v>16.690000000000001</v>
      </c>
      <c r="M101" s="189">
        <v>89.05</v>
      </c>
      <c r="N101" s="189">
        <v>0</v>
      </c>
      <c r="O101" s="189">
        <v>0</v>
      </c>
      <c r="P101" s="189">
        <v>0.93</v>
      </c>
      <c r="Q101" s="189">
        <v>4.66</v>
      </c>
    </row>
    <row r="102" spans="1:22" customFormat="1">
      <c r="A102" s="6" t="s">
        <v>1292</v>
      </c>
      <c r="B102" s="189">
        <v>13.72</v>
      </c>
      <c r="C102" s="189">
        <v>24.81</v>
      </c>
      <c r="D102" s="189">
        <v>25.31</v>
      </c>
      <c r="E102" s="189">
        <v>10.31</v>
      </c>
      <c r="F102" s="189">
        <v>2.64</v>
      </c>
      <c r="G102" s="189">
        <v>104.55</v>
      </c>
      <c r="H102" s="189">
        <v>43.44</v>
      </c>
      <c r="I102" s="189">
        <v>7.35</v>
      </c>
      <c r="J102" s="189">
        <v>0.13</v>
      </c>
      <c r="K102" s="189">
        <v>185.6</v>
      </c>
      <c r="L102" s="189">
        <v>16.63</v>
      </c>
      <c r="M102" s="189">
        <v>87.93</v>
      </c>
      <c r="N102" s="189">
        <v>0</v>
      </c>
      <c r="O102" s="189">
        <v>0</v>
      </c>
      <c r="P102" s="189">
        <v>0.93</v>
      </c>
      <c r="Q102" s="189">
        <v>4.6900000000000004</v>
      </c>
    </row>
    <row r="103" spans="1:22" customFormat="1">
      <c r="A103" s="6" t="s">
        <v>1293</v>
      </c>
      <c r="B103" s="189">
        <v>13.84</v>
      </c>
      <c r="C103" s="189">
        <v>26.19</v>
      </c>
      <c r="D103" s="189">
        <v>26.14</v>
      </c>
      <c r="E103" s="189">
        <v>9.82</v>
      </c>
      <c r="F103" s="189">
        <v>2.48</v>
      </c>
      <c r="G103" s="189">
        <v>108</v>
      </c>
      <c r="H103" s="189">
        <v>43.44</v>
      </c>
      <c r="I103" s="189">
        <v>7.33</v>
      </c>
      <c r="J103" s="189">
        <v>0.1</v>
      </c>
      <c r="K103" s="189">
        <v>206.76</v>
      </c>
      <c r="L103" s="189">
        <v>16.66</v>
      </c>
      <c r="M103" s="189">
        <v>89.91</v>
      </c>
      <c r="N103" s="189">
        <v>0</v>
      </c>
      <c r="O103" s="189">
        <v>0</v>
      </c>
      <c r="P103" s="189">
        <v>0.92</v>
      </c>
      <c r="Q103" s="189">
        <v>4.68</v>
      </c>
    </row>
    <row r="104" spans="1:22" customFormat="1">
      <c r="A104" s="6" t="s">
        <v>1294</v>
      </c>
      <c r="B104" s="189">
        <v>15.39</v>
      </c>
      <c r="C104" s="189">
        <v>24.95</v>
      </c>
      <c r="D104" s="189">
        <v>26.73</v>
      </c>
      <c r="E104" s="189">
        <v>9.5</v>
      </c>
      <c r="F104" s="189">
        <v>2.73</v>
      </c>
      <c r="G104" s="189">
        <v>108</v>
      </c>
      <c r="H104" s="189">
        <v>43.44</v>
      </c>
      <c r="I104" s="189">
        <v>7.32</v>
      </c>
      <c r="J104" s="189">
        <v>0.1</v>
      </c>
      <c r="K104" s="189">
        <v>191.34</v>
      </c>
      <c r="L104" s="189">
        <v>16.61</v>
      </c>
      <c r="M104" s="189">
        <v>89.28</v>
      </c>
      <c r="N104" s="189">
        <v>0</v>
      </c>
      <c r="O104" s="189">
        <v>0</v>
      </c>
      <c r="P104" s="189">
        <v>0.91</v>
      </c>
      <c r="Q104" s="189">
        <v>4.7300000000000004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7.35</v>
      </c>
      <c r="C106" s="183">
        <f>MIN(C9:C104)</f>
        <v>18.84</v>
      </c>
      <c r="D106" s="183">
        <f t="shared" ref="D106:Q106" si="0">MIN(D9:D104)</f>
        <v>17.36</v>
      </c>
      <c r="E106" s="183">
        <f t="shared" si="0"/>
        <v>6.28</v>
      </c>
      <c r="F106" s="183">
        <f t="shared" si="0"/>
        <v>2.3199999999999998</v>
      </c>
      <c r="G106" s="183">
        <f t="shared" si="0"/>
        <v>49.6</v>
      </c>
      <c r="H106" s="183">
        <f t="shared" si="0"/>
        <v>22.9</v>
      </c>
      <c r="I106" s="183">
        <f t="shared" si="0"/>
        <v>5.0599999999999996</v>
      </c>
      <c r="J106" s="183">
        <f t="shared" si="0"/>
        <v>0.02</v>
      </c>
      <c r="K106" s="183">
        <f t="shared" si="0"/>
        <v>4.74</v>
      </c>
      <c r="L106" s="183">
        <f t="shared" si="0"/>
        <v>14.31</v>
      </c>
      <c r="M106" s="183">
        <f t="shared" si="0"/>
        <v>39.04</v>
      </c>
      <c r="N106" s="183">
        <f t="shared" si="0"/>
        <v>0</v>
      </c>
      <c r="O106" s="183">
        <f t="shared" si="0"/>
        <v>0</v>
      </c>
      <c r="P106" s="183">
        <f t="shared" si="0"/>
        <v>0.63</v>
      </c>
      <c r="Q106" s="183">
        <f t="shared" si="0"/>
        <v>4.38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32.700000000000003</v>
      </c>
      <c r="C107" s="184">
        <f t="shared" ref="C107:Q107" si="1">MAX(C9:C104)</f>
        <v>33.36</v>
      </c>
      <c r="D107" s="184">
        <f t="shared" si="1"/>
        <v>43.35</v>
      </c>
      <c r="E107" s="184">
        <f t="shared" si="1"/>
        <v>10.94</v>
      </c>
      <c r="F107" s="184">
        <f t="shared" si="1"/>
        <v>3.35</v>
      </c>
      <c r="G107" s="184">
        <f t="shared" si="1"/>
        <v>140.51</v>
      </c>
      <c r="H107" s="184">
        <f t="shared" si="1"/>
        <v>46.76</v>
      </c>
      <c r="I107" s="184">
        <f t="shared" si="1"/>
        <v>7.46</v>
      </c>
      <c r="J107" s="184">
        <f t="shared" si="1"/>
        <v>0.67</v>
      </c>
      <c r="K107" s="184">
        <f t="shared" si="1"/>
        <v>354.19</v>
      </c>
      <c r="L107" s="184">
        <f t="shared" si="1"/>
        <v>26.84</v>
      </c>
      <c r="M107" s="184">
        <f t="shared" si="1"/>
        <v>97.83</v>
      </c>
      <c r="N107" s="184">
        <f t="shared" si="1"/>
        <v>589.29999999999995</v>
      </c>
      <c r="O107" s="184">
        <f t="shared" si="1"/>
        <v>0</v>
      </c>
      <c r="P107" s="184">
        <f t="shared" si="1"/>
        <v>1.02</v>
      </c>
      <c r="Q107" s="184">
        <f t="shared" si="1"/>
        <v>5.15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17.982708333333331</v>
      </c>
      <c r="C108" s="183">
        <f t="shared" ref="C108:Q108" si="2">AVERAGE(C9:C104)</f>
        <v>26.162083333333339</v>
      </c>
      <c r="D108" s="183">
        <f t="shared" si="2"/>
        <v>29.440729166666657</v>
      </c>
      <c r="E108" s="183">
        <f t="shared" si="2"/>
        <v>8.2219791666666655</v>
      </c>
      <c r="F108" s="183">
        <f t="shared" si="2"/>
        <v>2.7791666666666672</v>
      </c>
      <c r="G108" s="183">
        <f t="shared" si="2"/>
        <v>81.709270833333349</v>
      </c>
      <c r="H108" s="183">
        <f t="shared" si="2"/>
        <v>33.553437500000015</v>
      </c>
      <c r="I108" s="183">
        <f t="shared" si="2"/>
        <v>6.12916666666667</v>
      </c>
      <c r="J108" s="183">
        <f t="shared" si="2"/>
        <v>0.22312500000000002</v>
      </c>
      <c r="K108" s="183">
        <f t="shared" si="2"/>
        <v>151.54416666666665</v>
      </c>
      <c r="L108" s="183">
        <f t="shared" si="2"/>
        <v>19.873229166666665</v>
      </c>
      <c r="M108" s="183">
        <f t="shared" si="2"/>
        <v>71.34093750000001</v>
      </c>
      <c r="N108" s="183">
        <f t="shared" si="2"/>
        <v>116.42604166666671</v>
      </c>
      <c r="O108" s="183">
        <f t="shared" si="2"/>
        <v>0</v>
      </c>
      <c r="P108" s="183">
        <f t="shared" si="2"/>
        <v>0.77812500000000007</v>
      </c>
      <c r="Q108" s="183">
        <f t="shared" si="2"/>
        <v>4.7508333333333335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7.340491949549663</v>
      </c>
      <c r="C109" s="183">
        <f t="shared" ref="C109:Q109" si="3">STDEV(C9:C104)</f>
        <v>3.687608814927315</v>
      </c>
      <c r="D109" s="183">
        <f t="shared" si="3"/>
        <v>6.8694124846141413</v>
      </c>
      <c r="E109" s="183">
        <f t="shared" si="3"/>
        <v>1.3426483019463138</v>
      </c>
      <c r="F109" s="183">
        <f t="shared" si="3"/>
        <v>0.22685802036407646</v>
      </c>
      <c r="G109" s="183">
        <f t="shared" si="3"/>
        <v>25.1543053652866</v>
      </c>
      <c r="H109" s="183">
        <f t="shared" si="3"/>
        <v>6.8184724061879338</v>
      </c>
      <c r="I109" s="183">
        <f t="shared" si="3"/>
        <v>0.73030875470101753</v>
      </c>
      <c r="J109" s="183">
        <f t="shared" si="3"/>
        <v>0.15642258889236374</v>
      </c>
      <c r="K109" s="183">
        <f t="shared" si="3"/>
        <v>92.856266196362952</v>
      </c>
      <c r="L109" s="183">
        <f t="shared" si="3"/>
        <v>4.2202697581008097</v>
      </c>
      <c r="M109" s="183">
        <f t="shared" si="3"/>
        <v>20.581706495568799</v>
      </c>
      <c r="N109" s="183">
        <f t="shared" si="3"/>
        <v>196.21332657395953</v>
      </c>
      <c r="O109" s="183">
        <f t="shared" si="3"/>
        <v>0</v>
      </c>
      <c r="P109" s="183">
        <f t="shared" si="3"/>
        <v>0.11880379667865452</v>
      </c>
      <c r="Q109" s="183">
        <f t="shared" si="3"/>
        <v>0.20860774909492874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B110" sqref="B110:P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45272.010416666664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45272.010416666664</v>
      </c>
      <c r="B9" s="112">
        <v>18.02</v>
      </c>
      <c r="C9" s="112">
        <v>27.65</v>
      </c>
      <c r="D9" s="112">
        <v>30.24</v>
      </c>
      <c r="E9" s="112">
        <v>10.199999999999999</v>
      </c>
      <c r="F9" s="112">
        <v>2.5</v>
      </c>
      <c r="G9" s="112">
        <v>108</v>
      </c>
      <c r="H9" s="112">
        <v>43.44</v>
      </c>
      <c r="I9" s="112">
        <v>7.29</v>
      </c>
      <c r="J9" s="112">
        <v>0.16</v>
      </c>
      <c r="K9" s="112">
        <v>240.34</v>
      </c>
      <c r="L9" s="112">
        <v>16.48</v>
      </c>
      <c r="M9" s="112">
        <v>90.04</v>
      </c>
      <c r="N9" s="112">
        <v>0</v>
      </c>
      <c r="O9" s="112">
        <v>0</v>
      </c>
      <c r="P9" s="112">
        <v>0.92</v>
      </c>
      <c r="Q9" s="112">
        <v>4.78</v>
      </c>
    </row>
    <row r="10" spans="1:21" customFormat="1">
      <c r="A10" s="80">
        <v>45272.020833333336</v>
      </c>
      <c r="B10" s="112">
        <v>19.170000000000002</v>
      </c>
      <c r="C10" s="112">
        <v>26.46</v>
      </c>
      <c r="D10" s="112">
        <v>30.55</v>
      </c>
      <c r="E10" s="112">
        <v>10.14</v>
      </c>
      <c r="F10" s="112">
        <v>2.63</v>
      </c>
      <c r="G10" s="112">
        <v>103.91</v>
      </c>
      <c r="H10" s="112">
        <v>44.18</v>
      </c>
      <c r="I10" s="112">
        <v>7.27</v>
      </c>
      <c r="J10" s="112">
        <v>0.15</v>
      </c>
      <c r="K10" s="112">
        <v>196.51</v>
      </c>
      <c r="L10" s="112">
        <v>16.29</v>
      </c>
      <c r="M10" s="112">
        <v>90.33</v>
      </c>
      <c r="N10" s="112">
        <v>0</v>
      </c>
      <c r="O10" s="112">
        <v>0</v>
      </c>
      <c r="P10" s="112">
        <v>0.91</v>
      </c>
      <c r="Q10" s="112">
        <v>4.83</v>
      </c>
    </row>
    <row r="11" spans="1:21" customFormat="1">
      <c r="A11" s="80">
        <v>45272.03125</v>
      </c>
      <c r="B11" s="112">
        <v>19.86</v>
      </c>
      <c r="C11" s="112">
        <v>27.56</v>
      </c>
      <c r="D11" s="112">
        <v>31.68</v>
      </c>
      <c r="E11" s="112">
        <v>10.32</v>
      </c>
      <c r="F11" s="112">
        <v>2.4500000000000002</v>
      </c>
      <c r="G11" s="112">
        <v>101.87</v>
      </c>
      <c r="H11" s="112">
        <v>44.33</v>
      </c>
      <c r="I11" s="112">
        <v>7.24</v>
      </c>
      <c r="J11" s="112">
        <v>0.14000000000000001</v>
      </c>
      <c r="K11" s="112">
        <v>243.77</v>
      </c>
      <c r="L11" s="112">
        <v>16.190000000000001</v>
      </c>
      <c r="M11" s="112">
        <v>92.05</v>
      </c>
      <c r="N11" s="112">
        <v>0</v>
      </c>
      <c r="O11" s="112">
        <v>0</v>
      </c>
      <c r="P11" s="112">
        <v>0.91</v>
      </c>
      <c r="Q11" s="112">
        <v>4.8600000000000003</v>
      </c>
    </row>
    <row r="12" spans="1:21" customFormat="1">
      <c r="A12" s="80">
        <v>45272.041666666664</v>
      </c>
      <c r="B12" s="112">
        <v>20</v>
      </c>
      <c r="C12" s="112">
        <v>26.42</v>
      </c>
      <c r="D12" s="112">
        <v>31.19</v>
      </c>
      <c r="E12" s="112">
        <v>9.84</v>
      </c>
      <c r="F12" s="112">
        <v>2.59</v>
      </c>
      <c r="G12" s="112">
        <v>101.87</v>
      </c>
      <c r="H12" s="112">
        <v>44.33</v>
      </c>
      <c r="I12" s="112">
        <v>7.19</v>
      </c>
      <c r="J12" s="112">
        <v>0.09</v>
      </c>
      <c r="K12" s="112">
        <v>168.46</v>
      </c>
      <c r="L12" s="112">
        <v>16.04</v>
      </c>
      <c r="M12" s="112">
        <v>91.3</v>
      </c>
      <c r="N12" s="112">
        <v>0</v>
      </c>
      <c r="O12" s="112">
        <v>0</v>
      </c>
      <c r="P12" s="112">
        <v>0.9</v>
      </c>
      <c r="Q12" s="112">
        <v>4.8499999999999996</v>
      </c>
    </row>
    <row r="13" spans="1:21" customFormat="1">
      <c r="A13" s="80">
        <v>45272.052083333336</v>
      </c>
      <c r="B13" s="112">
        <v>19.52</v>
      </c>
      <c r="C13" s="112">
        <v>26.09</v>
      </c>
      <c r="D13" s="112">
        <v>30.64</v>
      </c>
      <c r="E13" s="112">
        <v>9.99</v>
      </c>
      <c r="F13" s="112">
        <v>2.48</v>
      </c>
      <c r="G13" s="112">
        <v>101.87</v>
      </c>
      <c r="H13" s="112">
        <v>44.33</v>
      </c>
      <c r="I13" s="112">
        <v>7.13</v>
      </c>
      <c r="J13" s="112">
        <v>0.08</v>
      </c>
      <c r="K13" s="112">
        <v>175.33</v>
      </c>
      <c r="L13" s="112">
        <v>16.03</v>
      </c>
      <c r="M13" s="112">
        <v>91.31</v>
      </c>
      <c r="N13" s="112">
        <v>0</v>
      </c>
      <c r="O13" s="112">
        <v>0</v>
      </c>
      <c r="P13" s="112">
        <v>0.89</v>
      </c>
      <c r="Q13" s="112">
        <v>4.8499999999999996</v>
      </c>
    </row>
    <row r="14" spans="1:21" customFormat="1">
      <c r="A14" s="80">
        <v>45272.0625</v>
      </c>
      <c r="B14" s="112">
        <v>19</v>
      </c>
      <c r="C14" s="112">
        <v>25.89</v>
      </c>
      <c r="D14" s="112">
        <v>30.11</v>
      </c>
      <c r="E14" s="112">
        <v>10.14</v>
      </c>
      <c r="F14" s="112">
        <v>2.5099999999999998</v>
      </c>
      <c r="G14" s="112">
        <v>92.49</v>
      </c>
      <c r="H14" s="112">
        <v>40.31</v>
      </c>
      <c r="I14" s="112">
        <v>7.12</v>
      </c>
      <c r="J14" s="112">
        <v>0.11</v>
      </c>
      <c r="K14" s="112">
        <v>257.5</v>
      </c>
      <c r="L14" s="112">
        <v>15.85</v>
      </c>
      <c r="M14" s="112">
        <v>92.27</v>
      </c>
      <c r="N14" s="112">
        <v>0</v>
      </c>
      <c r="O14" s="112">
        <v>0</v>
      </c>
      <c r="P14" s="112">
        <v>0.88</v>
      </c>
      <c r="Q14" s="112">
        <v>4.83</v>
      </c>
    </row>
    <row r="15" spans="1:21" customFormat="1">
      <c r="A15" s="80">
        <v>45272.072916666664</v>
      </c>
      <c r="B15" s="112">
        <v>18.53</v>
      </c>
      <c r="C15" s="112">
        <v>25.27</v>
      </c>
      <c r="D15" s="112">
        <v>29.41</v>
      </c>
      <c r="E15" s="112">
        <v>9.94</v>
      </c>
      <c r="F15" s="112">
        <v>2.59</v>
      </c>
      <c r="G15" s="112">
        <v>87.8</v>
      </c>
      <c r="H15" s="112">
        <v>39.83</v>
      </c>
      <c r="I15" s="112">
        <v>7.03</v>
      </c>
      <c r="J15" s="112">
        <v>0.12</v>
      </c>
      <c r="K15" s="112">
        <v>93.99</v>
      </c>
      <c r="L15" s="112">
        <v>15.9</v>
      </c>
      <c r="M15" s="112">
        <v>91.95</v>
      </c>
      <c r="N15" s="112">
        <v>0</v>
      </c>
      <c r="O15" s="112">
        <v>0</v>
      </c>
      <c r="P15" s="112">
        <v>0.86</v>
      </c>
      <c r="Q15" s="112">
        <v>4.82</v>
      </c>
    </row>
    <row r="16" spans="1:21" customFormat="1">
      <c r="A16" s="80">
        <v>45272.083333333336</v>
      </c>
      <c r="B16" s="112">
        <v>18.18</v>
      </c>
      <c r="C16" s="112">
        <v>25.22</v>
      </c>
      <c r="D16" s="112">
        <v>29.11</v>
      </c>
      <c r="E16" s="112">
        <v>9.94</v>
      </c>
      <c r="F16" s="112">
        <v>2.4500000000000002</v>
      </c>
      <c r="G16" s="112">
        <v>87.8</v>
      </c>
      <c r="H16" s="112">
        <v>39.83</v>
      </c>
      <c r="I16" s="112">
        <v>6.93</v>
      </c>
      <c r="J16" s="112">
        <v>0.19</v>
      </c>
      <c r="K16" s="112">
        <v>261.16000000000003</v>
      </c>
      <c r="L16" s="112">
        <v>15.84</v>
      </c>
      <c r="M16" s="112">
        <v>91.76</v>
      </c>
      <c r="N16" s="112">
        <v>0</v>
      </c>
      <c r="O16" s="112">
        <v>0</v>
      </c>
      <c r="P16" s="112">
        <v>0.85</v>
      </c>
      <c r="Q16" s="112">
        <v>4.79</v>
      </c>
    </row>
    <row r="17" spans="1:17" customFormat="1">
      <c r="A17" s="80">
        <v>45272.09375</v>
      </c>
      <c r="B17" s="112">
        <v>18.16</v>
      </c>
      <c r="C17" s="112">
        <v>24.34</v>
      </c>
      <c r="D17" s="112">
        <v>28.63</v>
      </c>
      <c r="E17" s="112">
        <v>6.12</v>
      </c>
      <c r="F17" s="112">
        <v>2.67</v>
      </c>
      <c r="G17" s="112">
        <v>87.8</v>
      </c>
      <c r="H17" s="112">
        <v>39.83</v>
      </c>
      <c r="I17" s="112">
        <v>6.84</v>
      </c>
      <c r="J17" s="112">
        <v>0.26</v>
      </c>
      <c r="K17" s="112">
        <v>34.83</v>
      </c>
      <c r="L17" s="112">
        <v>15.74</v>
      </c>
      <c r="M17" s="112">
        <v>90.92</v>
      </c>
      <c r="N17" s="112">
        <v>0</v>
      </c>
      <c r="O17" s="112">
        <v>0</v>
      </c>
      <c r="P17" s="112">
        <v>0.83</v>
      </c>
      <c r="Q17" s="112">
        <v>4.82</v>
      </c>
    </row>
    <row r="18" spans="1:17" customFormat="1">
      <c r="A18" s="80">
        <v>45272.104166666664</v>
      </c>
      <c r="B18" s="112">
        <v>18.739999999999998</v>
      </c>
      <c r="C18" s="112">
        <v>25.22</v>
      </c>
      <c r="D18" s="112">
        <v>29.56</v>
      </c>
      <c r="E18" s="112">
        <v>7.08</v>
      </c>
      <c r="F18" s="112">
        <v>2.6</v>
      </c>
      <c r="G18" s="112">
        <v>82.36</v>
      </c>
      <c r="H18" s="112">
        <v>38.159999999999997</v>
      </c>
      <c r="I18" s="112">
        <v>6.74</v>
      </c>
      <c r="J18" s="112">
        <v>0.23</v>
      </c>
      <c r="K18" s="112">
        <v>280.54000000000002</v>
      </c>
      <c r="L18" s="112">
        <v>15.95</v>
      </c>
      <c r="M18" s="112">
        <v>87.92</v>
      </c>
      <c r="N18" s="112">
        <v>0</v>
      </c>
      <c r="O18" s="112">
        <v>0</v>
      </c>
      <c r="P18" s="112">
        <v>0.83</v>
      </c>
      <c r="Q18" s="112">
        <v>4.82</v>
      </c>
    </row>
    <row r="19" spans="1:17" customFormat="1">
      <c r="A19" s="80">
        <v>45272.114583333336</v>
      </c>
      <c r="B19" s="112">
        <v>19.32</v>
      </c>
      <c r="C19" s="112">
        <v>24.99</v>
      </c>
      <c r="D19" s="112">
        <v>29.9</v>
      </c>
      <c r="E19" s="112">
        <v>7.52</v>
      </c>
      <c r="F19" s="112">
        <v>2.69</v>
      </c>
      <c r="G19" s="112">
        <v>79.650000000000006</v>
      </c>
      <c r="H19" s="112">
        <v>37.83</v>
      </c>
      <c r="I19" s="112">
        <v>6.67</v>
      </c>
      <c r="J19" s="112">
        <v>0.11</v>
      </c>
      <c r="K19" s="112">
        <v>285.33</v>
      </c>
      <c r="L19" s="112">
        <v>15.95</v>
      </c>
      <c r="M19" s="112">
        <v>88.17</v>
      </c>
      <c r="N19" s="112">
        <v>0</v>
      </c>
      <c r="O19" s="112">
        <v>0</v>
      </c>
      <c r="P19" s="112">
        <v>0.81</v>
      </c>
      <c r="Q19" s="112">
        <v>4.83</v>
      </c>
    </row>
    <row r="20" spans="1:17" customFormat="1">
      <c r="A20" s="80">
        <v>45272.125</v>
      </c>
      <c r="B20" s="112">
        <v>19.36</v>
      </c>
      <c r="C20" s="112">
        <v>25.31</v>
      </c>
      <c r="D20" s="112">
        <v>30.1</v>
      </c>
      <c r="E20" s="112">
        <v>7.42</v>
      </c>
      <c r="F20" s="112">
        <v>2.57</v>
      </c>
      <c r="G20" s="112">
        <v>79.650000000000006</v>
      </c>
      <c r="H20" s="112">
        <v>37.83</v>
      </c>
      <c r="I20" s="112">
        <v>6.59</v>
      </c>
      <c r="J20" s="112">
        <v>0.06</v>
      </c>
      <c r="K20" s="112">
        <v>242.35</v>
      </c>
      <c r="L20" s="112">
        <v>15.72</v>
      </c>
      <c r="M20" s="112">
        <v>89.59</v>
      </c>
      <c r="N20" s="112">
        <v>0</v>
      </c>
      <c r="O20" s="112">
        <v>0</v>
      </c>
      <c r="P20" s="112">
        <v>0.82</v>
      </c>
      <c r="Q20" s="112">
        <v>4.83</v>
      </c>
    </row>
    <row r="21" spans="1:17" customFormat="1">
      <c r="A21" s="80">
        <v>45272.135416666664</v>
      </c>
      <c r="B21" s="112">
        <v>19.18</v>
      </c>
      <c r="C21" s="112">
        <v>25.55</v>
      </c>
      <c r="D21" s="112">
        <v>30.08</v>
      </c>
      <c r="E21" s="112">
        <v>7.2</v>
      </c>
      <c r="F21" s="112">
        <v>2.64</v>
      </c>
      <c r="G21" s="112">
        <v>79.650000000000006</v>
      </c>
      <c r="H21" s="112">
        <v>37.83</v>
      </c>
      <c r="I21" s="112">
        <v>6.53</v>
      </c>
      <c r="J21" s="112">
        <v>0.09</v>
      </c>
      <c r="K21" s="112">
        <v>130.03</v>
      </c>
      <c r="L21" s="112">
        <v>15.53</v>
      </c>
      <c r="M21" s="112">
        <v>90.53</v>
      </c>
      <c r="N21" s="112">
        <v>0</v>
      </c>
      <c r="O21" s="112">
        <v>0</v>
      </c>
      <c r="P21" s="112">
        <v>0.83</v>
      </c>
      <c r="Q21" s="112">
        <v>4.8499999999999996</v>
      </c>
    </row>
    <row r="22" spans="1:17" customFormat="1">
      <c r="A22" s="80">
        <v>45272.145833333336</v>
      </c>
      <c r="B22" s="112">
        <v>19.52</v>
      </c>
      <c r="C22" s="112">
        <v>25.83</v>
      </c>
      <c r="D22" s="112">
        <v>30.51</v>
      </c>
      <c r="E22" s="112">
        <v>6.92</v>
      </c>
      <c r="F22" s="112">
        <v>2.69</v>
      </c>
      <c r="G22" s="112">
        <v>73.709999999999994</v>
      </c>
      <c r="H22" s="112">
        <v>36.799999999999997</v>
      </c>
      <c r="I22" s="112">
        <v>6.5</v>
      </c>
      <c r="J22" s="112">
        <v>0.09</v>
      </c>
      <c r="K22" s="112">
        <v>142.46</v>
      </c>
      <c r="L22" s="112">
        <v>15.53</v>
      </c>
      <c r="M22" s="112">
        <v>90.59</v>
      </c>
      <c r="N22" s="112">
        <v>0</v>
      </c>
      <c r="O22" s="112">
        <v>0</v>
      </c>
      <c r="P22" s="112">
        <v>0.82</v>
      </c>
      <c r="Q22" s="112">
        <v>4.8899999999999997</v>
      </c>
    </row>
    <row r="23" spans="1:17" customFormat="1">
      <c r="A23" s="80">
        <v>45272.15625</v>
      </c>
      <c r="B23" s="112">
        <v>19.96</v>
      </c>
      <c r="C23" s="112">
        <v>26.2</v>
      </c>
      <c r="D23" s="112">
        <v>31.04</v>
      </c>
      <c r="E23" s="112">
        <v>6.71</v>
      </c>
      <c r="F23" s="112">
        <v>2.64</v>
      </c>
      <c r="G23" s="112">
        <v>70.75</v>
      </c>
      <c r="H23" s="112">
        <v>36.68</v>
      </c>
      <c r="I23" s="112">
        <v>6.44</v>
      </c>
      <c r="J23" s="112">
        <v>0.13</v>
      </c>
      <c r="K23" s="112">
        <v>125.83</v>
      </c>
      <c r="L23" s="112">
        <v>15.42</v>
      </c>
      <c r="M23" s="112">
        <v>91.97</v>
      </c>
      <c r="N23" s="112">
        <v>0</v>
      </c>
      <c r="O23" s="112">
        <v>0</v>
      </c>
      <c r="P23" s="112">
        <v>0.81</v>
      </c>
      <c r="Q23" s="112">
        <v>4.8600000000000003</v>
      </c>
    </row>
    <row r="24" spans="1:17" customFormat="1">
      <c r="A24" s="80">
        <v>45272.166666666664</v>
      </c>
      <c r="B24" s="112">
        <v>20.3</v>
      </c>
      <c r="C24" s="112">
        <v>26.47</v>
      </c>
      <c r="D24" s="112">
        <v>31.46</v>
      </c>
      <c r="E24" s="112">
        <v>7.39</v>
      </c>
      <c r="F24" s="112">
        <v>2.61</v>
      </c>
      <c r="G24" s="112">
        <v>70.75</v>
      </c>
      <c r="H24" s="112">
        <v>36.68</v>
      </c>
      <c r="I24" s="112">
        <v>6.44</v>
      </c>
      <c r="J24" s="112">
        <v>0.12</v>
      </c>
      <c r="K24" s="112">
        <v>94.03</v>
      </c>
      <c r="L24" s="112">
        <v>15.44</v>
      </c>
      <c r="M24" s="112">
        <v>91.17</v>
      </c>
      <c r="N24" s="112">
        <v>0</v>
      </c>
      <c r="O24" s="112">
        <v>0</v>
      </c>
      <c r="P24" s="112">
        <v>0.8</v>
      </c>
      <c r="Q24" s="112">
        <v>4.88</v>
      </c>
    </row>
    <row r="25" spans="1:17" customFormat="1">
      <c r="A25" s="80">
        <v>45272.177083333336</v>
      </c>
      <c r="B25" s="112">
        <v>20.95</v>
      </c>
      <c r="C25" s="112">
        <v>26.26</v>
      </c>
      <c r="D25" s="112">
        <v>31.87</v>
      </c>
      <c r="E25" s="112">
        <v>6.9</v>
      </c>
      <c r="F25" s="112">
        <v>2.7</v>
      </c>
      <c r="G25" s="112">
        <v>70.75</v>
      </c>
      <c r="H25" s="112">
        <v>36.68</v>
      </c>
      <c r="I25" s="112">
        <v>6.49</v>
      </c>
      <c r="J25" s="112">
        <v>0.08</v>
      </c>
      <c r="K25" s="112">
        <v>123.58</v>
      </c>
      <c r="L25" s="112">
        <v>15.3</v>
      </c>
      <c r="M25" s="112">
        <v>91.84</v>
      </c>
      <c r="N25" s="112">
        <v>0</v>
      </c>
      <c r="O25" s="112">
        <v>0</v>
      </c>
      <c r="P25" s="112">
        <v>0.81</v>
      </c>
      <c r="Q25" s="112">
        <v>4.8899999999999997</v>
      </c>
    </row>
    <row r="26" spans="1:17" customFormat="1">
      <c r="A26" s="80">
        <v>45272.1875</v>
      </c>
      <c r="B26" s="112">
        <v>21.41</v>
      </c>
      <c r="C26" s="112">
        <v>26.47</v>
      </c>
      <c r="D26" s="112">
        <v>32.35</v>
      </c>
      <c r="E26" s="112">
        <v>7.46</v>
      </c>
      <c r="F26" s="112">
        <v>2.54</v>
      </c>
      <c r="G26" s="112">
        <v>73.56</v>
      </c>
      <c r="H26" s="112">
        <v>35.1</v>
      </c>
      <c r="I26" s="112">
        <v>6.53</v>
      </c>
      <c r="J26" s="112">
        <v>0.11</v>
      </c>
      <c r="K26" s="112">
        <v>183.71</v>
      </c>
      <c r="L26" s="112">
        <v>15.23</v>
      </c>
      <c r="M26" s="112">
        <v>92.32</v>
      </c>
      <c r="N26" s="112">
        <v>0</v>
      </c>
      <c r="O26" s="112">
        <v>0</v>
      </c>
      <c r="P26" s="112">
        <v>0.81</v>
      </c>
      <c r="Q26" s="112">
        <v>4.9000000000000004</v>
      </c>
    </row>
    <row r="27" spans="1:17" customFormat="1">
      <c r="A27" s="80">
        <v>45272.197916666664</v>
      </c>
      <c r="B27" s="112">
        <v>21.66</v>
      </c>
      <c r="C27" s="112">
        <v>26.63</v>
      </c>
      <c r="D27" s="112">
        <v>32.630000000000003</v>
      </c>
      <c r="E27" s="112">
        <v>7.16</v>
      </c>
      <c r="F27" s="112">
        <v>2.64</v>
      </c>
      <c r="G27" s="112">
        <v>74.959999999999994</v>
      </c>
      <c r="H27" s="112">
        <v>34.92</v>
      </c>
      <c r="I27" s="112">
        <v>6.57</v>
      </c>
      <c r="J27" s="112">
        <v>0.1</v>
      </c>
      <c r="K27" s="112">
        <v>169.99</v>
      </c>
      <c r="L27" s="112">
        <v>15.04</v>
      </c>
      <c r="M27" s="112">
        <v>93.55</v>
      </c>
      <c r="N27" s="112">
        <v>0</v>
      </c>
      <c r="O27" s="112">
        <v>0</v>
      </c>
      <c r="P27" s="112">
        <v>0.8</v>
      </c>
      <c r="Q27" s="112">
        <v>4.92</v>
      </c>
    </row>
    <row r="28" spans="1:17" customFormat="1">
      <c r="A28" s="80">
        <v>45272.208333333336</v>
      </c>
      <c r="B28" s="112">
        <v>21.84</v>
      </c>
      <c r="C28" s="112">
        <v>26.5</v>
      </c>
      <c r="D28" s="112">
        <v>32.71</v>
      </c>
      <c r="E28" s="112">
        <v>7.71</v>
      </c>
      <c r="F28" s="112">
        <v>2.66</v>
      </c>
      <c r="G28" s="112">
        <v>74.959999999999994</v>
      </c>
      <c r="H28" s="112">
        <v>34.92</v>
      </c>
      <c r="I28" s="112">
        <v>6.58</v>
      </c>
      <c r="J28" s="112">
        <v>0.09</v>
      </c>
      <c r="K28" s="112">
        <v>201.69</v>
      </c>
      <c r="L28" s="112">
        <v>15.02</v>
      </c>
      <c r="M28" s="112">
        <v>93.9</v>
      </c>
      <c r="N28" s="112">
        <v>0</v>
      </c>
      <c r="O28" s="112">
        <v>0</v>
      </c>
      <c r="P28" s="112">
        <v>0.8</v>
      </c>
      <c r="Q28" s="112">
        <v>4.93</v>
      </c>
    </row>
    <row r="29" spans="1:17" customFormat="1">
      <c r="A29" s="80">
        <v>45272.21875</v>
      </c>
      <c r="B29" s="112">
        <v>22.02</v>
      </c>
      <c r="C29" s="112">
        <v>26.4</v>
      </c>
      <c r="D29" s="112">
        <v>32.799999999999997</v>
      </c>
      <c r="E29" s="112">
        <v>7.1</v>
      </c>
      <c r="F29" s="112">
        <v>2.5099999999999998</v>
      </c>
      <c r="G29" s="112">
        <v>74.959999999999994</v>
      </c>
      <c r="H29" s="112">
        <v>34.92</v>
      </c>
      <c r="I29" s="112">
        <v>6.6</v>
      </c>
      <c r="J29" s="112">
        <v>0.08</v>
      </c>
      <c r="K29" s="112">
        <v>176.91</v>
      </c>
      <c r="L29" s="112">
        <v>14.86</v>
      </c>
      <c r="M29" s="112">
        <v>95.07</v>
      </c>
      <c r="N29" s="112">
        <v>0</v>
      </c>
      <c r="O29" s="112">
        <v>0</v>
      </c>
      <c r="P29" s="112">
        <v>0.79</v>
      </c>
      <c r="Q29" s="112">
        <v>4.91</v>
      </c>
    </row>
    <row r="30" spans="1:17" customFormat="1">
      <c r="A30" s="80">
        <v>45272.229166666664</v>
      </c>
      <c r="B30" s="112">
        <v>22.65</v>
      </c>
      <c r="C30" s="112">
        <v>26.45</v>
      </c>
      <c r="D30" s="112">
        <v>33.33</v>
      </c>
      <c r="E30" s="112">
        <v>7.38</v>
      </c>
      <c r="F30" s="112">
        <v>2.63</v>
      </c>
      <c r="G30" s="112">
        <v>71.56</v>
      </c>
      <c r="H30" s="112">
        <v>35.35</v>
      </c>
      <c r="I30" s="112">
        <v>6.59</v>
      </c>
      <c r="J30" s="112">
        <v>0.08</v>
      </c>
      <c r="K30" s="112">
        <v>176.52</v>
      </c>
      <c r="L30" s="112">
        <v>14.78</v>
      </c>
      <c r="M30" s="112">
        <v>95.67</v>
      </c>
      <c r="N30" s="112">
        <v>0</v>
      </c>
      <c r="O30" s="112">
        <v>0</v>
      </c>
      <c r="P30" s="112">
        <v>0.79</v>
      </c>
      <c r="Q30" s="112">
        <v>4.92</v>
      </c>
    </row>
    <row r="31" spans="1:17" customFormat="1">
      <c r="A31" s="80">
        <v>45272.239583333336</v>
      </c>
      <c r="B31" s="112">
        <v>24</v>
      </c>
      <c r="C31" s="112">
        <v>26.29</v>
      </c>
      <c r="D31" s="112">
        <v>34.33</v>
      </c>
      <c r="E31" s="112">
        <v>7.2</v>
      </c>
      <c r="F31" s="112">
        <v>2.58</v>
      </c>
      <c r="G31" s="112">
        <v>69.86</v>
      </c>
      <c r="H31" s="112">
        <v>35.409999999999997</v>
      </c>
      <c r="I31" s="112">
        <v>6.57</v>
      </c>
      <c r="J31" s="112">
        <v>0.14000000000000001</v>
      </c>
      <c r="K31" s="112">
        <v>131.63</v>
      </c>
      <c r="L31" s="112">
        <v>14.71</v>
      </c>
      <c r="M31" s="112">
        <v>95.92</v>
      </c>
      <c r="N31" s="112">
        <v>0</v>
      </c>
      <c r="O31" s="112">
        <v>0</v>
      </c>
      <c r="P31" s="112">
        <v>0.79</v>
      </c>
      <c r="Q31" s="112">
        <v>4.99</v>
      </c>
    </row>
    <row r="32" spans="1:17" customFormat="1">
      <c r="A32" s="80">
        <v>45272.25</v>
      </c>
      <c r="B32" s="112">
        <v>26.46</v>
      </c>
      <c r="C32" s="112">
        <v>26.51</v>
      </c>
      <c r="D32" s="112">
        <v>36.42</v>
      </c>
      <c r="E32" s="112">
        <v>7.95</v>
      </c>
      <c r="F32" s="112">
        <v>2.64</v>
      </c>
      <c r="G32" s="112">
        <v>69.86</v>
      </c>
      <c r="H32" s="112">
        <v>35.409999999999997</v>
      </c>
      <c r="I32" s="112">
        <v>6.56</v>
      </c>
      <c r="J32" s="112">
        <v>0.05</v>
      </c>
      <c r="K32" s="112">
        <v>187.38</v>
      </c>
      <c r="L32" s="112">
        <v>14.7</v>
      </c>
      <c r="M32" s="112">
        <v>95.68</v>
      </c>
      <c r="N32" s="112">
        <v>0</v>
      </c>
      <c r="O32" s="112">
        <v>0</v>
      </c>
      <c r="P32" s="112">
        <v>0.79</v>
      </c>
      <c r="Q32" s="112">
        <v>5.03</v>
      </c>
    </row>
    <row r="33" spans="1:17" customFormat="1">
      <c r="A33" s="80">
        <v>45272.260416666664</v>
      </c>
      <c r="B33" s="112">
        <v>29.86</v>
      </c>
      <c r="C33" s="112">
        <v>27.09</v>
      </c>
      <c r="D33" s="112">
        <v>39.450000000000003</v>
      </c>
      <c r="E33" s="112">
        <v>7.33</v>
      </c>
      <c r="F33" s="112">
        <v>2.65</v>
      </c>
      <c r="G33" s="112">
        <v>69.86</v>
      </c>
      <c r="H33" s="112">
        <v>35.409999999999997</v>
      </c>
      <c r="I33" s="112">
        <v>6.55</v>
      </c>
      <c r="J33" s="112">
        <v>7.0000000000000007E-2</v>
      </c>
      <c r="K33" s="112">
        <v>151.22</v>
      </c>
      <c r="L33" s="112">
        <v>14.6</v>
      </c>
      <c r="M33" s="112">
        <v>95.68</v>
      </c>
      <c r="N33" s="112">
        <v>0</v>
      </c>
      <c r="O33" s="112">
        <v>0</v>
      </c>
      <c r="P33" s="112">
        <v>0.8</v>
      </c>
      <c r="Q33" s="112">
        <v>5.0999999999999996</v>
      </c>
    </row>
    <row r="34" spans="1:17" customFormat="1">
      <c r="A34" s="80">
        <v>45272.270833333336</v>
      </c>
      <c r="B34" s="112">
        <v>33.409999999999997</v>
      </c>
      <c r="C34" s="112">
        <v>27.8</v>
      </c>
      <c r="D34" s="112">
        <v>42.67</v>
      </c>
      <c r="E34" s="112">
        <v>7.67</v>
      </c>
      <c r="F34" s="112">
        <v>2.68</v>
      </c>
      <c r="G34" s="112">
        <v>73.790000000000006</v>
      </c>
      <c r="H34" s="112">
        <v>34.79</v>
      </c>
      <c r="I34" s="112">
        <v>6.59</v>
      </c>
      <c r="J34" s="112">
        <v>0.09</v>
      </c>
      <c r="K34" s="112">
        <v>195.67</v>
      </c>
      <c r="L34" s="112">
        <v>14.62</v>
      </c>
      <c r="M34" s="112">
        <v>95.79</v>
      </c>
      <c r="N34" s="112">
        <v>0</v>
      </c>
      <c r="O34" s="112">
        <v>0</v>
      </c>
      <c r="P34" s="112">
        <v>0.8</v>
      </c>
      <c r="Q34" s="112">
        <v>5.24</v>
      </c>
    </row>
    <row r="35" spans="1:17" customFormat="1">
      <c r="A35" s="80">
        <v>45272.28125</v>
      </c>
      <c r="B35" s="112">
        <v>36.020000000000003</v>
      </c>
      <c r="C35" s="112">
        <v>27.87</v>
      </c>
      <c r="D35" s="112">
        <v>44.8</v>
      </c>
      <c r="E35" s="112">
        <v>8.06</v>
      </c>
      <c r="F35" s="112">
        <v>2.66</v>
      </c>
      <c r="G35" s="112">
        <v>75.75</v>
      </c>
      <c r="H35" s="112">
        <v>34.67</v>
      </c>
      <c r="I35" s="112">
        <v>6.61</v>
      </c>
      <c r="J35" s="112">
        <v>0.03</v>
      </c>
      <c r="K35" s="112">
        <v>221.45</v>
      </c>
      <c r="L35" s="112">
        <v>14.6</v>
      </c>
      <c r="M35" s="112">
        <v>96.13</v>
      </c>
      <c r="N35" s="112">
        <v>4.3</v>
      </c>
      <c r="O35" s="112">
        <v>0</v>
      </c>
      <c r="P35" s="112">
        <v>0.8</v>
      </c>
      <c r="Q35" s="112">
        <v>5.31</v>
      </c>
    </row>
    <row r="36" spans="1:17" customFormat="1">
      <c r="A36" s="80">
        <v>45272.291666666664</v>
      </c>
      <c r="B36" s="112">
        <v>37.71</v>
      </c>
      <c r="C36" s="112">
        <v>28.07</v>
      </c>
      <c r="D36" s="112">
        <v>46.26</v>
      </c>
      <c r="E36" s="112">
        <v>7.95</v>
      </c>
      <c r="F36" s="112">
        <v>2.5299999999999998</v>
      </c>
      <c r="G36" s="112">
        <v>75.75</v>
      </c>
      <c r="H36" s="112">
        <v>34.67</v>
      </c>
      <c r="I36" s="112">
        <v>6.64</v>
      </c>
      <c r="J36" s="112">
        <v>0.11</v>
      </c>
      <c r="K36" s="112">
        <v>153.83000000000001</v>
      </c>
      <c r="L36" s="112">
        <v>14.87</v>
      </c>
      <c r="M36" s="112">
        <v>96.49</v>
      </c>
      <c r="N36" s="112">
        <v>14</v>
      </c>
      <c r="O36" s="112">
        <v>0</v>
      </c>
      <c r="P36" s="112">
        <v>0.82</v>
      </c>
      <c r="Q36" s="112">
        <v>5.36</v>
      </c>
    </row>
    <row r="37" spans="1:17" customFormat="1">
      <c r="A37" s="80">
        <v>45272.302083333336</v>
      </c>
      <c r="B37" s="112">
        <v>39.43</v>
      </c>
      <c r="C37" s="112">
        <v>28.47</v>
      </c>
      <c r="D37" s="112">
        <v>47.84</v>
      </c>
      <c r="E37" s="112">
        <v>7.89</v>
      </c>
      <c r="F37" s="112">
        <v>2.62</v>
      </c>
      <c r="G37" s="112">
        <v>75.75</v>
      </c>
      <c r="H37" s="112">
        <v>34.67</v>
      </c>
      <c r="I37" s="112">
        <v>6.68</v>
      </c>
      <c r="J37" s="112">
        <v>0.1</v>
      </c>
      <c r="K37" s="112">
        <v>189.05</v>
      </c>
      <c r="L37" s="112">
        <v>15.3</v>
      </c>
      <c r="M37" s="112">
        <v>96.48</v>
      </c>
      <c r="N37" s="112">
        <v>25.5</v>
      </c>
      <c r="O37" s="112">
        <v>0</v>
      </c>
      <c r="P37" s="112">
        <v>0.83</v>
      </c>
      <c r="Q37" s="112">
        <v>5.4</v>
      </c>
    </row>
    <row r="38" spans="1:17" customFormat="1">
      <c r="A38" s="80">
        <v>45272.3125</v>
      </c>
      <c r="B38" s="112">
        <v>40.159999999999997</v>
      </c>
      <c r="C38" s="112">
        <v>28.19</v>
      </c>
      <c r="D38" s="112">
        <v>48.28</v>
      </c>
      <c r="E38" s="112">
        <v>7.84</v>
      </c>
      <c r="F38" s="112">
        <v>2.5099999999999998</v>
      </c>
      <c r="G38" s="112">
        <v>74.37</v>
      </c>
      <c r="H38" s="112">
        <v>34.44</v>
      </c>
      <c r="I38" s="112">
        <v>6.76</v>
      </c>
      <c r="J38" s="112">
        <v>0.05</v>
      </c>
      <c r="K38" s="112">
        <v>352.59</v>
      </c>
      <c r="L38" s="112">
        <v>15.61</v>
      </c>
      <c r="M38" s="112">
        <v>95.64</v>
      </c>
      <c r="N38" s="112">
        <v>40.299999999999997</v>
      </c>
      <c r="O38" s="112">
        <v>0</v>
      </c>
      <c r="P38" s="112">
        <v>0.84</v>
      </c>
      <c r="Q38" s="112">
        <v>5.42</v>
      </c>
    </row>
    <row r="39" spans="1:17" customFormat="1">
      <c r="A39" s="80">
        <v>45272.322916666664</v>
      </c>
      <c r="B39" s="112">
        <v>40.909999999999997</v>
      </c>
      <c r="C39" s="112">
        <v>28.5</v>
      </c>
      <c r="D39" s="112">
        <v>49.05</v>
      </c>
      <c r="E39" s="112">
        <v>7.77</v>
      </c>
      <c r="F39" s="112">
        <v>2.58</v>
      </c>
      <c r="G39" s="112">
        <v>73.67</v>
      </c>
      <c r="H39" s="112">
        <v>34.42</v>
      </c>
      <c r="I39" s="112">
        <v>6.85</v>
      </c>
      <c r="J39" s="112">
        <v>0.13</v>
      </c>
      <c r="K39" s="112">
        <v>13.03</v>
      </c>
      <c r="L39" s="112">
        <v>16.34</v>
      </c>
      <c r="M39" s="112">
        <v>91.06</v>
      </c>
      <c r="N39" s="112">
        <v>55</v>
      </c>
      <c r="O39" s="112">
        <v>0</v>
      </c>
      <c r="P39" s="112">
        <v>0.84</v>
      </c>
      <c r="Q39" s="112">
        <v>5.46</v>
      </c>
    </row>
    <row r="40" spans="1:17" customFormat="1">
      <c r="A40" s="80">
        <v>45272.333333333336</v>
      </c>
      <c r="B40" s="112">
        <v>41.43</v>
      </c>
      <c r="C40" s="112">
        <v>29.8</v>
      </c>
      <c r="D40" s="112">
        <v>50.15</v>
      </c>
      <c r="E40" s="112">
        <v>8.1199999999999992</v>
      </c>
      <c r="F40" s="112">
        <v>2.59</v>
      </c>
      <c r="G40" s="112">
        <v>73.67</v>
      </c>
      <c r="H40" s="112">
        <v>34.42</v>
      </c>
      <c r="I40" s="112">
        <v>6.95</v>
      </c>
      <c r="J40" s="112">
        <v>0.33</v>
      </c>
      <c r="K40" s="112">
        <v>30.23</v>
      </c>
      <c r="L40" s="112">
        <v>16.96</v>
      </c>
      <c r="M40" s="112">
        <v>86.41</v>
      </c>
      <c r="N40" s="112">
        <v>98.4</v>
      </c>
      <c r="O40" s="112">
        <v>0</v>
      </c>
      <c r="P40" s="112">
        <v>0.85</v>
      </c>
      <c r="Q40" s="112">
        <v>5.46</v>
      </c>
    </row>
    <row r="41" spans="1:17" customFormat="1">
      <c r="A41" s="80">
        <v>45272.34375</v>
      </c>
      <c r="B41" s="112">
        <v>41.52</v>
      </c>
      <c r="C41" s="112">
        <v>28.91</v>
      </c>
      <c r="D41" s="112">
        <v>49.75</v>
      </c>
      <c r="E41" s="112">
        <v>7.66</v>
      </c>
      <c r="F41" s="112">
        <v>2.82</v>
      </c>
      <c r="G41" s="112">
        <v>73.67</v>
      </c>
      <c r="H41" s="112">
        <v>34.42</v>
      </c>
      <c r="I41" s="112">
        <v>7.1</v>
      </c>
      <c r="J41" s="112">
        <v>0.27</v>
      </c>
      <c r="K41" s="112">
        <v>66.08</v>
      </c>
      <c r="L41" s="112">
        <v>17.61</v>
      </c>
      <c r="M41" s="112">
        <v>82.87</v>
      </c>
      <c r="N41" s="112">
        <v>158.80000000000001</v>
      </c>
      <c r="O41" s="112">
        <v>0</v>
      </c>
      <c r="P41" s="112">
        <v>0.85</v>
      </c>
      <c r="Q41" s="112">
        <v>5.47</v>
      </c>
    </row>
    <row r="42" spans="1:17" customFormat="1">
      <c r="A42" s="80">
        <v>45272.354166666664</v>
      </c>
      <c r="B42" s="112">
        <v>40.57</v>
      </c>
      <c r="C42" s="112">
        <v>28.11</v>
      </c>
      <c r="D42" s="112">
        <v>48.58</v>
      </c>
      <c r="E42" s="112">
        <v>8.2100000000000009</v>
      </c>
      <c r="F42" s="112">
        <v>2.6</v>
      </c>
      <c r="G42" s="112">
        <v>82.56</v>
      </c>
      <c r="H42" s="112">
        <v>39.14</v>
      </c>
      <c r="I42" s="112">
        <v>7.29</v>
      </c>
      <c r="J42" s="112">
        <v>0.27</v>
      </c>
      <c r="K42" s="112">
        <v>56.93</v>
      </c>
      <c r="L42" s="112">
        <v>18.43</v>
      </c>
      <c r="M42" s="112">
        <v>80.98</v>
      </c>
      <c r="N42" s="112">
        <v>190.2</v>
      </c>
      <c r="O42" s="112">
        <v>0</v>
      </c>
      <c r="P42" s="112">
        <v>0.86</v>
      </c>
      <c r="Q42" s="112">
        <v>5.42</v>
      </c>
    </row>
    <row r="43" spans="1:17" customFormat="1">
      <c r="A43" s="80">
        <v>45272.364583333336</v>
      </c>
      <c r="B43" s="112">
        <v>39.42</v>
      </c>
      <c r="C43" s="112">
        <v>27.99</v>
      </c>
      <c r="D43" s="112">
        <v>47.59</v>
      </c>
      <c r="E43" s="112">
        <v>7.84</v>
      </c>
      <c r="F43" s="112">
        <v>2.63</v>
      </c>
      <c r="G43" s="112">
        <v>87.01</v>
      </c>
      <c r="H43" s="112">
        <v>39.700000000000003</v>
      </c>
      <c r="I43" s="112">
        <v>7.5</v>
      </c>
      <c r="J43" s="112">
        <v>0.24</v>
      </c>
      <c r="K43" s="112">
        <v>59.23</v>
      </c>
      <c r="L43" s="112">
        <v>19.28</v>
      </c>
      <c r="M43" s="112">
        <v>76.73</v>
      </c>
      <c r="N43" s="112">
        <v>225.5</v>
      </c>
      <c r="O43" s="112">
        <v>0</v>
      </c>
      <c r="P43" s="112">
        <v>0.88</v>
      </c>
      <c r="Q43" s="112">
        <v>5.39</v>
      </c>
    </row>
    <row r="44" spans="1:17" customFormat="1">
      <c r="A44" s="80">
        <v>45272.375</v>
      </c>
      <c r="B44" s="112">
        <v>37.880000000000003</v>
      </c>
      <c r="C44" s="112">
        <v>28.42</v>
      </c>
      <c r="D44" s="112">
        <v>46.58</v>
      </c>
      <c r="E44" s="112">
        <v>8.06</v>
      </c>
      <c r="F44" s="112">
        <v>2.56</v>
      </c>
      <c r="G44" s="112">
        <v>87.01</v>
      </c>
      <c r="H44" s="112">
        <v>39.700000000000003</v>
      </c>
      <c r="I44" s="112">
        <v>7.72</v>
      </c>
      <c r="J44" s="112">
        <v>0.16</v>
      </c>
      <c r="K44" s="112">
        <v>57.08</v>
      </c>
      <c r="L44" s="112">
        <v>20.43</v>
      </c>
      <c r="M44" s="112">
        <v>72.61</v>
      </c>
      <c r="N44" s="112">
        <v>202.8</v>
      </c>
      <c r="O44" s="112">
        <v>0</v>
      </c>
      <c r="P44" s="112">
        <v>0.88</v>
      </c>
      <c r="Q44" s="112">
        <v>5.35</v>
      </c>
    </row>
    <row r="45" spans="1:17" customFormat="1">
      <c r="A45" s="80">
        <v>45272.385416666664</v>
      </c>
      <c r="B45" s="112">
        <v>36.43</v>
      </c>
      <c r="C45" s="112">
        <v>26.54</v>
      </c>
      <c r="D45" s="112">
        <v>44.43</v>
      </c>
      <c r="E45" s="112">
        <v>8.1199999999999992</v>
      </c>
      <c r="F45" s="112">
        <v>2.82</v>
      </c>
      <c r="G45" s="112">
        <v>87.01</v>
      </c>
      <c r="H45" s="112">
        <v>39.700000000000003</v>
      </c>
      <c r="I45" s="112">
        <v>7.84</v>
      </c>
      <c r="J45" s="112">
        <v>0.21</v>
      </c>
      <c r="K45" s="112">
        <v>185.67</v>
      </c>
      <c r="L45" s="112">
        <v>21.26</v>
      </c>
      <c r="M45" s="112">
        <v>67.45</v>
      </c>
      <c r="N45" s="112">
        <v>125</v>
      </c>
      <c r="O45" s="112">
        <v>0</v>
      </c>
      <c r="P45" s="112">
        <v>0.88</v>
      </c>
      <c r="Q45" s="112">
        <v>5.31</v>
      </c>
    </row>
    <row r="46" spans="1:17" customFormat="1">
      <c r="A46" s="80">
        <v>45272.395833333336</v>
      </c>
      <c r="B46" s="112">
        <v>34.83</v>
      </c>
      <c r="C46" s="112">
        <v>27.41</v>
      </c>
      <c r="D46" s="112">
        <v>43.61</v>
      </c>
      <c r="E46" s="112">
        <v>7.38</v>
      </c>
      <c r="F46" s="112">
        <v>2.59</v>
      </c>
      <c r="G46" s="112">
        <v>84.72</v>
      </c>
      <c r="H46" s="112">
        <v>40.26</v>
      </c>
      <c r="I46" s="112">
        <v>7.92</v>
      </c>
      <c r="J46" s="112">
        <v>0.08</v>
      </c>
      <c r="K46" s="112">
        <v>294.75</v>
      </c>
      <c r="L46" s="112">
        <v>21.98</v>
      </c>
      <c r="M46" s="112">
        <v>64.95</v>
      </c>
      <c r="N46" s="112">
        <v>131.9</v>
      </c>
      <c r="O46" s="112">
        <v>0</v>
      </c>
      <c r="P46" s="112">
        <v>0.88</v>
      </c>
      <c r="Q46" s="112">
        <v>5.25</v>
      </c>
    </row>
    <row r="47" spans="1:17" customFormat="1">
      <c r="A47" s="80">
        <v>45272.40625</v>
      </c>
      <c r="B47" s="112">
        <v>33.43</v>
      </c>
      <c r="C47" s="112">
        <v>26.53</v>
      </c>
      <c r="D47" s="112">
        <v>42.02</v>
      </c>
      <c r="E47" s="112">
        <v>7.47</v>
      </c>
      <c r="F47" s="112">
        <v>2.82</v>
      </c>
      <c r="G47" s="112">
        <v>83.58</v>
      </c>
      <c r="H47" s="112">
        <v>40.33</v>
      </c>
      <c r="I47" s="112">
        <v>7.89</v>
      </c>
      <c r="J47" s="112">
        <v>0.16</v>
      </c>
      <c r="K47" s="112">
        <v>210.13</v>
      </c>
      <c r="L47" s="112">
        <v>22.32</v>
      </c>
      <c r="M47" s="112">
        <v>63.88</v>
      </c>
      <c r="N47" s="112">
        <v>153.6</v>
      </c>
      <c r="O47" s="112">
        <v>0</v>
      </c>
      <c r="P47" s="112">
        <v>0.86</v>
      </c>
      <c r="Q47" s="112">
        <v>5.21</v>
      </c>
    </row>
    <row r="48" spans="1:17" customFormat="1">
      <c r="A48" s="80">
        <v>45272.416666666664</v>
      </c>
      <c r="B48" s="112">
        <v>32.07</v>
      </c>
      <c r="C48" s="112">
        <v>24.77</v>
      </c>
      <c r="D48" s="112">
        <v>40.01</v>
      </c>
      <c r="E48" s="112">
        <v>7.51</v>
      </c>
      <c r="F48" s="112">
        <v>2.94</v>
      </c>
      <c r="G48" s="112">
        <v>83.58</v>
      </c>
      <c r="H48" s="112">
        <v>40.33</v>
      </c>
      <c r="I48" s="112">
        <v>7.81</v>
      </c>
      <c r="J48" s="112">
        <v>0.06</v>
      </c>
      <c r="K48" s="112">
        <v>58.2</v>
      </c>
      <c r="L48" s="112">
        <v>22.78</v>
      </c>
      <c r="M48" s="112">
        <v>61.85</v>
      </c>
      <c r="N48" s="112">
        <v>339.3</v>
      </c>
      <c r="O48" s="112">
        <v>0</v>
      </c>
      <c r="P48" s="112">
        <v>0.84</v>
      </c>
      <c r="Q48" s="112">
        <v>5.15</v>
      </c>
    </row>
    <row r="49" spans="1:17" customFormat="1">
      <c r="A49" s="80">
        <v>45272.427083333336</v>
      </c>
      <c r="B49" s="112">
        <v>30.91</v>
      </c>
      <c r="C49" s="112">
        <v>24.09</v>
      </c>
      <c r="D49" s="112">
        <v>38.72</v>
      </c>
      <c r="E49" s="112">
        <v>7.96</v>
      </c>
      <c r="F49" s="112">
        <v>2.72</v>
      </c>
      <c r="G49" s="112">
        <v>83.58</v>
      </c>
      <c r="H49" s="112">
        <v>40.33</v>
      </c>
      <c r="I49" s="112">
        <v>7.73</v>
      </c>
      <c r="J49" s="112">
        <v>0.28000000000000003</v>
      </c>
      <c r="K49" s="112">
        <v>303.98</v>
      </c>
      <c r="L49" s="112">
        <v>23.32</v>
      </c>
      <c r="M49" s="112">
        <v>59.23</v>
      </c>
      <c r="N49" s="112">
        <v>441.7</v>
      </c>
      <c r="O49" s="112">
        <v>0</v>
      </c>
      <c r="P49" s="112">
        <v>0.83</v>
      </c>
      <c r="Q49" s="112">
        <v>5.1100000000000003</v>
      </c>
    </row>
    <row r="50" spans="1:17" customFormat="1">
      <c r="A50" s="80">
        <v>45272.4375</v>
      </c>
      <c r="B50" s="112">
        <v>29.88</v>
      </c>
      <c r="C50" s="112">
        <v>23.85</v>
      </c>
      <c r="D50" s="112">
        <v>37.770000000000003</v>
      </c>
      <c r="E50" s="112">
        <v>8.9</v>
      </c>
      <c r="F50" s="112">
        <v>2.73</v>
      </c>
      <c r="G50" s="112">
        <v>78.05</v>
      </c>
      <c r="H50" s="112">
        <v>36.76</v>
      </c>
      <c r="I50" s="112">
        <v>7.64</v>
      </c>
      <c r="J50" s="112">
        <v>0.28000000000000003</v>
      </c>
      <c r="K50" s="112">
        <v>281.61</v>
      </c>
      <c r="L50" s="112">
        <v>23.52</v>
      </c>
      <c r="M50" s="112">
        <v>58.43</v>
      </c>
      <c r="N50" s="112">
        <v>454.3</v>
      </c>
      <c r="O50" s="112">
        <v>0</v>
      </c>
      <c r="P50" s="112">
        <v>0.82</v>
      </c>
      <c r="Q50" s="112">
        <v>5.08</v>
      </c>
    </row>
    <row r="51" spans="1:17" customFormat="1">
      <c r="A51" s="80">
        <v>45272.447916666664</v>
      </c>
      <c r="B51" s="112">
        <v>28.44</v>
      </c>
      <c r="C51" s="112">
        <v>25.65</v>
      </c>
      <c r="D51" s="112">
        <v>37.56</v>
      </c>
      <c r="E51" s="112">
        <v>8.94</v>
      </c>
      <c r="F51" s="112">
        <v>2.63</v>
      </c>
      <c r="G51" s="112">
        <v>75.28</v>
      </c>
      <c r="H51" s="112">
        <v>36.340000000000003</v>
      </c>
      <c r="I51" s="112">
        <v>7.57</v>
      </c>
      <c r="J51" s="112">
        <v>0.14000000000000001</v>
      </c>
      <c r="K51" s="112">
        <v>321.94</v>
      </c>
      <c r="L51" s="112">
        <v>24.01</v>
      </c>
      <c r="M51" s="112">
        <v>56.6</v>
      </c>
      <c r="N51" s="112">
        <v>489</v>
      </c>
      <c r="O51" s="112">
        <v>0</v>
      </c>
      <c r="P51" s="112">
        <v>0.83</v>
      </c>
      <c r="Q51" s="112">
        <v>5.04</v>
      </c>
    </row>
    <row r="52" spans="1:17" customFormat="1">
      <c r="A52" s="80">
        <v>45272.458333333336</v>
      </c>
      <c r="B52" s="112">
        <v>26.86</v>
      </c>
      <c r="C52" s="112">
        <v>25.33</v>
      </c>
      <c r="D52" s="112">
        <v>36.119999999999997</v>
      </c>
      <c r="E52" s="112">
        <v>8.56</v>
      </c>
      <c r="F52" s="112">
        <v>2.73</v>
      </c>
      <c r="G52" s="112">
        <v>75.28</v>
      </c>
      <c r="H52" s="112">
        <v>36.340000000000003</v>
      </c>
      <c r="I52" s="112">
        <v>7.5</v>
      </c>
      <c r="J52" s="112">
        <v>0.27</v>
      </c>
      <c r="K52" s="112">
        <v>243.96</v>
      </c>
      <c r="L52" s="112">
        <v>24.59</v>
      </c>
      <c r="M52" s="112">
        <v>52.7</v>
      </c>
      <c r="N52" s="112">
        <v>490.6</v>
      </c>
      <c r="O52" s="112">
        <v>0</v>
      </c>
      <c r="P52" s="112">
        <v>0.82</v>
      </c>
      <c r="Q52" s="112">
        <v>5.01</v>
      </c>
    </row>
    <row r="53" spans="1:17" customFormat="1">
      <c r="A53" s="80">
        <v>45272.46875</v>
      </c>
      <c r="B53" s="112">
        <v>25.33</v>
      </c>
      <c r="C53" s="112">
        <v>23.7</v>
      </c>
      <c r="D53" s="112">
        <v>34.049999999999997</v>
      </c>
      <c r="E53" s="112">
        <v>8.61</v>
      </c>
      <c r="F53" s="112">
        <v>2.9</v>
      </c>
      <c r="G53" s="112">
        <v>75.28</v>
      </c>
      <c r="H53" s="112">
        <v>36.340000000000003</v>
      </c>
      <c r="I53" s="112">
        <v>7.42</v>
      </c>
      <c r="J53" s="112">
        <v>0.3</v>
      </c>
      <c r="K53" s="112">
        <v>149.97</v>
      </c>
      <c r="L53" s="112">
        <v>25.34</v>
      </c>
      <c r="M53" s="112">
        <v>49.2</v>
      </c>
      <c r="N53" s="112">
        <v>546.4</v>
      </c>
      <c r="O53" s="112">
        <v>0</v>
      </c>
      <c r="P53" s="112">
        <v>0.81</v>
      </c>
      <c r="Q53" s="112">
        <v>4.9400000000000004</v>
      </c>
    </row>
    <row r="54" spans="1:17" customFormat="1">
      <c r="A54" s="80">
        <v>45272.479166666664</v>
      </c>
      <c r="B54" s="112">
        <v>23.71</v>
      </c>
      <c r="C54" s="112">
        <v>22.76</v>
      </c>
      <c r="D54" s="112">
        <v>32.26</v>
      </c>
      <c r="E54" s="112">
        <v>8.59</v>
      </c>
      <c r="F54" s="112">
        <v>2.88</v>
      </c>
      <c r="G54" s="112">
        <v>64.010000000000005</v>
      </c>
      <c r="H54" s="112">
        <v>31.79</v>
      </c>
      <c r="I54" s="112">
        <v>7.33</v>
      </c>
      <c r="J54" s="112">
        <v>0.19</v>
      </c>
      <c r="K54" s="112">
        <v>215</v>
      </c>
      <c r="L54" s="112">
        <v>25.38</v>
      </c>
      <c r="M54" s="112">
        <v>48.58</v>
      </c>
      <c r="N54" s="112">
        <v>556.4</v>
      </c>
      <c r="O54" s="112">
        <v>0</v>
      </c>
      <c r="P54" s="112">
        <v>0.79</v>
      </c>
      <c r="Q54" s="112">
        <v>4.88</v>
      </c>
    </row>
    <row r="55" spans="1:17" customFormat="1">
      <c r="A55" s="80">
        <v>45272.489583333336</v>
      </c>
      <c r="B55" s="112">
        <v>22.05</v>
      </c>
      <c r="C55" s="112">
        <v>24.03</v>
      </c>
      <c r="D55" s="112">
        <v>31.59</v>
      </c>
      <c r="E55" s="112">
        <v>8.58</v>
      </c>
      <c r="F55" s="112">
        <v>2.8</v>
      </c>
      <c r="G55" s="112">
        <v>58.38</v>
      </c>
      <c r="H55" s="112">
        <v>31.25</v>
      </c>
      <c r="I55" s="112">
        <v>7.22</v>
      </c>
      <c r="J55" s="112">
        <v>7.0000000000000007E-2</v>
      </c>
      <c r="K55" s="112">
        <v>95.07</v>
      </c>
      <c r="L55" s="112">
        <v>25.41</v>
      </c>
      <c r="M55" s="112">
        <v>48.39</v>
      </c>
      <c r="N55" s="112">
        <v>557.29999999999995</v>
      </c>
      <c r="O55" s="112">
        <v>0</v>
      </c>
      <c r="P55" s="112">
        <v>0.78</v>
      </c>
      <c r="Q55" s="112">
        <v>4.83</v>
      </c>
    </row>
    <row r="56" spans="1:17" customFormat="1">
      <c r="A56" s="80">
        <v>45272.5</v>
      </c>
      <c r="B56" s="112">
        <v>20.56</v>
      </c>
      <c r="C56" s="112">
        <v>24.67</v>
      </c>
      <c r="D56" s="112">
        <v>30.73</v>
      </c>
      <c r="E56" s="112">
        <v>8.52</v>
      </c>
      <c r="F56" s="112">
        <v>2.81</v>
      </c>
      <c r="G56" s="112">
        <v>58.38</v>
      </c>
      <c r="H56" s="112">
        <v>31.25</v>
      </c>
      <c r="I56" s="112">
        <v>7.09</v>
      </c>
      <c r="J56" s="112">
        <v>0.28000000000000003</v>
      </c>
      <c r="K56" s="112">
        <v>147.79</v>
      </c>
      <c r="L56" s="112">
        <v>26.08</v>
      </c>
      <c r="M56" s="112">
        <v>47.22</v>
      </c>
      <c r="N56" s="112">
        <v>564.79999999999995</v>
      </c>
      <c r="O56" s="112">
        <v>0</v>
      </c>
      <c r="P56" s="112">
        <v>0.78</v>
      </c>
      <c r="Q56" s="112">
        <v>4.8</v>
      </c>
    </row>
    <row r="57" spans="1:17" customFormat="1">
      <c r="A57" s="80">
        <v>45272.510416666664</v>
      </c>
      <c r="B57" s="112">
        <v>19.010000000000002</v>
      </c>
      <c r="C57" s="112">
        <v>23.45</v>
      </c>
      <c r="D57" s="112">
        <v>28.85</v>
      </c>
      <c r="E57" s="112">
        <v>8.41</v>
      </c>
      <c r="F57" s="112">
        <v>3.01</v>
      </c>
      <c r="G57" s="112">
        <v>58.38</v>
      </c>
      <c r="H57" s="112">
        <v>31.25</v>
      </c>
      <c r="I57" s="112">
        <v>6.98</v>
      </c>
      <c r="J57" s="112">
        <v>0.08</v>
      </c>
      <c r="K57" s="112">
        <v>229.07</v>
      </c>
      <c r="L57" s="112">
        <v>26.33</v>
      </c>
      <c r="M57" s="112">
        <v>44.47</v>
      </c>
      <c r="N57" s="112">
        <v>604</v>
      </c>
      <c r="O57" s="112">
        <v>0</v>
      </c>
      <c r="P57" s="112">
        <v>0.76</v>
      </c>
      <c r="Q57" s="112">
        <v>4.79</v>
      </c>
    </row>
    <row r="58" spans="1:17" customFormat="1">
      <c r="A58" s="80">
        <v>45272.520833333336</v>
      </c>
      <c r="B58" s="112">
        <v>17.37</v>
      </c>
      <c r="C58" s="112">
        <v>22.74</v>
      </c>
      <c r="D58" s="112">
        <v>27.16</v>
      </c>
      <c r="E58" s="112">
        <v>8.0399999999999991</v>
      </c>
      <c r="F58" s="112">
        <v>3.05</v>
      </c>
      <c r="G58" s="112">
        <v>56.39</v>
      </c>
      <c r="H58" s="112">
        <v>28.17</v>
      </c>
      <c r="I58" s="112">
        <v>6.88</v>
      </c>
      <c r="J58" s="112">
        <v>0.32</v>
      </c>
      <c r="K58" s="112">
        <v>234.31</v>
      </c>
      <c r="L58" s="112">
        <v>26.56</v>
      </c>
      <c r="M58" s="112">
        <v>41.18</v>
      </c>
      <c r="N58" s="112">
        <v>574.6</v>
      </c>
      <c r="O58" s="112">
        <v>0</v>
      </c>
      <c r="P58" s="112">
        <v>0.75</v>
      </c>
      <c r="Q58" s="112">
        <v>4.74</v>
      </c>
    </row>
    <row r="59" spans="1:17" customFormat="1">
      <c r="A59" s="80">
        <v>45272.53125</v>
      </c>
      <c r="B59" s="112">
        <v>15.55</v>
      </c>
      <c r="C59" s="112">
        <v>23.09</v>
      </c>
      <c r="D59" s="112">
        <v>25.88</v>
      </c>
      <c r="E59" s="112">
        <v>8.2899999999999991</v>
      </c>
      <c r="F59" s="112">
        <v>3.11</v>
      </c>
      <c r="G59" s="112">
        <v>55.4</v>
      </c>
      <c r="H59" s="112">
        <v>27.57</v>
      </c>
      <c r="I59" s="112">
        <v>6.77</v>
      </c>
      <c r="J59" s="112">
        <v>0.51</v>
      </c>
      <c r="K59" s="112">
        <v>285.77999999999997</v>
      </c>
      <c r="L59" s="112">
        <v>26.57</v>
      </c>
      <c r="M59" s="112">
        <v>40.520000000000003</v>
      </c>
      <c r="N59" s="112">
        <v>529.4</v>
      </c>
      <c r="O59" s="112">
        <v>0</v>
      </c>
      <c r="P59" s="112">
        <v>0.73</v>
      </c>
      <c r="Q59" s="112">
        <v>4.66</v>
      </c>
    </row>
    <row r="60" spans="1:17" customFormat="1">
      <c r="A60" s="80">
        <v>45272.541666666664</v>
      </c>
      <c r="B60" s="112">
        <v>13.59</v>
      </c>
      <c r="C60" s="112">
        <v>23.78</v>
      </c>
      <c r="D60" s="112">
        <v>24.68</v>
      </c>
      <c r="E60" s="112">
        <v>8.74</v>
      </c>
      <c r="F60" s="112">
        <v>3.24</v>
      </c>
      <c r="G60" s="112">
        <v>55.4</v>
      </c>
      <c r="H60" s="112">
        <v>27.57</v>
      </c>
      <c r="I60" s="112">
        <v>6.64</v>
      </c>
      <c r="J60" s="112">
        <v>0.53</v>
      </c>
      <c r="K60" s="112">
        <v>281.7</v>
      </c>
      <c r="L60" s="112">
        <v>26.03</v>
      </c>
      <c r="M60" s="112">
        <v>41.37</v>
      </c>
      <c r="N60" s="112">
        <v>474</v>
      </c>
      <c r="O60" s="112">
        <v>0</v>
      </c>
      <c r="P60" s="112">
        <v>0.74</v>
      </c>
      <c r="Q60" s="112">
        <v>4.63</v>
      </c>
    </row>
    <row r="61" spans="1:17" customFormat="1">
      <c r="A61" s="80">
        <v>45272.552083333336</v>
      </c>
      <c r="B61" s="112">
        <v>11.93</v>
      </c>
      <c r="C61" s="112">
        <v>24.45</v>
      </c>
      <c r="D61" s="112">
        <v>23.69</v>
      </c>
      <c r="E61" s="112">
        <v>8.16</v>
      </c>
      <c r="F61" s="112">
        <v>3.44</v>
      </c>
      <c r="G61" s="112">
        <v>55.4</v>
      </c>
      <c r="H61" s="112">
        <v>27.57</v>
      </c>
      <c r="I61" s="112">
        <v>6.47</v>
      </c>
      <c r="J61" s="112">
        <v>0.41</v>
      </c>
      <c r="K61" s="112">
        <v>23.85</v>
      </c>
      <c r="L61" s="112">
        <v>26.39</v>
      </c>
      <c r="M61" s="112">
        <v>40.61</v>
      </c>
      <c r="N61" s="112">
        <v>455.5</v>
      </c>
      <c r="O61" s="112">
        <v>0</v>
      </c>
      <c r="P61" s="112">
        <v>0.74</v>
      </c>
      <c r="Q61" s="112">
        <v>4.57</v>
      </c>
    </row>
    <row r="62" spans="1:17" customFormat="1">
      <c r="A62" s="80">
        <v>45272.5625</v>
      </c>
      <c r="B62" s="151" t="s">
        <v>12</v>
      </c>
      <c r="C62" s="151" t="s">
        <v>12</v>
      </c>
      <c r="D62" s="151" t="s">
        <v>12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12">
        <v>6.3</v>
      </c>
      <c r="J62" s="112">
        <v>0.17</v>
      </c>
      <c r="K62" s="112">
        <v>273.25</v>
      </c>
      <c r="L62" s="112">
        <v>26.5</v>
      </c>
      <c r="M62" s="112">
        <v>41.33</v>
      </c>
      <c r="N62" s="112">
        <v>428.1</v>
      </c>
      <c r="O62" s="112">
        <v>0</v>
      </c>
      <c r="P62" s="151" t="s">
        <v>12</v>
      </c>
      <c r="Q62" s="112">
        <v>4.49</v>
      </c>
    </row>
    <row r="63" spans="1:17" customFormat="1">
      <c r="A63" s="80">
        <v>45272.572916666664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6.38</v>
      </c>
      <c r="J63" s="112">
        <v>0.14000000000000001</v>
      </c>
      <c r="K63" s="112">
        <v>307.12</v>
      </c>
      <c r="L63" s="112">
        <v>26.58</v>
      </c>
      <c r="M63" s="112">
        <v>41.05</v>
      </c>
      <c r="N63" s="112">
        <v>411.5</v>
      </c>
      <c r="O63" s="112">
        <v>0</v>
      </c>
      <c r="P63" s="151" t="s">
        <v>12</v>
      </c>
      <c r="Q63" s="112">
        <v>4.42</v>
      </c>
    </row>
    <row r="64" spans="1:17" customFormat="1">
      <c r="A64" s="80">
        <v>45272.583333333336</v>
      </c>
      <c r="B64" s="151" t="s">
        <v>12</v>
      </c>
      <c r="C64" s="151" t="s">
        <v>12</v>
      </c>
      <c r="D64" s="151" t="s">
        <v>12</v>
      </c>
      <c r="E64" s="151" t="s">
        <v>12</v>
      </c>
      <c r="F64" s="112">
        <v>8.67</v>
      </c>
      <c r="G64" s="151" t="s">
        <v>12</v>
      </c>
      <c r="H64" s="151" t="s">
        <v>12</v>
      </c>
      <c r="I64" s="112">
        <v>9.14</v>
      </c>
      <c r="J64" s="112">
        <v>0.32</v>
      </c>
      <c r="K64" s="112">
        <v>205.38</v>
      </c>
      <c r="L64" s="112">
        <v>26.61</v>
      </c>
      <c r="M64" s="112">
        <v>41.2</v>
      </c>
      <c r="N64" s="112">
        <v>354.4</v>
      </c>
      <c r="O64" s="112">
        <v>0</v>
      </c>
      <c r="P64" s="112">
        <v>0.6</v>
      </c>
      <c r="Q64" s="112">
        <v>4.37</v>
      </c>
    </row>
    <row r="65" spans="1:17" customFormat="1">
      <c r="A65" s="80">
        <v>45272.59375</v>
      </c>
      <c r="B65" s="151" t="s">
        <v>12</v>
      </c>
      <c r="C65" s="151" t="s">
        <v>12</v>
      </c>
      <c r="D65" s="151" t="s">
        <v>12</v>
      </c>
      <c r="E65" s="151" t="s">
        <v>12</v>
      </c>
      <c r="F65" s="112">
        <v>9.49</v>
      </c>
      <c r="G65" s="151" t="s">
        <v>12</v>
      </c>
      <c r="H65" s="151" t="s">
        <v>12</v>
      </c>
      <c r="I65" s="112">
        <v>14.93</v>
      </c>
      <c r="J65" s="112">
        <v>0.14000000000000001</v>
      </c>
      <c r="K65" s="112">
        <v>356</v>
      </c>
      <c r="L65" s="112">
        <v>26.31</v>
      </c>
      <c r="M65" s="112">
        <v>41.6</v>
      </c>
      <c r="N65" s="112">
        <v>189.4</v>
      </c>
      <c r="O65" s="112">
        <v>0</v>
      </c>
      <c r="P65" s="112">
        <v>0.56000000000000005</v>
      </c>
      <c r="Q65" s="112">
        <v>4.32</v>
      </c>
    </row>
    <row r="66" spans="1:17" customFormat="1">
      <c r="A66" s="80">
        <v>45272.604166666664</v>
      </c>
      <c r="B66" s="151" t="s">
        <v>12</v>
      </c>
      <c r="C66" s="151" t="s">
        <v>12</v>
      </c>
      <c r="D66" s="151" t="s">
        <v>12</v>
      </c>
      <c r="E66" s="151" t="s">
        <v>12</v>
      </c>
      <c r="F66" s="112">
        <v>8.43</v>
      </c>
      <c r="G66" s="151" t="s">
        <v>12</v>
      </c>
      <c r="H66" s="151" t="s">
        <v>12</v>
      </c>
      <c r="I66" s="112">
        <v>21.46</v>
      </c>
      <c r="J66" s="112">
        <v>0.36</v>
      </c>
      <c r="K66" s="112">
        <v>8.0399999999999991</v>
      </c>
      <c r="L66" s="112">
        <v>26.05</v>
      </c>
      <c r="M66" s="112">
        <v>42.73</v>
      </c>
      <c r="N66" s="112">
        <v>152.6</v>
      </c>
      <c r="O66" s="112">
        <v>0</v>
      </c>
      <c r="P66" s="112">
        <v>0.6</v>
      </c>
      <c r="Q66" s="112">
        <v>4.3099999999999996</v>
      </c>
    </row>
    <row r="67" spans="1:17" customFormat="1">
      <c r="A67" s="80">
        <v>45272.614583333336</v>
      </c>
      <c r="B67" s="112">
        <v>7.84</v>
      </c>
      <c r="C67" s="112">
        <v>19.93</v>
      </c>
      <c r="D67" s="112">
        <v>18.05</v>
      </c>
      <c r="E67" s="151" t="s">
        <v>12</v>
      </c>
      <c r="F67" s="112">
        <v>7.47</v>
      </c>
      <c r="G67" s="151" t="s">
        <v>12</v>
      </c>
      <c r="H67" s="151" t="s">
        <v>12</v>
      </c>
      <c r="I67" s="112">
        <v>33.4</v>
      </c>
      <c r="J67" s="112">
        <v>0.42</v>
      </c>
      <c r="K67" s="112">
        <v>40.74</v>
      </c>
      <c r="L67" s="112">
        <v>25.68</v>
      </c>
      <c r="M67" s="112">
        <v>42.52</v>
      </c>
      <c r="N67" s="112">
        <v>110.6</v>
      </c>
      <c r="O67" s="112">
        <v>0</v>
      </c>
      <c r="P67" s="112">
        <v>0.6</v>
      </c>
      <c r="Q67" s="112">
        <v>4.3099999999999996</v>
      </c>
    </row>
    <row r="68" spans="1:17" customFormat="1">
      <c r="A68" s="80">
        <v>45272.625</v>
      </c>
      <c r="B68" s="112">
        <v>5.94</v>
      </c>
      <c r="C68" s="112">
        <v>25.09</v>
      </c>
      <c r="D68" s="112">
        <v>19.23</v>
      </c>
      <c r="E68" s="151" t="s">
        <v>12</v>
      </c>
      <c r="F68" s="112">
        <v>7.01</v>
      </c>
      <c r="G68" s="112">
        <v>55.89</v>
      </c>
      <c r="H68" s="112">
        <v>22</v>
      </c>
      <c r="I68" s="112">
        <v>47.63</v>
      </c>
      <c r="J68" s="112">
        <v>0.44</v>
      </c>
      <c r="K68" s="112">
        <v>51.31</v>
      </c>
      <c r="L68" s="112">
        <v>25.51</v>
      </c>
      <c r="M68" s="112">
        <v>42.37</v>
      </c>
      <c r="N68" s="112">
        <v>124</v>
      </c>
      <c r="O68" s="112">
        <v>0</v>
      </c>
      <c r="P68" s="112">
        <v>0.62</v>
      </c>
      <c r="Q68" s="112">
        <v>4.83</v>
      </c>
    </row>
    <row r="69" spans="1:17" customFormat="1">
      <c r="A69" s="80">
        <v>45272.635416666664</v>
      </c>
      <c r="B69" s="112">
        <v>5.03</v>
      </c>
      <c r="C69" s="112">
        <v>26.43</v>
      </c>
      <c r="D69" s="112">
        <v>19.190000000000001</v>
      </c>
      <c r="E69" s="151" t="s">
        <v>12</v>
      </c>
      <c r="F69" s="112">
        <v>17.420000000000002</v>
      </c>
      <c r="G69" s="112">
        <v>55.89</v>
      </c>
      <c r="H69" s="112">
        <v>22</v>
      </c>
      <c r="I69" s="112">
        <v>60.26</v>
      </c>
      <c r="J69" s="112">
        <v>0.24</v>
      </c>
      <c r="K69" s="112">
        <v>11.22</v>
      </c>
      <c r="L69" s="112">
        <v>25.65</v>
      </c>
      <c r="M69" s="112">
        <v>42.58</v>
      </c>
      <c r="N69" s="112">
        <v>94.7</v>
      </c>
      <c r="O69" s="112">
        <v>0</v>
      </c>
      <c r="P69" s="112">
        <v>0.62</v>
      </c>
      <c r="Q69" s="112">
        <v>4.99</v>
      </c>
    </row>
    <row r="70" spans="1:17" customFormat="1">
      <c r="A70" s="80">
        <v>45272.645833333336</v>
      </c>
      <c r="B70" s="112">
        <v>4.5999999999999996</v>
      </c>
      <c r="C70" s="112">
        <v>27.7</v>
      </c>
      <c r="D70" s="112">
        <v>19.510000000000002</v>
      </c>
      <c r="E70" s="112">
        <v>15.41</v>
      </c>
      <c r="F70" s="112">
        <v>11.71</v>
      </c>
      <c r="G70" s="112">
        <v>55.89</v>
      </c>
      <c r="H70" s="112">
        <v>22</v>
      </c>
      <c r="I70" s="112">
        <v>72.63</v>
      </c>
      <c r="J70" s="112">
        <v>0.37</v>
      </c>
      <c r="K70" s="112">
        <v>44.78</v>
      </c>
      <c r="L70" s="112">
        <v>25.47</v>
      </c>
      <c r="M70" s="112">
        <v>41.95</v>
      </c>
      <c r="N70" s="112">
        <v>92.1</v>
      </c>
      <c r="O70" s="112">
        <v>0</v>
      </c>
      <c r="P70" s="112">
        <v>0.63</v>
      </c>
      <c r="Q70" s="112">
        <v>5.01</v>
      </c>
    </row>
    <row r="71" spans="1:17" customFormat="1">
      <c r="A71" s="80">
        <v>45272.65625</v>
      </c>
      <c r="B71" s="112">
        <v>4.24</v>
      </c>
      <c r="C71" s="112">
        <v>28.47</v>
      </c>
      <c r="D71" s="112">
        <v>19.62</v>
      </c>
      <c r="E71" s="112">
        <v>8.75</v>
      </c>
      <c r="F71" s="112">
        <v>14.85</v>
      </c>
      <c r="G71" s="112">
        <v>55.89</v>
      </c>
      <c r="H71" s="112">
        <v>22</v>
      </c>
      <c r="I71" s="112">
        <v>80.42</v>
      </c>
      <c r="J71" s="112">
        <v>7.0000000000000007E-2</v>
      </c>
      <c r="K71" s="112">
        <v>302.05</v>
      </c>
      <c r="L71" s="112">
        <v>25.48</v>
      </c>
      <c r="M71" s="112">
        <v>42.42</v>
      </c>
      <c r="N71" s="112">
        <v>82.5</v>
      </c>
      <c r="O71" s="112">
        <v>0</v>
      </c>
      <c r="P71" s="112">
        <v>0.63</v>
      </c>
      <c r="Q71" s="112">
        <v>5.01</v>
      </c>
    </row>
    <row r="72" spans="1:17" customFormat="1">
      <c r="A72" s="80">
        <v>45272.666666666664</v>
      </c>
      <c r="B72" s="112">
        <v>3.99</v>
      </c>
      <c r="C72" s="112">
        <v>27.16</v>
      </c>
      <c r="D72" s="112">
        <v>18.739999999999998</v>
      </c>
      <c r="E72" s="112">
        <v>10.16</v>
      </c>
      <c r="F72" s="112">
        <v>10.72</v>
      </c>
      <c r="G72" s="112">
        <v>58.66</v>
      </c>
      <c r="H72" s="112">
        <v>23.82</v>
      </c>
      <c r="I72" s="112">
        <v>78.290000000000006</v>
      </c>
      <c r="J72" s="112">
        <v>0.03</v>
      </c>
      <c r="K72" s="112">
        <v>347.76</v>
      </c>
      <c r="L72" s="112">
        <v>25.24</v>
      </c>
      <c r="M72" s="112">
        <v>43.5</v>
      </c>
      <c r="N72" s="112">
        <v>55.8</v>
      </c>
      <c r="O72" s="112">
        <v>0</v>
      </c>
      <c r="P72" s="112">
        <v>0.61</v>
      </c>
      <c r="Q72" s="112">
        <v>5</v>
      </c>
    </row>
    <row r="73" spans="1:17" customFormat="1">
      <c r="A73" s="80">
        <v>45272.677083333336</v>
      </c>
      <c r="B73" s="112">
        <v>4.1500000000000004</v>
      </c>
      <c r="C73" s="112">
        <v>27.06</v>
      </c>
      <c r="D73" s="112">
        <v>18.82</v>
      </c>
      <c r="E73" s="112">
        <v>10.27</v>
      </c>
      <c r="F73" s="112">
        <v>8.31</v>
      </c>
      <c r="G73" s="112">
        <v>61.56</v>
      </c>
      <c r="H73" s="112">
        <v>24.77</v>
      </c>
      <c r="I73" s="112">
        <v>62.02</v>
      </c>
      <c r="J73" s="112">
        <v>0.11</v>
      </c>
      <c r="K73" s="112">
        <v>200.91</v>
      </c>
      <c r="L73" s="112">
        <v>24.95</v>
      </c>
      <c r="M73" s="112">
        <v>45.55</v>
      </c>
      <c r="N73" s="112">
        <v>39.299999999999997</v>
      </c>
      <c r="O73" s="112">
        <v>0</v>
      </c>
      <c r="P73" s="112">
        <v>0.61</v>
      </c>
      <c r="Q73" s="112">
        <v>4.99</v>
      </c>
    </row>
    <row r="74" spans="1:17" customFormat="1">
      <c r="A74" s="80">
        <v>45272.6875</v>
      </c>
      <c r="B74" s="112">
        <v>4.1399999999999997</v>
      </c>
      <c r="C74" s="112">
        <v>27.89</v>
      </c>
      <c r="D74" s="112">
        <v>19.239999999999998</v>
      </c>
      <c r="E74" s="112">
        <v>9.31</v>
      </c>
      <c r="F74" s="112">
        <v>6.66</v>
      </c>
      <c r="G74" s="112">
        <v>61.56</v>
      </c>
      <c r="H74" s="112">
        <v>24.77</v>
      </c>
      <c r="I74" s="112">
        <v>49.92</v>
      </c>
      <c r="J74" s="112">
        <v>0.22</v>
      </c>
      <c r="K74" s="112">
        <v>169.77</v>
      </c>
      <c r="L74" s="112">
        <v>24.26</v>
      </c>
      <c r="M74" s="112">
        <v>49.68</v>
      </c>
      <c r="N74" s="112">
        <v>29.7</v>
      </c>
      <c r="O74" s="112">
        <v>0</v>
      </c>
      <c r="P74" s="112">
        <v>0.62</v>
      </c>
      <c r="Q74" s="112">
        <v>4.9800000000000004</v>
      </c>
    </row>
    <row r="75" spans="1:17" customFormat="1">
      <c r="A75" s="80">
        <v>45272.697916666664</v>
      </c>
      <c r="B75" s="112">
        <v>4.37</v>
      </c>
      <c r="C75" s="112">
        <v>27.5</v>
      </c>
      <c r="D75" s="112">
        <v>19.23</v>
      </c>
      <c r="E75" s="112">
        <v>8.52</v>
      </c>
      <c r="F75" s="112">
        <v>4.83</v>
      </c>
      <c r="G75" s="112">
        <v>61.56</v>
      </c>
      <c r="H75" s="112">
        <v>24.77</v>
      </c>
      <c r="I75" s="112">
        <v>42.9</v>
      </c>
      <c r="J75" s="112">
        <v>0.04</v>
      </c>
      <c r="K75" s="112">
        <v>119.64</v>
      </c>
      <c r="L75" s="112">
        <v>23.93</v>
      </c>
      <c r="M75" s="112">
        <v>50.29</v>
      </c>
      <c r="N75" s="112">
        <v>21.6</v>
      </c>
      <c r="O75" s="112">
        <v>0</v>
      </c>
      <c r="P75" s="112">
        <v>0.61</v>
      </c>
      <c r="Q75" s="112">
        <v>4.9800000000000004</v>
      </c>
    </row>
    <row r="76" spans="1:17" customFormat="1">
      <c r="A76" s="80">
        <v>45272.708333333336</v>
      </c>
      <c r="B76" s="112">
        <v>4.8600000000000003</v>
      </c>
      <c r="C76" s="112">
        <v>27.59</v>
      </c>
      <c r="D76" s="112">
        <v>19.670000000000002</v>
      </c>
      <c r="E76" s="112">
        <v>8.3000000000000007</v>
      </c>
      <c r="F76" s="112">
        <v>3.87</v>
      </c>
      <c r="G76" s="112">
        <v>66.67</v>
      </c>
      <c r="H76" s="112">
        <v>25.04</v>
      </c>
      <c r="I76" s="112">
        <v>38.44</v>
      </c>
      <c r="J76" s="112">
        <v>0.11</v>
      </c>
      <c r="K76" s="112">
        <v>146.81</v>
      </c>
      <c r="L76" s="112">
        <v>23.48</v>
      </c>
      <c r="M76" s="112">
        <v>54.66</v>
      </c>
      <c r="N76" s="112">
        <v>7.8</v>
      </c>
      <c r="O76" s="112">
        <v>0</v>
      </c>
      <c r="P76" s="112">
        <v>0.61</v>
      </c>
      <c r="Q76" s="112">
        <v>4.99</v>
      </c>
    </row>
    <row r="77" spans="1:17" customFormat="1">
      <c r="A77" s="80">
        <v>45272.71875</v>
      </c>
      <c r="B77" s="112">
        <v>5.29</v>
      </c>
      <c r="C77" s="112">
        <v>27.77</v>
      </c>
      <c r="D77" s="112">
        <v>20.100000000000001</v>
      </c>
      <c r="E77" s="112">
        <v>8.24</v>
      </c>
      <c r="F77" s="112">
        <v>3.39</v>
      </c>
      <c r="G77" s="112">
        <v>72.010000000000005</v>
      </c>
      <c r="H77" s="112">
        <v>25.18</v>
      </c>
      <c r="I77" s="112">
        <v>36.590000000000003</v>
      </c>
      <c r="J77" s="112">
        <v>0.13</v>
      </c>
      <c r="K77" s="112">
        <v>127.77</v>
      </c>
      <c r="L77" s="112">
        <v>23.06</v>
      </c>
      <c r="M77" s="112">
        <v>56.76</v>
      </c>
      <c r="N77" s="112">
        <v>0</v>
      </c>
      <c r="O77" s="112">
        <v>0</v>
      </c>
      <c r="P77" s="112">
        <v>0.63</v>
      </c>
      <c r="Q77" s="112">
        <v>5</v>
      </c>
    </row>
    <row r="78" spans="1:17" customFormat="1">
      <c r="A78" s="80">
        <v>45272.729166666664</v>
      </c>
      <c r="B78" s="112">
        <v>5.75</v>
      </c>
      <c r="C78" s="112">
        <v>27.95</v>
      </c>
      <c r="D78" s="112">
        <v>20.57</v>
      </c>
      <c r="E78" s="112">
        <v>8.36</v>
      </c>
      <c r="F78" s="112">
        <v>3</v>
      </c>
      <c r="G78" s="112">
        <v>72.010000000000005</v>
      </c>
      <c r="H78" s="112">
        <v>25.18</v>
      </c>
      <c r="I78" s="112">
        <v>35.03</v>
      </c>
      <c r="J78" s="112">
        <v>0.14000000000000001</v>
      </c>
      <c r="K78" s="112">
        <v>145.80000000000001</v>
      </c>
      <c r="L78" s="112">
        <v>22.5</v>
      </c>
      <c r="M78" s="112">
        <v>60.62</v>
      </c>
      <c r="N78" s="112">
        <v>0</v>
      </c>
      <c r="O78" s="112">
        <v>0</v>
      </c>
      <c r="P78" s="112">
        <v>0.64</v>
      </c>
      <c r="Q78" s="112">
        <v>5.0199999999999996</v>
      </c>
    </row>
    <row r="79" spans="1:17" customFormat="1">
      <c r="A79" s="80">
        <v>45272.739583333336</v>
      </c>
      <c r="B79" s="112">
        <v>6.29</v>
      </c>
      <c r="C79" s="112">
        <v>27.89</v>
      </c>
      <c r="D79" s="112">
        <v>20.97</v>
      </c>
      <c r="E79" s="112">
        <v>8.4700000000000006</v>
      </c>
      <c r="F79" s="112">
        <v>3.01</v>
      </c>
      <c r="G79" s="112">
        <v>72.010000000000005</v>
      </c>
      <c r="H79" s="112">
        <v>25.18</v>
      </c>
      <c r="I79" s="112">
        <v>33.619999999999997</v>
      </c>
      <c r="J79" s="112">
        <v>0.15</v>
      </c>
      <c r="K79" s="112">
        <v>199.45</v>
      </c>
      <c r="L79" s="112">
        <v>21.96</v>
      </c>
      <c r="M79" s="112">
        <v>61.07</v>
      </c>
      <c r="N79" s="112">
        <v>0</v>
      </c>
      <c r="O79" s="112">
        <v>0</v>
      </c>
      <c r="P79" s="112">
        <v>0.65</v>
      </c>
      <c r="Q79" s="112">
        <v>5</v>
      </c>
    </row>
    <row r="80" spans="1:17" customFormat="1">
      <c r="A80" s="80">
        <v>45272.75</v>
      </c>
      <c r="B80" s="112">
        <v>6.98</v>
      </c>
      <c r="C80" s="112">
        <v>27.01</v>
      </c>
      <c r="D80" s="112">
        <v>21.06</v>
      </c>
      <c r="E80" s="112">
        <v>7.93</v>
      </c>
      <c r="F80" s="112">
        <v>2.93</v>
      </c>
      <c r="G80" s="112">
        <v>78.84</v>
      </c>
      <c r="H80" s="112">
        <v>28.29</v>
      </c>
      <c r="I80" s="112">
        <v>32.22</v>
      </c>
      <c r="J80" s="112">
        <v>0.26</v>
      </c>
      <c r="K80" s="112">
        <v>168.19</v>
      </c>
      <c r="L80" s="112">
        <v>21.5</v>
      </c>
      <c r="M80" s="112">
        <v>63.37</v>
      </c>
      <c r="N80" s="112">
        <v>0</v>
      </c>
      <c r="O80" s="112">
        <v>0</v>
      </c>
      <c r="P80" s="112">
        <v>0.67</v>
      </c>
      <c r="Q80" s="112">
        <v>5.0199999999999996</v>
      </c>
    </row>
    <row r="81" spans="1:17" customFormat="1">
      <c r="A81" s="80">
        <v>45272.760416666664</v>
      </c>
      <c r="B81" s="112">
        <v>7.67</v>
      </c>
      <c r="C81" s="112">
        <v>25.66</v>
      </c>
      <c r="D81" s="112">
        <v>20.91</v>
      </c>
      <c r="E81" s="112">
        <v>6.74</v>
      </c>
      <c r="F81" s="112">
        <v>2.84</v>
      </c>
      <c r="G81" s="112">
        <v>85.99</v>
      </c>
      <c r="H81" s="112">
        <v>29.91</v>
      </c>
      <c r="I81" s="112">
        <v>31.14</v>
      </c>
      <c r="J81" s="112">
        <v>0.22</v>
      </c>
      <c r="K81" s="112">
        <v>146.02000000000001</v>
      </c>
      <c r="L81" s="112">
        <v>21.05</v>
      </c>
      <c r="M81" s="112">
        <v>66.680000000000007</v>
      </c>
      <c r="N81" s="112">
        <v>0</v>
      </c>
      <c r="O81" s="112">
        <v>0</v>
      </c>
      <c r="P81" s="112">
        <v>0.67</v>
      </c>
      <c r="Q81" s="112">
        <v>5.03</v>
      </c>
    </row>
    <row r="82" spans="1:17" customFormat="1">
      <c r="A82" s="80">
        <v>45272.770833333336</v>
      </c>
      <c r="B82" s="112">
        <v>8.27</v>
      </c>
      <c r="C82" s="112">
        <v>25.5</v>
      </c>
      <c r="D82" s="112">
        <v>21.31</v>
      </c>
      <c r="E82" s="112">
        <v>7.21</v>
      </c>
      <c r="F82" s="112">
        <v>2.77</v>
      </c>
      <c r="G82" s="112">
        <v>85.99</v>
      </c>
      <c r="H82" s="112">
        <v>29.91</v>
      </c>
      <c r="I82" s="112">
        <v>30.35</v>
      </c>
      <c r="J82" s="112">
        <v>0.19</v>
      </c>
      <c r="K82" s="112">
        <v>127.63</v>
      </c>
      <c r="L82" s="112">
        <v>20.75</v>
      </c>
      <c r="M82" s="112">
        <v>68.180000000000007</v>
      </c>
      <c r="N82" s="112">
        <v>0</v>
      </c>
      <c r="O82" s="112">
        <v>0</v>
      </c>
      <c r="P82" s="112">
        <v>0.69</v>
      </c>
      <c r="Q82" s="112">
        <v>5.03</v>
      </c>
    </row>
    <row r="83" spans="1:17" customFormat="1">
      <c r="A83" s="80">
        <v>45272.78125</v>
      </c>
      <c r="B83" s="112">
        <v>9.0299999999999994</v>
      </c>
      <c r="C83" s="112">
        <v>26.73</v>
      </c>
      <c r="D83" s="112">
        <v>22.56</v>
      </c>
      <c r="E83" s="112">
        <v>7.49</v>
      </c>
      <c r="F83" s="112">
        <v>2.62</v>
      </c>
      <c r="G83" s="112">
        <v>85.99</v>
      </c>
      <c r="H83" s="112">
        <v>29.91</v>
      </c>
      <c r="I83" s="112">
        <v>29.64</v>
      </c>
      <c r="J83" s="112">
        <v>0.16</v>
      </c>
      <c r="K83" s="112">
        <v>71.53</v>
      </c>
      <c r="L83" s="112">
        <v>20.87</v>
      </c>
      <c r="M83" s="112">
        <v>62.83</v>
      </c>
      <c r="N83" s="112">
        <v>0</v>
      </c>
      <c r="O83" s="112">
        <v>0</v>
      </c>
      <c r="P83" s="112">
        <v>0.71</v>
      </c>
      <c r="Q83" s="112">
        <v>5.04</v>
      </c>
    </row>
    <row r="84" spans="1:17" customFormat="1">
      <c r="A84" s="80">
        <v>45272.791666666664</v>
      </c>
      <c r="B84" s="112">
        <v>10.31</v>
      </c>
      <c r="C84" s="112">
        <v>28.04</v>
      </c>
      <c r="D84" s="112">
        <v>24.27</v>
      </c>
      <c r="E84" s="112">
        <v>6.97</v>
      </c>
      <c r="F84" s="112">
        <v>2.4900000000000002</v>
      </c>
      <c r="G84" s="112">
        <v>95.38</v>
      </c>
      <c r="H84" s="112">
        <v>31.6</v>
      </c>
      <c r="I84" s="112">
        <v>28.89</v>
      </c>
      <c r="J84" s="112">
        <v>0.21</v>
      </c>
      <c r="K84" s="112">
        <v>53.61</v>
      </c>
      <c r="L84" s="112">
        <v>21.17</v>
      </c>
      <c r="M84" s="112">
        <v>58.4</v>
      </c>
      <c r="N84" s="112">
        <v>0</v>
      </c>
      <c r="O84" s="112">
        <v>0</v>
      </c>
      <c r="P84" s="112">
        <v>0.75</v>
      </c>
      <c r="Q84" s="112">
        <v>5.0599999999999996</v>
      </c>
    </row>
    <row r="85" spans="1:17" customFormat="1">
      <c r="A85" s="80">
        <v>45272.802083333336</v>
      </c>
      <c r="B85" s="112">
        <v>11.34</v>
      </c>
      <c r="C85" s="112">
        <v>28.67</v>
      </c>
      <c r="D85" s="112">
        <v>25.43</v>
      </c>
      <c r="E85" s="112">
        <v>7.71</v>
      </c>
      <c r="F85" s="112">
        <v>2.7</v>
      </c>
      <c r="G85" s="112">
        <v>105.19</v>
      </c>
      <c r="H85" s="112">
        <v>32.479999999999997</v>
      </c>
      <c r="I85" s="112">
        <v>28.17</v>
      </c>
      <c r="J85" s="112">
        <v>0.11</v>
      </c>
      <c r="K85" s="112">
        <v>140.69</v>
      </c>
      <c r="L85" s="112">
        <v>21</v>
      </c>
      <c r="M85" s="112">
        <v>61.65</v>
      </c>
      <c r="N85" s="112">
        <v>0</v>
      </c>
      <c r="O85" s="112">
        <v>0</v>
      </c>
      <c r="P85" s="112">
        <v>0.77</v>
      </c>
      <c r="Q85" s="112">
        <v>5.0999999999999996</v>
      </c>
    </row>
    <row r="86" spans="1:17" customFormat="1">
      <c r="A86" s="80">
        <v>45272.8125</v>
      </c>
      <c r="B86" s="112">
        <v>11.9</v>
      </c>
      <c r="C86" s="112">
        <v>28.7</v>
      </c>
      <c r="D86" s="112">
        <v>25.89</v>
      </c>
      <c r="E86" s="112">
        <v>7.55</v>
      </c>
      <c r="F86" s="112">
        <v>2.79</v>
      </c>
      <c r="G86" s="112">
        <v>105.19</v>
      </c>
      <c r="H86" s="112">
        <v>32.479999999999997</v>
      </c>
      <c r="I86" s="112">
        <v>27.52</v>
      </c>
      <c r="J86" s="112">
        <v>0.1</v>
      </c>
      <c r="K86" s="112">
        <v>129.1</v>
      </c>
      <c r="L86" s="112">
        <v>20.59</v>
      </c>
      <c r="M86" s="112">
        <v>64.260000000000005</v>
      </c>
      <c r="N86" s="112">
        <v>0</v>
      </c>
      <c r="O86" s="112">
        <v>0</v>
      </c>
      <c r="P86" s="112">
        <v>0.79</v>
      </c>
      <c r="Q86" s="112">
        <v>5.15</v>
      </c>
    </row>
    <row r="87" spans="1:17" customFormat="1">
      <c r="A87" s="80">
        <v>45272.822916666664</v>
      </c>
      <c r="B87" s="112">
        <v>12.25</v>
      </c>
      <c r="C87" s="112">
        <v>28.86</v>
      </c>
      <c r="D87" s="112">
        <v>26.26</v>
      </c>
      <c r="E87" s="112">
        <v>7.31</v>
      </c>
      <c r="F87" s="112">
        <v>2.75</v>
      </c>
      <c r="G87" s="112">
        <v>105.19</v>
      </c>
      <c r="H87" s="112">
        <v>32.479999999999997</v>
      </c>
      <c r="I87" s="112">
        <v>25.94</v>
      </c>
      <c r="J87" s="112">
        <v>0.18</v>
      </c>
      <c r="K87" s="112">
        <v>154.05000000000001</v>
      </c>
      <c r="L87" s="112">
        <v>20.239999999999998</v>
      </c>
      <c r="M87" s="112">
        <v>70.38</v>
      </c>
      <c r="N87" s="112">
        <v>0</v>
      </c>
      <c r="O87" s="112">
        <v>0</v>
      </c>
      <c r="P87" s="112">
        <v>0.81</v>
      </c>
      <c r="Q87" s="112">
        <v>5.16</v>
      </c>
    </row>
    <row r="88" spans="1:17" customFormat="1">
      <c r="A88" s="80">
        <v>45272.833333333336</v>
      </c>
      <c r="B88" s="112">
        <v>12.47</v>
      </c>
      <c r="C88" s="112">
        <v>28.04</v>
      </c>
      <c r="D88" s="112">
        <v>26</v>
      </c>
      <c r="E88" s="112">
        <v>7.25</v>
      </c>
      <c r="F88" s="112">
        <v>2.82</v>
      </c>
      <c r="G88" s="112">
        <v>114.08</v>
      </c>
      <c r="H88" s="112">
        <v>34.29</v>
      </c>
      <c r="I88" s="112">
        <v>24.61</v>
      </c>
      <c r="J88" s="112">
        <v>0.16</v>
      </c>
      <c r="K88" s="112">
        <v>101.79</v>
      </c>
      <c r="L88" s="112">
        <v>20.3</v>
      </c>
      <c r="M88" s="112">
        <v>66.38</v>
      </c>
      <c r="N88" s="112">
        <v>0</v>
      </c>
      <c r="O88" s="112">
        <v>0</v>
      </c>
      <c r="P88" s="112">
        <v>0.81</v>
      </c>
      <c r="Q88" s="112">
        <v>5.17</v>
      </c>
    </row>
    <row r="89" spans="1:17" customFormat="1">
      <c r="A89" s="80">
        <v>45272.84375</v>
      </c>
      <c r="B89" s="112">
        <v>12.75</v>
      </c>
      <c r="C89" s="112">
        <v>26.75</v>
      </c>
      <c r="D89" s="112">
        <v>25.55</v>
      </c>
      <c r="E89" s="112">
        <v>6.82</v>
      </c>
      <c r="F89" s="112">
        <v>2.9</v>
      </c>
      <c r="G89" s="112">
        <v>123.37</v>
      </c>
      <c r="H89" s="112">
        <v>36.369999999999997</v>
      </c>
      <c r="I89" s="112">
        <v>23.85</v>
      </c>
      <c r="J89" s="112">
        <v>0.06</v>
      </c>
      <c r="K89" s="112">
        <v>156.27000000000001</v>
      </c>
      <c r="L89" s="112">
        <v>20.440000000000001</v>
      </c>
      <c r="M89" s="112">
        <v>66.010000000000005</v>
      </c>
      <c r="N89" s="112">
        <v>0</v>
      </c>
      <c r="O89" s="112">
        <v>0</v>
      </c>
      <c r="P89" s="112">
        <v>0.81</v>
      </c>
      <c r="Q89" s="112">
        <v>5.22</v>
      </c>
    </row>
    <row r="90" spans="1:17" customFormat="1">
      <c r="A90" s="80">
        <v>45272.854166666664</v>
      </c>
      <c r="B90" s="112">
        <v>13.01</v>
      </c>
      <c r="C90" s="112">
        <v>27.36</v>
      </c>
      <c r="D90" s="112">
        <v>26.08</v>
      </c>
      <c r="E90" s="112">
        <v>7.42</v>
      </c>
      <c r="F90" s="112">
        <v>2.83</v>
      </c>
      <c r="G90" s="112">
        <v>123.37</v>
      </c>
      <c r="H90" s="112">
        <v>36.369999999999997</v>
      </c>
      <c r="I90" s="112">
        <v>23.19</v>
      </c>
      <c r="J90" s="112">
        <v>0.15</v>
      </c>
      <c r="K90" s="112">
        <v>122.23</v>
      </c>
      <c r="L90" s="112">
        <v>20.22</v>
      </c>
      <c r="M90" s="112">
        <v>66.69</v>
      </c>
      <c r="N90" s="112">
        <v>0</v>
      </c>
      <c r="O90" s="112">
        <v>0</v>
      </c>
      <c r="P90" s="112">
        <v>0.81</v>
      </c>
      <c r="Q90" s="112">
        <v>5.19</v>
      </c>
    </row>
    <row r="91" spans="1:17" customFormat="1">
      <c r="A91" s="80">
        <v>45272.864583333336</v>
      </c>
      <c r="B91" s="112">
        <v>12.92</v>
      </c>
      <c r="C91" s="112">
        <v>27.72</v>
      </c>
      <c r="D91" s="112">
        <v>26.2</v>
      </c>
      <c r="E91" s="112">
        <v>7.46</v>
      </c>
      <c r="F91" s="112">
        <v>2.91</v>
      </c>
      <c r="G91" s="112">
        <v>123.37</v>
      </c>
      <c r="H91" s="112">
        <v>36.369999999999997</v>
      </c>
      <c r="I91" s="112">
        <v>22.58</v>
      </c>
      <c r="J91" s="112">
        <v>0.3</v>
      </c>
      <c r="K91" s="112">
        <v>168.88</v>
      </c>
      <c r="L91" s="112">
        <v>20.49</v>
      </c>
      <c r="M91" s="112">
        <v>63.06</v>
      </c>
      <c r="N91" s="112">
        <v>0</v>
      </c>
      <c r="O91" s="112">
        <v>0</v>
      </c>
      <c r="P91" s="112">
        <v>0.82</v>
      </c>
      <c r="Q91" s="112">
        <v>5.18</v>
      </c>
    </row>
    <row r="92" spans="1:17" customFormat="1">
      <c r="A92" s="80">
        <v>45272.875</v>
      </c>
      <c r="B92" s="112">
        <v>12.52</v>
      </c>
      <c r="C92" s="112">
        <v>26.94</v>
      </c>
      <c r="D92" s="112">
        <v>25.46</v>
      </c>
      <c r="E92" s="112">
        <v>7.49</v>
      </c>
      <c r="F92" s="112">
        <v>2.95</v>
      </c>
      <c r="G92" s="112">
        <v>118.75</v>
      </c>
      <c r="H92" s="112">
        <v>36.450000000000003</v>
      </c>
      <c r="I92" s="112">
        <v>21.89</v>
      </c>
      <c r="J92" s="112">
        <v>0.11</v>
      </c>
      <c r="K92" s="112">
        <v>344.43</v>
      </c>
      <c r="L92" s="112">
        <v>20.190000000000001</v>
      </c>
      <c r="M92" s="112">
        <v>64.58</v>
      </c>
      <c r="N92" s="112">
        <v>0</v>
      </c>
      <c r="O92" s="112">
        <v>0</v>
      </c>
      <c r="P92" s="112">
        <v>0.81</v>
      </c>
      <c r="Q92" s="112">
        <v>5.18</v>
      </c>
    </row>
    <row r="93" spans="1:17" customFormat="1">
      <c r="A93" s="80">
        <v>45272.885416666664</v>
      </c>
      <c r="B93" s="112">
        <v>12.55</v>
      </c>
      <c r="C93" s="112">
        <v>27.88</v>
      </c>
      <c r="D93" s="112">
        <v>25.98</v>
      </c>
      <c r="E93" s="112">
        <v>7.59</v>
      </c>
      <c r="F93" s="112">
        <v>2.7</v>
      </c>
      <c r="G93" s="112">
        <v>113.93</v>
      </c>
      <c r="H93" s="112">
        <v>36.49</v>
      </c>
      <c r="I93" s="112">
        <v>21.17</v>
      </c>
      <c r="J93" s="112">
        <v>0.21</v>
      </c>
      <c r="K93" s="112">
        <v>155.19999999999999</v>
      </c>
      <c r="L93" s="112">
        <v>20.170000000000002</v>
      </c>
      <c r="M93" s="112">
        <v>64.489999999999995</v>
      </c>
      <c r="N93" s="112">
        <v>0</v>
      </c>
      <c r="O93" s="112">
        <v>0</v>
      </c>
      <c r="P93" s="112">
        <v>0.81</v>
      </c>
      <c r="Q93" s="112">
        <v>5.16</v>
      </c>
    </row>
    <row r="94" spans="1:17" customFormat="1">
      <c r="A94" s="80">
        <v>45272.895833333336</v>
      </c>
      <c r="B94" s="112">
        <v>12.37</v>
      </c>
      <c r="C94" s="112">
        <v>27.27</v>
      </c>
      <c r="D94" s="112">
        <v>25.52</v>
      </c>
      <c r="E94" s="112">
        <v>7.79</v>
      </c>
      <c r="F94" s="112">
        <v>2.96</v>
      </c>
      <c r="G94" s="112">
        <v>113.93</v>
      </c>
      <c r="H94" s="112">
        <v>36.49</v>
      </c>
      <c r="I94" s="112">
        <v>21.31</v>
      </c>
      <c r="J94" s="112">
        <v>0.15</v>
      </c>
      <c r="K94" s="112">
        <v>136.86000000000001</v>
      </c>
      <c r="L94" s="112">
        <v>19.739999999999998</v>
      </c>
      <c r="M94" s="112">
        <v>67.59</v>
      </c>
      <c r="N94" s="112">
        <v>0</v>
      </c>
      <c r="O94" s="112">
        <v>0</v>
      </c>
      <c r="P94" s="112">
        <v>0.81</v>
      </c>
      <c r="Q94" s="112">
        <v>5.15</v>
      </c>
    </row>
    <row r="95" spans="1:17" customFormat="1">
      <c r="A95" s="80">
        <v>45272.90625</v>
      </c>
      <c r="B95" s="112">
        <v>12.06</v>
      </c>
      <c r="C95" s="112">
        <v>26.44</v>
      </c>
      <c r="D95" s="112">
        <v>24.84</v>
      </c>
      <c r="E95" s="112">
        <v>7.39</v>
      </c>
      <c r="F95" s="112">
        <v>3.05</v>
      </c>
      <c r="G95" s="112">
        <v>113.93</v>
      </c>
      <c r="H95" s="112">
        <v>36.49</v>
      </c>
      <c r="I95" s="112">
        <v>21.2</v>
      </c>
      <c r="J95" s="112">
        <v>0.12</v>
      </c>
      <c r="K95" s="112">
        <v>157.55000000000001</v>
      </c>
      <c r="L95" s="112">
        <v>19.57</v>
      </c>
      <c r="M95" s="112">
        <v>68.05</v>
      </c>
      <c r="N95" s="112">
        <v>0</v>
      </c>
      <c r="O95" s="112">
        <v>0</v>
      </c>
      <c r="P95" s="112">
        <v>0.81</v>
      </c>
      <c r="Q95" s="112">
        <v>5.16</v>
      </c>
    </row>
    <row r="96" spans="1:17" customFormat="1">
      <c r="A96" s="80">
        <v>45272.916666666664</v>
      </c>
      <c r="B96" s="112">
        <v>11.72</v>
      </c>
      <c r="C96" s="112">
        <v>26.62</v>
      </c>
      <c r="D96" s="112">
        <v>24.65</v>
      </c>
      <c r="E96" s="112">
        <v>6.82</v>
      </c>
      <c r="F96" s="112">
        <v>2.81</v>
      </c>
      <c r="G96" s="112">
        <v>105.71</v>
      </c>
      <c r="H96" s="112">
        <v>36.35</v>
      </c>
      <c r="I96" s="112">
        <v>20.55</v>
      </c>
      <c r="J96" s="112">
        <v>0.09</v>
      </c>
      <c r="K96" s="112">
        <v>156.82</v>
      </c>
      <c r="L96" s="112">
        <v>19.25</v>
      </c>
      <c r="M96" s="112">
        <v>70.42</v>
      </c>
      <c r="N96" s="112">
        <v>0</v>
      </c>
      <c r="O96" s="112">
        <v>0</v>
      </c>
      <c r="P96" s="112">
        <v>0.8</v>
      </c>
      <c r="Q96" s="112">
        <v>5.16</v>
      </c>
    </row>
    <row r="97" spans="1:22" customFormat="1">
      <c r="A97" s="80">
        <v>45272.927083333336</v>
      </c>
      <c r="B97" s="112">
        <v>11.56</v>
      </c>
      <c r="C97" s="112">
        <v>25.68</v>
      </c>
      <c r="D97" s="112">
        <v>24.04</v>
      </c>
      <c r="E97" s="112">
        <v>7.23</v>
      </c>
      <c r="F97" s="112">
        <v>2.84</v>
      </c>
      <c r="G97" s="112">
        <v>97.12</v>
      </c>
      <c r="H97" s="112">
        <v>36.270000000000003</v>
      </c>
      <c r="I97" s="112">
        <v>19.899999999999999</v>
      </c>
      <c r="J97" s="112">
        <v>0.11</v>
      </c>
      <c r="K97" s="112">
        <v>209.64</v>
      </c>
      <c r="L97" s="112">
        <v>18.829999999999998</v>
      </c>
      <c r="M97" s="112">
        <v>74.52</v>
      </c>
      <c r="N97" s="112">
        <v>0</v>
      </c>
      <c r="O97" s="112">
        <v>0</v>
      </c>
      <c r="P97" s="112">
        <v>0.79</v>
      </c>
      <c r="Q97" s="112">
        <v>5.15</v>
      </c>
    </row>
    <row r="98" spans="1:22" customFormat="1">
      <c r="A98" s="80">
        <v>45272.9375</v>
      </c>
      <c r="B98" s="112">
        <v>11.24</v>
      </c>
      <c r="C98" s="112">
        <v>26.04</v>
      </c>
      <c r="D98" s="112">
        <v>23.97</v>
      </c>
      <c r="E98" s="112">
        <v>7.59</v>
      </c>
      <c r="F98" s="112">
        <v>2.83</v>
      </c>
      <c r="G98" s="112">
        <v>97.12</v>
      </c>
      <c r="H98" s="112">
        <v>36.270000000000003</v>
      </c>
      <c r="I98" s="112">
        <v>19.3</v>
      </c>
      <c r="J98" s="112">
        <v>0.12</v>
      </c>
      <c r="K98" s="112">
        <v>192.64</v>
      </c>
      <c r="L98" s="112">
        <v>18.46</v>
      </c>
      <c r="M98" s="112">
        <v>78.94</v>
      </c>
      <c r="N98" s="112">
        <v>0</v>
      </c>
      <c r="O98" s="112">
        <v>0</v>
      </c>
      <c r="P98" s="112">
        <v>0.79</v>
      </c>
      <c r="Q98" s="112">
        <v>5.15</v>
      </c>
    </row>
    <row r="99" spans="1:22" customFormat="1">
      <c r="A99" s="80">
        <v>45272.947916666664</v>
      </c>
      <c r="B99" s="112">
        <v>10.74</v>
      </c>
      <c r="C99" s="112">
        <v>25.85</v>
      </c>
      <c r="D99" s="112">
        <v>23.47</v>
      </c>
      <c r="E99" s="112">
        <v>8.0299999999999994</v>
      </c>
      <c r="F99" s="112">
        <v>3.01</v>
      </c>
      <c r="G99" s="112">
        <v>97.12</v>
      </c>
      <c r="H99" s="112">
        <v>36.270000000000003</v>
      </c>
      <c r="I99" s="112">
        <v>18.72</v>
      </c>
      <c r="J99" s="112">
        <v>0.1</v>
      </c>
      <c r="K99" s="112">
        <v>148.86000000000001</v>
      </c>
      <c r="L99" s="112">
        <v>18.53</v>
      </c>
      <c r="M99" s="112">
        <v>73.06</v>
      </c>
      <c r="N99" s="112">
        <v>0</v>
      </c>
      <c r="O99" s="112">
        <v>0</v>
      </c>
      <c r="P99" s="112">
        <v>0.79</v>
      </c>
      <c r="Q99" s="112">
        <v>5.14</v>
      </c>
    </row>
    <row r="100" spans="1:22" customFormat="1">
      <c r="A100" s="80">
        <v>45272.958333333336</v>
      </c>
      <c r="B100" s="112">
        <v>10.09</v>
      </c>
      <c r="C100" s="112">
        <v>25.82</v>
      </c>
      <c r="D100" s="112">
        <v>22.93</v>
      </c>
      <c r="E100" s="112">
        <v>7.35</v>
      </c>
      <c r="F100" s="112">
        <v>3.05</v>
      </c>
      <c r="G100" s="112">
        <v>91.63</v>
      </c>
      <c r="H100" s="112">
        <v>35.200000000000003</v>
      </c>
      <c r="I100" s="112">
        <v>18.059999999999999</v>
      </c>
      <c r="J100" s="112">
        <v>0.2</v>
      </c>
      <c r="K100" s="112">
        <v>266.75</v>
      </c>
      <c r="L100" s="112">
        <v>18.23</v>
      </c>
      <c r="M100" s="112">
        <v>75.66</v>
      </c>
      <c r="N100" s="112">
        <v>0</v>
      </c>
      <c r="O100" s="112">
        <v>0</v>
      </c>
      <c r="P100" s="112">
        <v>0.78</v>
      </c>
      <c r="Q100" s="112">
        <v>5.13</v>
      </c>
    </row>
    <row r="101" spans="1:22" customFormat="1">
      <c r="A101" s="80">
        <v>45272.96875</v>
      </c>
      <c r="B101" s="112">
        <v>9.75</v>
      </c>
      <c r="C101" s="112">
        <v>25.46</v>
      </c>
      <c r="D101" s="112">
        <v>22.47</v>
      </c>
      <c r="E101" s="112">
        <v>7.67</v>
      </c>
      <c r="F101" s="112">
        <v>3.13</v>
      </c>
      <c r="G101" s="112">
        <v>85.9</v>
      </c>
      <c r="H101" s="112">
        <v>34.630000000000003</v>
      </c>
      <c r="I101" s="112">
        <v>17.34</v>
      </c>
      <c r="J101" s="112">
        <v>0.11</v>
      </c>
      <c r="K101" s="112">
        <v>257.52</v>
      </c>
      <c r="L101" s="112">
        <v>17.88</v>
      </c>
      <c r="M101" s="112">
        <v>77.05</v>
      </c>
      <c r="N101" s="112">
        <v>0</v>
      </c>
      <c r="O101" s="112">
        <v>0</v>
      </c>
      <c r="P101" s="112">
        <v>0.77</v>
      </c>
      <c r="Q101" s="112">
        <v>5.1100000000000003</v>
      </c>
    </row>
    <row r="102" spans="1:22" customFormat="1">
      <c r="A102" s="80">
        <v>45272.979166666664</v>
      </c>
      <c r="B102" s="112">
        <v>9.44</v>
      </c>
      <c r="C102" s="112">
        <v>25.09</v>
      </c>
      <c r="D102" s="112">
        <v>22.03</v>
      </c>
      <c r="E102" s="112">
        <v>7.65</v>
      </c>
      <c r="F102" s="112">
        <v>3.03</v>
      </c>
      <c r="G102" s="112">
        <v>85.9</v>
      </c>
      <c r="H102" s="112">
        <v>34.630000000000003</v>
      </c>
      <c r="I102" s="112">
        <v>16.68</v>
      </c>
      <c r="J102" s="112">
        <v>0.05</v>
      </c>
      <c r="K102" s="112">
        <v>23.06</v>
      </c>
      <c r="L102" s="112">
        <v>18.010000000000002</v>
      </c>
      <c r="M102" s="112">
        <v>75.25</v>
      </c>
      <c r="N102" s="112">
        <v>0</v>
      </c>
      <c r="O102" s="112">
        <v>0</v>
      </c>
      <c r="P102" s="112">
        <v>0.76</v>
      </c>
      <c r="Q102" s="112">
        <v>5.1100000000000003</v>
      </c>
    </row>
    <row r="103" spans="1:22" customFormat="1">
      <c r="A103" s="80">
        <v>45272.989583333336</v>
      </c>
      <c r="B103" s="112">
        <v>9.7899999999999991</v>
      </c>
      <c r="C103" s="112">
        <v>25.95</v>
      </c>
      <c r="D103" s="112">
        <v>22.77</v>
      </c>
      <c r="E103" s="112">
        <v>7.63</v>
      </c>
      <c r="F103" s="112">
        <v>2.82</v>
      </c>
      <c r="G103" s="112">
        <v>85.9</v>
      </c>
      <c r="H103" s="112">
        <v>34.630000000000003</v>
      </c>
      <c r="I103" s="112">
        <v>16.059999999999999</v>
      </c>
      <c r="J103" s="112">
        <v>0.1</v>
      </c>
      <c r="K103" s="112">
        <v>149.44999999999999</v>
      </c>
      <c r="L103" s="112">
        <v>18.18</v>
      </c>
      <c r="M103" s="112">
        <v>74.599999999999994</v>
      </c>
      <c r="N103" s="112">
        <v>0</v>
      </c>
      <c r="O103" s="112">
        <v>0</v>
      </c>
      <c r="P103" s="112">
        <v>0.75</v>
      </c>
      <c r="Q103" s="112">
        <v>5.1100000000000003</v>
      </c>
    </row>
    <row r="104" spans="1:22" customFormat="1">
      <c r="A104" s="80">
        <v>45273</v>
      </c>
      <c r="B104" s="112">
        <v>10.63</v>
      </c>
      <c r="C104" s="112">
        <v>27.11</v>
      </c>
      <c r="D104" s="112">
        <v>24.04</v>
      </c>
      <c r="E104" s="112">
        <v>8.02</v>
      </c>
      <c r="F104" s="112">
        <v>2.76</v>
      </c>
      <c r="G104" s="112">
        <v>82.68</v>
      </c>
      <c r="H104" s="112">
        <v>36.840000000000003</v>
      </c>
      <c r="I104" s="112">
        <v>15.44</v>
      </c>
      <c r="J104" s="112">
        <v>0.12</v>
      </c>
      <c r="K104" s="112">
        <v>252.89</v>
      </c>
      <c r="L104" s="112">
        <v>17.920000000000002</v>
      </c>
      <c r="M104" s="112">
        <v>76.2</v>
      </c>
      <c r="N104" s="112">
        <v>0</v>
      </c>
      <c r="O104" s="112">
        <v>0</v>
      </c>
      <c r="P104" s="112">
        <v>0.74</v>
      </c>
      <c r="Q104" s="112">
        <v>5.12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3.99</v>
      </c>
      <c r="C106" s="183">
        <f>MIN(C9:C104)</f>
        <v>19.93</v>
      </c>
      <c r="D106" s="183">
        <f t="shared" ref="D106:Q106" si="0">MIN(D9:D104)</f>
        <v>18.05</v>
      </c>
      <c r="E106" s="183">
        <f t="shared" si="0"/>
        <v>6.12</v>
      </c>
      <c r="F106" s="183">
        <f t="shared" si="0"/>
        <v>2.4500000000000002</v>
      </c>
      <c r="G106" s="183">
        <f t="shared" si="0"/>
        <v>55.4</v>
      </c>
      <c r="H106" s="183">
        <f t="shared" si="0"/>
        <v>22</v>
      </c>
      <c r="I106" s="183">
        <f t="shared" si="0"/>
        <v>6.3</v>
      </c>
      <c r="J106" s="183">
        <f t="shared" si="0"/>
        <v>0.03</v>
      </c>
      <c r="K106" s="183">
        <f t="shared" si="0"/>
        <v>8.0399999999999991</v>
      </c>
      <c r="L106" s="183">
        <f t="shared" si="0"/>
        <v>14.6</v>
      </c>
      <c r="M106" s="183">
        <f t="shared" si="0"/>
        <v>40.520000000000003</v>
      </c>
      <c r="N106" s="183">
        <f t="shared" si="0"/>
        <v>0</v>
      </c>
      <c r="O106" s="183">
        <f t="shared" si="0"/>
        <v>0</v>
      </c>
      <c r="P106" s="183">
        <f t="shared" si="0"/>
        <v>0.56000000000000005</v>
      </c>
      <c r="Q106" s="183">
        <f t="shared" si="0"/>
        <v>4.3099999999999996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41.52</v>
      </c>
      <c r="C107" s="184">
        <f t="shared" ref="C107:Q107" si="1">MAX(C9:C104)</f>
        <v>29.8</v>
      </c>
      <c r="D107" s="184">
        <f t="shared" si="1"/>
        <v>50.15</v>
      </c>
      <c r="E107" s="184">
        <f t="shared" si="1"/>
        <v>15.41</v>
      </c>
      <c r="F107" s="184">
        <f t="shared" si="1"/>
        <v>17.420000000000002</v>
      </c>
      <c r="G107" s="184">
        <f t="shared" si="1"/>
        <v>123.37</v>
      </c>
      <c r="H107" s="184">
        <f t="shared" si="1"/>
        <v>44.33</v>
      </c>
      <c r="I107" s="184">
        <f t="shared" si="1"/>
        <v>80.42</v>
      </c>
      <c r="J107" s="184">
        <f t="shared" si="1"/>
        <v>0.53</v>
      </c>
      <c r="K107" s="184">
        <f t="shared" si="1"/>
        <v>356</v>
      </c>
      <c r="L107" s="184">
        <f t="shared" si="1"/>
        <v>26.61</v>
      </c>
      <c r="M107" s="184">
        <f t="shared" si="1"/>
        <v>96.49</v>
      </c>
      <c r="N107" s="184">
        <f t="shared" si="1"/>
        <v>604</v>
      </c>
      <c r="O107" s="184">
        <f t="shared" si="1"/>
        <v>0</v>
      </c>
      <c r="P107" s="184">
        <f t="shared" si="1"/>
        <v>0.92</v>
      </c>
      <c r="Q107" s="184">
        <f t="shared" si="1"/>
        <v>5.47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18.76846153846153</v>
      </c>
      <c r="C108" s="183">
        <f t="shared" ref="C108:Q108" si="2">AVERAGE(C9:C104)</f>
        <v>26.391868131868137</v>
      </c>
      <c r="D108" s="183">
        <f t="shared" si="2"/>
        <v>30.191318681318666</v>
      </c>
      <c r="E108" s="183">
        <f t="shared" si="2"/>
        <v>8.1001136363636377</v>
      </c>
      <c r="F108" s="183">
        <f t="shared" si="2"/>
        <v>3.6488297872340407</v>
      </c>
      <c r="G108" s="183">
        <f t="shared" si="2"/>
        <v>81.91700000000003</v>
      </c>
      <c r="H108" s="183">
        <f t="shared" si="2"/>
        <v>34.252333333333304</v>
      </c>
      <c r="I108" s="183">
        <f t="shared" si="2"/>
        <v>17.45270833333333</v>
      </c>
      <c r="J108" s="183">
        <f t="shared" si="2"/>
        <v>0.16843750000000002</v>
      </c>
      <c r="K108" s="183">
        <f t="shared" si="2"/>
        <v>171.69270833333337</v>
      </c>
      <c r="L108" s="183">
        <f t="shared" si="2"/>
        <v>20.133958333333336</v>
      </c>
      <c r="M108" s="183">
        <f t="shared" si="2"/>
        <v>69.994791666666643</v>
      </c>
      <c r="N108" s="183">
        <f t="shared" si="2"/>
        <v>111.42395833333332</v>
      </c>
      <c r="O108" s="183">
        <f t="shared" si="2"/>
        <v>0</v>
      </c>
      <c r="P108" s="183">
        <f t="shared" si="2"/>
        <v>0.77553191489361739</v>
      </c>
      <c r="Q108" s="183">
        <f t="shared" si="2"/>
        <v>4.9943750000000007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10.759808334009291</v>
      </c>
      <c r="C109" s="183">
        <f t="shared" ref="C109:Q109" si="3">STDEV(C9:C104)</f>
        <v>1.6634982630908139</v>
      </c>
      <c r="D109" s="183">
        <f t="shared" si="3"/>
        <v>8.789759724789775</v>
      </c>
      <c r="E109" s="183">
        <f t="shared" si="3"/>
        <v>1.2255803169825843</v>
      </c>
      <c r="F109" s="183">
        <f t="shared" si="3"/>
        <v>2.6189515493853492</v>
      </c>
      <c r="G109" s="183">
        <f t="shared" si="3"/>
        <v>17.776566347964643</v>
      </c>
      <c r="H109" s="183">
        <f t="shared" si="3"/>
        <v>5.4714193154833266</v>
      </c>
      <c r="I109" s="183">
        <f t="shared" si="3"/>
        <v>16.64055379133929</v>
      </c>
      <c r="J109" s="183">
        <f t="shared" si="3"/>
        <v>0.1058432617252112</v>
      </c>
      <c r="K109" s="183">
        <f t="shared" si="3"/>
        <v>86.763806794249248</v>
      </c>
      <c r="L109" s="183">
        <f t="shared" si="3"/>
        <v>4.079230701251781</v>
      </c>
      <c r="M109" s="183">
        <f t="shared" si="3"/>
        <v>19.151827560405582</v>
      </c>
      <c r="N109" s="183">
        <f t="shared" si="3"/>
        <v>185.53329095214986</v>
      </c>
      <c r="O109" s="183">
        <f t="shared" si="3"/>
        <v>0</v>
      </c>
      <c r="P109" s="183">
        <f t="shared" si="3"/>
        <v>8.6938577023023919E-2</v>
      </c>
      <c r="Q109" s="183">
        <f t="shared" si="3"/>
        <v>0.25140369088269826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f t="shared" ref="Q110" si="4">COUNT(Q9:Q104)</f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45273.010416666664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45273.010416666664</v>
      </c>
      <c r="B9" s="112">
        <v>9.11</v>
      </c>
      <c r="C9" s="112">
        <v>26.1</v>
      </c>
      <c r="D9" s="112">
        <v>22.29</v>
      </c>
      <c r="E9" s="112">
        <v>7.18</v>
      </c>
      <c r="F9" s="112">
        <v>2.95</v>
      </c>
      <c r="G9" s="112">
        <v>79.3</v>
      </c>
      <c r="H9" s="112">
        <v>37.950000000000003</v>
      </c>
      <c r="I9" s="112">
        <v>14.84</v>
      </c>
      <c r="J9" s="112">
        <v>0.2</v>
      </c>
      <c r="K9" s="112">
        <v>251.23</v>
      </c>
      <c r="L9" s="112">
        <v>17.68</v>
      </c>
      <c r="M9" s="112">
        <v>77.38</v>
      </c>
      <c r="N9" s="112">
        <v>0</v>
      </c>
      <c r="O9" s="112">
        <v>0</v>
      </c>
      <c r="P9" s="112">
        <v>0.73</v>
      </c>
      <c r="Q9" s="112">
        <v>5.13</v>
      </c>
    </row>
    <row r="10" spans="1:21" customFormat="1">
      <c r="A10" s="80">
        <v>45273.020833333336</v>
      </c>
      <c r="B10" s="112">
        <v>9.15</v>
      </c>
      <c r="C10" s="112">
        <v>26.35</v>
      </c>
      <c r="D10" s="112">
        <v>22.45</v>
      </c>
      <c r="E10" s="112">
        <v>7.55</v>
      </c>
      <c r="F10" s="112">
        <v>3</v>
      </c>
      <c r="G10" s="112">
        <v>79.3</v>
      </c>
      <c r="H10" s="112">
        <v>37.950000000000003</v>
      </c>
      <c r="I10" s="112">
        <v>14.3</v>
      </c>
      <c r="J10" s="112">
        <v>0.1</v>
      </c>
      <c r="K10" s="112">
        <v>148.74</v>
      </c>
      <c r="L10" s="112">
        <v>17.350000000000001</v>
      </c>
      <c r="M10" s="112">
        <v>79.81</v>
      </c>
      <c r="N10" s="112">
        <v>0</v>
      </c>
      <c r="O10" s="112">
        <v>0</v>
      </c>
      <c r="P10" s="112">
        <v>0.72</v>
      </c>
      <c r="Q10" s="112">
        <v>5.15</v>
      </c>
    </row>
    <row r="11" spans="1:21" customFormat="1">
      <c r="A11" s="80">
        <v>45273.03125</v>
      </c>
      <c r="B11" s="112">
        <v>8.81</v>
      </c>
      <c r="C11" s="112">
        <v>26.02</v>
      </c>
      <c r="D11" s="112">
        <v>22.01</v>
      </c>
      <c r="E11" s="112">
        <v>7.36</v>
      </c>
      <c r="F11" s="112">
        <v>3</v>
      </c>
      <c r="G11" s="112">
        <v>79.3</v>
      </c>
      <c r="H11" s="112">
        <v>37.950000000000003</v>
      </c>
      <c r="I11" s="112">
        <v>13.77</v>
      </c>
      <c r="J11" s="112">
        <v>0.09</v>
      </c>
      <c r="K11" s="112">
        <v>264.52</v>
      </c>
      <c r="L11" s="112">
        <v>17.16</v>
      </c>
      <c r="M11" s="112">
        <v>81.400000000000006</v>
      </c>
      <c r="N11" s="112">
        <v>0</v>
      </c>
      <c r="O11" s="112">
        <v>0</v>
      </c>
      <c r="P11" s="112">
        <v>0.71</v>
      </c>
      <c r="Q11" s="112">
        <v>5.14</v>
      </c>
    </row>
    <row r="12" spans="1:21" customFormat="1">
      <c r="A12" s="80">
        <v>45273.041666666664</v>
      </c>
      <c r="B12" s="112">
        <v>8.4499999999999993</v>
      </c>
      <c r="C12" s="112">
        <v>25.58</v>
      </c>
      <c r="D12" s="112">
        <v>21.5</v>
      </c>
      <c r="E12" s="112">
        <v>7.98</v>
      </c>
      <c r="F12" s="112">
        <v>2.89</v>
      </c>
      <c r="G12" s="112">
        <v>73.55</v>
      </c>
      <c r="H12" s="112">
        <v>35.26</v>
      </c>
      <c r="I12" s="112">
        <v>13.25</v>
      </c>
      <c r="J12" s="112">
        <v>0.12</v>
      </c>
      <c r="K12" s="112">
        <v>238.43</v>
      </c>
      <c r="L12" s="112">
        <v>17</v>
      </c>
      <c r="M12" s="112">
        <v>81.790000000000006</v>
      </c>
      <c r="N12" s="112">
        <v>0</v>
      </c>
      <c r="O12" s="112">
        <v>0</v>
      </c>
      <c r="P12" s="112">
        <v>0.7</v>
      </c>
      <c r="Q12" s="112">
        <v>5.1100000000000003</v>
      </c>
    </row>
    <row r="13" spans="1:21" customFormat="1">
      <c r="A13" s="80">
        <v>45273.052083333336</v>
      </c>
      <c r="B13" s="112">
        <v>8.3000000000000007</v>
      </c>
      <c r="C13" s="112">
        <v>24.94</v>
      </c>
      <c r="D13" s="112">
        <v>21.04</v>
      </c>
      <c r="E13" s="112">
        <v>7.6</v>
      </c>
      <c r="F13" s="112">
        <v>2.84</v>
      </c>
      <c r="G13" s="112">
        <v>67.8</v>
      </c>
      <c r="H13" s="112">
        <v>33.909999999999997</v>
      </c>
      <c r="I13" s="112">
        <v>12.74</v>
      </c>
      <c r="J13" s="112">
        <v>7.0000000000000007E-2</v>
      </c>
      <c r="K13" s="112">
        <v>202.75</v>
      </c>
      <c r="L13" s="112">
        <v>16.760000000000002</v>
      </c>
      <c r="M13" s="112">
        <v>84.17</v>
      </c>
      <c r="N13" s="112">
        <v>0</v>
      </c>
      <c r="O13" s="112">
        <v>0</v>
      </c>
      <c r="P13" s="112">
        <v>0.68</v>
      </c>
      <c r="Q13" s="112">
        <v>5.0999999999999996</v>
      </c>
    </row>
    <row r="14" spans="1:21" customFormat="1">
      <c r="A14" s="80">
        <v>45273.0625</v>
      </c>
      <c r="B14" s="112">
        <v>8.16</v>
      </c>
      <c r="C14" s="112">
        <v>24.3</v>
      </c>
      <c r="D14" s="112">
        <v>20.59</v>
      </c>
      <c r="E14" s="112">
        <v>7.42</v>
      </c>
      <c r="F14" s="112">
        <v>2.89</v>
      </c>
      <c r="G14" s="112">
        <v>67.8</v>
      </c>
      <c r="H14" s="112">
        <v>33.909999999999997</v>
      </c>
      <c r="I14" s="112">
        <v>12.32</v>
      </c>
      <c r="J14" s="112">
        <v>0.1</v>
      </c>
      <c r="K14" s="112">
        <v>224.97</v>
      </c>
      <c r="L14" s="112">
        <v>16.600000000000001</v>
      </c>
      <c r="M14" s="112">
        <v>85.53</v>
      </c>
      <c r="N14" s="112">
        <v>0</v>
      </c>
      <c r="O14" s="112">
        <v>0</v>
      </c>
      <c r="P14" s="112">
        <v>0.68</v>
      </c>
      <c r="Q14" s="112">
        <v>5.0999999999999996</v>
      </c>
    </row>
    <row r="15" spans="1:21" customFormat="1">
      <c r="A15" s="80">
        <v>45273.072916666664</v>
      </c>
      <c r="B15" s="112">
        <v>8.01</v>
      </c>
      <c r="C15" s="112">
        <v>24.03</v>
      </c>
      <c r="D15" s="112">
        <v>20.329999999999998</v>
      </c>
      <c r="E15" s="112">
        <v>8.06</v>
      </c>
      <c r="F15" s="112">
        <v>2.75</v>
      </c>
      <c r="G15" s="112">
        <v>67.8</v>
      </c>
      <c r="H15" s="112">
        <v>33.909999999999997</v>
      </c>
      <c r="I15" s="112">
        <v>11.93</v>
      </c>
      <c r="J15" s="112">
        <v>0.09</v>
      </c>
      <c r="K15" s="112">
        <v>133.52000000000001</v>
      </c>
      <c r="L15" s="112">
        <v>16.48</v>
      </c>
      <c r="M15" s="112">
        <v>87.8</v>
      </c>
      <c r="N15" s="112">
        <v>0</v>
      </c>
      <c r="O15" s="112">
        <v>0</v>
      </c>
      <c r="P15" s="112">
        <v>0.67</v>
      </c>
      <c r="Q15" s="112">
        <v>5.08</v>
      </c>
    </row>
    <row r="16" spans="1:21" customFormat="1">
      <c r="A16" s="80">
        <v>45273.083333333336</v>
      </c>
      <c r="B16" s="112">
        <v>7.95</v>
      </c>
      <c r="C16" s="112">
        <v>23.59</v>
      </c>
      <c r="D16" s="112">
        <v>20.05</v>
      </c>
      <c r="E16" s="112">
        <v>7.86</v>
      </c>
      <c r="F16" s="112">
        <v>2.72</v>
      </c>
      <c r="G16" s="112">
        <v>60.12</v>
      </c>
      <c r="H16" s="112">
        <v>32.479999999999997</v>
      </c>
      <c r="I16" s="112">
        <v>11.49</v>
      </c>
      <c r="J16" s="112">
        <v>0.05</v>
      </c>
      <c r="K16" s="112">
        <v>227.97</v>
      </c>
      <c r="L16" s="112">
        <v>16.2</v>
      </c>
      <c r="M16" s="112">
        <v>87.94</v>
      </c>
      <c r="N16" s="112">
        <v>0</v>
      </c>
      <c r="O16" s="112">
        <v>0</v>
      </c>
      <c r="P16" s="112">
        <v>0.67</v>
      </c>
      <c r="Q16" s="112">
        <v>5.07</v>
      </c>
    </row>
    <row r="17" spans="1:17" customFormat="1">
      <c r="A17" s="80">
        <v>45273.09375</v>
      </c>
      <c r="B17" s="112">
        <v>7.9</v>
      </c>
      <c r="C17" s="112">
        <v>23.41</v>
      </c>
      <c r="D17" s="112">
        <v>19.920000000000002</v>
      </c>
      <c r="E17" s="112">
        <v>6.44</v>
      </c>
      <c r="F17" s="112">
        <v>2.77</v>
      </c>
      <c r="G17" s="112">
        <v>52.1</v>
      </c>
      <c r="H17" s="112">
        <v>30.82</v>
      </c>
      <c r="I17" s="112">
        <v>11.08</v>
      </c>
      <c r="J17" s="112">
        <v>0.17</v>
      </c>
      <c r="K17" s="112">
        <v>283.81</v>
      </c>
      <c r="L17" s="112">
        <v>15.98</v>
      </c>
      <c r="M17" s="112">
        <v>87.38</v>
      </c>
      <c r="N17" s="112">
        <v>0</v>
      </c>
      <c r="O17" s="112">
        <v>0</v>
      </c>
      <c r="P17" s="112">
        <v>0.66</v>
      </c>
      <c r="Q17" s="112">
        <v>5.07</v>
      </c>
    </row>
    <row r="18" spans="1:17" customFormat="1">
      <c r="A18" s="80">
        <v>45273.104166666664</v>
      </c>
      <c r="B18" s="112">
        <v>7.79</v>
      </c>
      <c r="C18" s="112">
        <v>23.4</v>
      </c>
      <c r="D18" s="112">
        <v>19.829999999999998</v>
      </c>
      <c r="E18" s="112">
        <v>7.3</v>
      </c>
      <c r="F18" s="112">
        <v>2.71</v>
      </c>
      <c r="G18" s="112">
        <v>52.1</v>
      </c>
      <c r="H18" s="112">
        <v>30.82</v>
      </c>
      <c r="I18" s="112">
        <v>10.73</v>
      </c>
      <c r="J18" s="112">
        <v>0.09</v>
      </c>
      <c r="K18" s="112">
        <v>243.26</v>
      </c>
      <c r="L18" s="112">
        <v>15.95</v>
      </c>
      <c r="M18" s="112">
        <v>87.25</v>
      </c>
      <c r="N18" s="112">
        <v>0</v>
      </c>
      <c r="O18" s="112">
        <v>0</v>
      </c>
      <c r="P18" s="112">
        <v>0.66</v>
      </c>
      <c r="Q18" s="112">
        <v>5.07</v>
      </c>
    </row>
    <row r="19" spans="1:17" customFormat="1">
      <c r="A19" s="80">
        <v>45273.114583333336</v>
      </c>
      <c r="B19" s="112">
        <v>7.71</v>
      </c>
      <c r="C19" s="112">
        <v>23.14</v>
      </c>
      <c r="D19" s="112">
        <v>19.62</v>
      </c>
      <c r="E19" s="112">
        <v>6.97</v>
      </c>
      <c r="F19" s="112">
        <v>2.85</v>
      </c>
      <c r="G19" s="112">
        <v>52.1</v>
      </c>
      <c r="H19" s="112">
        <v>30.82</v>
      </c>
      <c r="I19" s="112">
        <v>10.39</v>
      </c>
      <c r="J19" s="112">
        <v>0.1</v>
      </c>
      <c r="K19" s="112">
        <v>282.08999999999997</v>
      </c>
      <c r="L19" s="112">
        <v>15.91</v>
      </c>
      <c r="M19" s="112">
        <v>87.59</v>
      </c>
      <c r="N19" s="112">
        <v>0</v>
      </c>
      <c r="O19" s="112">
        <v>0</v>
      </c>
      <c r="P19" s="112">
        <v>0.64</v>
      </c>
      <c r="Q19" s="112">
        <v>5.07</v>
      </c>
    </row>
    <row r="20" spans="1:17" customFormat="1">
      <c r="A20" s="80">
        <v>45273.125</v>
      </c>
      <c r="B20" s="112">
        <v>7.82</v>
      </c>
      <c r="C20" s="112">
        <v>23.21</v>
      </c>
      <c r="D20" s="112">
        <v>19.739999999999998</v>
      </c>
      <c r="E20" s="112">
        <v>7.31</v>
      </c>
      <c r="F20" s="112">
        <v>2.83</v>
      </c>
      <c r="G20" s="112">
        <v>51.07</v>
      </c>
      <c r="H20" s="112">
        <v>31.18</v>
      </c>
      <c r="I20" s="112">
        <v>10.09</v>
      </c>
      <c r="J20" s="112">
        <v>0.06</v>
      </c>
      <c r="K20" s="112">
        <v>130.68</v>
      </c>
      <c r="L20" s="112">
        <v>15.87</v>
      </c>
      <c r="M20" s="112">
        <v>86.55</v>
      </c>
      <c r="N20" s="112">
        <v>0</v>
      </c>
      <c r="O20" s="112">
        <v>0</v>
      </c>
      <c r="P20" s="112">
        <v>0.64</v>
      </c>
      <c r="Q20" s="112">
        <v>5.05</v>
      </c>
    </row>
    <row r="21" spans="1:17" customFormat="1">
      <c r="A21" s="80">
        <v>45273.135416666664</v>
      </c>
      <c r="B21" s="112">
        <v>8.39</v>
      </c>
      <c r="C21" s="112">
        <v>23.69</v>
      </c>
      <c r="D21" s="112">
        <v>20.46</v>
      </c>
      <c r="E21" s="112">
        <v>7.5</v>
      </c>
      <c r="F21" s="112">
        <v>2.63</v>
      </c>
      <c r="G21" s="112">
        <v>49.99</v>
      </c>
      <c r="H21" s="112">
        <v>31.37</v>
      </c>
      <c r="I21" s="112">
        <v>9.82</v>
      </c>
      <c r="J21" s="112">
        <v>7.0000000000000007E-2</v>
      </c>
      <c r="K21" s="112">
        <v>122.06</v>
      </c>
      <c r="L21" s="112">
        <v>15.89</v>
      </c>
      <c r="M21" s="112">
        <v>86.63</v>
      </c>
      <c r="N21" s="112">
        <v>0</v>
      </c>
      <c r="O21" s="112">
        <v>0</v>
      </c>
      <c r="P21" s="112">
        <v>0.63</v>
      </c>
      <c r="Q21" s="112">
        <v>5.08</v>
      </c>
    </row>
    <row r="22" spans="1:17" customFormat="1">
      <c r="A22" s="80">
        <v>45273.145833333336</v>
      </c>
      <c r="B22" s="112">
        <v>9.2799999999999994</v>
      </c>
      <c r="C22" s="112">
        <v>23.92</v>
      </c>
      <c r="D22" s="112">
        <v>21.29</v>
      </c>
      <c r="E22" s="112">
        <v>7.74</v>
      </c>
      <c r="F22" s="112">
        <v>2.61</v>
      </c>
      <c r="G22" s="112">
        <v>49.99</v>
      </c>
      <c r="H22" s="112">
        <v>31.37</v>
      </c>
      <c r="I22" s="112">
        <v>9.56</v>
      </c>
      <c r="J22" s="112">
        <v>0.13</v>
      </c>
      <c r="K22" s="112">
        <v>102.39</v>
      </c>
      <c r="L22" s="112">
        <v>15.97</v>
      </c>
      <c r="M22" s="112">
        <v>86.39</v>
      </c>
      <c r="N22" s="112">
        <v>0</v>
      </c>
      <c r="O22" s="112">
        <v>0</v>
      </c>
      <c r="P22" s="112">
        <v>0.63</v>
      </c>
      <c r="Q22" s="112">
        <v>5.09</v>
      </c>
    </row>
    <row r="23" spans="1:17" customFormat="1">
      <c r="A23" s="80">
        <v>45273.15625</v>
      </c>
      <c r="B23" s="112">
        <v>10.5</v>
      </c>
      <c r="C23" s="112">
        <v>22.91</v>
      </c>
      <c r="D23" s="112">
        <v>21.74</v>
      </c>
      <c r="E23" s="112">
        <v>7.62</v>
      </c>
      <c r="F23" s="112">
        <v>2.75</v>
      </c>
      <c r="G23" s="112">
        <v>49.99</v>
      </c>
      <c r="H23" s="112">
        <v>31.37</v>
      </c>
      <c r="I23" s="112">
        <v>9.32</v>
      </c>
      <c r="J23" s="112">
        <v>0.16</v>
      </c>
      <c r="K23" s="112">
        <v>64.459999999999994</v>
      </c>
      <c r="L23" s="112">
        <v>15.97</v>
      </c>
      <c r="M23" s="112">
        <v>86.11</v>
      </c>
      <c r="N23" s="112">
        <v>0</v>
      </c>
      <c r="O23" s="112">
        <v>0</v>
      </c>
      <c r="P23" s="112">
        <v>0.62</v>
      </c>
      <c r="Q23" s="112">
        <v>5.12</v>
      </c>
    </row>
    <row r="24" spans="1:17" customFormat="1">
      <c r="A24" s="80">
        <v>45273.166666666664</v>
      </c>
      <c r="B24" s="112">
        <v>11.51</v>
      </c>
      <c r="C24" s="112">
        <v>22.69</v>
      </c>
      <c r="D24" s="112">
        <v>22.43</v>
      </c>
      <c r="E24" s="112">
        <v>7.04</v>
      </c>
      <c r="F24" s="112">
        <v>2.87</v>
      </c>
      <c r="G24" s="112">
        <v>54.12</v>
      </c>
      <c r="H24" s="112">
        <v>30.75</v>
      </c>
      <c r="I24" s="112">
        <v>9.11</v>
      </c>
      <c r="J24" s="112">
        <v>0.23</v>
      </c>
      <c r="K24" s="112">
        <v>44.04</v>
      </c>
      <c r="L24" s="112">
        <v>15.97</v>
      </c>
      <c r="M24" s="112">
        <v>85.91</v>
      </c>
      <c r="N24" s="112">
        <v>0</v>
      </c>
      <c r="O24" s="112">
        <v>0</v>
      </c>
      <c r="P24" s="112">
        <v>0.61</v>
      </c>
      <c r="Q24" s="112">
        <v>5.15</v>
      </c>
    </row>
    <row r="25" spans="1:17" customFormat="1">
      <c r="A25" s="80">
        <v>45273.177083333336</v>
      </c>
      <c r="B25" s="112">
        <v>12.41</v>
      </c>
      <c r="C25" s="112">
        <v>23.99</v>
      </c>
      <c r="D25" s="112">
        <v>23.84</v>
      </c>
      <c r="E25" s="112">
        <v>6.88</v>
      </c>
      <c r="F25" s="112">
        <v>2.63</v>
      </c>
      <c r="G25" s="112">
        <v>58.45</v>
      </c>
      <c r="H25" s="112">
        <v>30.42</v>
      </c>
      <c r="I25" s="112">
        <v>8.93</v>
      </c>
      <c r="J25" s="112">
        <v>0.14000000000000001</v>
      </c>
      <c r="K25" s="112">
        <v>62.53</v>
      </c>
      <c r="L25" s="112">
        <v>15.94</v>
      </c>
      <c r="M25" s="112">
        <v>86.85</v>
      </c>
      <c r="N25" s="112">
        <v>0</v>
      </c>
      <c r="O25" s="112">
        <v>0</v>
      </c>
      <c r="P25" s="112">
        <v>0.62</v>
      </c>
      <c r="Q25" s="112">
        <v>5.17</v>
      </c>
    </row>
    <row r="26" spans="1:17" customFormat="1">
      <c r="A26" s="80">
        <v>45273.1875</v>
      </c>
      <c r="B26" s="112">
        <v>13.73</v>
      </c>
      <c r="C26" s="112">
        <v>24.75</v>
      </c>
      <c r="D26" s="112">
        <v>25.29</v>
      </c>
      <c r="E26" s="112">
        <v>6.64</v>
      </c>
      <c r="F26" s="112">
        <v>2.59</v>
      </c>
      <c r="G26" s="112">
        <v>58.45</v>
      </c>
      <c r="H26" s="112">
        <v>30.42</v>
      </c>
      <c r="I26" s="112">
        <v>8.8000000000000007</v>
      </c>
      <c r="J26" s="112">
        <v>0.17</v>
      </c>
      <c r="K26" s="112">
        <v>138.4</v>
      </c>
      <c r="L26" s="112">
        <v>15.86</v>
      </c>
      <c r="M26" s="112">
        <v>88.08</v>
      </c>
      <c r="N26" s="112">
        <v>0</v>
      </c>
      <c r="O26" s="112">
        <v>0</v>
      </c>
      <c r="P26" s="112">
        <v>0.63</v>
      </c>
      <c r="Q26" s="112">
        <v>5.2</v>
      </c>
    </row>
    <row r="27" spans="1:17" customFormat="1">
      <c r="A27" s="80">
        <v>45273.197916666664</v>
      </c>
      <c r="B27" s="112">
        <v>14.7</v>
      </c>
      <c r="C27" s="112">
        <v>25.67</v>
      </c>
      <c r="D27" s="112">
        <v>26.56</v>
      </c>
      <c r="E27" s="112">
        <v>7.3</v>
      </c>
      <c r="F27" s="112">
        <v>2.73</v>
      </c>
      <c r="G27" s="112">
        <v>58.45</v>
      </c>
      <c r="H27" s="112">
        <v>30.42</v>
      </c>
      <c r="I27" s="112">
        <v>8.74</v>
      </c>
      <c r="J27" s="112">
        <v>0.1</v>
      </c>
      <c r="K27" s="112">
        <v>171.86</v>
      </c>
      <c r="L27" s="112">
        <v>15.62</v>
      </c>
      <c r="M27" s="112">
        <v>90.31</v>
      </c>
      <c r="N27" s="112">
        <v>0</v>
      </c>
      <c r="O27" s="112">
        <v>0</v>
      </c>
      <c r="P27" s="112">
        <v>0.65</v>
      </c>
      <c r="Q27" s="112">
        <v>5.22</v>
      </c>
    </row>
    <row r="28" spans="1:17" customFormat="1">
      <c r="A28" s="80">
        <v>45273.208333333336</v>
      </c>
      <c r="B28" s="112">
        <v>15.16</v>
      </c>
      <c r="C28" s="112">
        <v>25.76</v>
      </c>
      <c r="D28" s="112">
        <v>26.97</v>
      </c>
      <c r="E28" s="112">
        <v>7.41</v>
      </c>
      <c r="F28" s="112">
        <v>2.62</v>
      </c>
      <c r="G28" s="112">
        <v>68.680000000000007</v>
      </c>
      <c r="H28" s="112">
        <v>33.31</v>
      </c>
      <c r="I28" s="112">
        <v>8.73</v>
      </c>
      <c r="J28" s="112">
        <v>0.13</v>
      </c>
      <c r="K28" s="112">
        <v>167.1</v>
      </c>
      <c r="L28" s="112">
        <v>15.35</v>
      </c>
      <c r="M28" s="112">
        <v>92.59</v>
      </c>
      <c r="N28" s="112">
        <v>0</v>
      </c>
      <c r="O28" s="112">
        <v>0</v>
      </c>
      <c r="P28" s="112">
        <v>0.66</v>
      </c>
      <c r="Q28" s="112">
        <v>5.24</v>
      </c>
    </row>
    <row r="29" spans="1:17" customFormat="1">
      <c r="A29" s="80">
        <v>45273.21875</v>
      </c>
      <c r="B29" s="112">
        <v>15.6</v>
      </c>
      <c r="C29" s="112">
        <v>25.53</v>
      </c>
      <c r="D29" s="112">
        <v>27.2</v>
      </c>
      <c r="E29" s="112">
        <v>7.71</v>
      </c>
      <c r="F29" s="112">
        <v>2.54</v>
      </c>
      <c r="G29" s="112">
        <v>79.36</v>
      </c>
      <c r="H29" s="112">
        <v>34.85</v>
      </c>
      <c r="I29" s="112">
        <v>8.74</v>
      </c>
      <c r="J29" s="112">
        <v>7.0000000000000007E-2</v>
      </c>
      <c r="K29" s="112">
        <v>164.2</v>
      </c>
      <c r="L29" s="112">
        <v>15.12</v>
      </c>
      <c r="M29" s="112">
        <v>93.1</v>
      </c>
      <c r="N29" s="112">
        <v>0</v>
      </c>
      <c r="O29" s="112">
        <v>0</v>
      </c>
      <c r="P29" s="112">
        <v>0.68</v>
      </c>
      <c r="Q29" s="112">
        <v>5.27</v>
      </c>
    </row>
    <row r="30" spans="1:17" customFormat="1">
      <c r="A30" s="80">
        <v>45273.229166666664</v>
      </c>
      <c r="B30" s="112">
        <v>15.72</v>
      </c>
      <c r="C30" s="112">
        <v>25.32</v>
      </c>
      <c r="D30" s="112">
        <v>27.18</v>
      </c>
      <c r="E30" s="112">
        <v>7.67</v>
      </c>
      <c r="F30" s="112">
        <v>2.57</v>
      </c>
      <c r="G30" s="112">
        <v>79.36</v>
      </c>
      <c r="H30" s="112">
        <v>34.85</v>
      </c>
      <c r="I30" s="112">
        <v>8.75</v>
      </c>
      <c r="J30" s="112">
        <v>0.12</v>
      </c>
      <c r="K30" s="112">
        <v>200.24</v>
      </c>
      <c r="L30" s="112">
        <v>15.03</v>
      </c>
      <c r="M30" s="112">
        <v>93.9</v>
      </c>
      <c r="N30" s="112">
        <v>0</v>
      </c>
      <c r="O30" s="112">
        <v>0</v>
      </c>
      <c r="P30" s="112">
        <v>0.69</v>
      </c>
      <c r="Q30" s="112">
        <v>5.28</v>
      </c>
    </row>
    <row r="31" spans="1:17" customFormat="1">
      <c r="A31" s="80">
        <v>45273.239583333336</v>
      </c>
      <c r="B31" s="112">
        <v>15.87</v>
      </c>
      <c r="C31" s="112">
        <v>24.87</v>
      </c>
      <c r="D31" s="112">
        <v>27.07</v>
      </c>
      <c r="E31" s="112">
        <v>7.41</v>
      </c>
      <c r="F31" s="112">
        <v>2.4300000000000002</v>
      </c>
      <c r="G31" s="112">
        <v>79.36</v>
      </c>
      <c r="H31" s="112">
        <v>34.85</v>
      </c>
      <c r="I31" s="112">
        <v>8.76</v>
      </c>
      <c r="J31" s="112">
        <v>0.05</v>
      </c>
      <c r="K31" s="112">
        <v>147.66999999999999</v>
      </c>
      <c r="L31" s="112">
        <v>14.89</v>
      </c>
      <c r="M31" s="112">
        <v>95.01</v>
      </c>
      <c r="N31" s="112">
        <v>0</v>
      </c>
      <c r="O31" s="112">
        <v>0</v>
      </c>
      <c r="P31" s="112">
        <v>0.7</v>
      </c>
      <c r="Q31" s="112">
        <v>5.27</v>
      </c>
    </row>
    <row r="32" spans="1:17" customFormat="1">
      <c r="A32" s="80">
        <v>45273.25</v>
      </c>
      <c r="B32" s="112">
        <v>15.92</v>
      </c>
      <c r="C32" s="112">
        <v>24.95</v>
      </c>
      <c r="D32" s="112">
        <v>27.15</v>
      </c>
      <c r="E32" s="112">
        <v>7.47</v>
      </c>
      <c r="F32" s="112">
        <v>2.5099999999999998</v>
      </c>
      <c r="G32" s="112">
        <v>83.26</v>
      </c>
      <c r="H32" s="112">
        <v>36.270000000000003</v>
      </c>
      <c r="I32" s="112">
        <v>8.73</v>
      </c>
      <c r="J32" s="112">
        <v>0.11</v>
      </c>
      <c r="K32" s="112">
        <v>236.24</v>
      </c>
      <c r="L32" s="112">
        <v>14.73</v>
      </c>
      <c r="M32" s="112">
        <v>95.22</v>
      </c>
      <c r="N32" s="112">
        <v>0</v>
      </c>
      <c r="O32" s="112">
        <v>0</v>
      </c>
      <c r="P32" s="112">
        <v>0.7</v>
      </c>
      <c r="Q32" s="112">
        <v>5.29</v>
      </c>
    </row>
    <row r="33" spans="1:17" customFormat="1">
      <c r="A33" s="80">
        <v>45273.260416666664</v>
      </c>
      <c r="B33" s="112">
        <v>16</v>
      </c>
      <c r="C33" s="112">
        <v>24.86</v>
      </c>
      <c r="D33" s="112">
        <v>27.17</v>
      </c>
      <c r="E33" s="112">
        <v>7.55</v>
      </c>
      <c r="F33" s="112">
        <v>2.4500000000000002</v>
      </c>
      <c r="G33" s="112">
        <v>87.34</v>
      </c>
      <c r="H33" s="112">
        <v>37</v>
      </c>
      <c r="I33" s="112">
        <v>8.67</v>
      </c>
      <c r="J33" s="112">
        <v>0.28000000000000003</v>
      </c>
      <c r="K33" s="112">
        <v>308.79000000000002</v>
      </c>
      <c r="L33" s="112">
        <v>14.58</v>
      </c>
      <c r="M33" s="112">
        <v>95.35</v>
      </c>
      <c r="N33" s="112">
        <v>0</v>
      </c>
      <c r="O33" s="112">
        <v>0</v>
      </c>
      <c r="P33" s="112">
        <v>0.7</v>
      </c>
      <c r="Q33" s="112">
        <v>5.3</v>
      </c>
    </row>
    <row r="34" spans="1:17" customFormat="1">
      <c r="A34" s="80">
        <v>45273.270833333336</v>
      </c>
      <c r="B34" s="112">
        <v>17.510000000000002</v>
      </c>
      <c r="C34" s="112">
        <v>24.79</v>
      </c>
      <c r="D34" s="112">
        <v>28.35</v>
      </c>
      <c r="E34" s="112">
        <v>7.74</v>
      </c>
      <c r="F34" s="112">
        <v>2.46</v>
      </c>
      <c r="G34" s="112">
        <v>87.34</v>
      </c>
      <c r="H34" s="112">
        <v>37</v>
      </c>
      <c r="I34" s="112">
        <v>8.6</v>
      </c>
      <c r="J34" s="112">
        <v>0.13</v>
      </c>
      <c r="K34" s="112">
        <v>154.87</v>
      </c>
      <c r="L34" s="112">
        <v>14.62</v>
      </c>
      <c r="M34" s="112">
        <v>94.52</v>
      </c>
      <c r="N34" s="112">
        <v>0</v>
      </c>
      <c r="O34" s="112">
        <v>0</v>
      </c>
      <c r="P34" s="112">
        <v>0.7</v>
      </c>
      <c r="Q34" s="112">
        <v>5.33</v>
      </c>
    </row>
    <row r="35" spans="1:17" customFormat="1">
      <c r="A35" s="80">
        <v>45273.28125</v>
      </c>
      <c r="B35" s="112">
        <v>19.93</v>
      </c>
      <c r="C35" s="112">
        <v>24.99</v>
      </c>
      <c r="D35" s="112">
        <v>30.39</v>
      </c>
      <c r="E35" s="112">
        <v>7.94</v>
      </c>
      <c r="F35" s="112">
        <v>2.4900000000000002</v>
      </c>
      <c r="G35" s="112">
        <v>87.34</v>
      </c>
      <c r="H35" s="112">
        <v>37</v>
      </c>
      <c r="I35" s="112">
        <v>8.5299999999999994</v>
      </c>
      <c r="J35" s="112">
        <v>0.4</v>
      </c>
      <c r="K35" s="112">
        <v>171.35</v>
      </c>
      <c r="L35" s="112">
        <v>14.87</v>
      </c>
      <c r="M35" s="112">
        <v>94.59</v>
      </c>
      <c r="N35" s="112">
        <v>3</v>
      </c>
      <c r="O35" s="112">
        <v>0</v>
      </c>
      <c r="P35" s="112">
        <v>0.72</v>
      </c>
      <c r="Q35" s="112">
        <v>5.4</v>
      </c>
    </row>
    <row r="36" spans="1:17" customFormat="1">
      <c r="A36" s="80">
        <v>45273.291666666664</v>
      </c>
      <c r="B36" s="112">
        <v>21.3</v>
      </c>
      <c r="C36" s="112">
        <v>25.05</v>
      </c>
      <c r="D36" s="112">
        <v>31.52</v>
      </c>
      <c r="E36" s="112">
        <v>7.41</v>
      </c>
      <c r="F36" s="112">
        <v>2.64</v>
      </c>
      <c r="G36" s="112">
        <v>87.36</v>
      </c>
      <c r="H36" s="112">
        <v>37.909999999999997</v>
      </c>
      <c r="I36" s="112">
        <v>8.5500000000000007</v>
      </c>
      <c r="J36" s="112">
        <v>0.08</v>
      </c>
      <c r="K36" s="112">
        <v>187.7</v>
      </c>
      <c r="L36" s="112">
        <v>14.92</v>
      </c>
      <c r="M36" s="112">
        <v>95.09</v>
      </c>
      <c r="N36" s="112">
        <v>13.8</v>
      </c>
      <c r="O36" s="112">
        <v>0</v>
      </c>
      <c r="P36" s="112">
        <v>0.73</v>
      </c>
      <c r="Q36" s="112">
        <v>5.43</v>
      </c>
    </row>
    <row r="37" spans="1:17" customFormat="1">
      <c r="A37" s="80">
        <v>45273.302083333336</v>
      </c>
      <c r="B37" s="112">
        <v>22.11</v>
      </c>
      <c r="C37" s="112">
        <v>25.46</v>
      </c>
      <c r="D37" s="112">
        <v>32.39</v>
      </c>
      <c r="E37" s="112">
        <v>7.72</v>
      </c>
      <c r="F37" s="112">
        <v>2.6</v>
      </c>
      <c r="G37" s="112">
        <v>87.39</v>
      </c>
      <c r="H37" s="112">
        <v>38.39</v>
      </c>
      <c r="I37" s="112">
        <v>8.61</v>
      </c>
      <c r="J37" s="112">
        <v>0.11</v>
      </c>
      <c r="K37" s="112">
        <v>134.5</v>
      </c>
      <c r="L37" s="112">
        <v>15.35</v>
      </c>
      <c r="M37" s="112">
        <v>93.7</v>
      </c>
      <c r="N37" s="112">
        <v>24.9</v>
      </c>
      <c r="O37" s="112">
        <v>0</v>
      </c>
      <c r="P37" s="112">
        <v>0.74</v>
      </c>
      <c r="Q37" s="112">
        <v>5.46</v>
      </c>
    </row>
    <row r="38" spans="1:17" customFormat="1">
      <c r="A38" s="80">
        <v>45273.3125</v>
      </c>
      <c r="B38" s="112">
        <v>23.2</v>
      </c>
      <c r="C38" s="112">
        <v>26.59</v>
      </c>
      <c r="D38" s="112">
        <v>33.85</v>
      </c>
      <c r="E38" s="112">
        <v>8.52</v>
      </c>
      <c r="F38" s="112">
        <v>2.58</v>
      </c>
      <c r="G38" s="112">
        <v>87.39</v>
      </c>
      <c r="H38" s="112">
        <v>38.39</v>
      </c>
      <c r="I38" s="112">
        <v>8.6300000000000008</v>
      </c>
      <c r="J38" s="112">
        <v>0.11</v>
      </c>
      <c r="K38" s="112">
        <v>112.52</v>
      </c>
      <c r="L38" s="112">
        <v>15.85</v>
      </c>
      <c r="M38" s="112">
        <v>91.72</v>
      </c>
      <c r="N38" s="112">
        <v>45.7</v>
      </c>
      <c r="O38" s="112">
        <v>0</v>
      </c>
      <c r="P38" s="112">
        <v>0.75</v>
      </c>
      <c r="Q38" s="112">
        <v>5.49</v>
      </c>
    </row>
    <row r="39" spans="1:17" customFormat="1">
      <c r="A39" s="80">
        <v>45273.322916666664</v>
      </c>
      <c r="B39" s="112">
        <v>25.68</v>
      </c>
      <c r="C39" s="112">
        <v>27.82</v>
      </c>
      <c r="D39" s="112">
        <v>36.479999999999997</v>
      </c>
      <c r="E39" s="112">
        <v>8.2899999999999991</v>
      </c>
      <c r="F39" s="112">
        <v>2.56</v>
      </c>
      <c r="G39" s="112">
        <v>87.39</v>
      </c>
      <c r="H39" s="112">
        <v>38.39</v>
      </c>
      <c r="I39" s="112">
        <v>8.67</v>
      </c>
      <c r="J39" s="112">
        <v>0.21</v>
      </c>
      <c r="K39" s="112">
        <v>64.23</v>
      </c>
      <c r="L39" s="112">
        <v>16.93</v>
      </c>
      <c r="M39" s="112">
        <v>86.07</v>
      </c>
      <c r="N39" s="112">
        <v>70.8</v>
      </c>
      <c r="O39" s="112">
        <v>0</v>
      </c>
      <c r="P39" s="112">
        <v>0.78</v>
      </c>
      <c r="Q39" s="112">
        <v>5.55</v>
      </c>
    </row>
    <row r="40" spans="1:17" customFormat="1">
      <c r="A40" s="80">
        <v>45273.333333333336</v>
      </c>
      <c r="B40" s="112">
        <v>28.05</v>
      </c>
      <c r="C40" s="112">
        <v>29.54</v>
      </c>
      <c r="D40" s="112">
        <v>39.28</v>
      </c>
      <c r="E40" s="112">
        <v>8.24</v>
      </c>
      <c r="F40" s="112">
        <v>2.59</v>
      </c>
      <c r="G40" s="112">
        <v>95.87</v>
      </c>
      <c r="H40" s="112">
        <v>40.869999999999997</v>
      </c>
      <c r="I40" s="112">
        <v>8.7799999999999994</v>
      </c>
      <c r="J40" s="112">
        <v>0.42</v>
      </c>
      <c r="K40" s="112">
        <v>46.58</v>
      </c>
      <c r="L40" s="112">
        <v>17.61</v>
      </c>
      <c r="M40" s="112">
        <v>82.19</v>
      </c>
      <c r="N40" s="112">
        <v>107.5</v>
      </c>
      <c r="O40" s="112">
        <v>0</v>
      </c>
      <c r="P40" s="112">
        <v>0.82</v>
      </c>
      <c r="Q40" s="112">
        <v>5.63</v>
      </c>
    </row>
    <row r="41" spans="1:17" customFormat="1">
      <c r="A41" s="80">
        <v>45273.34375</v>
      </c>
      <c r="B41" s="112">
        <v>29.32</v>
      </c>
      <c r="C41" s="112">
        <v>30.42</v>
      </c>
      <c r="D41" s="112">
        <v>40.76</v>
      </c>
      <c r="E41" s="112">
        <v>8.8800000000000008</v>
      </c>
      <c r="F41" s="112">
        <v>2.46</v>
      </c>
      <c r="G41" s="112">
        <v>104.73</v>
      </c>
      <c r="H41" s="112">
        <v>43.6</v>
      </c>
      <c r="I41" s="112">
        <v>8.9700000000000006</v>
      </c>
      <c r="J41" s="112">
        <v>0.38</v>
      </c>
      <c r="K41" s="112">
        <v>43.69</v>
      </c>
      <c r="L41" s="112">
        <v>18.39</v>
      </c>
      <c r="M41" s="112">
        <v>77.98</v>
      </c>
      <c r="N41" s="112">
        <v>166.8</v>
      </c>
      <c r="O41" s="112">
        <v>0</v>
      </c>
      <c r="P41" s="112">
        <v>0.85</v>
      </c>
      <c r="Q41" s="112">
        <v>5.66</v>
      </c>
    </row>
    <row r="42" spans="1:17" customFormat="1">
      <c r="A42" s="80">
        <v>45273.354166666664</v>
      </c>
      <c r="B42" s="112">
        <v>29.55</v>
      </c>
      <c r="C42" s="112">
        <v>29.81</v>
      </c>
      <c r="D42" s="112">
        <v>40.630000000000003</v>
      </c>
      <c r="E42" s="112">
        <v>8.83</v>
      </c>
      <c r="F42" s="112">
        <v>2.4</v>
      </c>
      <c r="G42" s="112">
        <v>104.73</v>
      </c>
      <c r="H42" s="112">
        <v>43.6</v>
      </c>
      <c r="I42" s="112">
        <v>9.19</v>
      </c>
      <c r="J42" s="112">
        <v>0.26</v>
      </c>
      <c r="K42" s="112">
        <v>58.98</v>
      </c>
      <c r="L42" s="112">
        <v>19.100000000000001</v>
      </c>
      <c r="M42" s="112">
        <v>74.28</v>
      </c>
      <c r="N42" s="112">
        <v>168.8</v>
      </c>
      <c r="O42" s="112">
        <v>0</v>
      </c>
      <c r="P42" s="112">
        <v>0.87</v>
      </c>
      <c r="Q42" s="112">
        <v>5.69</v>
      </c>
    </row>
    <row r="43" spans="1:17" customFormat="1">
      <c r="A43" s="80">
        <v>45273.364583333336</v>
      </c>
      <c r="B43" s="112">
        <v>28.76</v>
      </c>
      <c r="C43" s="112">
        <v>29.87</v>
      </c>
      <c r="D43" s="112">
        <v>40.020000000000003</v>
      </c>
      <c r="E43" s="112">
        <v>9.2799999999999994</v>
      </c>
      <c r="F43" s="112">
        <v>2.73</v>
      </c>
      <c r="G43" s="112">
        <v>104.73</v>
      </c>
      <c r="H43" s="112">
        <v>43.6</v>
      </c>
      <c r="I43" s="112">
        <v>9.35</v>
      </c>
      <c r="J43" s="112">
        <v>0.28999999999999998</v>
      </c>
      <c r="K43" s="112">
        <v>58.71</v>
      </c>
      <c r="L43" s="112">
        <v>19.68</v>
      </c>
      <c r="M43" s="112">
        <v>71.510000000000005</v>
      </c>
      <c r="N43" s="112">
        <v>131.9</v>
      </c>
      <c r="O43" s="112">
        <v>0</v>
      </c>
      <c r="P43" s="112">
        <v>0.89</v>
      </c>
      <c r="Q43" s="112">
        <v>5.68</v>
      </c>
    </row>
    <row r="44" spans="1:17" customFormat="1">
      <c r="A44" s="80">
        <v>45273.375</v>
      </c>
      <c r="B44" s="112">
        <v>27.85</v>
      </c>
      <c r="C44" s="112">
        <v>30.53</v>
      </c>
      <c r="D44" s="112">
        <v>39.64</v>
      </c>
      <c r="E44" s="112">
        <v>8.83</v>
      </c>
      <c r="F44" s="112">
        <v>2.66</v>
      </c>
      <c r="G44" s="112">
        <v>111.31</v>
      </c>
      <c r="H44" s="112">
        <v>44.88</v>
      </c>
      <c r="I44" s="112">
        <v>9.4499999999999993</v>
      </c>
      <c r="J44" s="112">
        <v>0.38</v>
      </c>
      <c r="K44" s="112">
        <v>63.07</v>
      </c>
      <c r="L44" s="112">
        <v>20.079999999999998</v>
      </c>
      <c r="M44" s="112">
        <v>70.42</v>
      </c>
      <c r="N44" s="112">
        <v>160.4</v>
      </c>
      <c r="O44" s="112">
        <v>0</v>
      </c>
      <c r="P44" s="112">
        <v>0.91</v>
      </c>
      <c r="Q44" s="112">
        <v>5.67</v>
      </c>
    </row>
    <row r="45" spans="1:17" customFormat="1">
      <c r="A45" s="80">
        <v>45273.385416666664</v>
      </c>
      <c r="B45" s="112">
        <v>27.03</v>
      </c>
      <c r="C45" s="112">
        <v>30.94</v>
      </c>
      <c r="D45" s="112">
        <v>39.200000000000003</v>
      </c>
      <c r="E45" s="112">
        <v>8.89</v>
      </c>
      <c r="F45" s="112">
        <v>2.69</v>
      </c>
      <c r="G45" s="112">
        <v>118.19</v>
      </c>
      <c r="H45" s="112">
        <v>45.54</v>
      </c>
      <c r="I45" s="112">
        <v>9.5</v>
      </c>
      <c r="J45" s="112">
        <v>0.42</v>
      </c>
      <c r="K45" s="112">
        <v>47.17</v>
      </c>
      <c r="L45" s="112">
        <v>20.75</v>
      </c>
      <c r="M45" s="112">
        <v>67.87</v>
      </c>
      <c r="N45" s="112">
        <v>123.1</v>
      </c>
      <c r="O45" s="112">
        <v>0</v>
      </c>
      <c r="P45" s="112">
        <v>0.93</v>
      </c>
      <c r="Q45" s="112">
        <v>5.65</v>
      </c>
    </row>
    <row r="46" spans="1:17" customFormat="1">
      <c r="A46" s="80">
        <v>45273.395833333336</v>
      </c>
      <c r="B46" s="112">
        <v>25.62</v>
      </c>
      <c r="C46" s="112">
        <v>31.22</v>
      </c>
      <c r="D46" s="112">
        <v>38.200000000000003</v>
      </c>
      <c r="E46" s="112">
        <v>9.0299999999999994</v>
      </c>
      <c r="F46" s="112">
        <v>2.8</v>
      </c>
      <c r="G46" s="112">
        <v>118.19</v>
      </c>
      <c r="H46" s="112">
        <v>45.54</v>
      </c>
      <c r="I46" s="112">
        <v>9.52</v>
      </c>
      <c r="J46" s="112">
        <v>0.04</v>
      </c>
      <c r="K46" s="112">
        <v>330.42</v>
      </c>
      <c r="L46" s="112">
        <v>21.78</v>
      </c>
      <c r="M46" s="112">
        <v>64.42</v>
      </c>
      <c r="N46" s="112">
        <v>140.19999999999999</v>
      </c>
      <c r="O46" s="112">
        <v>0</v>
      </c>
      <c r="P46" s="112">
        <v>0.94</v>
      </c>
      <c r="Q46" s="112">
        <v>5.61</v>
      </c>
    </row>
    <row r="47" spans="1:17" customFormat="1">
      <c r="A47" s="80">
        <v>45273.40625</v>
      </c>
      <c r="B47" s="112">
        <v>23.63</v>
      </c>
      <c r="C47" s="112">
        <v>31.58</v>
      </c>
      <c r="D47" s="112">
        <v>36.79</v>
      </c>
      <c r="E47" s="112">
        <v>8.7100000000000009</v>
      </c>
      <c r="F47" s="112">
        <v>3</v>
      </c>
      <c r="G47" s="112">
        <v>118.19</v>
      </c>
      <c r="H47" s="112">
        <v>45.54</v>
      </c>
      <c r="I47" s="112">
        <v>9.51</v>
      </c>
      <c r="J47" s="112">
        <v>0.14000000000000001</v>
      </c>
      <c r="K47" s="112">
        <v>88.53</v>
      </c>
      <c r="L47" s="112">
        <v>22.43</v>
      </c>
      <c r="M47" s="112">
        <v>60.86</v>
      </c>
      <c r="N47" s="112">
        <v>155.4</v>
      </c>
      <c r="O47" s="112">
        <v>0</v>
      </c>
      <c r="P47" s="112">
        <v>0.94</v>
      </c>
      <c r="Q47" s="112">
        <v>5.55</v>
      </c>
    </row>
    <row r="48" spans="1:17" customFormat="1">
      <c r="A48" s="80">
        <v>45273.416666666664</v>
      </c>
      <c r="B48" s="112">
        <v>21.62</v>
      </c>
      <c r="C48" s="112">
        <v>31.93</v>
      </c>
      <c r="D48" s="112">
        <v>35.369999999999997</v>
      </c>
      <c r="E48" s="112">
        <v>8.4600000000000009</v>
      </c>
      <c r="F48" s="112">
        <v>3.04</v>
      </c>
      <c r="G48" s="112">
        <v>121.07</v>
      </c>
      <c r="H48" s="112">
        <v>47.73</v>
      </c>
      <c r="I48" s="112">
        <v>9.4700000000000006</v>
      </c>
      <c r="J48" s="112">
        <v>0.2</v>
      </c>
      <c r="K48" s="112">
        <v>204.29</v>
      </c>
      <c r="L48" s="112">
        <v>23.36</v>
      </c>
      <c r="M48" s="112">
        <v>58.89</v>
      </c>
      <c r="N48" s="112">
        <v>314.10000000000002</v>
      </c>
      <c r="O48" s="112">
        <v>0</v>
      </c>
      <c r="P48" s="112">
        <v>0.94</v>
      </c>
      <c r="Q48" s="112">
        <v>5.5</v>
      </c>
    </row>
    <row r="49" spans="1:17" customFormat="1">
      <c r="A49" s="80">
        <v>45273.427083333336</v>
      </c>
      <c r="B49" s="112">
        <v>19.29</v>
      </c>
      <c r="C49" s="112">
        <v>32</v>
      </c>
      <c r="D49" s="112">
        <v>33.54</v>
      </c>
      <c r="E49" s="112">
        <v>6.78</v>
      </c>
      <c r="F49" s="112">
        <v>2.96</v>
      </c>
      <c r="G49" s="112">
        <v>124.08</v>
      </c>
      <c r="H49" s="112">
        <v>48.87</v>
      </c>
      <c r="I49" s="112">
        <v>9.4</v>
      </c>
      <c r="J49" s="112">
        <v>0.23</v>
      </c>
      <c r="K49" s="112">
        <v>262.95999999999998</v>
      </c>
      <c r="L49" s="112">
        <v>23.7</v>
      </c>
      <c r="M49" s="112">
        <v>56.92</v>
      </c>
      <c r="N49" s="112">
        <v>412.1</v>
      </c>
      <c r="O49" s="112">
        <v>0</v>
      </c>
      <c r="P49" s="112">
        <v>0.93</v>
      </c>
      <c r="Q49" s="112">
        <v>5.45</v>
      </c>
    </row>
    <row r="50" spans="1:17" customFormat="1">
      <c r="A50" s="80">
        <v>45273.4375</v>
      </c>
      <c r="B50" s="112">
        <v>16.87</v>
      </c>
      <c r="C50" s="112">
        <v>31.86</v>
      </c>
      <c r="D50" s="112">
        <v>31.52</v>
      </c>
      <c r="E50" s="112">
        <v>8.2899999999999991</v>
      </c>
      <c r="F50" s="112">
        <v>2.98</v>
      </c>
      <c r="G50" s="112">
        <v>124.08</v>
      </c>
      <c r="H50" s="112">
        <v>48.87</v>
      </c>
      <c r="I50" s="112">
        <v>9.31</v>
      </c>
      <c r="J50" s="112">
        <v>0.23</v>
      </c>
      <c r="K50" s="112">
        <v>293.16000000000003</v>
      </c>
      <c r="L50" s="112">
        <v>23.9</v>
      </c>
      <c r="M50" s="112">
        <v>57.16</v>
      </c>
      <c r="N50" s="112">
        <v>453.4</v>
      </c>
      <c r="O50" s="112">
        <v>0</v>
      </c>
      <c r="P50" s="112">
        <v>0.93</v>
      </c>
      <c r="Q50" s="112">
        <v>5.39</v>
      </c>
    </row>
    <row r="51" spans="1:17" customFormat="1">
      <c r="A51" s="80">
        <v>45273.447916666664</v>
      </c>
      <c r="B51" s="112">
        <v>14.6</v>
      </c>
      <c r="C51" s="112">
        <v>31.68</v>
      </c>
      <c r="D51" s="112">
        <v>29.61</v>
      </c>
      <c r="E51" s="112">
        <v>8.44</v>
      </c>
      <c r="F51" s="112">
        <v>3.08</v>
      </c>
      <c r="G51" s="112">
        <v>124.08</v>
      </c>
      <c r="H51" s="112">
        <v>48.87</v>
      </c>
      <c r="I51" s="112">
        <v>9.1999999999999993</v>
      </c>
      <c r="J51" s="112">
        <v>7.0000000000000007E-2</v>
      </c>
      <c r="K51" s="112">
        <v>281.82</v>
      </c>
      <c r="L51" s="112">
        <v>24.65</v>
      </c>
      <c r="M51" s="112">
        <v>54.78</v>
      </c>
      <c r="N51" s="112">
        <v>465</v>
      </c>
      <c r="O51" s="112">
        <v>0</v>
      </c>
      <c r="P51" s="112">
        <v>0.92</v>
      </c>
      <c r="Q51" s="112">
        <v>5.32</v>
      </c>
    </row>
    <row r="52" spans="1:17" customFormat="1">
      <c r="A52" s="80">
        <v>45273.458333333336</v>
      </c>
      <c r="B52" s="112">
        <v>12.57</v>
      </c>
      <c r="C52" s="112">
        <v>31.45</v>
      </c>
      <c r="D52" s="112">
        <v>27.86</v>
      </c>
      <c r="E52" s="112">
        <v>8.4700000000000006</v>
      </c>
      <c r="F52" s="112">
        <v>3.29</v>
      </c>
      <c r="G52" s="112">
        <v>116.94</v>
      </c>
      <c r="H52" s="112">
        <v>48.62</v>
      </c>
      <c r="I52" s="112">
        <v>9.06</v>
      </c>
      <c r="J52" s="112">
        <v>0.17</v>
      </c>
      <c r="K52" s="112">
        <v>260.45999999999998</v>
      </c>
      <c r="L52" s="112">
        <v>25.34</v>
      </c>
      <c r="M52" s="112">
        <v>51.6</v>
      </c>
      <c r="N52" s="112">
        <v>479</v>
      </c>
      <c r="O52" s="112">
        <v>0</v>
      </c>
      <c r="P52" s="112">
        <v>0.93</v>
      </c>
      <c r="Q52" s="112">
        <v>5.25</v>
      </c>
    </row>
    <row r="53" spans="1:17" customFormat="1">
      <c r="A53" s="80">
        <v>45273.46875</v>
      </c>
      <c r="B53" s="112">
        <v>10.94</v>
      </c>
      <c r="C53" s="112">
        <v>30.71</v>
      </c>
      <c r="D53" s="112">
        <v>26.16</v>
      </c>
      <c r="E53" s="112">
        <v>7.73</v>
      </c>
      <c r="F53" s="112">
        <v>3.38</v>
      </c>
      <c r="G53" s="112">
        <v>109.48</v>
      </c>
      <c r="H53" s="112">
        <v>48.49</v>
      </c>
      <c r="I53" s="112">
        <v>8.92</v>
      </c>
      <c r="J53" s="112">
        <v>0.17</v>
      </c>
      <c r="K53" s="112">
        <v>180.98</v>
      </c>
      <c r="L53" s="112">
        <v>26.24</v>
      </c>
      <c r="M53" s="112">
        <v>47.07</v>
      </c>
      <c r="N53" s="112">
        <v>509.6</v>
      </c>
      <c r="O53" s="112">
        <v>0</v>
      </c>
      <c r="P53" s="112">
        <v>0.91</v>
      </c>
      <c r="Q53" s="112">
        <v>5.2</v>
      </c>
    </row>
    <row r="54" spans="1:17" customFormat="1">
      <c r="A54" s="80">
        <v>45273.479166666664</v>
      </c>
      <c r="B54" s="112">
        <v>9.18</v>
      </c>
      <c r="C54" s="112">
        <v>30.17</v>
      </c>
      <c r="D54" s="112">
        <v>24.48</v>
      </c>
      <c r="E54" s="112">
        <v>7.96</v>
      </c>
      <c r="F54" s="112">
        <v>3.63</v>
      </c>
      <c r="G54" s="112">
        <v>109.48</v>
      </c>
      <c r="H54" s="112">
        <v>48.49</v>
      </c>
      <c r="I54" s="112">
        <v>8.7899999999999991</v>
      </c>
      <c r="J54" s="112">
        <v>0.16</v>
      </c>
      <c r="K54" s="112">
        <v>215.62</v>
      </c>
      <c r="L54" s="112">
        <v>25.99</v>
      </c>
      <c r="M54" s="112">
        <v>47.58</v>
      </c>
      <c r="N54" s="112">
        <v>496</v>
      </c>
      <c r="O54" s="112">
        <v>0</v>
      </c>
      <c r="P54" s="112">
        <v>0.9</v>
      </c>
      <c r="Q54" s="112">
        <v>5.13</v>
      </c>
    </row>
    <row r="55" spans="1:17" customFormat="1">
      <c r="A55" s="80">
        <v>45273.489583333336</v>
      </c>
      <c r="B55" s="112">
        <v>7.93</v>
      </c>
      <c r="C55" s="112">
        <v>29.32</v>
      </c>
      <c r="D55" s="112">
        <v>23.03</v>
      </c>
      <c r="E55" s="112">
        <v>8.2899999999999991</v>
      </c>
      <c r="F55" s="112">
        <v>3.81</v>
      </c>
      <c r="G55" s="112">
        <v>109.48</v>
      </c>
      <c r="H55" s="112">
        <v>48.49</v>
      </c>
      <c r="I55" s="112">
        <v>8.66</v>
      </c>
      <c r="J55" s="112">
        <v>0.36</v>
      </c>
      <c r="K55" s="112">
        <v>93.73</v>
      </c>
      <c r="L55" s="112">
        <v>26.41</v>
      </c>
      <c r="M55" s="112">
        <v>43.81</v>
      </c>
      <c r="N55" s="112">
        <v>527.5</v>
      </c>
      <c r="O55" s="112">
        <v>0</v>
      </c>
      <c r="P55" s="112">
        <v>0.89</v>
      </c>
      <c r="Q55" s="112">
        <v>5.08</v>
      </c>
    </row>
    <row r="56" spans="1:17" customFormat="1">
      <c r="A56" s="80">
        <v>45273.5</v>
      </c>
      <c r="B56" s="112">
        <v>6.93</v>
      </c>
      <c r="C56" s="112">
        <v>28.78</v>
      </c>
      <c r="D56" s="112">
        <v>21.94</v>
      </c>
      <c r="E56" s="112">
        <v>7.76</v>
      </c>
      <c r="F56" s="112">
        <v>3.92</v>
      </c>
      <c r="G56" s="112">
        <v>102.35</v>
      </c>
      <c r="H56" s="112">
        <v>45.56</v>
      </c>
      <c r="I56" s="112">
        <v>8.5</v>
      </c>
      <c r="J56" s="112">
        <v>0.28999999999999998</v>
      </c>
      <c r="K56" s="112">
        <v>50.12</v>
      </c>
      <c r="L56" s="112">
        <v>26.32</v>
      </c>
      <c r="M56" s="112">
        <v>43.98</v>
      </c>
      <c r="N56" s="112">
        <v>497.4</v>
      </c>
      <c r="O56" s="112">
        <v>0</v>
      </c>
      <c r="P56" s="112">
        <v>0.88</v>
      </c>
      <c r="Q56" s="112">
        <v>5.04</v>
      </c>
    </row>
    <row r="57" spans="1:17" customFormat="1">
      <c r="A57" s="80">
        <v>45273.510416666664</v>
      </c>
      <c r="B57" s="112">
        <v>6.48</v>
      </c>
      <c r="C57" s="112">
        <v>27.99</v>
      </c>
      <c r="D57" s="112">
        <v>21.17</v>
      </c>
      <c r="E57" s="112">
        <v>7.65</v>
      </c>
      <c r="F57" s="112">
        <v>3.95</v>
      </c>
      <c r="G57" s="112">
        <v>94.9</v>
      </c>
      <c r="H57" s="112">
        <v>44.02</v>
      </c>
      <c r="I57" s="112">
        <v>8.31</v>
      </c>
      <c r="J57" s="112">
        <v>0.37</v>
      </c>
      <c r="K57" s="112">
        <v>13.82</v>
      </c>
      <c r="L57" s="112">
        <v>26.64</v>
      </c>
      <c r="M57" s="112">
        <v>41.54</v>
      </c>
      <c r="N57" s="112">
        <v>506.1</v>
      </c>
      <c r="O57" s="112">
        <v>0</v>
      </c>
      <c r="P57" s="112">
        <v>0.86</v>
      </c>
      <c r="Q57" s="112">
        <v>5.01</v>
      </c>
    </row>
    <row r="58" spans="1:17" customFormat="1">
      <c r="A58" s="80">
        <v>45273.520833333336</v>
      </c>
      <c r="B58" s="112">
        <v>6.33</v>
      </c>
      <c r="C58" s="112">
        <v>27.73</v>
      </c>
      <c r="D58" s="112">
        <v>20.91</v>
      </c>
      <c r="E58" s="112">
        <v>7.4</v>
      </c>
      <c r="F58" s="112">
        <v>3.94</v>
      </c>
      <c r="G58" s="112">
        <v>94.9</v>
      </c>
      <c r="H58" s="112">
        <v>44.02</v>
      </c>
      <c r="I58" s="112">
        <v>8.1300000000000008</v>
      </c>
      <c r="J58" s="112">
        <v>0.18</v>
      </c>
      <c r="K58" s="112">
        <v>59.1</v>
      </c>
      <c r="L58" s="112">
        <v>26.81</v>
      </c>
      <c r="M58" s="112">
        <v>40.5</v>
      </c>
      <c r="N58" s="112">
        <v>464.5</v>
      </c>
      <c r="O58" s="112">
        <v>0</v>
      </c>
      <c r="P58" s="112">
        <v>0.85</v>
      </c>
      <c r="Q58" s="112">
        <v>5</v>
      </c>
    </row>
    <row r="59" spans="1:17" customFormat="1">
      <c r="A59" s="80">
        <v>45273.53125</v>
      </c>
      <c r="B59" s="112">
        <v>6.13</v>
      </c>
      <c r="C59" s="112">
        <v>27.35</v>
      </c>
      <c r="D59" s="112">
        <v>20.55</v>
      </c>
      <c r="E59" s="112">
        <v>7.07</v>
      </c>
      <c r="F59" s="112">
        <v>3.98</v>
      </c>
      <c r="G59" s="112">
        <v>94.9</v>
      </c>
      <c r="H59" s="112">
        <v>44.02</v>
      </c>
      <c r="I59" s="112">
        <v>7.93</v>
      </c>
      <c r="J59" s="112">
        <v>0.23</v>
      </c>
      <c r="K59" s="112">
        <v>317.42</v>
      </c>
      <c r="L59" s="112">
        <v>27.07</v>
      </c>
      <c r="M59" s="112">
        <v>41.9</v>
      </c>
      <c r="N59" s="112">
        <v>427.5</v>
      </c>
      <c r="O59" s="112">
        <v>0</v>
      </c>
      <c r="P59" s="112">
        <v>0.83</v>
      </c>
      <c r="Q59" s="112">
        <v>4.9800000000000004</v>
      </c>
    </row>
    <row r="60" spans="1:17" customFormat="1">
      <c r="A60" s="80">
        <v>45273.541666666664</v>
      </c>
      <c r="B60" s="112">
        <v>5.97</v>
      </c>
      <c r="C60" s="112">
        <v>27.17</v>
      </c>
      <c r="D60" s="112">
        <v>20.329999999999998</v>
      </c>
      <c r="E60" s="112">
        <v>7.73</v>
      </c>
      <c r="F60" s="112">
        <v>4.07</v>
      </c>
      <c r="G60" s="112">
        <v>88.96</v>
      </c>
      <c r="H60" s="112">
        <v>39.799999999999997</v>
      </c>
      <c r="I60" s="112">
        <v>7.72</v>
      </c>
      <c r="J60" s="112">
        <v>0.25</v>
      </c>
      <c r="K60" s="112">
        <v>2.77</v>
      </c>
      <c r="L60" s="112">
        <v>26.83</v>
      </c>
      <c r="M60" s="112">
        <v>43.07</v>
      </c>
      <c r="N60" s="112">
        <v>365.6</v>
      </c>
      <c r="O60" s="112">
        <v>0</v>
      </c>
      <c r="P60" s="112">
        <v>0.83</v>
      </c>
      <c r="Q60" s="112">
        <v>4.97</v>
      </c>
    </row>
    <row r="61" spans="1:17" customFormat="1">
      <c r="A61" s="80">
        <v>45273.552083333336</v>
      </c>
      <c r="B61" s="112">
        <v>5.95</v>
      </c>
      <c r="C61" s="112">
        <v>26.99</v>
      </c>
      <c r="D61" s="112">
        <v>20.22</v>
      </c>
      <c r="E61" s="112">
        <v>7.82</v>
      </c>
      <c r="F61" s="112">
        <v>4.03</v>
      </c>
      <c r="G61" s="112">
        <v>82.74</v>
      </c>
      <c r="H61" s="112">
        <v>37.6</v>
      </c>
      <c r="I61" s="112">
        <v>7.55</v>
      </c>
      <c r="J61" s="112">
        <v>0.37</v>
      </c>
      <c r="K61" s="112">
        <v>27.34</v>
      </c>
      <c r="L61" s="112">
        <v>26.49</v>
      </c>
      <c r="M61" s="112">
        <v>43.44</v>
      </c>
      <c r="N61" s="112">
        <v>343.8</v>
      </c>
      <c r="O61" s="112">
        <v>0</v>
      </c>
      <c r="P61" s="112">
        <v>0.82</v>
      </c>
      <c r="Q61" s="112">
        <v>4.96</v>
      </c>
    </row>
    <row r="62" spans="1:17" customFormat="1">
      <c r="A62" s="80">
        <v>45273.5625</v>
      </c>
      <c r="B62" s="112">
        <v>5.93</v>
      </c>
      <c r="C62" s="112">
        <v>27.28</v>
      </c>
      <c r="D62" s="112">
        <v>20.36</v>
      </c>
      <c r="E62" s="112">
        <v>8.25</v>
      </c>
      <c r="F62" s="112">
        <v>3.82</v>
      </c>
      <c r="G62" s="112">
        <v>82.74</v>
      </c>
      <c r="H62" s="112">
        <v>37.6</v>
      </c>
      <c r="I62" s="112">
        <v>7.42</v>
      </c>
      <c r="J62" s="112">
        <v>0.37</v>
      </c>
      <c r="K62" s="112">
        <v>25.51</v>
      </c>
      <c r="L62" s="112">
        <v>26.63</v>
      </c>
      <c r="M62" s="112">
        <v>42.6</v>
      </c>
      <c r="N62" s="112">
        <v>332.1</v>
      </c>
      <c r="O62" s="112">
        <v>0</v>
      </c>
      <c r="P62" s="112">
        <v>0.83</v>
      </c>
      <c r="Q62" s="112">
        <v>4.9400000000000004</v>
      </c>
    </row>
    <row r="63" spans="1:17" customFormat="1">
      <c r="A63" s="80">
        <v>45273.572916666664</v>
      </c>
      <c r="B63" s="112">
        <v>6.06</v>
      </c>
      <c r="C63" s="112">
        <v>25.35</v>
      </c>
      <c r="D63" s="112">
        <v>19.45</v>
      </c>
      <c r="E63" s="112">
        <v>7.83</v>
      </c>
      <c r="F63" s="112">
        <v>3.67</v>
      </c>
      <c r="G63" s="112">
        <v>82.74</v>
      </c>
      <c r="H63" s="112">
        <v>37.6</v>
      </c>
      <c r="I63" s="112">
        <v>7.34</v>
      </c>
      <c r="J63" s="112">
        <v>0.49</v>
      </c>
      <c r="K63" s="112">
        <v>54.39</v>
      </c>
      <c r="L63" s="112">
        <v>26.62</v>
      </c>
      <c r="M63" s="112">
        <v>41.79</v>
      </c>
      <c r="N63" s="112">
        <v>323.8</v>
      </c>
      <c r="O63" s="112">
        <v>0</v>
      </c>
      <c r="P63" s="112">
        <v>0.82</v>
      </c>
      <c r="Q63" s="112">
        <v>4.9400000000000004</v>
      </c>
    </row>
    <row r="64" spans="1:17" customFormat="1">
      <c r="A64" s="80">
        <v>45273.583333333336</v>
      </c>
      <c r="B64" s="112">
        <v>6.23</v>
      </c>
      <c r="C64" s="112">
        <v>23.48</v>
      </c>
      <c r="D64" s="112">
        <v>18.61</v>
      </c>
      <c r="E64" s="112">
        <v>7.73</v>
      </c>
      <c r="F64" s="112">
        <v>3.72</v>
      </c>
      <c r="G64" s="112">
        <v>86.22</v>
      </c>
      <c r="H64" s="112">
        <v>37.520000000000003</v>
      </c>
      <c r="I64" s="112">
        <v>7.29</v>
      </c>
      <c r="J64" s="112">
        <v>0.33</v>
      </c>
      <c r="K64" s="112">
        <v>12.59</v>
      </c>
      <c r="L64" s="112">
        <v>26.54</v>
      </c>
      <c r="M64" s="112">
        <v>41.4</v>
      </c>
      <c r="N64" s="112">
        <v>187.7</v>
      </c>
      <c r="O64" s="112">
        <v>0</v>
      </c>
      <c r="P64" s="112">
        <v>0.81</v>
      </c>
      <c r="Q64" s="112">
        <v>4.93</v>
      </c>
    </row>
    <row r="65" spans="1:17" customFormat="1">
      <c r="A65" s="80">
        <v>45273.59375</v>
      </c>
      <c r="B65" s="112">
        <v>6.54</v>
      </c>
      <c r="C65" s="112">
        <v>22.2</v>
      </c>
      <c r="D65" s="112">
        <v>18.2</v>
      </c>
      <c r="E65" s="112">
        <v>7.21</v>
      </c>
      <c r="F65" s="112">
        <v>3.72</v>
      </c>
      <c r="G65" s="112">
        <v>89.87</v>
      </c>
      <c r="H65" s="112">
        <v>37.42</v>
      </c>
      <c r="I65" s="112">
        <v>7.25</v>
      </c>
      <c r="J65" s="112">
        <v>0.47</v>
      </c>
      <c r="K65" s="112">
        <v>288.16000000000003</v>
      </c>
      <c r="L65" s="112">
        <v>26.2</v>
      </c>
      <c r="M65" s="112">
        <v>40.630000000000003</v>
      </c>
      <c r="N65" s="112">
        <v>142.69999999999999</v>
      </c>
      <c r="O65" s="112">
        <v>0</v>
      </c>
      <c r="P65" s="112">
        <v>0.72</v>
      </c>
      <c r="Q65" s="112">
        <v>4.95</v>
      </c>
    </row>
    <row r="66" spans="1:17" customFormat="1">
      <c r="A66" s="80">
        <v>45273.604166666664</v>
      </c>
      <c r="B66" s="112">
        <v>6.63</v>
      </c>
      <c r="C66" s="112">
        <v>21.27</v>
      </c>
      <c r="D66" s="112">
        <v>17.78</v>
      </c>
      <c r="E66" s="112">
        <v>7.33</v>
      </c>
      <c r="F66" s="112">
        <v>3.74</v>
      </c>
      <c r="G66" s="112">
        <v>89.87</v>
      </c>
      <c r="H66" s="112">
        <v>37.42</v>
      </c>
      <c r="I66" s="112">
        <v>7.21</v>
      </c>
      <c r="J66" s="112">
        <v>0.47</v>
      </c>
      <c r="K66" s="112">
        <v>42.65</v>
      </c>
      <c r="L66" s="112">
        <v>26.26</v>
      </c>
      <c r="M66" s="112">
        <v>41.34</v>
      </c>
      <c r="N66" s="112">
        <v>163.69999999999999</v>
      </c>
      <c r="O66" s="112">
        <v>0</v>
      </c>
      <c r="P66" s="112">
        <v>0.75</v>
      </c>
      <c r="Q66" s="112">
        <v>4.97</v>
      </c>
    </row>
    <row r="67" spans="1:17" customFormat="1">
      <c r="A67" s="80">
        <v>45273.614583333336</v>
      </c>
      <c r="B67" s="112">
        <v>6.54</v>
      </c>
      <c r="C67" s="112">
        <v>20.5</v>
      </c>
      <c r="D67" s="112">
        <v>17.309999999999999</v>
      </c>
      <c r="E67" s="112">
        <v>7.94</v>
      </c>
      <c r="F67" s="112">
        <v>4.21</v>
      </c>
      <c r="G67" s="112">
        <v>89.87</v>
      </c>
      <c r="H67" s="112">
        <v>37.42</v>
      </c>
      <c r="I67" s="112">
        <v>7.17</v>
      </c>
      <c r="J67" s="112">
        <v>0.59</v>
      </c>
      <c r="K67" s="112">
        <v>38.119999999999997</v>
      </c>
      <c r="L67" s="112">
        <v>26.04</v>
      </c>
      <c r="M67" s="112">
        <v>41.37</v>
      </c>
      <c r="N67" s="112">
        <v>103.9</v>
      </c>
      <c r="O67" s="112">
        <v>0</v>
      </c>
      <c r="P67" s="112">
        <v>0.74</v>
      </c>
      <c r="Q67" s="112">
        <v>4.9400000000000004</v>
      </c>
    </row>
    <row r="68" spans="1:17" customFormat="1">
      <c r="A68" s="80">
        <v>45273.625</v>
      </c>
      <c r="B68" s="112">
        <v>6.54</v>
      </c>
      <c r="C68" s="112">
        <v>20.100000000000001</v>
      </c>
      <c r="D68" s="112">
        <v>17.100000000000001</v>
      </c>
      <c r="E68" s="112">
        <v>6.57</v>
      </c>
      <c r="F68" s="112">
        <v>3.56</v>
      </c>
      <c r="G68" s="112">
        <v>86.98</v>
      </c>
      <c r="H68" s="112">
        <v>34.119999999999997</v>
      </c>
      <c r="I68" s="112">
        <v>7.08</v>
      </c>
      <c r="J68" s="112">
        <v>0.33</v>
      </c>
      <c r="K68" s="112">
        <v>46.01</v>
      </c>
      <c r="L68" s="112">
        <v>26.12</v>
      </c>
      <c r="M68" s="112">
        <v>41.06</v>
      </c>
      <c r="N68" s="112">
        <v>99.5</v>
      </c>
      <c r="O68" s="112">
        <v>0</v>
      </c>
      <c r="P68" s="112">
        <v>0.73</v>
      </c>
      <c r="Q68" s="112">
        <v>4.92</v>
      </c>
    </row>
    <row r="69" spans="1:17" customFormat="1">
      <c r="A69" s="80">
        <v>45273.635416666664</v>
      </c>
      <c r="B69" s="112">
        <v>6.7</v>
      </c>
      <c r="C69" s="112">
        <v>21.17</v>
      </c>
      <c r="D69" s="112">
        <v>17.78</v>
      </c>
      <c r="E69" s="112">
        <v>6.78</v>
      </c>
      <c r="F69" s="112">
        <v>3.37</v>
      </c>
      <c r="G69" s="112">
        <v>83.96</v>
      </c>
      <c r="H69" s="112">
        <v>32.39</v>
      </c>
      <c r="I69" s="112">
        <v>7.01</v>
      </c>
      <c r="J69" s="112">
        <v>0.28999999999999998</v>
      </c>
      <c r="K69" s="112">
        <v>350.99</v>
      </c>
      <c r="L69" s="112">
        <v>26.08</v>
      </c>
      <c r="M69" s="112">
        <v>41.38</v>
      </c>
      <c r="N69" s="112">
        <v>85.8</v>
      </c>
      <c r="O69" s="112">
        <v>0</v>
      </c>
      <c r="P69" s="112">
        <v>0.74</v>
      </c>
      <c r="Q69" s="112">
        <v>4.9400000000000004</v>
      </c>
    </row>
    <row r="70" spans="1:17" customFormat="1">
      <c r="A70" s="80">
        <v>45273.645833333336</v>
      </c>
      <c r="B70" s="112">
        <v>6.84</v>
      </c>
      <c r="C70" s="112">
        <v>20.56</v>
      </c>
      <c r="D70" s="112">
        <v>17.579999999999998</v>
      </c>
      <c r="E70" s="112">
        <v>7.03</v>
      </c>
      <c r="F70" s="112">
        <v>3.38</v>
      </c>
      <c r="G70" s="112">
        <v>83.96</v>
      </c>
      <c r="H70" s="112">
        <v>32.39</v>
      </c>
      <c r="I70" s="112">
        <v>6.96</v>
      </c>
      <c r="J70" s="112">
        <v>0.28000000000000003</v>
      </c>
      <c r="K70" s="112">
        <v>354.62</v>
      </c>
      <c r="L70" s="112">
        <v>25.95</v>
      </c>
      <c r="M70" s="112">
        <v>41.87</v>
      </c>
      <c r="N70" s="112">
        <v>85.5</v>
      </c>
      <c r="O70" s="112">
        <v>0</v>
      </c>
      <c r="P70" s="112">
        <v>0.73</v>
      </c>
      <c r="Q70" s="112">
        <v>4.93</v>
      </c>
    </row>
    <row r="71" spans="1:17" customFormat="1">
      <c r="A71" s="80">
        <v>45273.65625</v>
      </c>
      <c r="B71" s="112">
        <v>6.82</v>
      </c>
      <c r="C71" s="112">
        <v>20.49</v>
      </c>
      <c r="D71" s="112">
        <v>17.53</v>
      </c>
      <c r="E71" s="112">
        <v>6.74</v>
      </c>
      <c r="F71" s="112">
        <v>3.24</v>
      </c>
      <c r="G71" s="112">
        <v>83.96</v>
      </c>
      <c r="H71" s="112">
        <v>32.39</v>
      </c>
      <c r="I71" s="112">
        <v>6.94</v>
      </c>
      <c r="J71" s="112">
        <v>0.25</v>
      </c>
      <c r="K71" s="112">
        <v>9.68</v>
      </c>
      <c r="L71" s="112">
        <v>25.96</v>
      </c>
      <c r="M71" s="112">
        <v>42.06</v>
      </c>
      <c r="N71" s="112">
        <v>74.8</v>
      </c>
      <c r="O71" s="112">
        <v>0</v>
      </c>
      <c r="P71" s="112">
        <v>0.73</v>
      </c>
      <c r="Q71" s="112">
        <v>4.95</v>
      </c>
    </row>
    <row r="72" spans="1:17" customFormat="1">
      <c r="A72" s="80">
        <v>45273.666666666664</v>
      </c>
      <c r="B72" s="112">
        <v>6.88</v>
      </c>
      <c r="C72" s="112">
        <v>21.03</v>
      </c>
      <c r="D72" s="112">
        <v>17.86</v>
      </c>
      <c r="E72" s="112">
        <v>6.35</v>
      </c>
      <c r="F72" s="112">
        <v>3.17</v>
      </c>
      <c r="G72" s="112">
        <v>85.44</v>
      </c>
      <c r="H72" s="112">
        <v>33.659999999999997</v>
      </c>
      <c r="I72" s="112">
        <v>6.89</v>
      </c>
      <c r="J72" s="112">
        <v>0.35</v>
      </c>
      <c r="K72" s="112">
        <v>28.75</v>
      </c>
      <c r="L72" s="112">
        <v>25.54</v>
      </c>
      <c r="M72" s="112">
        <v>43.57</v>
      </c>
      <c r="N72" s="112">
        <v>40.200000000000003</v>
      </c>
      <c r="O72" s="112">
        <v>0</v>
      </c>
      <c r="P72" s="112">
        <v>0.74</v>
      </c>
      <c r="Q72" s="112">
        <v>4.96</v>
      </c>
    </row>
    <row r="73" spans="1:17" customFormat="1">
      <c r="A73" s="80">
        <v>45273.677083333336</v>
      </c>
      <c r="B73" s="112">
        <v>6.95</v>
      </c>
      <c r="C73" s="112">
        <v>21.33</v>
      </c>
      <c r="D73" s="112">
        <v>18.07</v>
      </c>
      <c r="E73" s="112">
        <v>6.54</v>
      </c>
      <c r="F73" s="112">
        <v>3.17</v>
      </c>
      <c r="G73" s="112">
        <v>86.99</v>
      </c>
      <c r="H73" s="112">
        <v>34.33</v>
      </c>
      <c r="I73" s="112">
        <v>6.84</v>
      </c>
      <c r="J73" s="112">
        <v>0.36</v>
      </c>
      <c r="K73" s="112">
        <v>36.869999999999997</v>
      </c>
      <c r="L73" s="112">
        <v>25.06</v>
      </c>
      <c r="M73" s="112">
        <v>46.14</v>
      </c>
      <c r="N73" s="112">
        <v>36.9</v>
      </c>
      <c r="O73" s="112">
        <v>0</v>
      </c>
      <c r="P73" s="112">
        <v>0.73</v>
      </c>
      <c r="Q73" s="112">
        <v>4.9800000000000004</v>
      </c>
    </row>
    <row r="74" spans="1:17" customFormat="1">
      <c r="A74" s="80">
        <v>45273.6875</v>
      </c>
      <c r="B74" s="112">
        <v>7.19</v>
      </c>
      <c r="C74" s="112">
        <v>21.04</v>
      </c>
      <c r="D74" s="112">
        <v>18.11</v>
      </c>
      <c r="E74" s="112">
        <v>6.19</v>
      </c>
      <c r="F74" s="112">
        <v>3.1</v>
      </c>
      <c r="G74" s="112">
        <v>86.99</v>
      </c>
      <c r="H74" s="112">
        <v>34.33</v>
      </c>
      <c r="I74" s="112">
        <v>6.8</v>
      </c>
      <c r="J74" s="112">
        <v>0.36</v>
      </c>
      <c r="K74" s="112">
        <v>46.05</v>
      </c>
      <c r="L74" s="112">
        <v>24.73</v>
      </c>
      <c r="M74" s="112">
        <v>47.63</v>
      </c>
      <c r="N74" s="112">
        <v>24.5</v>
      </c>
      <c r="O74" s="112">
        <v>0</v>
      </c>
      <c r="P74" s="112">
        <v>0.74</v>
      </c>
      <c r="Q74" s="112">
        <v>4.99</v>
      </c>
    </row>
    <row r="75" spans="1:17" customFormat="1">
      <c r="A75" s="80">
        <v>45273.697916666664</v>
      </c>
      <c r="B75" s="112">
        <v>7.41</v>
      </c>
      <c r="C75" s="112">
        <v>20.170000000000002</v>
      </c>
      <c r="D75" s="112">
        <v>17.84</v>
      </c>
      <c r="E75" s="112">
        <v>6.31</v>
      </c>
      <c r="F75" s="112">
        <v>3.1</v>
      </c>
      <c r="G75" s="112">
        <v>86.99</v>
      </c>
      <c r="H75" s="112">
        <v>34.33</v>
      </c>
      <c r="I75" s="112">
        <v>6.79</v>
      </c>
      <c r="J75" s="112">
        <v>0.2</v>
      </c>
      <c r="K75" s="112">
        <v>64.22</v>
      </c>
      <c r="L75" s="112">
        <v>24.34</v>
      </c>
      <c r="M75" s="112">
        <v>49.97</v>
      </c>
      <c r="N75" s="112">
        <v>17</v>
      </c>
      <c r="O75" s="112">
        <v>0</v>
      </c>
      <c r="P75" s="112">
        <v>0.75</v>
      </c>
      <c r="Q75" s="112">
        <v>4.9800000000000004</v>
      </c>
    </row>
    <row r="76" spans="1:17" customFormat="1">
      <c r="A76" s="80">
        <v>45273.708333333336</v>
      </c>
      <c r="B76" s="112">
        <v>7.47</v>
      </c>
      <c r="C76" s="112">
        <v>20.69</v>
      </c>
      <c r="D76" s="112">
        <v>18.149999999999999</v>
      </c>
      <c r="E76" s="112">
        <v>6.12</v>
      </c>
      <c r="F76" s="112">
        <v>2.88</v>
      </c>
      <c r="G76" s="112">
        <v>94.76</v>
      </c>
      <c r="H76" s="112">
        <v>36.75</v>
      </c>
      <c r="I76" s="112">
        <v>6.83</v>
      </c>
      <c r="J76" s="112">
        <v>0.17</v>
      </c>
      <c r="K76" s="112">
        <v>68.180000000000007</v>
      </c>
      <c r="L76" s="112">
        <v>23.9</v>
      </c>
      <c r="M76" s="112">
        <v>51.39</v>
      </c>
      <c r="N76" s="112">
        <v>3.8</v>
      </c>
      <c r="O76" s="112">
        <v>0</v>
      </c>
      <c r="P76" s="112">
        <v>0.76</v>
      </c>
      <c r="Q76" s="112">
        <v>4.97</v>
      </c>
    </row>
    <row r="77" spans="1:17" customFormat="1">
      <c r="A77" s="80">
        <v>45273.71875</v>
      </c>
      <c r="B77" s="112">
        <v>7.77</v>
      </c>
      <c r="C77" s="112">
        <v>21.46</v>
      </c>
      <c r="D77" s="112">
        <v>18.79</v>
      </c>
      <c r="E77" s="112">
        <v>6.54</v>
      </c>
      <c r="F77" s="112">
        <v>2.67</v>
      </c>
      <c r="G77" s="112">
        <v>102.88</v>
      </c>
      <c r="H77" s="112">
        <v>38.01</v>
      </c>
      <c r="I77" s="112">
        <v>6.9</v>
      </c>
      <c r="J77" s="112">
        <v>0.22</v>
      </c>
      <c r="K77" s="112">
        <v>165.95</v>
      </c>
      <c r="L77" s="112">
        <v>22.98</v>
      </c>
      <c r="M77" s="112">
        <v>58.47</v>
      </c>
      <c r="N77" s="112">
        <v>0</v>
      </c>
      <c r="O77" s="112">
        <v>0</v>
      </c>
      <c r="P77" s="112">
        <v>0.76</v>
      </c>
      <c r="Q77" s="112">
        <v>5</v>
      </c>
    </row>
    <row r="78" spans="1:17" customFormat="1">
      <c r="A78" s="80">
        <v>45273.729166666664</v>
      </c>
      <c r="B78" s="112">
        <v>7.84</v>
      </c>
      <c r="C78" s="112">
        <v>22.48</v>
      </c>
      <c r="D78" s="112">
        <v>19.38</v>
      </c>
      <c r="E78" s="112">
        <v>6.53</v>
      </c>
      <c r="F78" s="112">
        <v>2.79</v>
      </c>
      <c r="G78" s="112">
        <v>102.88</v>
      </c>
      <c r="H78" s="112">
        <v>38.01</v>
      </c>
      <c r="I78" s="112">
        <v>6.95</v>
      </c>
      <c r="J78" s="112">
        <v>0.23</v>
      </c>
      <c r="K78" s="112">
        <v>163.92</v>
      </c>
      <c r="L78" s="112">
        <v>22.02</v>
      </c>
      <c r="M78" s="112">
        <v>63.03</v>
      </c>
      <c r="N78" s="112">
        <v>0</v>
      </c>
      <c r="O78" s="112">
        <v>0</v>
      </c>
      <c r="P78" s="112">
        <v>0.77</v>
      </c>
      <c r="Q78" s="112">
        <v>5</v>
      </c>
    </row>
    <row r="79" spans="1:17" customFormat="1">
      <c r="A79" s="80">
        <v>45273.739583333336</v>
      </c>
      <c r="B79" s="112">
        <v>7.87</v>
      </c>
      <c r="C79" s="112">
        <v>22.27</v>
      </c>
      <c r="D79" s="112">
        <v>19.3</v>
      </c>
      <c r="E79" s="112">
        <v>6.45</v>
      </c>
      <c r="F79" s="112">
        <v>2.79</v>
      </c>
      <c r="G79" s="112">
        <v>102.88</v>
      </c>
      <c r="H79" s="112">
        <v>38.01</v>
      </c>
      <c r="I79" s="112">
        <v>6.99</v>
      </c>
      <c r="J79" s="112">
        <v>0.21</v>
      </c>
      <c r="K79" s="112">
        <v>151.22</v>
      </c>
      <c r="L79" s="112">
        <v>21.48</v>
      </c>
      <c r="M79" s="112">
        <v>65.31</v>
      </c>
      <c r="N79" s="112">
        <v>0</v>
      </c>
      <c r="O79" s="112">
        <v>0</v>
      </c>
      <c r="P79" s="112">
        <v>0.78</v>
      </c>
      <c r="Q79" s="112">
        <v>5.03</v>
      </c>
    </row>
    <row r="80" spans="1:17" customFormat="1">
      <c r="A80" s="80">
        <v>45273.75</v>
      </c>
      <c r="B80" s="112">
        <v>8.0299999999999994</v>
      </c>
      <c r="C80" s="112">
        <v>23.37</v>
      </c>
      <c r="D80" s="112">
        <v>20</v>
      </c>
      <c r="E80" s="112">
        <v>6.75</v>
      </c>
      <c r="F80" s="112">
        <v>2.54</v>
      </c>
      <c r="G80" s="112">
        <v>104.4</v>
      </c>
      <c r="H80" s="112">
        <v>37.04</v>
      </c>
      <c r="I80" s="112">
        <v>6.98</v>
      </c>
      <c r="J80" s="112">
        <v>0.23</v>
      </c>
      <c r="K80" s="112">
        <v>170.83</v>
      </c>
      <c r="L80" s="112">
        <v>21.17</v>
      </c>
      <c r="M80" s="112">
        <v>66.010000000000005</v>
      </c>
      <c r="N80" s="112">
        <v>0</v>
      </c>
      <c r="O80" s="112">
        <v>0</v>
      </c>
      <c r="P80" s="112">
        <v>0.79</v>
      </c>
      <c r="Q80" s="112">
        <v>5.04</v>
      </c>
    </row>
    <row r="81" spans="1:17" customFormat="1">
      <c r="A81" s="80">
        <v>45273.760416666664</v>
      </c>
      <c r="B81" s="112">
        <v>8.23</v>
      </c>
      <c r="C81" s="112">
        <v>24.7</v>
      </c>
      <c r="D81" s="112">
        <v>20.85</v>
      </c>
      <c r="E81" s="112">
        <v>7.04</v>
      </c>
      <c r="F81" s="112">
        <v>2.63</v>
      </c>
      <c r="G81" s="112">
        <v>105.99</v>
      </c>
      <c r="H81" s="112">
        <v>36.53</v>
      </c>
      <c r="I81" s="112">
        <v>7</v>
      </c>
      <c r="J81" s="112">
        <v>0.19</v>
      </c>
      <c r="K81" s="112">
        <v>168.05</v>
      </c>
      <c r="L81" s="112">
        <v>20.82</v>
      </c>
      <c r="M81" s="112">
        <v>71.05</v>
      </c>
      <c r="N81" s="112">
        <v>0</v>
      </c>
      <c r="O81" s="112">
        <v>0</v>
      </c>
      <c r="P81" s="112">
        <v>0.81</v>
      </c>
      <c r="Q81" s="112">
        <v>5.0599999999999996</v>
      </c>
    </row>
    <row r="82" spans="1:17" customFormat="1">
      <c r="A82" s="80">
        <v>45273.770833333336</v>
      </c>
      <c r="B82" s="112">
        <v>8.3000000000000007</v>
      </c>
      <c r="C82" s="112">
        <v>25.59</v>
      </c>
      <c r="D82" s="112">
        <v>21.38</v>
      </c>
      <c r="E82" s="112">
        <v>8.5500000000000007</v>
      </c>
      <c r="F82" s="112">
        <v>2.74</v>
      </c>
      <c r="G82" s="112">
        <v>105.99</v>
      </c>
      <c r="H82" s="112">
        <v>36.53</v>
      </c>
      <c r="I82" s="112">
        <v>7.11</v>
      </c>
      <c r="J82" s="112">
        <v>0.19</v>
      </c>
      <c r="K82" s="112">
        <v>186.66</v>
      </c>
      <c r="L82" s="112">
        <v>20.36</v>
      </c>
      <c r="M82" s="112">
        <v>77.44</v>
      </c>
      <c r="N82" s="112">
        <v>0</v>
      </c>
      <c r="O82" s="112">
        <v>0</v>
      </c>
      <c r="P82" s="112">
        <v>0.85</v>
      </c>
      <c r="Q82" s="112">
        <v>5.07</v>
      </c>
    </row>
    <row r="83" spans="1:17" customFormat="1">
      <c r="A83" s="80">
        <v>45273.78125</v>
      </c>
      <c r="B83" s="112">
        <v>8.3000000000000007</v>
      </c>
      <c r="C83" s="112">
        <v>26.29</v>
      </c>
      <c r="D83" s="112">
        <v>21.75</v>
      </c>
      <c r="E83" s="112">
        <v>8.99</v>
      </c>
      <c r="F83" s="112">
        <v>2.7</v>
      </c>
      <c r="G83" s="112">
        <v>105.99</v>
      </c>
      <c r="H83" s="112">
        <v>36.53</v>
      </c>
      <c r="I83" s="112">
        <v>7.28</v>
      </c>
      <c r="J83" s="112">
        <v>0.15</v>
      </c>
      <c r="K83" s="112">
        <v>187.3</v>
      </c>
      <c r="L83" s="112">
        <v>19.86</v>
      </c>
      <c r="M83" s="112">
        <v>78.849999999999994</v>
      </c>
      <c r="N83" s="112">
        <v>0</v>
      </c>
      <c r="O83" s="112">
        <v>0</v>
      </c>
      <c r="P83" s="112">
        <v>0.89</v>
      </c>
      <c r="Q83" s="112">
        <v>5.0599999999999996</v>
      </c>
    </row>
    <row r="84" spans="1:17" customFormat="1">
      <c r="A84" s="80">
        <v>45273.791666666664</v>
      </c>
      <c r="B84" s="112">
        <v>8.24</v>
      </c>
      <c r="C84" s="112">
        <v>26.91</v>
      </c>
      <c r="D84" s="112">
        <v>22.02</v>
      </c>
      <c r="E84" s="112">
        <v>9.1199999999999992</v>
      </c>
      <c r="F84" s="112">
        <v>2.71</v>
      </c>
      <c r="G84" s="112">
        <v>108.57</v>
      </c>
      <c r="H84" s="112">
        <v>41.25</v>
      </c>
      <c r="I84" s="112">
        <v>7.46</v>
      </c>
      <c r="J84" s="112">
        <v>0.15</v>
      </c>
      <c r="K84" s="112">
        <v>200.59</v>
      </c>
      <c r="L84" s="112">
        <v>19.559999999999999</v>
      </c>
      <c r="M84" s="112">
        <v>77.989999999999995</v>
      </c>
      <c r="N84" s="112">
        <v>0</v>
      </c>
      <c r="O84" s="112">
        <v>0</v>
      </c>
      <c r="P84" s="112">
        <v>0.9</v>
      </c>
      <c r="Q84" s="112">
        <v>5.08</v>
      </c>
    </row>
    <row r="85" spans="1:17" customFormat="1">
      <c r="A85" s="80">
        <v>45273.802083333336</v>
      </c>
      <c r="B85" s="112">
        <v>8.31</v>
      </c>
      <c r="C85" s="112">
        <v>26.76</v>
      </c>
      <c r="D85" s="112">
        <v>22</v>
      </c>
      <c r="E85" s="112">
        <v>9.35</v>
      </c>
      <c r="F85" s="112">
        <v>2.76</v>
      </c>
      <c r="G85" s="112">
        <v>111.27</v>
      </c>
      <c r="H85" s="112">
        <v>43.61</v>
      </c>
      <c r="I85" s="112">
        <v>7.62</v>
      </c>
      <c r="J85" s="112">
        <v>0.14000000000000001</v>
      </c>
      <c r="K85" s="112">
        <v>220.68</v>
      </c>
      <c r="L85" s="112">
        <v>19.46</v>
      </c>
      <c r="M85" s="112">
        <v>79.27</v>
      </c>
      <c r="N85" s="112">
        <v>0</v>
      </c>
      <c r="O85" s="112">
        <v>0</v>
      </c>
      <c r="P85" s="112">
        <v>0.91</v>
      </c>
      <c r="Q85" s="112">
        <v>5.09</v>
      </c>
    </row>
    <row r="86" spans="1:17" customFormat="1">
      <c r="A86" s="80">
        <v>45273.8125</v>
      </c>
      <c r="B86" s="112">
        <v>8.15</v>
      </c>
      <c r="C86" s="112">
        <v>26.8</v>
      </c>
      <c r="D86" s="112">
        <v>21.89</v>
      </c>
      <c r="E86" s="112">
        <v>9.07</v>
      </c>
      <c r="F86" s="112">
        <v>2.8</v>
      </c>
      <c r="G86" s="112">
        <v>111.27</v>
      </c>
      <c r="H86" s="112">
        <v>43.61</v>
      </c>
      <c r="I86" s="112">
        <v>7.77</v>
      </c>
      <c r="J86" s="112">
        <v>0.14000000000000001</v>
      </c>
      <c r="K86" s="112">
        <v>194.38</v>
      </c>
      <c r="L86" s="112">
        <v>19.36</v>
      </c>
      <c r="M86" s="112">
        <v>76.06</v>
      </c>
      <c r="N86" s="112">
        <v>0</v>
      </c>
      <c r="O86" s="112">
        <v>0</v>
      </c>
      <c r="P86" s="112">
        <v>0.92</v>
      </c>
      <c r="Q86" s="112">
        <v>5.09</v>
      </c>
    </row>
    <row r="87" spans="1:17" customFormat="1">
      <c r="A87" s="80">
        <v>45273.822916666664</v>
      </c>
      <c r="B87" s="112">
        <v>8.1199999999999992</v>
      </c>
      <c r="C87" s="112">
        <v>26.65</v>
      </c>
      <c r="D87" s="112">
        <v>21.79</v>
      </c>
      <c r="E87" s="112">
        <v>9.14</v>
      </c>
      <c r="F87" s="112">
        <v>2.78</v>
      </c>
      <c r="G87" s="112">
        <v>111.27</v>
      </c>
      <c r="H87" s="112">
        <v>43.61</v>
      </c>
      <c r="I87" s="112">
        <v>7.88</v>
      </c>
      <c r="J87" s="112">
        <v>0.11</v>
      </c>
      <c r="K87" s="112">
        <v>178.33</v>
      </c>
      <c r="L87" s="112">
        <v>19.100000000000001</v>
      </c>
      <c r="M87" s="112">
        <v>77.510000000000005</v>
      </c>
      <c r="N87" s="112">
        <v>0</v>
      </c>
      <c r="O87" s="112">
        <v>0</v>
      </c>
      <c r="P87" s="112">
        <v>0.92</v>
      </c>
      <c r="Q87" s="112">
        <v>5.09</v>
      </c>
    </row>
    <row r="88" spans="1:17" customFormat="1">
      <c r="A88" s="80">
        <v>45273.833333333336</v>
      </c>
      <c r="B88" s="112">
        <v>8.2100000000000009</v>
      </c>
      <c r="C88" s="112">
        <v>27.17</v>
      </c>
      <c r="D88" s="112">
        <v>22.13</v>
      </c>
      <c r="E88" s="112">
        <v>9.17</v>
      </c>
      <c r="F88" s="112">
        <v>2.71</v>
      </c>
      <c r="G88" s="112">
        <v>110.24</v>
      </c>
      <c r="H88" s="112">
        <v>43.42</v>
      </c>
      <c r="I88" s="112">
        <v>7.95</v>
      </c>
      <c r="J88" s="112">
        <v>0.21</v>
      </c>
      <c r="K88" s="112">
        <v>195.16</v>
      </c>
      <c r="L88" s="112">
        <v>18.98</v>
      </c>
      <c r="M88" s="112">
        <v>80.819999999999993</v>
      </c>
      <c r="N88" s="112">
        <v>0</v>
      </c>
      <c r="O88" s="112">
        <v>0</v>
      </c>
      <c r="P88" s="112">
        <v>0.93</v>
      </c>
      <c r="Q88" s="112">
        <v>5.0999999999999996</v>
      </c>
    </row>
    <row r="89" spans="1:17" customFormat="1">
      <c r="A89" s="80">
        <v>45273.84375</v>
      </c>
      <c r="B89" s="112">
        <v>8.31</v>
      </c>
      <c r="C89" s="112">
        <v>27.26</v>
      </c>
      <c r="D89" s="112">
        <v>22.26</v>
      </c>
      <c r="E89" s="112">
        <v>9.5399999999999991</v>
      </c>
      <c r="F89" s="112">
        <v>2.68</v>
      </c>
      <c r="G89" s="112">
        <v>109.18</v>
      </c>
      <c r="H89" s="112">
        <v>43.25</v>
      </c>
      <c r="I89" s="112">
        <v>8.02</v>
      </c>
      <c r="J89" s="112">
        <v>0.18</v>
      </c>
      <c r="K89" s="112">
        <v>212.72</v>
      </c>
      <c r="L89" s="112">
        <v>18.600000000000001</v>
      </c>
      <c r="M89" s="112">
        <v>85.31</v>
      </c>
      <c r="N89" s="112">
        <v>0</v>
      </c>
      <c r="O89" s="112">
        <v>0</v>
      </c>
      <c r="P89" s="112">
        <v>0.92</v>
      </c>
      <c r="Q89" s="112">
        <v>5.09</v>
      </c>
    </row>
    <row r="90" spans="1:17" customFormat="1">
      <c r="A90" s="80">
        <v>45273.854166666664</v>
      </c>
      <c r="B90" s="112">
        <v>8.39</v>
      </c>
      <c r="C90" s="112">
        <v>26.97</v>
      </c>
      <c r="D90" s="112">
        <v>22.17</v>
      </c>
      <c r="E90" s="112">
        <v>9.23</v>
      </c>
      <c r="F90" s="112">
        <v>2.76</v>
      </c>
      <c r="G90" s="112">
        <v>109.18</v>
      </c>
      <c r="H90" s="112">
        <v>43.25</v>
      </c>
      <c r="I90" s="112">
        <v>8.06</v>
      </c>
      <c r="J90" s="112">
        <v>0.14000000000000001</v>
      </c>
      <c r="K90" s="112">
        <v>246.12</v>
      </c>
      <c r="L90" s="112">
        <v>18.29</v>
      </c>
      <c r="M90" s="112">
        <v>84.15</v>
      </c>
      <c r="N90" s="112">
        <v>0</v>
      </c>
      <c r="O90" s="112">
        <v>0</v>
      </c>
      <c r="P90" s="112">
        <v>0.93</v>
      </c>
      <c r="Q90" s="112">
        <v>5.1100000000000003</v>
      </c>
    </row>
    <row r="91" spans="1:17" customFormat="1">
      <c r="A91" s="80">
        <v>45273.864583333336</v>
      </c>
      <c r="B91" s="112">
        <v>8.3000000000000007</v>
      </c>
      <c r="C91" s="112">
        <v>26.67</v>
      </c>
      <c r="D91" s="112">
        <v>21.94</v>
      </c>
      <c r="E91" s="112">
        <v>9.18</v>
      </c>
      <c r="F91" s="112">
        <v>2.87</v>
      </c>
      <c r="G91" s="112">
        <v>109.18</v>
      </c>
      <c r="H91" s="112">
        <v>43.25</v>
      </c>
      <c r="I91" s="112">
        <v>8.14</v>
      </c>
      <c r="J91" s="112">
        <v>0.11</v>
      </c>
      <c r="K91" s="112">
        <v>162.01</v>
      </c>
      <c r="L91" s="112">
        <v>18.2</v>
      </c>
      <c r="M91" s="112">
        <v>84.51</v>
      </c>
      <c r="N91" s="112">
        <v>0</v>
      </c>
      <c r="O91" s="112">
        <v>0</v>
      </c>
      <c r="P91" s="112">
        <v>0.93</v>
      </c>
      <c r="Q91" s="112">
        <v>5.1100000000000003</v>
      </c>
    </row>
    <row r="92" spans="1:17" customFormat="1">
      <c r="A92" s="80">
        <v>45273.875</v>
      </c>
      <c r="B92" s="112">
        <v>8.32</v>
      </c>
      <c r="C92" s="112">
        <v>26.31</v>
      </c>
      <c r="D92" s="112">
        <v>21.77</v>
      </c>
      <c r="E92" s="112">
        <v>9.36</v>
      </c>
      <c r="F92" s="112">
        <v>2.68</v>
      </c>
      <c r="G92" s="112">
        <v>106.15</v>
      </c>
      <c r="H92" s="112">
        <v>42.84</v>
      </c>
      <c r="I92" s="112">
        <v>8.24</v>
      </c>
      <c r="J92" s="112">
        <v>0.13</v>
      </c>
      <c r="K92" s="112">
        <v>221.45</v>
      </c>
      <c r="L92" s="112">
        <v>18.12</v>
      </c>
      <c r="M92" s="112">
        <v>83.92</v>
      </c>
      <c r="N92" s="112">
        <v>0</v>
      </c>
      <c r="O92" s="112">
        <v>0</v>
      </c>
      <c r="P92" s="112">
        <v>0.93</v>
      </c>
      <c r="Q92" s="112">
        <v>5.0999999999999996</v>
      </c>
    </row>
    <row r="93" spans="1:17" customFormat="1">
      <c r="A93" s="80">
        <v>45273.885416666664</v>
      </c>
      <c r="B93" s="112">
        <v>8.3800000000000008</v>
      </c>
      <c r="C93" s="112">
        <v>26.06</v>
      </c>
      <c r="D93" s="112">
        <v>21.69</v>
      </c>
      <c r="E93" s="112">
        <v>9.6199999999999992</v>
      </c>
      <c r="F93" s="112">
        <v>2.66</v>
      </c>
      <c r="G93" s="112">
        <v>102.99</v>
      </c>
      <c r="H93" s="112">
        <v>42.62</v>
      </c>
      <c r="I93" s="112">
        <v>8.3000000000000007</v>
      </c>
      <c r="J93" s="112">
        <v>0.12</v>
      </c>
      <c r="K93" s="112">
        <v>228.91</v>
      </c>
      <c r="L93" s="112">
        <v>18.04</v>
      </c>
      <c r="M93" s="112">
        <v>85.62</v>
      </c>
      <c r="N93" s="112">
        <v>0</v>
      </c>
      <c r="O93" s="112">
        <v>0</v>
      </c>
      <c r="P93" s="112">
        <v>0.93</v>
      </c>
      <c r="Q93" s="112">
        <v>5.09</v>
      </c>
    </row>
    <row r="94" spans="1:17" customFormat="1">
      <c r="A94" s="80">
        <v>45273.895833333336</v>
      </c>
      <c r="B94" s="112">
        <v>8.32</v>
      </c>
      <c r="C94" s="112">
        <v>25.93</v>
      </c>
      <c r="D94" s="112">
        <v>21.57</v>
      </c>
      <c r="E94" s="112">
        <v>9.09</v>
      </c>
      <c r="F94" s="112">
        <v>2.74</v>
      </c>
      <c r="G94" s="112">
        <v>102.99</v>
      </c>
      <c r="H94" s="112">
        <v>42.62</v>
      </c>
      <c r="I94" s="112">
        <v>8.35</v>
      </c>
      <c r="J94" s="112">
        <v>0.11</v>
      </c>
      <c r="K94" s="112">
        <v>179.91</v>
      </c>
      <c r="L94" s="112">
        <v>17.88</v>
      </c>
      <c r="M94" s="112">
        <v>86.82</v>
      </c>
      <c r="N94" s="112">
        <v>0</v>
      </c>
      <c r="O94" s="112">
        <v>0</v>
      </c>
      <c r="P94" s="112">
        <v>0.94</v>
      </c>
      <c r="Q94" s="112">
        <v>5.09</v>
      </c>
    </row>
    <row r="95" spans="1:17" customFormat="1">
      <c r="A95" s="80">
        <v>45273.90625</v>
      </c>
      <c r="B95" s="112">
        <v>8.31</v>
      </c>
      <c r="C95" s="112">
        <v>25.99</v>
      </c>
      <c r="D95" s="112">
        <v>21.6</v>
      </c>
      <c r="E95" s="112">
        <v>9.36</v>
      </c>
      <c r="F95" s="112">
        <v>2.66</v>
      </c>
      <c r="G95" s="112">
        <v>102.99</v>
      </c>
      <c r="H95" s="112">
        <v>42.62</v>
      </c>
      <c r="I95" s="112">
        <v>8.39</v>
      </c>
      <c r="J95" s="112">
        <v>0.15</v>
      </c>
      <c r="K95" s="112">
        <v>228.7</v>
      </c>
      <c r="L95" s="112">
        <v>17.78</v>
      </c>
      <c r="M95" s="112">
        <v>86.8</v>
      </c>
      <c r="N95" s="112">
        <v>0</v>
      </c>
      <c r="O95" s="112">
        <v>0</v>
      </c>
      <c r="P95" s="112">
        <v>0.94</v>
      </c>
      <c r="Q95" s="112">
        <v>5.08</v>
      </c>
    </row>
    <row r="96" spans="1:17" customFormat="1">
      <c r="A96" s="80">
        <v>45273.916666666664</v>
      </c>
      <c r="B96" s="112">
        <v>8.49</v>
      </c>
      <c r="C96" s="112">
        <v>25.53</v>
      </c>
      <c r="D96" s="112">
        <v>21.5</v>
      </c>
      <c r="E96" s="112">
        <v>9.86</v>
      </c>
      <c r="F96" s="112">
        <v>2.48</v>
      </c>
      <c r="G96" s="112">
        <v>99.54</v>
      </c>
      <c r="H96" s="112">
        <v>43.24</v>
      </c>
      <c r="I96" s="112">
        <v>8.4</v>
      </c>
      <c r="J96" s="112">
        <v>0.15</v>
      </c>
      <c r="K96" s="112">
        <v>195.14</v>
      </c>
      <c r="L96" s="112">
        <v>17.670000000000002</v>
      </c>
      <c r="M96" s="112">
        <v>86.46</v>
      </c>
      <c r="N96" s="112">
        <v>0</v>
      </c>
      <c r="O96" s="112">
        <v>0</v>
      </c>
      <c r="P96" s="112">
        <v>0.93</v>
      </c>
      <c r="Q96" s="112">
        <v>5.08</v>
      </c>
    </row>
    <row r="97" spans="1:22" customFormat="1">
      <c r="A97" s="80">
        <v>45273.927083333336</v>
      </c>
      <c r="B97" s="112">
        <v>8.6199999999999992</v>
      </c>
      <c r="C97" s="112">
        <v>25.39</v>
      </c>
      <c r="D97" s="112">
        <v>21.53</v>
      </c>
      <c r="E97" s="112">
        <v>9.7899999999999991</v>
      </c>
      <c r="F97" s="112">
        <v>2.5299999999999998</v>
      </c>
      <c r="G97" s="112">
        <v>95.94</v>
      </c>
      <c r="H97" s="112">
        <v>43.54</v>
      </c>
      <c r="I97" s="112">
        <v>8.42</v>
      </c>
      <c r="J97" s="112">
        <v>0.06</v>
      </c>
      <c r="K97" s="112">
        <v>234.75</v>
      </c>
      <c r="L97" s="112">
        <v>17.63</v>
      </c>
      <c r="M97" s="112">
        <v>84.39</v>
      </c>
      <c r="N97" s="112">
        <v>0</v>
      </c>
      <c r="O97" s="112">
        <v>0</v>
      </c>
      <c r="P97" s="112">
        <v>0.92</v>
      </c>
      <c r="Q97" s="112">
        <v>5.0999999999999996</v>
      </c>
    </row>
    <row r="98" spans="1:22" customFormat="1">
      <c r="A98" s="80">
        <v>45273.9375</v>
      </c>
      <c r="B98" s="112">
        <v>9.69</v>
      </c>
      <c r="C98" s="112">
        <v>26.1</v>
      </c>
      <c r="D98" s="112">
        <v>22.76</v>
      </c>
      <c r="E98" s="112">
        <v>9.23</v>
      </c>
      <c r="F98" s="112">
        <v>2.6</v>
      </c>
      <c r="G98" s="112">
        <v>95.94</v>
      </c>
      <c r="H98" s="112">
        <v>43.54</v>
      </c>
      <c r="I98" s="112">
        <v>8.44</v>
      </c>
      <c r="J98" s="112">
        <v>0.06</v>
      </c>
      <c r="K98" s="112">
        <v>175.45</v>
      </c>
      <c r="L98" s="112">
        <v>17.91</v>
      </c>
      <c r="M98" s="112">
        <v>82.55</v>
      </c>
      <c r="N98" s="112">
        <v>0</v>
      </c>
      <c r="O98" s="112">
        <v>0</v>
      </c>
      <c r="P98" s="112">
        <v>0.93</v>
      </c>
      <c r="Q98" s="112">
        <v>5.0999999999999996</v>
      </c>
    </row>
    <row r="99" spans="1:22" customFormat="1">
      <c r="A99" s="80">
        <v>45273.947916666664</v>
      </c>
      <c r="B99" s="112">
        <v>12.24</v>
      </c>
      <c r="C99" s="112">
        <v>27.86</v>
      </c>
      <c r="D99" s="112">
        <v>25.72</v>
      </c>
      <c r="E99" s="112">
        <v>9.91</v>
      </c>
      <c r="F99" s="112">
        <v>2.64</v>
      </c>
      <c r="G99" s="112">
        <v>95.94</v>
      </c>
      <c r="H99" s="112">
        <v>43.54</v>
      </c>
      <c r="I99" s="112">
        <v>8.4</v>
      </c>
      <c r="J99" s="112">
        <v>0.06</v>
      </c>
      <c r="K99" s="112">
        <v>72.98</v>
      </c>
      <c r="L99" s="112">
        <v>17.940000000000001</v>
      </c>
      <c r="M99" s="112">
        <v>80.56</v>
      </c>
      <c r="N99" s="112">
        <v>0</v>
      </c>
      <c r="O99" s="112">
        <v>0</v>
      </c>
      <c r="P99" s="112">
        <v>0.94</v>
      </c>
      <c r="Q99" s="112">
        <v>5.18</v>
      </c>
    </row>
    <row r="100" spans="1:22" customFormat="1">
      <c r="A100" s="80">
        <v>45273.958333333336</v>
      </c>
      <c r="B100" s="112">
        <v>15.54</v>
      </c>
      <c r="C100" s="112">
        <v>29.35</v>
      </c>
      <c r="D100" s="112">
        <v>29.15</v>
      </c>
      <c r="E100" s="112">
        <v>9.81</v>
      </c>
      <c r="F100" s="112">
        <v>2.58</v>
      </c>
      <c r="G100" s="112">
        <v>102.06</v>
      </c>
      <c r="H100" s="112">
        <v>45.39</v>
      </c>
      <c r="I100" s="112">
        <v>8.4</v>
      </c>
      <c r="J100" s="112">
        <v>0.01</v>
      </c>
      <c r="K100" s="112">
        <v>-0.13</v>
      </c>
      <c r="L100" s="112">
        <v>17.84</v>
      </c>
      <c r="M100" s="112">
        <v>82.26</v>
      </c>
      <c r="N100" s="112">
        <v>0</v>
      </c>
      <c r="O100" s="112">
        <v>0</v>
      </c>
      <c r="P100" s="112">
        <v>0.96</v>
      </c>
      <c r="Q100" s="112">
        <v>5.29</v>
      </c>
    </row>
    <row r="101" spans="1:22" customFormat="1">
      <c r="A101" s="80">
        <v>45273.96875</v>
      </c>
      <c r="B101" s="112">
        <v>18.2</v>
      </c>
      <c r="C101" s="112">
        <v>30.99</v>
      </c>
      <c r="D101" s="112">
        <v>31.99</v>
      </c>
      <c r="E101" s="112">
        <v>9.77</v>
      </c>
      <c r="F101" s="112">
        <v>2.6</v>
      </c>
      <c r="G101" s="112">
        <v>108.46</v>
      </c>
      <c r="H101" s="112">
        <v>46.36</v>
      </c>
      <c r="I101" s="112">
        <v>8.5</v>
      </c>
      <c r="J101" s="112">
        <v>0.06</v>
      </c>
      <c r="K101" s="112">
        <v>91.14</v>
      </c>
      <c r="L101" s="112">
        <v>17.5</v>
      </c>
      <c r="M101" s="112">
        <v>83.82</v>
      </c>
      <c r="N101" s="112">
        <v>0</v>
      </c>
      <c r="O101" s="112">
        <v>0</v>
      </c>
      <c r="P101" s="112">
        <v>0.96</v>
      </c>
      <c r="Q101" s="112">
        <v>5.36</v>
      </c>
    </row>
    <row r="102" spans="1:22" customFormat="1">
      <c r="A102" s="80">
        <v>45273.979166666664</v>
      </c>
      <c r="B102" s="112">
        <v>21.81</v>
      </c>
      <c r="C102" s="112">
        <v>30.51</v>
      </c>
      <c r="D102" s="112">
        <v>34.79</v>
      </c>
      <c r="E102" s="112">
        <v>9.9700000000000006</v>
      </c>
      <c r="F102" s="112">
        <v>2.92</v>
      </c>
      <c r="G102" s="112">
        <v>108.46</v>
      </c>
      <c r="H102" s="112">
        <v>46.36</v>
      </c>
      <c r="I102" s="112">
        <v>8.6</v>
      </c>
      <c r="J102" s="112">
        <v>0.04</v>
      </c>
      <c r="K102" s="112">
        <v>110.16</v>
      </c>
      <c r="L102" s="112">
        <v>17.399999999999999</v>
      </c>
      <c r="M102" s="112">
        <v>82.34</v>
      </c>
      <c r="N102" s="112">
        <v>0</v>
      </c>
      <c r="O102" s="112">
        <v>0</v>
      </c>
      <c r="P102" s="112">
        <v>0.97</v>
      </c>
      <c r="Q102" s="112">
        <v>5.44</v>
      </c>
    </row>
    <row r="103" spans="1:22" customFormat="1">
      <c r="A103" s="80">
        <v>45273.989583333336</v>
      </c>
      <c r="B103" s="112">
        <v>24.94</v>
      </c>
      <c r="C103" s="112">
        <v>28.77</v>
      </c>
      <c r="D103" s="112">
        <v>36.380000000000003</v>
      </c>
      <c r="E103" s="112">
        <v>9.42</v>
      </c>
      <c r="F103" s="112">
        <v>2.98</v>
      </c>
      <c r="G103" s="112">
        <v>108.46</v>
      </c>
      <c r="H103" s="112">
        <v>46.36</v>
      </c>
      <c r="I103" s="112">
        <v>8.73</v>
      </c>
      <c r="J103" s="112">
        <v>0.12</v>
      </c>
      <c r="K103" s="112">
        <v>67.180000000000007</v>
      </c>
      <c r="L103" s="112">
        <v>17.43</v>
      </c>
      <c r="M103" s="112">
        <v>80.709999999999994</v>
      </c>
      <c r="N103" s="112">
        <v>0</v>
      </c>
      <c r="O103" s="112">
        <v>0</v>
      </c>
      <c r="P103" s="112">
        <v>0.96</v>
      </c>
      <c r="Q103" s="112">
        <v>5.55</v>
      </c>
    </row>
    <row r="104" spans="1:22" customFormat="1">
      <c r="A104" s="80">
        <v>45274</v>
      </c>
      <c r="B104" s="112">
        <v>26.19</v>
      </c>
      <c r="C104" s="112">
        <v>29.5</v>
      </c>
      <c r="D104" s="112">
        <v>37.76</v>
      </c>
      <c r="E104" s="112">
        <v>9.48</v>
      </c>
      <c r="F104" s="112">
        <v>2.71</v>
      </c>
      <c r="G104" s="112">
        <v>116.37</v>
      </c>
      <c r="H104" s="112">
        <v>47.58</v>
      </c>
      <c r="I104" s="112">
        <v>8.7799999999999994</v>
      </c>
      <c r="J104" s="112">
        <v>0.1</v>
      </c>
      <c r="K104" s="112">
        <v>3.8</v>
      </c>
      <c r="L104" s="112">
        <v>17.309999999999999</v>
      </c>
      <c r="M104" s="112">
        <v>81.14</v>
      </c>
      <c r="N104" s="112">
        <v>0</v>
      </c>
      <c r="O104" s="112">
        <v>0</v>
      </c>
      <c r="P104" s="112">
        <v>0.96</v>
      </c>
      <c r="Q104" s="112">
        <v>5.56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5.93</v>
      </c>
      <c r="C106" s="183">
        <f>MIN(C9:C104)</f>
        <v>20.100000000000001</v>
      </c>
      <c r="D106" s="183">
        <f t="shared" ref="D106:Q106" si="0">MIN(D9:D104)</f>
        <v>17.100000000000001</v>
      </c>
      <c r="E106" s="183">
        <f t="shared" si="0"/>
        <v>6.12</v>
      </c>
      <c r="F106" s="183">
        <f t="shared" si="0"/>
        <v>2.4</v>
      </c>
      <c r="G106" s="183">
        <f t="shared" si="0"/>
        <v>49.99</v>
      </c>
      <c r="H106" s="183">
        <f t="shared" si="0"/>
        <v>30.42</v>
      </c>
      <c r="I106" s="183">
        <f t="shared" si="0"/>
        <v>6.79</v>
      </c>
      <c r="J106" s="183">
        <f t="shared" si="0"/>
        <v>0.01</v>
      </c>
      <c r="K106" s="183">
        <f t="shared" si="0"/>
        <v>-0.13</v>
      </c>
      <c r="L106" s="183">
        <f t="shared" si="0"/>
        <v>14.58</v>
      </c>
      <c r="M106" s="183">
        <f t="shared" si="0"/>
        <v>40.5</v>
      </c>
      <c r="N106" s="183">
        <f t="shared" si="0"/>
        <v>0</v>
      </c>
      <c r="O106" s="183">
        <f t="shared" si="0"/>
        <v>0</v>
      </c>
      <c r="P106" s="183">
        <f t="shared" si="0"/>
        <v>0.61</v>
      </c>
      <c r="Q106" s="183">
        <f t="shared" si="0"/>
        <v>4.92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29.55</v>
      </c>
      <c r="C107" s="184">
        <f t="shared" ref="C107:Q107" si="1">MAX(C9:C104)</f>
        <v>32</v>
      </c>
      <c r="D107" s="184">
        <f t="shared" si="1"/>
        <v>40.76</v>
      </c>
      <c r="E107" s="184">
        <f t="shared" si="1"/>
        <v>9.9700000000000006</v>
      </c>
      <c r="F107" s="184">
        <f t="shared" si="1"/>
        <v>4.21</v>
      </c>
      <c r="G107" s="184">
        <f t="shared" si="1"/>
        <v>124.08</v>
      </c>
      <c r="H107" s="184">
        <f t="shared" si="1"/>
        <v>48.87</v>
      </c>
      <c r="I107" s="184">
        <f t="shared" si="1"/>
        <v>14.84</v>
      </c>
      <c r="J107" s="184">
        <f t="shared" si="1"/>
        <v>0.59</v>
      </c>
      <c r="K107" s="184">
        <f t="shared" si="1"/>
        <v>354.62</v>
      </c>
      <c r="L107" s="184">
        <f t="shared" si="1"/>
        <v>27.07</v>
      </c>
      <c r="M107" s="184">
        <f t="shared" si="1"/>
        <v>95.35</v>
      </c>
      <c r="N107" s="184">
        <f t="shared" si="1"/>
        <v>527.5</v>
      </c>
      <c r="O107" s="184">
        <f t="shared" si="1"/>
        <v>0</v>
      </c>
      <c r="P107" s="184">
        <f t="shared" si="1"/>
        <v>0.97</v>
      </c>
      <c r="Q107" s="184">
        <f t="shared" si="1"/>
        <v>5.69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12.254479166666668</v>
      </c>
      <c r="C108" s="183">
        <f t="shared" ref="C108:Q108" si="2">AVERAGE(C9:C104)</f>
        <v>25.96895833333333</v>
      </c>
      <c r="D108" s="183">
        <f t="shared" si="2"/>
        <v>24.744791666666668</v>
      </c>
      <c r="E108" s="183">
        <f t="shared" si="2"/>
        <v>7.9934374999999962</v>
      </c>
      <c r="F108" s="183">
        <f t="shared" si="2"/>
        <v>2.9417708333333326</v>
      </c>
      <c r="G108" s="183">
        <f t="shared" si="2"/>
        <v>91.620104166666593</v>
      </c>
      <c r="H108" s="183">
        <f t="shared" si="2"/>
        <v>39.271874999999994</v>
      </c>
      <c r="I108" s="183">
        <f t="shared" si="2"/>
        <v>8.7320833333333354</v>
      </c>
      <c r="J108" s="183">
        <f t="shared" si="2"/>
        <v>0.19510416666666661</v>
      </c>
      <c r="K108" s="183">
        <f t="shared" si="2"/>
        <v>150.70843749999997</v>
      </c>
      <c r="L108" s="183">
        <f t="shared" si="2"/>
        <v>20.08989583333333</v>
      </c>
      <c r="M108" s="183">
        <f t="shared" si="2"/>
        <v>71.404895833333384</v>
      </c>
      <c r="N108" s="183">
        <f t="shared" si="2"/>
        <v>96.831250000000011</v>
      </c>
      <c r="O108" s="183">
        <f t="shared" si="2"/>
        <v>0</v>
      </c>
      <c r="P108" s="183">
        <f t="shared" si="2"/>
        <v>0.80489583333333348</v>
      </c>
      <c r="Q108" s="183">
        <f t="shared" si="2"/>
        <v>5.1794791666666677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6.8518572003726277</v>
      </c>
      <c r="C109" s="183">
        <f t="shared" ref="C109:Q109" si="3">STDEV(C9:C104)</f>
        <v>3.1834782299162985</v>
      </c>
      <c r="D109" s="183">
        <f t="shared" si="3"/>
        <v>6.6117905814523903</v>
      </c>
      <c r="E109" s="183">
        <f t="shared" si="3"/>
        <v>1.0352806160396373</v>
      </c>
      <c r="F109" s="183">
        <f t="shared" si="3"/>
        <v>0.45160298071756572</v>
      </c>
      <c r="G109" s="183">
        <f t="shared" si="3"/>
        <v>19.590968568775068</v>
      </c>
      <c r="H109" s="183">
        <f t="shared" si="3"/>
        <v>5.5154585270091703</v>
      </c>
      <c r="I109" s="183">
        <f t="shared" si="3"/>
        <v>1.6439624254040388</v>
      </c>
      <c r="J109" s="183">
        <f t="shared" si="3"/>
        <v>0.12061242662404385</v>
      </c>
      <c r="K109" s="183">
        <f t="shared" si="3"/>
        <v>92.168110381070036</v>
      </c>
      <c r="L109" s="183">
        <f t="shared" si="3"/>
        <v>4.1526766244110629</v>
      </c>
      <c r="M109" s="183">
        <f t="shared" si="3"/>
        <v>18.73619581647354</v>
      </c>
      <c r="N109" s="183">
        <f t="shared" si="3"/>
        <v>161.49744877404817</v>
      </c>
      <c r="O109" s="183">
        <f t="shared" si="3"/>
        <v>0</v>
      </c>
      <c r="P109" s="183">
        <f t="shared" si="3"/>
        <v>0.11040589983917554</v>
      </c>
      <c r="Q109" s="183">
        <f t="shared" si="3"/>
        <v>0.21167189004468739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45274.010416666664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45274.010416666664</v>
      </c>
      <c r="B9" s="112">
        <v>26.09</v>
      </c>
      <c r="C9" s="112">
        <v>30.85</v>
      </c>
      <c r="D9" s="112">
        <v>38.39</v>
      </c>
      <c r="E9" s="112">
        <v>9.42</v>
      </c>
      <c r="F9" s="112">
        <v>2.75</v>
      </c>
      <c r="G9" s="112">
        <v>124.63</v>
      </c>
      <c r="H9" s="112">
        <v>48.23</v>
      </c>
      <c r="I9" s="112">
        <v>8.76</v>
      </c>
      <c r="J9" s="112">
        <v>0.05</v>
      </c>
      <c r="K9" s="112">
        <v>216.98</v>
      </c>
      <c r="L9" s="112">
        <v>17.05</v>
      </c>
      <c r="M9" s="112">
        <v>83.65</v>
      </c>
      <c r="N9" s="112">
        <v>0</v>
      </c>
      <c r="O9" s="112">
        <v>0</v>
      </c>
      <c r="P9" s="112">
        <v>0.95</v>
      </c>
      <c r="Q9" s="112">
        <v>5.58</v>
      </c>
    </row>
    <row r="10" spans="1:21" customFormat="1">
      <c r="A10" s="80">
        <v>45274.020833333336</v>
      </c>
      <c r="B10" s="112">
        <v>26.17</v>
      </c>
      <c r="C10" s="112">
        <v>29.5</v>
      </c>
      <c r="D10" s="112">
        <v>37.75</v>
      </c>
      <c r="E10" s="112">
        <v>9.43</v>
      </c>
      <c r="F10" s="112">
        <v>2.8</v>
      </c>
      <c r="G10" s="112">
        <v>124.63</v>
      </c>
      <c r="H10" s="112">
        <v>48.23</v>
      </c>
      <c r="I10" s="112">
        <v>8.75</v>
      </c>
      <c r="J10" s="112">
        <v>0.02</v>
      </c>
      <c r="K10" s="112">
        <v>206.63</v>
      </c>
      <c r="L10" s="112">
        <v>16.95</v>
      </c>
      <c r="M10" s="112">
        <v>84.75</v>
      </c>
      <c r="N10" s="112">
        <v>0</v>
      </c>
      <c r="O10" s="112">
        <v>0</v>
      </c>
      <c r="P10" s="112">
        <v>0.96</v>
      </c>
      <c r="Q10" s="112">
        <v>5.59</v>
      </c>
    </row>
    <row r="11" spans="1:21" customFormat="1">
      <c r="A11" s="80">
        <v>45274.03125</v>
      </c>
      <c r="B11" s="112">
        <v>26.46</v>
      </c>
      <c r="C11" s="112">
        <v>29.76</v>
      </c>
      <c r="D11" s="112">
        <v>38.119999999999997</v>
      </c>
      <c r="E11" s="112">
        <v>9.16</v>
      </c>
      <c r="F11" s="112">
        <v>2.56</v>
      </c>
      <c r="G11" s="112">
        <v>124.63</v>
      </c>
      <c r="H11" s="112">
        <v>48.23</v>
      </c>
      <c r="I11" s="112">
        <v>8.77</v>
      </c>
      <c r="J11" s="112">
        <v>0.1</v>
      </c>
      <c r="K11" s="112">
        <v>89.05</v>
      </c>
      <c r="L11" s="112">
        <v>16.940000000000001</v>
      </c>
      <c r="M11" s="112">
        <v>84.5</v>
      </c>
      <c r="N11" s="112">
        <v>0</v>
      </c>
      <c r="O11" s="112">
        <v>0</v>
      </c>
      <c r="P11" s="112">
        <v>0.96</v>
      </c>
      <c r="Q11" s="112">
        <v>5.61</v>
      </c>
    </row>
    <row r="12" spans="1:21" customFormat="1">
      <c r="A12" s="80">
        <v>45274.041666666664</v>
      </c>
      <c r="B12" s="112">
        <v>27.06</v>
      </c>
      <c r="C12" s="112">
        <v>29.69</v>
      </c>
      <c r="D12" s="112">
        <v>38.57</v>
      </c>
      <c r="E12" s="112">
        <v>9.1199999999999992</v>
      </c>
      <c r="F12" s="112">
        <v>2.59</v>
      </c>
      <c r="G12" s="112">
        <v>121.15</v>
      </c>
      <c r="H12" s="112">
        <v>48.05</v>
      </c>
      <c r="I12" s="112">
        <v>8.83</v>
      </c>
      <c r="J12" s="112">
        <v>0.11</v>
      </c>
      <c r="K12" s="112">
        <v>128.09</v>
      </c>
      <c r="L12" s="112">
        <v>16.79</v>
      </c>
      <c r="M12" s="112">
        <v>85.71</v>
      </c>
      <c r="N12" s="112">
        <v>0</v>
      </c>
      <c r="O12" s="112">
        <v>0</v>
      </c>
      <c r="P12" s="112">
        <v>0.97</v>
      </c>
      <c r="Q12" s="112">
        <v>5.62</v>
      </c>
    </row>
    <row r="13" spans="1:21" customFormat="1">
      <c r="A13" s="80">
        <v>45274.052083333336</v>
      </c>
      <c r="B13" s="112">
        <v>27.66</v>
      </c>
      <c r="C13" s="112">
        <v>29.55</v>
      </c>
      <c r="D13" s="112">
        <v>38.97</v>
      </c>
      <c r="E13" s="112">
        <v>9.25</v>
      </c>
      <c r="F13" s="112">
        <v>2.58</v>
      </c>
      <c r="G13" s="112">
        <v>117.51</v>
      </c>
      <c r="H13" s="112">
        <v>47.93</v>
      </c>
      <c r="I13" s="112">
        <v>8.9499999999999993</v>
      </c>
      <c r="J13" s="112">
        <v>0.12</v>
      </c>
      <c r="K13" s="112">
        <v>83.61</v>
      </c>
      <c r="L13" s="112">
        <v>16.829999999999998</v>
      </c>
      <c r="M13" s="112">
        <v>84.23</v>
      </c>
      <c r="N13" s="112">
        <v>0</v>
      </c>
      <c r="O13" s="112">
        <v>0</v>
      </c>
      <c r="P13" s="112">
        <v>0.97</v>
      </c>
      <c r="Q13" s="112">
        <v>5.64</v>
      </c>
    </row>
    <row r="14" spans="1:21" customFormat="1">
      <c r="A14" s="80">
        <v>45274.0625</v>
      </c>
      <c r="B14" s="112">
        <v>28.21</v>
      </c>
      <c r="C14" s="112">
        <v>29.2</v>
      </c>
      <c r="D14" s="112">
        <v>39.229999999999997</v>
      </c>
      <c r="E14" s="112">
        <v>9.1999999999999993</v>
      </c>
      <c r="F14" s="112">
        <v>2.5099999999999998</v>
      </c>
      <c r="G14" s="112">
        <v>117.51</v>
      </c>
      <c r="H14" s="112">
        <v>47.93</v>
      </c>
      <c r="I14" s="112">
        <v>9.15</v>
      </c>
      <c r="J14" s="112">
        <v>0.13</v>
      </c>
      <c r="K14" s="112">
        <v>154.37</v>
      </c>
      <c r="L14" s="112">
        <v>16.670000000000002</v>
      </c>
      <c r="M14" s="112">
        <v>86.18</v>
      </c>
      <c r="N14" s="112">
        <v>0</v>
      </c>
      <c r="O14" s="112">
        <v>0</v>
      </c>
      <c r="P14" s="112">
        <v>0.98</v>
      </c>
      <c r="Q14" s="112">
        <v>5.64</v>
      </c>
    </row>
    <row r="15" spans="1:21" customFormat="1">
      <c r="A15" s="80">
        <v>45274.072916666664</v>
      </c>
      <c r="B15" s="112">
        <v>28.17</v>
      </c>
      <c r="C15" s="112">
        <v>29.08</v>
      </c>
      <c r="D15" s="112">
        <v>39.130000000000003</v>
      </c>
      <c r="E15" s="112">
        <v>9.31</v>
      </c>
      <c r="F15" s="112">
        <v>2.54</v>
      </c>
      <c r="G15" s="112">
        <v>117.51</v>
      </c>
      <c r="H15" s="112">
        <v>47.93</v>
      </c>
      <c r="I15" s="112">
        <v>9.36</v>
      </c>
      <c r="J15" s="112">
        <v>0.15</v>
      </c>
      <c r="K15" s="112">
        <v>184.33</v>
      </c>
      <c r="L15" s="112">
        <v>16.510000000000002</v>
      </c>
      <c r="M15" s="112">
        <v>90.02</v>
      </c>
      <c r="N15" s="112">
        <v>0</v>
      </c>
      <c r="O15" s="112">
        <v>0</v>
      </c>
      <c r="P15" s="112">
        <v>0.98</v>
      </c>
      <c r="Q15" s="112">
        <v>5.64</v>
      </c>
    </row>
    <row r="16" spans="1:21" customFormat="1">
      <c r="A16" s="80">
        <v>45274.083333333336</v>
      </c>
      <c r="B16" s="112">
        <v>27.52</v>
      </c>
      <c r="C16" s="112">
        <v>28.33</v>
      </c>
      <c r="D16" s="112">
        <v>38.22</v>
      </c>
      <c r="E16" s="112">
        <v>9.31</v>
      </c>
      <c r="F16" s="112">
        <v>2.63</v>
      </c>
      <c r="G16" s="112">
        <v>119.54</v>
      </c>
      <c r="H16" s="112">
        <v>49.47</v>
      </c>
      <c r="I16" s="112">
        <v>9.5299999999999994</v>
      </c>
      <c r="J16" s="112">
        <v>0.24</v>
      </c>
      <c r="K16" s="112">
        <v>169.26</v>
      </c>
      <c r="L16" s="112">
        <v>16.149999999999999</v>
      </c>
      <c r="M16" s="112">
        <v>92.23</v>
      </c>
      <c r="N16" s="112">
        <v>0</v>
      </c>
      <c r="O16" s="112">
        <v>0</v>
      </c>
      <c r="P16" s="112">
        <v>0.98</v>
      </c>
      <c r="Q16" s="112">
        <v>5.64</v>
      </c>
    </row>
    <row r="17" spans="1:17" customFormat="1">
      <c r="A17" s="80">
        <v>45274.09375</v>
      </c>
      <c r="B17" s="112">
        <v>26.51</v>
      </c>
      <c r="C17" s="112">
        <v>29.09</v>
      </c>
      <c r="D17" s="112">
        <v>37.81</v>
      </c>
      <c r="E17" s="112">
        <v>7.47</v>
      </c>
      <c r="F17" s="112">
        <v>2.4</v>
      </c>
      <c r="G17" s="112">
        <v>121.67</v>
      </c>
      <c r="H17" s="112">
        <v>51.24</v>
      </c>
      <c r="I17" s="112">
        <v>9.66</v>
      </c>
      <c r="J17" s="112">
        <v>0.15</v>
      </c>
      <c r="K17" s="112">
        <v>253.36</v>
      </c>
      <c r="L17" s="112">
        <v>15.8</v>
      </c>
      <c r="M17" s="112">
        <v>92.88</v>
      </c>
      <c r="N17" s="112">
        <v>0</v>
      </c>
      <c r="O17" s="112">
        <v>0</v>
      </c>
      <c r="P17" s="112">
        <v>0.99</v>
      </c>
      <c r="Q17" s="112">
        <v>5.61</v>
      </c>
    </row>
    <row r="18" spans="1:17" customFormat="1">
      <c r="A18" s="80">
        <v>45274.104166666664</v>
      </c>
      <c r="B18" s="112">
        <v>25.7</v>
      </c>
      <c r="C18" s="112">
        <v>28.46</v>
      </c>
      <c r="D18" s="112">
        <v>36.83</v>
      </c>
      <c r="E18" s="112">
        <v>8.1199999999999992</v>
      </c>
      <c r="F18" s="112">
        <v>2.48</v>
      </c>
      <c r="G18" s="112">
        <v>121.67</v>
      </c>
      <c r="H18" s="112">
        <v>51.24</v>
      </c>
      <c r="I18" s="112">
        <v>9.8000000000000007</v>
      </c>
      <c r="J18" s="112">
        <v>0.16</v>
      </c>
      <c r="K18" s="112">
        <v>255.37</v>
      </c>
      <c r="L18" s="112">
        <v>15.44</v>
      </c>
      <c r="M18" s="112">
        <v>93.42</v>
      </c>
      <c r="N18" s="112">
        <v>0</v>
      </c>
      <c r="O18" s="112">
        <v>0</v>
      </c>
      <c r="P18" s="112">
        <v>0.98</v>
      </c>
      <c r="Q18" s="112">
        <v>5.59</v>
      </c>
    </row>
    <row r="19" spans="1:17" customFormat="1">
      <c r="A19" s="80">
        <v>45274.114583333336</v>
      </c>
      <c r="B19" s="112">
        <v>24.93</v>
      </c>
      <c r="C19" s="112">
        <v>27.78</v>
      </c>
      <c r="D19" s="112">
        <v>35.86</v>
      </c>
      <c r="E19" s="112">
        <v>8.17</v>
      </c>
      <c r="F19" s="112">
        <v>2.61</v>
      </c>
      <c r="G19" s="112">
        <v>121.67</v>
      </c>
      <c r="H19" s="112">
        <v>51.24</v>
      </c>
      <c r="I19" s="112">
        <v>9.91</v>
      </c>
      <c r="J19" s="112">
        <v>0.05</v>
      </c>
      <c r="K19" s="112">
        <v>119.99</v>
      </c>
      <c r="L19" s="112">
        <v>15.4</v>
      </c>
      <c r="M19" s="112">
        <v>93.74</v>
      </c>
      <c r="N19" s="112">
        <v>0</v>
      </c>
      <c r="O19" s="112">
        <v>0</v>
      </c>
      <c r="P19" s="112">
        <v>0.98</v>
      </c>
      <c r="Q19" s="112">
        <v>5.55</v>
      </c>
    </row>
    <row r="20" spans="1:17" customFormat="1">
      <c r="A20" s="80">
        <v>45274.125</v>
      </c>
      <c r="B20" s="112">
        <v>24.55</v>
      </c>
      <c r="C20" s="112">
        <v>27.29</v>
      </c>
      <c r="D20" s="112">
        <v>35.29</v>
      </c>
      <c r="E20" s="112">
        <v>8.2100000000000009</v>
      </c>
      <c r="F20" s="112">
        <v>2.73</v>
      </c>
      <c r="G20" s="112">
        <v>115.11</v>
      </c>
      <c r="H20" s="112">
        <v>50.86</v>
      </c>
      <c r="I20" s="112">
        <v>10.02</v>
      </c>
      <c r="J20" s="112">
        <v>0.06</v>
      </c>
      <c r="K20" s="112">
        <v>14.61</v>
      </c>
      <c r="L20" s="112">
        <v>15.4</v>
      </c>
      <c r="M20" s="112">
        <v>93.57</v>
      </c>
      <c r="N20" s="112">
        <v>0</v>
      </c>
      <c r="O20" s="112">
        <v>0</v>
      </c>
      <c r="P20" s="112">
        <v>0.98</v>
      </c>
      <c r="Q20" s="112">
        <v>5.53</v>
      </c>
    </row>
    <row r="21" spans="1:17" customFormat="1">
      <c r="A21" s="80">
        <v>45274.135416666664</v>
      </c>
      <c r="B21" s="112">
        <v>25.44</v>
      </c>
      <c r="C21" s="112">
        <v>27.36</v>
      </c>
      <c r="D21" s="112">
        <v>36.049999999999997</v>
      </c>
      <c r="E21" s="112">
        <v>8.64</v>
      </c>
      <c r="F21" s="112">
        <v>2.52</v>
      </c>
      <c r="G21" s="112">
        <v>108.26</v>
      </c>
      <c r="H21" s="112">
        <v>50.66</v>
      </c>
      <c r="I21" s="112">
        <v>10.11</v>
      </c>
      <c r="J21" s="112">
        <v>0.13</v>
      </c>
      <c r="K21" s="112">
        <v>71.290000000000006</v>
      </c>
      <c r="L21" s="112">
        <v>15.48</v>
      </c>
      <c r="M21" s="112">
        <v>92.47</v>
      </c>
      <c r="N21" s="112">
        <v>0</v>
      </c>
      <c r="O21" s="112">
        <v>0</v>
      </c>
      <c r="P21" s="112">
        <v>0.98</v>
      </c>
      <c r="Q21" s="112">
        <v>5.55</v>
      </c>
    </row>
    <row r="22" spans="1:17" customFormat="1">
      <c r="A22" s="80">
        <v>45274.145833333336</v>
      </c>
      <c r="B22" s="112">
        <v>26.8</v>
      </c>
      <c r="C22" s="112">
        <v>27.53</v>
      </c>
      <c r="D22" s="112">
        <v>37.229999999999997</v>
      </c>
      <c r="E22" s="112">
        <v>8.27</v>
      </c>
      <c r="F22" s="112">
        <v>2.4700000000000002</v>
      </c>
      <c r="G22" s="112">
        <v>108.26</v>
      </c>
      <c r="H22" s="112">
        <v>50.66</v>
      </c>
      <c r="I22" s="112">
        <v>10.17</v>
      </c>
      <c r="J22" s="112">
        <v>0.19</v>
      </c>
      <c r="K22" s="112">
        <v>42.55</v>
      </c>
      <c r="L22" s="112">
        <v>15.56</v>
      </c>
      <c r="M22" s="112">
        <v>91.62</v>
      </c>
      <c r="N22" s="112">
        <v>0</v>
      </c>
      <c r="O22" s="112">
        <v>0</v>
      </c>
      <c r="P22" s="112">
        <v>0.98</v>
      </c>
      <c r="Q22" s="112">
        <v>5.57</v>
      </c>
    </row>
    <row r="23" spans="1:17" customFormat="1">
      <c r="A23" s="80">
        <v>45274.15625</v>
      </c>
      <c r="B23" s="112">
        <v>28.22</v>
      </c>
      <c r="C23" s="112">
        <v>27.3</v>
      </c>
      <c r="D23" s="112">
        <v>38.25</v>
      </c>
      <c r="E23" s="112">
        <v>8.5299999999999994</v>
      </c>
      <c r="F23" s="112">
        <v>2.58</v>
      </c>
      <c r="G23" s="112">
        <v>108.26</v>
      </c>
      <c r="H23" s="112">
        <v>50.66</v>
      </c>
      <c r="I23" s="112">
        <v>10.199999999999999</v>
      </c>
      <c r="J23" s="112">
        <v>0.1</v>
      </c>
      <c r="K23" s="112">
        <v>87.07</v>
      </c>
      <c r="L23" s="112">
        <v>15.74</v>
      </c>
      <c r="M23" s="112">
        <v>90.08</v>
      </c>
      <c r="N23" s="112">
        <v>0</v>
      </c>
      <c r="O23" s="112">
        <v>0</v>
      </c>
      <c r="P23" s="112">
        <v>0.98</v>
      </c>
      <c r="Q23" s="112">
        <v>5.62</v>
      </c>
    </row>
    <row r="24" spans="1:17" customFormat="1">
      <c r="A24" s="80">
        <v>45274.166666666664</v>
      </c>
      <c r="B24" s="112">
        <v>28.89</v>
      </c>
      <c r="C24" s="112">
        <v>27.38</v>
      </c>
      <c r="D24" s="112">
        <v>38.82</v>
      </c>
      <c r="E24" s="112">
        <v>8.1300000000000008</v>
      </c>
      <c r="F24" s="112">
        <v>2.48</v>
      </c>
      <c r="G24" s="112">
        <v>107.71</v>
      </c>
      <c r="H24" s="112">
        <v>49.06</v>
      </c>
      <c r="I24" s="112">
        <v>10.28</v>
      </c>
      <c r="J24" s="112">
        <v>0.1</v>
      </c>
      <c r="K24" s="112">
        <v>207.91</v>
      </c>
      <c r="L24" s="112">
        <v>15.53</v>
      </c>
      <c r="M24" s="112">
        <v>92.25</v>
      </c>
      <c r="N24" s="112">
        <v>0</v>
      </c>
      <c r="O24" s="112">
        <v>0</v>
      </c>
      <c r="P24" s="112">
        <v>0.98</v>
      </c>
      <c r="Q24" s="112">
        <v>5.66</v>
      </c>
    </row>
    <row r="25" spans="1:17" customFormat="1">
      <c r="A25" s="80">
        <v>45274.177083333336</v>
      </c>
      <c r="B25" s="112">
        <v>28.61</v>
      </c>
      <c r="C25" s="112">
        <v>27.62</v>
      </c>
      <c r="D25" s="112">
        <v>38.72</v>
      </c>
      <c r="E25" s="112">
        <v>8.4600000000000009</v>
      </c>
      <c r="F25" s="112">
        <v>2.54</v>
      </c>
      <c r="G25" s="112">
        <v>107.13</v>
      </c>
      <c r="H25" s="112">
        <v>47.97</v>
      </c>
      <c r="I25" s="112">
        <v>10.35</v>
      </c>
      <c r="J25" s="112">
        <v>0.1</v>
      </c>
      <c r="K25" s="112">
        <v>134.44</v>
      </c>
      <c r="L25" s="112">
        <v>15.48</v>
      </c>
      <c r="M25" s="112">
        <v>92.85</v>
      </c>
      <c r="N25" s="112">
        <v>0</v>
      </c>
      <c r="O25" s="112">
        <v>0</v>
      </c>
      <c r="P25" s="112">
        <v>0.97</v>
      </c>
      <c r="Q25" s="112">
        <v>5.67</v>
      </c>
    </row>
    <row r="26" spans="1:17" customFormat="1">
      <c r="A26" s="80">
        <v>45274.1875</v>
      </c>
      <c r="B26" s="112">
        <v>27.89</v>
      </c>
      <c r="C26" s="112">
        <v>27.35</v>
      </c>
      <c r="D26" s="112">
        <v>38.01</v>
      </c>
      <c r="E26" s="112">
        <v>7.93</v>
      </c>
      <c r="F26" s="112">
        <v>2.56</v>
      </c>
      <c r="G26" s="112">
        <v>107.13</v>
      </c>
      <c r="H26" s="112">
        <v>47.97</v>
      </c>
      <c r="I26" s="112">
        <v>10.37</v>
      </c>
      <c r="J26" s="112">
        <v>0.1</v>
      </c>
      <c r="K26" s="112">
        <v>142.79</v>
      </c>
      <c r="L26" s="112">
        <v>15.38</v>
      </c>
      <c r="M26" s="112">
        <v>93.58</v>
      </c>
      <c r="N26" s="112">
        <v>0</v>
      </c>
      <c r="O26" s="112">
        <v>0</v>
      </c>
      <c r="P26" s="112">
        <v>0.97</v>
      </c>
      <c r="Q26" s="112">
        <v>5.63</v>
      </c>
    </row>
    <row r="27" spans="1:17" customFormat="1">
      <c r="A27" s="80">
        <v>45274.197916666664</v>
      </c>
      <c r="B27" s="112">
        <v>28.96</v>
      </c>
      <c r="C27" s="112">
        <v>27.41</v>
      </c>
      <c r="D27" s="112">
        <v>38.9</v>
      </c>
      <c r="E27" s="112">
        <v>8.41</v>
      </c>
      <c r="F27" s="112">
        <v>2.54</v>
      </c>
      <c r="G27" s="112">
        <v>107.13</v>
      </c>
      <c r="H27" s="112">
        <v>47.97</v>
      </c>
      <c r="I27" s="112">
        <v>10.35</v>
      </c>
      <c r="J27" s="112">
        <v>0.08</v>
      </c>
      <c r="K27" s="112">
        <v>216.32</v>
      </c>
      <c r="L27" s="112">
        <v>15.33</v>
      </c>
      <c r="M27" s="112">
        <v>93.18</v>
      </c>
      <c r="N27" s="112">
        <v>0</v>
      </c>
      <c r="O27" s="112">
        <v>0</v>
      </c>
      <c r="P27" s="112">
        <v>0.96</v>
      </c>
      <c r="Q27" s="112">
        <v>5.64</v>
      </c>
    </row>
    <row r="28" spans="1:17" customFormat="1">
      <c r="A28" s="80">
        <v>45274.208333333336</v>
      </c>
      <c r="B28" s="112">
        <v>31.73</v>
      </c>
      <c r="C28" s="112">
        <v>27.94</v>
      </c>
      <c r="D28" s="112">
        <v>41.4</v>
      </c>
      <c r="E28" s="112">
        <v>8.52</v>
      </c>
      <c r="F28" s="112">
        <v>2.69</v>
      </c>
      <c r="G28" s="112">
        <v>104.52</v>
      </c>
      <c r="H28" s="112">
        <v>48.08</v>
      </c>
      <c r="I28" s="112">
        <v>10.31</v>
      </c>
      <c r="J28" s="112">
        <v>0.09</v>
      </c>
      <c r="K28" s="112">
        <v>149.72</v>
      </c>
      <c r="L28" s="112">
        <v>15.21</v>
      </c>
      <c r="M28" s="112">
        <v>93.16</v>
      </c>
      <c r="N28" s="112">
        <v>0</v>
      </c>
      <c r="O28" s="112">
        <v>0</v>
      </c>
      <c r="P28" s="112">
        <v>0.96</v>
      </c>
      <c r="Q28" s="112">
        <v>5.72</v>
      </c>
    </row>
    <row r="29" spans="1:17" customFormat="1">
      <c r="A29" s="80">
        <v>45274.21875</v>
      </c>
      <c r="B29" s="112">
        <v>35.22</v>
      </c>
      <c r="C29" s="112">
        <v>28.68</v>
      </c>
      <c r="D29" s="112">
        <v>44.58</v>
      </c>
      <c r="E29" s="112">
        <v>8.5</v>
      </c>
      <c r="F29" s="112">
        <v>2.71</v>
      </c>
      <c r="G29" s="112">
        <v>101.79</v>
      </c>
      <c r="H29" s="112">
        <v>48.14</v>
      </c>
      <c r="I29" s="112">
        <v>10.27</v>
      </c>
      <c r="J29" s="112">
        <v>0.06</v>
      </c>
      <c r="K29" s="112">
        <v>180.56</v>
      </c>
      <c r="L29" s="112">
        <v>15.16</v>
      </c>
      <c r="M29" s="112">
        <v>93.39</v>
      </c>
      <c r="N29" s="112">
        <v>0</v>
      </c>
      <c r="O29" s="112">
        <v>0</v>
      </c>
      <c r="P29" s="112">
        <v>0.95</v>
      </c>
      <c r="Q29" s="112">
        <v>5.8</v>
      </c>
    </row>
    <row r="30" spans="1:17" customFormat="1">
      <c r="A30" s="80">
        <v>45274.229166666664</v>
      </c>
      <c r="B30" s="112">
        <v>38.53</v>
      </c>
      <c r="C30" s="112">
        <v>28.9</v>
      </c>
      <c r="D30" s="112">
        <v>47.35</v>
      </c>
      <c r="E30" s="112">
        <v>8.36</v>
      </c>
      <c r="F30" s="112">
        <v>2.72</v>
      </c>
      <c r="G30" s="112">
        <v>101.79</v>
      </c>
      <c r="H30" s="112">
        <v>48.14</v>
      </c>
      <c r="I30" s="112">
        <v>10.3</v>
      </c>
      <c r="J30" s="112">
        <v>0.12</v>
      </c>
      <c r="K30" s="112">
        <v>71.819999999999993</v>
      </c>
      <c r="L30" s="112">
        <v>15.1</v>
      </c>
      <c r="M30" s="112">
        <v>93.11</v>
      </c>
      <c r="N30" s="112">
        <v>0</v>
      </c>
      <c r="O30" s="112">
        <v>0</v>
      </c>
      <c r="P30" s="112">
        <v>0.95</v>
      </c>
      <c r="Q30" s="112">
        <v>5.91</v>
      </c>
    </row>
    <row r="31" spans="1:17" customFormat="1">
      <c r="A31" s="80">
        <v>45274.239583333336</v>
      </c>
      <c r="B31" s="112">
        <v>41.02</v>
      </c>
      <c r="C31" s="112">
        <v>29.22</v>
      </c>
      <c r="D31" s="112">
        <v>49.52</v>
      </c>
      <c r="E31" s="112">
        <v>8.49</v>
      </c>
      <c r="F31" s="112">
        <v>2.7</v>
      </c>
      <c r="G31" s="112">
        <v>101.79</v>
      </c>
      <c r="H31" s="112">
        <v>48.14</v>
      </c>
      <c r="I31" s="112">
        <v>10.33</v>
      </c>
      <c r="J31" s="112">
        <v>0.1</v>
      </c>
      <c r="K31" s="112">
        <v>198.01</v>
      </c>
      <c r="L31" s="112">
        <v>15.11</v>
      </c>
      <c r="M31" s="112">
        <v>93.22</v>
      </c>
      <c r="N31" s="112">
        <v>0</v>
      </c>
      <c r="O31" s="112">
        <v>0</v>
      </c>
      <c r="P31" s="112">
        <v>0.94</v>
      </c>
      <c r="Q31" s="112">
        <v>5.99</v>
      </c>
    </row>
    <row r="32" spans="1:17" customFormat="1">
      <c r="A32" s="80">
        <v>45274.25</v>
      </c>
      <c r="B32" s="112">
        <v>41.79</v>
      </c>
      <c r="C32" s="112">
        <v>29.4</v>
      </c>
      <c r="D32" s="112">
        <v>50.22</v>
      </c>
      <c r="E32" s="112">
        <v>8.5399999999999991</v>
      </c>
      <c r="F32" s="112">
        <v>2.5099999999999998</v>
      </c>
      <c r="G32" s="112">
        <v>101.13</v>
      </c>
      <c r="H32" s="112">
        <v>48.72</v>
      </c>
      <c r="I32" s="112">
        <v>10.31</v>
      </c>
      <c r="J32" s="112">
        <v>0.14000000000000001</v>
      </c>
      <c r="K32" s="112">
        <v>190.52</v>
      </c>
      <c r="L32" s="112">
        <v>15.02</v>
      </c>
      <c r="M32" s="112">
        <v>94.57</v>
      </c>
      <c r="N32" s="112">
        <v>0</v>
      </c>
      <c r="O32" s="112">
        <v>0</v>
      </c>
      <c r="P32" s="112">
        <v>0.94</v>
      </c>
      <c r="Q32" s="112">
        <v>6.01</v>
      </c>
    </row>
    <row r="33" spans="1:17" customFormat="1">
      <c r="A33" s="80">
        <v>45274.260416666664</v>
      </c>
      <c r="B33" s="112">
        <v>41.13</v>
      </c>
      <c r="C33" s="112">
        <v>29.07</v>
      </c>
      <c r="D33" s="112">
        <v>49.52</v>
      </c>
      <c r="E33" s="112">
        <v>8.11</v>
      </c>
      <c r="F33" s="112">
        <v>2.5</v>
      </c>
      <c r="G33" s="112">
        <v>100.44</v>
      </c>
      <c r="H33" s="112">
        <v>49.02</v>
      </c>
      <c r="I33" s="112">
        <v>10.3</v>
      </c>
      <c r="J33" s="112">
        <v>0.19</v>
      </c>
      <c r="K33" s="112">
        <v>178.62</v>
      </c>
      <c r="L33" s="112">
        <v>14.7</v>
      </c>
      <c r="M33" s="112">
        <v>95.48</v>
      </c>
      <c r="N33" s="112">
        <v>0</v>
      </c>
      <c r="O33" s="112">
        <v>0</v>
      </c>
      <c r="P33" s="112">
        <v>0.93</v>
      </c>
      <c r="Q33" s="112">
        <v>5.99</v>
      </c>
    </row>
    <row r="34" spans="1:17" customFormat="1">
      <c r="A34" s="80">
        <v>45274.270833333336</v>
      </c>
      <c r="B34" s="112">
        <v>39.68</v>
      </c>
      <c r="C34" s="112">
        <v>28.63</v>
      </c>
      <c r="D34" s="112">
        <v>48.13</v>
      </c>
      <c r="E34" s="112">
        <v>8.68</v>
      </c>
      <c r="F34" s="112">
        <v>2.57</v>
      </c>
      <c r="G34" s="112">
        <v>100.44</v>
      </c>
      <c r="H34" s="112">
        <v>49.02</v>
      </c>
      <c r="I34" s="112">
        <v>10.25</v>
      </c>
      <c r="J34" s="112">
        <v>0.1</v>
      </c>
      <c r="K34" s="112">
        <v>205.95</v>
      </c>
      <c r="L34" s="112">
        <v>14.48</v>
      </c>
      <c r="M34" s="112">
        <v>96.01</v>
      </c>
      <c r="N34" s="112">
        <v>0</v>
      </c>
      <c r="O34" s="112">
        <v>0</v>
      </c>
      <c r="P34" s="112">
        <v>0.92</v>
      </c>
      <c r="Q34" s="112">
        <v>5.96</v>
      </c>
    </row>
    <row r="35" spans="1:17" customFormat="1">
      <c r="A35" s="80">
        <v>45274.28125</v>
      </c>
      <c r="B35" s="112">
        <v>37.869999999999997</v>
      </c>
      <c r="C35" s="112">
        <v>28.42</v>
      </c>
      <c r="D35" s="112">
        <v>46.57</v>
      </c>
      <c r="E35" s="112">
        <v>8.6199999999999992</v>
      </c>
      <c r="F35" s="112">
        <v>2.63</v>
      </c>
      <c r="G35" s="112">
        <v>100.44</v>
      </c>
      <c r="H35" s="112">
        <v>49.02</v>
      </c>
      <c r="I35" s="112">
        <v>10.199999999999999</v>
      </c>
      <c r="J35" s="112">
        <v>0.06</v>
      </c>
      <c r="K35" s="112">
        <v>237.81</v>
      </c>
      <c r="L35" s="112">
        <v>14.4</v>
      </c>
      <c r="M35" s="112">
        <v>96.72</v>
      </c>
      <c r="N35" s="112">
        <v>0.5</v>
      </c>
      <c r="O35" s="112">
        <v>0</v>
      </c>
      <c r="P35" s="112">
        <v>0.91</v>
      </c>
      <c r="Q35" s="112">
        <v>5.91</v>
      </c>
    </row>
    <row r="36" spans="1:17" customFormat="1">
      <c r="A36" s="80">
        <v>45274.291666666664</v>
      </c>
      <c r="B36" s="112">
        <v>36.14</v>
      </c>
      <c r="C36" s="112">
        <v>28.35</v>
      </c>
      <c r="D36" s="112">
        <v>45.14</v>
      </c>
      <c r="E36" s="112">
        <v>8.8699999999999992</v>
      </c>
      <c r="F36" s="112">
        <v>2.57</v>
      </c>
      <c r="G36" s="112">
        <v>96.53</v>
      </c>
      <c r="H36" s="112">
        <v>43.68</v>
      </c>
      <c r="I36" s="112">
        <v>10.16</v>
      </c>
      <c r="J36" s="112">
        <v>0.13</v>
      </c>
      <c r="K36" s="112">
        <v>150.21</v>
      </c>
      <c r="L36" s="112">
        <v>14.71</v>
      </c>
      <c r="M36" s="112">
        <v>96.72</v>
      </c>
      <c r="N36" s="112">
        <v>8.1</v>
      </c>
      <c r="O36" s="112">
        <v>0</v>
      </c>
      <c r="P36" s="112">
        <v>0.92</v>
      </c>
      <c r="Q36" s="112">
        <v>5.87</v>
      </c>
    </row>
    <row r="37" spans="1:17" customFormat="1">
      <c r="A37" s="80">
        <v>45274.302083333336</v>
      </c>
      <c r="B37" s="112">
        <v>34.61</v>
      </c>
      <c r="C37" s="112">
        <v>27.95</v>
      </c>
      <c r="D37" s="112">
        <v>43.71</v>
      </c>
      <c r="E37" s="112">
        <v>8.4499999999999993</v>
      </c>
      <c r="F37" s="112">
        <v>2.63</v>
      </c>
      <c r="G37" s="112">
        <v>92.43</v>
      </c>
      <c r="H37" s="112">
        <v>40.880000000000003</v>
      </c>
      <c r="I37" s="112">
        <v>10.130000000000001</v>
      </c>
      <c r="J37" s="112">
        <v>7.0000000000000007E-2</v>
      </c>
      <c r="K37" s="112">
        <v>154.91999999999999</v>
      </c>
      <c r="L37" s="112">
        <v>14.99</v>
      </c>
      <c r="M37" s="112">
        <v>96.35</v>
      </c>
      <c r="N37" s="112">
        <v>21.1</v>
      </c>
      <c r="O37" s="112">
        <v>0</v>
      </c>
      <c r="P37" s="112">
        <v>0.9</v>
      </c>
      <c r="Q37" s="112">
        <v>5.83</v>
      </c>
    </row>
    <row r="38" spans="1:17" customFormat="1">
      <c r="A38" s="80">
        <v>45274.3125</v>
      </c>
      <c r="B38" s="112">
        <v>33.22</v>
      </c>
      <c r="C38" s="112">
        <v>27.74</v>
      </c>
      <c r="D38" s="112">
        <v>42.48</v>
      </c>
      <c r="E38" s="112">
        <v>8.91</v>
      </c>
      <c r="F38" s="112">
        <v>2.66</v>
      </c>
      <c r="G38" s="112">
        <v>92.43</v>
      </c>
      <c r="H38" s="112">
        <v>40.880000000000003</v>
      </c>
      <c r="I38" s="112">
        <v>10.1</v>
      </c>
      <c r="J38" s="112">
        <v>0.05</v>
      </c>
      <c r="K38" s="112">
        <v>216.73</v>
      </c>
      <c r="L38" s="112">
        <v>15.45</v>
      </c>
      <c r="M38" s="112">
        <v>96.1</v>
      </c>
      <c r="N38" s="112">
        <v>34.9</v>
      </c>
      <c r="O38" s="112">
        <v>0</v>
      </c>
      <c r="P38" s="112">
        <v>0.91</v>
      </c>
      <c r="Q38" s="112">
        <v>5.8</v>
      </c>
    </row>
    <row r="39" spans="1:17" customFormat="1">
      <c r="A39" s="80">
        <v>45274.322916666664</v>
      </c>
      <c r="B39" s="112">
        <v>32.67</v>
      </c>
      <c r="C39" s="112">
        <v>27.75</v>
      </c>
      <c r="D39" s="112">
        <v>42.04</v>
      </c>
      <c r="E39" s="112">
        <v>8.51</v>
      </c>
      <c r="F39" s="112">
        <v>2.63</v>
      </c>
      <c r="G39" s="112">
        <v>92.43</v>
      </c>
      <c r="H39" s="112">
        <v>40.880000000000003</v>
      </c>
      <c r="I39" s="112">
        <v>10.07</v>
      </c>
      <c r="J39" s="112">
        <v>0.12</v>
      </c>
      <c r="K39" s="112">
        <v>67.56</v>
      </c>
      <c r="L39" s="112">
        <v>16.100000000000001</v>
      </c>
      <c r="M39" s="112">
        <v>93.25</v>
      </c>
      <c r="N39" s="112">
        <v>50.5</v>
      </c>
      <c r="O39" s="112">
        <v>0</v>
      </c>
      <c r="P39" s="112">
        <v>0.91</v>
      </c>
      <c r="Q39" s="112">
        <v>5.79</v>
      </c>
    </row>
    <row r="40" spans="1:17" customFormat="1">
      <c r="A40" s="80">
        <v>45274.333333333336</v>
      </c>
      <c r="B40" s="112">
        <v>33.76</v>
      </c>
      <c r="C40" s="112">
        <v>28.8</v>
      </c>
      <c r="D40" s="112">
        <v>43.47</v>
      </c>
      <c r="E40" s="112">
        <v>9.36</v>
      </c>
      <c r="F40" s="112">
        <v>2.66</v>
      </c>
      <c r="G40" s="112">
        <v>93.62</v>
      </c>
      <c r="H40" s="112">
        <v>42.98</v>
      </c>
      <c r="I40" s="112">
        <v>10.050000000000001</v>
      </c>
      <c r="J40" s="112">
        <v>0.38</v>
      </c>
      <c r="K40" s="112">
        <v>46.7</v>
      </c>
      <c r="L40" s="112">
        <v>16.989999999999998</v>
      </c>
      <c r="M40" s="112">
        <v>84.8</v>
      </c>
      <c r="N40" s="112">
        <v>86.9</v>
      </c>
      <c r="O40" s="112">
        <v>0</v>
      </c>
      <c r="P40" s="112">
        <v>0.94</v>
      </c>
      <c r="Q40" s="112">
        <v>5.8</v>
      </c>
    </row>
    <row r="41" spans="1:17" customFormat="1">
      <c r="A41" s="80">
        <v>45274.34375</v>
      </c>
      <c r="B41" s="112">
        <v>34.75</v>
      </c>
      <c r="C41" s="112">
        <v>30.36</v>
      </c>
      <c r="D41" s="112">
        <v>45.08</v>
      </c>
      <c r="E41" s="112">
        <v>8.92</v>
      </c>
      <c r="F41" s="112">
        <v>2.58</v>
      </c>
      <c r="G41" s="112">
        <v>94.87</v>
      </c>
      <c r="H41" s="112">
        <v>45.27</v>
      </c>
      <c r="I41" s="112">
        <v>10.11</v>
      </c>
      <c r="J41" s="112">
        <v>0.35</v>
      </c>
      <c r="K41" s="112">
        <v>60.66</v>
      </c>
      <c r="L41" s="112">
        <v>17.809999999999999</v>
      </c>
      <c r="M41" s="112">
        <v>80.16</v>
      </c>
      <c r="N41" s="112">
        <v>150.30000000000001</v>
      </c>
      <c r="O41" s="112">
        <v>0</v>
      </c>
      <c r="P41" s="112">
        <v>0.95</v>
      </c>
      <c r="Q41" s="112">
        <v>5.82</v>
      </c>
    </row>
    <row r="42" spans="1:17" customFormat="1">
      <c r="A42" s="80">
        <v>45274.354166666664</v>
      </c>
      <c r="B42" s="112">
        <v>34.68</v>
      </c>
      <c r="C42" s="112">
        <v>32.06</v>
      </c>
      <c r="D42" s="112">
        <v>45.91</v>
      </c>
      <c r="E42" s="112">
        <v>9.09</v>
      </c>
      <c r="F42" s="112">
        <v>2.62</v>
      </c>
      <c r="G42" s="112">
        <v>94.87</v>
      </c>
      <c r="H42" s="112">
        <v>45.27</v>
      </c>
      <c r="I42" s="112">
        <v>10.220000000000001</v>
      </c>
      <c r="J42" s="112">
        <v>0.37</v>
      </c>
      <c r="K42" s="112">
        <v>68.650000000000006</v>
      </c>
      <c r="L42" s="112">
        <v>18.84</v>
      </c>
      <c r="M42" s="112">
        <v>73.83</v>
      </c>
      <c r="N42" s="112">
        <v>189.9</v>
      </c>
      <c r="O42" s="112">
        <v>0</v>
      </c>
      <c r="P42" s="112">
        <v>0.95</v>
      </c>
      <c r="Q42" s="112">
        <v>5.82</v>
      </c>
    </row>
    <row r="43" spans="1:17" customFormat="1">
      <c r="A43" s="80">
        <v>45274.364583333336</v>
      </c>
      <c r="B43" s="112">
        <v>33.549999999999997</v>
      </c>
      <c r="C43" s="112">
        <v>32.94</v>
      </c>
      <c r="D43" s="112">
        <v>45.47</v>
      </c>
      <c r="E43" s="112">
        <v>9</v>
      </c>
      <c r="F43" s="112">
        <v>2.7</v>
      </c>
      <c r="G43" s="112">
        <v>94.87</v>
      </c>
      <c r="H43" s="112">
        <v>45.27</v>
      </c>
      <c r="I43" s="112">
        <v>10.36</v>
      </c>
      <c r="J43" s="112">
        <v>0.28000000000000003</v>
      </c>
      <c r="K43" s="112">
        <v>71.81</v>
      </c>
      <c r="L43" s="112">
        <v>19.559999999999999</v>
      </c>
      <c r="M43" s="112">
        <v>68.81</v>
      </c>
      <c r="N43" s="112">
        <v>229.4</v>
      </c>
      <c r="O43" s="112">
        <v>0</v>
      </c>
      <c r="P43" s="112">
        <v>0.96</v>
      </c>
      <c r="Q43" s="112">
        <v>5.79</v>
      </c>
    </row>
    <row r="44" spans="1:17" customFormat="1">
      <c r="A44" s="80">
        <v>45274.375</v>
      </c>
      <c r="B44" s="112">
        <v>31.91</v>
      </c>
      <c r="C44" s="112">
        <v>31.89</v>
      </c>
      <c r="D44" s="112">
        <v>43.6</v>
      </c>
      <c r="E44" s="112">
        <v>8.73</v>
      </c>
      <c r="F44" s="112">
        <v>2.78</v>
      </c>
      <c r="G44" s="112">
        <v>95.13</v>
      </c>
      <c r="H44" s="112">
        <v>41.66</v>
      </c>
      <c r="I44" s="112">
        <v>10.5</v>
      </c>
      <c r="J44" s="112">
        <v>0.26</v>
      </c>
      <c r="K44" s="112">
        <v>115.12</v>
      </c>
      <c r="L44" s="112">
        <v>20.58</v>
      </c>
      <c r="M44" s="112">
        <v>63.63</v>
      </c>
      <c r="N44" s="112">
        <v>193.9</v>
      </c>
      <c r="O44" s="112">
        <v>0</v>
      </c>
      <c r="P44" s="112">
        <v>0.94</v>
      </c>
      <c r="Q44" s="112">
        <v>5.75</v>
      </c>
    </row>
    <row r="45" spans="1:17" customFormat="1">
      <c r="A45" s="80">
        <v>45274.385416666664</v>
      </c>
      <c r="B45" s="112">
        <v>30.13</v>
      </c>
      <c r="C45" s="112">
        <v>31.04</v>
      </c>
      <c r="D45" s="112">
        <v>41.73</v>
      </c>
      <c r="E45" s="112">
        <v>8.39</v>
      </c>
      <c r="F45" s="112">
        <v>2.72</v>
      </c>
      <c r="G45" s="112">
        <v>95.4</v>
      </c>
      <c r="H45" s="112">
        <v>39.78</v>
      </c>
      <c r="I45" s="112">
        <v>10.48</v>
      </c>
      <c r="J45" s="112">
        <v>0.43</v>
      </c>
      <c r="K45" s="112">
        <v>70.930000000000007</v>
      </c>
      <c r="L45" s="112">
        <v>21.11</v>
      </c>
      <c r="M45" s="112">
        <v>58.49</v>
      </c>
      <c r="N45" s="112">
        <v>120.9</v>
      </c>
      <c r="O45" s="112">
        <v>0</v>
      </c>
      <c r="P45" s="112">
        <v>0.93</v>
      </c>
      <c r="Q45" s="112">
        <v>5.71</v>
      </c>
    </row>
    <row r="46" spans="1:17" customFormat="1">
      <c r="A46" s="80">
        <v>45274.395833333336</v>
      </c>
      <c r="B46" s="112">
        <v>28.78</v>
      </c>
      <c r="C46" s="112">
        <v>28.76</v>
      </c>
      <c r="D46" s="112">
        <v>39.46</v>
      </c>
      <c r="E46" s="112">
        <v>8.0299999999999994</v>
      </c>
      <c r="F46" s="112">
        <v>2.96</v>
      </c>
      <c r="G46" s="112">
        <v>95.4</v>
      </c>
      <c r="H46" s="112">
        <v>39.78</v>
      </c>
      <c r="I46" s="112">
        <v>10.36</v>
      </c>
      <c r="J46" s="112">
        <v>0.39</v>
      </c>
      <c r="K46" s="112">
        <v>70.52</v>
      </c>
      <c r="L46" s="112">
        <v>21.83</v>
      </c>
      <c r="M46" s="112">
        <v>56.78</v>
      </c>
      <c r="N46" s="112">
        <v>126.2</v>
      </c>
      <c r="O46" s="112">
        <v>0</v>
      </c>
      <c r="P46" s="112">
        <v>0.91</v>
      </c>
      <c r="Q46" s="112">
        <v>5.65</v>
      </c>
    </row>
    <row r="47" spans="1:17" customFormat="1">
      <c r="A47" s="80">
        <v>45274.40625</v>
      </c>
      <c r="B47" s="112">
        <v>27.76</v>
      </c>
      <c r="C47" s="112">
        <v>26.78</v>
      </c>
      <c r="D47" s="112">
        <v>37.61</v>
      </c>
      <c r="E47" s="112">
        <v>7.64</v>
      </c>
      <c r="F47" s="112">
        <v>3.07</v>
      </c>
      <c r="G47" s="112">
        <v>95.4</v>
      </c>
      <c r="H47" s="112">
        <v>39.78</v>
      </c>
      <c r="I47" s="112">
        <v>10.18</v>
      </c>
      <c r="J47" s="112">
        <v>0.39</v>
      </c>
      <c r="K47" s="112">
        <v>74.05</v>
      </c>
      <c r="L47" s="112">
        <v>22.33</v>
      </c>
      <c r="M47" s="112">
        <v>54.69</v>
      </c>
      <c r="N47" s="112">
        <v>144.9</v>
      </c>
      <c r="O47" s="112">
        <v>0</v>
      </c>
      <c r="P47" s="112">
        <v>0.89</v>
      </c>
      <c r="Q47" s="112">
        <v>5.6</v>
      </c>
    </row>
    <row r="48" spans="1:17" customFormat="1">
      <c r="A48" s="80">
        <v>45274.416666666664</v>
      </c>
      <c r="B48" s="112">
        <v>27.09</v>
      </c>
      <c r="C48" s="112">
        <v>25.72</v>
      </c>
      <c r="D48" s="112">
        <v>36.51</v>
      </c>
      <c r="E48" s="112">
        <v>7.62</v>
      </c>
      <c r="F48" s="112">
        <v>2.9</v>
      </c>
      <c r="G48" s="112">
        <v>94.14</v>
      </c>
      <c r="H48" s="112">
        <v>39.99</v>
      </c>
      <c r="I48" s="112">
        <v>9.99</v>
      </c>
      <c r="J48" s="112">
        <v>0.38</v>
      </c>
      <c r="K48" s="112">
        <v>46.77</v>
      </c>
      <c r="L48" s="112">
        <v>23.02</v>
      </c>
      <c r="M48" s="112">
        <v>53.94</v>
      </c>
      <c r="N48" s="112">
        <v>306</v>
      </c>
      <c r="O48" s="112">
        <v>0</v>
      </c>
      <c r="P48" s="112">
        <v>0.88</v>
      </c>
      <c r="Q48" s="112">
        <v>5.57</v>
      </c>
    </row>
    <row r="49" spans="1:17" customFormat="1">
      <c r="A49" s="80">
        <v>45274.427083333336</v>
      </c>
      <c r="B49" s="112">
        <v>26.62</v>
      </c>
      <c r="C49" s="112">
        <v>25.67</v>
      </c>
      <c r="D49" s="112">
        <v>36.11</v>
      </c>
      <c r="E49" s="112">
        <v>6.71</v>
      </c>
      <c r="F49" s="112">
        <v>2.77</v>
      </c>
      <c r="G49" s="112">
        <v>92.82</v>
      </c>
      <c r="H49" s="112">
        <v>40.11</v>
      </c>
      <c r="I49" s="112">
        <v>9.86</v>
      </c>
      <c r="J49" s="112">
        <v>0.49</v>
      </c>
      <c r="K49" s="112">
        <v>42.37</v>
      </c>
      <c r="L49" s="112">
        <v>23.17</v>
      </c>
      <c r="M49" s="112">
        <v>54.17</v>
      </c>
      <c r="N49" s="112">
        <v>429.4</v>
      </c>
      <c r="O49" s="112">
        <v>0</v>
      </c>
      <c r="P49" s="112">
        <v>0.88</v>
      </c>
      <c r="Q49" s="112">
        <v>5.58</v>
      </c>
    </row>
    <row r="50" spans="1:17" customFormat="1">
      <c r="A50" s="80">
        <v>45274.4375</v>
      </c>
      <c r="B50" s="112">
        <v>25.94</v>
      </c>
      <c r="C50" s="112">
        <v>25.96</v>
      </c>
      <c r="D50" s="112">
        <v>35.72</v>
      </c>
      <c r="E50" s="112">
        <v>8.2200000000000006</v>
      </c>
      <c r="F50" s="112">
        <v>2.72</v>
      </c>
      <c r="G50" s="112">
        <v>92.82</v>
      </c>
      <c r="H50" s="112">
        <v>40.11</v>
      </c>
      <c r="I50" s="112">
        <v>9.77</v>
      </c>
      <c r="J50" s="112">
        <v>0.31</v>
      </c>
      <c r="K50" s="112">
        <v>41.69</v>
      </c>
      <c r="L50" s="112">
        <v>23.61</v>
      </c>
      <c r="M50" s="112">
        <v>53.24</v>
      </c>
      <c r="N50" s="112">
        <v>455.8</v>
      </c>
      <c r="O50" s="112">
        <v>0</v>
      </c>
      <c r="P50" s="112">
        <v>0.87</v>
      </c>
      <c r="Q50" s="112">
        <v>5.57</v>
      </c>
    </row>
    <row r="51" spans="1:17" customFormat="1">
      <c r="A51" s="80">
        <v>45274.447916666664</v>
      </c>
      <c r="B51" s="112">
        <v>25.25</v>
      </c>
      <c r="C51" s="112">
        <v>27.13</v>
      </c>
      <c r="D51" s="112">
        <v>35.770000000000003</v>
      </c>
      <c r="E51" s="112">
        <v>8.1</v>
      </c>
      <c r="F51" s="112">
        <v>2.64</v>
      </c>
      <c r="G51" s="112">
        <v>92.82</v>
      </c>
      <c r="H51" s="112">
        <v>40.11</v>
      </c>
      <c r="I51" s="112">
        <v>9.75</v>
      </c>
      <c r="J51" s="112">
        <v>0.38</v>
      </c>
      <c r="K51" s="112">
        <v>44.05</v>
      </c>
      <c r="L51" s="112">
        <v>24.11</v>
      </c>
      <c r="M51" s="112">
        <v>51.19</v>
      </c>
      <c r="N51" s="112">
        <v>478.2</v>
      </c>
      <c r="O51" s="112">
        <v>0</v>
      </c>
      <c r="P51" s="112">
        <v>0.87</v>
      </c>
      <c r="Q51" s="112">
        <v>5.53</v>
      </c>
    </row>
    <row r="52" spans="1:17" customFormat="1">
      <c r="A52" s="80">
        <v>45274.458333333336</v>
      </c>
      <c r="B52" s="112">
        <v>24.56</v>
      </c>
      <c r="C52" s="112">
        <v>25.4</v>
      </c>
      <c r="D52" s="112">
        <v>34.32</v>
      </c>
      <c r="E52" s="112">
        <v>7.95</v>
      </c>
      <c r="F52" s="112">
        <v>2.93</v>
      </c>
      <c r="G52" s="112">
        <v>93.98</v>
      </c>
      <c r="H52" s="112">
        <v>37.57</v>
      </c>
      <c r="I52" s="112">
        <v>9.7100000000000009</v>
      </c>
      <c r="J52" s="112">
        <v>0.26</v>
      </c>
      <c r="K52" s="112">
        <v>23.88</v>
      </c>
      <c r="L52" s="112">
        <v>24.48</v>
      </c>
      <c r="M52" s="112">
        <v>50.41</v>
      </c>
      <c r="N52" s="112">
        <v>468.2</v>
      </c>
      <c r="O52" s="112">
        <v>0</v>
      </c>
      <c r="P52" s="112">
        <v>0.86</v>
      </c>
      <c r="Q52" s="112">
        <v>5.53</v>
      </c>
    </row>
    <row r="53" spans="1:17" customFormat="1">
      <c r="A53" s="80">
        <v>45274.46875</v>
      </c>
      <c r="B53" s="112">
        <v>23.52</v>
      </c>
      <c r="C53" s="112">
        <v>25.98</v>
      </c>
      <c r="D53" s="112">
        <v>33.79</v>
      </c>
      <c r="E53" s="112">
        <v>7.93</v>
      </c>
      <c r="F53" s="112">
        <v>2.83</v>
      </c>
      <c r="G53" s="112">
        <v>95.2</v>
      </c>
      <c r="H53" s="112">
        <v>36.25</v>
      </c>
      <c r="I53" s="112">
        <v>9.6300000000000008</v>
      </c>
      <c r="J53" s="112">
        <v>0.34</v>
      </c>
      <c r="K53" s="112">
        <v>139.85</v>
      </c>
      <c r="L53" s="112">
        <v>25.13</v>
      </c>
      <c r="M53" s="112">
        <v>47.83</v>
      </c>
      <c r="N53" s="112">
        <v>513.29999999999995</v>
      </c>
      <c r="O53" s="112">
        <v>0</v>
      </c>
      <c r="P53" s="112">
        <v>0.85</v>
      </c>
      <c r="Q53" s="112">
        <v>5.48</v>
      </c>
    </row>
    <row r="54" spans="1:17" customFormat="1">
      <c r="A54" s="80">
        <v>45274.479166666664</v>
      </c>
      <c r="B54" s="112">
        <v>22.06</v>
      </c>
      <c r="C54" s="112">
        <v>25.97</v>
      </c>
      <c r="D54" s="112">
        <v>32.61</v>
      </c>
      <c r="E54" s="112">
        <v>7.51</v>
      </c>
      <c r="F54" s="112">
        <v>2.84</v>
      </c>
      <c r="G54" s="112">
        <v>95.2</v>
      </c>
      <c r="H54" s="112">
        <v>36.25</v>
      </c>
      <c r="I54" s="112">
        <v>9.52</v>
      </c>
      <c r="J54" s="112">
        <v>0.24</v>
      </c>
      <c r="K54" s="112">
        <v>242.85</v>
      </c>
      <c r="L54" s="112">
        <v>25.46</v>
      </c>
      <c r="M54" s="112">
        <v>47.1</v>
      </c>
      <c r="N54" s="112">
        <v>494.6</v>
      </c>
      <c r="O54" s="112">
        <v>0</v>
      </c>
      <c r="P54" s="112">
        <v>0.84</v>
      </c>
      <c r="Q54" s="112">
        <v>5.44</v>
      </c>
    </row>
    <row r="55" spans="1:17" customFormat="1">
      <c r="A55" s="80">
        <v>45274.489583333336</v>
      </c>
      <c r="B55" s="112">
        <v>20.66</v>
      </c>
      <c r="C55" s="112">
        <v>24.61</v>
      </c>
      <c r="D55" s="112">
        <v>30.78</v>
      </c>
      <c r="E55" s="112">
        <v>8.0399999999999991</v>
      </c>
      <c r="F55" s="112">
        <v>2.87</v>
      </c>
      <c r="G55" s="112">
        <v>95.2</v>
      </c>
      <c r="H55" s="112">
        <v>36.25</v>
      </c>
      <c r="I55" s="112">
        <v>9.3699999999999992</v>
      </c>
      <c r="J55" s="112">
        <v>0.27</v>
      </c>
      <c r="K55" s="112">
        <v>224.59</v>
      </c>
      <c r="L55" s="112">
        <v>25.73</v>
      </c>
      <c r="M55" s="112">
        <v>46.43</v>
      </c>
      <c r="N55" s="112">
        <v>544</v>
      </c>
      <c r="O55" s="112">
        <v>0</v>
      </c>
      <c r="P55" s="112">
        <v>0.83</v>
      </c>
      <c r="Q55" s="112">
        <v>5.42</v>
      </c>
    </row>
    <row r="56" spans="1:17" customFormat="1">
      <c r="A56" s="80">
        <v>45274.5</v>
      </c>
      <c r="B56" s="112">
        <v>19.36</v>
      </c>
      <c r="C56" s="112">
        <v>23.7</v>
      </c>
      <c r="D56" s="112">
        <v>29.26</v>
      </c>
      <c r="E56" s="112">
        <v>8.67</v>
      </c>
      <c r="F56" s="112">
        <v>3</v>
      </c>
      <c r="G56" s="112">
        <v>92.44</v>
      </c>
      <c r="H56" s="112">
        <v>35.67</v>
      </c>
      <c r="I56" s="112">
        <v>9.23</v>
      </c>
      <c r="J56" s="112">
        <v>0.52</v>
      </c>
      <c r="K56" s="112">
        <v>34.229999999999997</v>
      </c>
      <c r="L56" s="112">
        <v>25.85</v>
      </c>
      <c r="M56" s="112">
        <v>45.34</v>
      </c>
      <c r="N56" s="112">
        <v>524.79999999999995</v>
      </c>
      <c r="O56" s="112">
        <v>0</v>
      </c>
      <c r="P56" s="112">
        <v>0.81</v>
      </c>
      <c r="Q56" s="112">
        <v>5.37</v>
      </c>
    </row>
    <row r="57" spans="1:17" customFormat="1">
      <c r="A57" s="80">
        <v>45274.510416666664</v>
      </c>
      <c r="B57" s="112">
        <v>18.170000000000002</v>
      </c>
      <c r="C57" s="112">
        <v>23.63</v>
      </c>
      <c r="D57" s="112">
        <v>28.27</v>
      </c>
      <c r="E57" s="112">
        <v>8.0299999999999994</v>
      </c>
      <c r="F57" s="112">
        <v>3.01</v>
      </c>
      <c r="G57" s="112">
        <v>89.56</v>
      </c>
      <c r="H57" s="112">
        <v>35.229999999999997</v>
      </c>
      <c r="I57" s="112">
        <v>9.08</v>
      </c>
      <c r="J57" s="112">
        <v>0.17</v>
      </c>
      <c r="K57" s="112">
        <v>102.87</v>
      </c>
      <c r="L57" s="112">
        <v>26.41</v>
      </c>
      <c r="M57" s="112">
        <v>42.52</v>
      </c>
      <c r="N57" s="112">
        <v>569.29999999999995</v>
      </c>
      <c r="O57" s="112">
        <v>0</v>
      </c>
      <c r="P57" s="112">
        <v>0.8</v>
      </c>
      <c r="Q57" s="112">
        <v>5.34</v>
      </c>
    </row>
    <row r="58" spans="1:17" customFormat="1">
      <c r="A58" s="80">
        <v>45274.520833333336</v>
      </c>
      <c r="B58" s="112">
        <v>16.53</v>
      </c>
      <c r="C58" s="112">
        <v>25.81</v>
      </c>
      <c r="D58" s="112">
        <v>28.09</v>
      </c>
      <c r="E58" s="112">
        <v>7.78</v>
      </c>
      <c r="F58" s="112">
        <v>2.81</v>
      </c>
      <c r="G58" s="112">
        <v>89.56</v>
      </c>
      <c r="H58" s="112">
        <v>35.229999999999997</v>
      </c>
      <c r="I58" s="112">
        <v>8.93</v>
      </c>
      <c r="J58" s="112">
        <v>0.38</v>
      </c>
      <c r="K58" s="112">
        <v>251.71</v>
      </c>
      <c r="L58" s="112">
        <v>26.76</v>
      </c>
      <c r="M58" s="112">
        <v>40.090000000000003</v>
      </c>
      <c r="N58" s="112">
        <v>569.1</v>
      </c>
      <c r="O58" s="112">
        <v>0</v>
      </c>
      <c r="P58" s="112">
        <v>0.8</v>
      </c>
      <c r="Q58" s="112">
        <v>5.29</v>
      </c>
    </row>
    <row r="59" spans="1:17" customFormat="1">
      <c r="A59" s="80">
        <v>45274.53125</v>
      </c>
      <c r="B59" s="112">
        <v>15</v>
      </c>
      <c r="C59" s="112">
        <v>25.09</v>
      </c>
      <c r="D59" s="112">
        <v>26.49</v>
      </c>
      <c r="E59" s="112">
        <v>7.79</v>
      </c>
      <c r="F59" s="112">
        <v>3.05</v>
      </c>
      <c r="G59" s="112">
        <v>89.56</v>
      </c>
      <c r="H59" s="112">
        <v>35.229999999999997</v>
      </c>
      <c r="I59" s="112">
        <v>8.7799999999999994</v>
      </c>
      <c r="J59" s="112">
        <v>0.67</v>
      </c>
      <c r="K59" s="112">
        <v>307.14999999999998</v>
      </c>
      <c r="L59" s="112">
        <v>26.49</v>
      </c>
      <c r="M59" s="112">
        <v>38.19</v>
      </c>
      <c r="N59" s="112">
        <v>569.70000000000005</v>
      </c>
      <c r="O59" s="112">
        <v>0</v>
      </c>
      <c r="P59" s="112">
        <v>0.78</v>
      </c>
      <c r="Q59" s="112">
        <v>5.25</v>
      </c>
    </row>
    <row r="60" spans="1:17" customFormat="1">
      <c r="A60" s="80">
        <v>45274.541666666664</v>
      </c>
      <c r="B60" s="112">
        <v>13.83</v>
      </c>
      <c r="C60" s="112">
        <v>23.91</v>
      </c>
      <c r="D60" s="112">
        <v>24.94</v>
      </c>
      <c r="E60" s="112">
        <v>7.49</v>
      </c>
      <c r="F60" s="112">
        <v>3.14</v>
      </c>
      <c r="G60" s="112">
        <v>83.6</v>
      </c>
      <c r="H60" s="112">
        <v>33.630000000000003</v>
      </c>
      <c r="I60" s="112">
        <v>8.6199999999999992</v>
      </c>
      <c r="J60" s="112">
        <v>0.57999999999999996</v>
      </c>
      <c r="K60" s="112">
        <v>288.47000000000003</v>
      </c>
      <c r="L60" s="112">
        <v>26.51</v>
      </c>
      <c r="M60" s="112">
        <v>39.06</v>
      </c>
      <c r="N60" s="112">
        <v>514.6</v>
      </c>
      <c r="O60" s="112">
        <v>0</v>
      </c>
      <c r="P60" s="112">
        <v>0.77</v>
      </c>
      <c r="Q60" s="112">
        <v>5.22</v>
      </c>
    </row>
    <row r="61" spans="1:17" customFormat="1">
      <c r="A61" s="80">
        <v>45274.552083333336</v>
      </c>
      <c r="B61" s="112">
        <v>12.75</v>
      </c>
      <c r="C61" s="112">
        <v>23.22</v>
      </c>
      <c r="D61" s="112">
        <v>23.7</v>
      </c>
      <c r="E61" s="112">
        <v>7.6</v>
      </c>
      <c r="F61" s="112">
        <v>3.18</v>
      </c>
      <c r="G61" s="112">
        <v>77.37</v>
      </c>
      <c r="H61" s="112">
        <v>32.79</v>
      </c>
      <c r="I61" s="112">
        <v>8.43</v>
      </c>
      <c r="J61" s="112">
        <v>0.64</v>
      </c>
      <c r="K61" s="112">
        <v>318.36</v>
      </c>
      <c r="L61" s="112">
        <v>26.57</v>
      </c>
      <c r="M61" s="112">
        <v>37.96</v>
      </c>
      <c r="N61" s="112">
        <v>495.4</v>
      </c>
      <c r="O61" s="112">
        <v>0</v>
      </c>
      <c r="P61" s="112">
        <v>0.75</v>
      </c>
      <c r="Q61" s="112">
        <v>5.19</v>
      </c>
    </row>
    <row r="62" spans="1:17" customFormat="1">
      <c r="A62" s="80">
        <v>45274.5625</v>
      </c>
      <c r="B62" s="112">
        <v>11.65</v>
      </c>
      <c r="C62" s="112">
        <v>23.67</v>
      </c>
      <c r="D62" s="112">
        <v>23.06</v>
      </c>
      <c r="E62" s="112">
        <v>7.97</v>
      </c>
      <c r="F62" s="112">
        <v>3.22</v>
      </c>
      <c r="G62" s="112">
        <v>77.37</v>
      </c>
      <c r="H62" s="112">
        <v>32.79</v>
      </c>
      <c r="I62" s="112">
        <v>8.25</v>
      </c>
      <c r="J62" s="112">
        <v>0.6</v>
      </c>
      <c r="K62" s="112">
        <v>346.65</v>
      </c>
      <c r="L62" s="112">
        <v>26.65</v>
      </c>
      <c r="M62" s="112">
        <v>37.96</v>
      </c>
      <c r="N62" s="112">
        <v>490.2</v>
      </c>
      <c r="O62" s="112">
        <v>0</v>
      </c>
      <c r="P62" s="112">
        <v>0.74</v>
      </c>
      <c r="Q62" s="112">
        <v>5.14</v>
      </c>
    </row>
    <row r="63" spans="1:17" customFormat="1">
      <c r="A63" s="80">
        <v>45274.572916666664</v>
      </c>
      <c r="B63" s="112">
        <v>10.86</v>
      </c>
      <c r="C63" s="112">
        <v>24.48</v>
      </c>
      <c r="D63" s="112">
        <v>22.85</v>
      </c>
      <c r="E63" s="112">
        <v>8.09</v>
      </c>
      <c r="F63" s="112">
        <v>3.31</v>
      </c>
      <c r="G63" s="112">
        <v>77.37</v>
      </c>
      <c r="H63" s="112">
        <v>32.79</v>
      </c>
      <c r="I63" s="112">
        <v>8.09</v>
      </c>
      <c r="J63" s="112">
        <v>0.4</v>
      </c>
      <c r="K63" s="112">
        <v>329.84</v>
      </c>
      <c r="L63" s="112">
        <v>26.81</v>
      </c>
      <c r="M63" s="112">
        <v>37.42</v>
      </c>
      <c r="N63" s="112">
        <v>443.8</v>
      </c>
      <c r="O63" s="112">
        <v>0</v>
      </c>
      <c r="P63" s="112">
        <v>0.74</v>
      </c>
      <c r="Q63" s="112">
        <v>5.13</v>
      </c>
    </row>
    <row r="64" spans="1:17" customFormat="1">
      <c r="A64" s="80">
        <v>45274.583333333336</v>
      </c>
      <c r="B64" s="112">
        <v>10.029999999999999</v>
      </c>
      <c r="C64" s="112">
        <v>24.37</v>
      </c>
      <c r="D64" s="112">
        <v>22.13</v>
      </c>
      <c r="E64" s="112">
        <v>8.06</v>
      </c>
      <c r="F64" s="112">
        <v>3.58</v>
      </c>
      <c r="G64" s="112">
        <v>75.17</v>
      </c>
      <c r="H64" s="112">
        <v>30.94</v>
      </c>
      <c r="I64" s="112">
        <v>7.95</v>
      </c>
      <c r="J64" s="112">
        <v>0.38</v>
      </c>
      <c r="K64" s="112">
        <v>30.86</v>
      </c>
      <c r="L64" s="112">
        <v>26.84</v>
      </c>
      <c r="M64" s="112">
        <v>37.04</v>
      </c>
      <c r="N64" s="112">
        <v>387</v>
      </c>
      <c r="O64" s="112">
        <v>0</v>
      </c>
      <c r="P64" s="112">
        <v>0.74</v>
      </c>
      <c r="Q64" s="112">
        <v>5.0999999999999996</v>
      </c>
    </row>
    <row r="65" spans="1:17" customFormat="1">
      <c r="A65" s="80">
        <v>45274.59375</v>
      </c>
      <c r="B65" s="112">
        <v>8.9600000000000009</v>
      </c>
      <c r="C65" s="112">
        <v>24.82</v>
      </c>
      <c r="D65" s="112">
        <v>21.51</v>
      </c>
      <c r="E65" s="112">
        <v>8.16</v>
      </c>
      <c r="F65" s="112">
        <v>4.43</v>
      </c>
      <c r="G65" s="112">
        <v>72.87</v>
      </c>
      <c r="H65" s="112">
        <v>28.81</v>
      </c>
      <c r="I65" s="112">
        <v>7.81</v>
      </c>
      <c r="J65" s="112">
        <v>0.37</v>
      </c>
      <c r="K65" s="112">
        <v>92.63</v>
      </c>
      <c r="L65" s="112">
        <v>26.72</v>
      </c>
      <c r="M65" s="112">
        <v>35.97</v>
      </c>
      <c r="N65" s="112">
        <v>150.80000000000001</v>
      </c>
      <c r="O65" s="112">
        <v>0</v>
      </c>
      <c r="P65" s="112">
        <v>0.7</v>
      </c>
      <c r="Q65" s="112">
        <v>5.07</v>
      </c>
    </row>
    <row r="66" spans="1:17" customFormat="1">
      <c r="A66" s="80">
        <v>45274.604166666664</v>
      </c>
      <c r="B66" s="112">
        <v>7.74</v>
      </c>
      <c r="C66" s="112">
        <v>25.08</v>
      </c>
      <c r="D66" s="112">
        <v>20.66</v>
      </c>
      <c r="E66" s="112">
        <v>8.9</v>
      </c>
      <c r="F66" s="112">
        <v>4.54</v>
      </c>
      <c r="G66" s="112">
        <v>72.87</v>
      </c>
      <c r="H66" s="112">
        <v>28.81</v>
      </c>
      <c r="I66" s="112">
        <v>7.63</v>
      </c>
      <c r="J66" s="112">
        <v>0.2</v>
      </c>
      <c r="K66" s="112">
        <v>277.01</v>
      </c>
      <c r="L66" s="112">
        <v>26.39</v>
      </c>
      <c r="M66" s="112">
        <v>37.97</v>
      </c>
      <c r="N66" s="112">
        <v>133.19999999999999</v>
      </c>
      <c r="O66" s="112">
        <v>0</v>
      </c>
      <c r="P66" s="112">
        <v>0.73</v>
      </c>
      <c r="Q66" s="112">
        <v>5.05</v>
      </c>
    </row>
    <row r="67" spans="1:17" customFormat="1">
      <c r="A67" s="80">
        <v>45274.614583333336</v>
      </c>
      <c r="B67" s="112">
        <v>6.81</v>
      </c>
      <c r="C67" s="112">
        <v>25.24</v>
      </c>
      <c r="D67" s="112">
        <v>20</v>
      </c>
      <c r="E67" s="112">
        <v>8.24</v>
      </c>
      <c r="F67" s="112">
        <v>4.13</v>
      </c>
      <c r="G67" s="112">
        <v>72.87</v>
      </c>
      <c r="H67" s="112">
        <v>28.81</v>
      </c>
      <c r="I67" s="112">
        <v>7.43</v>
      </c>
      <c r="J67" s="112">
        <v>0.41</v>
      </c>
      <c r="K67" s="112">
        <v>167.42</v>
      </c>
      <c r="L67" s="112">
        <v>26.45</v>
      </c>
      <c r="M67" s="112">
        <v>38.28</v>
      </c>
      <c r="N67" s="112">
        <v>99.6</v>
      </c>
      <c r="O67" s="112">
        <v>0</v>
      </c>
      <c r="P67" s="112">
        <v>0.73</v>
      </c>
      <c r="Q67" s="112">
        <v>5</v>
      </c>
    </row>
    <row r="68" spans="1:17" customFormat="1">
      <c r="A68" s="80">
        <v>45274.625</v>
      </c>
      <c r="B68" s="112">
        <v>6.05</v>
      </c>
      <c r="C68" s="112">
        <v>24.87</v>
      </c>
      <c r="D68" s="112">
        <v>19.2</v>
      </c>
      <c r="E68" s="112">
        <v>8.01</v>
      </c>
      <c r="F68" s="112">
        <v>4.88</v>
      </c>
      <c r="G68" s="112">
        <v>72.150000000000006</v>
      </c>
      <c r="H68" s="112">
        <v>27.51</v>
      </c>
      <c r="I68" s="112">
        <v>7.28</v>
      </c>
      <c r="J68" s="112">
        <v>0.28000000000000003</v>
      </c>
      <c r="K68" s="112">
        <v>297.54000000000002</v>
      </c>
      <c r="L68" s="112">
        <v>26.15</v>
      </c>
      <c r="M68" s="112">
        <v>39.380000000000003</v>
      </c>
      <c r="N68" s="112">
        <v>90.5</v>
      </c>
      <c r="O68" s="112">
        <v>0</v>
      </c>
      <c r="P68" s="112">
        <v>0.72</v>
      </c>
      <c r="Q68" s="112">
        <v>4.97</v>
      </c>
    </row>
    <row r="69" spans="1:17" customFormat="1">
      <c r="A69" s="80">
        <v>45274.635416666664</v>
      </c>
      <c r="B69" s="112">
        <v>5.72</v>
      </c>
      <c r="C69" s="112">
        <v>25.01</v>
      </c>
      <c r="D69" s="112">
        <v>19.010000000000002</v>
      </c>
      <c r="E69" s="112">
        <v>8.93</v>
      </c>
      <c r="F69" s="112">
        <v>4.8899999999999997</v>
      </c>
      <c r="G69" s="112">
        <v>71.39</v>
      </c>
      <c r="H69" s="112">
        <v>26.83</v>
      </c>
      <c r="I69" s="112">
        <v>7.14</v>
      </c>
      <c r="J69" s="112">
        <v>0.28000000000000003</v>
      </c>
      <c r="K69" s="112">
        <v>355.72</v>
      </c>
      <c r="L69" s="112">
        <v>26.13</v>
      </c>
      <c r="M69" s="112">
        <v>39.97</v>
      </c>
      <c r="N69" s="112">
        <v>80.099999999999994</v>
      </c>
      <c r="O69" s="112">
        <v>0</v>
      </c>
      <c r="P69" s="112">
        <v>0.72</v>
      </c>
      <c r="Q69" s="112">
        <v>4.96</v>
      </c>
    </row>
    <row r="70" spans="1:17" customFormat="1">
      <c r="A70" s="80">
        <v>45274.645833333336</v>
      </c>
      <c r="B70" s="112">
        <v>5.65</v>
      </c>
      <c r="C70" s="112">
        <v>25.61</v>
      </c>
      <c r="D70" s="112">
        <v>19.260000000000002</v>
      </c>
      <c r="E70" s="112">
        <v>8.2899999999999991</v>
      </c>
      <c r="F70" s="112">
        <v>4.3899999999999997</v>
      </c>
      <c r="G70" s="112">
        <v>71.39</v>
      </c>
      <c r="H70" s="112">
        <v>26.83</v>
      </c>
      <c r="I70" s="112">
        <v>6.99</v>
      </c>
      <c r="J70" s="112">
        <v>0.36</v>
      </c>
      <c r="K70" s="112">
        <v>349.58</v>
      </c>
      <c r="L70" s="112">
        <v>25.94</v>
      </c>
      <c r="M70" s="112">
        <v>39.6</v>
      </c>
      <c r="N70" s="112">
        <v>69</v>
      </c>
      <c r="O70" s="112">
        <v>0</v>
      </c>
      <c r="P70" s="112">
        <v>0.72</v>
      </c>
      <c r="Q70" s="112">
        <v>4.9800000000000004</v>
      </c>
    </row>
    <row r="71" spans="1:17" customFormat="1">
      <c r="A71" s="80">
        <v>45274.65625</v>
      </c>
      <c r="B71" s="112">
        <v>5.73</v>
      </c>
      <c r="C71" s="112">
        <v>26.04</v>
      </c>
      <c r="D71" s="112">
        <v>19.55</v>
      </c>
      <c r="E71" s="112">
        <v>9.09</v>
      </c>
      <c r="F71" s="112">
        <v>4.08</v>
      </c>
      <c r="G71" s="112">
        <v>71.39</v>
      </c>
      <c r="H71" s="112">
        <v>26.83</v>
      </c>
      <c r="I71" s="112">
        <v>6.89</v>
      </c>
      <c r="J71" s="112">
        <v>0.37</v>
      </c>
      <c r="K71" s="112">
        <v>22.73</v>
      </c>
      <c r="L71" s="112">
        <v>25.82</v>
      </c>
      <c r="M71" s="112">
        <v>39.69</v>
      </c>
      <c r="N71" s="112">
        <v>57.8</v>
      </c>
      <c r="O71" s="112">
        <v>0</v>
      </c>
      <c r="P71" s="112">
        <v>0.72</v>
      </c>
      <c r="Q71" s="112">
        <v>4.99</v>
      </c>
    </row>
    <row r="72" spans="1:17" customFormat="1">
      <c r="A72" s="80">
        <v>45274.666666666664</v>
      </c>
      <c r="B72" s="112">
        <v>6</v>
      </c>
      <c r="C72" s="112">
        <v>26.85</v>
      </c>
      <c r="D72" s="112">
        <v>20.190000000000001</v>
      </c>
      <c r="E72" s="112">
        <v>9.0500000000000007</v>
      </c>
      <c r="F72" s="112">
        <v>5.16</v>
      </c>
      <c r="G72" s="112">
        <v>77.819999999999993</v>
      </c>
      <c r="H72" s="112">
        <v>28.75</v>
      </c>
      <c r="I72" s="112">
        <v>6.82</v>
      </c>
      <c r="J72" s="112">
        <v>0.25</v>
      </c>
      <c r="K72" s="112">
        <v>24.54</v>
      </c>
      <c r="L72" s="112">
        <v>25.55</v>
      </c>
      <c r="M72" s="112">
        <v>40.22</v>
      </c>
      <c r="N72" s="112">
        <v>47</v>
      </c>
      <c r="O72" s="112">
        <v>0</v>
      </c>
      <c r="P72" s="112">
        <v>0.73</v>
      </c>
      <c r="Q72" s="112">
        <v>4.97</v>
      </c>
    </row>
    <row r="73" spans="1:17" customFormat="1">
      <c r="A73" s="80">
        <v>45274.677083333336</v>
      </c>
      <c r="B73" s="112">
        <v>6.03</v>
      </c>
      <c r="C73" s="112">
        <v>27.5</v>
      </c>
      <c r="D73" s="112">
        <v>20.55</v>
      </c>
      <c r="E73" s="112">
        <v>8.74</v>
      </c>
      <c r="F73" s="112">
        <v>4.43</v>
      </c>
      <c r="G73" s="112">
        <v>84.55</v>
      </c>
      <c r="H73" s="112">
        <v>30.19</v>
      </c>
      <c r="I73" s="112">
        <v>6.77</v>
      </c>
      <c r="J73" s="112">
        <v>0.37</v>
      </c>
      <c r="K73" s="112">
        <v>39.549999999999997</v>
      </c>
      <c r="L73" s="112">
        <v>25.18</v>
      </c>
      <c r="M73" s="112">
        <v>41.13</v>
      </c>
      <c r="N73" s="112">
        <v>33.5</v>
      </c>
      <c r="O73" s="112">
        <v>0</v>
      </c>
      <c r="P73" s="112">
        <v>0.73</v>
      </c>
      <c r="Q73" s="112">
        <v>5</v>
      </c>
    </row>
    <row r="74" spans="1:17" customFormat="1">
      <c r="A74" s="80">
        <v>45274.6875</v>
      </c>
      <c r="B74" s="112">
        <v>5.95</v>
      </c>
      <c r="C74" s="112">
        <v>28.05</v>
      </c>
      <c r="D74" s="112">
        <v>20.78</v>
      </c>
      <c r="E74" s="112">
        <v>7.72</v>
      </c>
      <c r="F74" s="112">
        <v>3.99</v>
      </c>
      <c r="G74" s="112">
        <v>84.55</v>
      </c>
      <c r="H74" s="112">
        <v>30.19</v>
      </c>
      <c r="I74" s="112">
        <v>6.68</v>
      </c>
      <c r="J74" s="112">
        <v>0.22</v>
      </c>
      <c r="K74" s="112">
        <v>46.34</v>
      </c>
      <c r="L74" s="112">
        <v>24.85</v>
      </c>
      <c r="M74" s="112">
        <v>42.5</v>
      </c>
      <c r="N74" s="112">
        <v>22.6</v>
      </c>
      <c r="O74" s="112">
        <v>0</v>
      </c>
      <c r="P74" s="112">
        <v>0.74</v>
      </c>
      <c r="Q74" s="112">
        <v>5.01</v>
      </c>
    </row>
    <row r="75" spans="1:17" customFormat="1">
      <c r="A75" s="80">
        <v>45274.697916666664</v>
      </c>
      <c r="B75" s="112">
        <v>6.1</v>
      </c>
      <c r="C75" s="112">
        <v>28.47</v>
      </c>
      <c r="D75" s="112">
        <v>21.12</v>
      </c>
      <c r="E75" s="112">
        <v>8.08</v>
      </c>
      <c r="F75" s="112">
        <v>3.51</v>
      </c>
      <c r="G75" s="112">
        <v>84.55</v>
      </c>
      <c r="H75" s="112">
        <v>30.19</v>
      </c>
      <c r="I75" s="112">
        <v>6.62</v>
      </c>
      <c r="J75" s="112">
        <v>0.2</v>
      </c>
      <c r="K75" s="112">
        <v>48.82</v>
      </c>
      <c r="L75" s="112">
        <v>24.41</v>
      </c>
      <c r="M75" s="112">
        <v>44.92</v>
      </c>
      <c r="N75" s="112">
        <v>12.4</v>
      </c>
      <c r="O75" s="112">
        <v>0</v>
      </c>
      <c r="P75" s="112">
        <v>0.74</v>
      </c>
      <c r="Q75" s="112">
        <v>5.0199999999999996</v>
      </c>
    </row>
    <row r="76" spans="1:17" customFormat="1">
      <c r="A76" s="80">
        <v>45274.708333333336</v>
      </c>
      <c r="B76" s="112">
        <v>6.39</v>
      </c>
      <c r="C76" s="112">
        <v>29.26</v>
      </c>
      <c r="D76" s="112">
        <v>21.76</v>
      </c>
      <c r="E76" s="112">
        <v>7.98</v>
      </c>
      <c r="F76" s="112">
        <v>3.24</v>
      </c>
      <c r="G76" s="112">
        <v>89.85</v>
      </c>
      <c r="H76" s="112">
        <v>32.89</v>
      </c>
      <c r="I76" s="112">
        <v>6.66</v>
      </c>
      <c r="J76" s="112">
        <v>0.22</v>
      </c>
      <c r="K76" s="112">
        <v>47.91</v>
      </c>
      <c r="L76" s="112">
        <v>23.92</v>
      </c>
      <c r="M76" s="112">
        <v>46.21</v>
      </c>
      <c r="N76" s="112">
        <v>3</v>
      </c>
      <c r="O76" s="112">
        <v>0</v>
      </c>
      <c r="P76" s="112">
        <v>0.74</v>
      </c>
      <c r="Q76" s="112">
        <v>5.0199999999999996</v>
      </c>
    </row>
    <row r="77" spans="1:17" customFormat="1">
      <c r="A77" s="80">
        <v>45274.71875</v>
      </c>
      <c r="B77" s="112">
        <v>6.86</v>
      </c>
      <c r="C77" s="112">
        <v>29.92</v>
      </c>
      <c r="D77" s="112">
        <v>22.49</v>
      </c>
      <c r="E77" s="112">
        <v>8.07</v>
      </c>
      <c r="F77" s="112">
        <v>3</v>
      </c>
      <c r="G77" s="112">
        <v>95.4</v>
      </c>
      <c r="H77" s="112">
        <v>34.29</v>
      </c>
      <c r="I77" s="112">
        <v>6.66</v>
      </c>
      <c r="J77" s="112">
        <v>0.26</v>
      </c>
      <c r="K77" s="112">
        <v>50.76</v>
      </c>
      <c r="L77" s="112">
        <v>23.43</v>
      </c>
      <c r="M77" s="112">
        <v>47.51</v>
      </c>
      <c r="N77" s="112">
        <v>0</v>
      </c>
      <c r="O77" s="112">
        <v>0</v>
      </c>
      <c r="P77" s="112">
        <v>0.75</v>
      </c>
      <c r="Q77" s="112">
        <v>5.04</v>
      </c>
    </row>
    <row r="78" spans="1:17" customFormat="1">
      <c r="A78" s="80">
        <v>45274.729166666664</v>
      </c>
      <c r="B78" s="112">
        <v>7.31</v>
      </c>
      <c r="C78" s="112">
        <v>30.63</v>
      </c>
      <c r="D78" s="112">
        <v>23.22</v>
      </c>
      <c r="E78" s="112">
        <v>7.8</v>
      </c>
      <c r="F78" s="112">
        <v>2.82</v>
      </c>
      <c r="G78" s="112">
        <v>95.4</v>
      </c>
      <c r="H78" s="112">
        <v>34.29</v>
      </c>
      <c r="I78" s="112">
        <v>6.63</v>
      </c>
      <c r="J78" s="112">
        <v>0.26</v>
      </c>
      <c r="K78" s="112">
        <v>60.05</v>
      </c>
      <c r="L78" s="112">
        <v>22.95</v>
      </c>
      <c r="M78" s="112">
        <v>49.19</v>
      </c>
      <c r="N78" s="112">
        <v>0</v>
      </c>
      <c r="O78" s="112">
        <v>0</v>
      </c>
      <c r="P78" s="112">
        <v>0.78</v>
      </c>
      <c r="Q78" s="112">
        <v>5.05</v>
      </c>
    </row>
    <row r="79" spans="1:17" customFormat="1">
      <c r="A79" s="80">
        <v>45274.739583333336</v>
      </c>
      <c r="B79" s="112">
        <v>7.88</v>
      </c>
      <c r="C79" s="112">
        <v>31.59</v>
      </c>
      <c r="D79" s="112">
        <v>24.17</v>
      </c>
      <c r="E79" s="112">
        <v>8.27</v>
      </c>
      <c r="F79" s="112">
        <v>2.81</v>
      </c>
      <c r="G79" s="112">
        <v>95.4</v>
      </c>
      <c r="H79" s="112">
        <v>34.29</v>
      </c>
      <c r="I79" s="112">
        <v>6.66</v>
      </c>
      <c r="J79" s="112">
        <v>0.21</v>
      </c>
      <c r="K79" s="112">
        <v>52.49</v>
      </c>
      <c r="L79" s="112">
        <v>22.27</v>
      </c>
      <c r="M79" s="112">
        <v>52.87</v>
      </c>
      <c r="N79" s="112">
        <v>0</v>
      </c>
      <c r="O79" s="112">
        <v>0</v>
      </c>
      <c r="P79" s="112">
        <v>0.81</v>
      </c>
      <c r="Q79" s="112">
        <v>5.0599999999999996</v>
      </c>
    </row>
    <row r="80" spans="1:17" customFormat="1">
      <c r="A80" s="80">
        <v>45274.75</v>
      </c>
      <c r="B80" s="112">
        <v>8.67</v>
      </c>
      <c r="C80" s="112">
        <v>32.65</v>
      </c>
      <c r="D80" s="112">
        <v>25.37</v>
      </c>
      <c r="E80" s="112">
        <v>7.75</v>
      </c>
      <c r="F80" s="112">
        <v>2.92</v>
      </c>
      <c r="G80" s="112">
        <v>114.38</v>
      </c>
      <c r="H80" s="112">
        <v>37.159999999999997</v>
      </c>
      <c r="I80" s="112">
        <v>6.72</v>
      </c>
      <c r="J80" s="112">
        <v>0.34</v>
      </c>
      <c r="K80" s="112">
        <v>51.56</v>
      </c>
      <c r="L80" s="112">
        <v>22.08</v>
      </c>
      <c r="M80" s="112">
        <v>51.84</v>
      </c>
      <c r="N80" s="112">
        <v>0</v>
      </c>
      <c r="O80" s="112">
        <v>0</v>
      </c>
      <c r="P80" s="112">
        <v>0.84</v>
      </c>
      <c r="Q80" s="112">
        <v>5.09</v>
      </c>
    </row>
    <row r="81" spans="1:17" customFormat="1">
      <c r="A81" s="80">
        <v>45274.760416666664</v>
      </c>
      <c r="B81" s="112">
        <v>9.43</v>
      </c>
      <c r="C81" s="112">
        <v>33.35</v>
      </c>
      <c r="D81" s="112">
        <v>26.34</v>
      </c>
      <c r="E81" s="112">
        <v>8.02</v>
      </c>
      <c r="F81" s="112">
        <v>2.91</v>
      </c>
      <c r="G81" s="112">
        <v>134.22</v>
      </c>
      <c r="H81" s="112">
        <v>38.659999999999997</v>
      </c>
      <c r="I81" s="112">
        <v>6.81</v>
      </c>
      <c r="J81" s="112">
        <v>0.33</v>
      </c>
      <c r="K81" s="112">
        <v>57.55</v>
      </c>
      <c r="L81" s="112">
        <v>21.91</v>
      </c>
      <c r="M81" s="112">
        <v>51.89</v>
      </c>
      <c r="N81" s="112">
        <v>0</v>
      </c>
      <c r="O81" s="112">
        <v>0</v>
      </c>
      <c r="P81" s="112">
        <v>0.86</v>
      </c>
      <c r="Q81" s="112">
        <v>5.14</v>
      </c>
    </row>
    <row r="82" spans="1:17" customFormat="1">
      <c r="A82" s="80">
        <v>45274.770833333336</v>
      </c>
      <c r="B82" s="112">
        <v>9.94</v>
      </c>
      <c r="C82" s="112">
        <v>33.97</v>
      </c>
      <c r="D82" s="112">
        <v>27.07</v>
      </c>
      <c r="E82" s="112">
        <v>9.1</v>
      </c>
      <c r="F82" s="112">
        <v>2.85</v>
      </c>
      <c r="G82" s="112">
        <v>134.22</v>
      </c>
      <c r="H82" s="112">
        <v>38.659999999999997</v>
      </c>
      <c r="I82" s="112">
        <v>6.97</v>
      </c>
      <c r="J82" s="112">
        <v>0.17</v>
      </c>
      <c r="K82" s="112">
        <v>73.12</v>
      </c>
      <c r="L82" s="112">
        <v>21.47</v>
      </c>
      <c r="M82" s="112">
        <v>55.11</v>
      </c>
      <c r="N82" s="112">
        <v>0</v>
      </c>
      <c r="O82" s="112">
        <v>0</v>
      </c>
      <c r="P82" s="112">
        <v>0.88</v>
      </c>
      <c r="Q82" s="112">
        <v>5.15</v>
      </c>
    </row>
    <row r="83" spans="1:17" customFormat="1">
      <c r="A83" s="80">
        <v>45274.78125</v>
      </c>
      <c r="B83" s="112">
        <v>10.3</v>
      </c>
      <c r="C83" s="112">
        <v>34.39</v>
      </c>
      <c r="D83" s="112">
        <v>27.58</v>
      </c>
      <c r="E83" s="112">
        <v>9.41</v>
      </c>
      <c r="F83" s="112">
        <v>2.77</v>
      </c>
      <c r="G83" s="112">
        <v>134.22</v>
      </c>
      <c r="H83" s="112">
        <v>38.659999999999997</v>
      </c>
      <c r="I83" s="112">
        <v>7.18</v>
      </c>
      <c r="J83" s="112">
        <v>0.23</v>
      </c>
      <c r="K83" s="112">
        <v>50.46</v>
      </c>
      <c r="L83" s="112">
        <v>21.06</v>
      </c>
      <c r="M83" s="112">
        <v>56.19</v>
      </c>
      <c r="N83" s="112">
        <v>0</v>
      </c>
      <c r="O83" s="112">
        <v>0</v>
      </c>
      <c r="P83" s="112">
        <v>0.89</v>
      </c>
      <c r="Q83" s="112">
        <v>5.16</v>
      </c>
    </row>
    <row r="84" spans="1:17" customFormat="1">
      <c r="A84" s="80">
        <v>45274.791666666664</v>
      </c>
      <c r="B84" s="112">
        <v>11.18</v>
      </c>
      <c r="C84" s="112">
        <v>35.19</v>
      </c>
      <c r="D84" s="112">
        <v>28.7</v>
      </c>
      <c r="E84" s="112">
        <v>9.51</v>
      </c>
      <c r="F84" s="112">
        <v>2.61</v>
      </c>
      <c r="G84" s="112">
        <v>147.38999999999999</v>
      </c>
      <c r="H84" s="112">
        <v>43.77</v>
      </c>
      <c r="I84" s="112">
        <v>7.4</v>
      </c>
      <c r="J84" s="112">
        <v>0.21</v>
      </c>
      <c r="K84" s="112">
        <v>54.4</v>
      </c>
      <c r="L84" s="112">
        <v>20.88</v>
      </c>
      <c r="M84" s="112">
        <v>56.96</v>
      </c>
      <c r="N84" s="112">
        <v>0</v>
      </c>
      <c r="O84" s="112">
        <v>0</v>
      </c>
      <c r="P84" s="112">
        <v>0.93</v>
      </c>
      <c r="Q84" s="112">
        <v>5.2</v>
      </c>
    </row>
    <row r="85" spans="1:17" customFormat="1">
      <c r="A85" s="80">
        <v>45274.802083333336</v>
      </c>
      <c r="B85" s="112">
        <v>12.2</v>
      </c>
      <c r="C85" s="112">
        <v>36.200000000000003</v>
      </c>
      <c r="D85" s="112">
        <v>30.05</v>
      </c>
      <c r="E85" s="112">
        <v>9.3800000000000008</v>
      </c>
      <c r="F85" s="112">
        <v>2.66</v>
      </c>
      <c r="G85" s="112">
        <v>161.15</v>
      </c>
      <c r="H85" s="112">
        <v>46.44</v>
      </c>
      <c r="I85" s="112">
        <v>7.62</v>
      </c>
      <c r="J85" s="112">
        <v>0.12</v>
      </c>
      <c r="K85" s="112">
        <v>145.76</v>
      </c>
      <c r="L85" s="112">
        <v>20.059999999999999</v>
      </c>
      <c r="M85" s="112">
        <v>65.260000000000005</v>
      </c>
      <c r="N85" s="112">
        <v>0</v>
      </c>
      <c r="O85" s="112">
        <v>0</v>
      </c>
      <c r="P85" s="112">
        <v>0.97</v>
      </c>
      <c r="Q85" s="112">
        <v>5.23</v>
      </c>
    </row>
    <row r="86" spans="1:17" customFormat="1">
      <c r="A86" s="80">
        <v>45274.8125</v>
      </c>
      <c r="B86" s="112">
        <v>12.57</v>
      </c>
      <c r="C86" s="112">
        <v>33.31</v>
      </c>
      <c r="D86" s="112">
        <v>28.83</v>
      </c>
      <c r="E86" s="112">
        <v>9.09</v>
      </c>
      <c r="F86" s="112">
        <v>2.79</v>
      </c>
      <c r="G86" s="112">
        <v>161.15</v>
      </c>
      <c r="H86" s="112">
        <v>46.44</v>
      </c>
      <c r="I86" s="112">
        <v>7.89</v>
      </c>
      <c r="J86" s="112">
        <v>0.12</v>
      </c>
      <c r="K86" s="112">
        <v>152.49</v>
      </c>
      <c r="L86" s="112">
        <v>19.5</v>
      </c>
      <c r="M86" s="112">
        <v>66.08</v>
      </c>
      <c r="N86" s="112">
        <v>0</v>
      </c>
      <c r="O86" s="112">
        <v>0</v>
      </c>
      <c r="P86" s="112">
        <v>0.97</v>
      </c>
      <c r="Q86" s="112">
        <v>5.24</v>
      </c>
    </row>
    <row r="87" spans="1:17" customFormat="1">
      <c r="A87" s="80">
        <v>45274.822916666664</v>
      </c>
      <c r="B87" s="112">
        <v>12.78</v>
      </c>
      <c r="C87" s="112">
        <v>32.53</v>
      </c>
      <c r="D87" s="112">
        <v>28.6</v>
      </c>
      <c r="E87" s="112">
        <v>9.09</v>
      </c>
      <c r="F87" s="112">
        <v>2.77</v>
      </c>
      <c r="G87" s="112">
        <v>161.15</v>
      </c>
      <c r="H87" s="112">
        <v>46.44</v>
      </c>
      <c r="I87" s="112">
        <v>8.15</v>
      </c>
      <c r="J87" s="112">
        <v>0.17</v>
      </c>
      <c r="K87" s="112">
        <v>163.13</v>
      </c>
      <c r="L87" s="112">
        <v>19.07</v>
      </c>
      <c r="M87" s="112">
        <v>68.27</v>
      </c>
      <c r="N87" s="112">
        <v>0</v>
      </c>
      <c r="O87" s="112">
        <v>0</v>
      </c>
      <c r="P87" s="112">
        <v>0.99</v>
      </c>
      <c r="Q87" s="112">
        <v>5.24</v>
      </c>
    </row>
    <row r="88" spans="1:17" customFormat="1">
      <c r="A88" s="80">
        <v>45274.833333333336</v>
      </c>
      <c r="B88" s="112">
        <v>12.72</v>
      </c>
      <c r="C88" s="112">
        <v>32.01</v>
      </c>
      <c r="D88" s="112">
        <v>28.28</v>
      </c>
      <c r="E88" s="112">
        <v>9.2200000000000006</v>
      </c>
      <c r="F88" s="112">
        <v>2.81</v>
      </c>
      <c r="G88" s="112">
        <v>162.69999999999999</v>
      </c>
      <c r="H88" s="112">
        <v>51.03</v>
      </c>
      <c r="I88" s="112">
        <v>8.35</v>
      </c>
      <c r="J88" s="112">
        <v>0.1</v>
      </c>
      <c r="K88" s="112">
        <v>141.37</v>
      </c>
      <c r="L88" s="112">
        <v>18.71</v>
      </c>
      <c r="M88" s="112">
        <v>70.98</v>
      </c>
      <c r="N88" s="112">
        <v>0</v>
      </c>
      <c r="O88" s="112">
        <v>0</v>
      </c>
      <c r="P88" s="112">
        <v>1.01</v>
      </c>
      <c r="Q88" s="112">
        <v>5.23</v>
      </c>
    </row>
    <row r="89" spans="1:17" customFormat="1">
      <c r="A89" s="80">
        <v>45274.84375</v>
      </c>
      <c r="B89" s="112">
        <v>12.67</v>
      </c>
      <c r="C89" s="112">
        <v>32.24</v>
      </c>
      <c r="D89" s="112">
        <v>28.36</v>
      </c>
      <c r="E89" s="112">
        <v>9.02</v>
      </c>
      <c r="F89" s="112">
        <v>2.61</v>
      </c>
      <c r="G89" s="112">
        <v>164.32</v>
      </c>
      <c r="H89" s="112">
        <v>56.32</v>
      </c>
      <c r="I89" s="112">
        <v>8.51</v>
      </c>
      <c r="J89" s="112">
        <v>0.13</v>
      </c>
      <c r="K89" s="112">
        <v>158.78</v>
      </c>
      <c r="L89" s="112">
        <v>18.59</v>
      </c>
      <c r="M89" s="112">
        <v>70.290000000000006</v>
      </c>
      <c r="N89" s="112">
        <v>0</v>
      </c>
      <c r="O89" s="112">
        <v>0</v>
      </c>
      <c r="P89" s="112">
        <v>1.02</v>
      </c>
      <c r="Q89" s="112">
        <v>5.23</v>
      </c>
    </row>
    <row r="90" spans="1:17" customFormat="1">
      <c r="A90" s="80">
        <v>45274.854166666664</v>
      </c>
      <c r="B90" s="112">
        <v>12.68</v>
      </c>
      <c r="C90" s="112">
        <v>31.87</v>
      </c>
      <c r="D90" s="112">
        <v>28.17</v>
      </c>
      <c r="E90" s="112">
        <v>8.6199999999999992</v>
      </c>
      <c r="F90" s="112">
        <v>2.61</v>
      </c>
      <c r="G90" s="112">
        <v>164.32</v>
      </c>
      <c r="H90" s="112">
        <v>56.32</v>
      </c>
      <c r="I90" s="112">
        <v>8.6199999999999992</v>
      </c>
      <c r="J90" s="112">
        <v>0.16</v>
      </c>
      <c r="K90" s="112">
        <v>191.16</v>
      </c>
      <c r="L90" s="112">
        <v>18.16</v>
      </c>
      <c r="M90" s="112">
        <v>79.099999999999994</v>
      </c>
      <c r="N90" s="112">
        <v>0</v>
      </c>
      <c r="O90" s="112">
        <v>0</v>
      </c>
      <c r="P90" s="112">
        <v>1.02</v>
      </c>
      <c r="Q90" s="112">
        <v>5.25</v>
      </c>
    </row>
    <row r="91" spans="1:17" customFormat="1">
      <c r="A91" s="80">
        <v>45274.864583333336</v>
      </c>
      <c r="B91" s="112">
        <v>12.44</v>
      </c>
      <c r="C91" s="112">
        <v>30.81</v>
      </c>
      <c r="D91" s="112">
        <v>27.42</v>
      </c>
      <c r="E91" s="112">
        <v>8.7100000000000009</v>
      </c>
      <c r="F91" s="112">
        <v>2.85</v>
      </c>
      <c r="G91" s="112">
        <v>164.32</v>
      </c>
      <c r="H91" s="112">
        <v>56.32</v>
      </c>
      <c r="I91" s="112">
        <v>8.68</v>
      </c>
      <c r="J91" s="112">
        <v>0.12</v>
      </c>
      <c r="K91" s="112">
        <v>210.74</v>
      </c>
      <c r="L91" s="112">
        <v>17.62</v>
      </c>
      <c r="M91" s="112">
        <v>83.96</v>
      </c>
      <c r="N91" s="112">
        <v>0</v>
      </c>
      <c r="O91" s="112">
        <v>0</v>
      </c>
      <c r="P91" s="112">
        <v>1.03</v>
      </c>
      <c r="Q91" s="112">
        <v>5.2</v>
      </c>
    </row>
    <row r="92" spans="1:17" customFormat="1">
      <c r="A92" s="80">
        <v>45274.875</v>
      </c>
      <c r="B92" s="112">
        <v>12.16</v>
      </c>
      <c r="C92" s="112">
        <v>30.03</v>
      </c>
      <c r="D92" s="112">
        <v>26.79</v>
      </c>
      <c r="E92" s="112">
        <v>8.92</v>
      </c>
      <c r="F92" s="112">
        <v>2.66</v>
      </c>
      <c r="G92" s="112">
        <v>155.91999999999999</v>
      </c>
      <c r="H92" s="112">
        <v>55.46</v>
      </c>
      <c r="I92" s="112">
        <v>8.73</v>
      </c>
      <c r="J92" s="112">
        <v>0.05</v>
      </c>
      <c r="K92" s="112">
        <v>207.24</v>
      </c>
      <c r="L92" s="112">
        <v>17.39</v>
      </c>
      <c r="M92" s="112">
        <v>81.45</v>
      </c>
      <c r="N92" s="112">
        <v>0</v>
      </c>
      <c r="O92" s="112">
        <v>0</v>
      </c>
      <c r="P92" s="112">
        <v>1.04</v>
      </c>
      <c r="Q92" s="112">
        <v>5.23</v>
      </c>
    </row>
    <row r="93" spans="1:17" customFormat="1">
      <c r="A93" s="80">
        <v>45274.885416666664</v>
      </c>
      <c r="B93" s="112">
        <v>13.32</v>
      </c>
      <c r="C93" s="112">
        <v>30.44</v>
      </c>
      <c r="D93" s="112">
        <v>27.94</v>
      </c>
      <c r="E93" s="112">
        <v>8.86</v>
      </c>
      <c r="F93" s="112">
        <v>2.5499999999999998</v>
      </c>
      <c r="G93" s="112">
        <v>147.13999999999999</v>
      </c>
      <c r="H93" s="112">
        <v>55.02</v>
      </c>
      <c r="I93" s="112">
        <v>8.7799999999999994</v>
      </c>
      <c r="J93" s="112">
        <v>0.17</v>
      </c>
      <c r="K93" s="112">
        <v>223.23</v>
      </c>
      <c r="L93" s="112">
        <v>17.399999999999999</v>
      </c>
      <c r="M93" s="112">
        <v>78.47</v>
      </c>
      <c r="N93" s="112">
        <v>0</v>
      </c>
      <c r="O93" s="112">
        <v>0</v>
      </c>
      <c r="P93" s="112">
        <v>1.06</v>
      </c>
      <c r="Q93" s="112">
        <v>5.25</v>
      </c>
    </row>
    <row r="94" spans="1:17" customFormat="1">
      <c r="A94" s="80">
        <v>45274.895833333336</v>
      </c>
      <c r="B94" s="112">
        <v>15.02</v>
      </c>
      <c r="C94" s="112">
        <v>31.13</v>
      </c>
      <c r="D94" s="112">
        <v>29.66</v>
      </c>
      <c r="E94" s="112">
        <v>9.24</v>
      </c>
      <c r="F94" s="112">
        <v>2.42</v>
      </c>
      <c r="G94" s="112">
        <v>147.13999999999999</v>
      </c>
      <c r="H94" s="112">
        <v>55.02</v>
      </c>
      <c r="I94" s="112">
        <v>8.82</v>
      </c>
      <c r="J94" s="112">
        <v>0.1</v>
      </c>
      <c r="K94" s="112">
        <v>222.58</v>
      </c>
      <c r="L94" s="112">
        <v>17.09</v>
      </c>
      <c r="M94" s="112">
        <v>80.13</v>
      </c>
      <c r="N94" s="112">
        <v>0</v>
      </c>
      <c r="O94" s="112">
        <v>0</v>
      </c>
      <c r="P94" s="112">
        <v>1.07</v>
      </c>
      <c r="Q94" s="112">
        <v>5.27</v>
      </c>
    </row>
    <row r="95" spans="1:17" customFormat="1">
      <c r="A95" s="80">
        <v>45274.90625</v>
      </c>
      <c r="B95" s="112">
        <v>15.48</v>
      </c>
      <c r="C95" s="112">
        <v>30.39</v>
      </c>
      <c r="D95" s="112">
        <v>29.65</v>
      </c>
      <c r="E95" s="112">
        <v>8.99</v>
      </c>
      <c r="F95" s="112">
        <v>2.66</v>
      </c>
      <c r="G95" s="112">
        <v>147.13999999999999</v>
      </c>
      <c r="H95" s="112">
        <v>55.02</v>
      </c>
      <c r="I95" s="112">
        <v>8.8800000000000008</v>
      </c>
      <c r="J95" s="112">
        <v>0.11</v>
      </c>
      <c r="K95" s="112">
        <v>211.13</v>
      </c>
      <c r="L95" s="112">
        <v>16.71</v>
      </c>
      <c r="M95" s="112">
        <v>81.95</v>
      </c>
      <c r="N95" s="112">
        <v>0</v>
      </c>
      <c r="O95" s="112">
        <v>0</v>
      </c>
      <c r="P95" s="112">
        <v>1.08</v>
      </c>
      <c r="Q95" s="112">
        <v>5.29</v>
      </c>
    </row>
    <row r="96" spans="1:17" customFormat="1">
      <c r="A96" s="80">
        <v>45274.916666666664</v>
      </c>
      <c r="B96" s="112">
        <v>16.510000000000002</v>
      </c>
      <c r="C96" s="112">
        <v>30.97</v>
      </c>
      <c r="D96" s="112">
        <v>30.77</v>
      </c>
      <c r="E96" s="112">
        <v>9.24</v>
      </c>
      <c r="F96" s="112">
        <v>2.64</v>
      </c>
      <c r="G96" s="112">
        <v>149.55000000000001</v>
      </c>
      <c r="H96" s="112">
        <v>55.78</v>
      </c>
      <c r="I96" s="112">
        <v>8.9499999999999993</v>
      </c>
      <c r="J96" s="112">
        <v>0.13</v>
      </c>
      <c r="K96" s="112">
        <v>192.37</v>
      </c>
      <c r="L96" s="112">
        <v>16.690000000000001</v>
      </c>
      <c r="M96" s="112">
        <v>84.09</v>
      </c>
      <c r="N96" s="112">
        <v>0</v>
      </c>
      <c r="O96" s="112">
        <v>0</v>
      </c>
      <c r="P96" s="112">
        <v>1.0900000000000001</v>
      </c>
      <c r="Q96" s="112">
        <v>5.34</v>
      </c>
    </row>
    <row r="97" spans="1:22" customFormat="1">
      <c r="A97" s="80">
        <v>45274.927083333336</v>
      </c>
      <c r="B97" s="112">
        <v>17.010000000000002</v>
      </c>
      <c r="C97" s="112">
        <v>31.12</v>
      </c>
      <c r="D97" s="112">
        <v>31.25</v>
      </c>
      <c r="E97" s="112">
        <v>9.4499999999999993</v>
      </c>
      <c r="F97" s="112">
        <v>2.62</v>
      </c>
      <c r="G97" s="112">
        <v>152.08000000000001</v>
      </c>
      <c r="H97" s="112">
        <v>56.17</v>
      </c>
      <c r="I97" s="112">
        <v>9.06</v>
      </c>
      <c r="J97" s="112">
        <v>0.12</v>
      </c>
      <c r="K97" s="112">
        <v>202.37</v>
      </c>
      <c r="L97" s="112">
        <v>16.54</v>
      </c>
      <c r="M97" s="112">
        <v>90.48</v>
      </c>
      <c r="N97" s="112">
        <v>0</v>
      </c>
      <c r="O97" s="112">
        <v>0</v>
      </c>
      <c r="P97" s="112">
        <v>1.1000000000000001</v>
      </c>
      <c r="Q97" s="112">
        <v>5.36</v>
      </c>
    </row>
    <row r="98" spans="1:22" customFormat="1">
      <c r="A98" s="80">
        <v>45274.9375</v>
      </c>
      <c r="B98" s="112">
        <v>16.670000000000002</v>
      </c>
      <c r="C98" s="112">
        <v>30.2</v>
      </c>
      <c r="D98" s="112">
        <v>30.5</v>
      </c>
      <c r="E98" s="112">
        <v>8.91</v>
      </c>
      <c r="F98" s="112">
        <v>2.69</v>
      </c>
      <c r="G98" s="112">
        <v>152.08000000000001</v>
      </c>
      <c r="H98" s="112">
        <v>56.17</v>
      </c>
      <c r="I98" s="112">
        <v>9.17</v>
      </c>
      <c r="J98" s="112">
        <v>0.14000000000000001</v>
      </c>
      <c r="K98" s="112">
        <v>181.23</v>
      </c>
      <c r="L98" s="112">
        <v>16.32</v>
      </c>
      <c r="M98" s="112">
        <v>89.79</v>
      </c>
      <c r="N98" s="112">
        <v>0</v>
      </c>
      <c r="O98" s="112">
        <v>0</v>
      </c>
      <c r="P98" s="112">
        <v>1.1000000000000001</v>
      </c>
      <c r="Q98" s="112">
        <v>5.34</v>
      </c>
    </row>
    <row r="99" spans="1:22" customFormat="1">
      <c r="A99" s="80">
        <v>45274.947916666664</v>
      </c>
      <c r="B99" s="112">
        <v>16.21</v>
      </c>
      <c r="C99" s="112">
        <v>29.68</v>
      </c>
      <c r="D99" s="112">
        <v>29.86</v>
      </c>
      <c r="E99" s="112">
        <v>9.14</v>
      </c>
      <c r="F99" s="112">
        <v>2.5099999999999998</v>
      </c>
      <c r="G99" s="112">
        <v>152.08000000000001</v>
      </c>
      <c r="H99" s="112">
        <v>56.17</v>
      </c>
      <c r="I99" s="112">
        <v>9.2200000000000006</v>
      </c>
      <c r="J99" s="112">
        <v>0.12</v>
      </c>
      <c r="K99" s="112">
        <v>186.66</v>
      </c>
      <c r="L99" s="112">
        <v>16.18</v>
      </c>
      <c r="M99" s="112">
        <v>89.21</v>
      </c>
      <c r="N99" s="112">
        <v>0</v>
      </c>
      <c r="O99" s="112">
        <v>0</v>
      </c>
      <c r="P99" s="112">
        <v>1.1100000000000001</v>
      </c>
      <c r="Q99" s="112">
        <v>5.33</v>
      </c>
    </row>
    <row r="100" spans="1:22" customFormat="1">
      <c r="A100" s="80">
        <v>45274.958333333336</v>
      </c>
      <c r="B100" s="112">
        <v>15.66</v>
      </c>
      <c r="C100" s="112">
        <v>28.76</v>
      </c>
      <c r="D100" s="112">
        <v>28.94</v>
      </c>
      <c r="E100" s="112">
        <v>9.07</v>
      </c>
      <c r="F100" s="112">
        <v>2.68</v>
      </c>
      <c r="G100" s="112">
        <v>141.6</v>
      </c>
      <c r="H100" s="112">
        <v>56.71</v>
      </c>
      <c r="I100" s="112">
        <v>9.2899999999999991</v>
      </c>
      <c r="J100" s="112">
        <v>0.12</v>
      </c>
      <c r="K100" s="112">
        <v>176.12</v>
      </c>
      <c r="L100" s="112">
        <v>16.149999999999999</v>
      </c>
      <c r="M100" s="112">
        <v>89.01</v>
      </c>
      <c r="N100" s="112">
        <v>0</v>
      </c>
      <c r="O100" s="112">
        <v>0</v>
      </c>
      <c r="P100" s="112">
        <v>1.1100000000000001</v>
      </c>
      <c r="Q100" s="112">
        <v>5.32</v>
      </c>
    </row>
    <row r="101" spans="1:22" customFormat="1">
      <c r="A101" s="80">
        <v>45274.96875</v>
      </c>
      <c r="B101" s="112">
        <v>15.2</v>
      </c>
      <c r="C101" s="112">
        <v>28.11</v>
      </c>
      <c r="D101" s="112">
        <v>28.23</v>
      </c>
      <c r="E101" s="112">
        <v>9.0299999999999994</v>
      </c>
      <c r="F101" s="112">
        <v>2.72</v>
      </c>
      <c r="G101" s="112">
        <v>130.65</v>
      </c>
      <c r="H101" s="112">
        <v>56.97</v>
      </c>
      <c r="I101" s="112">
        <v>9.33</v>
      </c>
      <c r="J101" s="112">
        <v>0.11</v>
      </c>
      <c r="K101" s="112">
        <v>242.07</v>
      </c>
      <c r="L101" s="112">
        <v>16.09</v>
      </c>
      <c r="M101" s="112">
        <v>87.55</v>
      </c>
      <c r="N101" s="112">
        <v>0</v>
      </c>
      <c r="O101" s="112">
        <v>0</v>
      </c>
      <c r="P101" s="112">
        <v>1.08</v>
      </c>
      <c r="Q101" s="112">
        <v>5.31</v>
      </c>
    </row>
    <row r="102" spans="1:22" customFormat="1">
      <c r="A102" s="80">
        <v>45274.979166666664</v>
      </c>
      <c r="B102" s="112">
        <v>14.84</v>
      </c>
      <c r="C102" s="112">
        <v>28</v>
      </c>
      <c r="D102" s="112">
        <v>27.88</v>
      </c>
      <c r="E102" s="112">
        <v>9.1300000000000008</v>
      </c>
      <c r="F102" s="112">
        <v>2.66</v>
      </c>
      <c r="G102" s="112">
        <v>130.65</v>
      </c>
      <c r="H102" s="112">
        <v>56.97</v>
      </c>
      <c r="I102" s="112">
        <v>9.3000000000000007</v>
      </c>
      <c r="J102" s="112">
        <v>0.09</v>
      </c>
      <c r="K102" s="112">
        <v>204.33</v>
      </c>
      <c r="L102" s="112">
        <v>15.99</v>
      </c>
      <c r="M102" s="112">
        <v>88.77</v>
      </c>
      <c r="N102" s="112">
        <v>0</v>
      </c>
      <c r="O102" s="112">
        <v>0</v>
      </c>
      <c r="P102" s="112">
        <v>1.08</v>
      </c>
      <c r="Q102" s="112">
        <v>5.27</v>
      </c>
    </row>
    <row r="103" spans="1:22" customFormat="1">
      <c r="A103" s="80">
        <v>45274.989583333336</v>
      </c>
      <c r="B103" s="112">
        <v>14.71</v>
      </c>
      <c r="C103" s="112">
        <v>28.52</v>
      </c>
      <c r="D103" s="112">
        <v>28.05</v>
      </c>
      <c r="E103" s="112">
        <v>8.25</v>
      </c>
      <c r="F103" s="112">
        <v>2.56</v>
      </c>
      <c r="G103" s="112">
        <v>130.65</v>
      </c>
      <c r="H103" s="112">
        <v>56.97</v>
      </c>
      <c r="I103" s="112">
        <v>9.24</v>
      </c>
      <c r="J103" s="112">
        <v>0.1</v>
      </c>
      <c r="K103" s="112">
        <v>219.42</v>
      </c>
      <c r="L103" s="112">
        <v>15.94</v>
      </c>
      <c r="M103" s="112">
        <v>87.48</v>
      </c>
      <c r="N103" s="112">
        <v>0</v>
      </c>
      <c r="O103" s="112">
        <v>0</v>
      </c>
      <c r="P103" s="112">
        <v>1.0900000000000001</v>
      </c>
      <c r="Q103" s="112">
        <v>5.27</v>
      </c>
    </row>
    <row r="104" spans="1:22" customFormat="1">
      <c r="A104" s="80">
        <v>45275</v>
      </c>
      <c r="B104" s="112">
        <v>14.69</v>
      </c>
      <c r="C104" s="112">
        <v>28.8</v>
      </c>
      <c r="D104" s="112">
        <v>28.18</v>
      </c>
      <c r="E104" s="112">
        <v>8.92</v>
      </c>
      <c r="F104" s="112">
        <v>2.57</v>
      </c>
      <c r="G104" s="112">
        <v>123.78</v>
      </c>
      <c r="H104" s="112">
        <v>54.88</v>
      </c>
      <c r="I104" s="112">
        <v>9.17</v>
      </c>
      <c r="J104" s="112">
        <v>0.11</v>
      </c>
      <c r="K104" s="112">
        <v>138.69999999999999</v>
      </c>
      <c r="L104" s="112">
        <v>15.91</v>
      </c>
      <c r="M104" s="112">
        <v>87.16</v>
      </c>
      <c r="N104" s="112">
        <v>0</v>
      </c>
      <c r="O104" s="112">
        <v>0</v>
      </c>
      <c r="P104" s="112">
        <v>1.0900000000000001</v>
      </c>
      <c r="Q104" s="112">
        <v>5.27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5.65</v>
      </c>
      <c r="C106" s="183">
        <f>MIN(C9:C104)</f>
        <v>23.22</v>
      </c>
      <c r="D106" s="183">
        <f t="shared" ref="D106:Q106" si="0">MIN(D9:D104)</f>
        <v>19.010000000000002</v>
      </c>
      <c r="E106" s="183">
        <f t="shared" si="0"/>
        <v>6.71</v>
      </c>
      <c r="F106" s="183">
        <f t="shared" si="0"/>
        <v>2.4</v>
      </c>
      <c r="G106" s="183">
        <f t="shared" si="0"/>
        <v>71.39</v>
      </c>
      <c r="H106" s="183">
        <f t="shared" si="0"/>
        <v>26.83</v>
      </c>
      <c r="I106" s="183">
        <f t="shared" si="0"/>
        <v>6.62</v>
      </c>
      <c r="J106" s="183">
        <f t="shared" si="0"/>
        <v>0.02</v>
      </c>
      <c r="K106" s="183">
        <f t="shared" si="0"/>
        <v>14.61</v>
      </c>
      <c r="L106" s="183">
        <f t="shared" si="0"/>
        <v>14.4</v>
      </c>
      <c r="M106" s="183">
        <f t="shared" si="0"/>
        <v>35.97</v>
      </c>
      <c r="N106" s="183">
        <f t="shared" si="0"/>
        <v>0</v>
      </c>
      <c r="O106" s="183">
        <f t="shared" si="0"/>
        <v>0</v>
      </c>
      <c r="P106" s="183">
        <f t="shared" si="0"/>
        <v>0.7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41.79</v>
      </c>
      <c r="C107" s="184">
        <f t="shared" ref="C107:Q107" si="1">MAX(C9:C104)</f>
        <v>36.200000000000003</v>
      </c>
      <c r="D107" s="184">
        <f t="shared" si="1"/>
        <v>50.22</v>
      </c>
      <c r="E107" s="184">
        <f t="shared" si="1"/>
        <v>9.51</v>
      </c>
      <c r="F107" s="184">
        <f t="shared" si="1"/>
        <v>5.16</v>
      </c>
      <c r="G107" s="184">
        <f t="shared" si="1"/>
        <v>164.32</v>
      </c>
      <c r="H107" s="184">
        <f t="shared" si="1"/>
        <v>56.97</v>
      </c>
      <c r="I107" s="184">
        <f t="shared" si="1"/>
        <v>10.5</v>
      </c>
      <c r="J107" s="184">
        <f t="shared" si="1"/>
        <v>0.67</v>
      </c>
      <c r="K107" s="184">
        <f t="shared" si="1"/>
        <v>355.72</v>
      </c>
      <c r="L107" s="184">
        <f t="shared" si="1"/>
        <v>26.84</v>
      </c>
      <c r="M107" s="184">
        <f t="shared" si="1"/>
        <v>96.72</v>
      </c>
      <c r="N107" s="184">
        <f t="shared" si="1"/>
        <v>569.70000000000005</v>
      </c>
      <c r="O107" s="184">
        <f t="shared" si="1"/>
        <v>0</v>
      </c>
      <c r="P107" s="184">
        <f t="shared" si="1"/>
        <v>1.1100000000000001</v>
      </c>
      <c r="Q107" s="184">
        <f t="shared" si="1"/>
        <v>6.01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20.530104166666671</v>
      </c>
      <c r="C108" s="183">
        <f t="shared" ref="C108:Q108" si="2">AVERAGE(C9:C104)</f>
        <v>28.574375</v>
      </c>
      <c r="D108" s="183">
        <f t="shared" si="2"/>
        <v>32.744583333333345</v>
      </c>
      <c r="E108" s="183">
        <f t="shared" si="2"/>
        <v>8.5335416666666681</v>
      </c>
      <c r="F108" s="183">
        <f t="shared" si="2"/>
        <v>2.9237500000000001</v>
      </c>
      <c r="G108" s="183">
        <f t="shared" si="2"/>
        <v>109.66104166666662</v>
      </c>
      <c r="H108" s="183">
        <f t="shared" si="2"/>
        <v>43.478125000000006</v>
      </c>
      <c r="I108" s="183">
        <f t="shared" si="2"/>
        <v>8.9456249999999979</v>
      </c>
      <c r="J108" s="183">
        <f t="shared" si="2"/>
        <v>0.22041666666666679</v>
      </c>
      <c r="K108" s="183">
        <f t="shared" si="2"/>
        <v>147.56395833333332</v>
      </c>
      <c r="L108" s="183">
        <f t="shared" si="2"/>
        <v>19.866458333333341</v>
      </c>
      <c r="M108" s="183">
        <f t="shared" si="2"/>
        <v>69.551562500000003</v>
      </c>
      <c r="N108" s="183">
        <f t="shared" si="2"/>
        <v>108.44166666666668</v>
      </c>
      <c r="O108" s="183">
        <f t="shared" si="2"/>
        <v>0</v>
      </c>
      <c r="P108" s="183">
        <f t="shared" si="2"/>
        <v>0.9113541666666668</v>
      </c>
      <c r="Q108" s="183">
        <f t="shared" si="2"/>
        <v>5.4234375000000012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10.376908625434337</v>
      </c>
      <c r="C109" s="183">
        <f t="shared" ref="C109:Q109" si="3">STDEV(C9:C104)</f>
        <v>2.7855782022863513</v>
      </c>
      <c r="D109" s="183">
        <f t="shared" si="3"/>
        <v>8.4631830414437914</v>
      </c>
      <c r="E109" s="183">
        <f t="shared" si="3"/>
        <v>0.5854876135444631</v>
      </c>
      <c r="F109" s="183">
        <f t="shared" si="3"/>
        <v>0.59171872763296884</v>
      </c>
      <c r="G109" s="183">
        <f t="shared" si="3"/>
        <v>26.36293492483129</v>
      </c>
      <c r="H109" s="183">
        <f t="shared" si="3"/>
        <v>8.9481603298931596</v>
      </c>
      <c r="I109" s="183">
        <f t="shared" si="3"/>
        <v>1.2232285257938667</v>
      </c>
      <c r="J109" s="183">
        <f t="shared" si="3"/>
        <v>0.14454951194489982</v>
      </c>
      <c r="K109" s="183">
        <f t="shared" si="3"/>
        <v>88.782989118401744</v>
      </c>
      <c r="L109" s="183">
        <f t="shared" si="3"/>
        <v>4.3256500525577293</v>
      </c>
      <c r="M109" s="183">
        <f t="shared" si="3"/>
        <v>21.65271925687636</v>
      </c>
      <c r="N109" s="183">
        <f t="shared" si="3"/>
        <v>184.77153498401984</v>
      </c>
      <c r="O109" s="183">
        <f t="shared" si="3"/>
        <v>0</v>
      </c>
      <c r="P109" s="183">
        <f t="shared" si="3"/>
        <v>0.11380148728716923</v>
      </c>
      <c r="Q109" s="183">
        <f t="shared" si="3"/>
        <v>0.29213129032930502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45275.010416666664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45275.010416666664</v>
      </c>
      <c r="B9" s="112">
        <v>16.18</v>
      </c>
      <c r="C9" s="112">
        <v>28.97</v>
      </c>
      <c r="D9" s="112">
        <v>29.46</v>
      </c>
      <c r="E9" s="112">
        <v>9.3800000000000008</v>
      </c>
      <c r="F9" s="112">
        <v>2.56</v>
      </c>
      <c r="G9" s="112">
        <v>116.6</v>
      </c>
      <c r="H9" s="112">
        <v>53.79</v>
      </c>
      <c r="I9" s="112">
        <v>9.11</v>
      </c>
      <c r="J9" s="112">
        <v>0.14000000000000001</v>
      </c>
      <c r="K9" s="112">
        <v>230.86</v>
      </c>
      <c r="L9" s="112">
        <v>15.94</v>
      </c>
      <c r="M9" s="112">
        <v>86.45</v>
      </c>
      <c r="N9" s="112">
        <v>0</v>
      </c>
      <c r="O9" s="112">
        <v>0</v>
      </c>
      <c r="P9" s="112">
        <v>1.08</v>
      </c>
      <c r="Q9" s="112">
        <v>5.29</v>
      </c>
    </row>
    <row r="10" spans="1:21" customFormat="1">
      <c r="A10" s="80">
        <v>45275.020833333336</v>
      </c>
      <c r="B10" s="112">
        <v>17.28</v>
      </c>
      <c r="C10" s="112">
        <v>29.95</v>
      </c>
      <c r="D10" s="112">
        <v>30.86</v>
      </c>
      <c r="E10" s="112">
        <v>9.5</v>
      </c>
      <c r="F10" s="112">
        <v>2.64</v>
      </c>
      <c r="G10" s="112">
        <v>116.6</v>
      </c>
      <c r="H10" s="112">
        <v>53.79</v>
      </c>
      <c r="I10" s="112">
        <v>9.0399999999999991</v>
      </c>
      <c r="J10" s="112">
        <v>0.1</v>
      </c>
      <c r="K10" s="112">
        <v>212.62</v>
      </c>
      <c r="L10" s="112">
        <v>15.79</v>
      </c>
      <c r="M10" s="112">
        <v>88.29</v>
      </c>
      <c r="N10" s="112">
        <v>0</v>
      </c>
      <c r="O10" s="112">
        <v>0</v>
      </c>
      <c r="P10" s="112">
        <v>1.08</v>
      </c>
      <c r="Q10" s="112">
        <v>5.35</v>
      </c>
    </row>
    <row r="11" spans="1:21" customFormat="1">
      <c r="A11" s="80">
        <v>45275.03125</v>
      </c>
      <c r="B11" s="112">
        <v>17.87</v>
      </c>
      <c r="C11" s="112">
        <v>30.16</v>
      </c>
      <c r="D11" s="112">
        <v>31.44</v>
      </c>
      <c r="E11" s="112">
        <v>8.82</v>
      </c>
      <c r="F11" s="112">
        <v>2.5499999999999998</v>
      </c>
      <c r="G11" s="112">
        <v>116.6</v>
      </c>
      <c r="H11" s="112">
        <v>53.79</v>
      </c>
      <c r="I11" s="112">
        <v>8.9499999999999993</v>
      </c>
      <c r="J11" s="112">
        <v>0.12</v>
      </c>
      <c r="K11" s="112">
        <v>162.83000000000001</v>
      </c>
      <c r="L11" s="112">
        <v>15.73</v>
      </c>
      <c r="M11" s="112">
        <v>88.78</v>
      </c>
      <c r="N11" s="112">
        <v>0</v>
      </c>
      <c r="O11" s="112">
        <v>0</v>
      </c>
      <c r="P11" s="112">
        <v>1.06</v>
      </c>
      <c r="Q11" s="112">
        <v>5.4</v>
      </c>
    </row>
    <row r="12" spans="1:21" customFormat="1">
      <c r="A12" s="80">
        <v>45275.041666666664</v>
      </c>
      <c r="B12" s="112">
        <v>17.77</v>
      </c>
      <c r="C12" s="112">
        <v>30.16</v>
      </c>
      <c r="D12" s="112">
        <v>31.36</v>
      </c>
      <c r="E12" s="112">
        <v>8.61</v>
      </c>
      <c r="F12" s="112">
        <v>2.5099999999999998</v>
      </c>
      <c r="G12" s="112">
        <v>110.81</v>
      </c>
      <c r="H12" s="112">
        <v>52.17</v>
      </c>
      <c r="I12" s="112">
        <v>8.85</v>
      </c>
      <c r="J12" s="112">
        <v>0.11</v>
      </c>
      <c r="K12" s="112">
        <v>240.33</v>
      </c>
      <c r="L12" s="112">
        <v>15.64</v>
      </c>
      <c r="M12" s="112">
        <v>89.98</v>
      </c>
      <c r="N12" s="112">
        <v>0</v>
      </c>
      <c r="O12" s="112">
        <v>0</v>
      </c>
      <c r="P12" s="112">
        <v>1.05</v>
      </c>
      <c r="Q12" s="112">
        <v>5.4</v>
      </c>
    </row>
    <row r="13" spans="1:21" customFormat="1">
      <c r="A13" s="80">
        <v>45275.052083333336</v>
      </c>
      <c r="B13" s="112">
        <v>17.420000000000002</v>
      </c>
      <c r="C13" s="112">
        <v>29.37</v>
      </c>
      <c r="D13" s="112">
        <v>30.66</v>
      </c>
      <c r="E13" s="112">
        <v>8.73</v>
      </c>
      <c r="F13" s="112">
        <v>2.6</v>
      </c>
      <c r="G13" s="112">
        <v>104.75</v>
      </c>
      <c r="H13" s="112">
        <v>51.32</v>
      </c>
      <c r="I13" s="112">
        <v>8.75</v>
      </c>
      <c r="J13" s="112">
        <v>0.06</v>
      </c>
      <c r="K13" s="112">
        <v>288.69</v>
      </c>
      <c r="L13" s="112">
        <v>15.4</v>
      </c>
      <c r="M13" s="112">
        <v>89.5</v>
      </c>
      <c r="N13" s="112">
        <v>0</v>
      </c>
      <c r="O13" s="112">
        <v>0</v>
      </c>
      <c r="P13" s="112">
        <v>1.03</v>
      </c>
      <c r="Q13" s="112">
        <v>5.39</v>
      </c>
    </row>
    <row r="14" spans="1:21" customFormat="1">
      <c r="A14" s="80">
        <v>45275.0625</v>
      </c>
      <c r="B14" s="112">
        <v>17.96</v>
      </c>
      <c r="C14" s="112">
        <v>29.44</v>
      </c>
      <c r="D14" s="112">
        <v>31.13</v>
      </c>
      <c r="E14" s="112">
        <v>8.77</v>
      </c>
      <c r="F14" s="112">
        <v>2.64</v>
      </c>
      <c r="G14" s="112">
        <v>104.75</v>
      </c>
      <c r="H14" s="112">
        <v>51.32</v>
      </c>
      <c r="I14" s="112">
        <v>8.65</v>
      </c>
      <c r="J14" s="112">
        <v>0.16</v>
      </c>
      <c r="K14" s="112">
        <v>37.56</v>
      </c>
      <c r="L14" s="112">
        <v>15.24</v>
      </c>
      <c r="M14" s="112">
        <v>84.82</v>
      </c>
      <c r="N14" s="112">
        <v>0</v>
      </c>
      <c r="O14" s="112">
        <v>0</v>
      </c>
      <c r="P14" s="112">
        <v>1.02</v>
      </c>
      <c r="Q14" s="112">
        <v>5.41</v>
      </c>
    </row>
    <row r="15" spans="1:21" customFormat="1">
      <c r="A15" s="80">
        <v>45275.072916666664</v>
      </c>
      <c r="B15" s="112">
        <v>18.59</v>
      </c>
      <c r="C15" s="112">
        <v>29.85</v>
      </c>
      <c r="D15" s="112">
        <v>31.85</v>
      </c>
      <c r="E15" s="112">
        <v>8.65</v>
      </c>
      <c r="F15" s="112">
        <v>2.68</v>
      </c>
      <c r="G15" s="112">
        <v>104.75</v>
      </c>
      <c r="H15" s="112">
        <v>51.32</v>
      </c>
      <c r="I15" s="112">
        <v>8.51</v>
      </c>
      <c r="J15" s="112">
        <v>0.1</v>
      </c>
      <c r="K15" s="112">
        <v>57.06</v>
      </c>
      <c r="L15" s="112">
        <v>15.48</v>
      </c>
      <c r="M15" s="112">
        <v>82.37</v>
      </c>
      <c r="N15" s="112">
        <v>0</v>
      </c>
      <c r="O15" s="112">
        <v>0</v>
      </c>
      <c r="P15" s="112">
        <v>1.01</v>
      </c>
      <c r="Q15" s="112">
        <v>5.43</v>
      </c>
    </row>
    <row r="16" spans="1:21" customFormat="1">
      <c r="A16" s="80">
        <v>45275.083333333336</v>
      </c>
      <c r="B16" s="112">
        <v>18.64</v>
      </c>
      <c r="C16" s="112">
        <v>30.03</v>
      </c>
      <c r="D16" s="112">
        <v>31.99</v>
      </c>
      <c r="E16" s="112">
        <v>8.33</v>
      </c>
      <c r="F16" s="112">
        <v>2.5299999999999998</v>
      </c>
      <c r="G16" s="112">
        <v>104.06</v>
      </c>
      <c r="H16" s="112">
        <v>49.18</v>
      </c>
      <c r="I16" s="112">
        <v>8.4499999999999993</v>
      </c>
      <c r="J16" s="112">
        <v>0.06</v>
      </c>
      <c r="K16" s="112">
        <v>70.48</v>
      </c>
      <c r="L16" s="112">
        <v>15.45</v>
      </c>
      <c r="M16" s="112">
        <v>83.38</v>
      </c>
      <c r="N16" s="112">
        <v>0</v>
      </c>
      <c r="O16" s="112">
        <v>0</v>
      </c>
      <c r="P16" s="112">
        <v>0.99</v>
      </c>
      <c r="Q16" s="112">
        <v>5.43</v>
      </c>
    </row>
    <row r="17" spans="1:17" customFormat="1">
      <c r="A17" s="80">
        <v>45275.09375</v>
      </c>
      <c r="B17" s="112">
        <v>18.670000000000002</v>
      </c>
      <c r="C17" s="112">
        <v>29.86</v>
      </c>
      <c r="D17" s="112">
        <v>31.92</v>
      </c>
      <c r="E17" s="112">
        <v>7.87</v>
      </c>
      <c r="F17" s="112">
        <v>2.7</v>
      </c>
      <c r="G17" s="112">
        <v>103.34</v>
      </c>
      <c r="H17" s="112">
        <v>46.71</v>
      </c>
      <c r="I17" s="112">
        <v>8.3800000000000008</v>
      </c>
      <c r="J17" s="112">
        <v>0.09</v>
      </c>
      <c r="K17" s="112">
        <v>95.46</v>
      </c>
      <c r="L17" s="112">
        <v>15.35</v>
      </c>
      <c r="M17" s="112">
        <v>83.91</v>
      </c>
      <c r="N17" s="112">
        <v>0</v>
      </c>
      <c r="O17" s="112">
        <v>0</v>
      </c>
      <c r="P17" s="112">
        <v>0.97</v>
      </c>
      <c r="Q17" s="112">
        <v>5.44</v>
      </c>
    </row>
    <row r="18" spans="1:17" customFormat="1">
      <c r="A18" s="80">
        <v>45275.104166666664</v>
      </c>
      <c r="B18" s="112">
        <v>18.940000000000001</v>
      </c>
      <c r="C18" s="112">
        <v>30.03</v>
      </c>
      <c r="D18" s="112">
        <v>32.229999999999997</v>
      </c>
      <c r="E18" s="112">
        <v>9.33</v>
      </c>
      <c r="F18" s="112">
        <v>2.62</v>
      </c>
      <c r="G18" s="112">
        <v>103.34</v>
      </c>
      <c r="H18" s="112">
        <v>46.71</v>
      </c>
      <c r="I18" s="112">
        <v>8.2799999999999994</v>
      </c>
      <c r="J18" s="112">
        <v>0.2</v>
      </c>
      <c r="K18" s="112">
        <v>51.24</v>
      </c>
      <c r="L18" s="112">
        <v>15.33</v>
      </c>
      <c r="M18" s="112">
        <v>82.83</v>
      </c>
      <c r="N18" s="112">
        <v>0</v>
      </c>
      <c r="O18" s="112">
        <v>0</v>
      </c>
      <c r="P18" s="112">
        <v>0.96</v>
      </c>
      <c r="Q18" s="112">
        <v>5.43</v>
      </c>
    </row>
    <row r="19" spans="1:17" customFormat="1">
      <c r="A19" s="80">
        <v>45275.114583333336</v>
      </c>
      <c r="B19" s="112">
        <v>19.579999999999998</v>
      </c>
      <c r="C19" s="112">
        <v>29.97</v>
      </c>
      <c r="D19" s="112">
        <v>32.71</v>
      </c>
      <c r="E19" s="112">
        <v>9.66</v>
      </c>
      <c r="F19" s="112">
        <v>2.4500000000000002</v>
      </c>
      <c r="G19" s="112">
        <v>103.34</v>
      </c>
      <c r="H19" s="112">
        <v>46.71</v>
      </c>
      <c r="I19" s="112">
        <v>8.24</v>
      </c>
      <c r="J19" s="112">
        <v>0.1</v>
      </c>
      <c r="K19" s="112">
        <v>85.87</v>
      </c>
      <c r="L19" s="112">
        <v>15.34</v>
      </c>
      <c r="M19" s="112">
        <v>82.94</v>
      </c>
      <c r="N19" s="112">
        <v>0</v>
      </c>
      <c r="O19" s="112">
        <v>0</v>
      </c>
      <c r="P19" s="112">
        <v>0.95</v>
      </c>
      <c r="Q19" s="112">
        <v>5.43</v>
      </c>
    </row>
    <row r="20" spans="1:17" customFormat="1">
      <c r="A20" s="80">
        <v>45275.125</v>
      </c>
      <c r="B20" s="112">
        <v>20.32</v>
      </c>
      <c r="C20" s="112">
        <v>30.05</v>
      </c>
      <c r="D20" s="112">
        <v>33.35</v>
      </c>
      <c r="E20" s="112">
        <v>9.7799999999999994</v>
      </c>
      <c r="F20" s="112">
        <v>2.67</v>
      </c>
      <c r="G20" s="112">
        <v>99.07</v>
      </c>
      <c r="H20" s="112">
        <v>44.1</v>
      </c>
      <c r="I20" s="112">
        <v>8.2200000000000006</v>
      </c>
      <c r="J20" s="112">
        <v>0.11</v>
      </c>
      <c r="K20" s="112">
        <v>161.32</v>
      </c>
      <c r="L20" s="112">
        <v>15.11</v>
      </c>
      <c r="M20" s="112">
        <v>85.71</v>
      </c>
      <c r="N20" s="112">
        <v>0</v>
      </c>
      <c r="O20" s="112">
        <v>0</v>
      </c>
      <c r="P20" s="112">
        <v>0.94</v>
      </c>
      <c r="Q20" s="112">
        <v>5.46</v>
      </c>
    </row>
    <row r="21" spans="1:17" customFormat="1">
      <c r="A21" s="80">
        <v>45275.135416666664</v>
      </c>
      <c r="B21" s="112">
        <v>20.83</v>
      </c>
      <c r="C21" s="112">
        <v>29.87</v>
      </c>
      <c r="D21" s="112">
        <v>33.659999999999997</v>
      </c>
      <c r="E21" s="112">
        <v>9.56</v>
      </c>
      <c r="F21" s="112">
        <v>2.61</v>
      </c>
      <c r="G21" s="112">
        <v>94.6</v>
      </c>
      <c r="H21" s="112">
        <v>42.71</v>
      </c>
      <c r="I21" s="112">
        <v>8.2100000000000009</v>
      </c>
      <c r="J21" s="112">
        <v>0.05</v>
      </c>
      <c r="K21" s="112">
        <v>131.13999999999999</v>
      </c>
      <c r="L21" s="112">
        <v>14.83</v>
      </c>
      <c r="M21" s="112">
        <v>87.44</v>
      </c>
      <c r="N21" s="112">
        <v>0</v>
      </c>
      <c r="O21" s="112">
        <v>0</v>
      </c>
      <c r="P21" s="112">
        <v>0.93</v>
      </c>
      <c r="Q21" s="112">
        <v>5.49</v>
      </c>
    </row>
    <row r="22" spans="1:17" customFormat="1">
      <c r="A22" s="80">
        <v>45275.145833333336</v>
      </c>
      <c r="B22" s="112">
        <v>21.66</v>
      </c>
      <c r="C22" s="112">
        <v>29.93</v>
      </c>
      <c r="D22" s="112">
        <v>34.35</v>
      </c>
      <c r="E22" s="112">
        <v>9.56</v>
      </c>
      <c r="F22" s="112">
        <v>2.67</v>
      </c>
      <c r="G22" s="112">
        <v>94.6</v>
      </c>
      <c r="H22" s="112">
        <v>42.71</v>
      </c>
      <c r="I22" s="112">
        <v>8.3000000000000007</v>
      </c>
      <c r="J22" s="112">
        <v>0.23</v>
      </c>
      <c r="K22" s="112">
        <v>37.729999999999997</v>
      </c>
      <c r="L22" s="112">
        <v>14.76</v>
      </c>
      <c r="M22" s="112">
        <v>86.39</v>
      </c>
      <c r="N22" s="112">
        <v>0</v>
      </c>
      <c r="O22" s="112">
        <v>0</v>
      </c>
      <c r="P22" s="112">
        <v>0.93</v>
      </c>
      <c r="Q22" s="112">
        <v>5.52</v>
      </c>
    </row>
    <row r="23" spans="1:17" customFormat="1">
      <c r="A23" s="80">
        <v>45275.15625</v>
      </c>
      <c r="B23" s="112">
        <v>21.62</v>
      </c>
      <c r="C23" s="112">
        <v>30.14</v>
      </c>
      <c r="D23" s="112">
        <v>34.44</v>
      </c>
      <c r="E23" s="112">
        <v>9.84</v>
      </c>
      <c r="F23" s="112">
        <v>2.59</v>
      </c>
      <c r="G23" s="112">
        <v>94.6</v>
      </c>
      <c r="H23" s="112">
        <v>42.71</v>
      </c>
      <c r="I23" s="112">
        <v>8.48</v>
      </c>
      <c r="J23" s="112">
        <v>0.32</v>
      </c>
      <c r="K23" s="112">
        <v>36.81</v>
      </c>
      <c r="L23" s="112">
        <v>14.88</v>
      </c>
      <c r="M23" s="112">
        <v>85.03</v>
      </c>
      <c r="N23" s="112">
        <v>0</v>
      </c>
      <c r="O23" s="112">
        <v>0</v>
      </c>
      <c r="P23" s="112">
        <v>0.92</v>
      </c>
      <c r="Q23" s="112">
        <v>5.51</v>
      </c>
    </row>
    <row r="24" spans="1:17" customFormat="1">
      <c r="A24" s="80">
        <v>45275.166666666664</v>
      </c>
      <c r="B24" s="112">
        <v>21.03</v>
      </c>
      <c r="C24" s="112">
        <v>29.76</v>
      </c>
      <c r="D24" s="112">
        <v>33.76</v>
      </c>
      <c r="E24" s="112">
        <v>9.35</v>
      </c>
      <c r="F24" s="112">
        <v>2.65</v>
      </c>
      <c r="G24" s="112">
        <v>98.01</v>
      </c>
      <c r="H24" s="112">
        <v>45.36</v>
      </c>
      <c r="I24" s="112">
        <v>8.69</v>
      </c>
      <c r="J24" s="112">
        <v>0.24</v>
      </c>
      <c r="K24" s="112">
        <v>49.37</v>
      </c>
      <c r="L24" s="112">
        <v>14.89</v>
      </c>
      <c r="M24" s="112">
        <v>84.6</v>
      </c>
      <c r="N24" s="112">
        <v>0</v>
      </c>
      <c r="O24" s="112">
        <v>0</v>
      </c>
      <c r="P24" s="112">
        <v>0.92</v>
      </c>
      <c r="Q24" s="112">
        <v>5.49</v>
      </c>
    </row>
    <row r="25" spans="1:17" customFormat="1">
      <c r="A25" s="80">
        <v>45275.177083333336</v>
      </c>
      <c r="B25" s="112">
        <v>20.76</v>
      </c>
      <c r="C25" s="112">
        <v>30.12</v>
      </c>
      <c r="D25" s="112">
        <v>33.74</v>
      </c>
      <c r="E25" s="112">
        <v>10.029999999999999</v>
      </c>
      <c r="F25" s="112">
        <v>2.76</v>
      </c>
      <c r="G25" s="112">
        <v>101.57</v>
      </c>
      <c r="H25" s="112">
        <v>46.78</v>
      </c>
      <c r="I25" s="112">
        <v>8.8000000000000007</v>
      </c>
      <c r="J25" s="112">
        <v>0.18</v>
      </c>
      <c r="K25" s="112">
        <v>58.86</v>
      </c>
      <c r="L25" s="112">
        <v>14.76</v>
      </c>
      <c r="M25" s="112">
        <v>85.13</v>
      </c>
      <c r="N25" s="112">
        <v>0</v>
      </c>
      <c r="O25" s="112">
        <v>0</v>
      </c>
      <c r="P25" s="112">
        <v>0.9</v>
      </c>
      <c r="Q25" s="112">
        <v>5.49</v>
      </c>
    </row>
    <row r="26" spans="1:17" customFormat="1">
      <c r="A26" s="80">
        <v>45275.1875</v>
      </c>
      <c r="B26" s="112">
        <v>21.04</v>
      </c>
      <c r="C26" s="112">
        <v>30.07</v>
      </c>
      <c r="D26" s="112">
        <v>33.94</v>
      </c>
      <c r="E26" s="112">
        <v>9.7100000000000009</v>
      </c>
      <c r="F26" s="112">
        <v>2.66</v>
      </c>
      <c r="G26" s="112">
        <v>101.57</v>
      </c>
      <c r="H26" s="112">
        <v>46.78</v>
      </c>
      <c r="I26" s="112">
        <v>8.83</v>
      </c>
      <c r="J26" s="112">
        <v>0.22</v>
      </c>
      <c r="K26" s="112">
        <v>58.98</v>
      </c>
      <c r="L26" s="112">
        <v>14.74</v>
      </c>
      <c r="M26" s="112">
        <v>84.75</v>
      </c>
      <c r="N26" s="112">
        <v>0</v>
      </c>
      <c r="O26" s="112">
        <v>0</v>
      </c>
      <c r="P26" s="112">
        <v>0.9</v>
      </c>
      <c r="Q26" s="112">
        <v>5.5</v>
      </c>
    </row>
    <row r="27" spans="1:17" customFormat="1">
      <c r="A27" s="80">
        <v>45275.197916666664</v>
      </c>
      <c r="B27" s="112">
        <v>21.22</v>
      </c>
      <c r="C27" s="112">
        <v>29.93</v>
      </c>
      <c r="D27" s="112">
        <v>34.01</v>
      </c>
      <c r="E27" s="112">
        <v>9.3699999999999992</v>
      </c>
      <c r="F27" s="112">
        <v>2.59</v>
      </c>
      <c r="G27" s="112">
        <v>101.57</v>
      </c>
      <c r="H27" s="112">
        <v>46.78</v>
      </c>
      <c r="I27" s="112">
        <v>8.84</v>
      </c>
      <c r="J27" s="112">
        <v>0.23</v>
      </c>
      <c r="K27" s="112">
        <v>61.1</v>
      </c>
      <c r="L27" s="112">
        <v>14.7</v>
      </c>
      <c r="M27" s="112">
        <v>84.59</v>
      </c>
      <c r="N27" s="112">
        <v>0</v>
      </c>
      <c r="O27" s="112">
        <v>0</v>
      </c>
      <c r="P27" s="112">
        <v>0.89</v>
      </c>
      <c r="Q27" s="112">
        <v>5.5</v>
      </c>
    </row>
    <row r="28" spans="1:17" customFormat="1">
      <c r="A28" s="80">
        <v>45275.208333333336</v>
      </c>
      <c r="B28" s="112">
        <v>21.35</v>
      </c>
      <c r="C28" s="112">
        <v>30.09</v>
      </c>
      <c r="D28" s="112">
        <v>34.19</v>
      </c>
      <c r="E28" s="112">
        <v>9.5</v>
      </c>
      <c r="F28" s="112">
        <v>2.63</v>
      </c>
      <c r="G28" s="112">
        <v>100.59</v>
      </c>
      <c r="H28" s="112">
        <v>46.24</v>
      </c>
      <c r="I28" s="112">
        <v>8.85</v>
      </c>
      <c r="J28" s="112">
        <v>0.19</v>
      </c>
      <c r="K28" s="112">
        <v>50.64</v>
      </c>
      <c r="L28" s="112">
        <v>14.62</v>
      </c>
      <c r="M28" s="112">
        <v>84.64</v>
      </c>
      <c r="N28" s="112">
        <v>0</v>
      </c>
      <c r="O28" s="112">
        <v>0</v>
      </c>
      <c r="P28" s="112">
        <v>0.88</v>
      </c>
      <c r="Q28" s="112">
        <v>5.45</v>
      </c>
    </row>
    <row r="29" spans="1:17" customFormat="1">
      <c r="A29" s="80">
        <v>45275.21875</v>
      </c>
      <c r="B29" s="112">
        <v>21.63</v>
      </c>
      <c r="C29" s="112">
        <v>29.1</v>
      </c>
      <c r="D29" s="112">
        <v>33.9</v>
      </c>
      <c r="E29" s="112">
        <v>9.6</v>
      </c>
      <c r="F29" s="112">
        <v>2.81</v>
      </c>
      <c r="G29" s="112">
        <v>99.56</v>
      </c>
      <c r="H29" s="112">
        <v>45.96</v>
      </c>
      <c r="I29" s="112">
        <v>8.84</v>
      </c>
      <c r="J29" s="112">
        <v>0.18</v>
      </c>
      <c r="K29" s="112">
        <v>51.32</v>
      </c>
      <c r="L29" s="112">
        <v>14.51</v>
      </c>
      <c r="M29" s="112">
        <v>85.16</v>
      </c>
      <c r="N29" s="112">
        <v>0</v>
      </c>
      <c r="O29" s="112">
        <v>0</v>
      </c>
      <c r="P29" s="112">
        <v>0.87</v>
      </c>
      <c r="Q29" s="112">
        <v>5.45</v>
      </c>
    </row>
    <row r="30" spans="1:17" customFormat="1">
      <c r="A30" s="80">
        <v>45275.229166666664</v>
      </c>
      <c r="B30" s="112">
        <v>21.8</v>
      </c>
      <c r="C30" s="112">
        <v>28.68</v>
      </c>
      <c r="D30" s="112">
        <v>33.82</v>
      </c>
      <c r="E30" s="112">
        <v>9.6999999999999993</v>
      </c>
      <c r="F30" s="112">
        <v>2.71</v>
      </c>
      <c r="G30" s="112">
        <v>99.56</v>
      </c>
      <c r="H30" s="112">
        <v>45.96</v>
      </c>
      <c r="I30" s="112">
        <v>8.8699999999999992</v>
      </c>
      <c r="J30" s="112">
        <v>0.08</v>
      </c>
      <c r="K30" s="112">
        <v>153.91999999999999</v>
      </c>
      <c r="L30" s="112">
        <v>14.42</v>
      </c>
      <c r="M30" s="112">
        <v>86.53</v>
      </c>
      <c r="N30" s="112">
        <v>0</v>
      </c>
      <c r="O30" s="112">
        <v>0</v>
      </c>
      <c r="P30" s="112">
        <v>0.86</v>
      </c>
      <c r="Q30" s="112">
        <v>5.46</v>
      </c>
    </row>
    <row r="31" spans="1:17" customFormat="1">
      <c r="A31" s="80">
        <v>45275.239583333336</v>
      </c>
      <c r="B31" s="112">
        <v>21.89</v>
      </c>
      <c r="C31" s="112">
        <v>28.79</v>
      </c>
      <c r="D31" s="112">
        <v>33.950000000000003</v>
      </c>
      <c r="E31" s="112">
        <v>9.18</v>
      </c>
      <c r="F31" s="112">
        <v>2.68</v>
      </c>
      <c r="G31" s="112">
        <v>99.56</v>
      </c>
      <c r="H31" s="112">
        <v>45.96</v>
      </c>
      <c r="I31" s="112">
        <v>8.91</v>
      </c>
      <c r="J31" s="112">
        <v>0.12</v>
      </c>
      <c r="K31" s="112">
        <v>164.42</v>
      </c>
      <c r="L31" s="112">
        <v>14.22</v>
      </c>
      <c r="M31" s="112">
        <v>88.67</v>
      </c>
      <c r="N31" s="112">
        <v>0</v>
      </c>
      <c r="O31" s="112">
        <v>0</v>
      </c>
      <c r="P31" s="112">
        <v>0.86</v>
      </c>
      <c r="Q31" s="112">
        <v>5.48</v>
      </c>
    </row>
    <row r="32" spans="1:17" customFormat="1">
      <c r="A32" s="80">
        <v>45275.25</v>
      </c>
      <c r="B32" s="112">
        <v>21.36</v>
      </c>
      <c r="C32" s="112">
        <v>28.58</v>
      </c>
      <c r="D32" s="112">
        <v>33.409999999999997</v>
      </c>
      <c r="E32" s="112">
        <v>9.3000000000000007</v>
      </c>
      <c r="F32" s="112">
        <v>2.61</v>
      </c>
      <c r="G32" s="112">
        <v>100.78</v>
      </c>
      <c r="H32" s="112">
        <v>45.9</v>
      </c>
      <c r="I32" s="112">
        <v>8.9</v>
      </c>
      <c r="J32" s="112">
        <v>0.13</v>
      </c>
      <c r="K32" s="112">
        <v>229.86</v>
      </c>
      <c r="L32" s="112">
        <v>14</v>
      </c>
      <c r="M32" s="112">
        <v>91.86</v>
      </c>
      <c r="N32" s="112">
        <v>0</v>
      </c>
      <c r="O32" s="112">
        <v>0</v>
      </c>
      <c r="P32" s="112">
        <v>0.85</v>
      </c>
      <c r="Q32" s="112">
        <v>5.46</v>
      </c>
    </row>
    <row r="33" spans="1:17" customFormat="1">
      <c r="A33" s="80">
        <v>45275.260416666664</v>
      </c>
      <c r="B33" s="112">
        <v>20.49</v>
      </c>
      <c r="C33" s="112">
        <v>28.08</v>
      </c>
      <c r="D33" s="112">
        <v>32.46</v>
      </c>
      <c r="E33" s="112">
        <v>9.33</v>
      </c>
      <c r="F33" s="112">
        <v>2.4700000000000002</v>
      </c>
      <c r="G33" s="112">
        <v>102.06</v>
      </c>
      <c r="H33" s="112">
        <v>45.87</v>
      </c>
      <c r="I33" s="112">
        <v>8.91</v>
      </c>
      <c r="J33" s="112">
        <v>0.13</v>
      </c>
      <c r="K33" s="112">
        <v>183.45</v>
      </c>
      <c r="L33" s="112">
        <v>13.8</v>
      </c>
      <c r="M33" s="112">
        <v>94.14</v>
      </c>
      <c r="N33" s="112">
        <v>0</v>
      </c>
      <c r="O33" s="112">
        <v>0</v>
      </c>
      <c r="P33" s="112">
        <v>0.83</v>
      </c>
      <c r="Q33" s="112">
        <v>5.44</v>
      </c>
    </row>
    <row r="34" spans="1:17" customFormat="1">
      <c r="A34" s="80">
        <v>45275.270833333336</v>
      </c>
      <c r="B34" s="112">
        <v>19.63</v>
      </c>
      <c r="C34" s="112">
        <v>27.67</v>
      </c>
      <c r="D34" s="112">
        <v>31.55</v>
      </c>
      <c r="E34" s="112">
        <v>9.27</v>
      </c>
      <c r="F34" s="112">
        <v>2.66</v>
      </c>
      <c r="G34" s="112">
        <v>102.06</v>
      </c>
      <c r="H34" s="112">
        <v>45.87</v>
      </c>
      <c r="I34" s="112">
        <v>8.86</v>
      </c>
      <c r="J34" s="112">
        <v>0.08</v>
      </c>
      <c r="K34" s="112">
        <v>183.41</v>
      </c>
      <c r="L34" s="112">
        <v>13.58</v>
      </c>
      <c r="M34" s="112">
        <v>95.48</v>
      </c>
      <c r="N34" s="112">
        <v>0</v>
      </c>
      <c r="O34" s="112">
        <v>0</v>
      </c>
      <c r="P34" s="112">
        <v>0.82</v>
      </c>
      <c r="Q34" s="112">
        <v>5.4</v>
      </c>
    </row>
    <row r="35" spans="1:17" customFormat="1">
      <c r="A35" s="80">
        <v>45275.28125</v>
      </c>
      <c r="B35" s="112">
        <v>19.46</v>
      </c>
      <c r="C35" s="112">
        <v>26.87</v>
      </c>
      <c r="D35" s="112">
        <v>31</v>
      </c>
      <c r="E35" s="112">
        <v>9.5500000000000007</v>
      </c>
      <c r="F35" s="112">
        <v>2.57</v>
      </c>
      <c r="G35" s="112">
        <v>102.06</v>
      </c>
      <c r="H35" s="112">
        <v>45.87</v>
      </c>
      <c r="I35" s="112">
        <v>8.7200000000000006</v>
      </c>
      <c r="J35" s="112">
        <v>0.11</v>
      </c>
      <c r="K35" s="112">
        <v>92.94</v>
      </c>
      <c r="L35" s="112">
        <v>13.62</v>
      </c>
      <c r="M35" s="112">
        <v>93.77</v>
      </c>
      <c r="N35" s="112">
        <v>1</v>
      </c>
      <c r="O35" s="112">
        <v>0</v>
      </c>
      <c r="P35" s="112">
        <v>0.83</v>
      </c>
      <c r="Q35" s="112">
        <v>5.38</v>
      </c>
    </row>
    <row r="36" spans="1:17" customFormat="1">
      <c r="A36" s="80">
        <v>45275.291666666664</v>
      </c>
      <c r="B36" s="112">
        <v>21.66</v>
      </c>
      <c r="C36" s="112">
        <v>27.49</v>
      </c>
      <c r="D36" s="112">
        <v>33.08</v>
      </c>
      <c r="E36" s="112">
        <v>9.57</v>
      </c>
      <c r="F36" s="112">
        <v>2.54</v>
      </c>
      <c r="G36" s="112">
        <v>101.11</v>
      </c>
      <c r="H36" s="112">
        <v>45.5</v>
      </c>
      <c r="I36" s="112">
        <v>8.6300000000000008</v>
      </c>
      <c r="J36" s="112">
        <v>0.19</v>
      </c>
      <c r="K36" s="112">
        <v>49.54</v>
      </c>
      <c r="L36" s="112">
        <v>14.11</v>
      </c>
      <c r="M36" s="112">
        <v>87.43</v>
      </c>
      <c r="N36" s="112">
        <v>9</v>
      </c>
      <c r="O36" s="112">
        <v>0</v>
      </c>
      <c r="P36" s="112">
        <v>0.84</v>
      </c>
      <c r="Q36" s="112">
        <v>5.43</v>
      </c>
    </row>
    <row r="37" spans="1:17" customFormat="1">
      <c r="A37" s="80">
        <v>45275.302083333336</v>
      </c>
      <c r="B37" s="112">
        <v>24.08</v>
      </c>
      <c r="C37" s="112">
        <v>28.45</v>
      </c>
      <c r="D37" s="112">
        <v>35.53</v>
      </c>
      <c r="E37" s="112">
        <v>9.77</v>
      </c>
      <c r="F37" s="112">
        <v>2.57</v>
      </c>
      <c r="G37" s="112">
        <v>100.12</v>
      </c>
      <c r="H37" s="112">
        <v>45.3</v>
      </c>
      <c r="I37" s="112">
        <v>8.58</v>
      </c>
      <c r="J37" s="112">
        <v>0.28000000000000003</v>
      </c>
      <c r="K37" s="112">
        <v>45.7</v>
      </c>
      <c r="L37" s="112">
        <v>14.59</v>
      </c>
      <c r="M37" s="112">
        <v>83.44</v>
      </c>
      <c r="N37" s="112">
        <v>20</v>
      </c>
      <c r="O37" s="112">
        <v>0</v>
      </c>
      <c r="P37" s="112">
        <v>0.85</v>
      </c>
      <c r="Q37" s="112">
        <v>5.51</v>
      </c>
    </row>
    <row r="38" spans="1:17" customFormat="1">
      <c r="A38" s="80">
        <v>45275.3125</v>
      </c>
      <c r="B38" s="112">
        <v>25.6</v>
      </c>
      <c r="C38" s="112">
        <v>28.78</v>
      </c>
      <c r="D38" s="112">
        <v>36.909999999999997</v>
      </c>
      <c r="E38" s="112">
        <v>9.68</v>
      </c>
      <c r="F38" s="112">
        <v>2.59</v>
      </c>
      <c r="G38" s="112">
        <v>100.12</v>
      </c>
      <c r="H38" s="112">
        <v>45.3</v>
      </c>
      <c r="I38" s="112">
        <v>8.61</v>
      </c>
      <c r="J38" s="112">
        <v>0.32</v>
      </c>
      <c r="K38" s="112">
        <v>50.42</v>
      </c>
      <c r="L38" s="112">
        <v>15.1</v>
      </c>
      <c r="M38" s="112">
        <v>80.34</v>
      </c>
      <c r="N38" s="112">
        <v>33.4</v>
      </c>
      <c r="O38" s="112">
        <v>0</v>
      </c>
      <c r="P38" s="112">
        <v>0.86</v>
      </c>
      <c r="Q38" s="112">
        <v>5.57</v>
      </c>
    </row>
    <row r="39" spans="1:17" customFormat="1">
      <c r="A39" s="80">
        <v>45275.322916666664</v>
      </c>
      <c r="B39" s="112">
        <v>26.53</v>
      </c>
      <c r="C39" s="112">
        <v>29.35</v>
      </c>
      <c r="D39" s="112">
        <v>37.96</v>
      </c>
      <c r="E39" s="112">
        <v>9.42</v>
      </c>
      <c r="F39" s="112">
        <v>2.7</v>
      </c>
      <c r="G39" s="112">
        <v>100.12</v>
      </c>
      <c r="H39" s="112">
        <v>45.3</v>
      </c>
      <c r="I39" s="112">
        <v>8.67</v>
      </c>
      <c r="J39" s="112">
        <v>0.26</v>
      </c>
      <c r="K39" s="112">
        <v>56.53</v>
      </c>
      <c r="L39" s="112">
        <v>15.65</v>
      </c>
      <c r="M39" s="112">
        <v>78.25</v>
      </c>
      <c r="N39" s="112">
        <v>46.9</v>
      </c>
      <c r="O39" s="112">
        <v>0</v>
      </c>
      <c r="P39" s="112">
        <v>0.87</v>
      </c>
      <c r="Q39" s="112">
        <v>5.61</v>
      </c>
    </row>
    <row r="40" spans="1:17" customFormat="1">
      <c r="A40" s="80">
        <v>45275.333333333336</v>
      </c>
      <c r="B40" s="112">
        <v>26.94</v>
      </c>
      <c r="C40" s="112">
        <v>30.95</v>
      </c>
      <c r="D40" s="112">
        <v>39.130000000000003</v>
      </c>
      <c r="E40" s="112">
        <v>9.51</v>
      </c>
      <c r="F40" s="112">
        <v>2.5499999999999998</v>
      </c>
      <c r="G40" s="112">
        <v>110.24</v>
      </c>
      <c r="H40" s="112">
        <v>46.45</v>
      </c>
      <c r="I40" s="112">
        <v>8.7100000000000009</v>
      </c>
      <c r="J40" s="112">
        <v>0.2</v>
      </c>
      <c r="K40" s="112">
        <v>104.3</v>
      </c>
      <c r="L40" s="112">
        <v>16.47</v>
      </c>
      <c r="M40" s="112">
        <v>73.23</v>
      </c>
      <c r="N40" s="112">
        <v>88.9</v>
      </c>
      <c r="O40" s="112">
        <v>0</v>
      </c>
      <c r="P40" s="112">
        <v>0.88</v>
      </c>
      <c r="Q40" s="112">
        <v>5.64</v>
      </c>
    </row>
    <row r="41" spans="1:17" customFormat="1">
      <c r="A41" s="80">
        <v>45275.34375</v>
      </c>
      <c r="B41" s="112">
        <v>26.42</v>
      </c>
      <c r="C41" s="112">
        <v>32</v>
      </c>
      <c r="D41" s="112">
        <v>39.26</v>
      </c>
      <c r="E41" s="112">
        <v>9.4</v>
      </c>
      <c r="F41" s="112">
        <v>2.5099999999999998</v>
      </c>
      <c r="G41" s="112">
        <v>120.81</v>
      </c>
      <c r="H41" s="112">
        <v>47.71</v>
      </c>
      <c r="I41" s="112">
        <v>8.76</v>
      </c>
      <c r="J41" s="112">
        <v>0.35</v>
      </c>
      <c r="K41" s="112">
        <v>68.23</v>
      </c>
      <c r="L41" s="112">
        <v>17.23</v>
      </c>
      <c r="M41" s="112">
        <v>68.239999999999995</v>
      </c>
      <c r="N41" s="112">
        <v>171.1</v>
      </c>
      <c r="O41" s="112">
        <v>0</v>
      </c>
      <c r="P41" s="112">
        <v>0.87</v>
      </c>
      <c r="Q41" s="112">
        <v>5.62</v>
      </c>
    </row>
    <row r="42" spans="1:17" customFormat="1">
      <c r="A42" s="80">
        <v>45275.354166666664</v>
      </c>
      <c r="B42" s="112">
        <v>25.4</v>
      </c>
      <c r="C42" s="112">
        <v>32.93</v>
      </c>
      <c r="D42" s="112">
        <v>38.92</v>
      </c>
      <c r="E42" s="112">
        <v>9.07</v>
      </c>
      <c r="F42" s="112">
        <v>2.6</v>
      </c>
      <c r="G42" s="112">
        <v>120.81</v>
      </c>
      <c r="H42" s="112">
        <v>47.71</v>
      </c>
      <c r="I42" s="112">
        <v>8.82</v>
      </c>
      <c r="J42" s="112">
        <v>0.36</v>
      </c>
      <c r="K42" s="112">
        <v>65.760000000000005</v>
      </c>
      <c r="L42" s="112">
        <v>18.079999999999998</v>
      </c>
      <c r="M42" s="112">
        <v>64.7</v>
      </c>
      <c r="N42" s="112">
        <v>206.6</v>
      </c>
      <c r="O42" s="112">
        <v>0</v>
      </c>
      <c r="P42" s="112">
        <v>0.88</v>
      </c>
      <c r="Q42" s="112">
        <v>5.58</v>
      </c>
    </row>
    <row r="43" spans="1:17" customFormat="1">
      <c r="A43" s="80">
        <v>45275.364583333336</v>
      </c>
      <c r="B43" s="112">
        <v>24.58</v>
      </c>
      <c r="C43" s="112">
        <v>33</v>
      </c>
      <c r="D43" s="112">
        <v>38.299999999999997</v>
      </c>
      <c r="E43" s="112">
        <v>9.35</v>
      </c>
      <c r="F43" s="112">
        <v>2.67</v>
      </c>
      <c r="G43" s="112">
        <v>120.81</v>
      </c>
      <c r="H43" s="112">
        <v>47.71</v>
      </c>
      <c r="I43" s="112">
        <v>8.9</v>
      </c>
      <c r="J43" s="112">
        <v>0.55000000000000004</v>
      </c>
      <c r="K43" s="112">
        <v>45.84</v>
      </c>
      <c r="L43" s="112">
        <v>18.88</v>
      </c>
      <c r="M43" s="112">
        <v>62.19</v>
      </c>
      <c r="N43" s="112">
        <v>244.9</v>
      </c>
      <c r="O43" s="112">
        <v>0</v>
      </c>
      <c r="P43" s="112">
        <v>0.87</v>
      </c>
      <c r="Q43" s="112">
        <v>5.56</v>
      </c>
    </row>
    <row r="44" spans="1:17" customFormat="1">
      <c r="A44" s="80">
        <v>45275.375</v>
      </c>
      <c r="B44" s="112">
        <v>24.29</v>
      </c>
      <c r="C44" s="112">
        <v>32.119999999999997</v>
      </c>
      <c r="D44" s="112">
        <v>37.61</v>
      </c>
      <c r="E44" s="112">
        <v>9.41</v>
      </c>
      <c r="F44" s="112">
        <v>2.71</v>
      </c>
      <c r="G44" s="112">
        <v>117.94</v>
      </c>
      <c r="H44" s="112">
        <v>44.89</v>
      </c>
      <c r="I44" s="112">
        <v>9.19</v>
      </c>
      <c r="J44" s="112">
        <v>0.65</v>
      </c>
      <c r="K44" s="112">
        <v>49.08</v>
      </c>
      <c r="L44" s="112">
        <v>19.73</v>
      </c>
      <c r="M44" s="112">
        <v>55.29</v>
      </c>
      <c r="N44" s="112">
        <v>209.7</v>
      </c>
      <c r="O44" s="112">
        <v>0</v>
      </c>
      <c r="P44" s="112">
        <v>0.88</v>
      </c>
      <c r="Q44" s="112">
        <v>5.53</v>
      </c>
    </row>
    <row r="45" spans="1:17" customFormat="1">
      <c r="A45" s="80">
        <v>45275.385416666664</v>
      </c>
      <c r="B45" s="112">
        <v>24.01</v>
      </c>
      <c r="C45" s="112">
        <v>30.69</v>
      </c>
      <c r="D45" s="112">
        <v>36.64</v>
      </c>
      <c r="E45" s="112">
        <v>9.66</v>
      </c>
      <c r="F45" s="112">
        <v>2.61</v>
      </c>
      <c r="G45" s="112">
        <v>114.94</v>
      </c>
      <c r="H45" s="112">
        <v>43.42</v>
      </c>
      <c r="I45" s="112">
        <v>9.61</v>
      </c>
      <c r="J45" s="112">
        <v>0.41</v>
      </c>
      <c r="K45" s="112">
        <v>55.33</v>
      </c>
      <c r="L45" s="112">
        <v>20.66</v>
      </c>
      <c r="M45" s="112">
        <v>53.66</v>
      </c>
      <c r="N45" s="112">
        <v>109.7</v>
      </c>
      <c r="O45" s="112">
        <v>0</v>
      </c>
      <c r="P45" s="112">
        <v>0.87</v>
      </c>
      <c r="Q45" s="112">
        <v>5.53</v>
      </c>
    </row>
    <row r="46" spans="1:17" customFormat="1">
      <c r="A46" s="80">
        <v>45275.395833333336</v>
      </c>
      <c r="B46" s="112">
        <v>23.83</v>
      </c>
      <c r="C46" s="112">
        <v>29.91</v>
      </c>
      <c r="D46" s="112">
        <v>36.090000000000003</v>
      </c>
      <c r="E46" s="112">
        <v>9.1</v>
      </c>
      <c r="F46" s="112">
        <v>2.69</v>
      </c>
      <c r="G46" s="112">
        <v>114.94</v>
      </c>
      <c r="H46" s="112">
        <v>43.42</v>
      </c>
      <c r="I46" s="112">
        <v>9.81</v>
      </c>
      <c r="J46" s="112">
        <v>0.51</v>
      </c>
      <c r="K46" s="112">
        <v>57.85</v>
      </c>
      <c r="L46" s="112">
        <v>21.28</v>
      </c>
      <c r="M46" s="112">
        <v>52.13</v>
      </c>
      <c r="N46" s="112">
        <v>113.5</v>
      </c>
      <c r="O46" s="112">
        <v>0</v>
      </c>
      <c r="P46" s="112">
        <v>0.86</v>
      </c>
      <c r="Q46" s="112">
        <v>5.53</v>
      </c>
    </row>
    <row r="47" spans="1:17" customFormat="1">
      <c r="A47" s="80">
        <v>45275.40625</v>
      </c>
      <c r="B47" s="112">
        <v>23.51</v>
      </c>
      <c r="C47" s="112">
        <v>28.8</v>
      </c>
      <c r="D47" s="112">
        <v>35.26</v>
      </c>
      <c r="E47" s="112">
        <v>9</v>
      </c>
      <c r="F47" s="112">
        <v>2.91</v>
      </c>
      <c r="G47" s="112">
        <v>114.94</v>
      </c>
      <c r="H47" s="112">
        <v>43.42</v>
      </c>
      <c r="I47" s="112">
        <v>9.76</v>
      </c>
      <c r="J47" s="112">
        <v>0.52</v>
      </c>
      <c r="K47" s="112">
        <v>41.57</v>
      </c>
      <c r="L47" s="112">
        <v>21.9</v>
      </c>
      <c r="M47" s="112">
        <v>49.44</v>
      </c>
      <c r="N47" s="112">
        <v>132.30000000000001</v>
      </c>
      <c r="O47" s="112">
        <v>0</v>
      </c>
      <c r="P47" s="112">
        <v>0.86</v>
      </c>
      <c r="Q47" s="112">
        <v>5.53</v>
      </c>
    </row>
    <row r="48" spans="1:17" customFormat="1">
      <c r="A48" s="80">
        <v>45275.416666666664</v>
      </c>
      <c r="B48" s="112">
        <v>22.64</v>
      </c>
      <c r="C48" s="112">
        <v>29.36</v>
      </c>
      <c r="D48" s="112">
        <v>34.840000000000003</v>
      </c>
      <c r="E48" s="112">
        <v>8.74</v>
      </c>
      <c r="F48" s="112">
        <v>2.85</v>
      </c>
      <c r="G48" s="112">
        <v>112.33</v>
      </c>
      <c r="H48" s="112">
        <v>42.39</v>
      </c>
      <c r="I48" s="112">
        <v>9.67</v>
      </c>
      <c r="J48" s="112">
        <v>0.37</v>
      </c>
      <c r="K48" s="112">
        <v>104.77</v>
      </c>
      <c r="L48" s="112">
        <v>22.66</v>
      </c>
      <c r="M48" s="112">
        <v>48.05</v>
      </c>
      <c r="N48" s="112">
        <v>294.10000000000002</v>
      </c>
      <c r="O48" s="112">
        <v>0</v>
      </c>
      <c r="P48" s="112">
        <v>0.87</v>
      </c>
      <c r="Q48" s="112">
        <v>5.53</v>
      </c>
    </row>
    <row r="49" spans="1:17" customFormat="1">
      <c r="A49" s="80">
        <v>45275.427083333336</v>
      </c>
      <c r="B49" s="112">
        <v>20.94</v>
      </c>
      <c r="C49" s="112">
        <v>29.96</v>
      </c>
      <c r="D49" s="112">
        <v>33.799999999999997</v>
      </c>
      <c r="E49" s="112">
        <v>7.76</v>
      </c>
      <c r="F49" s="112">
        <v>2.9</v>
      </c>
      <c r="G49" s="112">
        <v>109.6</v>
      </c>
      <c r="H49" s="112">
        <v>41.86</v>
      </c>
      <c r="I49" s="112">
        <v>9.56</v>
      </c>
      <c r="J49" s="112">
        <v>0.34</v>
      </c>
      <c r="K49" s="112">
        <v>36.75</v>
      </c>
      <c r="L49" s="112">
        <v>22.84</v>
      </c>
      <c r="M49" s="112">
        <v>47.84</v>
      </c>
      <c r="N49" s="112">
        <v>453.2</v>
      </c>
      <c r="O49" s="112">
        <v>0</v>
      </c>
      <c r="P49" s="112">
        <v>0.86</v>
      </c>
      <c r="Q49" s="112">
        <v>5.49</v>
      </c>
    </row>
    <row r="50" spans="1:17" customFormat="1">
      <c r="A50" s="80">
        <v>45275.4375</v>
      </c>
      <c r="B50" s="112">
        <v>19.190000000000001</v>
      </c>
      <c r="C50" s="112">
        <v>30.41</v>
      </c>
      <c r="D50" s="112">
        <v>32.630000000000003</v>
      </c>
      <c r="E50" s="112">
        <v>8.5</v>
      </c>
      <c r="F50" s="112">
        <v>2.88</v>
      </c>
      <c r="G50" s="112">
        <v>109.6</v>
      </c>
      <c r="H50" s="112">
        <v>41.86</v>
      </c>
      <c r="I50" s="112">
        <v>9.39</v>
      </c>
      <c r="J50" s="112">
        <v>0.48</v>
      </c>
      <c r="K50" s="112">
        <v>36.590000000000003</v>
      </c>
      <c r="L50" s="112">
        <v>23.45</v>
      </c>
      <c r="M50" s="112">
        <v>47.63</v>
      </c>
      <c r="N50" s="112">
        <v>479.5</v>
      </c>
      <c r="O50" s="112">
        <v>0</v>
      </c>
      <c r="P50" s="112">
        <v>0.85</v>
      </c>
      <c r="Q50" s="112">
        <v>5.46</v>
      </c>
    </row>
    <row r="51" spans="1:17" customFormat="1">
      <c r="A51" s="80">
        <v>45275.447916666664</v>
      </c>
      <c r="B51" s="112">
        <v>17.52</v>
      </c>
      <c r="C51" s="112">
        <v>30.77</v>
      </c>
      <c r="D51" s="112">
        <v>31.48</v>
      </c>
      <c r="E51" s="112">
        <v>8.4700000000000006</v>
      </c>
      <c r="F51" s="112">
        <v>3.05</v>
      </c>
      <c r="G51" s="112">
        <v>109.6</v>
      </c>
      <c r="H51" s="112">
        <v>41.86</v>
      </c>
      <c r="I51" s="112">
        <v>9.18</v>
      </c>
      <c r="J51" s="112">
        <v>0.18</v>
      </c>
      <c r="K51" s="112">
        <v>23.58</v>
      </c>
      <c r="L51" s="112">
        <v>23.86</v>
      </c>
      <c r="M51" s="112">
        <v>46.9</v>
      </c>
      <c r="N51" s="112">
        <v>502.3</v>
      </c>
      <c r="O51" s="112">
        <v>0</v>
      </c>
      <c r="P51" s="112">
        <v>0.85</v>
      </c>
      <c r="Q51" s="112">
        <v>5.39</v>
      </c>
    </row>
    <row r="52" spans="1:17" customFormat="1">
      <c r="A52" s="80">
        <v>45275.458333333336</v>
      </c>
      <c r="B52" s="112">
        <v>15.57</v>
      </c>
      <c r="C52" s="112">
        <v>31</v>
      </c>
      <c r="D52" s="112">
        <v>30.03</v>
      </c>
      <c r="E52" s="112">
        <v>8.74</v>
      </c>
      <c r="F52" s="112">
        <v>3.16</v>
      </c>
      <c r="G52" s="112">
        <v>106.93</v>
      </c>
      <c r="H52" s="112">
        <v>39.89</v>
      </c>
      <c r="I52" s="112">
        <v>9.01</v>
      </c>
      <c r="J52" s="112">
        <v>0.19</v>
      </c>
      <c r="K52" s="112">
        <v>103.51</v>
      </c>
      <c r="L52" s="112">
        <v>24.4</v>
      </c>
      <c r="M52" s="112">
        <v>45.45</v>
      </c>
      <c r="N52" s="112">
        <v>478.7</v>
      </c>
      <c r="O52" s="112">
        <v>0</v>
      </c>
      <c r="P52" s="112">
        <v>0.84</v>
      </c>
      <c r="Q52" s="112">
        <v>5.35</v>
      </c>
    </row>
    <row r="53" spans="1:17" customFormat="1">
      <c r="A53" s="80">
        <v>45275.46875</v>
      </c>
      <c r="B53" s="112">
        <v>13.69</v>
      </c>
      <c r="C53" s="112">
        <v>30.8</v>
      </c>
      <c r="D53" s="112">
        <v>28.42</v>
      </c>
      <c r="E53" s="112">
        <v>9</v>
      </c>
      <c r="F53" s="112">
        <v>3.23</v>
      </c>
      <c r="G53" s="112">
        <v>104.14</v>
      </c>
      <c r="H53" s="112">
        <v>38.86</v>
      </c>
      <c r="I53" s="112">
        <v>8.82</v>
      </c>
      <c r="J53" s="112">
        <v>0.2</v>
      </c>
      <c r="K53" s="112">
        <v>348.09</v>
      </c>
      <c r="L53" s="112">
        <v>24.97</v>
      </c>
      <c r="M53" s="112">
        <v>44.57</v>
      </c>
      <c r="N53" s="112">
        <v>532.6</v>
      </c>
      <c r="O53" s="112">
        <v>0</v>
      </c>
      <c r="P53" s="112">
        <v>0.83</v>
      </c>
      <c r="Q53" s="112">
        <v>5.3</v>
      </c>
    </row>
    <row r="54" spans="1:17" customFormat="1">
      <c r="A54" s="80">
        <v>45275.479166666664</v>
      </c>
      <c r="B54" s="112">
        <v>12.06</v>
      </c>
      <c r="C54" s="112">
        <v>30.36</v>
      </c>
      <c r="D54" s="112">
        <v>26.88</v>
      </c>
      <c r="E54" s="112">
        <v>8.7899999999999991</v>
      </c>
      <c r="F54" s="112">
        <v>3.34</v>
      </c>
      <c r="G54" s="112">
        <v>104.14</v>
      </c>
      <c r="H54" s="112">
        <v>38.86</v>
      </c>
      <c r="I54" s="112">
        <v>8.64</v>
      </c>
      <c r="J54" s="112">
        <v>0.13</v>
      </c>
      <c r="K54" s="112">
        <v>52.87</v>
      </c>
      <c r="L54" s="112">
        <v>25.33</v>
      </c>
      <c r="M54" s="112">
        <v>41.06</v>
      </c>
      <c r="N54" s="112">
        <v>538.9</v>
      </c>
      <c r="O54" s="112">
        <v>0</v>
      </c>
      <c r="P54" s="112">
        <v>0.82</v>
      </c>
      <c r="Q54" s="112">
        <v>5.23</v>
      </c>
    </row>
    <row r="55" spans="1:17" customFormat="1">
      <c r="A55" s="80">
        <v>45275.489583333336</v>
      </c>
      <c r="B55" s="112">
        <v>9.5299999999999994</v>
      </c>
      <c r="C55" s="112">
        <v>29.33</v>
      </c>
      <c r="D55" s="112">
        <v>24.32</v>
      </c>
      <c r="E55" s="112">
        <v>9.2200000000000006</v>
      </c>
      <c r="F55" s="112">
        <v>4.1399999999999997</v>
      </c>
      <c r="G55" s="112">
        <v>104.14</v>
      </c>
      <c r="H55" s="112">
        <v>38.86</v>
      </c>
      <c r="I55" s="112">
        <v>8.4499999999999993</v>
      </c>
      <c r="J55" s="112">
        <v>0.25</v>
      </c>
      <c r="K55" s="112">
        <v>156.1</v>
      </c>
      <c r="L55" s="112">
        <v>25.91</v>
      </c>
      <c r="M55" s="112">
        <v>38.409999999999997</v>
      </c>
      <c r="N55" s="112">
        <v>567</v>
      </c>
      <c r="O55" s="112">
        <v>0</v>
      </c>
      <c r="P55" s="112">
        <v>0.78</v>
      </c>
      <c r="Q55" s="112">
        <v>5.16</v>
      </c>
    </row>
    <row r="56" spans="1:17" customFormat="1">
      <c r="A56" s="80">
        <v>45275.5</v>
      </c>
      <c r="B56" s="112">
        <v>7.62</v>
      </c>
      <c r="C56" s="112">
        <v>28.17</v>
      </c>
      <c r="D56" s="112">
        <v>22.17</v>
      </c>
      <c r="E56" s="112">
        <v>8.66</v>
      </c>
      <c r="F56" s="112">
        <v>3.85</v>
      </c>
      <c r="G56" s="112">
        <v>98.44</v>
      </c>
      <c r="H56" s="112">
        <v>36</v>
      </c>
      <c r="I56" s="112">
        <v>8.1999999999999993</v>
      </c>
      <c r="J56" s="112">
        <v>0.26</v>
      </c>
      <c r="K56" s="112">
        <v>143.15</v>
      </c>
      <c r="L56" s="112">
        <v>26.21</v>
      </c>
      <c r="M56" s="112">
        <v>37.86</v>
      </c>
      <c r="N56" s="112">
        <v>568.1</v>
      </c>
      <c r="O56" s="112">
        <v>0</v>
      </c>
      <c r="P56" s="112">
        <v>0.77</v>
      </c>
      <c r="Q56" s="112">
        <v>5.1100000000000003</v>
      </c>
    </row>
    <row r="57" spans="1:17" customFormat="1">
      <c r="A57" s="80">
        <v>45275.510416666664</v>
      </c>
      <c r="B57" s="112">
        <v>6.34</v>
      </c>
      <c r="C57" s="112">
        <v>27.4</v>
      </c>
      <c r="D57" s="112">
        <v>20.75</v>
      </c>
      <c r="E57" s="112">
        <v>8.31</v>
      </c>
      <c r="F57" s="112">
        <v>3.66</v>
      </c>
      <c r="G57" s="112">
        <v>92.49</v>
      </c>
      <c r="H57" s="112">
        <v>34.5</v>
      </c>
      <c r="I57" s="112">
        <v>7.87</v>
      </c>
      <c r="J57" s="112">
        <v>0.28000000000000003</v>
      </c>
      <c r="K57" s="112">
        <v>93.53</v>
      </c>
      <c r="L57" s="112">
        <v>26.16</v>
      </c>
      <c r="M57" s="112">
        <v>37.46</v>
      </c>
      <c r="N57" s="112">
        <v>565.5</v>
      </c>
      <c r="O57" s="112">
        <v>0</v>
      </c>
      <c r="P57" s="112">
        <v>0.75</v>
      </c>
      <c r="Q57" s="112">
        <v>5.07</v>
      </c>
    </row>
    <row r="58" spans="1:17" customFormat="1">
      <c r="A58" s="80">
        <v>45275.520833333336</v>
      </c>
      <c r="B58" s="112">
        <v>5.22</v>
      </c>
      <c r="C58" s="112">
        <v>26.7</v>
      </c>
      <c r="D58" s="112">
        <v>19.489999999999998</v>
      </c>
      <c r="E58" s="112">
        <v>8.7200000000000006</v>
      </c>
      <c r="F58" s="112">
        <v>3.74</v>
      </c>
      <c r="G58" s="112">
        <v>92.49</v>
      </c>
      <c r="H58" s="112">
        <v>34.5</v>
      </c>
      <c r="I58" s="112">
        <v>7.64</v>
      </c>
      <c r="J58" s="112">
        <v>0.2</v>
      </c>
      <c r="K58" s="112">
        <v>91.02</v>
      </c>
      <c r="L58" s="112">
        <v>26.52</v>
      </c>
      <c r="M58" s="112">
        <v>36.75</v>
      </c>
      <c r="N58" s="112">
        <v>559.4</v>
      </c>
      <c r="O58" s="112">
        <v>0</v>
      </c>
      <c r="P58" s="112">
        <v>0.74</v>
      </c>
      <c r="Q58" s="112">
        <v>5.05</v>
      </c>
    </row>
    <row r="59" spans="1:17" customFormat="1">
      <c r="A59" s="80">
        <v>45275.53125</v>
      </c>
      <c r="B59" s="112">
        <v>4.37</v>
      </c>
      <c r="C59" s="112">
        <v>26.41</v>
      </c>
      <c r="D59" s="112">
        <v>18.649999999999999</v>
      </c>
      <c r="E59" s="112">
        <v>8.33</v>
      </c>
      <c r="F59" s="112">
        <v>3.73</v>
      </c>
      <c r="G59" s="112">
        <v>92.49</v>
      </c>
      <c r="H59" s="112">
        <v>34.5</v>
      </c>
      <c r="I59" s="112">
        <v>7.43</v>
      </c>
      <c r="J59" s="112">
        <v>0.22</v>
      </c>
      <c r="K59" s="112">
        <v>84.57</v>
      </c>
      <c r="L59" s="112">
        <v>26.61</v>
      </c>
      <c r="M59" s="112">
        <v>34.29</v>
      </c>
      <c r="N59" s="112">
        <v>558.70000000000005</v>
      </c>
      <c r="O59" s="112">
        <v>0</v>
      </c>
      <c r="P59" s="112">
        <v>0.73</v>
      </c>
      <c r="Q59" s="112">
        <v>5.03</v>
      </c>
    </row>
    <row r="60" spans="1:17" customFormat="1">
      <c r="A60" s="80">
        <v>45275.541666666664</v>
      </c>
      <c r="B60" s="112">
        <v>3.86</v>
      </c>
      <c r="C60" s="112">
        <v>26.29</v>
      </c>
      <c r="D60" s="112">
        <v>18.18</v>
      </c>
      <c r="E60" s="112">
        <v>9.1199999999999992</v>
      </c>
      <c r="F60" s="112">
        <v>3.92</v>
      </c>
      <c r="G60" s="112">
        <v>86.46</v>
      </c>
      <c r="H60" s="112">
        <v>33.93</v>
      </c>
      <c r="I60" s="112">
        <v>7.22</v>
      </c>
      <c r="J60" s="112">
        <v>0.19</v>
      </c>
      <c r="K60" s="112">
        <v>75</v>
      </c>
      <c r="L60" s="112">
        <v>26.76</v>
      </c>
      <c r="M60" s="112">
        <v>33.93</v>
      </c>
      <c r="N60" s="112">
        <v>518.20000000000005</v>
      </c>
      <c r="O60" s="112">
        <v>0</v>
      </c>
      <c r="P60" s="112">
        <v>0.71</v>
      </c>
      <c r="Q60" s="112">
        <v>5.01</v>
      </c>
    </row>
    <row r="61" spans="1:17" customFormat="1">
      <c r="A61" s="80">
        <v>45275.552083333336</v>
      </c>
      <c r="B61" s="112">
        <v>3.42</v>
      </c>
      <c r="C61" s="112">
        <v>26.45</v>
      </c>
      <c r="D61" s="112">
        <v>17.91</v>
      </c>
      <c r="E61" s="112">
        <v>8.6999999999999993</v>
      </c>
      <c r="F61" s="112">
        <v>3.94</v>
      </c>
      <c r="G61" s="112">
        <v>80.150000000000006</v>
      </c>
      <c r="H61" s="112">
        <v>33.64</v>
      </c>
      <c r="I61" s="112">
        <v>6.97</v>
      </c>
      <c r="J61" s="112">
        <v>0.06</v>
      </c>
      <c r="K61" s="112">
        <v>223.58</v>
      </c>
      <c r="L61" s="112">
        <v>26.77</v>
      </c>
      <c r="M61" s="112">
        <v>34.82</v>
      </c>
      <c r="N61" s="112">
        <v>498.5</v>
      </c>
      <c r="O61" s="112">
        <v>0</v>
      </c>
      <c r="P61" s="112">
        <v>0.69</v>
      </c>
      <c r="Q61" s="112">
        <v>5.01</v>
      </c>
    </row>
    <row r="62" spans="1:17" customFormat="1">
      <c r="A62" s="80">
        <v>45275.5625</v>
      </c>
      <c r="B62" s="112">
        <v>3.12</v>
      </c>
      <c r="C62" s="112">
        <v>26.11</v>
      </c>
      <c r="D62" s="112">
        <v>17.5</v>
      </c>
      <c r="E62" s="112">
        <v>9.1</v>
      </c>
      <c r="F62" s="112">
        <v>4.0199999999999996</v>
      </c>
      <c r="G62" s="112">
        <v>80.150000000000006</v>
      </c>
      <c r="H62" s="112">
        <v>33.64</v>
      </c>
      <c r="I62" s="112">
        <v>6.77</v>
      </c>
      <c r="J62" s="112">
        <v>0.48</v>
      </c>
      <c r="K62" s="112">
        <v>54.32</v>
      </c>
      <c r="L62" s="112">
        <v>26.92</v>
      </c>
      <c r="M62" s="112">
        <v>34.659999999999997</v>
      </c>
      <c r="N62" s="112">
        <v>479.1</v>
      </c>
      <c r="O62" s="112">
        <v>0</v>
      </c>
      <c r="P62" s="112">
        <v>0.68</v>
      </c>
      <c r="Q62" s="112">
        <v>4.96</v>
      </c>
    </row>
    <row r="63" spans="1:17" customFormat="1">
      <c r="A63" s="80">
        <v>45275.572916666664</v>
      </c>
      <c r="B63" s="112">
        <v>2.87</v>
      </c>
      <c r="C63" s="112">
        <v>26.66</v>
      </c>
      <c r="D63" s="112">
        <v>17.579999999999998</v>
      </c>
      <c r="E63" s="112">
        <v>8.6</v>
      </c>
      <c r="F63" s="112">
        <v>3.93</v>
      </c>
      <c r="G63" s="112">
        <v>80.150000000000006</v>
      </c>
      <c r="H63" s="112">
        <v>33.64</v>
      </c>
      <c r="I63" s="112">
        <v>6.6</v>
      </c>
      <c r="J63" s="112">
        <v>0.31</v>
      </c>
      <c r="K63" s="112">
        <v>59.97</v>
      </c>
      <c r="L63" s="112">
        <v>26.61</v>
      </c>
      <c r="M63" s="112">
        <v>35.04</v>
      </c>
      <c r="N63" s="112">
        <v>445.2</v>
      </c>
      <c r="O63" s="112">
        <v>0</v>
      </c>
      <c r="P63" s="112">
        <v>0.67</v>
      </c>
      <c r="Q63" s="112">
        <v>4.9800000000000004</v>
      </c>
    </row>
    <row r="64" spans="1:17" customFormat="1">
      <c r="A64" s="80">
        <v>45275.583333333336</v>
      </c>
      <c r="B64" s="112">
        <v>2.73</v>
      </c>
      <c r="C64" s="112">
        <v>27.02</v>
      </c>
      <c r="D64" s="112">
        <v>17.66</v>
      </c>
      <c r="E64" s="112">
        <v>8.89</v>
      </c>
      <c r="F64" s="112">
        <v>3.96</v>
      </c>
      <c r="G64" s="112">
        <v>77.53</v>
      </c>
      <c r="H64" s="112">
        <v>31.85</v>
      </c>
      <c r="I64" s="112">
        <v>6.45</v>
      </c>
      <c r="J64" s="112">
        <v>0.18</v>
      </c>
      <c r="K64" s="112">
        <v>63.41</v>
      </c>
      <c r="L64" s="112">
        <v>26.34</v>
      </c>
      <c r="M64" s="112">
        <v>34</v>
      </c>
      <c r="N64" s="112">
        <v>399</v>
      </c>
      <c r="O64" s="112">
        <v>0</v>
      </c>
      <c r="P64" s="112">
        <v>0.66</v>
      </c>
      <c r="Q64" s="112">
        <v>4.99</v>
      </c>
    </row>
    <row r="65" spans="1:17" customFormat="1">
      <c r="A65" s="80">
        <v>45275.59375</v>
      </c>
      <c r="B65" s="112">
        <v>2.59</v>
      </c>
      <c r="C65" s="112">
        <v>27.35</v>
      </c>
      <c r="D65" s="112">
        <v>17.72</v>
      </c>
      <c r="E65" s="112">
        <v>8.5299999999999994</v>
      </c>
      <c r="F65" s="112">
        <v>3.91</v>
      </c>
      <c r="G65" s="112">
        <v>74.78</v>
      </c>
      <c r="H65" s="112">
        <v>29.8</v>
      </c>
      <c r="I65" s="112">
        <v>6.33</v>
      </c>
      <c r="J65" s="112">
        <v>0.34</v>
      </c>
      <c r="K65" s="112">
        <v>342.49</v>
      </c>
      <c r="L65" s="112">
        <v>26.18</v>
      </c>
      <c r="M65" s="112">
        <v>34.92</v>
      </c>
      <c r="N65" s="112">
        <v>150.19999999999999</v>
      </c>
      <c r="O65" s="112">
        <v>0</v>
      </c>
      <c r="P65" s="112">
        <v>0.65</v>
      </c>
      <c r="Q65" s="112">
        <v>4.99</v>
      </c>
    </row>
    <row r="66" spans="1:17" customFormat="1">
      <c r="A66" s="80">
        <v>45275.604166666664</v>
      </c>
      <c r="B66" s="112">
        <v>2.48</v>
      </c>
      <c r="C66" s="112">
        <v>28.06</v>
      </c>
      <c r="D66" s="112">
        <v>18</v>
      </c>
      <c r="E66" s="112">
        <v>9.56</v>
      </c>
      <c r="F66" s="112">
        <v>4.95</v>
      </c>
      <c r="G66" s="112">
        <v>74.78</v>
      </c>
      <c r="H66" s="112">
        <v>29.8</v>
      </c>
      <c r="I66" s="112">
        <v>6.2</v>
      </c>
      <c r="J66" s="112">
        <v>0.4</v>
      </c>
      <c r="K66" s="112">
        <v>50.43</v>
      </c>
      <c r="L66" s="112">
        <v>26.12</v>
      </c>
      <c r="M66" s="112">
        <v>34.340000000000003</v>
      </c>
      <c r="N66" s="112">
        <v>134.30000000000001</v>
      </c>
      <c r="O66" s="112">
        <v>0</v>
      </c>
      <c r="P66" s="112">
        <v>0.69</v>
      </c>
      <c r="Q66" s="112">
        <v>4.9800000000000004</v>
      </c>
    </row>
    <row r="67" spans="1:17" customFormat="1">
      <c r="A67" s="80">
        <v>45275.614583333336</v>
      </c>
      <c r="B67" s="112">
        <v>2.12</v>
      </c>
      <c r="C67" s="112">
        <v>30.36</v>
      </c>
      <c r="D67" s="112">
        <v>18.91</v>
      </c>
      <c r="E67" s="112">
        <v>11.65</v>
      </c>
      <c r="F67" s="112">
        <v>11.9</v>
      </c>
      <c r="G67" s="112">
        <v>74.78</v>
      </c>
      <c r="H67" s="112">
        <v>29.8</v>
      </c>
      <c r="I67" s="112">
        <v>6.1</v>
      </c>
      <c r="J67" s="112">
        <v>0.09</v>
      </c>
      <c r="K67" s="112">
        <v>65.84</v>
      </c>
      <c r="L67" s="112">
        <v>25.77</v>
      </c>
      <c r="M67" s="112">
        <v>34.840000000000003</v>
      </c>
      <c r="N67" s="112">
        <v>98.3</v>
      </c>
      <c r="O67" s="112">
        <v>0</v>
      </c>
      <c r="P67" s="112">
        <v>0.67</v>
      </c>
      <c r="Q67" s="112">
        <v>4.97</v>
      </c>
    </row>
    <row r="68" spans="1:17" customFormat="1">
      <c r="A68" s="80">
        <v>45275.625</v>
      </c>
      <c r="B68" s="112">
        <v>2</v>
      </c>
      <c r="C68" s="112">
        <v>30.34</v>
      </c>
      <c r="D68" s="112">
        <v>18.8</v>
      </c>
      <c r="E68" s="112">
        <v>10.02</v>
      </c>
      <c r="F68" s="112">
        <v>6.63</v>
      </c>
      <c r="G68" s="112">
        <v>73.900000000000006</v>
      </c>
      <c r="H68" s="112">
        <v>28.34</v>
      </c>
      <c r="I68" s="112">
        <v>6.05</v>
      </c>
      <c r="J68" s="112">
        <v>0.27</v>
      </c>
      <c r="K68" s="112">
        <v>64.03</v>
      </c>
      <c r="L68" s="112">
        <v>25.59</v>
      </c>
      <c r="M68" s="112">
        <v>35.53</v>
      </c>
      <c r="N68" s="112">
        <v>79.7</v>
      </c>
      <c r="O68" s="112">
        <v>0</v>
      </c>
      <c r="P68" s="112">
        <v>0.67</v>
      </c>
      <c r="Q68" s="112">
        <v>4.93</v>
      </c>
    </row>
    <row r="69" spans="1:17" customFormat="1">
      <c r="A69" s="80">
        <v>45275.635416666664</v>
      </c>
      <c r="B69" s="112">
        <v>2.0699999999999998</v>
      </c>
      <c r="C69" s="112">
        <v>27.67</v>
      </c>
      <c r="D69" s="112">
        <v>17.47</v>
      </c>
      <c r="E69" s="112">
        <v>9.14</v>
      </c>
      <c r="F69" s="112">
        <v>4.59</v>
      </c>
      <c r="G69" s="112">
        <v>72.989999999999995</v>
      </c>
      <c r="H69" s="112">
        <v>27.58</v>
      </c>
      <c r="I69" s="112">
        <v>6.01</v>
      </c>
      <c r="J69" s="112">
        <v>0.21</v>
      </c>
      <c r="K69" s="112">
        <v>166.74</v>
      </c>
      <c r="L69" s="112">
        <v>25.46</v>
      </c>
      <c r="M69" s="112">
        <v>37.07</v>
      </c>
      <c r="N69" s="112">
        <v>71.900000000000006</v>
      </c>
      <c r="O69" s="112">
        <v>0</v>
      </c>
      <c r="P69" s="112">
        <v>0.66</v>
      </c>
      <c r="Q69" s="112">
        <v>4.9400000000000004</v>
      </c>
    </row>
    <row r="70" spans="1:17" customFormat="1">
      <c r="A70" s="80">
        <v>45275.645833333336</v>
      </c>
      <c r="B70" s="112">
        <v>2.3199999999999998</v>
      </c>
      <c r="C70" s="112">
        <v>25.6</v>
      </c>
      <c r="D70" s="112">
        <v>16.59</v>
      </c>
      <c r="E70" s="112">
        <v>8.43</v>
      </c>
      <c r="F70" s="112">
        <v>3.98</v>
      </c>
      <c r="G70" s="112">
        <v>72.989999999999995</v>
      </c>
      <c r="H70" s="112">
        <v>27.58</v>
      </c>
      <c r="I70" s="112">
        <v>5.97</v>
      </c>
      <c r="J70" s="112">
        <v>0.17</v>
      </c>
      <c r="K70" s="112">
        <v>154.25</v>
      </c>
      <c r="L70" s="112">
        <v>25.32</v>
      </c>
      <c r="M70" s="112">
        <v>37.6</v>
      </c>
      <c r="N70" s="112">
        <v>63.2</v>
      </c>
      <c r="O70" s="112">
        <v>0</v>
      </c>
      <c r="P70" s="112">
        <v>0.66</v>
      </c>
      <c r="Q70" s="112">
        <v>4.92</v>
      </c>
    </row>
    <row r="71" spans="1:17" customFormat="1">
      <c r="A71" s="80">
        <v>45275.65625</v>
      </c>
      <c r="B71" s="112">
        <v>2.54</v>
      </c>
      <c r="C71" s="112">
        <v>24.01</v>
      </c>
      <c r="D71" s="112">
        <v>15.93</v>
      </c>
      <c r="E71" s="112">
        <v>8.36</v>
      </c>
      <c r="F71" s="112">
        <v>3.66</v>
      </c>
      <c r="G71" s="112">
        <v>72.989999999999995</v>
      </c>
      <c r="H71" s="112">
        <v>27.58</v>
      </c>
      <c r="I71" s="112">
        <v>5.94</v>
      </c>
      <c r="J71" s="112">
        <v>0.19</v>
      </c>
      <c r="K71" s="112">
        <v>80.34</v>
      </c>
      <c r="L71" s="112">
        <v>25.17</v>
      </c>
      <c r="M71" s="112">
        <v>38.33</v>
      </c>
      <c r="N71" s="112">
        <v>53.9</v>
      </c>
      <c r="O71" s="112">
        <v>0</v>
      </c>
      <c r="P71" s="112">
        <v>0.65</v>
      </c>
      <c r="Q71" s="112">
        <v>4.9000000000000004</v>
      </c>
    </row>
    <row r="72" spans="1:17" customFormat="1">
      <c r="A72" s="80">
        <v>45275.666666666664</v>
      </c>
      <c r="B72" s="112">
        <v>2.78</v>
      </c>
      <c r="C72" s="112">
        <v>23.33</v>
      </c>
      <c r="D72" s="112">
        <v>15.77</v>
      </c>
      <c r="E72" s="112">
        <v>7.93</v>
      </c>
      <c r="F72" s="112">
        <v>3.44</v>
      </c>
      <c r="G72" s="112">
        <v>72.72</v>
      </c>
      <c r="H72" s="112">
        <v>29.4</v>
      </c>
      <c r="I72" s="112">
        <v>5.91</v>
      </c>
      <c r="J72" s="112">
        <v>0.18</v>
      </c>
      <c r="K72" s="112">
        <v>102.97</v>
      </c>
      <c r="L72" s="112">
        <v>24.87</v>
      </c>
      <c r="M72" s="112">
        <v>38.799999999999997</v>
      </c>
      <c r="N72" s="112">
        <v>44.9</v>
      </c>
      <c r="O72" s="112">
        <v>0</v>
      </c>
      <c r="P72" s="112">
        <v>0.64</v>
      </c>
      <c r="Q72" s="112">
        <v>4.92</v>
      </c>
    </row>
    <row r="73" spans="1:17" customFormat="1">
      <c r="A73" s="80">
        <v>45275.677083333336</v>
      </c>
      <c r="B73" s="112">
        <v>2.9</v>
      </c>
      <c r="C73" s="112">
        <v>23.46</v>
      </c>
      <c r="D73" s="112">
        <v>15.94</v>
      </c>
      <c r="E73" s="112">
        <v>7.85</v>
      </c>
      <c r="F73" s="112">
        <v>3.27</v>
      </c>
      <c r="G73" s="112">
        <v>72.430000000000007</v>
      </c>
      <c r="H73" s="112">
        <v>30.35</v>
      </c>
      <c r="I73" s="112">
        <v>5.88</v>
      </c>
      <c r="J73" s="112">
        <v>0.19</v>
      </c>
      <c r="K73" s="112">
        <v>162.87</v>
      </c>
      <c r="L73" s="112">
        <v>24.41</v>
      </c>
      <c r="M73" s="112">
        <v>40.840000000000003</v>
      </c>
      <c r="N73" s="112">
        <v>34.4</v>
      </c>
      <c r="O73" s="112">
        <v>0</v>
      </c>
      <c r="P73" s="112">
        <v>0.64</v>
      </c>
      <c r="Q73" s="112">
        <v>4.8899999999999997</v>
      </c>
    </row>
    <row r="74" spans="1:17" customFormat="1">
      <c r="A74" s="80">
        <v>45275.6875</v>
      </c>
      <c r="B74" s="112">
        <v>3.04</v>
      </c>
      <c r="C74" s="112">
        <v>24.03</v>
      </c>
      <c r="D74" s="112">
        <v>16.350000000000001</v>
      </c>
      <c r="E74" s="112">
        <v>7.62</v>
      </c>
      <c r="F74" s="112">
        <v>3.22</v>
      </c>
      <c r="G74" s="112">
        <v>72.430000000000007</v>
      </c>
      <c r="H74" s="112">
        <v>30.35</v>
      </c>
      <c r="I74" s="112">
        <v>5.85</v>
      </c>
      <c r="J74" s="112">
        <v>0.22</v>
      </c>
      <c r="K74" s="112">
        <v>155.38999999999999</v>
      </c>
      <c r="L74" s="112">
        <v>23.85</v>
      </c>
      <c r="M74" s="112">
        <v>44.07</v>
      </c>
      <c r="N74" s="112">
        <v>23.1</v>
      </c>
      <c r="O74" s="112">
        <v>0</v>
      </c>
      <c r="P74" s="112">
        <v>0.64</v>
      </c>
      <c r="Q74" s="112">
        <v>4.88</v>
      </c>
    </row>
    <row r="75" spans="1:17" customFormat="1">
      <c r="A75" s="80">
        <v>45275.697916666664</v>
      </c>
      <c r="B75" s="112">
        <v>3.2</v>
      </c>
      <c r="C75" s="112">
        <v>24.32</v>
      </c>
      <c r="D75" s="112">
        <v>16.62</v>
      </c>
      <c r="E75" s="112">
        <v>8.15</v>
      </c>
      <c r="F75" s="112">
        <v>3.1</v>
      </c>
      <c r="G75" s="112">
        <v>72.430000000000007</v>
      </c>
      <c r="H75" s="112">
        <v>30.35</v>
      </c>
      <c r="I75" s="112">
        <v>5.82</v>
      </c>
      <c r="J75" s="112">
        <v>0.3</v>
      </c>
      <c r="K75" s="112">
        <v>171.15</v>
      </c>
      <c r="L75" s="112">
        <v>23.27</v>
      </c>
      <c r="M75" s="112">
        <v>48.19</v>
      </c>
      <c r="N75" s="112">
        <v>12.6</v>
      </c>
      <c r="O75" s="112">
        <v>0</v>
      </c>
      <c r="P75" s="112">
        <v>0.65</v>
      </c>
      <c r="Q75" s="112">
        <v>4.8899999999999997</v>
      </c>
    </row>
    <row r="76" spans="1:17" customFormat="1">
      <c r="A76" s="80">
        <v>45275.708333333336</v>
      </c>
      <c r="B76" s="112">
        <v>3.53</v>
      </c>
      <c r="C76" s="112">
        <v>24.97</v>
      </c>
      <c r="D76" s="112">
        <v>17.23</v>
      </c>
      <c r="E76" s="112">
        <v>7.28</v>
      </c>
      <c r="F76" s="112">
        <v>3.15</v>
      </c>
      <c r="G76" s="112">
        <v>71.569999999999993</v>
      </c>
      <c r="H76" s="112">
        <v>28.67</v>
      </c>
      <c r="I76" s="112">
        <v>5.78</v>
      </c>
      <c r="J76" s="112">
        <v>0.22</v>
      </c>
      <c r="K76" s="112">
        <v>171.11</v>
      </c>
      <c r="L76" s="112">
        <v>22.54</v>
      </c>
      <c r="M76" s="112">
        <v>50.91</v>
      </c>
      <c r="N76" s="112">
        <v>2.9</v>
      </c>
      <c r="O76" s="112">
        <v>0</v>
      </c>
      <c r="P76" s="112">
        <v>0.66</v>
      </c>
      <c r="Q76" s="112">
        <v>4.8899999999999997</v>
      </c>
    </row>
    <row r="77" spans="1:17" customFormat="1">
      <c r="A77" s="80">
        <v>45275.71875</v>
      </c>
      <c r="B77" s="112">
        <v>3.89</v>
      </c>
      <c r="C77" s="112">
        <v>26.25</v>
      </c>
      <c r="D77" s="112">
        <v>18.190000000000001</v>
      </c>
      <c r="E77" s="112">
        <v>7.65</v>
      </c>
      <c r="F77" s="112">
        <v>2.94</v>
      </c>
      <c r="G77" s="112">
        <v>70.66</v>
      </c>
      <c r="H77" s="112">
        <v>27.79</v>
      </c>
      <c r="I77" s="112">
        <v>5.74</v>
      </c>
      <c r="J77" s="112">
        <v>0.25</v>
      </c>
      <c r="K77" s="112">
        <v>156.56</v>
      </c>
      <c r="L77" s="112">
        <v>21.94</v>
      </c>
      <c r="M77" s="112">
        <v>54.27</v>
      </c>
      <c r="N77" s="112">
        <v>0</v>
      </c>
      <c r="O77" s="112">
        <v>0</v>
      </c>
      <c r="P77" s="112">
        <v>0.67</v>
      </c>
      <c r="Q77" s="112">
        <v>4.91</v>
      </c>
    </row>
    <row r="78" spans="1:17" customFormat="1">
      <c r="A78" s="80">
        <v>45275.729166666664</v>
      </c>
      <c r="B78" s="112">
        <v>4.59</v>
      </c>
      <c r="C78" s="112">
        <v>25.69</v>
      </c>
      <c r="D78" s="112">
        <v>18.45</v>
      </c>
      <c r="E78" s="112">
        <v>8.0500000000000007</v>
      </c>
      <c r="F78" s="112">
        <v>2.83</v>
      </c>
      <c r="G78" s="112">
        <v>70.66</v>
      </c>
      <c r="H78" s="112">
        <v>27.79</v>
      </c>
      <c r="I78" s="112">
        <v>5.72</v>
      </c>
      <c r="J78" s="112">
        <v>0.18</v>
      </c>
      <c r="K78" s="112">
        <v>151.4</v>
      </c>
      <c r="L78" s="112">
        <v>21.37</v>
      </c>
      <c r="M78" s="112">
        <v>56.45</v>
      </c>
      <c r="N78" s="112">
        <v>0</v>
      </c>
      <c r="O78" s="112">
        <v>0</v>
      </c>
      <c r="P78" s="112">
        <v>0.68</v>
      </c>
      <c r="Q78" s="112">
        <v>4.9400000000000004</v>
      </c>
    </row>
    <row r="79" spans="1:17" customFormat="1">
      <c r="A79" s="80">
        <v>45275.739583333336</v>
      </c>
      <c r="B79" s="112">
        <v>5.3</v>
      </c>
      <c r="C79" s="112">
        <v>24.66</v>
      </c>
      <c r="D79" s="112">
        <v>18.489999999999998</v>
      </c>
      <c r="E79" s="112">
        <v>7.65</v>
      </c>
      <c r="F79" s="112">
        <v>2.94</v>
      </c>
      <c r="G79" s="112">
        <v>70.66</v>
      </c>
      <c r="H79" s="112">
        <v>27.79</v>
      </c>
      <c r="I79" s="112">
        <v>5.76</v>
      </c>
      <c r="J79" s="112">
        <v>0.17</v>
      </c>
      <c r="K79" s="112">
        <v>132.94999999999999</v>
      </c>
      <c r="L79" s="112">
        <v>20.97</v>
      </c>
      <c r="M79" s="112">
        <v>56.83</v>
      </c>
      <c r="N79" s="112">
        <v>0</v>
      </c>
      <c r="O79" s="112">
        <v>0</v>
      </c>
      <c r="P79" s="112">
        <v>0.68</v>
      </c>
      <c r="Q79" s="112">
        <v>4.9800000000000004</v>
      </c>
    </row>
    <row r="80" spans="1:17" customFormat="1">
      <c r="A80" s="80">
        <v>45275.75</v>
      </c>
      <c r="B80" s="112">
        <v>6.32</v>
      </c>
      <c r="C80" s="112">
        <v>25.65</v>
      </c>
      <c r="D80" s="112">
        <v>19.82</v>
      </c>
      <c r="E80" s="112">
        <v>8.1300000000000008</v>
      </c>
      <c r="F80" s="112">
        <v>2.81</v>
      </c>
      <c r="G80" s="112">
        <v>85.83</v>
      </c>
      <c r="H80" s="112">
        <v>33.770000000000003</v>
      </c>
      <c r="I80" s="112">
        <v>5.8</v>
      </c>
      <c r="J80" s="112">
        <v>0.26</v>
      </c>
      <c r="K80" s="112">
        <v>167.93</v>
      </c>
      <c r="L80" s="112">
        <v>20.57</v>
      </c>
      <c r="M80" s="112">
        <v>60.68</v>
      </c>
      <c r="N80" s="112">
        <v>0</v>
      </c>
      <c r="O80" s="112">
        <v>0</v>
      </c>
      <c r="P80" s="112">
        <v>0.71</v>
      </c>
      <c r="Q80" s="112">
        <v>5.01</v>
      </c>
    </row>
    <row r="81" spans="1:17" customFormat="1">
      <c r="A81" s="80">
        <v>45275.760416666664</v>
      </c>
      <c r="B81" s="112">
        <v>7.46</v>
      </c>
      <c r="C81" s="112">
        <v>28.26</v>
      </c>
      <c r="D81" s="112">
        <v>22.1</v>
      </c>
      <c r="E81" s="112">
        <v>6.78</v>
      </c>
      <c r="F81" s="112">
        <v>2.57</v>
      </c>
      <c r="G81" s="112">
        <v>101.69</v>
      </c>
      <c r="H81" s="112">
        <v>36.9</v>
      </c>
      <c r="I81" s="112">
        <v>5.85</v>
      </c>
      <c r="J81" s="112">
        <v>0.1</v>
      </c>
      <c r="K81" s="112">
        <v>203.22</v>
      </c>
      <c r="L81" s="112">
        <v>20.079999999999998</v>
      </c>
      <c r="M81" s="112">
        <v>61.37</v>
      </c>
      <c r="N81" s="112">
        <v>0</v>
      </c>
      <c r="O81" s="112">
        <v>0</v>
      </c>
      <c r="P81" s="112">
        <v>0.73</v>
      </c>
      <c r="Q81" s="112">
        <v>5.04</v>
      </c>
    </row>
    <row r="82" spans="1:17" customFormat="1">
      <c r="A82" s="80">
        <v>45275.770833333336</v>
      </c>
      <c r="B82" s="112">
        <v>8.66</v>
      </c>
      <c r="C82" s="112">
        <v>29.65</v>
      </c>
      <c r="D82" s="112">
        <v>23.79</v>
      </c>
      <c r="E82" s="112">
        <v>8.6199999999999992</v>
      </c>
      <c r="F82" s="112">
        <v>2.57</v>
      </c>
      <c r="G82" s="112">
        <v>101.69</v>
      </c>
      <c r="H82" s="112">
        <v>36.9</v>
      </c>
      <c r="I82" s="112">
        <v>5.97</v>
      </c>
      <c r="J82" s="112">
        <v>0.25</v>
      </c>
      <c r="K82" s="112">
        <v>177.27</v>
      </c>
      <c r="L82" s="112">
        <v>19.7</v>
      </c>
      <c r="M82" s="112">
        <v>64.34</v>
      </c>
      <c r="N82" s="112">
        <v>0</v>
      </c>
      <c r="O82" s="112">
        <v>0</v>
      </c>
      <c r="P82" s="112">
        <v>0.76</v>
      </c>
      <c r="Q82" s="112">
        <v>5.05</v>
      </c>
    </row>
    <row r="83" spans="1:17" customFormat="1">
      <c r="A83" s="80">
        <v>45275.78125</v>
      </c>
      <c r="B83" s="112">
        <v>9.85</v>
      </c>
      <c r="C83" s="112">
        <v>30.33</v>
      </c>
      <c r="D83" s="112">
        <v>25.09</v>
      </c>
      <c r="E83" s="112">
        <v>8.4</v>
      </c>
      <c r="F83" s="112">
        <v>2.65</v>
      </c>
      <c r="G83" s="112">
        <v>101.69</v>
      </c>
      <c r="H83" s="112">
        <v>36.9</v>
      </c>
      <c r="I83" s="112">
        <v>6.14</v>
      </c>
      <c r="J83" s="112">
        <v>0.2</v>
      </c>
      <c r="K83" s="112">
        <v>175.18</v>
      </c>
      <c r="L83" s="112">
        <v>19.309999999999999</v>
      </c>
      <c r="M83" s="112">
        <v>70.28</v>
      </c>
      <c r="N83" s="112">
        <v>0</v>
      </c>
      <c r="O83" s="112">
        <v>0</v>
      </c>
      <c r="P83" s="112">
        <v>0.79</v>
      </c>
      <c r="Q83" s="112">
        <v>5.0999999999999996</v>
      </c>
    </row>
    <row r="84" spans="1:17" customFormat="1">
      <c r="A84" s="80">
        <v>45275.791666666664</v>
      </c>
      <c r="B84" s="112">
        <v>11.05</v>
      </c>
      <c r="C84" s="112">
        <v>30.68</v>
      </c>
      <c r="D84" s="112">
        <v>26.24</v>
      </c>
      <c r="E84" s="112">
        <v>8.1999999999999993</v>
      </c>
      <c r="F84" s="112">
        <v>2.64</v>
      </c>
      <c r="G84" s="112">
        <v>116</v>
      </c>
      <c r="H84" s="112">
        <v>40.590000000000003</v>
      </c>
      <c r="I84" s="112">
        <v>6.32</v>
      </c>
      <c r="J84" s="112">
        <v>0.18</v>
      </c>
      <c r="K84" s="112">
        <v>179.12</v>
      </c>
      <c r="L84" s="112">
        <v>18.75</v>
      </c>
      <c r="M84" s="112">
        <v>77.180000000000007</v>
      </c>
      <c r="N84" s="112">
        <v>0</v>
      </c>
      <c r="O84" s="112">
        <v>0</v>
      </c>
      <c r="P84" s="112">
        <v>0.83</v>
      </c>
      <c r="Q84" s="112">
        <v>5.18</v>
      </c>
    </row>
    <row r="85" spans="1:17" customFormat="1">
      <c r="A85" s="80">
        <v>45275.802083333336</v>
      </c>
      <c r="B85" s="112">
        <v>12.05</v>
      </c>
      <c r="C85" s="112">
        <v>30.89</v>
      </c>
      <c r="D85" s="112">
        <v>27.16</v>
      </c>
      <c r="E85" s="112">
        <v>8.6</v>
      </c>
      <c r="F85" s="112">
        <v>2.64</v>
      </c>
      <c r="G85" s="112">
        <v>130.96</v>
      </c>
      <c r="H85" s="112">
        <v>42.52</v>
      </c>
      <c r="I85" s="112">
        <v>6.51</v>
      </c>
      <c r="J85" s="112">
        <v>0.18</v>
      </c>
      <c r="K85" s="112">
        <v>177.46</v>
      </c>
      <c r="L85" s="112">
        <v>18.510000000000002</v>
      </c>
      <c r="M85" s="112">
        <v>76.55</v>
      </c>
      <c r="N85" s="112">
        <v>0</v>
      </c>
      <c r="O85" s="112">
        <v>0</v>
      </c>
      <c r="P85" s="112">
        <v>0.85</v>
      </c>
      <c r="Q85" s="112">
        <v>5.21</v>
      </c>
    </row>
    <row r="86" spans="1:17" customFormat="1">
      <c r="A86" s="80">
        <v>45275.8125</v>
      </c>
      <c r="B86" s="112">
        <v>12.94</v>
      </c>
      <c r="C86" s="112">
        <v>30.96</v>
      </c>
      <c r="D86" s="112">
        <v>27.9</v>
      </c>
      <c r="E86" s="112">
        <v>8.66</v>
      </c>
      <c r="F86" s="112">
        <v>2.62</v>
      </c>
      <c r="G86" s="112">
        <v>130.96</v>
      </c>
      <c r="H86" s="112">
        <v>42.52</v>
      </c>
      <c r="I86" s="112">
        <v>6.76</v>
      </c>
      <c r="J86" s="112">
        <v>0.18</v>
      </c>
      <c r="K86" s="112">
        <v>171.88</v>
      </c>
      <c r="L86" s="112">
        <v>18.25</v>
      </c>
      <c r="M86" s="112">
        <v>80.290000000000006</v>
      </c>
      <c r="N86" s="112">
        <v>0</v>
      </c>
      <c r="O86" s="112">
        <v>0</v>
      </c>
      <c r="P86" s="112">
        <v>0.89</v>
      </c>
      <c r="Q86" s="112">
        <v>5.23</v>
      </c>
    </row>
    <row r="87" spans="1:17" customFormat="1">
      <c r="A87" s="80">
        <v>45275.822916666664</v>
      </c>
      <c r="B87" s="112">
        <v>14.21</v>
      </c>
      <c r="C87" s="112">
        <v>30.72</v>
      </c>
      <c r="D87" s="112">
        <v>28.8</v>
      </c>
      <c r="E87" s="112">
        <v>8.5</v>
      </c>
      <c r="F87" s="112">
        <v>2.54</v>
      </c>
      <c r="G87" s="112">
        <v>130.96</v>
      </c>
      <c r="H87" s="112">
        <v>42.52</v>
      </c>
      <c r="I87" s="112">
        <v>7.02</v>
      </c>
      <c r="J87" s="112">
        <v>0.16</v>
      </c>
      <c r="K87" s="112">
        <v>182.35</v>
      </c>
      <c r="L87" s="112">
        <v>18.23</v>
      </c>
      <c r="M87" s="112">
        <v>77.959999999999994</v>
      </c>
      <c r="N87" s="112">
        <v>0</v>
      </c>
      <c r="O87" s="112">
        <v>0</v>
      </c>
      <c r="P87" s="112">
        <v>0.94</v>
      </c>
      <c r="Q87" s="112">
        <v>5.29</v>
      </c>
    </row>
    <row r="88" spans="1:17" customFormat="1">
      <c r="A88" s="80">
        <v>45275.833333333336</v>
      </c>
      <c r="B88" s="112">
        <v>15.51</v>
      </c>
      <c r="C88" s="112">
        <v>31.61</v>
      </c>
      <c r="D88" s="112">
        <v>30.3</v>
      </c>
      <c r="E88" s="112">
        <v>8.67</v>
      </c>
      <c r="F88" s="112">
        <v>2.75</v>
      </c>
      <c r="G88" s="112">
        <v>133.03</v>
      </c>
      <c r="H88" s="112">
        <v>43.42</v>
      </c>
      <c r="I88" s="112">
        <v>7.29</v>
      </c>
      <c r="J88" s="112">
        <v>0.13</v>
      </c>
      <c r="K88" s="112">
        <v>221.22</v>
      </c>
      <c r="L88" s="112">
        <v>17.82</v>
      </c>
      <c r="M88" s="112">
        <v>82.56</v>
      </c>
      <c r="N88" s="112">
        <v>0</v>
      </c>
      <c r="O88" s="112">
        <v>0</v>
      </c>
      <c r="P88" s="112">
        <v>0.98</v>
      </c>
      <c r="Q88" s="112">
        <v>5.32</v>
      </c>
    </row>
    <row r="89" spans="1:17" customFormat="1">
      <c r="A89" s="80">
        <v>45275.84375</v>
      </c>
      <c r="B89" s="112">
        <v>16.600000000000001</v>
      </c>
      <c r="C89" s="112">
        <v>32.15</v>
      </c>
      <c r="D89" s="112">
        <v>31.46</v>
      </c>
      <c r="E89" s="112">
        <v>9.1</v>
      </c>
      <c r="F89" s="112">
        <v>2.69</v>
      </c>
      <c r="G89" s="112">
        <v>135.19999999999999</v>
      </c>
      <c r="H89" s="112">
        <v>44.46</v>
      </c>
      <c r="I89" s="112">
        <v>7.58</v>
      </c>
      <c r="J89" s="112">
        <v>0.19</v>
      </c>
      <c r="K89" s="112">
        <v>199.36</v>
      </c>
      <c r="L89" s="112">
        <v>17.7</v>
      </c>
      <c r="M89" s="112">
        <v>80.239999999999995</v>
      </c>
      <c r="N89" s="112">
        <v>0</v>
      </c>
      <c r="O89" s="112">
        <v>0</v>
      </c>
      <c r="P89" s="112">
        <v>1.01</v>
      </c>
      <c r="Q89" s="112">
        <v>5.35</v>
      </c>
    </row>
    <row r="90" spans="1:17" customFormat="1">
      <c r="A90" s="80">
        <v>45275.854166666664</v>
      </c>
      <c r="B90" s="112">
        <v>17.18</v>
      </c>
      <c r="C90" s="112">
        <v>32.64</v>
      </c>
      <c r="D90" s="112">
        <v>32.18</v>
      </c>
      <c r="E90" s="112">
        <v>9.1300000000000008</v>
      </c>
      <c r="F90" s="112">
        <v>2.66</v>
      </c>
      <c r="G90" s="112">
        <v>135.19999999999999</v>
      </c>
      <c r="H90" s="112">
        <v>44.46</v>
      </c>
      <c r="I90" s="112">
        <v>7.87</v>
      </c>
      <c r="J90" s="112">
        <v>0.13</v>
      </c>
      <c r="K90" s="112">
        <v>172.6</v>
      </c>
      <c r="L90" s="112">
        <v>17.41</v>
      </c>
      <c r="M90" s="112">
        <v>82.33</v>
      </c>
      <c r="N90" s="112">
        <v>0</v>
      </c>
      <c r="O90" s="112">
        <v>0</v>
      </c>
      <c r="P90" s="112">
        <v>1.04</v>
      </c>
      <c r="Q90" s="112">
        <v>5.41</v>
      </c>
    </row>
    <row r="91" spans="1:17" customFormat="1">
      <c r="A91" s="80">
        <v>45275.864583333336</v>
      </c>
      <c r="B91" s="112">
        <v>17.190000000000001</v>
      </c>
      <c r="C91" s="112">
        <v>32.65</v>
      </c>
      <c r="D91" s="112">
        <v>32.19</v>
      </c>
      <c r="E91" s="112">
        <v>9.27</v>
      </c>
      <c r="F91" s="112">
        <v>2.74</v>
      </c>
      <c r="G91" s="112">
        <v>135.19999999999999</v>
      </c>
      <c r="H91" s="112">
        <v>44.46</v>
      </c>
      <c r="I91" s="112">
        <v>8.1300000000000008</v>
      </c>
      <c r="J91" s="112">
        <v>0.17</v>
      </c>
      <c r="K91" s="112">
        <v>192.13</v>
      </c>
      <c r="L91" s="112">
        <v>17.079999999999998</v>
      </c>
      <c r="M91" s="112">
        <v>85.54</v>
      </c>
      <c r="N91" s="112">
        <v>0</v>
      </c>
      <c r="O91" s="112">
        <v>0</v>
      </c>
      <c r="P91" s="112">
        <v>1.06</v>
      </c>
      <c r="Q91" s="112">
        <v>5.42</v>
      </c>
    </row>
    <row r="92" spans="1:17" customFormat="1">
      <c r="A92" s="80">
        <v>45275.875</v>
      </c>
      <c r="B92" s="112">
        <v>17.04</v>
      </c>
      <c r="C92" s="112">
        <v>32.74</v>
      </c>
      <c r="D92" s="112">
        <v>32.119999999999997</v>
      </c>
      <c r="E92" s="112">
        <v>9.6999999999999993</v>
      </c>
      <c r="F92" s="112">
        <v>2.57</v>
      </c>
      <c r="G92" s="112">
        <v>131.87</v>
      </c>
      <c r="H92" s="112">
        <v>43.37</v>
      </c>
      <c r="I92" s="112">
        <v>8.3699999999999992</v>
      </c>
      <c r="J92" s="112">
        <v>0.14000000000000001</v>
      </c>
      <c r="K92" s="112">
        <v>180.02</v>
      </c>
      <c r="L92" s="112">
        <v>16.87</v>
      </c>
      <c r="M92" s="112">
        <v>82.01</v>
      </c>
      <c r="N92" s="112">
        <v>0</v>
      </c>
      <c r="O92" s="112">
        <v>0</v>
      </c>
      <c r="P92" s="112">
        <v>1.07</v>
      </c>
      <c r="Q92" s="112">
        <v>5.4</v>
      </c>
    </row>
    <row r="93" spans="1:17" customFormat="1">
      <c r="A93" s="80">
        <v>45275.885416666664</v>
      </c>
      <c r="B93" s="112">
        <v>16.68</v>
      </c>
      <c r="C93" s="112">
        <v>32.520000000000003</v>
      </c>
      <c r="D93" s="112">
        <v>31.72</v>
      </c>
      <c r="E93" s="112">
        <v>9.36</v>
      </c>
      <c r="F93" s="112">
        <v>2.63</v>
      </c>
      <c r="G93" s="112">
        <v>128.4</v>
      </c>
      <c r="H93" s="112">
        <v>42.81</v>
      </c>
      <c r="I93" s="112">
        <v>8.5500000000000007</v>
      </c>
      <c r="J93" s="112">
        <v>0.17</v>
      </c>
      <c r="K93" s="112">
        <v>184.02</v>
      </c>
      <c r="L93" s="112">
        <v>16.79</v>
      </c>
      <c r="M93" s="112">
        <v>85.69</v>
      </c>
      <c r="N93" s="112">
        <v>0</v>
      </c>
      <c r="O93" s="112">
        <v>0</v>
      </c>
      <c r="P93" s="112">
        <v>1.08</v>
      </c>
      <c r="Q93" s="112">
        <v>5.41</v>
      </c>
    </row>
    <row r="94" spans="1:17" customFormat="1">
      <c r="A94" s="80">
        <v>45275.895833333336</v>
      </c>
      <c r="B94" s="112">
        <v>16.37</v>
      </c>
      <c r="C94" s="112">
        <v>32.17</v>
      </c>
      <c r="D94" s="112">
        <v>31.29</v>
      </c>
      <c r="E94" s="112">
        <v>9.36</v>
      </c>
      <c r="F94" s="112">
        <v>2.6</v>
      </c>
      <c r="G94" s="112">
        <v>128.4</v>
      </c>
      <c r="H94" s="112">
        <v>42.81</v>
      </c>
      <c r="I94" s="112">
        <v>8.65</v>
      </c>
      <c r="J94" s="112">
        <v>0.17</v>
      </c>
      <c r="K94" s="112">
        <v>179.26</v>
      </c>
      <c r="L94" s="112">
        <v>16.63</v>
      </c>
      <c r="M94" s="112">
        <v>85.28</v>
      </c>
      <c r="N94" s="112">
        <v>0</v>
      </c>
      <c r="O94" s="112">
        <v>0</v>
      </c>
      <c r="P94" s="112">
        <v>1.07</v>
      </c>
      <c r="Q94" s="112">
        <v>5.38</v>
      </c>
    </row>
    <row r="95" spans="1:17" customFormat="1">
      <c r="A95" s="80">
        <v>45275.90625</v>
      </c>
      <c r="B95" s="112">
        <v>15.92</v>
      </c>
      <c r="C95" s="112">
        <v>31.79</v>
      </c>
      <c r="D95" s="112">
        <v>30.73</v>
      </c>
      <c r="E95" s="112">
        <v>9.3000000000000007</v>
      </c>
      <c r="F95" s="112">
        <v>2.62</v>
      </c>
      <c r="G95" s="112">
        <v>128.4</v>
      </c>
      <c r="H95" s="112">
        <v>42.81</v>
      </c>
      <c r="I95" s="112">
        <v>8.7200000000000006</v>
      </c>
      <c r="J95" s="112">
        <v>0.17</v>
      </c>
      <c r="K95" s="112">
        <v>163.72999999999999</v>
      </c>
      <c r="L95" s="112">
        <v>16.47</v>
      </c>
      <c r="M95" s="112">
        <v>83.39</v>
      </c>
      <c r="N95" s="112">
        <v>0</v>
      </c>
      <c r="O95" s="112">
        <v>0</v>
      </c>
      <c r="P95" s="112">
        <v>1.07</v>
      </c>
      <c r="Q95" s="112">
        <v>5.37</v>
      </c>
    </row>
    <row r="96" spans="1:17" customFormat="1">
      <c r="A96" s="80">
        <v>45275.916666666664</v>
      </c>
      <c r="B96" s="112">
        <v>15.5</v>
      </c>
      <c r="C96" s="112">
        <v>31.29</v>
      </c>
      <c r="D96" s="112">
        <v>30.13</v>
      </c>
      <c r="E96" s="112">
        <v>9.27</v>
      </c>
      <c r="F96" s="112">
        <v>2.67</v>
      </c>
      <c r="G96" s="112">
        <v>126.72</v>
      </c>
      <c r="H96" s="112">
        <v>44.07</v>
      </c>
      <c r="I96" s="112">
        <v>8.77</v>
      </c>
      <c r="J96" s="112">
        <v>0.12</v>
      </c>
      <c r="K96" s="112">
        <v>168.32</v>
      </c>
      <c r="L96" s="112">
        <v>16.38</v>
      </c>
      <c r="M96" s="112">
        <v>81.06</v>
      </c>
      <c r="N96" s="112">
        <v>0</v>
      </c>
      <c r="O96" s="112">
        <v>0</v>
      </c>
      <c r="P96" s="112">
        <v>1.07</v>
      </c>
      <c r="Q96" s="112">
        <v>5.37</v>
      </c>
    </row>
    <row r="97" spans="1:22" customFormat="1">
      <c r="A97" s="80">
        <v>45275.927083333336</v>
      </c>
      <c r="B97" s="112">
        <v>15.76</v>
      </c>
      <c r="C97" s="112">
        <v>30.93</v>
      </c>
      <c r="D97" s="112">
        <v>30.15</v>
      </c>
      <c r="E97" s="112">
        <v>9.35</v>
      </c>
      <c r="F97" s="112">
        <v>2.68</v>
      </c>
      <c r="G97" s="112">
        <v>125.04</v>
      </c>
      <c r="H97" s="112">
        <v>44.73</v>
      </c>
      <c r="I97" s="112">
        <v>8.83</v>
      </c>
      <c r="J97" s="112">
        <v>0.15</v>
      </c>
      <c r="K97" s="112">
        <v>203.21</v>
      </c>
      <c r="L97" s="112">
        <v>16.329999999999998</v>
      </c>
      <c r="M97" s="112">
        <v>83.43</v>
      </c>
      <c r="N97" s="112">
        <v>0</v>
      </c>
      <c r="O97" s="112">
        <v>0</v>
      </c>
      <c r="P97" s="112">
        <v>1.07</v>
      </c>
      <c r="Q97" s="112">
        <v>5.38</v>
      </c>
    </row>
    <row r="98" spans="1:22" customFormat="1">
      <c r="A98" s="80">
        <v>45275.9375</v>
      </c>
      <c r="B98" s="112">
        <v>16.260000000000002</v>
      </c>
      <c r="C98" s="112">
        <v>30.76</v>
      </c>
      <c r="D98" s="112">
        <v>30.46</v>
      </c>
      <c r="E98" s="112">
        <v>9.26</v>
      </c>
      <c r="F98" s="112">
        <v>2.62</v>
      </c>
      <c r="G98" s="112">
        <v>125.04</v>
      </c>
      <c r="H98" s="112">
        <v>44.73</v>
      </c>
      <c r="I98" s="112">
        <v>8.9</v>
      </c>
      <c r="J98" s="112">
        <v>0.18</v>
      </c>
      <c r="K98" s="112">
        <v>157.97</v>
      </c>
      <c r="L98" s="112">
        <v>16.21</v>
      </c>
      <c r="M98" s="112">
        <v>89.53</v>
      </c>
      <c r="N98" s="112">
        <v>0</v>
      </c>
      <c r="O98" s="112">
        <v>0</v>
      </c>
      <c r="P98" s="112">
        <v>1.07</v>
      </c>
      <c r="Q98" s="112">
        <v>5.4</v>
      </c>
    </row>
    <row r="99" spans="1:22" customFormat="1">
      <c r="A99" s="80">
        <v>45275.947916666664</v>
      </c>
      <c r="B99" s="112">
        <v>16.13</v>
      </c>
      <c r="C99" s="112">
        <v>30.34</v>
      </c>
      <c r="D99" s="112">
        <v>30.14</v>
      </c>
      <c r="E99" s="112">
        <v>8.91</v>
      </c>
      <c r="F99" s="112">
        <v>2.59</v>
      </c>
      <c r="G99" s="112">
        <v>125.04</v>
      </c>
      <c r="H99" s="112">
        <v>44.73</v>
      </c>
      <c r="I99" s="112">
        <v>8.9700000000000006</v>
      </c>
      <c r="J99" s="112">
        <v>0.1</v>
      </c>
      <c r="K99" s="112">
        <v>197.64</v>
      </c>
      <c r="L99" s="112">
        <v>15.92</v>
      </c>
      <c r="M99" s="112">
        <v>88.94</v>
      </c>
      <c r="N99" s="112">
        <v>0</v>
      </c>
      <c r="O99" s="112">
        <v>0</v>
      </c>
      <c r="P99" s="112">
        <v>1.08</v>
      </c>
      <c r="Q99" s="112">
        <v>5.37</v>
      </c>
    </row>
    <row r="100" spans="1:22" customFormat="1">
      <c r="A100" s="80">
        <v>45275.958333333336</v>
      </c>
      <c r="B100" s="112">
        <v>15.89</v>
      </c>
      <c r="C100" s="112">
        <v>30.14</v>
      </c>
      <c r="D100" s="112">
        <v>29.84</v>
      </c>
      <c r="E100" s="112">
        <v>9.33</v>
      </c>
      <c r="F100" s="112">
        <v>2.74</v>
      </c>
      <c r="G100" s="112">
        <v>126.3</v>
      </c>
      <c r="H100" s="112">
        <v>45.59</v>
      </c>
      <c r="I100" s="112">
        <v>9.0399999999999991</v>
      </c>
      <c r="J100" s="112">
        <v>0.1</v>
      </c>
      <c r="K100" s="112">
        <v>234.59</v>
      </c>
      <c r="L100" s="112">
        <v>15.74</v>
      </c>
      <c r="M100" s="112">
        <v>88.46</v>
      </c>
      <c r="N100" s="112">
        <v>0</v>
      </c>
      <c r="O100" s="112">
        <v>0</v>
      </c>
      <c r="P100" s="112">
        <v>1.08</v>
      </c>
      <c r="Q100" s="112">
        <v>5.37</v>
      </c>
    </row>
    <row r="101" spans="1:22" customFormat="1">
      <c r="A101" s="80">
        <v>45275.96875</v>
      </c>
      <c r="B101" s="112">
        <v>16.07</v>
      </c>
      <c r="C101" s="112">
        <v>29.88</v>
      </c>
      <c r="D101" s="112">
        <v>29.85</v>
      </c>
      <c r="E101" s="112">
        <v>9.1999999999999993</v>
      </c>
      <c r="F101" s="112">
        <v>2.74</v>
      </c>
      <c r="G101" s="112">
        <v>127.6</v>
      </c>
      <c r="H101" s="112">
        <v>46.04</v>
      </c>
      <c r="I101" s="112">
        <v>9.09</v>
      </c>
      <c r="J101" s="112">
        <v>0.08</v>
      </c>
      <c r="K101" s="112">
        <v>225.65</v>
      </c>
      <c r="L101" s="112">
        <v>15.54</v>
      </c>
      <c r="M101" s="112">
        <v>90.18</v>
      </c>
      <c r="N101" s="112">
        <v>0</v>
      </c>
      <c r="O101" s="112">
        <v>0</v>
      </c>
      <c r="P101" s="112">
        <v>1.0900000000000001</v>
      </c>
      <c r="Q101" s="112">
        <v>5.37</v>
      </c>
    </row>
    <row r="102" spans="1:22" customFormat="1">
      <c r="A102" s="80">
        <v>45275.979166666664</v>
      </c>
      <c r="B102" s="112">
        <v>18.2</v>
      </c>
      <c r="C102" s="112">
        <v>29.84</v>
      </c>
      <c r="D102" s="112">
        <v>31.54</v>
      </c>
      <c r="E102" s="112">
        <v>9.14</v>
      </c>
      <c r="F102" s="112">
        <v>2.58</v>
      </c>
      <c r="G102" s="112">
        <v>127.6</v>
      </c>
      <c r="H102" s="112">
        <v>46.04</v>
      </c>
      <c r="I102" s="112">
        <v>9.15</v>
      </c>
      <c r="J102" s="112">
        <v>0.15</v>
      </c>
      <c r="K102" s="112">
        <v>177.02</v>
      </c>
      <c r="L102" s="112">
        <v>15.51</v>
      </c>
      <c r="M102" s="112">
        <v>90.08</v>
      </c>
      <c r="N102" s="112">
        <v>0</v>
      </c>
      <c r="O102" s="112">
        <v>0</v>
      </c>
      <c r="P102" s="112">
        <v>1.1100000000000001</v>
      </c>
      <c r="Q102" s="112">
        <v>5.43</v>
      </c>
    </row>
    <row r="103" spans="1:22" customFormat="1">
      <c r="A103" s="80">
        <v>45275.989583333336</v>
      </c>
      <c r="B103" s="112">
        <v>21.19</v>
      </c>
      <c r="C103" s="112">
        <v>30.16</v>
      </c>
      <c r="D103" s="112">
        <v>34.1</v>
      </c>
      <c r="E103" s="112">
        <v>9.3000000000000007</v>
      </c>
      <c r="F103" s="112">
        <v>2.54</v>
      </c>
      <c r="G103" s="112">
        <v>127.6</v>
      </c>
      <c r="H103" s="112">
        <v>46.04</v>
      </c>
      <c r="I103" s="112">
        <v>9.25</v>
      </c>
      <c r="J103" s="112">
        <v>0.16</v>
      </c>
      <c r="K103" s="112">
        <v>217.31</v>
      </c>
      <c r="L103" s="112">
        <v>15.51</v>
      </c>
      <c r="M103" s="112">
        <v>92.49</v>
      </c>
      <c r="N103" s="112">
        <v>0</v>
      </c>
      <c r="O103" s="112">
        <v>0</v>
      </c>
      <c r="P103" s="112">
        <v>1.1299999999999999</v>
      </c>
      <c r="Q103" s="112">
        <v>5.5</v>
      </c>
    </row>
    <row r="104" spans="1:22" customFormat="1">
      <c r="A104" s="80">
        <v>45276</v>
      </c>
      <c r="B104" s="112">
        <v>22.52</v>
      </c>
      <c r="C104" s="112">
        <v>30.04</v>
      </c>
      <c r="D104" s="112">
        <v>35.1</v>
      </c>
      <c r="E104" s="112">
        <v>9.5299999999999994</v>
      </c>
      <c r="F104" s="112">
        <v>2.52</v>
      </c>
      <c r="G104" s="112">
        <v>126.15</v>
      </c>
      <c r="H104" s="112">
        <v>47.5</v>
      </c>
      <c r="I104" s="112">
        <v>9.41</v>
      </c>
      <c r="J104" s="112">
        <v>0.1</v>
      </c>
      <c r="K104" s="112">
        <v>177.8</v>
      </c>
      <c r="L104" s="112">
        <v>15.33</v>
      </c>
      <c r="M104" s="112">
        <v>93.32</v>
      </c>
      <c r="N104" s="112">
        <v>0</v>
      </c>
      <c r="O104" s="112">
        <v>0</v>
      </c>
      <c r="P104" s="112">
        <v>1.1299999999999999</v>
      </c>
      <c r="Q104" s="112">
        <v>5.56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23.33</v>
      </c>
      <c r="D106" s="183">
        <f t="shared" ref="D106:Q106" si="0">MIN(D9:D104)</f>
        <v>15.77</v>
      </c>
      <c r="E106" s="183">
        <f t="shared" si="0"/>
        <v>6.78</v>
      </c>
      <c r="F106" s="183">
        <f t="shared" si="0"/>
        <v>2.4500000000000002</v>
      </c>
      <c r="G106" s="183">
        <f t="shared" si="0"/>
        <v>70.66</v>
      </c>
      <c r="H106" s="183">
        <f t="shared" si="0"/>
        <v>27.58</v>
      </c>
      <c r="I106" s="183">
        <f t="shared" si="0"/>
        <v>5.72</v>
      </c>
      <c r="J106" s="183">
        <f t="shared" si="0"/>
        <v>0.05</v>
      </c>
      <c r="K106" s="183">
        <f t="shared" si="0"/>
        <v>23.58</v>
      </c>
      <c r="L106" s="183">
        <f t="shared" si="0"/>
        <v>13.58</v>
      </c>
      <c r="M106" s="183">
        <f t="shared" si="0"/>
        <v>33.93</v>
      </c>
      <c r="N106" s="183">
        <f t="shared" si="0"/>
        <v>0</v>
      </c>
      <c r="O106" s="183">
        <f t="shared" si="0"/>
        <v>0</v>
      </c>
      <c r="P106" s="183">
        <f t="shared" si="0"/>
        <v>0.64</v>
      </c>
      <c r="Q106" s="183">
        <f t="shared" si="0"/>
        <v>4.88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26.94</v>
      </c>
      <c r="C107" s="184">
        <f t="shared" ref="C107:Q107" si="1">MAX(C9:C104)</f>
        <v>33</v>
      </c>
      <c r="D107" s="184">
        <f t="shared" si="1"/>
        <v>39.26</v>
      </c>
      <c r="E107" s="184">
        <f t="shared" si="1"/>
        <v>11.65</v>
      </c>
      <c r="F107" s="184">
        <f t="shared" si="1"/>
        <v>11.9</v>
      </c>
      <c r="G107" s="184">
        <f t="shared" si="1"/>
        <v>135.19999999999999</v>
      </c>
      <c r="H107" s="184">
        <f t="shared" si="1"/>
        <v>53.79</v>
      </c>
      <c r="I107" s="184">
        <f t="shared" si="1"/>
        <v>9.81</v>
      </c>
      <c r="J107" s="184">
        <f t="shared" si="1"/>
        <v>0.65</v>
      </c>
      <c r="K107" s="184">
        <f t="shared" si="1"/>
        <v>348.09</v>
      </c>
      <c r="L107" s="184">
        <f t="shared" si="1"/>
        <v>26.92</v>
      </c>
      <c r="M107" s="184">
        <f t="shared" si="1"/>
        <v>95.48</v>
      </c>
      <c r="N107" s="184">
        <f t="shared" si="1"/>
        <v>568.1</v>
      </c>
      <c r="O107" s="184">
        <f t="shared" si="1"/>
        <v>0</v>
      </c>
      <c r="P107" s="184">
        <f t="shared" si="1"/>
        <v>1.1299999999999999</v>
      </c>
      <c r="Q107" s="184">
        <f t="shared" si="1"/>
        <v>5.64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14.796145833333339</v>
      </c>
      <c r="C108" s="183">
        <f t="shared" ref="C108:Q108" si="2">AVERAGE(C9:C104)</f>
        <v>29.188333333333329</v>
      </c>
      <c r="D108" s="183">
        <f t="shared" si="2"/>
        <v>28.466458333333335</v>
      </c>
      <c r="E108" s="183">
        <f t="shared" si="2"/>
        <v>8.9771874999999994</v>
      </c>
      <c r="F108" s="183">
        <f t="shared" si="2"/>
        <v>3.0547916666666666</v>
      </c>
      <c r="G108" s="183">
        <f t="shared" si="2"/>
        <v>103.56072916666665</v>
      </c>
      <c r="H108" s="183">
        <f t="shared" si="2"/>
        <v>41.279166666666676</v>
      </c>
      <c r="I108" s="183">
        <f t="shared" si="2"/>
        <v>7.9829166666666671</v>
      </c>
      <c r="J108" s="183">
        <f t="shared" si="2"/>
        <v>0.20895833333333344</v>
      </c>
      <c r="K108" s="183">
        <f t="shared" si="2"/>
        <v>130.14593749999997</v>
      </c>
      <c r="L108" s="183">
        <f t="shared" si="2"/>
        <v>19.204166666666662</v>
      </c>
      <c r="M108" s="183">
        <f t="shared" si="2"/>
        <v>67.81635416666667</v>
      </c>
      <c r="N108" s="183">
        <f t="shared" si="2"/>
        <v>110.35833333333333</v>
      </c>
      <c r="O108" s="183">
        <f t="shared" si="2"/>
        <v>0</v>
      </c>
      <c r="P108" s="183">
        <f t="shared" si="2"/>
        <v>0.86916666666666609</v>
      </c>
      <c r="Q108" s="183">
        <f t="shared" si="2"/>
        <v>5.2967708333333352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7.661075693302382</v>
      </c>
      <c r="C109" s="183">
        <f t="shared" ref="C109:Q109" si="3">STDEV(C9:C104)</f>
        <v>2.2630150668925957</v>
      </c>
      <c r="D109" s="183">
        <f t="shared" si="3"/>
        <v>6.9651488787755822</v>
      </c>
      <c r="E109" s="183">
        <f t="shared" si="3"/>
        <v>0.69664414101501293</v>
      </c>
      <c r="F109" s="183">
        <f t="shared" si="3"/>
        <v>1.1167688156996971</v>
      </c>
      <c r="G109" s="183">
        <f t="shared" si="3"/>
        <v>18.906427659162336</v>
      </c>
      <c r="H109" s="183">
        <f t="shared" si="3"/>
        <v>7.0722246431733966</v>
      </c>
      <c r="I109" s="183">
        <f t="shared" si="3"/>
        <v>1.2523173607076816</v>
      </c>
      <c r="J109" s="183">
        <f t="shared" si="3"/>
        <v>0.11601705107591223</v>
      </c>
      <c r="K109" s="183">
        <f t="shared" si="3"/>
        <v>72.486634144772964</v>
      </c>
      <c r="L109" s="183">
        <f t="shared" si="3"/>
        <v>4.4390918148142733</v>
      </c>
      <c r="M109" s="183">
        <f t="shared" si="3"/>
        <v>21.185331823285573</v>
      </c>
      <c r="N109" s="183">
        <f t="shared" si="3"/>
        <v>189.28771676814702</v>
      </c>
      <c r="O109" s="183">
        <f t="shared" si="3"/>
        <v>0</v>
      </c>
      <c r="P109" s="183">
        <f t="shared" si="3"/>
        <v>0.14458409803125011</v>
      </c>
      <c r="Q109" s="183">
        <f t="shared" si="3"/>
        <v>0.22605306685609208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45276.010416666664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45276.010416666664</v>
      </c>
      <c r="B9" s="112">
        <v>25.91</v>
      </c>
      <c r="C9" s="112">
        <v>30.05</v>
      </c>
      <c r="D9" s="112">
        <v>37.83</v>
      </c>
      <c r="E9" s="112">
        <v>9.19</v>
      </c>
      <c r="F9" s="112">
        <v>2.61</v>
      </c>
      <c r="G9" s="112">
        <v>124.63</v>
      </c>
      <c r="H9" s="112">
        <v>48.28</v>
      </c>
      <c r="I9" s="112">
        <v>9.5399999999999991</v>
      </c>
      <c r="J9" s="112">
        <v>0.13</v>
      </c>
      <c r="K9" s="112">
        <v>181.6</v>
      </c>
      <c r="L9" s="112">
        <v>15.28</v>
      </c>
      <c r="M9" s="112">
        <v>93.12</v>
      </c>
      <c r="N9" s="112">
        <v>0</v>
      </c>
      <c r="O9" s="112">
        <v>0</v>
      </c>
      <c r="P9" s="112">
        <v>1.1399999999999999</v>
      </c>
      <c r="Q9" s="112">
        <v>5.6</v>
      </c>
    </row>
    <row r="10" spans="1:21" customFormat="1">
      <c r="A10" s="80">
        <v>45276.020833333336</v>
      </c>
      <c r="B10" s="112">
        <v>27.35</v>
      </c>
      <c r="C10" s="112">
        <v>29.68</v>
      </c>
      <c r="D10" s="112">
        <v>38.79</v>
      </c>
      <c r="E10" s="112">
        <v>10.029999999999999</v>
      </c>
      <c r="F10" s="112">
        <v>2.54</v>
      </c>
      <c r="G10" s="112">
        <v>124.63</v>
      </c>
      <c r="H10" s="112">
        <v>48.28</v>
      </c>
      <c r="I10" s="112">
        <v>9.61</v>
      </c>
      <c r="J10" s="112">
        <v>0.12</v>
      </c>
      <c r="K10" s="112">
        <v>224.27</v>
      </c>
      <c r="L10" s="112">
        <v>15.17</v>
      </c>
      <c r="M10" s="112">
        <v>94.15</v>
      </c>
      <c r="N10" s="112">
        <v>0</v>
      </c>
      <c r="O10" s="112">
        <v>0</v>
      </c>
      <c r="P10" s="112">
        <v>1.1599999999999999</v>
      </c>
      <c r="Q10" s="112">
        <v>5.6</v>
      </c>
    </row>
    <row r="11" spans="1:21" customFormat="1">
      <c r="A11" s="80">
        <v>45276.03125</v>
      </c>
      <c r="B11" s="112">
        <v>28.49</v>
      </c>
      <c r="C11" s="112">
        <v>29.92</v>
      </c>
      <c r="D11" s="112">
        <v>39.83</v>
      </c>
      <c r="E11" s="112">
        <v>9.58</v>
      </c>
      <c r="F11" s="112">
        <v>2.4700000000000002</v>
      </c>
      <c r="G11" s="112">
        <v>124.63</v>
      </c>
      <c r="H11" s="112">
        <v>48.28</v>
      </c>
      <c r="I11" s="112">
        <v>9.6999999999999993</v>
      </c>
      <c r="J11" s="112">
        <v>0.1</v>
      </c>
      <c r="K11" s="112">
        <v>203.35</v>
      </c>
      <c r="L11" s="112">
        <v>14.92</v>
      </c>
      <c r="M11" s="112">
        <v>95</v>
      </c>
      <c r="N11" s="112">
        <v>0</v>
      </c>
      <c r="O11" s="112">
        <v>0</v>
      </c>
      <c r="P11" s="112">
        <v>1.1599999999999999</v>
      </c>
      <c r="Q11" s="112">
        <v>5.64</v>
      </c>
    </row>
    <row r="12" spans="1:21" customFormat="1">
      <c r="A12" s="80">
        <v>45276.041666666664</v>
      </c>
      <c r="B12" s="112">
        <v>29.22</v>
      </c>
      <c r="C12" s="112">
        <v>28.12</v>
      </c>
      <c r="D12" s="112">
        <v>39.479999999999997</v>
      </c>
      <c r="E12" s="112">
        <v>9.5399999999999991</v>
      </c>
      <c r="F12" s="112">
        <v>2.79</v>
      </c>
      <c r="G12" s="112">
        <v>118.8</v>
      </c>
      <c r="H12" s="112">
        <v>46.88</v>
      </c>
      <c r="I12" s="112">
        <v>9.77</v>
      </c>
      <c r="J12" s="112">
        <v>0.12</v>
      </c>
      <c r="K12" s="112">
        <v>180.74</v>
      </c>
      <c r="L12" s="112">
        <v>14.82</v>
      </c>
      <c r="M12" s="112">
        <v>94.43</v>
      </c>
      <c r="N12" s="112">
        <v>0</v>
      </c>
      <c r="O12" s="112">
        <v>0</v>
      </c>
      <c r="P12" s="112">
        <v>1.1599999999999999</v>
      </c>
      <c r="Q12" s="112">
        <v>5.66</v>
      </c>
    </row>
    <row r="13" spans="1:21" customFormat="1">
      <c r="A13" s="80">
        <v>45276.052083333336</v>
      </c>
      <c r="B13" s="112">
        <v>30.52</v>
      </c>
      <c r="C13" s="112">
        <v>26.61</v>
      </c>
      <c r="D13" s="112">
        <v>39.729999999999997</v>
      </c>
      <c r="E13" s="112">
        <v>8.9600000000000009</v>
      </c>
      <c r="F13" s="112">
        <v>2.8</v>
      </c>
      <c r="G13" s="112">
        <v>112.7</v>
      </c>
      <c r="H13" s="112">
        <v>46.15</v>
      </c>
      <c r="I13" s="112">
        <v>9.7899999999999991</v>
      </c>
      <c r="J13" s="112">
        <v>0.2</v>
      </c>
      <c r="K13" s="112">
        <v>333.81</v>
      </c>
      <c r="L13" s="112">
        <v>14.72</v>
      </c>
      <c r="M13" s="112">
        <v>94.25</v>
      </c>
      <c r="N13" s="112">
        <v>0</v>
      </c>
      <c r="O13" s="112">
        <v>0</v>
      </c>
      <c r="P13" s="112">
        <v>1.1399999999999999</v>
      </c>
      <c r="Q13" s="112">
        <v>5.68</v>
      </c>
    </row>
    <row r="14" spans="1:21" customFormat="1">
      <c r="A14" s="80">
        <v>45276.0625</v>
      </c>
      <c r="B14" s="112">
        <v>33.299999999999997</v>
      </c>
      <c r="C14" s="112">
        <v>26.68</v>
      </c>
      <c r="D14" s="112">
        <v>42</v>
      </c>
      <c r="E14" s="112">
        <v>9.0500000000000007</v>
      </c>
      <c r="F14" s="112">
        <v>2.71</v>
      </c>
      <c r="G14" s="112">
        <v>112.7</v>
      </c>
      <c r="H14" s="112">
        <v>46.15</v>
      </c>
      <c r="I14" s="112">
        <v>9.8000000000000007</v>
      </c>
      <c r="J14" s="112">
        <v>0.23</v>
      </c>
      <c r="K14" s="112">
        <v>30.49</v>
      </c>
      <c r="L14" s="112">
        <v>14.79</v>
      </c>
      <c r="M14" s="112">
        <v>88.79</v>
      </c>
      <c r="N14" s="112">
        <v>0</v>
      </c>
      <c r="O14" s="112">
        <v>0</v>
      </c>
      <c r="P14" s="112">
        <v>1.1499999999999999</v>
      </c>
      <c r="Q14" s="112">
        <v>5.72</v>
      </c>
    </row>
    <row r="15" spans="1:21" customFormat="1">
      <c r="A15" s="80">
        <v>45276.072916666664</v>
      </c>
      <c r="B15" s="112">
        <v>35.979999999999997</v>
      </c>
      <c r="C15" s="112">
        <v>27.7</v>
      </c>
      <c r="D15" s="112">
        <v>44.67</v>
      </c>
      <c r="E15" s="112">
        <v>9.7200000000000006</v>
      </c>
      <c r="F15" s="112">
        <v>2.57</v>
      </c>
      <c r="G15" s="112">
        <v>112.7</v>
      </c>
      <c r="H15" s="112">
        <v>46.15</v>
      </c>
      <c r="I15" s="112">
        <v>9.81</v>
      </c>
      <c r="J15" s="112">
        <v>0.24</v>
      </c>
      <c r="K15" s="112">
        <v>44.65</v>
      </c>
      <c r="L15" s="112">
        <v>14.98</v>
      </c>
      <c r="M15" s="112">
        <v>83.8</v>
      </c>
      <c r="N15" s="112">
        <v>0</v>
      </c>
      <c r="O15" s="112">
        <v>0</v>
      </c>
      <c r="P15" s="112">
        <v>1.1599999999999999</v>
      </c>
      <c r="Q15" s="112">
        <v>5.77</v>
      </c>
    </row>
    <row r="16" spans="1:21" customFormat="1">
      <c r="A16" s="80">
        <v>45276.083333333336</v>
      </c>
      <c r="B16" s="112">
        <v>36.869999999999997</v>
      </c>
      <c r="C16" s="112">
        <v>28.5</v>
      </c>
      <c r="D16" s="112">
        <v>45.81</v>
      </c>
      <c r="E16" s="112">
        <v>9.4700000000000006</v>
      </c>
      <c r="F16" s="112">
        <v>2.4700000000000002</v>
      </c>
      <c r="G16" s="112">
        <v>115.64</v>
      </c>
      <c r="H16" s="112">
        <v>47.84</v>
      </c>
      <c r="I16" s="112">
        <v>9.91</v>
      </c>
      <c r="J16" s="112">
        <v>0.1</v>
      </c>
      <c r="K16" s="112">
        <v>45.33</v>
      </c>
      <c r="L16" s="112">
        <v>14.9</v>
      </c>
      <c r="M16" s="112">
        <v>83.6</v>
      </c>
      <c r="N16" s="112">
        <v>0</v>
      </c>
      <c r="O16" s="112">
        <v>0</v>
      </c>
      <c r="P16" s="112">
        <v>1.17</v>
      </c>
      <c r="Q16" s="112">
        <v>5.85</v>
      </c>
    </row>
    <row r="17" spans="1:17" customFormat="1">
      <c r="A17" s="80">
        <v>45276.09375</v>
      </c>
      <c r="B17" s="112">
        <v>37.61</v>
      </c>
      <c r="C17" s="112">
        <v>28.8</v>
      </c>
      <c r="D17" s="112">
        <v>46.56</v>
      </c>
      <c r="E17" s="112">
        <v>7.33</v>
      </c>
      <c r="F17" s="112">
        <v>2.52</v>
      </c>
      <c r="G17" s="112">
        <v>118.72</v>
      </c>
      <c r="H17" s="112">
        <v>49.79</v>
      </c>
      <c r="I17" s="112">
        <v>10.08</v>
      </c>
      <c r="J17" s="112">
        <v>0.1</v>
      </c>
      <c r="K17" s="112">
        <v>99.64</v>
      </c>
      <c r="L17" s="112">
        <v>14.66</v>
      </c>
      <c r="M17" s="112">
        <v>85.18</v>
      </c>
      <c r="N17" s="112">
        <v>0</v>
      </c>
      <c r="O17" s="112">
        <v>0</v>
      </c>
      <c r="P17" s="112">
        <v>1.17</v>
      </c>
      <c r="Q17" s="112">
        <v>5.87</v>
      </c>
    </row>
    <row r="18" spans="1:17" customFormat="1">
      <c r="A18" s="80">
        <v>45276.104166666664</v>
      </c>
      <c r="B18" s="112">
        <v>37.71</v>
      </c>
      <c r="C18" s="112">
        <v>28.75</v>
      </c>
      <c r="D18" s="112">
        <v>46.61</v>
      </c>
      <c r="E18" s="112">
        <v>8.6</v>
      </c>
      <c r="F18" s="112">
        <v>2.59</v>
      </c>
      <c r="G18" s="112">
        <v>118.72</v>
      </c>
      <c r="H18" s="112">
        <v>49.79</v>
      </c>
      <c r="I18" s="112">
        <v>10.220000000000001</v>
      </c>
      <c r="J18" s="112">
        <v>0.14000000000000001</v>
      </c>
      <c r="K18" s="112">
        <v>192.88</v>
      </c>
      <c r="L18" s="112">
        <v>14.57</v>
      </c>
      <c r="M18" s="112">
        <v>87.42</v>
      </c>
      <c r="N18" s="112">
        <v>0</v>
      </c>
      <c r="O18" s="112">
        <v>0</v>
      </c>
      <c r="P18" s="112">
        <v>1.17</v>
      </c>
      <c r="Q18" s="112">
        <v>5.89</v>
      </c>
    </row>
    <row r="19" spans="1:17" customFormat="1">
      <c r="A19" s="80">
        <v>45276.114583333336</v>
      </c>
      <c r="B19" s="112">
        <v>36.93</v>
      </c>
      <c r="C19" s="112">
        <v>28.32</v>
      </c>
      <c r="D19" s="112">
        <v>45.76</v>
      </c>
      <c r="E19" s="112">
        <v>8.6199999999999992</v>
      </c>
      <c r="F19" s="112">
        <v>2.75</v>
      </c>
      <c r="G19" s="112">
        <v>118.72</v>
      </c>
      <c r="H19" s="112">
        <v>49.79</v>
      </c>
      <c r="I19" s="112">
        <v>10.36</v>
      </c>
      <c r="J19" s="112">
        <v>0.12</v>
      </c>
      <c r="K19" s="112">
        <v>223.87</v>
      </c>
      <c r="L19" s="112">
        <v>14.21</v>
      </c>
      <c r="M19" s="112">
        <v>92.56</v>
      </c>
      <c r="N19" s="112">
        <v>0</v>
      </c>
      <c r="O19" s="112">
        <v>0</v>
      </c>
      <c r="P19" s="112">
        <v>1.1599999999999999</v>
      </c>
      <c r="Q19" s="112">
        <v>5.87</v>
      </c>
    </row>
    <row r="20" spans="1:17" customFormat="1">
      <c r="A20" s="80">
        <v>45276.125</v>
      </c>
      <c r="B20" s="112">
        <v>35.74</v>
      </c>
      <c r="C20" s="112">
        <v>28.76</v>
      </c>
      <c r="D20" s="112">
        <v>45.04</v>
      </c>
      <c r="E20" s="112">
        <v>8.6999999999999993</v>
      </c>
      <c r="F20" s="112">
        <v>2.54</v>
      </c>
      <c r="G20" s="112">
        <v>114.7</v>
      </c>
      <c r="H20" s="112">
        <v>48.66</v>
      </c>
      <c r="I20" s="112">
        <v>10.47</v>
      </c>
      <c r="J20" s="112">
        <v>0.09</v>
      </c>
      <c r="K20" s="112">
        <v>221.71</v>
      </c>
      <c r="L20" s="112">
        <v>13.85</v>
      </c>
      <c r="M20" s="112">
        <v>93.81</v>
      </c>
      <c r="N20" s="112">
        <v>0</v>
      </c>
      <c r="O20" s="112">
        <v>0</v>
      </c>
      <c r="P20" s="112">
        <v>1.1599999999999999</v>
      </c>
      <c r="Q20" s="112">
        <v>5.83</v>
      </c>
    </row>
    <row r="21" spans="1:17" customFormat="1">
      <c r="A21" s="80">
        <v>45276.135416666664</v>
      </c>
      <c r="B21" s="112">
        <v>34.54</v>
      </c>
      <c r="C21" s="112">
        <v>28.61</v>
      </c>
      <c r="D21" s="112">
        <v>44</v>
      </c>
      <c r="E21" s="112">
        <v>8.41</v>
      </c>
      <c r="F21" s="112">
        <v>2.68</v>
      </c>
      <c r="G21" s="112">
        <v>110.49</v>
      </c>
      <c r="H21" s="112">
        <v>48.06</v>
      </c>
      <c r="I21" s="112">
        <v>10.54</v>
      </c>
      <c r="J21" s="112">
        <v>0.1</v>
      </c>
      <c r="K21" s="112">
        <v>147.99</v>
      </c>
      <c r="L21" s="112">
        <v>13.75</v>
      </c>
      <c r="M21" s="112">
        <v>93.52</v>
      </c>
      <c r="N21" s="112">
        <v>0</v>
      </c>
      <c r="O21" s="112">
        <v>0</v>
      </c>
      <c r="P21" s="112">
        <v>1.1499999999999999</v>
      </c>
      <c r="Q21" s="112">
        <v>5.79</v>
      </c>
    </row>
    <row r="22" spans="1:17" customFormat="1">
      <c r="A22" s="80">
        <v>45276.145833333336</v>
      </c>
      <c r="B22" s="112">
        <v>34.36</v>
      </c>
      <c r="C22" s="112">
        <v>27.91</v>
      </c>
      <c r="D22" s="112">
        <v>43.49</v>
      </c>
      <c r="E22" s="112">
        <v>8.35</v>
      </c>
      <c r="F22" s="112">
        <v>2.62</v>
      </c>
      <c r="G22" s="112">
        <v>110.49</v>
      </c>
      <c r="H22" s="112">
        <v>48.06</v>
      </c>
      <c r="I22" s="112">
        <v>10.61</v>
      </c>
      <c r="J22" s="112">
        <v>0.12</v>
      </c>
      <c r="K22" s="112">
        <v>158.36000000000001</v>
      </c>
      <c r="L22" s="112">
        <v>13.74</v>
      </c>
      <c r="M22" s="112">
        <v>93.3</v>
      </c>
      <c r="N22" s="112">
        <v>0</v>
      </c>
      <c r="O22" s="112">
        <v>0</v>
      </c>
      <c r="P22" s="112">
        <v>1.1499999999999999</v>
      </c>
      <c r="Q22" s="112">
        <v>5.8</v>
      </c>
    </row>
    <row r="23" spans="1:17" customFormat="1">
      <c r="A23" s="80">
        <v>45276.15625</v>
      </c>
      <c r="B23" s="112">
        <v>36</v>
      </c>
      <c r="C23" s="112">
        <v>27.84</v>
      </c>
      <c r="D23" s="112">
        <v>44.77</v>
      </c>
      <c r="E23" s="112">
        <v>8.66</v>
      </c>
      <c r="F23" s="112">
        <v>2.5299999999999998</v>
      </c>
      <c r="G23" s="112">
        <v>110.49</v>
      </c>
      <c r="H23" s="112">
        <v>48.06</v>
      </c>
      <c r="I23" s="112">
        <v>10.68</v>
      </c>
      <c r="J23" s="112">
        <v>0.04</v>
      </c>
      <c r="K23" s="112">
        <v>145.12</v>
      </c>
      <c r="L23" s="112">
        <v>13.65</v>
      </c>
      <c r="M23" s="112">
        <v>92.64</v>
      </c>
      <c r="N23" s="112">
        <v>0</v>
      </c>
      <c r="O23" s="112">
        <v>0</v>
      </c>
      <c r="P23" s="112">
        <v>1.1399999999999999</v>
      </c>
      <c r="Q23" s="112">
        <v>5.81</v>
      </c>
    </row>
    <row r="24" spans="1:17" customFormat="1">
      <c r="A24" s="80">
        <v>45276.166666666664</v>
      </c>
      <c r="B24" s="112">
        <v>38.99</v>
      </c>
      <c r="C24" s="112">
        <v>29.01</v>
      </c>
      <c r="D24" s="112">
        <v>47.78</v>
      </c>
      <c r="E24" s="112">
        <v>8.7200000000000006</v>
      </c>
      <c r="F24" s="112">
        <v>2.52</v>
      </c>
      <c r="G24" s="112">
        <v>109.05</v>
      </c>
      <c r="H24" s="112">
        <v>49.08</v>
      </c>
      <c r="I24" s="112">
        <v>10.71</v>
      </c>
      <c r="J24" s="112">
        <v>0.06</v>
      </c>
      <c r="K24" s="112">
        <v>122.55</v>
      </c>
      <c r="L24" s="112">
        <v>13.58</v>
      </c>
      <c r="M24" s="112">
        <v>91.21</v>
      </c>
      <c r="N24" s="112">
        <v>0</v>
      </c>
      <c r="O24" s="112">
        <v>0</v>
      </c>
      <c r="P24" s="112">
        <v>1.1399999999999999</v>
      </c>
      <c r="Q24" s="112">
        <v>5.87</v>
      </c>
    </row>
    <row r="25" spans="1:17" customFormat="1">
      <c r="A25" s="80">
        <v>45276.177083333336</v>
      </c>
      <c r="B25" s="112">
        <v>41.67</v>
      </c>
      <c r="C25" s="112">
        <v>29.3</v>
      </c>
      <c r="D25" s="112">
        <v>50.08</v>
      </c>
      <c r="E25" s="112">
        <v>8.15</v>
      </c>
      <c r="F25" s="112">
        <v>2.56</v>
      </c>
      <c r="G25" s="112">
        <v>107.54</v>
      </c>
      <c r="H25" s="112">
        <v>49.63</v>
      </c>
      <c r="I25" s="112">
        <v>10.7</v>
      </c>
      <c r="J25" s="112">
        <v>0.13</v>
      </c>
      <c r="K25" s="112">
        <v>151.52000000000001</v>
      </c>
      <c r="L25" s="112">
        <v>13.74</v>
      </c>
      <c r="M25" s="112">
        <v>88.62</v>
      </c>
      <c r="N25" s="112">
        <v>0</v>
      </c>
      <c r="O25" s="112">
        <v>0</v>
      </c>
      <c r="P25" s="112">
        <v>1.1299999999999999</v>
      </c>
      <c r="Q25" s="112">
        <v>5.94</v>
      </c>
    </row>
    <row r="26" spans="1:17" customFormat="1">
      <c r="A26" s="80">
        <v>45276.1875</v>
      </c>
      <c r="B26" s="112">
        <v>42.03</v>
      </c>
      <c r="C26" s="112">
        <v>28.98</v>
      </c>
      <c r="D26" s="112">
        <v>50.2</v>
      </c>
      <c r="E26" s="112">
        <v>8.16</v>
      </c>
      <c r="F26" s="112">
        <v>2.7</v>
      </c>
      <c r="G26" s="112">
        <v>107.54</v>
      </c>
      <c r="H26" s="112">
        <v>49.63</v>
      </c>
      <c r="I26" s="112">
        <v>10.65</v>
      </c>
      <c r="J26" s="112">
        <v>0.16</v>
      </c>
      <c r="K26" s="112">
        <v>217.5</v>
      </c>
      <c r="L26" s="112">
        <v>13.53</v>
      </c>
      <c r="M26" s="112">
        <v>92.24</v>
      </c>
      <c r="N26" s="112">
        <v>0</v>
      </c>
      <c r="O26" s="112">
        <v>0</v>
      </c>
      <c r="P26" s="112">
        <v>1.1100000000000001</v>
      </c>
      <c r="Q26" s="112">
        <v>5.98</v>
      </c>
    </row>
    <row r="27" spans="1:17" customFormat="1">
      <c r="A27" s="80">
        <v>45276.197916666664</v>
      </c>
      <c r="B27" s="112">
        <v>40.79</v>
      </c>
      <c r="C27" s="112">
        <v>29.49</v>
      </c>
      <c r="D27" s="112">
        <v>49.47</v>
      </c>
      <c r="E27" s="112">
        <v>8.33</v>
      </c>
      <c r="F27" s="112">
        <v>2.5299999999999998</v>
      </c>
      <c r="G27" s="112">
        <v>107.54</v>
      </c>
      <c r="H27" s="112">
        <v>49.63</v>
      </c>
      <c r="I27" s="112">
        <v>10.58</v>
      </c>
      <c r="J27" s="112">
        <v>0.08</v>
      </c>
      <c r="K27" s="112">
        <v>217.48</v>
      </c>
      <c r="L27" s="112">
        <v>13.15</v>
      </c>
      <c r="M27" s="112">
        <v>94.42</v>
      </c>
      <c r="N27" s="112">
        <v>0</v>
      </c>
      <c r="O27" s="112">
        <v>0</v>
      </c>
      <c r="P27" s="112">
        <v>1.1100000000000001</v>
      </c>
      <c r="Q27" s="112">
        <v>5.95</v>
      </c>
    </row>
    <row r="28" spans="1:17" customFormat="1">
      <c r="A28" s="80">
        <v>45276.208333333336</v>
      </c>
      <c r="B28" s="112">
        <v>39.36</v>
      </c>
      <c r="C28" s="112">
        <v>29.21</v>
      </c>
      <c r="D28" s="112">
        <v>48.17</v>
      </c>
      <c r="E28" s="112">
        <v>7.66</v>
      </c>
      <c r="F28" s="112">
        <v>2.59</v>
      </c>
      <c r="G28" s="112">
        <v>103.05</v>
      </c>
      <c r="H28" s="112">
        <v>48.05</v>
      </c>
      <c r="I28" s="112">
        <v>10.48</v>
      </c>
      <c r="J28" s="112">
        <v>7.0000000000000007E-2</v>
      </c>
      <c r="K28" s="112">
        <v>205.52</v>
      </c>
      <c r="L28" s="112">
        <v>12.95</v>
      </c>
      <c r="M28" s="112">
        <v>94.69</v>
      </c>
      <c r="N28" s="112">
        <v>0</v>
      </c>
      <c r="O28" s="112">
        <v>0</v>
      </c>
      <c r="P28" s="112">
        <v>1.1000000000000001</v>
      </c>
      <c r="Q28" s="112">
        <v>5.91</v>
      </c>
    </row>
    <row r="29" spans="1:17" customFormat="1">
      <c r="A29" s="80">
        <v>45276.21875</v>
      </c>
      <c r="B29" s="112">
        <v>38.58</v>
      </c>
      <c r="C29" s="112">
        <v>29.1</v>
      </c>
      <c r="D29" s="112">
        <v>47.5</v>
      </c>
      <c r="E29" s="112">
        <v>7.85</v>
      </c>
      <c r="F29" s="112">
        <v>2.5099999999999998</v>
      </c>
      <c r="G29" s="112">
        <v>98.36</v>
      </c>
      <c r="H29" s="112">
        <v>47.23</v>
      </c>
      <c r="I29" s="112">
        <v>10.37</v>
      </c>
      <c r="J29" s="112">
        <v>0.06</v>
      </c>
      <c r="K29" s="112">
        <v>163.16999999999999</v>
      </c>
      <c r="L29" s="112">
        <v>12.89</v>
      </c>
      <c r="M29" s="112">
        <v>94.79</v>
      </c>
      <c r="N29" s="112">
        <v>0</v>
      </c>
      <c r="O29" s="112">
        <v>0</v>
      </c>
      <c r="P29" s="112">
        <v>1.0900000000000001</v>
      </c>
      <c r="Q29" s="112">
        <v>5.9</v>
      </c>
    </row>
    <row r="30" spans="1:17" customFormat="1">
      <c r="A30" s="80">
        <v>45276.229166666664</v>
      </c>
      <c r="B30" s="112">
        <v>39.93</v>
      </c>
      <c r="C30" s="112">
        <v>28.88</v>
      </c>
      <c r="D30" s="112">
        <v>48.46</v>
      </c>
      <c r="E30" s="112">
        <v>8.1999999999999993</v>
      </c>
      <c r="F30" s="112">
        <v>2.44</v>
      </c>
      <c r="G30" s="112">
        <v>98.36</v>
      </c>
      <c r="H30" s="112">
        <v>47.23</v>
      </c>
      <c r="I30" s="112">
        <v>10.31</v>
      </c>
      <c r="J30" s="112">
        <v>0.1</v>
      </c>
      <c r="K30" s="112">
        <v>194.22</v>
      </c>
      <c r="L30" s="112">
        <v>12.91</v>
      </c>
      <c r="M30" s="112">
        <v>94.41</v>
      </c>
      <c r="N30" s="112">
        <v>0</v>
      </c>
      <c r="O30" s="112">
        <v>0</v>
      </c>
      <c r="P30" s="112">
        <v>1.08</v>
      </c>
      <c r="Q30" s="112">
        <v>5.92</v>
      </c>
    </row>
    <row r="31" spans="1:17" customFormat="1">
      <c r="A31" s="80">
        <v>45276.239583333336</v>
      </c>
      <c r="B31" s="112">
        <v>40.83</v>
      </c>
      <c r="C31" s="112">
        <v>27.95</v>
      </c>
      <c r="D31" s="112">
        <v>48.69</v>
      </c>
      <c r="E31" s="112">
        <v>8.51</v>
      </c>
      <c r="F31" s="112">
        <v>2.57</v>
      </c>
      <c r="G31" s="112">
        <v>98.36</v>
      </c>
      <c r="H31" s="112">
        <v>47.23</v>
      </c>
      <c r="I31" s="112">
        <v>10.23</v>
      </c>
      <c r="J31" s="112">
        <v>7.0000000000000007E-2</v>
      </c>
      <c r="K31" s="112">
        <v>207.29</v>
      </c>
      <c r="L31" s="112">
        <v>12.87</v>
      </c>
      <c r="M31" s="112">
        <v>95.25</v>
      </c>
      <c r="N31" s="112">
        <v>0</v>
      </c>
      <c r="O31" s="112">
        <v>0</v>
      </c>
      <c r="P31" s="112">
        <v>1.08</v>
      </c>
      <c r="Q31" s="112">
        <v>5.94</v>
      </c>
    </row>
    <row r="32" spans="1:17" customFormat="1">
      <c r="A32" s="80">
        <v>45276.25</v>
      </c>
      <c r="B32" s="112">
        <v>41.98</v>
      </c>
      <c r="C32" s="112">
        <v>28.11</v>
      </c>
      <c r="D32" s="112">
        <v>49.7</v>
      </c>
      <c r="E32" s="112">
        <v>8.49</v>
      </c>
      <c r="F32" s="112">
        <v>2.69</v>
      </c>
      <c r="G32" s="112">
        <v>98.95</v>
      </c>
      <c r="H32" s="112">
        <v>49.06</v>
      </c>
      <c r="I32" s="112">
        <v>10.130000000000001</v>
      </c>
      <c r="J32" s="112">
        <v>0.09</v>
      </c>
      <c r="K32" s="112">
        <v>183.59</v>
      </c>
      <c r="L32" s="112">
        <v>12.81</v>
      </c>
      <c r="M32" s="112">
        <v>95.08</v>
      </c>
      <c r="N32" s="112">
        <v>0</v>
      </c>
      <c r="O32" s="112">
        <v>0</v>
      </c>
      <c r="P32" s="112">
        <v>1.0900000000000001</v>
      </c>
      <c r="Q32" s="112">
        <v>5.97</v>
      </c>
    </row>
    <row r="33" spans="1:17" customFormat="1">
      <c r="A33" s="80">
        <v>45276.260416666664</v>
      </c>
      <c r="B33" s="112">
        <v>44.55</v>
      </c>
      <c r="C33" s="112">
        <v>28.44</v>
      </c>
      <c r="D33" s="112">
        <v>51.94</v>
      </c>
      <c r="E33" s="112">
        <v>8.3699999999999992</v>
      </c>
      <c r="F33" s="112">
        <v>2.65</v>
      </c>
      <c r="G33" s="112">
        <v>99.57</v>
      </c>
      <c r="H33" s="112">
        <v>50.05</v>
      </c>
      <c r="I33" s="112">
        <v>10.039999999999999</v>
      </c>
      <c r="J33" s="112">
        <v>7.0000000000000007E-2</v>
      </c>
      <c r="K33" s="112">
        <v>220.11</v>
      </c>
      <c r="L33" s="112">
        <v>12.77</v>
      </c>
      <c r="M33" s="112">
        <v>94.82</v>
      </c>
      <c r="N33" s="112">
        <v>0</v>
      </c>
      <c r="O33" s="112">
        <v>0</v>
      </c>
      <c r="P33" s="112">
        <v>1.0900000000000001</v>
      </c>
      <c r="Q33" s="112">
        <v>6.02</v>
      </c>
    </row>
    <row r="34" spans="1:17" customFormat="1">
      <c r="A34" s="80">
        <v>45276.270833333336</v>
      </c>
      <c r="B34" s="112">
        <v>46.03</v>
      </c>
      <c r="C34" s="112">
        <v>28.72</v>
      </c>
      <c r="D34" s="112">
        <v>53.27</v>
      </c>
      <c r="E34" s="112">
        <v>8.59</v>
      </c>
      <c r="F34" s="112">
        <v>2.68</v>
      </c>
      <c r="G34" s="112">
        <v>99.57</v>
      </c>
      <c r="H34" s="112">
        <v>50.05</v>
      </c>
      <c r="I34" s="112">
        <v>10.029999999999999</v>
      </c>
      <c r="J34" s="112">
        <v>7.0000000000000007E-2</v>
      </c>
      <c r="K34" s="112">
        <v>197.28</v>
      </c>
      <c r="L34" s="112">
        <v>12.76</v>
      </c>
      <c r="M34" s="112">
        <v>95.21</v>
      </c>
      <c r="N34" s="112">
        <v>0</v>
      </c>
      <c r="O34" s="112">
        <v>0</v>
      </c>
      <c r="P34" s="112">
        <v>1.0900000000000001</v>
      </c>
      <c r="Q34" s="112">
        <v>6.07</v>
      </c>
    </row>
    <row r="35" spans="1:17" customFormat="1">
      <c r="A35" s="80">
        <v>45276.28125</v>
      </c>
      <c r="B35" s="112">
        <v>47.56</v>
      </c>
      <c r="C35" s="112">
        <v>28.63</v>
      </c>
      <c r="D35" s="112">
        <v>54.45</v>
      </c>
      <c r="E35" s="112">
        <v>8.74</v>
      </c>
      <c r="F35" s="112">
        <v>2.66</v>
      </c>
      <c r="G35" s="112">
        <v>99.57</v>
      </c>
      <c r="H35" s="112">
        <v>50.05</v>
      </c>
      <c r="I35" s="112">
        <v>10.09</v>
      </c>
      <c r="J35" s="112">
        <v>0.03</v>
      </c>
      <c r="K35" s="112">
        <v>156.19</v>
      </c>
      <c r="L35" s="112">
        <v>12.79</v>
      </c>
      <c r="M35" s="112">
        <v>94.56</v>
      </c>
      <c r="N35" s="112">
        <v>0.8</v>
      </c>
      <c r="O35" s="112">
        <v>0</v>
      </c>
      <c r="P35" s="112">
        <v>1.0900000000000001</v>
      </c>
      <c r="Q35" s="112">
        <v>6.12</v>
      </c>
    </row>
    <row r="36" spans="1:17" customFormat="1">
      <c r="A36" s="80">
        <v>45276.291666666664</v>
      </c>
      <c r="B36" s="112">
        <v>51.69</v>
      </c>
      <c r="C36" s="112">
        <v>29.6</v>
      </c>
      <c r="D36" s="112">
        <v>58.27</v>
      </c>
      <c r="E36" s="112">
        <v>9.23</v>
      </c>
      <c r="F36" s="112">
        <v>2.72</v>
      </c>
      <c r="G36" s="112">
        <v>105.19</v>
      </c>
      <c r="H36" s="112">
        <v>51.78</v>
      </c>
      <c r="I36" s="112">
        <v>10.130000000000001</v>
      </c>
      <c r="J36" s="112">
        <v>0.14000000000000001</v>
      </c>
      <c r="K36" s="112">
        <v>169.33</v>
      </c>
      <c r="L36" s="112">
        <v>13.05</v>
      </c>
      <c r="M36" s="112">
        <v>92.16</v>
      </c>
      <c r="N36" s="112">
        <v>8.4</v>
      </c>
      <c r="O36" s="112">
        <v>0</v>
      </c>
      <c r="P36" s="112">
        <v>1.1000000000000001</v>
      </c>
      <c r="Q36" s="112">
        <v>6.18</v>
      </c>
    </row>
    <row r="37" spans="1:17" customFormat="1">
      <c r="A37" s="80">
        <v>45276.302083333336</v>
      </c>
      <c r="B37" s="112">
        <v>54.41</v>
      </c>
      <c r="C37" s="112">
        <v>29.91</v>
      </c>
      <c r="D37" s="112">
        <v>60.61</v>
      </c>
      <c r="E37" s="112">
        <v>9.61</v>
      </c>
      <c r="F37" s="112">
        <v>2.56</v>
      </c>
      <c r="G37" s="112">
        <v>111.07</v>
      </c>
      <c r="H37" s="112">
        <v>52.69</v>
      </c>
      <c r="I37" s="112">
        <v>10.220000000000001</v>
      </c>
      <c r="J37" s="112">
        <v>0.24</v>
      </c>
      <c r="K37" s="112">
        <v>170.73</v>
      </c>
      <c r="L37" s="112">
        <v>13.57</v>
      </c>
      <c r="M37" s="112">
        <v>93.7</v>
      </c>
      <c r="N37" s="112">
        <v>18.7</v>
      </c>
      <c r="O37" s="112">
        <v>0</v>
      </c>
      <c r="P37" s="112">
        <v>1.1000000000000001</v>
      </c>
      <c r="Q37" s="112">
        <v>6.27</v>
      </c>
    </row>
    <row r="38" spans="1:17" customFormat="1">
      <c r="A38" s="80">
        <v>45276.3125</v>
      </c>
      <c r="B38" s="112">
        <v>54.45</v>
      </c>
      <c r="C38" s="112">
        <v>29.41</v>
      </c>
      <c r="D38" s="112">
        <v>60.39</v>
      </c>
      <c r="E38" s="112">
        <v>9.52</v>
      </c>
      <c r="F38" s="112">
        <v>2.59</v>
      </c>
      <c r="G38" s="112">
        <v>111.07</v>
      </c>
      <c r="H38" s="112">
        <v>52.69</v>
      </c>
      <c r="I38" s="112">
        <v>10.31</v>
      </c>
      <c r="J38" s="112">
        <v>0.09</v>
      </c>
      <c r="K38" s="112">
        <v>273.54000000000002</v>
      </c>
      <c r="L38" s="112">
        <v>13.72</v>
      </c>
      <c r="M38" s="112">
        <v>92.17</v>
      </c>
      <c r="N38" s="112">
        <v>31.3</v>
      </c>
      <c r="O38" s="112">
        <v>0</v>
      </c>
      <c r="P38" s="112">
        <v>1.1000000000000001</v>
      </c>
      <c r="Q38" s="112">
        <v>6.31</v>
      </c>
    </row>
    <row r="39" spans="1:17" customFormat="1">
      <c r="A39" s="80">
        <v>45276.322916666664</v>
      </c>
      <c r="B39" s="112">
        <v>55.07</v>
      </c>
      <c r="C39" s="112">
        <v>30.08</v>
      </c>
      <c r="D39" s="112">
        <v>61.22</v>
      </c>
      <c r="E39" s="112">
        <v>9.26</v>
      </c>
      <c r="F39" s="112">
        <v>2.69</v>
      </c>
      <c r="G39" s="112">
        <v>111.07</v>
      </c>
      <c r="H39" s="112">
        <v>52.69</v>
      </c>
      <c r="I39" s="112">
        <v>10.35</v>
      </c>
      <c r="J39" s="112">
        <v>0.09</v>
      </c>
      <c r="K39" s="112">
        <v>313.06</v>
      </c>
      <c r="L39" s="112">
        <v>14.41</v>
      </c>
      <c r="M39" s="112">
        <v>86.84</v>
      </c>
      <c r="N39" s="112">
        <v>43.9</v>
      </c>
      <c r="O39" s="112">
        <v>0</v>
      </c>
      <c r="P39" s="112">
        <v>1.1200000000000001</v>
      </c>
      <c r="Q39" s="112">
        <v>6.32</v>
      </c>
    </row>
    <row r="40" spans="1:17" customFormat="1">
      <c r="A40" s="80">
        <v>45276.333333333336</v>
      </c>
      <c r="B40" s="112">
        <v>57.36</v>
      </c>
      <c r="C40" s="112">
        <v>31.91</v>
      </c>
      <c r="D40" s="112">
        <v>64.02</v>
      </c>
      <c r="E40" s="112">
        <v>9.66</v>
      </c>
      <c r="F40" s="112">
        <v>2.66</v>
      </c>
      <c r="G40" s="112">
        <v>112.41</v>
      </c>
      <c r="H40" s="112">
        <v>51.74</v>
      </c>
      <c r="I40" s="112">
        <v>10.39</v>
      </c>
      <c r="J40" s="112">
        <v>0.19</v>
      </c>
      <c r="K40" s="112">
        <v>32.51</v>
      </c>
      <c r="L40" s="112">
        <v>15.36</v>
      </c>
      <c r="M40" s="112">
        <v>79.42</v>
      </c>
      <c r="N40" s="112">
        <v>83.3</v>
      </c>
      <c r="O40" s="112">
        <v>0</v>
      </c>
      <c r="P40" s="112">
        <v>1.1299999999999999</v>
      </c>
      <c r="Q40" s="112">
        <v>6.37</v>
      </c>
    </row>
    <row r="41" spans="1:17" customFormat="1">
      <c r="A41" s="80">
        <v>45276.34375</v>
      </c>
      <c r="B41" s="112">
        <v>58.06</v>
      </c>
      <c r="C41" s="112">
        <v>33.79</v>
      </c>
      <c r="D41" s="112">
        <v>65.56</v>
      </c>
      <c r="E41" s="112">
        <v>9.65</v>
      </c>
      <c r="F41" s="112">
        <v>2.76</v>
      </c>
      <c r="G41" s="112">
        <v>113.8</v>
      </c>
      <c r="H41" s="112">
        <v>50.65</v>
      </c>
      <c r="I41" s="112">
        <v>10.47</v>
      </c>
      <c r="J41" s="112">
        <v>0.46</v>
      </c>
      <c r="K41" s="112">
        <v>50.08</v>
      </c>
      <c r="L41" s="112">
        <v>16.21</v>
      </c>
      <c r="M41" s="112">
        <v>68.77</v>
      </c>
      <c r="N41" s="112">
        <v>171.2</v>
      </c>
      <c r="O41" s="112">
        <v>0</v>
      </c>
      <c r="P41" s="112">
        <v>1.1299999999999999</v>
      </c>
      <c r="Q41" s="112">
        <v>6.4</v>
      </c>
    </row>
    <row r="42" spans="1:17" customFormat="1">
      <c r="A42" s="80">
        <v>45276.354166666664</v>
      </c>
      <c r="B42" s="112">
        <v>56.01</v>
      </c>
      <c r="C42" s="112">
        <v>34.229999999999997</v>
      </c>
      <c r="D42" s="112">
        <v>64.150000000000006</v>
      </c>
      <c r="E42" s="112">
        <v>9.66</v>
      </c>
      <c r="F42" s="112">
        <v>2.7</v>
      </c>
      <c r="G42" s="112">
        <v>113.8</v>
      </c>
      <c r="H42" s="112">
        <v>50.65</v>
      </c>
      <c r="I42" s="112">
        <v>10.56</v>
      </c>
      <c r="J42" s="112">
        <v>0.36</v>
      </c>
      <c r="K42" s="112">
        <v>58.88</v>
      </c>
      <c r="L42" s="112">
        <v>17.11</v>
      </c>
      <c r="M42" s="112">
        <v>67.59</v>
      </c>
      <c r="N42" s="112">
        <v>206.2</v>
      </c>
      <c r="O42" s="112">
        <v>0</v>
      </c>
      <c r="P42" s="112">
        <v>1.1399999999999999</v>
      </c>
      <c r="Q42" s="112">
        <v>6.37</v>
      </c>
    </row>
    <row r="43" spans="1:17" customFormat="1">
      <c r="A43" s="80">
        <v>45276.364583333336</v>
      </c>
      <c r="B43" s="112">
        <v>53.47</v>
      </c>
      <c r="C43" s="112">
        <v>35.229999999999997</v>
      </c>
      <c r="D43" s="112">
        <v>62.64</v>
      </c>
      <c r="E43" s="112">
        <v>9.2899999999999991</v>
      </c>
      <c r="F43" s="112">
        <v>2.65</v>
      </c>
      <c r="G43" s="112">
        <v>113.8</v>
      </c>
      <c r="H43" s="112">
        <v>50.65</v>
      </c>
      <c r="I43" s="112">
        <v>10.59</v>
      </c>
      <c r="J43" s="112">
        <v>0.41</v>
      </c>
      <c r="K43" s="112">
        <v>57.25</v>
      </c>
      <c r="L43" s="112">
        <v>18.07</v>
      </c>
      <c r="M43" s="112">
        <v>64.16</v>
      </c>
      <c r="N43" s="112">
        <v>239.2</v>
      </c>
      <c r="O43" s="112">
        <v>0</v>
      </c>
      <c r="P43" s="112">
        <v>1.1399999999999999</v>
      </c>
      <c r="Q43" s="112">
        <v>6.3</v>
      </c>
    </row>
    <row r="44" spans="1:17" customFormat="1">
      <c r="A44" s="80">
        <v>45276.375</v>
      </c>
      <c r="B44" s="112">
        <v>51.01</v>
      </c>
      <c r="C44" s="112">
        <v>33.950000000000003</v>
      </c>
      <c r="D44" s="112">
        <v>59.99</v>
      </c>
      <c r="E44" s="112">
        <v>8.9</v>
      </c>
      <c r="F44" s="112">
        <v>2.79</v>
      </c>
      <c r="G44" s="112">
        <v>113.73</v>
      </c>
      <c r="H44" s="112">
        <v>48.36</v>
      </c>
      <c r="I44" s="112">
        <v>10.63</v>
      </c>
      <c r="J44" s="112">
        <v>0.48</v>
      </c>
      <c r="K44" s="112">
        <v>50.19</v>
      </c>
      <c r="L44" s="112">
        <v>18.86</v>
      </c>
      <c r="M44" s="112">
        <v>58.52</v>
      </c>
      <c r="N44" s="112">
        <v>204.6</v>
      </c>
      <c r="O44" s="112">
        <v>0</v>
      </c>
      <c r="P44" s="112">
        <v>1.1399999999999999</v>
      </c>
      <c r="Q44" s="112">
        <v>6.25</v>
      </c>
    </row>
    <row r="45" spans="1:17" customFormat="1">
      <c r="A45" s="80">
        <v>45276.385416666664</v>
      </c>
      <c r="B45" s="112">
        <v>48.15</v>
      </c>
      <c r="C45" s="112">
        <v>33.25</v>
      </c>
      <c r="D45" s="112">
        <v>57.34</v>
      </c>
      <c r="E45" s="112">
        <v>8.94</v>
      </c>
      <c r="F45" s="112">
        <v>2.67</v>
      </c>
      <c r="G45" s="112">
        <v>113.66</v>
      </c>
      <c r="H45" s="112">
        <v>47.14</v>
      </c>
      <c r="I45" s="112">
        <v>10.72</v>
      </c>
      <c r="J45" s="112">
        <v>0.24</v>
      </c>
      <c r="K45" s="112">
        <v>95.65</v>
      </c>
      <c r="L45" s="112">
        <v>19.899999999999999</v>
      </c>
      <c r="M45" s="112">
        <v>56.3</v>
      </c>
      <c r="N45" s="112">
        <v>106.6</v>
      </c>
      <c r="O45" s="112">
        <v>0</v>
      </c>
      <c r="P45" s="112">
        <v>1.1499999999999999</v>
      </c>
      <c r="Q45" s="112">
        <v>6.17</v>
      </c>
    </row>
    <row r="46" spans="1:17" customFormat="1">
      <c r="A46" s="80">
        <v>45276.395833333336</v>
      </c>
      <c r="B46" s="112">
        <v>44.93</v>
      </c>
      <c r="C46" s="112">
        <v>33.299999999999997</v>
      </c>
      <c r="D46" s="112">
        <v>54.78</v>
      </c>
      <c r="E46" s="112">
        <v>8.75</v>
      </c>
      <c r="F46" s="112">
        <v>2.69</v>
      </c>
      <c r="G46" s="112">
        <v>113.66</v>
      </c>
      <c r="H46" s="112">
        <v>47.14</v>
      </c>
      <c r="I46" s="112">
        <v>10.8</v>
      </c>
      <c r="J46" s="112">
        <v>0.43</v>
      </c>
      <c r="K46" s="112">
        <v>52.9</v>
      </c>
      <c r="L46" s="112">
        <v>20.68</v>
      </c>
      <c r="M46" s="112">
        <v>53.22</v>
      </c>
      <c r="N46" s="112">
        <v>109.4</v>
      </c>
      <c r="O46" s="112">
        <v>0</v>
      </c>
      <c r="P46" s="112">
        <v>1.1399999999999999</v>
      </c>
      <c r="Q46" s="112">
        <v>6.07</v>
      </c>
    </row>
    <row r="47" spans="1:17" customFormat="1">
      <c r="A47" s="80">
        <v>45276.40625</v>
      </c>
      <c r="B47" s="112">
        <v>42</v>
      </c>
      <c r="C47" s="112">
        <v>33.409999999999997</v>
      </c>
      <c r="D47" s="112">
        <v>52.49</v>
      </c>
      <c r="E47" s="112">
        <v>8.42</v>
      </c>
      <c r="F47" s="112">
        <v>2.77</v>
      </c>
      <c r="G47" s="112">
        <v>113.66</v>
      </c>
      <c r="H47" s="112">
        <v>47.14</v>
      </c>
      <c r="I47" s="112">
        <v>10.8</v>
      </c>
      <c r="J47" s="112">
        <v>0.2</v>
      </c>
      <c r="K47" s="112">
        <v>86</v>
      </c>
      <c r="L47" s="112">
        <v>21.63</v>
      </c>
      <c r="M47" s="112">
        <v>50.75</v>
      </c>
      <c r="N47" s="112">
        <v>128.1</v>
      </c>
      <c r="O47" s="112">
        <v>0</v>
      </c>
      <c r="P47" s="112">
        <v>1.1299999999999999</v>
      </c>
      <c r="Q47" s="112">
        <v>6.01</v>
      </c>
    </row>
    <row r="48" spans="1:17" customFormat="1">
      <c r="A48" s="80">
        <v>45276.416666666664</v>
      </c>
      <c r="B48" s="112">
        <v>38.89</v>
      </c>
      <c r="C48" s="112">
        <v>33.79</v>
      </c>
      <c r="D48" s="112">
        <v>50.19</v>
      </c>
      <c r="E48" s="112">
        <v>8.24</v>
      </c>
      <c r="F48" s="112">
        <v>2.86</v>
      </c>
      <c r="G48" s="112">
        <v>116.44</v>
      </c>
      <c r="H48" s="112">
        <v>46.07</v>
      </c>
      <c r="I48" s="112">
        <v>10.75</v>
      </c>
      <c r="J48" s="112">
        <v>0.49</v>
      </c>
      <c r="K48" s="112">
        <v>50.84</v>
      </c>
      <c r="L48" s="112">
        <v>22.11</v>
      </c>
      <c r="M48" s="112">
        <v>48.33</v>
      </c>
      <c r="N48" s="112">
        <v>268.39999999999998</v>
      </c>
      <c r="O48" s="112">
        <v>0</v>
      </c>
      <c r="P48" s="112">
        <v>1.1200000000000001</v>
      </c>
      <c r="Q48" s="112">
        <v>5.97</v>
      </c>
    </row>
    <row r="49" spans="1:17" customFormat="1">
      <c r="A49" s="80">
        <v>45276.427083333336</v>
      </c>
      <c r="B49" s="112">
        <v>36.21</v>
      </c>
      <c r="C49" s="112">
        <v>34.1</v>
      </c>
      <c r="D49" s="112">
        <v>48.21</v>
      </c>
      <c r="E49" s="112">
        <v>7.73</v>
      </c>
      <c r="F49" s="112">
        <v>2.91</v>
      </c>
      <c r="G49" s="112">
        <v>119.34</v>
      </c>
      <c r="H49" s="112">
        <v>45.49</v>
      </c>
      <c r="I49" s="112">
        <v>10.65</v>
      </c>
      <c r="J49" s="112">
        <v>0.44</v>
      </c>
      <c r="K49" s="112">
        <v>56.28</v>
      </c>
      <c r="L49" s="112">
        <v>22.47</v>
      </c>
      <c r="M49" s="112">
        <v>44.95</v>
      </c>
      <c r="N49" s="112">
        <v>437</v>
      </c>
      <c r="O49" s="112">
        <v>0</v>
      </c>
      <c r="P49" s="112">
        <v>1.1100000000000001</v>
      </c>
      <c r="Q49" s="112">
        <v>5.87</v>
      </c>
    </row>
    <row r="50" spans="1:17" customFormat="1">
      <c r="A50" s="80">
        <v>45276.4375</v>
      </c>
      <c r="B50" s="112">
        <v>33.71</v>
      </c>
      <c r="C50" s="112">
        <v>34.49</v>
      </c>
      <c r="D50" s="112">
        <v>46.4</v>
      </c>
      <c r="E50" s="112">
        <v>9.07</v>
      </c>
      <c r="F50" s="112">
        <v>2.94</v>
      </c>
      <c r="G50" s="112">
        <v>119.34</v>
      </c>
      <c r="H50" s="112">
        <v>45.49</v>
      </c>
      <c r="I50" s="112">
        <v>10.6</v>
      </c>
      <c r="J50" s="112">
        <v>0.16</v>
      </c>
      <c r="K50" s="112">
        <v>81.900000000000006</v>
      </c>
      <c r="L50" s="112">
        <v>23.35</v>
      </c>
      <c r="M50" s="112">
        <v>42.51</v>
      </c>
      <c r="N50" s="112">
        <v>478.9</v>
      </c>
      <c r="O50" s="112">
        <v>0</v>
      </c>
      <c r="P50" s="112">
        <v>1.1000000000000001</v>
      </c>
      <c r="Q50" s="112">
        <v>5.78</v>
      </c>
    </row>
    <row r="51" spans="1:17" customFormat="1">
      <c r="A51" s="80">
        <v>45276.447916666664</v>
      </c>
      <c r="B51" s="112">
        <v>31.05</v>
      </c>
      <c r="C51" s="112">
        <v>34.61</v>
      </c>
      <c r="D51" s="112">
        <v>44.34</v>
      </c>
      <c r="E51" s="112">
        <v>8.92</v>
      </c>
      <c r="F51" s="112">
        <v>2.89</v>
      </c>
      <c r="G51" s="112">
        <v>119.34</v>
      </c>
      <c r="H51" s="112">
        <v>45.49</v>
      </c>
      <c r="I51" s="112">
        <v>10.65</v>
      </c>
      <c r="J51" s="112">
        <v>0.33</v>
      </c>
      <c r="K51" s="112">
        <v>118.79</v>
      </c>
      <c r="L51" s="112">
        <v>24.08</v>
      </c>
      <c r="M51" s="112">
        <v>40.53</v>
      </c>
      <c r="N51" s="112">
        <v>511.1</v>
      </c>
      <c r="O51" s="112">
        <v>0</v>
      </c>
      <c r="P51" s="112">
        <v>1.0900000000000001</v>
      </c>
      <c r="Q51" s="112">
        <v>5.7</v>
      </c>
    </row>
    <row r="52" spans="1:17" customFormat="1">
      <c r="A52" s="80">
        <v>45276.458333333336</v>
      </c>
      <c r="B52" s="112">
        <v>29.12</v>
      </c>
      <c r="C52" s="112">
        <v>32.31</v>
      </c>
      <c r="D52" s="112">
        <v>41.59</v>
      </c>
      <c r="E52" s="112">
        <v>8.58</v>
      </c>
      <c r="F52" s="112">
        <v>3.01</v>
      </c>
      <c r="G52" s="112">
        <v>117.27</v>
      </c>
      <c r="H52" s="112">
        <v>44.19</v>
      </c>
      <c r="I52" s="112">
        <v>10.65</v>
      </c>
      <c r="J52" s="112">
        <v>0.17</v>
      </c>
      <c r="K52" s="112">
        <v>73.540000000000006</v>
      </c>
      <c r="L52" s="112">
        <v>24.56</v>
      </c>
      <c r="M52" s="112">
        <v>38.4</v>
      </c>
      <c r="N52" s="112">
        <v>490.4</v>
      </c>
      <c r="O52" s="112">
        <v>0</v>
      </c>
      <c r="P52" s="112">
        <v>1.07</v>
      </c>
      <c r="Q52" s="112">
        <v>5.62</v>
      </c>
    </row>
    <row r="53" spans="1:17" customFormat="1">
      <c r="A53" s="80">
        <v>45276.46875</v>
      </c>
      <c r="B53" s="112">
        <v>27.58</v>
      </c>
      <c r="C53" s="112">
        <v>30.49</v>
      </c>
      <c r="D53" s="112">
        <v>39.4</v>
      </c>
      <c r="E53" s="112">
        <v>7.94</v>
      </c>
      <c r="F53" s="112">
        <v>2.98</v>
      </c>
      <c r="G53" s="112">
        <v>115.12</v>
      </c>
      <c r="H53" s="112">
        <v>43.52</v>
      </c>
      <c r="I53" s="112">
        <v>10.56</v>
      </c>
      <c r="J53" s="112">
        <v>0.47</v>
      </c>
      <c r="K53" s="112">
        <v>30.66</v>
      </c>
      <c r="L53" s="112">
        <v>24.64</v>
      </c>
      <c r="M53" s="112">
        <v>37.299999999999997</v>
      </c>
      <c r="N53" s="112">
        <v>532.9</v>
      </c>
      <c r="O53" s="112">
        <v>0</v>
      </c>
      <c r="P53" s="112">
        <v>1.04</v>
      </c>
      <c r="Q53" s="112">
        <v>5.58</v>
      </c>
    </row>
    <row r="54" spans="1:17" customFormat="1">
      <c r="A54" s="80">
        <v>45276.479166666664</v>
      </c>
      <c r="B54" s="112">
        <v>26.06</v>
      </c>
      <c r="C54" s="112">
        <v>29.57</v>
      </c>
      <c r="D54" s="112">
        <v>37.700000000000003</v>
      </c>
      <c r="E54" s="112">
        <v>7.83</v>
      </c>
      <c r="F54" s="112">
        <v>3.07</v>
      </c>
      <c r="G54" s="112">
        <v>115.12</v>
      </c>
      <c r="H54" s="112">
        <v>43.52</v>
      </c>
      <c r="I54" s="112">
        <v>10.44</v>
      </c>
      <c r="J54" s="112">
        <v>0.41</v>
      </c>
      <c r="K54" s="112">
        <v>58.52</v>
      </c>
      <c r="L54" s="112">
        <v>24.81</v>
      </c>
      <c r="M54" s="112">
        <v>36.94</v>
      </c>
      <c r="N54" s="112">
        <v>543.4</v>
      </c>
      <c r="O54" s="112">
        <v>0</v>
      </c>
      <c r="P54" s="112">
        <v>1.02</v>
      </c>
      <c r="Q54" s="112">
        <v>5.52</v>
      </c>
    </row>
    <row r="55" spans="1:17" customFormat="1">
      <c r="A55" s="80">
        <v>45276.489583333336</v>
      </c>
      <c r="B55" s="112">
        <v>24.33</v>
      </c>
      <c r="C55" s="112">
        <v>29.17</v>
      </c>
      <c r="D55" s="112">
        <v>36.1</v>
      </c>
      <c r="E55" s="112">
        <v>7.88</v>
      </c>
      <c r="F55" s="112">
        <v>2.9</v>
      </c>
      <c r="G55" s="112">
        <v>115.12</v>
      </c>
      <c r="H55" s="112">
        <v>43.52</v>
      </c>
      <c r="I55" s="112">
        <v>10.31</v>
      </c>
      <c r="J55" s="112">
        <v>0.64</v>
      </c>
      <c r="K55" s="112">
        <v>44.57</v>
      </c>
      <c r="L55" s="112">
        <v>25.11</v>
      </c>
      <c r="M55" s="112">
        <v>34</v>
      </c>
      <c r="N55" s="112">
        <v>559.6</v>
      </c>
      <c r="O55" s="112">
        <v>0</v>
      </c>
      <c r="P55" s="112">
        <v>1</v>
      </c>
      <c r="Q55" s="112">
        <v>5.47</v>
      </c>
    </row>
    <row r="56" spans="1:17" customFormat="1">
      <c r="A56" s="80">
        <v>45276.5</v>
      </c>
      <c r="B56" s="112">
        <v>22.49</v>
      </c>
      <c r="C56" s="112">
        <v>28.57</v>
      </c>
      <c r="D56" s="112">
        <v>34.31</v>
      </c>
      <c r="E56" s="112">
        <v>7.26</v>
      </c>
      <c r="F56" s="112">
        <v>3.02</v>
      </c>
      <c r="G56" s="112">
        <v>107.65</v>
      </c>
      <c r="H56" s="112">
        <v>40.18</v>
      </c>
      <c r="I56" s="112">
        <v>10.19</v>
      </c>
      <c r="J56" s="112">
        <v>0.23</v>
      </c>
      <c r="K56" s="112">
        <v>145.88</v>
      </c>
      <c r="L56" s="112">
        <v>25.55</v>
      </c>
      <c r="M56" s="112">
        <v>33.24</v>
      </c>
      <c r="N56" s="112">
        <v>551.1</v>
      </c>
      <c r="O56" s="112">
        <v>0</v>
      </c>
      <c r="P56" s="112">
        <v>0.98</v>
      </c>
      <c r="Q56" s="112">
        <v>5.42</v>
      </c>
    </row>
    <row r="57" spans="1:17" customFormat="1">
      <c r="A57" s="80">
        <v>45276.510416666664</v>
      </c>
      <c r="B57" s="112">
        <v>19.600000000000001</v>
      </c>
      <c r="C57" s="112">
        <v>29.32</v>
      </c>
      <c r="D57" s="112">
        <v>32.39</v>
      </c>
      <c r="E57" s="112">
        <v>7.97</v>
      </c>
      <c r="F57" s="112">
        <v>3.44</v>
      </c>
      <c r="G57" s="112">
        <v>99.84</v>
      </c>
      <c r="H57" s="112">
        <v>38.39</v>
      </c>
      <c r="I57" s="112">
        <v>10</v>
      </c>
      <c r="J57" s="112">
        <v>0.32</v>
      </c>
      <c r="K57" s="112">
        <v>29.2</v>
      </c>
      <c r="L57" s="112">
        <v>25.53</v>
      </c>
      <c r="M57" s="112">
        <v>32.86</v>
      </c>
      <c r="N57" s="112">
        <v>544.79999999999995</v>
      </c>
      <c r="O57" s="112">
        <v>0</v>
      </c>
      <c r="P57" s="112">
        <v>0.95</v>
      </c>
      <c r="Q57" s="112">
        <v>5.36</v>
      </c>
    </row>
    <row r="58" spans="1:17" customFormat="1">
      <c r="A58" s="80">
        <v>45276.520833333336</v>
      </c>
      <c r="B58" s="112">
        <v>13.92</v>
      </c>
      <c r="C58" s="112">
        <v>30.38</v>
      </c>
      <c r="D58" s="112">
        <v>28.38</v>
      </c>
      <c r="E58" s="112">
        <v>8.24</v>
      </c>
      <c r="F58" s="112">
        <v>5.72</v>
      </c>
      <c r="G58" s="112">
        <v>99.84</v>
      </c>
      <c r="H58" s="112">
        <v>38.39</v>
      </c>
      <c r="I58" s="112">
        <v>9.75</v>
      </c>
      <c r="J58" s="112">
        <v>0.56000000000000005</v>
      </c>
      <c r="K58" s="112">
        <v>314.85000000000002</v>
      </c>
      <c r="L58" s="112">
        <v>25.23</v>
      </c>
      <c r="M58" s="112">
        <v>32.96</v>
      </c>
      <c r="N58" s="112">
        <v>553.29999999999995</v>
      </c>
      <c r="O58" s="112">
        <v>0</v>
      </c>
      <c r="P58" s="112">
        <v>0.92</v>
      </c>
      <c r="Q58" s="112">
        <v>5.24</v>
      </c>
    </row>
    <row r="59" spans="1:17" customFormat="1">
      <c r="A59" s="80">
        <v>45276.53125</v>
      </c>
      <c r="B59" s="112">
        <v>9.1</v>
      </c>
      <c r="C59" s="112">
        <v>29.83</v>
      </c>
      <c r="D59" s="112">
        <v>24.24</v>
      </c>
      <c r="E59" s="112">
        <v>6.95</v>
      </c>
      <c r="F59" s="112">
        <v>5.55</v>
      </c>
      <c r="G59" s="112">
        <v>99.84</v>
      </c>
      <c r="H59" s="112">
        <v>38.39</v>
      </c>
      <c r="I59" s="112">
        <v>9.31</v>
      </c>
      <c r="J59" s="112">
        <v>7.0000000000000007E-2</v>
      </c>
      <c r="K59" s="112">
        <v>133.43</v>
      </c>
      <c r="L59" s="112">
        <v>25.94</v>
      </c>
      <c r="M59" s="112">
        <v>32.590000000000003</v>
      </c>
      <c r="N59" s="112">
        <v>534</v>
      </c>
      <c r="O59" s="112">
        <v>0</v>
      </c>
      <c r="P59" s="112">
        <v>0.88</v>
      </c>
      <c r="Q59" s="112">
        <v>5.0999999999999996</v>
      </c>
    </row>
    <row r="60" spans="1:17" customFormat="1">
      <c r="A60" s="80">
        <v>45276.541666666664</v>
      </c>
      <c r="B60" s="112">
        <v>5.59</v>
      </c>
      <c r="C60" s="112">
        <v>28.74</v>
      </c>
      <c r="D60" s="112">
        <v>20.85</v>
      </c>
      <c r="E60" s="112">
        <v>7.17</v>
      </c>
      <c r="F60" s="112">
        <v>9.59</v>
      </c>
      <c r="G60" s="112">
        <v>90.6</v>
      </c>
      <c r="H60" s="112">
        <v>36</v>
      </c>
      <c r="I60" s="112">
        <v>8.68</v>
      </c>
      <c r="J60" s="112">
        <v>0.34</v>
      </c>
      <c r="K60" s="112">
        <v>60.17</v>
      </c>
      <c r="L60" s="112">
        <v>26.2</v>
      </c>
      <c r="M60" s="112">
        <v>31.84</v>
      </c>
      <c r="N60" s="112">
        <v>494.7</v>
      </c>
      <c r="O60" s="112">
        <v>0</v>
      </c>
      <c r="P60" s="112">
        <v>0.83</v>
      </c>
      <c r="Q60" s="112">
        <v>5</v>
      </c>
    </row>
    <row r="61" spans="1:17" customFormat="1">
      <c r="A61" s="80">
        <v>45276.552083333336</v>
      </c>
      <c r="B61" s="112">
        <v>5.14</v>
      </c>
      <c r="C61" s="112">
        <v>26.11</v>
      </c>
      <c r="D61" s="112">
        <v>19.11</v>
      </c>
      <c r="E61" s="112">
        <v>8.1</v>
      </c>
      <c r="F61" s="112">
        <v>11.71</v>
      </c>
      <c r="G61" s="112">
        <v>80.94</v>
      </c>
      <c r="H61" s="112">
        <v>34.74</v>
      </c>
      <c r="I61" s="112">
        <v>8.07</v>
      </c>
      <c r="J61" s="112">
        <v>0.51</v>
      </c>
      <c r="K61" s="112">
        <v>25.51</v>
      </c>
      <c r="L61" s="112">
        <v>26.15</v>
      </c>
      <c r="M61" s="112">
        <v>31.74</v>
      </c>
      <c r="N61" s="112">
        <v>479.1</v>
      </c>
      <c r="O61" s="112">
        <v>0</v>
      </c>
      <c r="P61" s="112">
        <v>0.78</v>
      </c>
      <c r="Q61" s="112">
        <v>4.92</v>
      </c>
    </row>
    <row r="62" spans="1:17" customFormat="1">
      <c r="A62" s="80">
        <v>45276.5625</v>
      </c>
      <c r="B62" s="112">
        <v>3.72</v>
      </c>
      <c r="C62" s="112">
        <v>26.39</v>
      </c>
      <c r="D62" s="112">
        <v>18.12</v>
      </c>
      <c r="E62" s="112">
        <v>7.02</v>
      </c>
      <c r="F62" s="112">
        <v>8.5500000000000007</v>
      </c>
      <c r="G62" s="112">
        <v>80.94</v>
      </c>
      <c r="H62" s="112">
        <v>34.74</v>
      </c>
      <c r="I62" s="112">
        <v>7.35</v>
      </c>
      <c r="J62" s="112">
        <v>0.24</v>
      </c>
      <c r="K62" s="112">
        <v>60.85</v>
      </c>
      <c r="L62" s="112">
        <v>26.36</v>
      </c>
      <c r="M62" s="112">
        <v>31.21</v>
      </c>
      <c r="N62" s="112">
        <v>461.5</v>
      </c>
      <c r="O62" s="112">
        <v>0</v>
      </c>
      <c r="P62" s="112">
        <v>0.77</v>
      </c>
      <c r="Q62" s="112">
        <v>4.91</v>
      </c>
    </row>
    <row r="63" spans="1:17" customFormat="1">
      <c r="A63" s="80">
        <v>45276.572916666664</v>
      </c>
      <c r="B63" s="112">
        <v>3.25</v>
      </c>
      <c r="C63" s="112">
        <v>27.07</v>
      </c>
      <c r="D63" s="112">
        <v>18.100000000000001</v>
      </c>
      <c r="E63" s="112">
        <v>7.84</v>
      </c>
      <c r="F63" s="112">
        <v>7.88</v>
      </c>
      <c r="G63" s="112">
        <v>80.94</v>
      </c>
      <c r="H63" s="112">
        <v>34.74</v>
      </c>
      <c r="I63" s="112">
        <v>6.78</v>
      </c>
      <c r="J63" s="112">
        <v>0.51</v>
      </c>
      <c r="K63" s="112">
        <v>49.03</v>
      </c>
      <c r="L63" s="112">
        <v>26.26</v>
      </c>
      <c r="M63" s="112">
        <v>31.88</v>
      </c>
      <c r="N63" s="112">
        <v>434.1</v>
      </c>
      <c r="O63" s="112">
        <v>0</v>
      </c>
      <c r="P63" s="112">
        <v>0.75</v>
      </c>
      <c r="Q63" s="112">
        <v>4.91</v>
      </c>
    </row>
    <row r="64" spans="1:17" customFormat="1">
      <c r="A64" s="80">
        <v>45276.583333333336</v>
      </c>
      <c r="B64" s="112">
        <v>3.08</v>
      </c>
      <c r="C64" s="112">
        <v>27.25</v>
      </c>
      <c r="D64" s="112">
        <v>18.059999999999999</v>
      </c>
      <c r="E64" s="112">
        <v>6.23</v>
      </c>
      <c r="F64" s="112">
        <v>7.94</v>
      </c>
      <c r="G64" s="112">
        <v>78.81</v>
      </c>
      <c r="H64" s="112">
        <v>32.5</v>
      </c>
      <c r="I64" s="112">
        <v>6.47</v>
      </c>
      <c r="J64" s="112">
        <v>0.32</v>
      </c>
      <c r="K64" s="112">
        <v>83.67</v>
      </c>
      <c r="L64" s="112">
        <v>26.08</v>
      </c>
      <c r="M64" s="112">
        <v>32.020000000000003</v>
      </c>
      <c r="N64" s="112">
        <v>390.9</v>
      </c>
      <c r="O64" s="112">
        <v>0</v>
      </c>
      <c r="P64" s="112">
        <v>0.74</v>
      </c>
      <c r="Q64" s="112">
        <v>4.9000000000000004</v>
      </c>
    </row>
    <row r="65" spans="1:17" customFormat="1">
      <c r="A65" s="80">
        <v>45276.59375</v>
      </c>
      <c r="B65" s="112">
        <v>3.27</v>
      </c>
      <c r="C65" s="112">
        <v>26.41</v>
      </c>
      <c r="D65" s="112">
        <v>17.77</v>
      </c>
      <c r="E65" s="112">
        <v>4.8</v>
      </c>
      <c r="F65" s="112">
        <v>5.19</v>
      </c>
      <c r="G65" s="112">
        <v>76.59</v>
      </c>
      <c r="H65" s="112">
        <v>29.93</v>
      </c>
      <c r="I65" s="112">
        <v>6.21</v>
      </c>
      <c r="J65" s="112">
        <v>0.19</v>
      </c>
      <c r="K65" s="112">
        <v>101.14</v>
      </c>
      <c r="L65" s="112">
        <v>25.87</v>
      </c>
      <c r="M65" s="112">
        <v>32.65</v>
      </c>
      <c r="N65" s="112">
        <v>150.4</v>
      </c>
      <c r="O65" s="112">
        <v>0</v>
      </c>
      <c r="P65" s="112">
        <v>0.63</v>
      </c>
      <c r="Q65" s="112">
        <v>4.8899999999999997</v>
      </c>
    </row>
    <row r="66" spans="1:17" customFormat="1">
      <c r="A66" s="80">
        <v>45276.604166666664</v>
      </c>
      <c r="B66" s="112">
        <v>3.41</v>
      </c>
      <c r="C66" s="112">
        <v>25.51</v>
      </c>
      <c r="D66" s="112">
        <v>17.41</v>
      </c>
      <c r="E66" s="112">
        <v>5.78</v>
      </c>
      <c r="F66" s="112">
        <v>4.5199999999999996</v>
      </c>
      <c r="G66" s="112">
        <v>76.59</v>
      </c>
      <c r="H66" s="112">
        <v>29.93</v>
      </c>
      <c r="I66" s="112">
        <v>6.1</v>
      </c>
      <c r="J66" s="112">
        <v>0.41</v>
      </c>
      <c r="K66" s="112">
        <v>41.39</v>
      </c>
      <c r="L66" s="112">
        <v>25.57</v>
      </c>
      <c r="M66" s="112">
        <v>32.54</v>
      </c>
      <c r="N66" s="112">
        <v>130.4</v>
      </c>
      <c r="O66" s="112">
        <v>0</v>
      </c>
      <c r="P66" s="112">
        <v>0.66</v>
      </c>
      <c r="Q66" s="112">
        <v>4.88</v>
      </c>
    </row>
    <row r="67" spans="1:17" customFormat="1">
      <c r="A67" s="80">
        <v>45276.614583333336</v>
      </c>
      <c r="B67" s="112">
        <v>3.57</v>
      </c>
      <c r="C67" s="112">
        <v>24.8</v>
      </c>
      <c r="D67" s="112">
        <v>17.170000000000002</v>
      </c>
      <c r="E67" s="112">
        <v>5.77</v>
      </c>
      <c r="F67" s="112">
        <v>4.03</v>
      </c>
      <c r="G67" s="112">
        <v>76.59</v>
      </c>
      <c r="H67" s="112">
        <v>29.93</v>
      </c>
      <c r="I67" s="112">
        <v>6.09</v>
      </c>
      <c r="J67" s="112">
        <v>0.16</v>
      </c>
      <c r="K67" s="112">
        <v>58.82</v>
      </c>
      <c r="L67" s="112">
        <v>25.48</v>
      </c>
      <c r="M67" s="112">
        <v>32.799999999999997</v>
      </c>
      <c r="N67" s="112">
        <v>95.9</v>
      </c>
      <c r="O67" s="112">
        <v>0</v>
      </c>
      <c r="P67" s="112">
        <v>0.67</v>
      </c>
      <c r="Q67" s="112">
        <v>4.9000000000000004</v>
      </c>
    </row>
    <row r="68" spans="1:17" customFormat="1">
      <c r="A68" s="80">
        <v>45276.625</v>
      </c>
      <c r="B68" s="112">
        <v>3.84</v>
      </c>
      <c r="C68" s="112">
        <v>25.86</v>
      </c>
      <c r="D68" s="112">
        <v>17.940000000000001</v>
      </c>
      <c r="E68" s="112">
        <v>5.34</v>
      </c>
      <c r="F68" s="112">
        <v>3.52</v>
      </c>
      <c r="G68" s="112">
        <v>75.16</v>
      </c>
      <c r="H68" s="112">
        <v>28.28</v>
      </c>
      <c r="I68" s="112">
        <v>6.09</v>
      </c>
      <c r="J68" s="112">
        <v>0.28000000000000003</v>
      </c>
      <c r="K68" s="112">
        <v>71.52</v>
      </c>
      <c r="L68" s="112">
        <v>25.4</v>
      </c>
      <c r="M68" s="112">
        <v>32.840000000000003</v>
      </c>
      <c r="N68" s="112">
        <v>76.3</v>
      </c>
      <c r="O68" s="112">
        <v>0</v>
      </c>
      <c r="P68" s="112">
        <v>0.67</v>
      </c>
      <c r="Q68" s="112">
        <v>4.9000000000000004</v>
      </c>
    </row>
    <row r="69" spans="1:17" customFormat="1">
      <c r="A69" s="80">
        <v>45276.635416666664</v>
      </c>
      <c r="B69" s="112">
        <v>4.07</v>
      </c>
      <c r="C69" s="112">
        <v>25.03</v>
      </c>
      <c r="D69" s="112">
        <v>17.690000000000001</v>
      </c>
      <c r="E69" s="112">
        <v>5.22</v>
      </c>
      <c r="F69" s="112">
        <v>3.43</v>
      </c>
      <c r="G69" s="112">
        <v>73.67</v>
      </c>
      <c r="H69" s="112">
        <v>27.42</v>
      </c>
      <c r="I69" s="112">
        <v>6.08</v>
      </c>
      <c r="J69" s="112">
        <v>0.28999999999999998</v>
      </c>
      <c r="K69" s="112">
        <v>74.61</v>
      </c>
      <c r="L69" s="112">
        <v>25.16</v>
      </c>
      <c r="M69" s="112">
        <v>32.909999999999997</v>
      </c>
      <c r="N69" s="112">
        <v>67.400000000000006</v>
      </c>
      <c r="O69" s="112">
        <v>0</v>
      </c>
      <c r="P69" s="112">
        <v>0.68</v>
      </c>
      <c r="Q69" s="112">
        <v>4.9000000000000004</v>
      </c>
    </row>
    <row r="70" spans="1:17" customFormat="1">
      <c r="A70" s="80">
        <v>45276.645833333336</v>
      </c>
      <c r="B70" s="112">
        <v>4.09</v>
      </c>
      <c r="C70" s="112">
        <v>24.29</v>
      </c>
      <c r="D70" s="112">
        <v>17.32</v>
      </c>
      <c r="E70" s="112">
        <v>5.58</v>
      </c>
      <c r="F70" s="112">
        <v>4.0599999999999996</v>
      </c>
      <c r="G70" s="112">
        <v>73.67</v>
      </c>
      <c r="H70" s="112">
        <v>27.42</v>
      </c>
      <c r="I70" s="112">
        <v>6.08</v>
      </c>
      <c r="J70" s="112">
        <v>0.22</v>
      </c>
      <c r="K70" s="112">
        <v>147.13</v>
      </c>
      <c r="L70" s="112">
        <v>25.08</v>
      </c>
      <c r="M70" s="112">
        <v>33.85</v>
      </c>
      <c r="N70" s="112">
        <v>58.7</v>
      </c>
      <c r="O70" s="112">
        <v>0</v>
      </c>
      <c r="P70" s="112">
        <v>0.68</v>
      </c>
      <c r="Q70" s="112">
        <v>4.92</v>
      </c>
    </row>
    <row r="71" spans="1:17" customFormat="1">
      <c r="A71" s="80">
        <v>45276.65625</v>
      </c>
      <c r="B71" s="112">
        <v>3.95</v>
      </c>
      <c r="C71" s="112">
        <v>24.31</v>
      </c>
      <c r="D71" s="112">
        <v>17.22</v>
      </c>
      <c r="E71" s="112">
        <v>5.69</v>
      </c>
      <c r="F71" s="112">
        <v>5.36</v>
      </c>
      <c r="G71" s="112">
        <v>73.67</v>
      </c>
      <c r="H71" s="112">
        <v>27.42</v>
      </c>
      <c r="I71" s="112">
        <v>6.06</v>
      </c>
      <c r="J71" s="112">
        <v>0.28000000000000003</v>
      </c>
      <c r="K71" s="112">
        <v>167.03</v>
      </c>
      <c r="L71" s="112">
        <v>24.85</v>
      </c>
      <c r="M71" s="112">
        <v>37.130000000000003</v>
      </c>
      <c r="N71" s="112">
        <v>50.8</v>
      </c>
      <c r="O71" s="112">
        <v>0</v>
      </c>
      <c r="P71" s="112">
        <v>0.69</v>
      </c>
      <c r="Q71" s="112">
        <v>4.93</v>
      </c>
    </row>
    <row r="72" spans="1:17" customFormat="1">
      <c r="A72" s="80">
        <v>45276.666666666664</v>
      </c>
      <c r="B72" s="112">
        <v>3.82</v>
      </c>
      <c r="C72" s="112">
        <v>24.08</v>
      </c>
      <c r="D72" s="112">
        <v>16.989999999999998</v>
      </c>
      <c r="E72" s="112">
        <v>6.04</v>
      </c>
      <c r="F72" s="112">
        <v>5.96</v>
      </c>
      <c r="G72" s="112">
        <v>71.84</v>
      </c>
      <c r="H72" s="112">
        <v>27.79</v>
      </c>
      <c r="I72" s="112">
        <v>6.02</v>
      </c>
      <c r="J72" s="112">
        <v>0.06</v>
      </c>
      <c r="K72" s="112">
        <v>92.03</v>
      </c>
      <c r="L72" s="112">
        <v>24.53</v>
      </c>
      <c r="M72" s="112">
        <v>37.799999999999997</v>
      </c>
      <c r="N72" s="112">
        <v>41.8</v>
      </c>
      <c r="O72" s="112">
        <v>0</v>
      </c>
      <c r="P72" s="112">
        <v>0.69</v>
      </c>
      <c r="Q72" s="112">
        <v>4.9400000000000004</v>
      </c>
    </row>
    <row r="73" spans="1:17" customFormat="1">
      <c r="A73" s="80">
        <v>45276.677083333336</v>
      </c>
      <c r="B73" s="112">
        <v>3.94</v>
      </c>
      <c r="C73" s="112">
        <v>24.27</v>
      </c>
      <c r="D73" s="112">
        <v>17.190000000000001</v>
      </c>
      <c r="E73" s="112">
        <v>5.88</v>
      </c>
      <c r="F73" s="112">
        <v>5.07</v>
      </c>
      <c r="G73" s="112">
        <v>69.930000000000007</v>
      </c>
      <c r="H73" s="112">
        <v>27.99</v>
      </c>
      <c r="I73" s="112">
        <v>5.94</v>
      </c>
      <c r="J73" s="112">
        <v>0.14000000000000001</v>
      </c>
      <c r="K73" s="112">
        <v>47.03</v>
      </c>
      <c r="L73" s="112">
        <v>24.39</v>
      </c>
      <c r="M73" s="112">
        <v>37.39</v>
      </c>
      <c r="N73" s="112">
        <v>32.200000000000003</v>
      </c>
      <c r="O73" s="112">
        <v>0</v>
      </c>
      <c r="P73" s="112">
        <v>0.7</v>
      </c>
      <c r="Q73" s="112">
        <v>4.93</v>
      </c>
    </row>
    <row r="74" spans="1:17" customFormat="1">
      <c r="A74" s="80">
        <v>45276.6875</v>
      </c>
      <c r="B74" s="112">
        <v>4.3099999999999996</v>
      </c>
      <c r="C74" s="112">
        <v>25.05</v>
      </c>
      <c r="D74" s="112">
        <v>17.899999999999999</v>
      </c>
      <c r="E74" s="112">
        <v>5.89</v>
      </c>
      <c r="F74" s="112">
        <v>4.33</v>
      </c>
      <c r="G74" s="112">
        <v>69.930000000000007</v>
      </c>
      <c r="H74" s="112">
        <v>27.99</v>
      </c>
      <c r="I74" s="112">
        <v>5.87</v>
      </c>
      <c r="J74" s="112">
        <v>7.0000000000000007E-2</v>
      </c>
      <c r="K74" s="112">
        <v>59.24</v>
      </c>
      <c r="L74" s="112">
        <v>24.08</v>
      </c>
      <c r="M74" s="112">
        <v>38.869999999999997</v>
      </c>
      <c r="N74" s="112">
        <v>22.2</v>
      </c>
      <c r="O74" s="112">
        <v>0</v>
      </c>
      <c r="P74" s="112">
        <v>0.72</v>
      </c>
      <c r="Q74" s="112">
        <v>4.96</v>
      </c>
    </row>
    <row r="75" spans="1:17" customFormat="1">
      <c r="A75" s="80">
        <v>45276.697916666664</v>
      </c>
      <c r="B75" s="112">
        <v>4.5599999999999996</v>
      </c>
      <c r="C75" s="112">
        <v>26.35</v>
      </c>
      <c r="D75" s="112">
        <v>18.77</v>
      </c>
      <c r="E75" s="112">
        <v>5.67</v>
      </c>
      <c r="F75" s="112">
        <v>3.82</v>
      </c>
      <c r="G75" s="112">
        <v>69.930000000000007</v>
      </c>
      <c r="H75" s="112">
        <v>27.99</v>
      </c>
      <c r="I75" s="112">
        <v>5.83</v>
      </c>
      <c r="J75" s="112">
        <v>0.13</v>
      </c>
      <c r="K75" s="112">
        <v>178.9</v>
      </c>
      <c r="L75" s="112">
        <v>23.48</v>
      </c>
      <c r="M75" s="112">
        <v>43.51</v>
      </c>
      <c r="N75" s="112">
        <v>12.3</v>
      </c>
      <c r="O75" s="112">
        <v>0</v>
      </c>
      <c r="P75" s="112">
        <v>0.73</v>
      </c>
      <c r="Q75" s="112">
        <v>4.99</v>
      </c>
    </row>
    <row r="76" spans="1:17" customFormat="1">
      <c r="A76" s="80">
        <v>45276.708333333336</v>
      </c>
      <c r="B76" s="112">
        <v>4.6500000000000004</v>
      </c>
      <c r="C76" s="112">
        <v>27.29</v>
      </c>
      <c r="D76" s="112">
        <v>19.34</v>
      </c>
      <c r="E76" s="112">
        <v>5.49</v>
      </c>
      <c r="F76" s="112">
        <v>3.59</v>
      </c>
      <c r="G76" s="112">
        <v>78.77</v>
      </c>
      <c r="H76" s="112">
        <v>31.1</v>
      </c>
      <c r="I76" s="112">
        <v>5.82</v>
      </c>
      <c r="J76" s="112">
        <v>0.25</v>
      </c>
      <c r="K76" s="112">
        <v>169.02</v>
      </c>
      <c r="L76" s="112">
        <v>22.56</v>
      </c>
      <c r="M76" s="112">
        <v>48.83</v>
      </c>
      <c r="N76" s="112">
        <v>2.2000000000000002</v>
      </c>
      <c r="O76" s="112">
        <v>0</v>
      </c>
      <c r="P76" s="112">
        <v>0.74</v>
      </c>
      <c r="Q76" s="112">
        <v>5.0199999999999996</v>
      </c>
    </row>
    <row r="77" spans="1:17" customFormat="1">
      <c r="A77" s="80">
        <v>45276.71875</v>
      </c>
      <c r="B77" s="112">
        <v>4.91</v>
      </c>
      <c r="C77" s="112">
        <v>27.71</v>
      </c>
      <c r="D77" s="112">
        <v>19.760000000000002</v>
      </c>
      <c r="E77" s="112">
        <v>5.83</v>
      </c>
      <c r="F77" s="112">
        <v>3.31</v>
      </c>
      <c r="G77" s="112">
        <v>88.01</v>
      </c>
      <c r="H77" s="112">
        <v>32.72</v>
      </c>
      <c r="I77" s="112">
        <v>5.8</v>
      </c>
      <c r="J77" s="112">
        <v>0.22</v>
      </c>
      <c r="K77" s="112">
        <v>167.49</v>
      </c>
      <c r="L77" s="112">
        <v>21.79</v>
      </c>
      <c r="M77" s="112">
        <v>51.66</v>
      </c>
      <c r="N77" s="112">
        <v>0</v>
      </c>
      <c r="O77" s="112">
        <v>0</v>
      </c>
      <c r="P77" s="112">
        <v>0.74</v>
      </c>
      <c r="Q77" s="112">
        <v>5.03</v>
      </c>
    </row>
    <row r="78" spans="1:17" customFormat="1">
      <c r="A78" s="80">
        <v>45276.729166666664</v>
      </c>
      <c r="B78" s="112">
        <v>5.34</v>
      </c>
      <c r="C78" s="112">
        <v>28.35</v>
      </c>
      <c r="D78" s="112">
        <v>20.440000000000001</v>
      </c>
      <c r="E78" s="112">
        <v>5.86</v>
      </c>
      <c r="F78" s="112">
        <v>3.23</v>
      </c>
      <c r="G78" s="112">
        <v>88.01</v>
      </c>
      <c r="H78" s="112">
        <v>32.72</v>
      </c>
      <c r="I78" s="112">
        <v>5.79</v>
      </c>
      <c r="J78" s="112">
        <v>0.19</v>
      </c>
      <c r="K78" s="112">
        <v>174.52</v>
      </c>
      <c r="L78" s="112">
        <v>21.19</v>
      </c>
      <c r="M78" s="112">
        <v>52.71</v>
      </c>
      <c r="N78" s="112">
        <v>0</v>
      </c>
      <c r="O78" s="112">
        <v>0</v>
      </c>
      <c r="P78" s="112">
        <v>0.76</v>
      </c>
      <c r="Q78" s="112">
        <v>5.0599999999999996</v>
      </c>
    </row>
    <row r="79" spans="1:17" customFormat="1">
      <c r="A79" s="80">
        <v>45276.739583333336</v>
      </c>
      <c r="B79" s="112">
        <v>5.74</v>
      </c>
      <c r="C79" s="112">
        <v>29.47</v>
      </c>
      <c r="D79" s="112">
        <v>21.35</v>
      </c>
      <c r="E79" s="112">
        <v>5.69</v>
      </c>
      <c r="F79" s="112">
        <v>3.05</v>
      </c>
      <c r="G79" s="112">
        <v>88.01</v>
      </c>
      <c r="H79" s="112">
        <v>32.72</v>
      </c>
      <c r="I79" s="112">
        <v>5.86</v>
      </c>
      <c r="J79" s="112">
        <v>0.21</v>
      </c>
      <c r="K79" s="112">
        <v>171.97</v>
      </c>
      <c r="L79" s="112">
        <v>20.46</v>
      </c>
      <c r="M79" s="112">
        <v>57.13</v>
      </c>
      <c r="N79" s="112">
        <v>0</v>
      </c>
      <c r="O79" s="112">
        <v>0</v>
      </c>
      <c r="P79" s="112">
        <v>0.79</v>
      </c>
      <c r="Q79" s="112">
        <v>5.05</v>
      </c>
    </row>
    <row r="80" spans="1:17" customFormat="1">
      <c r="A80" s="80">
        <v>45276.75</v>
      </c>
      <c r="B80" s="112">
        <v>6.19</v>
      </c>
      <c r="C80" s="112">
        <v>30.39</v>
      </c>
      <c r="D80" s="112">
        <v>22.19</v>
      </c>
      <c r="E80" s="112">
        <v>5.57</v>
      </c>
      <c r="F80" s="112">
        <v>2.85</v>
      </c>
      <c r="G80" s="112">
        <v>97.64</v>
      </c>
      <c r="H80" s="112">
        <v>37.15</v>
      </c>
      <c r="I80" s="112">
        <v>5.92</v>
      </c>
      <c r="J80" s="112">
        <v>0.25</v>
      </c>
      <c r="K80" s="112">
        <v>166.98</v>
      </c>
      <c r="L80" s="112">
        <v>19.77</v>
      </c>
      <c r="M80" s="112">
        <v>66.16</v>
      </c>
      <c r="N80" s="112">
        <v>0</v>
      </c>
      <c r="O80" s="112">
        <v>0</v>
      </c>
      <c r="P80" s="112">
        <v>0.81</v>
      </c>
      <c r="Q80" s="112">
        <v>5.08</v>
      </c>
    </row>
    <row r="81" spans="1:17" customFormat="1">
      <c r="A81" s="80">
        <v>45276.760416666664</v>
      </c>
      <c r="B81" s="112">
        <v>6.6</v>
      </c>
      <c r="C81" s="112">
        <v>30.71</v>
      </c>
      <c r="D81" s="112">
        <v>22.69</v>
      </c>
      <c r="E81" s="112">
        <v>5.79</v>
      </c>
      <c r="F81" s="112">
        <v>2.84</v>
      </c>
      <c r="G81" s="112">
        <v>107.7</v>
      </c>
      <c r="H81" s="112">
        <v>39.47</v>
      </c>
      <c r="I81" s="112">
        <v>6.03</v>
      </c>
      <c r="J81" s="112">
        <v>0.26</v>
      </c>
      <c r="K81" s="112">
        <v>159.12</v>
      </c>
      <c r="L81" s="112">
        <v>19.510000000000002</v>
      </c>
      <c r="M81" s="112">
        <v>65.7</v>
      </c>
      <c r="N81" s="112">
        <v>0</v>
      </c>
      <c r="O81" s="112">
        <v>0</v>
      </c>
      <c r="P81" s="112">
        <v>0.82</v>
      </c>
      <c r="Q81" s="112">
        <v>5.1100000000000003</v>
      </c>
    </row>
    <row r="82" spans="1:17" customFormat="1">
      <c r="A82" s="80">
        <v>45276.770833333336</v>
      </c>
      <c r="B82" s="112">
        <v>7.05</v>
      </c>
      <c r="C82" s="112">
        <v>31.21</v>
      </c>
      <c r="D82" s="112">
        <v>23.31</v>
      </c>
      <c r="E82" s="112">
        <v>5.92</v>
      </c>
      <c r="F82" s="112">
        <v>2.8</v>
      </c>
      <c r="G82" s="112">
        <v>107.7</v>
      </c>
      <c r="H82" s="112">
        <v>39.47</v>
      </c>
      <c r="I82" s="112">
        <v>6.17</v>
      </c>
      <c r="J82" s="112">
        <v>0.19</v>
      </c>
      <c r="K82" s="112">
        <v>199.48</v>
      </c>
      <c r="L82" s="112">
        <v>19.2</v>
      </c>
      <c r="M82" s="112">
        <v>68</v>
      </c>
      <c r="N82" s="112">
        <v>0</v>
      </c>
      <c r="O82" s="112">
        <v>0</v>
      </c>
      <c r="P82" s="112">
        <v>0.85</v>
      </c>
      <c r="Q82" s="112">
        <v>5.14</v>
      </c>
    </row>
    <row r="83" spans="1:17" customFormat="1">
      <c r="A83" s="80">
        <v>45276.78125</v>
      </c>
      <c r="B83" s="112">
        <v>7.38</v>
      </c>
      <c r="C83" s="112">
        <v>31.41</v>
      </c>
      <c r="D83" s="112">
        <v>23.68</v>
      </c>
      <c r="E83" s="112">
        <v>6.44</v>
      </c>
      <c r="F83" s="112">
        <v>2.8</v>
      </c>
      <c r="G83" s="112">
        <v>107.7</v>
      </c>
      <c r="H83" s="112">
        <v>39.47</v>
      </c>
      <c r="I83" s="112">
        <v>6.33</v>
      </c>
      <c r="J83" s="112">
        <v>0.2</v>
      </c>
      <c r="K83" s="112">
        <v>163.65</v>
      </c>
      <c r="L83" s="112">
        <v>18.579999999999998</v>
      </c>
      <c r="M83" s="112">
        <v>73.75</v>
      </c>
      <c r="N83" s="112">
        <v>0</v>
      </c>
      <c r="O83" s="112">
        <v>0</v>
      </c>
      <c r="P83" s="112">
        <v>0.87</v>
      </c>
      <c r="Q83" s="112">
        <v>5.14</v>
      </c>
    </row>
    <row r="84" spans="1:17" customFormat="1">
      <c r="A84" s="80">
        <v>45276.791666666664</v>
      </c>
      <c r="B84" s="112">
        <v>7.45</v>
      </c>
      <c r="C84" s="112">
        <v>31.13</v>
      </c>
      <c r="D84" s="112">
        <v>23.59</v>
      </c>
      <c r="E84" s="112">
        <v>6.52</v>
      </c>
      <c r="F84" s="112">
        <v>2.72</v>
      </c>
      <c r="G84" s="112">
        <v>110.86</v>
      </c>
      <c r="H84" s="112">
        <v>38.06</v>
      </c>
      <c r="I84" s="112">
        <v>6.55</v>
      </c>
      <c r="J84" s="112">
        <v>0.2</v>
      </c>
      <c r="K84" s="112">
        <v>156.51</v>
      </c>
      <c r="L84" s="112">
        <v>18.2</v>
      </c>
      <c r="M84" s="112">
        <v>74.8</v>
      </c>
      <c r="N84" s="112">
        <v>0</v>
      </c>
      <c r="O84" s="112">
        <v>0</v>
      </c>
      <c r="P84" s="112">
        <v>0.89</v>
      </c>
      <c r="Q84" s="112">
        <v>5.14</v>
      </c>
    </row>
    <row r="85" spans="1:17" customFormat="1">
      <c r="A85" s="80">
        <v>45276.802083333336</v>
      </c>
      <c r="B85" s="112">
        <v>7.35</v>
      </c>
      <c r="C85" s="112">
        <v>30.75</v>
      </c>
      <c r="D85" s="112">
        <v>23.31</v>
      </c>
      <c r="E85" s="112">
        <v>6.17</v>
      </c>
      <c r="F85" s="112">
        <v>2.82</v>
      </c>
      <c r="G85" s="112">
        <v>114.15</v>
      </c>
      <c r="H85" s="112">
        <v>37.32</v>
      </c>
      <c r="I85" s="112">
        <v>6.7</v>
      </c>
      <c r="J85" s="112">
        <v>0.2</v>
      </c>
      <c r="K85" s="112">
        <v>157.47</v>
      </c>
      <c r="L85" s="112">
        <v>18.07</v>
      </c>
      <c r="M85" s="112">
        <v>72.97</v>
      </c>
      <c r="N85" s="112">
        <v>0</v>
      </c>
      <c r="O85" s="112">
        <v>0</v>
      </c>
      <c r="P85" s="112">
        <v>0.9</v>
      </c>
      <c r="Q85" s="112">
        <v>5.13</v>
      </c>
    </row>
    <row r="86" spans="1:17" customFormat="1">
      <c r="A86" s="80">
        <v>45276.8125</v>
      </c>
      <c r="B86" s="112">
        <v>7.29</v>
      </c>
      <c r="C86" s="112">
        <v>30.14</v>
      </c>
      <c r="D86" s="112">
        <v>22.94</v>
      </c>
      <c r="E86" s="112">
        <v>6.53</v>
      </c>
      <c r="F86" s="112">
        <v>2.93</v>
      </c>
      <c r="G86" s="112">
        <v>114.15</v>
      </c>
      <c r="H86" s="112">
        <v>37.32</v>
      </c>
      <c r="I86" s="112">
        <v>6.87</v>
      </c>
      <c r="J86" s="112">
        <v>0.19</v>
      </c>
      <c r="K86" s="112">
        <v>167.66</v>
      </c>
      <c r="L86" s="112">
        <v>17.920000000000002</v>
      </c>
      <c r="M86" s="112">
        <v>71.63</v>
      </c>
      <c r="N86" s="112">
        <v>0</v>
      </c>
      <c r="O86" s="112">
        <v>0</v>
      </c>
      <c r="P86" s="112">
        <v>0.91</v>
      </c>
      <c r="Q86" s="112">
        <v>5.14</v>
      </c>
    </row>
    <row r="87" spans="1:17" customFormat="1">
      <c r="A87" s="80">
        <v>45276.822916666664</v>
      </c>
      <c r="B87" s="112">
        <v>7.3</v>
      </c>
      <c r="C87" s="112">
        <v>29.71</v>
      </c>
      <c r="D87" s="112">
        <v>22.73</v>
      </c>
      <c r="E87" s="112">
        <v>6.4</v>
      </c>
      <c r="F87" s="112">
        <v>2.87</v>
      </c>
      <c r="G87" s="112">
        <v>114.15</v>
      </c>
      <c r="H87" s="112">
        <v>37.32</v>
      </c>
      <c r="I87" s="112">
        <v>7.01</v>
      </c>
      <c r="J87" s="112">
        <v>0.13</v>
      </c>
      <c r="K87" s="112">
        <v>196.33</v>
      </c>
      <c r="L87" s="112">
        <v>17.72</v>
      </c>
      <c r="M87" s="112">
        <v>79.680000000000007</v>
      </c>
      <c r="N87" s="112">
        <v>0</v>
      </c>
      <c r="O87" s="112">
        <v>0</v>
      </c>
      <c r="P87" s="112">
        <v>0.92</v>
      </c>
      <c r="Q87" s="112">
        <v>5.13</v>
      </c>
    </row>
    <row r="88" spans="1:17" customFormat="1">
      <c r="A88" s="80">
        <v>45276.833333333336</v>
      </c>
      <c r="B88" s="112">
        <v>7.29</v>
      </c>
      <c r="C88" s="112">
        <v>29.32</v>
      </c>
      <c r="D88" s="112">
        <v>22.52</v>
      </c>
      <c r="E88" s="112">
        <v>6.79</v>
      </c>
      <c r="F88" s="112">
        <v>2.83</v>
      </c>
      <c r="G88" s="112">
        <v>109.47</v>
      </c>
      <c r="H88" s="112">
        <v>38.76</v>
      </c>
      <c r="I88" s="112">
        <v>7.11</v>
      </c>
      <c r="J88" s="112">
        <v>0.18</v>
      </c>
      <c r="K88" s="112">
        <v>164.55</v>
      </c>
      <c r="L88" s="112">
        <v>17.41</v>
      </c>
      <c r="M88" s="112">
        <v>82.07</v>
      </c>
      <c r="N88" s="112">
        <v>0</v>
      </c>
      <c r="O88" s="112">
        <v>0</v>
      </c>
      <c r="P88" s="112">
        <v>0.94</v>
      </c>
      <c r="Q88" s="112">
        <v>5.13</v>
      </c>
    </row>
    <row r="89" spans="1:17" customFormat="1">
      <c r="A89" s="80">
        <v>45276.84375</v>
      </c>
      <c r="B89" s="112">
        <v>7.36</v>
      </c>
      <c r="C89" s="112">
        <v>28.75</v>
      </c>
      <c r="D89" s="112">
        <v>22.27</v>
      </c>
      <c r="E89" s="112">
        <v>6.36</v>
      </c>
      <c r="F89" s="112">
        <v>2.75</v>
      </c>
      <c r="G89" s="112">
        <v>104.79</v>
      </c>
      <c r="H89" s="112">
        <v>40.409999999999997</v>
      </c>
      <c r="I89" s="112">
        <v>7.25</v>
      </c>
      <c r="J89" s="112">
        <v>0.2</v>
      </c>
      <c r="K89" s="112">
        <v>158.27000000000001</v>
      </c>
      <c r="L89" s="112">
        <v>17.32</v>
      </c>
      <c r="M89" s="112">
        <v>82.2</v>
      </c>
      <c r="N89" s="112">
        <v>0</v>
      </c>
      <c r="O89" s="112">
        <v>0</v>
      </c>
      <c r="P89" s="112">
        <v>0.95</v>
      </c>
      <c r="Q89" s="112">
        <v>5.14</v>
      </c>
    </row>
    <row r="90" spans="1:17" customFormat="1">
      <c r="A90" s="80">
        <v>45276.854166666664</v>
      </c>
      <c r="B90" s="112">
        <v>7.55</v>
      </c>
      <c r="C90" s="112">
        <v>28.84</v>
      </c>
      <c r="D90" s="112">
        <v>22.47</v>
      </c>
      <c r="E90" s="112">
        <v>6.88</v>
      </c>
      <c r="F90" s="112">
        <v>2.59</v>
      </c>
      <c r="G90" s="112">
        <v>104.79</v>
      </c>
      <c r="H90" s="112">
        <v>40.409999999999997</v>
      </c>
      <c r="I90" s="112">
        <v>7.37</v>
      </c>
      <c r="J90" s="112">
        <v>0.13</v>
      </c>
      <c r="K90" s="112">
        <v>226.7</v>
      </c>
      <c r="L90" s="112">
        <v>17.05</v>
      </c>
      <c r="M90" s="112">
        <v>83.08</v>
      </c>
      <c r="N90" s="112">
        <v>0</v>
      </c>
      <c r="O90" s="112">
        <v>0</v>
      </c>
      <c r="P90" s="112">
        <v>0.96</v>
      </c>
      <c r="Q90" s="112">
        <v>5.13</v>
      </c>
    </row>
    <row r="91" spans="1:17" customFormat="1">
      <c r="A91" s="80">
        <v>45276.864583333336</v>
      </c>
      <c r="B91" s="112">
        <v>7.76</v>
      </c>
      <c r="C91" s="112">
        <v>28.69</v>
      </c>
      <c r="D91" s="112">
        <v>22.56</v>
      </c>
      <c r="E91" s="112">
        <v>6.42</v>
      </c>
      <c r="F91" s="112">
        <v>2.7</v>
      </c>
      <c r="G91" s="112">
        <v>104.79</v>
      </c>
      <c r="H91" s="112">
        <v>40.409999999999997</v>
      </c>
      <c r="I91" s="112">
        <v>7.53</v>
      </c>
      <c r="J91" s="112">
        <v>0.18</v>
      </c>
      <c r="K91" s="112">
        <v>198.98</v>
      </c>
      <c r="L91" s="112">
        <v>16.809999999999999</v>
      </c>
      <c r="M91" s="112">
        <v>82.34</v>
      </c>
      <c r="N91" s="112">
        <v>0</v>
      </c>
      <c r="O91" s="112">
        <v>0</v>
      </c>
      <c r="P91" s="112">
        <v>0.97</v>
      </c>
      <c r="Q91" s="112">
        <v>5.1100000000000003</v>
      </c>
    </row>
    <row r="92" spans="1:17" customFormat="1">
      <c r="A92" s="80">
        <v>45276.875</v>
      </c>
      <c r="B92" s="112">
        <v>7.97</v>
      </c>
      <c r="C92" s="112">
        <v>26.06</v>
      </c>
      <c r="D92" s="112">
        <v>21.36</v>
      </c>
      <c r="E92" s="112">
        <v>6.42</v>
      </c>
      <c r="F92" s="112">
        <v>2.78</v>
      </c>
      <c r="G92" s="112">
        <v>103.47</v>
      </c>
      <c r="H92" s="112">
        <v>39.5</v>
      </c>
      <c r="I92" s="112">
        <v>7.66</v>
      </c>
      <c r="J92" s="112">
        <v>0.11</v>
      </c>
      <c r="K92" s="112">
        <v>166.16</v>
      </c>
      <c r="L92" s="112">
        <v>16.78</v>
      </c>
      <c r="M92" s="112">
        <v>79.349999999999994</v>
      </c>
      <c r="N92" s="112">
        <v>0</v>
      </c>
      <c r="O92" s="112">
        <v>0</v>
      </c>
      <c r="P92" s="112">
        <v>0.96</v>
      </c>
      <c r="Q92" s="112">
        <v>5.09</v>
      </c>
    </row>
    <row r="93" spans="1:17" customFormat="1">
      <c r="A93" s="80">
        <v>45276.885416666664</v>
      </c>
      <c r="B93" s="112">
        <v>8</v>
      </c>
      <c r="C93" s="112">
        <v>25.68</v>
      </c>
      <c r="D93" s="112">
        <v>21.19</v>
      </c>
      <c r="E93" s="112">
        <v>6.49</v>
      </c>
      <c r="F93" s="112">
        <v>2.8</v>
      </c>
      <c r="G93" s="112">
        <v>102.08</v>
      </c>
      <c r="H93" s="112">
        <v>39.03</v>
      </c>
      <c r="I93" s="112">
        <v>7.76</v>
      </c>
      <c r="J93" s="112">
        <v>0.1</v>
      </c>
      <c r="K93" s="112">
        <v>156.38999999999999</v>
      </c>
      <c r="L93" s="112">
        <v>16.57</v>
      </c>
      <c r="M93" s="112">
        <v>76.89</v>
      </c>
      <c r="N93" s="112">
        <v>0</v>
      </c>
      <c r="O93" s="112">
        <v>0</v>
      </c>
      <c r="P93" s="112">
        <v>0.96</v>
      </c>
      <c r="Q93" s="112">
        <v>5.07</v>
      </c>
    </row>
    <row r="94" spans="1:17" customFormat="1">
      <c r="A94" s="80">
        <v>45276.895833333336</v>
      </c>
      <c r="B94" s="112">
        <v>8.1300000000000008</v>
      </c>
      <c r="C94" s="112">
        <v>24.84</v>
      </c>
      <c r="D94" s="112">
        <v>20.85</v>
      </c>
      <c r="E94" s="112">
        <v>6.49</v>
      </c>
      <c r="F94" s="112">
        <v>2.84</v>
      </c>
      <c r="G94" s="112">
        <v>102.08</v>
      </c>
      <c r="H94" s="112">
        <v>39.03</v>
      </c>
      <c r="I94" s="112">
        <v>7.83</v>
      </c>
      <c r="J94" s="112">
        <v>0.08</v>
      </c>
      <c r="K94" s="112">
        <v>212.02</v>
      </c>
      <c r="L94" s="112">
        <v>16.47</v>
      </c>
      <c r="M94" s="112">
        <v>77.61</v>
      </c>
      <c r="N94" s="112">
        <v>0</v>
      </c>
      <c r="O94" s="112">
        <v>0</v>
      </c>
      <c r="P94" s="112">
        <v>0.96</v>
      </c>
      <c r="Q94" s="112">
        <v>5.08</v>
      </c>
    </row>
    <row r="95" spans="1:17" customFormat="1">
      <c r="A95" s="80">
        <v>45276.90625</v>
      </c>
      <c r="B95" s="112">
        <v>8.2100000000000009</v>
      </c>
      <c r="C95" s="112">
        <v>25.34</v>
      </c>
      <c r="D95" s="112">
        <v>21.18</v>
      </c>
      <c r="E95" s="112">
        <v>6.32</v>
      </c>
      <c r="F95" s="112">
        <v>2.56</v>
      </c>
      <c r="G95" s="112">
        <v>102.08</v>
      </c>
      <c r="H95" s="112">
        <v>39.03</v>
      </c>
      <c r="I95" s="112">
        <v>7.92</v>
      </c>
      <c r="J95" s="112">
        <v>0.06</v>
      </c>
      <c r="K95" s="112">
        <v>215.82</v>
      </c>
      <c r="L95" s="112">
        <v>16.170000000000002</v>
      </c>
      <c r="M95" s="112">
        <v>82.59</v>
      </c>
      <c r="N95" s="112">
        <v>0</v>
      </c>
      <c r="O95" s="112">
        <v>0</v>
      </c>
      <c r="P95" s="112">
        <v>0.97</v>
      </c>
      <c r="Q95" s="112">
        <v>5.07</v>
      </c>
    </row>
    <row r="96" spans="1:17" customFormat="1">
      <c r="A96" s="80">
        <v>45276.916666666664</v>
      </c>
      <c r="B96" s="112">
        <v>8.85</v>
      </c>
      <c r="C96" s="112">
        <v>25.31</v>
      </c>
      <c r="D96" s="112">
        <v>21.67</v>
      </c>
      <c r="E96" s="112">
        <v>6.27</v>
      </c>
      <c r="F96" s="112">
        <v>2.52</v>
      </c>
      <c r="G96" s="112">
        <v>105.52</v>
      </c>
      <c r="H96" s="112">
        <v>41.91</v>
      </c>
      <c r="I96" s="112">
        <v>7.97</v>
      </c>
      <c r="J96" s="112">
        <v>0.2</v>
      </c>
      <c r="K96" s="112">
        <v>127.09</v>
      </c>
      <c r="L96" s="112">
        <v>16.37</v>
      </c>
      <c r="M96" s="112">
        <v>77.61</v>
      </c>
      <c r="N96" s="112">
        <v>0</v>
      </c>
      <c r="O96" s="112">
        <v>0</v>
      </c>
      <c r="P96" s="112">
        <v>0.99</v>
      </c>
      <c r="Q96" s="112">
        <v>5.1100000000000003</v>
      </c>
    </row>
    <row r="97" spans="1:22" customFormat="1">
      <c r="A97" s="80">
        <v>45276.927083333336</v>
      </c>
      <c r="B97" s="112">
        <v>11.55</v>
      </c>
      <c r="C97" s="112">
        <v>27.74</v>
      </c>
      <c r="D97" s="112">
        <v>25.1</v>
      </c>
      <c r="E97" s="112">
        <v>6.48</v>
      </c>
      <c r="F97" s="112">
        <v>2.3199999999999998</v>
      </c>
      <c r="G97" s="112">
        <v>109.13</v>
      </c>
      <c r="H97" s="112">
        <v>43.42</v>
      </c>
      <c r="I97" s="112">
        <v>8.06</v>
      </c>
      <c r="J97" s="112">
        <v>0.12</v>
      </c>
      <c r="K97" s="112">
        <v>139.1</v>
      </c>
      <c r="L97" s="112">
        <v>16.55</v>
      </c>
      <c r="M97" s="112">
        <v>73.52</v>
      </c>
      <c r="N97" s="112">
        <v>0</v>
      </c>
      <c r="O97" s="112">
        <v>0</v>
      </c>
      <c r="P97" s="112">
        <v>1.02</v>
      </c>
      <c r="Q97" s="112">
        <v>5.18</v>
      </c>
    </row>
    <row r="98" spans="1:22" customFormat="1">
      <c r="A98" s="80">
        <v>45276.9375</v>
      </c>
      <c r="B98" s="112">
        <v>15.35</v>
      </c>
      <c r="C98" s="112">
        <v>28.68</v>
      </c>
      <c r="D98" s="112">
        <v>28.64</v>
      </c>
      <c r="E98" s="112">
        <v>6.5</v>
      </c>
      <c r="F98" s="112">
        <v>2.5099999999999998</v>
      </c>
      <c r="G98" s="112">
        <v>109.13</v>
      </c>
      <c r="H98" s="112">
        <v>43.42</v>
      </c>
      <c r="I98" s="112">
        <v>8.2100000000000009</v>
      </c>
      <c r="J98" s="112">
        <v>0.16</v>
      </c>
      <c r="K98" s="112">
        <v>152.94999999999999</v>
      </c>
      <c r="L98" s="112">
        <v>16.55</v>
      </c>
      <c r="M98" s="112">
        <v>76.03</v>
      </c>
      <c r="N98" s="112">
        <v>0</v>
      </c>
      <c r="O98" s="112">
        <v>0</v>
      </c>
      <c r="P98" s="112">
        <v>1.05</v>
      </c>
      <c r="Q98" s="112">
        <v>5.28</v>
      </c>
    </row>
    <row r="99" spans="1:22" customFormat="1">
      <c r="A99" s="80">
        <v>45276.947916666664</v>
      </c>
      <c r="B99" s="112">
        <v>18.88</v>
      </c>
      <c r="C99" s="112">
        <v>30.88</v>
      </c>
      <c r="D99" s="112">
        <v>32.630000000000003</v>
      </c>
      <c r="E99" s="112">
        <v>7.04</v>
      </c>
      <c r="F99" s="112">
        <v>2.5</v>
      </c>
      <c r="G99" s="112">
        <v>109.13</v>
      </c>
      <c r="H99" s="112">
        <v>43.42</v>
      </c>
      <c r="I99" s="112">
        <v>8.4</v>
      </c>
      <c r="J99" s="112">
        <v>0.13</v>
      </c>
      <c r="K99" s="112">
        <v>229.24</v>
      </c>
      <c r="L99" s="112">
        <v>16.21</v>
      </c>
      <c r="M99" s="112">
        <v>81.93</v>
      </c>
      <c r="N99" s="112">
        <v>0</v>
      </c>
      <c r="O99" s="112">
        <v>0</v>
      </c>
      <c r="P99" s="112">
        <v>1.08</v>
      </c>
      <c r="Q99" s="112">
        <v>5.4</v>
      </c>
    </row>
    <row r="100" spans="1:22" customFormat="1">
      <c r="A100" s="80">
        <v>45276.958333333336</v>
      </c>
      <c r="B100" s="112">
        <v>21.83</v>
      </c>
      <c r="C100" s="112">
        <v>30.86</v>
      </c>
      <c r="D100" s="112">
        <v>34.979999999999997</v>
      </c>
      <c r="E100" s="112">
        <v>6.94</v>
      </c>
      <c r="F100" s="112">
        <v>2.5099999999999998</v>
      </c>
      <c r="G100" s="112">
        <v>121.74</v>
      </c>
      <c r="H100" s="112">
        <v>48.89</v>
      </c>
      <c r="I100" s="112">
        <v>8.59</v>
      </c>
      <c r="J100" s="112">
        <v>0.14000000000000001</v>
      </c>
      <c r="K100" s="112">
        <v>171.45</v>
      </c>
      <c r="L100" s="112">
        <v>15.95</v>
      </c>
      <c r="M100" s="112">
        <v>85.31</v>
      </c>
      <c r="N100" s="112">
        <v>0</v>
      </c>
      <c r="O100" s="112">
        <v>0</v>
      </c>
      <c r="P100" s="112">
        <v>1.0900000000000001</v>
      </c>
      <c r="Q100" s="112">
        <v>5.5</v>
      </c>
    </row>
    <row r="101" spans="1:22" customFormat="1">
      <c r="A101" s="80">
        <v>45276.96875</v>
      </c>
      <c r="B101" s="112">
        <v>23.74</v>
      </c>
      <c r="C101" s="112">
        <v>31.65</v>
      </c>
      <c r="D101" s="112">
        <v>36.92</v>
      </c>
      <c r="E101" s="112">
        <v>6.67</v>
      </c>
      <c r="F101" s="112">
        <v>2.57</v>
      </c>
      <c r="G101" s="112">
        <v>134.93</v>
      </c>
      <c r="H101" s="112">
        <v>51.63</v>
      </c>
      <c r="I101" s="112">
        <v>8.76</v>
      </c>
      <c r="J101" s="112">
        <v>0.14000000000000001</v>
      </c>
      <c r="K101" s="112">
        <v>179.37</v>
      </c>
      <c r="L101" s="112">
        <v>15.68</v>
      </c>
      <c r="M101" s="112">
        <v>85.86</v>
      </c>
      <c r="N101" s="112">
        <v>0</v>
      </c>
      <c r="O101" s="112">
        <v>0</v>
      </c>
      <c r="P101" s="112">
        <v>1.1000000000000001</v>
      </c>
      <c r="Q101" s="112">
        <v>5.56</v>
      </c>
    </row>
    <row r="102" spans="1:22" customFormat="1">
      <c r="A102" s="80">
        <v>45276.979166666664</v>
      </c>
      <c r="B102" s="112">
        <v>24.32</v>
      </c>
      <c r="C102" s="112">
        <v>31.76</v>
      </c>
      <c r="D102" s="112">
        <v>37.450000000000003</v>
      </c>
      <c r="E102" s="112">
        <v>6.94</v>
      </c>
      <c r="F102" s="112">
        <v>2.63</v>
      </c>
      <c r="G102" s="112">
        <v>134.93</v>
      </c>
      <c r="H102" s="112">
        <v>51.63</v>
      </c>
      <c r="I102" s="112">
        <v>8.92</v>
      </c>
      <c r="J102" s="112">
        <v>0.12</v>
      </c>
      <c r="K102" s="112">
        <v>178.55</v>
      </c>
      <c r="L102" s="112">
        <v>15.58</v>
      </c>
      <c r="M102" s="112">
        <v>86.3</v>
      </c>
      <c r="N102" s="112">
        <v>0</v>
      </c>
      <c r="O102" s="112">
        <v>0</v>
      </c>
      <c r="P102" s="112">
        <v>1.1000000000000001</v>
      </c>
      <c r="Q102" s="112">
        <v>5.58</v>
      </c>
    </row>
    <row r="103" spans="1:22" customFormat="1">
      <c r="A103" s="80">
        <v>45276.989583333336</v>
      </c>
      <c r="B103" s="112">
        <v>24.46</v>
      </c>
      <c r="C103" s="112">
        <v>31.72</v>
      </c>
      <c r="D103" s="112">
        <v>37.54</v>
      </c>
      <c r="E103" s="112">
        <v>6.85</v>
      </c>
      <c r="F103" s="112">
        <v>2.63</v>
      </c>
      <c r="G103" s="112">
        <v>134.93</v>
      </c>
      <c r="H103" s="112">
        <v>51.63</v>
      </c>
      <c r="I103" s="112">
        <v>9.02</v>
      </c>
      <c r="J103" s="112">
        <v>7.0000000000000007E-2</v>
      </c>
      <c r="K103" s="112">
        <v>258.60000000000002</v>
      </c>
      <c r="L103" s="112">
        <v>15.45</v>
      </c>
      <c r="M103" s="112">
        <v>86.03</v>
      </c>
      <c r="N103" s="112">
        <v>0</v>
      </c>
      <c r="O103" s="112">
        <v>0</v>
      </c>
      <c r="P103" s="112">
        <v>1.1000000000000001</v>
      </c>
      <c r="Q103" s="112">
        <v>5.59</v>
      </c>
    </row>
    <row r="104" spans="1:22" customFormat="1">
      <c r="A104" s="80">
        <v>45277</v>
      </c>
      <c r="B104" s="112">
        <v>26.13</v>
      </c>
      <c r="C104" s="112">
        <v>32.909999999999997</v>
      </c>
      <c r="D104" s="112">
        <v>39.5</v>
      </c>
      <c r="E104" s="112">
        <v>6.76</v>
      </c>
      <c r="F104" s="112">
        <v>2.44</v>
      </c>
      <c r="G104" s="112">
        <v>136.75</v>
      </c>
      <c r="H104" s="112">
        <v>52.25</v>
      </c>
      <c r="I104" s="112">
        <v>9.11</v>
      </c>
      <c r="J104" s="112">
        <v>0.16</v>
      </c>
      <c r="K104" s="112">
        <v>326.92</v>
      </c>
      <c r="L104" s="112">
        <v>15.67</v>
      </c>
      <c r="M104" s="112">
        <v>78.73</v>
      </c>
      <c r="N104" s="112">
        <v>0</v>
      </c>
      <c r="O104" s="112">
        <v>0</v>
      </c>
      <c r="P104" s="112">
        <v>1.1299999999999999</v>
      </c>
      <c r="Q104" s="112">
        <v>5.61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3.08</v>
      </c>
      <c r="C106" s="183">
        <f>MIN(C9:C104)</f>
        <v>24.08</v>
      </c>
      <c r="D106" s="183">
        <f t="shared" ref="D106:Q106" si="0">MIN(D9:D104)</f>
        <v>16.989999999999998</v>
      </c>
      <c r="E106" s="183">
        <f t="shared" si="0"/>
        <v>4.8</v>
      </c>
      <c r="F106" s="183">
        <f t="shared" si="0"/>
        <v>2.3199999999999998</v>
      </c>
      <c r="G106" s="183">
        <f t="shared" si="0"/>
        <v>69.930000000000007</v>
      </c>
      <c r="H106" s="183">
        <f t="shared" si="0"/>
        <v>27.42</v>
      </c>
      <c r="I106" s="183">
        <f t="shared" si="0"/>
        <v>5.79</v>
      </c>
      <c r="J106" s="183">
        <f t="shared" si="0"/>
        <v>0.03</v>
      </c>
      <c r="K106" s="183">
        <f t="shared" si="0"/>
        <v>25.51</v>
      </c>
      <c r="L106" s="183">
        <f t="shared" si="0"/>
        <v>12.76</v>
      </c>
      <c r="M106" s="183">
        <f t="shared" si="0"/>
        <v>31.21</v>
      </c>
      <c r="N106" s="183">
        <f t="shared" si="0"/>
        <v>0</v>
      </c>
      <c r="O106" s="183">
        <f t="shared" si="0"/>
        <v>0</v>
      </c>
      <c r="P106" s="183">
        <f t="shared" si="0"/>
        <v>0.63</v>
      </c>
      <c r="Q106" s="183">
        <f t="shared" si="0"/>
        <v>4.88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58.06</v>
      </c>
      <c r="C107" s="184">
        <f t="shared" ref="C107:Q107" si="1">MAX(C9:C104)</f>
        <v>35.229999999999997</v>
      </c>
      <c r="D107" s="184">
        <f t="shared" si="1"/>
        <v>65.56</v>
      </c>
      <c r="E107" s="184">
        <f t="shared" si="1"/>
        <v>10.029999999999999</v>
      </c>
      <c r="F107" s="184">
        <f t="shared" si="1"/>
        <v>11.71</v>
      </c>
      <c r="G107" s="184">
        <f t="shared" si="1"/>
        <v>136.75</v>
      </c>
      <c r="H107" s="184">
        <f t="shared" si="1"/>
        <v>52.69</v>
      </c>
      <c r="I107" s="184">
        <f t="shared" si="1"/>
        <v>10.8</v>
      </c>
      <c r="J107" s="184">
        <f t="shared" si="1"/>
        <v>0.64</v>
      </c>
      <c r="K107" s="184">
        <f t="shared" si="1"/>
        <v>333.81</v>
      </c>
      <c r="L107" s="184">
        <f t="shared" si="1"/>
        <v>26.36</v>
      </c>
      <c r="M107" s="184">
        <f t="shared" si="1"/>
        <v>95.25</v>
      </c>
      <c r="N107" s="184">
        <f t="shared" si="1"/>
        <v>559.6</v>
      </c>
      <c r="O107" s="184">
        <f t="shared" si="1"/>
        <v>0</v>
      </c>
      <c r="P107" s="184">
        <f t="shared" si="1"/>
        <v>1.17</v>
      </c>
      <c r="Q107" s="184">
        <f t="shared" si="1"/>
        <v>6.4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24.16395833333333</v>
      </c>
      <c r="C108" s="183">
        <f t="shared" ref="C108:Q108" si="2">AVERAGE(C9:C104)</f>
        <v>29.12072916666666</v>
      </c>
      <c r="D108" s="183">
        <f t="shared" si="2"/>
        <v>35.943333333333328</v>
      </c>
      <c r="E108" s="183">
        <f t="shared" si="2"/>
        <v>7.5451041666666656</v>
      </c>
      <c r="F108" s="183">
        <f t="shared" si="2"/>
        <v>3.32375</v>
      </c>
      <c r="G108" s="183">
        <f t="shared" si="2"/>
        <v>104.51864583333337</v>
      </c>
      <c r="H108" s="183">
        <f t="shared" si="2"/>
        <v>42.578437499999978</v>
      </c>
      <c r="I108" s="183">
        <f t="shared" si="2"/>
        <v>8.7612500000000004</v>
      </c>
      <c r="J108" s="183">
        <f t="shared" si="2"/>
        <v>0.20291666666666672</v>
      </c>
      <c r="K108" s="183">
        <f t="shared" si="2"/>
        <v>144.26291666666665</v>
      </c>
      <c r="L108" s="183">
        <f t="shared" si="2"/>
        <v>18.637604166666666</v>
      </c>
      <c r="M108" s="183">
        <f t="shared" si="2"/>
        <v>67.922187500000021</v>
      </c>
      <c r="N108" s="183">
        <f t="shared" si="2"/>
        <v>107.890625</v>
      </c>
      <c r="O108" s="183">
        <f t="shared" si="2"/>
        <v>0</v>
      </c>
      <c r="P108" s="183">
        <f t="shared" si="2"/>
        <v>0.99020833333333302</v>
      </c>
      <c r="Q108" s="183">
        <f t="shared" si="2"/>
        <v>5.5124999999999993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17.446984868703574</v>
      </c>
      <c r="C109" s="183">
        <f t="shared" ref="C109:Q109" si="3">STDEV(C9:C104)</f>
        <v>2.6488298289470955</v>
      </c>
      <c r="D109" s="183">
        <f t="shared" si="3"/>
        <v>14.785048825483495</v>
      </c>
      <c r="E109" s="183">
        <f t="shared" si="3"/>
        <v>1.3690834389179289</v>
      </c>
      <c r="F109" s="183">
        <f t="shared" si="3"/>
        <v>1.5978329074092805</v>
      </c>
      <c r="G109" s="183">
        <f t="shared" si="3"/>
        <v>15.999781420861529</v>
      </c>
      <c r="H109" s="183">
        <f t="shared" si="3"/>
        <v>7.5614600829157075</v>
      </c>
      <c r="I109" s="183">
        <f t="shared" si="3"/>
        <v>1.8155273266145489</v>
      </c>
      <c r="J109" s="183">
        <f t="shared" si="3"/>
        <v>0.13307628731526144</v>
      </c>
      <c r="K109" s="183">
        <f t="shared" si="3"/>
        <v>73.625606085135232</v>
      </c>
      <c r="L109" s="183">
        <f t="shared" si="3"/>
        <v>4.6341675559266875</v>
      </c>
      <c r="M109" s="183">
        <f t="shared" si="3"/>
        <v>23.630405132866748</v>
      </c>
      <c r="N109" s="183">
        <f t="shared" si="3"/>
        <v>185.78073894732947</v>
      </c>
      <c r="O109" s="183">
        <f t="shared" si="3"/>
        <v>0</v>
      </c>
      <c r="P109" s="183">
        <f t="shared" si="3"/>
        <v>0.16484748400402216</v>
      </c>
      <c r="Q109" s="183">
        <f t="shared" si="3"/>
        <v>0.46340842506480845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45277.010416666664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45277.010416666664</v>
      </c>
      <c r="B9" s="112">
        <v>30.28</v>
      </c>
      <c r="C9" s="112">
        <v>32.35</v>
      </c>
      <c r="D9" s="112">
        <v>42.53</v>
      </c>
      <c r="E9" s="112">
        <v>7.26</v>
      </c>
      <c r="F9" s="112">
        <v>2.57</v>
      </c>
      <c r="G9" s="112">
        <v>138.56</v>
      </c>
      <c r="H9" s="112">
        <v>52.57</v>
      </c>
      <c r="I9" s="112">
        <v>9.18</v>
      </c>
      <c r="J9" s="112">
        <v>0.06</v>
      </c>
      <c r="K9" s="112">
        <v>194.33</v>
      </c>
      <c r="L9" s="112">
        <v>15.86</v>
      </c>
      <c r="M9" s="112">
        <v>76.42</v>
      </c>
      <c r="N9" s="112">
        <v>0</v>
      </c>
      <c r="O9" s="112">
        <v>0</v>
      </c>
      <c r="P9" s="112">
        <v>1.1299999999999999</v>
      </c>
      <c r="Q9" s="112">
        <v>5.7</v>
      </c>
    </row>
    <row r="10" spans="1:21" customFormat="1">
      <c r="A10" s="80">
        <v>45277.020833333336</v>
      </c>
      <c r="B10" s="112">
        <v>32.17</v>
      </c>
      <c r="C10" s="112">
        <v>33.67</v>
      </c>
      <c r="D10" s="112">
        <v>44.74</v>
      </c>
      <c r="E10" s="112">
        <v>7.3</v>
      </c>
      <c r="F10" s="112">
        <v>2.6</v>
      </c>
      <c r="G10" s="112">
        <v>138.56</v>
      </c>
      <c r="H10" s="112">
        <v>52.57</v>
      </c>
      <c r="I10" s="112">
        <v>9.3000000000000007</v>
      </c>
      <c r="J10" s="112">
        <v>0.18</v>
      </c>
      <c r="K10" s="112">
        <v>172.16</v>
      </c>
      <c r="L10" s="112">
        <v>15.96</v>
      </c>
      <c r="M10" s="112">
        <v>77.47</v>
      </c>
      <c r="N10" s="112">
        <v>0</v>
      </c>
      <c r="O10" s="112">
        <v>0</v>
      </c>
      <c r="P10" s="112">
        <v>1.17</v>
      </c>
      <c r="Q10" s="112">
        <v>5.8</v>
      </c>
    </row>
    <row r="11" spans="1:21" customFormat="1">
      <c r="A11" s="80">
        <v>45277.03125</v>
      </c>
      <c r="B11" s="112">
        <v>33.409999999999997</v>
      </c>
      <c r="C11" s="112">
        <v>34.799999999999997</v>
      </c>
      <c r="D11" s="112">
        <v>46.32</v>
      </c>
      <c r="E11" s="112">
        <v>7.25</v>
      </c>
      <c r="F11" s="112">
        <v>2.5499999999999998</v>
      </c>
      <c r="G11" s="112">
        <v>138.56</v>
      </c>
      <c r="H11" s="112">
        <v>52.57</v>
      </c>
      <c r="I11" s="112">
        <v>9.51</v>
      </c>
      <c r="J11" s="112">
        <v>0.13</v>
      </c>
      <c r="K11" s="112">
        <v>216.8</v>
      </c>
      <c r="L11" s="112">
        <v>15.59</v>
      </c>
      <c r="M11" s="112">
        <v>85.15</v>
      </c>
      <c r="N11" s="112">
        <v>0</v>
      </c>
      <c r="O11" s="112">
        <v>0</v>
      </c>
      <c r="P11" s="112">
        <v>1.19</v>
      </c>
      <c r="Q11" s="112">
        <v>5.85</v>
      </c>
    </row>
    <row r="12" spans="1:21" customFormat="1">
      <c r="A12" s="80">
        <v>45277.041666666664</v>
      </c>
      <c r="B12" s="112">
        <v>34.01</v>
      </c>
      <c r="C12" s="112">
        <v>33.909999999999997</v>
      </c>
      <c r="D12" s="112">
        <v>46.34</v>
      </c>
      <c r="E12" s="112">
        <v>7.32</v>
      </c>
      <c r="F12" s="112">
        <v>2.68</v>
      </c>
      <c r="G12" s="112">
        <v>141.28</v>
      </c>
      <c r="H12" s="112">
        <v>54.75</v>
      </c>
      <c r="I12" s="112">
        <v>9.76</v>
      </c>
      <c r="J12" s="112">
        <v>0.11</v>
      </c>
      <c r="K12" s="112">
        <v>193.74</v>
      </c>
      <c r="L12" s="112">
        <v>15.22</v>
      </c>
      <c r="M12" s="112">
        <v>86.66</v>
      </c>
      <c r="N12" s="112">
        <v>0</v>
      </c>
      <c r="O12" s="112">
        <v>0</v>
      </c>
      <c r="P12" s="112">
        <v>1.21</v>
      </c>
      <c r="Q12" s="112">
        <v>5.89</v>
      </c>
    </row>
    <row r="13" spans="1:21" customFormat="1">
      <c r="A13" s="80">
        <v>45277.052083333336</v>
      </c>
      <c r="B13" s="112">
        <v>34.15</v>
      </c>
      <c r="C13" s="112">
        <v>34.950000000000003</v>
      </c>
      <c r="D13" s="112">
        <v>46.99</v>
      </c>
      <c r="E13" s="112">
        <v>7.21</v>
      </c>
      <c r="F13" s="112">
        <v>2.41</v>
      </c>
      <c r="G13" s="112">
        <v>144.12</v>
      </c>
      <c r="H13" s="112">
        <v>55.84</v>
      </c>
      <c r="I13" s="112">
        <v>10.029999999999999</v>
      </c>
      <c r="J13" s="112">
        <v>0.12</v>
      </c>
      <c r="K13" s="112">
        <v>153.77000000000001</v>
      </c>
      <c r="L13" s="112">
        <v>15.03</v>
      </c>
      <c r="M13" s="112">
        <v>87.37</v>
      </c>
      <c r="N13" s="112">
        <v>0</v>
      </c>
      <c r="O13" s="112">
        <v>0</v>
      </c>
      <c r="P13" s="112">
        <v>1.24</v>
      </c>
      <c r="Q13" s="112">
        <v>5.9</v>
      </c>
    </row>
    <row r="14" spans="1:21" customFormat="1">
      <c r="A14" s="80">
        <v>45277.0625</v>
      </c>
      <c r="B14" s="112">
        <v>34.159999999999997</v>
      </c>
      <c r="C14" s="112">
        <v>34.200000000000003</v>
      </c>
      <c r="D14" s="112">
        <v>46.61</v>
      </c>
      <c r="E14" s="112">
        <v>7.36</v>
      </c>
      <c r="F14" s="112">
        <v>2.54</v>
      </c>
      <c r="G14" s="112">
        <v>144.12</v>
      </c>
      <c r="H14" s="112">
        <v>55.84</v>
      </c>
      <c r="I14" s="112">
        <v>10.31</v>
      </c>
      <c r="J14" s="112">
        <v>0.17</v>
      </c>
      <c r="K14" s="112">
        <v>151.07</v>
      </c>
      <c r="L14" s="112">
        <v>15.02</v>
      </c>
      <c r="M14" s="112">
        <v>87.01</v>
      </c>
      <c r="N14" s="112">
        <v>0</v>
      </c>
      <c r="O14" s="112">
        <v>0</v>
      </c>
      <c r="P14" s="112">
        <v>1.29</v>
      </c>
      <c r="Q14" s="112">
        <v>5.87</v>
      </c>
    </row>
    <row r="15" spans="1:21" customFormat="1">
      <c r="A15" s="80">
        <v>45277.072916666664</v>
      </c>
      <c r="B15" s="112">
        <v>33.94</v>
      </c>
      <c r="C15" s="112">
        <v>34.07</v>
      </c>
      <c r="D15" s="112">
        <v>46.37</v>
      </c>
      <c r="E15" s="112">
        <v>7.09</v>
      </c>
      <c r="F15" s="112">
        <v>2.67</v>
      </c>
      <c r="G15" s="112">
        <v>144.12</v>
      </c>
      <c r="H15" s="112">
        <v>55.84</v>
      </c>
      <c r="I15" s="112">
        <v>10.63</v>
      </c>
      <c r="J15" s="112">
        <v>7.0000000000000007E-2</v>
      </c>
      <c r="K15" s="112">
        <v>7.74</v>
      </c>
      <c r="L15" s="112">
        <v>14.98</v>
      </c>
      <c r="M15" s="112">
        <v>87.44</v>
      </c>
      <c r="N15" s="112">
        <v>0</v>
      </c>
      <c r="O15" s="112">
        <v>0</v>
      </c>
      <c r="P15" s="112">
        <v>1.32</v>
      </c>
      <c r="Q15" s="112">
        <v>5.86</v>
      </c>
    </row>
    <row r="16" spans="1:21" customFormat="1">
      <c r="A16" s="80">
        <v>45277.083333333336</v>
      </c>
      <c r="B16" s="112">
        <v>35.380000000000003</v>
      </c>
      <c r="C16" s="112">
        <v>34.46</v>
      </c>
      <c r="D16" s="112">
        <v>47.73</v>
      </c>
      <c r="E16" s="112">
        <v>7.66</v>
      </c>
      <c r="F16" s="112">
        <v>2.79</v>
      </c>
      <c r="G16" s="112">
        <v>143.74</v>
      </c>
      <c r="H16" s="112">
        <v>56.86</v>
      </c>
      <c r="I16" s="112">
        <v>10.99</v>
      </c>
      <c r="J16" s="112">
        <v>0.15</v>
      </c>
      <c r="K16" s="112">
        <v>59.14</v>
      </c>
      <c r="L16" s="112">
        <v>15.29</v>
      </c>
      <c r="M16" s="112">
        <v>77.72</v>
      </c>
      <c r="N16" s="112">
        <v>0</v>
      </c>
      <c r="O16" s="112">
        <v>0</v>
      </c>
      <c r="P16" s="112">
        <v>1.37</v>
      </c>
      <c r="Q16" s="112">
        <v>5.89</v>
      </c>
    </row>
    <row r="17" spans="1:17" customFormat="1">
      <c r="A17" s="80">
        <v>45277.09375</v>
      </c>
      <c r="B17" s="112">
        <v>37.44</v>
      </c>
      <c r="C17" s="112">
        <v>34.94</v>
      </c>
      <c r="D17" s="112">
        <v>49.63</v>
      </c>
      <c r="E17" s="112">
        <v>6.05</v>
      </c>
      <c r="F17" s="112">
        <v>2.5499999999999998</v>
      </c>
      <c r="G17" s="112">
        <v>143.35</v>
      </c>
      <c r="H17" s="112">
        <v>58.03</v>
      </c>
      <c r="I17" s="112">
        <v>11.4</v>
      </c>
      <c r="J17" s="112">
        <v>0.13</v>
      </c>
      <c r="K17" s="112">
        <v>151.05000000000001</v>
      </c>
      <c r="L17" s="112">
        <v>15.47</v>
      </c>
      <c r="M17" s="112">
        <v>77.77</v>
      </c>
      <c r="N17" s="112">
        <v>0</v>
      </c>
      <c r="O17" s="112">
        <v>0</v>
      </c>
      <c r="P17" s="112">
        <v>1.42</v>
      </c>
      <c r="Q17" s="112">
        <v>5.94</v>
      </c>
    </row>
    <row r="18" spans="1:17" customFormat="1">
      <c r="A18" s="80">
        <v>45277.104166666664</v>
      </c>
      <c r="B18" s="112">
        <v>38.69</v>
      </c>
      <c r="C18" s="112">
        <v>34.97</v>
      </c>
      <c r="D18" s="112">
        <v>50.65</v>
      </c>
      <c r="E18" s="112">
        <v>6.81</v>
      </c>
      <c r="F18" s="112">
        <v>2.5099999999999998</v>
      </c>
      <c r="G18" s="112">
        <v>143.35</v>
      </c>
      <c r="H18" s="112">
        <v>58.03</v>
      </c>
      <c r="I18" s="112">
        <v>11.83</v>
      </c>
      <c r="J18" s="112">
        <v>0.11</v>
      </c>
      <c r="K18" s="112">
        <v>180.33</v>
      </c>
      <c r="L18" s="112">
        <v>14.96</v>
      </c>
      <c r="M18" s="112">
        <v>83.95</v>
      </c>
      <c r="N18" s="112">
        <v>0</v>
      </c>
      <c r="O18" s="112">
        <v>0</v>
      </c>
      <c r="P18" s="112">
        <v>1.46</v>
      </c>
      <c r="Q18" s="112">
        <v>5.96</v>
      </c>
    </row>
    <row r="19" spans="1:17" customFormat="1">
      <c r="A19" s="80">
        <v>45277.114583333336</v>
      </c>
      <c r="B19" s="112">
        <v>38.92</v>
      </c>
      <c r="C19" s="112">
        <v>35.06</v>
      </c>
      <c r="D19" s="112">
        <v>50.88</v>
      </c>
      <c r="E19" s="112">
        <v>6.98</v>
      </c>
      <c r="F19" s="112">
        <v>2.4900000000000002</v>
      </c>
      <c r="G19" s="112">
        <v>143.35</v>
      </c>
      <c r="H19" s="112">
        <v>58.03</v>
      </c>
      <c r="I19" s="112">
        <v>12.26</v>
      </c>
      <c r="J19" s="112">
        <v>0.18</v>
      </c>
      <c r="K19" s="112">
        <v>234.4</v>
      </c>
      <c r="L19" s="112">
        <v>14.57</v>
      </c>
      <c r="M19" s="112">
        <v>88.42</v>
      </c>
      <c r="N19" s="112">
        <v>0</v>
      </c>
      <c r="O19" s="112">
        <v>0</v>
      </c>
      <c r="P19" s="112">
        <v>1.51</v>
      </c>
      <c r="Q19" s="112">
        <v>5.99</v>
      </c>
    </row>
    <row r="20" spans="1:17" customFormat="1">
      <c r="A20" s="80">
        <v>45277.125</v>
      </c>
      <c r="B20" s="112">
        <v>38.36</v>
      </c>
      <c r="C20" s="112">
        <v>34.659999999999997</v>
      </c>
      <c r="D20" s="112">
        <v>50.22</v>
      </c>
      <c r="E20" s="112">
        <v>7.05</v>
      </c>
      <c r="F20" s="112">
        <v>2.63</v>
      </c>
      <c r="G20" s="112">
        <v>153.63</v>
      </c>
      <c r="H20" s="112">
        <v>65.83</v>
      </c>
      <c r="I20" s="112">
        <v>12.7</v>
      </c>
      <c r="J20" s="112">
        <v>0.17</v>
      </c>
      <c r="K20" s="112">
        <v>235.87</v>
      </c>
      <c r="L20" s="112">
        <v>14.15</v>
      </c>
      <c r="M20" s="112">
        <v>89.89</v>
      </c>
      <c r="N20" s="112">
        <v>0</v>
      </c>
      <c r="O20" s="112">
        <v>0</v>
      </c>
      <c r="P20" s="112">
        <v>1.53</v>
      </c>
      <c r="Q20" s="112">
        <v>5.97</v>
      </c>
    </row>
    <row r="21" spans="1:17" customFormat="1">
      <c r="A21" s="80">
        <v>45277.135416666664</v>
      </c>
      <c r="B21" s="112">
        <v>37.369999999999997</v>
      </c>
      <c r="C21" s="112">
        <v>34.29</v>
      </c>
      <c r="D21" s="112">
        <v>49.24</v>
      </c>
      <c r="E21" s="112">
        <v>6.74</v>
      </c>
      <c r="F21" s="112">
        <v>2.63</v>
      </c>
      <c r="G21" s="112">
        <v>164.38</v>
      </c>
      <c r="H21" s="112">
        <v>69.900000000000006</v>
      </c>
      <c r="I21" s="112">
        <v>13.03</v>
      </c>
      <c r="J21" s="112">
        <v>0.09</v>
      </c>
      <c r="K21" s="112">
        <v>216.13</v>
      </c>
      <c r="L21" s="112">
        <v>13.99</v>
      </c>
      <c r="M21" s="112">
        <v>91.88</v>
      </c>
      <c r="N21" s="112">
        <v>0</v>
      </c>
      <c r="O21" s="112">
        <v>0</v>
      </c>
      <c r="P21" s="112">
        <v>1.55</v>
      </c>
      <c r="Q21" s="112">
        <v>5.95</v>
      </c>
    </row>
    <row r="22" spans="1:17" customFormat="1">
      <c r="A22" s="80">
        <v>45277.145833333336</v>
      </c>
      <c r="B22" s="112">
        <v>36.47</v>
      </c>
      <c r="C22" s="112">
        <v>33.659999999999997</v>
      </c>
      <c r="D22" s="112">
        <v>48.18</v>
      </c>
      <c r="E22" s="112">
        <v>6.75</v>
      </c>
      <c r="F22" s="112">
        <v>2.56</v>
      </c>
      <c r="G22" s="112">
        <v>164.38</v>
      </c>
      <c r="H22" s="112">
        <v>69.900000000000006</v>
      </c>
      <c r="I22" s="112">
        <v>13.31</v>
      </c>
      <c r="J22" s="112">
        <v>7.0000000000000007E-2</v>
      </c>
      <c r="K22" s="112">
        <v>194.04</v>
      </c>
      <c r="L22" s="112">
        <v>13.78</v>
      </c>
      <c r="M22" s="112">
        <v>93.03</v>
      </c>
      <c r="N22" s="112">
        <v>0</v>
      </c>
      <c r="O22" s="112">
        <v>0</v>
      </c>
      <c r="P22" s="112">
        <v>1.56</v>
      </c>
      <c r="Q22" s="112">
        <v>5.91</v>
      </c>
    </row>
    <row r="23" spans="1:17" customFormat="1">
      <c r="A23" s="80">
        <v>45277.15625</v>
      </c>
      <c r="B23" s="112">
        <v>35.549999999999997</v>
      </c>
      <c r="C23" s="112">
        <v>33.24</v>
      </c>
      <c r="D23" s="112">
        <v>47.22</v>
      </c>
      <c r="E23" s="112">
        <v>7.01</v>
      </c>
      <c r="F23" s="112">
        <v>2.5499999999999998</v>
      </c>
      <c r="G23" s="112">
        <v>164.38</v>
      </c>
      <c r="H23" s="112">
        <v>69.900000000000006</v>
      </c>
      <c r="I23" s="112">
        <v>13.51</v>
      </c>
      <c r="J23" s="112">
        <v>0.06</v>
      </c>
      <c r="K23" s="112">
        <v>172.61</v>
      </c>
      <c r="L23" s="112">
        <v>13.7</v>
      </c>
      <c r="M23" s="112">
        <v>93.51</v>
      </c>
      <c r="N23" s="112">
        <v>0</v>
      </c>
      <c r="O23" s="112">
        <v>0</v>
      </c>
      <c r="P23" s="112">
        <v>1.57</v>
      </c>
      <c r="Q23" s="112">
        <v>5.87</v>
      </c>
    </row>
    <row r="24" spans="1:17" customFormat="1">
      <c r="A24" s="80">
        <v>45277.166666666664</v>
      </c>
      <c r="B24" s="112">
        <v>35.049999999999997</v>
      </c>
      <c r="C24" s="112">
        <v>32.590000000000003</v>
      </c>
      <c r="D24" s="112">
        <v>46.49</v>
      </c>
      <c r="E24" s="112">
        <v>6.82</v>
      </c>
      <c r="F24" s="112">
        <v>2.81</v>
      </c>
      <c r="G24" s="112">
        <v>163.75</v>
      </c>
      <c r="H24" s="112">
        <v>69.41</v>
      </c>
      <c r="I24" s="112">
        <v>13.7</v>
      </c>
      <c r="J24" s="112">
        <v>0.04</v>
      </c>
      <c r="K24" s="112">
        <v>124.94</v>
      </c>
      <c r="L24" s="112">
        <v>13.58</v>
      </c>
      <c r="M24" s="112">
        <v>91.96</v>
      </c>
      <c r="N24" s="112">
        <v>0</v>
      </c>
      <c r="O24" s="112">
        <v>0</v>
      </c>
      <c r="P24" s="112">
        <v>1.58</v>
      </c>
      <c r="Q24" s="112">
        <v>5.84</v>
      </c>
    </row>
    <row r="25" spans="1:17" customFormat="1">
      <c r="A25" s="80">
        <v>45277.177083333336</v>
      </c>
      <c r="B25" s="112">
        <v>38.03</v>
      </c>
      <c r="C25" s="112">
        <v>32.75</v>
      </c>
      <c r="D25" s="112">
        <v>48.96</v>
      </c>
      <c r="E25" s="112">
        <v>7.09</v>
      </c>
      <c r="F25" s="112">
        <v>2.64</v>
      </c>
      <c r="G25" s="112">
        <v>163.1</v>
      </c>
      <c r="H25" s="112">
        <v>69.16</v>
      </c>
      <c r="I25" s="112">
        <v>13.87</v>
      </c>
      <c r="J25" s="112">
        <v>0.1</v>
      </c>
      <c r="K25" s="112">
        <v>99.54</v>
      </c>
      <c r="L25" s="112">
        <v>13.63</v>
      </c>
      <c r="M25" s="112">
        <v>90.42</v>
      </c>
      <c r="N25" s="112">
        <v>0</v>
      </c>
      <c r="O25" s="112">
        <v>0</v>
      </c>
      <c r="P25" s="112">
        <v>1.59</v>
      </c>
      <c r="Q25" s="112">
        <v>5.91</v>
      </c>
    </row>
    <row r="26" spans="1:17" customFormat="1">
      <c r="A26" s="80">
        <v>45277.1875</v>
      </c>
      <c r="B26" s="112">
        <v>42.4</v>
      </c>
      <c r="C26" s="112">
        <v>32.590000000000003</v>
      </c>
      <c r="D26" s="112">
        <v>52.38</v>
      </c>
      <c r="E26" s="112">
        <v>6.83</v>
      </c>
      <c r="F26" s="112">
        <v>2.64</v>
      </c>
      <c r="G26" s="112">
        <v>163.1</v>
      </c>
      <c r="H26" s="112">
        <v>69.16</v>
      </c>
      <c r="I26" s="112">
        <v>14.03</v>
      </c>
      <c r="J26" s="112">
        <v>0.13</v>
      </c>
      <c r="K26" s="112">
        <v>54.5</v>
      </c>
      <c r="L26" s="112">
        <v>13.78</v>
      </c>
      <c r="M26" s="112">
        <v>87.29</v>
      </c>
      <c r="N26" s="112">
        <v>0</v>
      </c>
      <c r="O26" s="112">
        <v>0</v>
      </c>
      <c r="P26" s="112">
        <v>1.6</v>
      </c>
      <c r="Q26" s="112">
        <v>6</v>
      </c>
    </row>
    <row r="27" spans="1:17" customFormat="1">
      <c r="A27" s="80">
        <v>45277.197916666664</v>
      </c>
      <c r="B27" s="112">
        <v>45.33</v>
      </c>
      <c r="C27" s="112">
        <v>32.549999999999997</v>
      </c>
      <c r="D27" s="112">
        <v>54.71</v>
      </c>
      <c r="E27" s="112">
        <v>6.77</v>
      </c>
      <c r="F27" s="112">
        <v>2.57</v>
      </c>
      <c r="G27" s="112">
        <v>163.1</v>
      </c>
      <c r="H27" s="112">
        <v>69.16</v>
      </c>
      <c r="I27" s="112">
        <v>14.2</v>
      </c>
      <c r="J27" s="112">
        <v>0.25</v>
      </c>
      <c r="K27" s="112">
        <v>37.03</v>
      </c>
      <c r="L27" s="112">
        <v>14.03</v>
      </c>
      <c r="M27" s="112">
        <v>83.81</v>
      </c>
      <c r="N27" s="112">
        <v>0</v>
      </c>
      <c r="O27" s="112">
        <v>0</v>
      </c>
      <c r="P27" s="112">
        <v>1.6</v>
      </c>
      <c r="Q27" s="112">
        <v>6.03</v>
      </c>
    </row>
    <row r="28" spans="1:17" customFormat="1">
      <c r="A28" s="80">
        <v>45277.208333333336</v>
      </c>
      <c r="B28" s="112">
        <v>46.27</v>
      </c>
      <c r="C28" s="112">
        <v>32.82</v>
      </c>
      <c r="D28" s="112">
        <v>55.6</v>
      </c>
      <c r="E28" s="112">
        <v>6.39</v>
      </c>
      <c r="F28" s="112">
        <v>2.63</v>
      </c>
      <c r="G28" s="112">
        <v>163.09</v>
      </c>
      <c r="H28" s="112">
        <v>70.87</v>
      </c>
      <c r="I28" s="112">
        <v>14.32</v>
      </c>
      <c r="J28" s="112">
        <v>0.23</v>
      </c>
      <c r="K28" s="112">
        <v>62.96</v>
      </c>
      <c r="L28" s="112">
        <v>14.16</v>
      </c>
      <c r="M28" s="112">
        <v>82.11</v>
      </c>
      <c r="N28" s="112">
        <v>0</v>
      </c>
      <c r="O28" s="112">
        <v>0</v>
      </c>
      <c r="P28" s="112">
        <v>1.57</v>
      </c>
      <c r="Q28" s="112">
        <v>6.09</v>
      </c>
    </row>
    <row r="29" spans="1:17" customFormat="1">
      <c r="A29" s="80">
        <v>45277.21875</v>
      </c>
      <c r="B29" s="112">
        <v>46.05</v>
      </c>
      <c r="C29" s="112">
        <v>32.99</v>
      </c>
      <c r="D29" s="112">
        <v>55.51</v>
      </c>
      <c r="E29" s="112">
        <v>6.93</v>
      </c>
      <c r="F29" s="112">
        <v>2.7</v>
      </c>
      <c r="G29" s="112">
        <v>163.08000000000001</v>
      </c>
      <c r="H29" s="112">
        <v>71.77</v>
      </c>
      <c r="I29" s="112">
        <v>14.29</v>
      </c>
      <c r="J29" s="112">
        <v>7.0000000000000007E-2</v>
      </c>
      <c r="K29" s="112">
        <v>135.91999999999999</v>
      </c>
      <c r="L29" s="112">
        <v>14.01</v>
      </c>
      <c r="M29" s="112">
        <v>84.25</v>
      </c>
      <c r="N29" s="112">
        <v>0</v>
      </c>
      <c r="O29" s="112">
        <v>0</v>
      </c>
      <c r="P29" s="112">
        <v>1.55</v>
      </c>
      <c r="Q29" s="112">
        <v>6.08</v>
      </c>
    </row>
    <row r="30" spans="1:17" customFormat="1">
      <c r="A30" s="80">
        <v>45277.229166666664</v>
      </c>
      <c r="B30" s="112">
        <v>45.75</v>
      </c>
      <c r="C30" s="112">
        <v>33.04</v>
      </c>
      <c r="D30" s="112">
        <v>55.31</v>
      </c>
      <c r="E30" s="112">
        <v>6.8</v>
      </c>
      <c r="F30" s="112">
        <v>2.5499999999999998</v>
      </c>
      <c r="G30" s="112">
        <v>163.08000000000001</v>
      </c>
      <c r="H30" s="112">
        <v>71.77</v>
      </c>
      <c r="I30" s="112">
        <v>14.14</v>
      </c>
      <c r="J30" s="112">
        <v>7.0000000000000007E-2</v>
      </c>
      <c r="K30" s="112">
        <v>15.44</v>
      </c>
      <c r="L30" s="112">
        <v>13.73</v>
      </c>
      <c r="M30" s="112">
        <v>86.27</v>
      </c>
      <c r="N30" s="112">
        <v>0</v>
      </c>
      <c r="O30" s="112">
        <v>0</v>
      </c>
      <c r="P30" s="112">
        <v>1.51</v>
      </c>
      <c r="Q30" s="112">
        <v>6.08</v>
      </c>
    </row>
    <row r="31" spans="1:17" customFormat="1">
      <c r="A31" s="80">
        <v>45277.239583333336</v>
      </c>
      <c r="B31" s="112">
        <v>46.08</v>
      </c>
      <c r="C31" s="112">
        <v>33.520000000000003</v>
      </c>
      <c r="D31" s="112">
        <v>55.82</v>
      </c>
      <c r="E31" s="112">
        <v>6.5</v>
      </c>
      <c r="F31" s="112">
        <v>2.59</v>
      </c>
      <c r="G31" s="112">
        <v>163.08000000000001</v>
      </c>
      <c r="H31" s="112">
        <v>71.77</v>
      </c>
      <c r="I31" s="112">
        <v>13.86</v>
      </c>
      <c r="J31" s="112">
        <v>0.1</v>
      </c>
      <c r="K31" s="112">
        <v>42.53</v>
      </c>
      <c r="L31" s="112">
        <v>13.66</v>
      </c>
      <c r="M31" s="112">
        <v>85.39</v>
      </c>
      <c r="N31" s="112">
        <v>0</v>
      </c>
      <c r="O31" s="112">
        <v>0</v>
      </c>
      <c r="P31" s="112">
        <v>1.48</v>
      </c>
      <c r="Q31" s="112">
        <v>6.08</v>
      </c>
    </row>
    <row r="32" spans="1:17" customFormat="1">
      <c r="A32" s="80">
        <v>45277.25</v>
      </c>
      <c r="B32" s="112">
        <v>46.7</v>
      </c>
      <c r="C32" s="112">
        <v>33.53</v>
      </c>
      <c r="D32" s="112">
        <v>56.32</v>
      </c>
      <c r="E32" s="112">
        <v>6.48</v>
      </c>
      <c r="F32" s="112">
        <v>2.57</v>
      </c>
      <c r="G32" s="112">
        <v>155.77000000000001</v>
      </c>
      <c r="H32" s="112">
        <v>69.34</v>
      </c>
      <c r="I32" s="112">
        <v>13.56</v>
      </c>
      <c r="J32" s="112">
        <v>0.09</v>
      </c>
      <c r="K32" s="112">
        <v>47.74</v>
      </c>
      <c r="L32" s="112">
        <v>13.59</v>
      </c>
      <c r="M32" s="112">
        <v>86.28</v>
      </c>
      <c r="N32" s="112">
        <v>0</v>
      </c>
      <c r="O32" s="112">
        <v>0</v>
      </c>
      <c r="P32" s="112">
        <v>1.44</v>
      </c>
      <c r="Q32" s="112">
        <v>6.1</v>
      </c>
    </row>
    <row r="33" spans="1:17" customFormat="1">
      <c r="A33" s="80">
        <v>45277.260416666664</v>
      </c>
      <c r="B33" s="112">
        <v>47.46</v>
      </c>
      <c r="C33" s="112">
        <v>33.92</v>
      </c>
      <c r="D33" s="112">
        <v>57.13</v>
      </c>
      <c r="E33" s="112">
        <v>6.39</v>
      </c>
      <c r="F33" s="112">
        <v>2.54</v>
      </c>
      <c r="G33" s="112">
        <v>148.13</v>
      </c>
      <c r="H33" s="112">
        <v>68.040000000000006</v>
      </c>
      <c r="I33" s="112">
        <v>13.25</v>
      </c>
      <c r="J33" s="112">
        <v>7.0000000000000007E-2</v>
      </c>
      <c r="K33" s="112">
        <v>79.23</v>
      </c>
      <c r="L33" s="112">
        <v>13.63</v>
      </c>
      <c r="M33" s="112">
        <v>86.11</v>
      </c>
      <c r="N33" s="112">
        <v>0</v>
      </c>
      <c r="O33" s="112">
        <v>0</v>
      </c>
      <c r="P33" s="112">
        <v>1.41</v>
      </c>
      <c r="Q33" s="112">
        <v>6.12</v>
      </c>
    </row>
    <row r="34" spans="1:17" customFormat="1">
      <c r="A34" s="80">
        <v>45277.270833333336</v>
      </c>
      <c r="B34" s="112">
        <v>47.71</v>
      </c>
      <c r="C34" s="112">
        <v>33.119999999999997</v>
      </c>
      <c r="D34" s="112">
        <v>56.92</v>
      </c>
      <c r="E34" s="112">
        <v>6.61</v>
      </c>
      <c r="F34" s="112">
        <v>2.58</v>
      </c>
      <c r="G34" s="112">
        <v>148.13</v>
      </c>
      <c r="H34" s="112">
        <v>68.040000000000006</v>
      </c>
      <c r="I34" s="112">
        <v>12.95</v>
      </c>
      <c r="J34" s="112">
        <v>0.15</v>
      </c>
      <c r="K34" s="112">
        <v>184.88</v>
      </c>
      <c r="L34" s="112">
        <v>13.39</v>
      </c>
      <c r="M34" s="112">
        <v>89.67</v>
      </c>
      <c r="N34" s="112">
        <v>0</v>
      </c>
      <c r="O34" s="112">
        <v>0</v>
      </c>
      <c r="P34" s="112">
        <v>1.38</v>
      </c>
      <c r="Q34" s="112">
        <v>6.07</v>
      </c>
    </row>
    <row r="35" spans="1:17" customFormat="1">
      <c r="A35" s="80">
        <v>45277.28125</v>
      </c>
      <c r="B35" s="112">
        <v>46.54</v>
      </c>
      <c r="C35" s="112">
        <v>31.16</v>
      </c>
      <c r="D35" s="112">
        <v>54.95</v>
      </c>
      <c r="E35" s="112">
        <v>6.27</v>
      </c>
      <c r="F35" s="112">
        <v>2.83</v>
      </c>
      <c r="G35" s="112">
        <v>148.13</v>
      </c>
      <c r="H35" s="112">
        <v>68.040000000000006</v>
      </c>
      <c r="I35" s="112">
        <v>12.72</v>
      </c>
      <c r="J35" s="112">
        <v>7.0000000000000007E-2</v>
      </c>
      <c r="K35" s="112">
        <v>212.07</v>
      </c>
      <c r="L35" s="112">
        <v>13.26</v>
      </c>
      <c r="M35" s="112">
        <v>93.07</v>
      </c>
      <c r="N35" s="112">
        <v>0.4</v>
      </c>
      <c r="O35" s="112">
        <v>0</v>
      </c>
      <c r="P35" s="112">
        <v>1.35</v>
      </c>
      <c r="Q35" s="112">
        <v>6.05</v>
      </c>
    </row>
    <row r="36" spans="1:17" customFormat="1">
      <c r="A36" s="80">
        <v>45277.291666666664</v>
      </c>
      <c r="B36" s="112">
        <v>45.66</v>
      </c>
      <c r="C36" s="112">
        <v>29.97</v>
      </c>
      <c r="D36" s="112">
        <v>53.63</v>
      </c>
      <c r="E36" s="112">
        <v>5.87</v>
      </c>
      <c r="F36" s="112">
        <v>2.77</v>
      </c>
      <c r="G36" s="112">
        <v>135.86000000000001</v>
      </c>
      <c r="H36" s="112">
        <v>62.46</v>
      </c>
      <c r="I36" s="112">
        <v>12.5</v>
      </c>
      <c r="J36" s="112">
        <v>0.13</v>
      </c>
      <c r="K36" s="112">
        <v>148.13</v>
      </c>
      <c r="L36" s="112">
        <v>13.25</v>
      </c>
      <c r="M36" s="112">
        <v>93.47</v>
      </c>
      <c r="N36" s="112">
        <v>7.4</v>
      </c>
      <c r="O36" s="112">
        <v>0</v>
      </c>
      <c r="P36" s="112">
        <v>1.32</v>
      </c>
      <c r="Q36" s="112">
        <v>6.02</v>
      </c>
    </row>
    <row r="37" spans="1:17" customFormat="1">
      <c r="A37" s="80">
        <v>45277.302083333336</v>
      </c>
      <c r="B37" s="112">
        <v>46.29</v>
      </c>
      <c r="C37" s="112">
        <v>30.98</v>
      </c>
      <c r="D37" s="112">
        <v>54.65</v>
      </c>
      <c r="E37" s="112">
        <v>6.09</v>
      </c>
      <c r="F37" s="112">
        <v>2.5</v>
      </c>
      <c r="G37" s="112">
        <v>123.04</v>
      </c>
      <c r="H37" s="112">
        <v>59.55</v>
      </c>
      <c r="I37" s="112">
        <v>12.33</v>
      </c>
      <c r="J37" s="112">
        <v>0.14000000000000001</v>
      </c>
      <c r="K37" s="112">
        <v>61.71</v>
      </c>
      <c r="L37" s="112">
        <v>13.7</v>
      </c>
      <c r="M37" s="112">
        <v>86.9</v>
      </c>
      <c r="N37" s="112">
        <v>17.899999999999999</v>
      </c>
      <c r="O37" s="112">
        <v>0</v>
      </c>
      <c r="P37" s="112">
        <v>1.31</v>
      </c>
      <c r="Q37" s="112">
        <v>6.02</v>
      </c>
    </row>
    <row r="38" spans="1:17" customFormat="1">
      <c r="A38" s="80">
        <v>45277.3125</v>
      </c>
      <c r="B38" s="112">
        <v>46.75</v>
      </c>
      <c r="C38" s="112">
        <v>32</v>
      </c>
      <c r="D38" s="112">
        <v>55.56</v>
      </c>
      <c r="E38" s="112">
        <v>6.11</v>
      </c>
      <c r="F38" s="112">
        <v>2.4900000000000002</v>
      </c>
      <c r="G38" s="112">
        <v>123.04</v>
      </c>
      <c r="H38" s="112">
        <v>59.55</v>
      </c>
      <c r="I38" s="112">
        <v>12.18</v>
      </c>
      <c r="J38" s="112">
        <v>0.25</v>
      </c>
      <c r="K38" s="112">
        <v>54.29</v>
      </c>
      <c r="L38" s="112">
        <v>14.46</v>
      </c>
      <c r="M38" s="112">
        <v>78.48</v>
      </c>
      <c r="N38" s="112">
        <v>30.8</v>
      </c>
      <c r="O38" s="112">
        <v>0</v>
      </c>
      <c r="P38" s="112">
        <v>1.32</v>
      </c>
      <c r="Q38" s="112">
        <v>6.05</v>
      </c>
    </row>
    <row r="39" spans="1:17" customFormat="1">
      <c r="A39" s="80">
        <v>45277.322916666664</v>
      </c>
      <c r="B39" s="112">
        <v>46.68</v>
      </c>
      <c r="C39" s="112">
        <v>33.520000000000003</v>
      </c>
      <c r="D39" s="112">
        <v>56.3</v>
      </c>
      <c r="E39" s="112">
        <v>6.56</v>
      </c>
      <c r="F39" s="112">
        <v>2.44</v>
      </c>
      <c r="G39" s="112">
        <v>123.04</v>
      </c>
      <c r="H39" s="112">
        <v>59.55</v>
      </c>
      <c r="I39" s="112">
        <v>12.08</v>
      </c>
      <c r="J39" s="112">
        <v>0.36</v>
      </c>
      <c r="K39" s="112">
        <v>48.1</v>
      </c>
      <c r="L39" s="112">
        <v>14.99</v>
      </c>
      <c r="M39" s="112">
        <v>75.63</v>
      </c>
      <c r="N39" s="112">
        <v>45.5</v>
      </c>
      <c r="O39" s="112">
        <v>0</v>
      </c>
      <c r="P39" s="112">
        <v>1.31</v>
      </c>
      <c r="Q39" s="112">
        <v>6.06</v>
      </c>
    </row>
    <row r="40" spans="1:17" customFormat="1">
      <c r="A40" s="80">
        <v>45277.333333333336</v>
      </c>
      <c r="B40" s="112">
        <v>46.27</v>
      </c>
      <c r="C40" s="112">
        <v>34.630000000000003</v>
      </c>
      <c r="D40" s="112">
        <v>56.55</v>
      </c>
      <c r="E40" s="112">
        <v>6.18</v>
      </c>
      <c r="F40" s="112">
        <v>2.57</v>
      </c>
      <c r="G40" s="112">
        <v>123.68</v>
      </c>
      <c r="H40" s="112">
        <v>59.66</v>
      </c>
      <c r="I40" s="112">
        <v>12.01</v>
      </c>
      <c r="J40" s="112">
        <v>0.41</v>
      </c>
      <c r="K40" s="112">
        <v>40.65</v>
      </c>
      <c r="L40" s="112">
        <v>15.41</v>
      </c>
      <c r="M40" s="112">
        <v>74.19</v>
      </c>
      <c r="N40" s="112">
        <v>74.2</v>
      </c>
      <c r="O40" s="112">
        <v>0</v>
      </c>
      <c r="P40" s="112">
        <v>1.3</v>
      </c>
      <c r="Q40" s="112">
        <v>6.08</v>
      </c>
    </row>
    <row r="41" spans="1:17" customFormat="1">
      <c r="A41" s="80">
        <v>45277.34375</v>
      </c>
      <c r="B41" s="112">
        <v>45.61</v>
      </c>
      <c r="C41" s="112">
        <v>34.54</v>
      </c>
      <c r="D41" s="112">
        <v>55.97</v>
      </c>
      <c r="E41" s="112">
        <v>6.63</v>
      </c>
      <c r="F41" s="112">
        <v>2.63</v>
      </c>
      <c r="G41" s="112">
        <v>124.36</v>
      </c>
      <c r="H41" s="112">
        <v>59.79</v>
      </c>
      <c r="I41" s="112">
        <v>11.93</v>
      </c>
      <c r="J41" s="112">
        <v>0.37</v>
      </c>
      <c r="K41" s="112">
        <v>57.23</v>
      </c>
      <c r="L41" s="112">
        <v>16.07</v>
      </c>
      <c r="M41" s="112">
        <v>72.11</v>
      </c>
      <c r="N41" s="112">
        <v>137.5</v>
      </c>
      <c r="O41" s="112">
        <v>0</v>
      </c>
      <c r="P41" s="112">
        <v>1.28</v>
      </c>
      <c r="Q41" s="112">
        <v>6.04</v>
      </c>
    </row>
    <row r="42" spans="1:17" customFormat="1">
      <c r="A42" s="80">
        <v>45277.354166666664</v>
      </c>
      <c r="B42" s="112">
        <v>44.27</v>
      </c>
      <c r="C42" s="112">
        <v>34.08</v>
      </c>
      <c r="D42" s="112">
        <v>54.65</v>
      </c>
      <c r="E42" s="112">
        <v>6.89</v>
      </c>
      <c r="F42" s="112">
        <v>2.58</v>
      </c>
      <c r="G42" s="112">
        <v>124.36</v>
      </c>
      <c r="H42" s="112">
        <v>59.79</v>
      </c>
      <c r="I42" s="112">
        <v>11.85</v>
      </c>
      <c r="J42" s="112">
        <v>0.41</v>
      </c>
      <c r="K42" s="112">
        <v>52.08</v>
      </c>
      <c r="L42" s="112">
        <v>16.899999999999999</v>
      </c>
      <c r="M42" s="112">
        <v>68.239999999999995</v>
      </c>
      <c r="N42" s="112">
        <v>175</v>
      </c>
      <c r="O42" s="112">
        <v>0</v>
      </c>
      <c r="P42" s="112">
        <v>1.26</v>
      </c>
      <c r="Q42" s="112">
        <v>6.02</v>
      </c>
    </row>
    <row r="43" spans="1:17" customFormat="1">
      <c r="A43" s="80">
        <v>45277.364583333336</v>
      </c>
      <c r="B43" s="112">
        <v>42.47</v>
      </c>
      <c r="C43" s="112">
        <v>33.409999999999997</v>
      </c>
      <c r="D43" s="112">
        <v>52.86</v>
      </c>
      <c r="E43" s="112">
        <v>7.29</v>
      </c>
      <c r="F43" s="112">
        <v>2.7</v>
      </c>
      <c r="G43" s="112">
        <v>124.36</v>
      </c>
      <c r="H43" s="112">
        <v>59.79</v>
      </c>
      <c r="I43" s="112">
        <v>11.8</v>
      </c>
      <c r="J43" s="112">
        <v>0.34</v>
      </c>
      <c r="K43" s="112">
        <v>59.39</v>
      </c>
      <c r="L43" s="112">
        <v>17.690000000000001</v>
      </c>
      <c r="M43" s="112">
        <v>65.989999999999995</v>
      </c>
      <c r="N43" s="112">
        <v>210.8</v>
      </c>
      <c r="O43" s="112">
        <v>0</v>
      </c>
      <c r="P43" s="112">
        <v>1.25</v>
      </c>
      <c r="Q43" s="112">
        <v>5.99</v>
      </c>
    </row>
    <row r="44" spans="1:17" customFormat="1">
      <c r="A44" s="80">
        <v>45277.375</v>
      </c>
      <c r="B44" s="112">
        <v>40.6</v>
      </c>
      <c r="C44" s="112">
        <v>33.630000000000003</v>
      </c>
      <c r="D44" s="112">
        <v>51.48</v>
      </c>
      <c r="E44" s="112">
        <v>6.76</v>
      </c>
      <c r="F44" s="112">
        <v>2.66</v>
      </c>
      <c r="G44" s="112">
        <v>118.64</v>
      </c>
      <c r="H44" s="112">
        <v>53.64</v>
      </c>
      <c r="I44" s="112">
        <v>11.75</v>
      </c>
      <c r="J44" s="112">
        <v>0.42</v>
      </c>
      <c r="K44" s="112">
        <v>59.3</v>
      </c>
      <c r="L44" s="112">
        <v>18.66</v>
      </c>
      <c r="M44" s="112">
        <v>59.6</v>
      </c>
      <c r="N44" s="112">
        <v>192.6</v>
      </c>
      <c r="O44" s="112">
        <v>0</v>
      </c>
      <c r="P44" s="112">
        <v>1.24</v>
      </c>
      <c r="Q44" s="112">
        <v>5.92</v>
      </c>
    </row>
    <row r="45" spans="1:17" customFormat="1">
      <c r="A45" s="80">
        <v>45277.385416666664</v>
      </c>
      <c r="B45" s="112">
        <v>38.770000000000003</v>
      </c>
      <c r="C45" s="112">
        <v>32.71</v>
      </c>
      <c r="D45" s="112">
        <v>49.54</v>
      </c>
      <c r="E45" s="112">
        <v>6.81</v>
      </c>
      <c r="F45" s="112">
        <v>2.78</v>
      </c>
      <c r="G45" s="112">
        <v>112.65</v>
      </c>
      <c r="H45" s="112">
        <v>50.42</v>
      </c>
      <c r="I45" s="112">
        <v>11.65</v>
      </c>
      <c r="J45" s="112">
        <v>0.31</v>
      </c>
      <c r="K45" s="112">
        <v>58.09</v>
      </c>
      <c r="L45" s="112">
        <v>19.57</v>
      </c>
      <c r="M45" s="112">
        <v>56.78</v>
      </c>
      <c r="N45" s="112">
        <v>117.9</v>
      </c>
      <c r="O45" s="112">
        <v>0</v>
      </c>
      <c r="P45" s="112">
        <v>1.21</v>
      </c>
      <c r="Q45" s="112">
        <v>5.87</v>
      </c>
    </row>
    <row r="46" spans="1:17" customFormat="1">
      <c r="A46" s="80">
        <v>45277.395833333336</v>
      </c>
      <c r="B46" s="112">
        <v>36.71</v>
      </c>
      <c r="C46" s="112">
        <v>31.76</v>
      </c>
      <c r="D46" s="112">
        <v>47.39</v>
      </c>
      <c r="E46" s="112">
        <v>7.03</v>
      </c>
      <c r="F46" s="112">
        <v>2.83</v>
      </c>
      <c r="G46" s="112">
        <v>112.65</v>
      </c>
      <c r="H46" s="112">
        <v>50.42</v>
      </c>
      <c r="I46" s="112">
        <v>11.5</v>
      </c>
      <c r="J46" s="112">
        <v>0.26</v>
      </c>
      <c r="K46" s="112">
        <v>89.15</v>
      </c>
      <c r="L46" s="112">
        <v>20.76</v>
      </c>
      <c r="M46" s="112">
        <v>51.15</v>
      </c>
      <c r="N46" s="112">
        <v>119</v>
      </c>
      <c r="O46" s="112">
        <v>0</v>
      </c>
      <c r="P46" s="112">
        <v>1.19</v>
      </c>
      <c r="Q46" s="112">
        <v>5.82</v>
      </c>
    </row>
    <row r="47" spans="1:17" customFormat="1">
      <c r="A47" s="80">
        <v>45277.40625</v>
      </c>
      <c r="B47" s="112">
        <v>34.840000000000003</v>
      </c>
      <c r="C47" s="112">
        <v>30.95</v>
      </c>
      <c r="D47" s="112">
        <v>45.46</v>
      </c>
      <c r="E47" s="112">
        <v>6.61</v>
      </c>
      <c r="F47" s="112">
        <v>2.79</v>
      </c>
      <c r="G47" s="112">
        <v>112.65</v>
      </c>
      <c r="H47" s="112">
        <v>50.42</v>
      </c>
      <c r="I47" s="112">
        <v>11.34</v>
      </c>
      <c r="J47" s="112">
        <v>0.27</v>
      </c>
      <c r="K47" s="112">
        <v>112.78</v>
      </c>
      <c r="L47" s="112">
        <v>21.88</v>
      </c>
      <c r="M47" s="112">
        <v>49.37</v>
      </c>
      <c r="N47" s="112">
        <v>136</v>
      </c>
      <c r="O47" s="112">
        <v>0</v>
      </c>
      <c r="P47" s="112">
        <v>1.17</v>
      </c>
      <c r="Q47" s="112">
        <v>5.82</v>
      </c>
    </row>
    <row r="48" spans="1:17" customFormat="1">
      <c r="A48" s="80">
        <v>45277.416666666664</v>
      </c>
      <c r="B48" s="112">
        <v>33.32</v>
      </c>
      <c r="C48" s="112">
        <v>31.17</v>
      </c>
      <c r="D48" s="112">
        <v>44.36</v>
      </c>
      <c r="E48" s="112">
        <v>6.99</v>
      </c>
      <c r="F48" s="112">
        <v>2.7</v>
      </c>
      <c r="G48" s="112">
        <v>107.88</v>
      </c>
      <c r="H48" s="112">
        <v>47.04</v>
      </c>
      <c r="I48" s="112">
        <v>11.17</v>
      </c>
      <c r="J48" s="112">
        <v>0.26</v>
      </c>
      <c r="K48" s="112">
        <v>111.95</v>
      </c>
      <c r="L48" s="112">
        <v>22.71</v>
      </c>
      <c r="M48" s="112">
        <v>46.57</v>
      </c>
      <c r="N48" s="112">
        <v>256.39999999999998</v>
      </c>
      <c r="O48" s="112">
        <v>0</v>
      </c>
      <c r="P48" s="112">
        <v>1.1599999999999999</v>
      </c>
      <c r="Q48" s="112">
        <v>5.75</v>
      </c>
    </row>
    <row r="49" spans="1:17" customFormat="1">
      <c r="A49" s="80">
        <v>45277.427083333336</v>
      </c>
      <c r="B49" s="112">
        <v>31.76</v>
      </c>
      <c r="C49" s="112">
        <v>31.15</v>
      </c>
      <c r="D49" s="112">
        <v>43.09</v>
      </c>
      <c r="E49" s="112">
        <v>5.22</v>
      </c>
      <c r="F49" s="112">
        <v>2.58</v>
      </c>
      <c r="G49" s="112">
        <v>102.89</v>
      </c>
      <c r="H49" s="112">
        <v>45.23</v>
      </c>
      <c r="I49" s="112">
        <v>11.03</v>
      </c>
      <c r="J49" s="112">
        <v>0.26</v>
      </c>
      <c r="K49" s="112">
        <v>122.86</v>
      </c>
      <c r="L49" s="112">
        <v>23.73</v>
      </c>
      <c r="M49" s="112">
        <v>41.03</v>
      </c>
      <c r="N49" s="112">
        <v>436.1</v>
      </c>
      <c r="O49" s="112">
        <v>0</v>
      </c>
      <c r="P49" s="112">
        <v>1.1399999999999999</v>
      </c>
      <c r="Q49" s="112">
        <v>5.69</v>
      </c>
    </row>
    <row r="50" spans="1:17" customFormat="1">
      <c r="A50" s="80">
        <v>45277.4375</v>
      </c>
      <c r="B50" s="112">
        <v>30.07</v>
      </c>
      <c r="C50" s="112">
        <v>28.87</v>
      </c>
      <c r="D50" s="112">
        <v>40.549999999999997</v>
      </c>
      <c r="E50" s="112">
        <v>6.06</v>
      </c>
      <c r="F50" s="112">
        <v>2.83</v>
      </c>
      <c r="G50" s="112">
        <v>102.89</v>
      </c>
      <c r="H50" s="112">
        <v>45.23</v>
      </c>
      <c r="I50" s="112">
        <v>10.89</v>
      </c>
      <c r="J50" s="112">
        <v>0.43</v>
      </c>
      <c r="K50" s="112">
        <v>48.17</v>
      </c>
      <c r="L50" s="112">
        <v>24.12</v>
      </c>
      <c r="M50" s="112">
        <v>39.79</v>
      </c>
      <c r="N50" s="112">
        <v>469.8</v>
      </c>
      <c r="O50" s="112">
        <v>0</v>
      </c>
      <c r="P50" s="112">
        <v>1.1200000000000001</v>
      </c>
      <c r="Q50" s="112">
        <v>5.64</v>
      </c>
    </row>
    <row r="51" spans="1:17" customFormat="1">
      <c r="A51" s="80">
        <v>45277.447916666664</v>
      </c>
      <c r="B51" s="112">
        <v>28.73</v>
      </c>
      <c r="C51" s="112">
        <v>29.66</v>
      </c>
      <c r="D51" s="112">
        <v>39.89</v>
      </c>
      <c r="E51" s="112">
        <v>6.21</v>
      </c>
      <c r="F51" s="112">
        <v>2.79</v>
      </c>
      <c r="G51" s="112">
        <v>102.89</v>
      </c>
      <c r="H51" s="112">
        <v>45.23</v>
      </c>
      <c r="I51" s="112">
        <v>10.73</v>
      </c>
      <c r="J51" s="112">
        <v>0.47</v>
      </c>
      <c r="K51" s="112">
        <v>48.16</v>
      </c>
      <c r="L51" s="112">
        <v>24.6</v>
      </c>
      <c r="M51" s="112">
        <v>37.94</v>
      </c>
      <c r="N51" s="112">
        <v>491.8</v>
      </c>
      <c r="O51" s="112">
        <v>0</v>
      </c>
      <c r="P51" s="112">
        <v>1.1000000000000001</v>
      </c>
      <c r="Q51" s="112">
        <v>5.59</v>
      </c>
    </row>
    <row r="52" spans="1:17" customFormat="1">
      <c r="A52" s="80">
        <v>45277.458333333336</v>
      </c>
      <c r="B52" s="112">
        <v>27.37</v>
      </c>
      <c r="C52" s="112">
        <v>28.82</v>
      </c>
      <c r="D52" s="112">
        <v>38.36</v>
      </c>
      <c r="E52" s="112">
        <v>5.75</v>
      </c>
      <c r="F52" s="112">
        <v>2.93</v>
      </c>
      <c r="G52" s="112">
        <v>93.52</v>
      </c>
      <c r="H52" s="112">
        <v>39.25</v>
      </c>
      <c r="I52" s="112">
        <v>10.53</v>
      </c>
      <c r="J52" s="112">
        <v>0.15</v>
      </c>
      <c r="K52" s="112">
        <v>143.72999999999999</v>
      </c>
      <c r="L52" s="112">
        <v>25</v>
      </c>
      <c r="M52" s="112">
        <v>35.54</v>
      </c>
      <c r="N52" s="112">
        <v>489.4</v>
      </c>
      <c r="O52" s="112">
        <v>0</v>
      </c>
      <c r="P52" s="112">
        <v>1.0900000000000001</v>
      </c>
      <c r="Q52" s="112">
        <v>5.58</v>
      </c>
    </row>
    <row r="53" spans="1:17" customFormat="1">
      <c r="A53" s="80">
        <v>45277.46875</v>
      </c>
      <c r="B53" s="112">
        <v>25.49</v>
      </c>
      <c r="C53" s="112">
        <v>27.92</v>
      </c>
      <c r="D53" s="112">
        <v>36.380000000000003</v>
      </c>
      <c r="E53" s="112">
        <v>5.93</v>
      </c>
      <c r="F53" s="112">
        <v>3.05</v>
      </c>
      <c r="G53" s="112">
        <v>83.73</v>
      </c>
      <c r="H53" s="112">
        <v>35.85</v>
      </c>
      <c r="I53" s="112">
        <v>10.33</v>
      </c>
      <c r="J53" s="112">
        <v>0.36</v>
      </c>
      <c r="K53" s="112">
        <v>338.48</v>
      </c>
      <c r="L53" s="112">
        <v>25.28</v>
      </c>
      <c r="M53" s="112">
        <v>33.11</v>
      </c>
      <c r="N53" s="112">
        <v>525.9</v>
      </c>
      <c r="O53" s="112">
        <v>0</v>
      </c>
      <c r="P53" s="112">
        <v>1.05</v>
      </c>
      <c r="Q53" s="112">
        <v>5.53</v>
      </c>
    </row>
    <row r="54" spans="1:17" customFormat="1">
      <c r="A54" s="80">
        <v>45277.479166666664</v>
      </c>
      <c r="B54" s="112">
        <v>22.79</v>
      </c>
      <c r="C54" s="112">
        <v>28.73</v>
      </c>
      <c r="D54" s="112">
        <v>34.64</v>
      </c>
      <c r="E54" s="112">
        <v>5.69</v>
      </c>
      <c r="F54" s="112">
        <v>3.31</v>
      </c>
      <c r="G54" s="112">
        <v>83.73</v>
      </c>
      <c r="H54" s="112">
        <v>35.85</v>
      </c>
      <c r="I54" s="112">
        <v>10.14</v>
      </c>
      <c r="J54" s="112">
        <v>0.28000000000000003</v>
      </c>
      <c r="K54" s="112">
        <v>22.04</v>
      </c>
      <c r="L54" s="112">
        <v>25.7</v>
      </c>
      <c r="M54" s="112">
        <v>32.659999999999997</v>
      </c>
      <c r="N54" s="112">
        <v>545.5</v>
      </c>
      <c r="O54" s="112">
        <v>0</v>
      </c>
      <c r="P54" s="112">
        <v>1.02</v>
      </c>
      <c r="Q54" s="112">
        <v>5.46</v>
      </c>
    </row>
    <row r="55" spans="1:17" customFormat="1">
      <c r="A55" s="80">
        <v>45277.489583333336</v>
      </c>
      <c r="B55" s="112">
        <v>19.940000000000001</v>
      </c>
      <c r="C55" s="112">
        <v>29.38</v>
      </c>
      <c r="D55" s="112">
        <v>32.69</v>
      </c>
      <c r="E55" s="112">
        <v>5.78</v>
      </c>
      <c r="F55" s="112">
        <v>3.65</v>
      </c>
      <c r="G55" s="112">
        <v>83.73</v>
      </c>
      <c r="H55" s="112">
        <v>35.85</v>
      </c>
      <c r="I55" s="112">
        <v>9.82</v>
      </c>
      <c r="J55" s="112">
        <v>0.27</v>
      </c>
      <c r="K55" s="112">
        <v>41.05</v>
      </c>
      <c r="L55" s="112">
        <v>25.73</v>
      </c>
      <c r="M55" s="112">
        <v>33.03</v>
      </c>
      <c r="N55" s="112">
        <v>551.5</v>
      </c>
      <c r="O55" s="112">
        <v>0</v>
      </c>
      <c r="P55" s="112">
        <v>0.99</v>
      </c>
      <c r="Q55" s="112">
        <v>5.41</v>
      </c>
    </row>
    <row r="56" spans="1:17" customFormat="1">
      <c r="A56" s="80">
        <v>45277.5</v>
      </c>
      <c r="B56" s="112">
        <v>17.45</v>
      </c>
      <c r="C56" s="112">
        <v>30</v>
      </c>
      <c r="D56" s="112">
        <v>31.02</v>
      </c>
      <c r="E56" s="112">
        <v>6.2</v>
      </c>
      <c r="F56" s="112">
        <v>3.5</v>
      </c>
      <c r="G56" s="112">
        <v>74.319999999999993</v>
      </c>
      <c r="H56" s="112">
        <v>32.36</v>
      </c>
      <c r="I56" s="112">
        <v>9.42</v>
      </c>
      <c r="J56" s="112">
        <v>0.48</v>
      </c>
      <c r="K56" s="112">
        <v>109.33</v>
      </c>
      <c r="L56" s="112">
        <v>26.01</v>
      </c>
      <c r="M56" s="112">
        <v>32.86</v>
      </c>
      <c r="N56" s="112">
        <v>549.9</v>
      </c>
      <c r="O56" s="112">
        <v>0</v>
      </c>
      <c r="P56" s="112">
        <v>0.96</v>
      </c>
      <c r="Q56" s="112">
        <v>5.33</v>
      </c>
    </row>
    <row r="57" spans="1:17" customFormat="1">
      <c r="A57" s="80">
        <v>45277.510416666664</v>
      </c>
      <c r="B57" s="112">
        <v>15.19</v>
      </c>
      <c r="C57" s="112">
        <v>30.32</v>
      </c>
      <c r="D57" s="112">
        <v>29.38</v>
      </c>
      <c r="E57" s="112">
        <v>5.66</v>
      </c>
      <c r="F57" s="112">
        <v>3.75</v>
      </c>
      <c r="G57" s="112">
        <v>64.489999999999995</v>
      </c>
      <c r="H57" s="112">
        <v>30.54</v>
      </c>
      <c r="I57" s="112">
        <v>9.07</v>
      </c>
      <c r="J57" s="112">
        <v>0.49</v>
      </c>
      <c r="K57" s="112">
        <v>34.549999999999997</v>
      </c>
      <c r="L57" s="112">
        <v>25.83</v>
      </c>
      <c r="M57" s="112">
        <v>32.880000000000003</v>
      </c>
      <c r="N57" s="112">
        <v>536.4</v>
      </c>
      <c r="O57" s="112">
        <v>0</v>
      </c>
      <c r="P57" s="112">
        <v>0.94</v>
      </c>
      <c r="Q57" s="112">
        <v>5.29</v>
      </c>
    </row>
    <row r="58" spans="1:17" customFormat="1">
      <c r="A58" s="80">
        <v>45277.520833333336</v>
      </c>
      <c r="B58" s="112">
        <v>13.3</v>
      </c>
      <c r="C58" s="112">
        <v>30.28</v>
      </c>
      <c r="D58" s="112">
        <v>27.84</v>
      </c>
      <c r="E58" s="112">
        <v>5.72</v>
      </c>
      <c r="F58" s="112">
        <v>4.3499999999999996</v>
      </c>
      <c r="G58" s="112">
        <v>64.489999999999995</v>
      </c>
      <c r="H58" s="112">
        <v>30.54</v>
      </c>
      <c r="I58" s="112">
        <v>8.75</v>
      </c>
      <c r="J58" s="112">
        <v>0.51</v>
      </c>
      <c r="K58" s="112">
        <v>28.15</v>
      </c>
      <c r="L58" s="112">
        <v>26.06</v>
      </c>
      <c r="M58" s="112">
        <v>33.119999999999997</v>
      </c>
      <c r="N58" s="112">
        <v>518.20000000000005</v>
      </c>
      <c r="O58" s="112">
        <v>0</v>
      </c>
      <c r="P58" s="112">
        <v>0.9</v>
      </c>
      <c r="Q58" s="112">
        <v>5.22</v>
      </c>
    </row>
    <row r="59" spans="1:17" customFormat="1">
      <c r="A59" s="80">
        <v>45277.53125</v>
      </c>
      <c r="B59" s="112">
        <v>11.7</v>
      </c>
      <c r="C59" s="112">
        <v>30.15</v>
      </c>
      <c r="D59" s="112">
        <v>26.48</v>
      </c>
      <c r="E59" s="112">
        <v>5.86</v>
      </c>
      <c r="F59" s="112">
        <v>4.3</v>
      </c>
      <c r="G59" s="112">
        <v>64.489999999999995</v>
      </c>
      <c r="H59" s="112">
        <v>30.54</v>
      </c>
      <c r="I59" s="112">
        <v>8.48</v>
      </c>
      <c r="J59" s="112">
        <v>0.28000000000000003</v>
      </c>
      <c r="K59" s="112">
        <v>36.61</v>
      </c>
      <c r="L59" s="112">
        <v>26.25</v>
      </c>
      <c r="M59" s="112">
        <v>32.78</v>
      </c>
      <c r="N59" s="112">
        <v>509</v>
      </c>
      <c r="O59" s="112">
        <v>0</v>
      </c>
      <c r="P59" s="112">
        <v>0.89</v>
      </c>
      <c r="Q59" s="112">
        <v>5.16</v>
      </c>
    </row>
    <row r="60" spans="1:17" customFormat="1">
      <c r="A60" s="80">
        <v>45277.541666666664</v>
      </c>
      <c r="B60" s="112">
        <v>10.32</v>
      </c>
      <c r="C60" s="112">
        <v>29.79</v>
      </c>
      <c r="D60" s="112">
        <v>25.19</v>
      </c>
      <c r="E60" s="112">
        <v>5.81</v>
      </c>
      <c r="F60" s="112">
        <v>4.2300000000000004</v>
      </c>
      <c r="G60" s="112">
        <v>62.14</v>
      </c>
      <c r="H60" s="112">
        <v>30.08</v>
      </c>
      <c r="I60" s="112">
        <v>8.1999999999999993</v>
      </c>
      <c r="J60" s="112">
        <v>0.43</v>
      </c>
      <c r="K60" s="112">
        <v>2.92</v>
      </c>
      <c r="L60" s="112">
        <v>26.27</v>
      </c>
      <c r="M60" s="112">
        <v>32.770000000000003</v>
      </c>
      <c r="N60" s="112">
        <v>457.8</v>
      </c>
      <c r="O60" s="112">
        <v>0</v>
      </c>
      <c r="P60" s="112">
        <v>0.87</v>
      </c>
      <c r="Q60" s="112">
        <v>5.1100000000000003</v>
      </c>
    </row>
    <row r="61" spans="1:17" customFormat="1">
      <c r="A61" s="80">
        <v>45277.552083333336</v>
      </c>
      <c r="B61" s="112">
        <v>9.14</v>
      </c>
      <c r="C61" s="112">
        <v>29.55</v>
      </c>
      <c r="D61" s="112">
        <v>24.12</v>
      </c>
      <c r="E61" s="112">
        <v>6.04</v>
      </c>
      <c r="F61" s="112">
        <v>4.07</v>
      </c>
      <c r="G61" s="112">
        <v>59.69</v>
      </c>
      <c r="H61" s="112">
        <v>29.84</v>
      </c>
      <c r="I61" s="112">
        <v>7.95</v>
      </c>
      <c r="J61" s="112">
        <v>0.47</v>
      </c>
      <c r="K61" s="112">
        <v>33.11</v>
      </c>
      <c r="L61" s="112">
        <v>25.96</v>
      </c>
      <c r="M61" s="112">
        <v>33.51</v>
      </c>
      <c r="N61" s="112">
        <v>432.3</v>
      </c>
      <c r="O61" s="112">
        <v>0</v>
      </c>
      <c r="P61" s="112">
        <v>0.86</v>
      </c>
      <c r="Q61" s="112">
        <v>5.09</v>
      </c>
    </row>
    <row r="62" spans="1:17" customFormat="1">
      <c r="A62" s="80">
        <v>45277.5625</v>
      </c>
      <c r="B62" s="112">
        <v>8.0500000000000007</v>
      </c>
      <c r="C62" s="112">
        <v>29.31</v>
      </c>
      <c r="D62" s="112">
        <v>23.12</v>
      </c>
      <c r="E62" s="112">
        <v>6.14</v>
      </c>
      <c r="F62" s="112">
        <v>4.43</v>
      </c>
      <c r="G62" s="112">
        <v>59.69</v>
      </c>
      <c r="H62" s="112">
        <v>29.84</v>
      </c>
      <c r="I62" s="112">
        <v>7.76</v>
      </c>
      <c r="J62" s="112">
        <v>0.52</v>
      </c>
      <c r="K62" s="112">
        <v>41.73</v>
      </c>
      <c r="L62" s="112">
        <v>26.15</v>
      </c>
      <c r="M62" s="112">
        <v>33.06</v>
      </c>
      <c r="N62" s="112">
        <v>420.2</v>
      </c>
      <c r="O62" s="112">
        <v>0</v>
      </c>
      <c r="P62" s="112">
        <v>0.85</v>
      </c>
      <c r="Q62" s="112">
        <v>5.0599999999999996</v>
      </c>
    </row>
    <row r="63" spans="1:17" customFormat="1">
      <c r="A63" s="80">
        <v>45277.572916666664</v>
      </c>
      <c r="B63" s="112">
        <v>7.34</v>
      </c>
      <c r="C63" s="112">
        <v>28.65</v>
      </c>
      <c r="D63" s="112">
        <v>22.21</v>
      </c>
      <c r="E63" s="112">
        <v>6.23</v>
      </c>
      <c r="F63" s="112">
        <v>5.79</v>
      </c>
      <c r="G63" s="112">
        <v>59.69</v>
      </c>
      <c r="H63" s="112">
        <v>29.84</v>
      </c>
      <c r="I63" s="112">
        <v>7.59</v>
      </c>
      <c r="J63" s="112">
        <v>0.56999999999999995</v>
      </c>
      <c r="K63" s="112">
        <v>29.31</v>
      </c>
      <c r="L63" s="112">
        <v>26.09</v>
      </c>
      <c r="M63" s="112">
        <v>33.58</v>
      </c>
      <c r="N63" s="112">
        <v>393.6</v>
      </c>
      <c r="O63" s="112">
        <v>0</v>
      </c>
      <c r="P63" s="112">
        <v>0.82</v>
      </c>
      <c r="Q63" s="112">
        <v>5.04</v>
      </c>
    </row>
    <row r="64" spans="1:17" customFormat="1">
      <c r="A64" s="80">
        <v>45277.583333333336</v>
      </c>
      <c r="B64" s="112">
        <v>6.71</v>
      </c>
      <c r="C64" s="112">
        <v>28.51</v>
      </c>
      <c r="D64" s="112">
        <v>21.63</v>
      </c>
      <c r="E64" s="112">
        <v>5.65</v>
      </c>
      <c r="F64" s="112">
        <v>5.35</v>
      </c>
      <c r="G64" s="112">
        <v>57.77</v>
      </c>
      <c r="H64" s="112">
        <v>28.89</v>
      </c>
      <c r="I64" s="112">
        <v>7.39</v>
      </c>
      <c r="J64" s="112">
        <v>0.5</v>
      </c>
      <c r="K64" s="112">
        <v>41.95</v>
      </c>
      <c r="L64" s="112">
        <v>26.03</v>
      </c>
      <c r="M64" s="112">
        <v>33.25</v>
      </c>
      <c r="N64" s="112">
        <v>351.3</v>
      </c>
      <c r="O64" s="112">
        <v>0</v>
      </c>
      <c r="P64" s="112">
        <v>0.82</v>
      </c>
      <c r="Q64" s="112">
        <v>5</v>
      </c>
    </row>
    <row r="65" spans="1:17" customFormat="1">
      <c r="A65" s="80">
        <v>45277.59375</v>
      </c>
      <c r="B65" s="112">
        <v>6.29</v>
      </c>
      <c r="C65" s="112">
        <v>28.22</v>
      </c>
      <c r="D65" s="112">
        <v>21.14</v>
      </c>
      <c r="E65" s="112">
        <v>5.6</v>
      </c>
      <c r="F65" s="112">
        <v>5.6</v>
      </c>
      <c r="G65" s="112">
        <v>55.76</v>
      </c>
      <c r="H65" s="112">
        <v>27.8</v>
      </c>
      <c r="I65" s="112">
        <v>7.19</v>
      </c>
      <c r="J65" s="112">
        <v>0.32</v>
      </c>
      <c r="K65" s="112">
        <v>326.76</v>
      </c>
      <c r="L65" s="112">
        <v>25.98</v>
      </c>
      <c r="M65" s="112">
        <v>33.06</v>
      </c>
      <c r="N65" s="112">
        <v>162.69999999999999</v>
      </c>
      <c r="O65" s="112">
        <v>0</v>
      </c>
      <c r="P65" s="112">
        <v>0.69</v>
      </c>
      <c r="Q65" s="112">
        <v>4.97</v>
      </c>
    </row>
    <row r="66" spans="1:17" customFormat="1">
      <c r="A66" s="80">
        <v>45277.604166666664</v>
      </c>
      <c r="B66" s="112">
        <v>5.94</v>
      </c>
      <c r="C66" s="112">
        <v>27.67</v>
      </c>
      <c r="D66" s="112">
        <v>20.57</v>
      </c>
      <c r="E66" s="112">
        <v>6.49</v>
      </c>
      <c r="F66" s="112">
        <v>6.48</v>
      </c>
      <c r="G66" s="112">
        <v>55.76</v>
      </c>
      <c r="H66" s="112">
        <v>27.8</v>
      </c>
      <c r="I66" s="112">
        <v>7.04</v>
      </c>
      <c r="J66" s="112">
        <v>0.77</v>
      </c>
      <c r="K66" s="112">
        <v>29.05</v>
      </c>
      <c r="L66" s="112">
        <v>25.56</v>
      </c>
      <c r="M66" s="112">
        <v>34.24</v>
      </c>
      <c r="N66" s="112">
        <v>133.9</v>
      </c>
      <c r="O66" s="112">
        <v>0</v>
      </c>
      <c r="P66" s="112">
        <v>0.73</v>
      </c>
      <c r="Q66" s="112">
        <v>4.9800000000000004</v>
      </c>
    </row>
    <row r="67" spans="1:17" customFormat="1">
      <c r="A67" s="80">
        <v>45277.614583333336</v>
      </c>
      <c r="B67" s="112">
        <v>5.82</v>
      </c>
      <c r="C67" s="112">
        <v>27.33</v>
      </c>
      <c r="D67" s="112">
        <v>20.29</v>
      </c>
      <c r="E67" s="112">
        <v>5.48</v>
      </c>
      <c r="F67" s="112">
        <v>6.13</v>
      </c>
      <c r="G67" s="112">
        <v>55.76</v>
      </c>
      <c r="H67" s="112">
        <v>27.8</v>
      </c>
      <c r="I67" s="112">
        <v>6.91</v>
      </c>
      <c r="J67" s="112">
        <v>0.54</v>
      </c>
      <c r="K67" s="112">
        <v>36.770000000000003</v>
      </c>
      <c r="L67" s="112">
        <v>25.37</v>
      </c>
      <c r="M67" s="112">
        <v>34.53</v>
      </c>
      <c r="N67" s="112">
        <v>104.8</v>
      </c>
      <c r="O67" s="112">
        <v>0</v>
      </c>
      <c r="P67" s="112">
        <v>0.72</v>
      </c>
      <c r="Q67" s="112">
        <v>4.97</v>
      </c>
    </row>
    <row r="68" spans="1:17" customFormat="1">
      <c r="A68" s="80">
        <v>45277.625</v>
      </c>
      <c r="B68" s="112">
        <v>5.68</v>
      </c>
      <c r="C68" s="112">
        <v>27.02</v>
      </c>
      <c r="D68" s="112">
        <v>20.02</v>
      </c>
      <c r="E68" s="112">
        <v>5.53</v>
      </c>
      <c r="F68" s="112">
        <v>6.13</v>
      </c>
      <c r="G68" s="112">
        <v>54.83</v>
      </c>
      <c r="H68" s="112">
        <v>27.54</v>
      </c>
      <c r="I68" s="112">
        <v>6.77</v>
      </c>
      <c r="J68" s="112">
        <v>0.44</v>
      </c>
      <c r="K68" s="112">
        <v>18.25</v>
      </c>
      <c r="L68" s="112">
        <v>25.23</v>
      </c>
      <c r="M68" s="112">
        <v>34.700000000000003</v>
      </c>
      <c r="N68" s="112">
        <v>86.4</v>
      </c>
      <c r="O68" s="112">
        <v>0</v>
      </c>
      <c r="P68" s="112">
        <v>0.71</v>
      </c>
      <c r="Q68" s="112">
        <v>4.95</v>
      </c>
    </row>
    <row r="69" spans="1:17" customFormat="1">
      <c r="A69" s="80">
        <v>45277.635416666664</v>
      </c>
      <c r="B69" s="112">
        <v>5.62</v>
      </c>
      <c r="C69" s="112">
        <v>26.92</v>
      </c>
      <c r="D69" s="112">
        <v>19.920000000000002</v>
      </c>
      <c r="E69" s="112">
        <v>5.54</v>
      </c>
      <c r="F69" s="112">
        <v>5.15</v>
      </c>
      <c r="G69" s="112">
        <v>53.85</v>
      </c>
      <c r="H69" s="112">
        <v>27.41</v>
      </c>
      <c r="I69" s="112">
        <v>6.62</v>
      </c>
      <c r="J69" s="112">
        <v>0.57999999999999996</v>
      </c>
      <c r="K69" s="112">
        <v>41.17</v>
      </c>
      <c r="L69" s="112">
        <v>25.06</v>
      </c>
      <c r="M69" s="112">
        <v>35.090000000000003</v>
      </c>
      <c r="N69" s="112">
        <v>76.8</v>
      </c>
      <c r="O69" s="112">
        <v>0</v>
      </c>
      <c r="P69" s="112">
        <v>0.7</v>
      </c>
      <c r="Q69" s="112">
        <v>4.9400000000000004</v>
      </c>
    </row>
    <row r="70" spans="1:17" customFormat="1">
      <c r="A70" s="80">
        <v>45277.645833333336</v>
      </c>
      <c r="B70" s="112">
        <v>5.62</v>
      </c>
      <c r="C70" s="112">
        <v>26.79</v>
      </c>
      <c r="D70" s="112">
        <v>19.86</v>
      </c>
      <c r="E70" s="112">
        <v>5.59</v>
      </c>
      <c r="F70" s="112">
        <v>4.58</v>
      </c>
      <c r="G70" s="112">
        <v>53.85</v>
      </c>
      <c r="H70" s="112">
        <v>27.41</v>
      </c>
      <c r="I70" s="112">
        <v>6.48</v>
      </c>
      <c r="J70" s="112">
        <v>0.41</v>
      </c>
      <c r="K70" s="112">
        <v>35.97</v>
      </c>
      <c r="L70" s="112">
        <v>24.89</v>
      </c>
      <c r="M70" s="112">
        <v>35.64</v>
      </c>
      <c r="N70" s="112">
        <v>66.8</v>
      </c>
      <c r="O70" s="112">
        <v>0</v>
      </c>
      <c r="P70" s="112">
        <v>0.7</v>
      </c>
      <c r="Q70" s="112">
        <v>4.93</v>
      </c>
    </row>
    <row r="71" spans="1:17" customFormat="1">
      <c r="A71" s="80">
        <v>45277.65625</v>
      </c>
      <c r="B71" s="112">
        <v>5.83</v>
      </c>
      <c r="C71" s="112">
        <v>26.83</v>
      </c>
      <c r="D71" s="112">
        <v>20.04</v>
      </c>
      <c r="E71" s="112">
        <v>5.2</v>
      </c>
      <c r="F71" s="112">
        <v>4.32</v>
      </c>
      <c r="G71" s="112">
        <v>53.85</v>
      </c>
      <c r="H71" s="112">
        <v>27.41</v>
      </c>
      <c r="I71" s="112">
        <v>6.37</v>
      </c>
      <c r="J71" s="112">
        <v>0.4</v>
      </c>
      <c r="K71" s="112">
        <v>28.61</v>
      </c>
      <c r="L71" s="112">
        <v>24.74</v>
      </c>
      <c r="M71" s="112">
        <v>36.18</v>
      </c>
      <c r="N71" s="112">
        <v>57</v>
      </c>
      <c r="O71" s="112">
        <v>0</v>
      </c>
      <c r="P71" s="112">
        <v>0.7</v>
      </c>
      <c r="Q71" s="112">
        <v>4.95</v>
      </c>
    </row>
    <row r="72" spans="1:17" customFormat="1">
      <c r="A72" s="80">
        <v>45277.666666666664</v>
      </c>
      <c r="B72" s="112">
        <v>5.97</v>
      </c>
      <c r="C72" s="112">
        <v>27.24</v>
      </c>
      <c r="D72" s="112">
        <v>20.37</v>
      </c>
      <c r="E72" s="112">
        <v>5.58</v>
      </c>
      <c r="F72" s="112">
        <v>5.1100000000000003</v>
      </c>
      <c r="G72" s="112">
        <v>56.76</v>
      </c>
      <c r="H72" s="112">
        <v>26.94</v>
      </c>
      <c r="I72" s="112">
        <v>6.25</v>
      </c>
      <c r="J72" s="112">
        <v>0.39</v>
      </c>
      <c r="K72" s="112">
        <v>32.799999999999997</v>
      </c>
      <c r="L72" s="112">
        <v>24.56</v>
      </c>
      <c r="M72" s="112">
        <v>36.74</v>
      </c>
      <c r="N72" s="112">
        <v>46.9</v>
      </c>
      <c r="O72" s="112">
        <v>0</v>
      </c>
      <c r="P72" s="112">
        <v>0.69</v>
      </c>
      <c r="Q72" s="112">
        <v>4.96</v>
      </c>
    </row>
    <row r="73" spans="1:17" customFormat="1">
      <c r="A73" s="80">
        <v>45277.677083333336</v>
      </c>
      <c r="B73" s="112">
        <v>5.84</v>
      </c>
      <c r="C73" s="112">
        <v>27.02</v>
      </c>
      <c r="D73" s="112">
        <v>20.149999999999999</v>
      </c>
      <c r="E73" s="112">
        <v>5.13</v>
      </c>
      <c r="F73" s="112">
        <v>4.37</v>
      </c>
      <c r="G73" s="112">
        <v>59.8</v>
      </c>
      <c r="H73" s="112">
        <v>26.69</v>
      </c>
      <c r="I73" s="112">
        <v>6.14</v>
      </c>
      <c r="J73" s="112">
        <v>0.51</v>
      </c>
      <c r="K73" s="112">
        <v>33.22</v>
      </c>
      <c r="L73" s="112">
        <v>24.23</v>
      </c>
      <c r="M73" s="112">
        <v>37.44</v>
      </c>
      <c r="N73" s="112">
        <v>35.5</v>
      </c>
      <c r="O73" s="112">
        <v>0</v>
      </c>
      <c r="P73" s="112">
        <v>0.69</v>
      </c>
      <c r="Q73" s="112">
        <v>4.96</v>
      </c>
    </row>
    <row r="74" spans="1:17" customFormat="1">
      <c r="A74" s="80">
        <v>45277.6875</v>
      </c>
      <c r="B74" s="112">
        <v>5.98</v>
      </c>
      <c r="C74" s="112">
        <v>26.34</v>
      </c>
      <c r="D74" s="112">
        <v>19.91</v>
      </c>
      <c r="E74" s="112">
        <v>4.91</v>
      </c>
      <c r="F74" s="112">
        <v>3.64</v>
      </c>
      <c r="G74" s="112">
        <v>59.8</v>
      </c>
      <c r="H74" s="112">
        <v>26.69</v>
      </c>
      <c r="I74" s="112">
        <v>6.06</v>
      </c>
      <c r="J74" s="112">
        <v>0.36</v>
      </c>
      <c r="K74" s="112">
        <v>32.29</v>
      </c>
      <c r="L74" s="112">
        <v>23.83</v>
      </c>
      <c r="M74" s="112">
        <v>39.32</v>
      </c>
      <c r="N74" s="112">
        <v>24</v>
      </c>
      <c r="O74" s="112">
        <v>0</v>
      </c>
      <c r="P74" s="112">
        <v>0.69</v>
      </c>
      <c r="Q74" s="112">
        <v>4.9400000000000004</v>
      </c>
    </row>
    <row r="75" spans="1:17" customFormat="1">
      <c r="A75" s="80">
        <v>45277.697916666664</v>
      </c>
      <c r="B75" s="112">
        <v>6.32</v>
      </c>
      <c r="C75" s="112">
        <v>24.84</v>
      </c>
      <c r="D75" s="112">
        <v>19.39</v>
      </c>
      <c r="E75" s="112">
        <v>5.0199999999999996</v>
      </c>
      <c r="F75" s="112">
        <v>3.3</v>
      </c>
      <c r="G75" s="112">
        <v>59.8</v>
      </c>
      <c r="H75" s="112">
        <v>26.69</v>
      </c>
      <c r="I75" s="112">
        <v>6</v>
      </c>
      <c r="J75" s="112">
        <v>0.35</v>
      </c>
      <c r="K75" s="112">
        <v>37.700000000000003</v>
      </c>
      <c r="L75" s="112">
        <v>23.41</v>
      </c>
      <c r="M75" s="112">
        <v>40.590000000000003</v>
      </c>
      <c r="N75" s="112">
        <v>12.7</v>
      </c>
      <c r="O75" s="112">
        <v>0</v>
      </c>
      <c r="P75" s="112">
        <v>0.68</v>
      </c>
      <c r="Q75" s="112">
        <v>4.9400000000000004</v>
      </c>
    </row>
    <row r="76" spans="1:17" customFormat="1">
      <c r="A76" s="80">
        <v>45277.708333333336</v>
      </c>
      <c r="B76" s="112">
        <v>6.63</v>
      </c>
      <c r="C76" s="112">
        <v>24.95</v>
      </c>
      <c r="D76" s="112">
        <v>19.7</v>
      </c>
      <c r="E76" s="112">
        <v>5.22</v>
      </c>
      <c r="F76" s="112">
        <v>2.99</v>
      </c>
      <c r="G76" s="112">
        <v>65.23</v>
      </c>
      <c r="H76" s="112">
        <v>27.59</v>
      </c>
      <c r="I76" s="112">
        <v>5.98</v>
      </c>
      <c r="J76" s="112">
        <v>0.28999999999999998</v>
      </c>
      <c r="K76" s="112">
        <v>49.29</v>
      </c>
      <c r="L76" s="112">
        <v>22.88</v>
      </c>
      <c r="M76" s="112">
        <v>42.62</v>
      </c>
      <c r="N76" s="112">
        <v>2.7</v>
      </c>
      <c r="O76" s="112">
        <v>0</v>
      </c>
      <c r="P76" s="112">
        <v>0.69</v>
      </c>
      <c r="Q76" s="112">
        <v>4.95</v>
      </c>
    </row>
    <row r="77" spans="1:17" customFormat="1">
      <c r="A77" s="80">
        <v>45277.71875</v>
      </c>
      <c r="B77" s="112">
        <v>7.04</v>
      </c>
      <c r="C77" s="112">
        <v>24.91</v>
      </c>
      <c r="D77" s="112">
        <v>20.010000000000002</v>
      </c>
      <c r="E77" s="112">
        <v>4.6900000000000004</v>
      </c>
      <c r="F77" s="112">
        <v>2.85</v>
      </c>
      <c r="G77" s="112">
        <v>70.91</v>
      </c>
      <c r="H77" s="112">
        <v>28.06</v>
      </c>
      <c r="I77" s="112">
        <v>5.97</v>
      </c>
      <c r="J77" s="112">
        <v>0.33</v>
      </c>
      <c r="K77" s="112">
        <v>54.99</v>
      </c>
      <c r="L77" s="112">
        <v>22.44</v>
      </c>
      <c r="M77" s="112">
        <v>44.17</v>
      </c>
      <c r="N77" s="112">
        <v>0</v>
      </c>
      <c r="O77" s="112">
        <v>0</v>
      </c>
      <c r="P77" s="112">
        <v>0.68</v>
      </c>
      <c r="Q77" s="112">
        <v>4.97</v>
      </c>
    </row>
    <row r="78" spans="1:17" customFormat="1">
      <c r="A78" s="80">
        <v>45277.729166666664</v>
      </c>
      <c r="B78" s="112">
        <v>7.63</v>
      </c>
      <c r="C78" s="112">
        <v>25.96</v>
      </c>
      <c r="D78" s="112">
        <v>21.03</v>
      </c>
      <c r="E78" s="112">
        <v>4.8899999999999997</v>
      </c>
      <c r="F78" s="112">
        <v>2.82</v>
      </c>
      <c r="G78" s="112">
        <v>70.91</v>
      </c>
      <c r="H78" s="112">
        <v>28.06</v>
      </c>
      <c r="I78" s="112">
        <v>5.99</v>
      </c>
      <c r="J78" s="112">
        <v>0.18</v>
      </c>
      <c r="K78" s="112">
        <v>58.92</v>
      </c>
      <c r="L78" s="112">
        <v>21.89</v>
      </c>
      <c r="M78" s="112">
        <v>46.98</v>
      </c>
      <c r="N78" s="112">
        <v>0</v>
      </c>
      <c r="O78" s="112">
        <v>0</v>
      </c>
      <c r="P78" s="112">
        <v>0.7</v>
      </c>
      <c r="Q78" s="112">
        <v>5.01</v>
      </c>
    </row>
    <row r="79" spans="1:17" customFormat="1">
      <c r="A79" s="80">
        <v>45277.739583333336</v>
      </c>
      <c r="B79" s="112">
        <v>8.1300000000000008</v>
      </c>
      <c r="C79" s="112">
        <v>26.67</v>
      </c>
      <c r="D79" s="112">
        <v>21.81</v>
      </c>
      <c r="E79" s="112">
        <v>5.14</v>
      </c>
      <c r="F79" s="112">
        <v>2.76</v>
      </c>
      <c r="G79" s="112">
        <v>70.91</v>
      </c>
      <c r="H79" s="112">
        <v>28.06</v>
      </c>
      <c r="I79" s="112">
        <v>6.03</v>
      </c>
      <c r="J79" s="112">
        <v>0.16</v>
      </c>
      <c r="K79" s="112">
        <v>45.59</v>
      </c>
      <c r="L79" s="112">
        <v>21.27</v>
      </c>
      <c r="M79" s="112">
        <v>50.12</v>
      </c>
      <c r="N79" s="112">
        <v>0</v>
      </c>
      <c r="O79" s="112">
        <v>0</v>
      </c>
      <c r="P79" s="112">
        <v>0.72</v>
      </c>
      <c r="Q79" s="112">
        <v>5.0199999999999996</v>
      </c>
    </row>
    <row r="80" spans="1:17" customFormat="1">
      <c r="A80" s="80">
        <v>45277.75</v>
      </c>
      <c r="B80" s="112">
        <v>8.8699999999999992</v>
      </c>
      <c r="C80" s="112">
        <v>27.5</v>
      </c>
      <c r="D80" s="112">
        <v>22.83</v>
      </c>
      <c r="E80" s="112">
        <v>5.37</v>
      </c>
      <c r="F80" s="112">
        <v>2.67</v>
      </c>
      <c r="G80" s="112">
        <v>79.650000000000006</v>
      </c>
      <c r="H80" s="112">
        <v>31.24</v>
      </c>
      <c r="I80" s="112">
        <v>6.07</v>
      </c>
      <c r="J80" s="112">
        <v>0.2</v>
      </c>
      <c r="K80" s="112">
        <v>54.52</v>
      </c>
      <c r="L80" s="112">
        <v>20.81</v>
      </c>
      <c r="M80" s="112">
        <v>51.52</v>
      </c>
      <c r="N80" s="112">
        <v>0</v>
      </c>
      <c r="O80" s="112">
        <v>0</v>
      </c>
      <c r="P80" s="112">
        <v>0.73</v>
      </c>
      <c r="Q80" s="112">
        <v>5.04</v>
      </c>
    </row>
    <row r="81" spans="1:17" customFormat="1">
      <c r="A81" s="80">
        <v>45277.760416666664</v>
      </c>
      <c r="B81" s="112">
        <v>9.5399999999999991</v>
      </c>
      <c r="C81" s="112">
        <v>28.86</v>
      </c>
      <c r="D81" s="112">
        <v>24.08</v>
      </c>
      <c r="E81" s="112">
        <v>5.61</v>
      </c>
      <c r="F81" s="112">
        <v>2.56</v>
      </c>
      <c r="G81" s="112">
        <v>88.8</v>
      </c>
      <c r="H81" s="112">
        <v>32.89</v>
      </c>
      <c r="I81" s="112">
        <v>6.12</v>
      </c>
      <c r="J81" s="112">
        <v>0.11</v>
      </c>
      <c r="K81" s="112">
        <v>106.12</v>
      </c>
      <c r="L81" s="112">
        <v>20.54</v>
      </c>
      <c r="M81" s="112">
        <v>54.61</v>
      </c>
      <c r="N81" s="112">
        <v>0</v>
      </c>
      <c r="O81" s="112">
        <v>0</v>
      </c>
      <c r="P81" s="112">
        <v>0.76</v>
      </c>
      <c r="Q81" s="112">
        <v>5.07</v>
      </c>
    </row>
    <row r="82" spans="1:17" customFormat="1">
      <c r="A82" s="80">
        <v>45277.770833333336</v>
      </c>
      <c r="B82" s="112">
        <v>9.76</v>
      </c>
      <c r="C82" s="112">
        <v>29.41</v>
      </c>
      <c r="D82" s="112">
        <v>24.55</v>
      </c>
      <c r="E82" s="112">
        <v>6.51</v>
      </c>
      <c r="F82" s="112">
        <v>2.63</v>
      </c>
      <c r="G82" s="112">
        <v>88.8</v>
      </c>
      <c r="H82" s="112">
        <v>32.89</v>
      </c>
      <c r="I82" s="112">
        <v>6.25</v>
      </c>
      <c r="J82" s="112">
        <v>0.14000000000000001</v>
      </c>
      <c r="K82" s="112">
        <v>131.58000000000001</v>
      </c>
      <c r="L82" s="112">
        <v>19.809999999999999</v>
      </c>
      <c r="M82" s="112">
        <v>61.93</v>
      </c>
      <c r="N82" s="112">
        <v>0</v>
      </c>
      <c r="O82" s="112">
        <v>0</v>
      </c>
      <c r="P82" s="112">
        <v>0.77</v>
      </c>
      <c r="Q82" s="112">
        <v>5.07</v>
      </c>
    </row>
    <row r="83" spans="1:17" customFormat="1">
      <c r="A83" s="80">
        <v>45277.78125</v>
      </c>
      <c r="B83" s="112">
        <v>9.8800000000000008</v>
      </c>
      <c r="C83" s="112">
        <v>29.22</v>
      </c>
      <c r="D83" s="112">
        <v>24.54</v>
      </c>
      <c r="E83" s="112">
        <v>6.31</v>
      </c>
      <c r="F83" s="112">
        <v>2.8</v>
      </c>
      <c r="G83" s="112">
        <v>88.8</v>
      </c>
      <c r="H83" s="112">
        <v>32.89</v>
      </c>
      <c r="I83" s="112">
        <v>6.37</v>
      </c>
      <c r="J83" s="112">
        <v>0.2</v>
      </c>
      <c r="K83" s="112">
        <v>132.59</v>
      </c>
      <c r="L83" s="112">
        <v>19.3</v>
      </c>
      <c r="M83" s="112">
        <v>65.16</v>
      </c>
      <c r="N83" s="112">
        <v>0</v>
      </c>
      <c r="O83" s="112">
        <v>0</v>
      </c>
      <c r="P83" s="112">
        <v>0.8</v>
      </c>
      <c r="Q83" s="112">
        <v>5.09</v>
      </c>
    </row>
    <row r="84" spans="1:17" customFormat="1">
      <c r="A84" s="80">
        <v>45277.791666666664</v>
      </c>
      <c r="B84" s="112">
        <v>9.91</v>
      </c>
      <c r="C84" s="112">
        <v>28.91</v>
      </c>
      <c r="D84" s="112">
        <v>24.4</v>
      </c>
      <c r="E84" s="112">
        <v>6.47</v>
      </c>
      <c r="F84" s="112">
        <v>2.83</v>
      </c>
      <c r="G84" s="112">
        <v>95.72</v>
      </c>
      <c r="H84" s="112">
        <v>35.74</v>
      </c>
      <c r="I84" s="112">
        <v>6.51</v>
      </c>
      <c r="J84" s="112">
        <v>0.2</v>
      </c>
      <c r="K84" s="112">
        <v>131.24</v>
      </c>
      <c r="L84" s="112">
        <v>18.91</v>
      </c>
      <c r="M84" s="112">
        <v>65.040000000000006</v>
      </c>
      <c r="N84" s="112">
        <v>0</v>
      </c>
      <c r="O84" s="112">
        <v>0</v>
      </c>
      <c r="P84" s="112">
        <v>0.81</v>
      </c>
      <c r="Q84" s="112">
        <v>5.09</v>
      </c>
    </row>
    <row r="85" spans="1:17" customFormat="1">
      <c r="A85" s="80">
        <v>45277.802083333336</v>
      </c>
      <c r="B85" s="112">
        <v>10.130000000000001</v>
      </c>
      <c r="C85" s="112">
        <v>29.15</v>
      </c>
      <c r="D85" s="112">
        <v>24.7</v>
      </c>
      <c r="E85" s="112">
        <v>6.76</v>
      </c>
      <c r="F85" s="112">
        <v>2.68</v>
      </c>
      <c r="G85" s="112">
        <v>102.97</v>
      </c>
      <c r="H85" s="112">
        <v>37.229999999999997</v>
      </c>
      <c r="I85" s="112">
        <v>6.67</v>
      </c>
      <c r="J85" s="112">
        <v>0.19</v>
      </c>
      <c r="K85" s="112">
        <v>125.49</v>
      </c>
      <c r="L85" s="112">
        <v>18.899999999999999</v>
      </c>
      <c r="M85" s="112">
        <v>63.3</v>
      </c>
      <c r="N85" s="112">
        <v>0</v>
      </c>
      <c r="O85" s="112">
        <v>0</v>
      </c>
      <c r="P85" s="112">
        <v>0.82</v>
      </c>
      <c r="Q85" s="112">
        <v>5.0999999999999996</v>
      </c>
    </row>
    <row r="86" spans="1:17" customFormat="1">
      <c r="A86" s="80">
        <v>45277.8125</v>
      </c>
      <c r="B86" s="112">
        <v>10.33</v>
      </c>
      <c r="C86" s="112">
        <v>29.67</v>
      </c>
      <c r="D86" s="112">
        <v>25.14</v>
      </c>
      <c r="E86" s="112">
        <v>6.28</v>
      </c>
      <c r="F86" s="112">
        <v>2.62</v>
      </c>
      <c r="G86" s="112">
        <v>102.97</v>
      </c>
      <c r="H86" s="112">
        <v>37.229999999999997</v>
      </c>
      <c r="I86" s="112">
        <v>6.8</v>
      </c>
      <c r="J86" s="112">
        <v>0.22</v>
      </c>
      <c r="K86" s="112">
        <v>143.44</v>
      </c>
      <c r="L86" s="112">
        <v>18.600000000000001</v>
      </c>
      <c r="M86" s="112">
        <v>65.790000000000006</v>
      </c>
      <c r="N86" s="112">
        <v>0</v>
      </c>
      <c r="O86" s="112">
        <v>0</v>
      </c>
      <c r="P86" s="112">
        <v>0.85</v>
      </c>
      <c r="Q86" s="112">
        <v>5.12</v>
      </c>
    </row>
    <row r="87" spans="1:17" customFormat="1">
      <c r="A87" s="80">
        <v>45277.822916666664</v>
      </c>
      <c r="B87" s="112">
        <v>10.64</v>
      </c>
      <c r="C87" s="112">
        <v>30.37</v>
      </c>
      <c r="D87" s="112">
        <v>25.75</v>
      </c>
      <c r="E87" s="112">
        <v>6.41</v>
      </c>
      <c r="F87" s="112">
        <v>2.61</v>
      </c>
      <c r="G87" s="112">
        <v>102.97</v>
      </c>
      <c r="H87" s="112">
        <v>37.229999999999997</v>
      </c>
      <c r="I87" s="112">
        <v>6.96</v>
      </c>
      <c r="J87" s="112">
        <v>0.2</v>
      </c>
      <c r="K87" s="112">
        <v>117.61</v>
      </c>
      <c r="L87" s="112">
        <v>18.29</v>
      </c>
      <c r="M87" s="112">
        <v>66.540000000000006</v>
      </c>
      <c r="N87" s="112">
        <v>0</v>
      </c>
      <c r="O87" s="112">
        <v>0</v>
      </c>
      <c r="P87" s="112">
        <v>0.88</v>
      </c>
      <c r="Q87" s="112">
        <v>5.13</v>
      </c>
    </row>
    <row r="88" spans="1:17" customFormat="1">
      <c r="A88" s="80">
        <v>45277.833333333336</v>
      </c>
      <c r="B88" s="112">
        <v>11.16</v>
      </c>
      <c r="C88" s="112">
        <v>30.82</v>
      </c>
      <c r="D88" s="112">
        <v>26.4</v>
      </c>
      <c r="E88" s="112">
        <v>6.82</v>
      </c>
      <c r="F88" s="112">
        <v>2.6</v>
      </c>
      <c r="G88" s="112">
        <v>112.24</v>
      </c>
      <c r="H88" s="112">
        <v>40.31</v>
      </c>
      <c r="I88" s="112">
        <v>7.18</v>
      </c>
      <c r="J88" s="112">
        <v>0.16</v>
      </c>
      <c r="K88" s="112">
        <v>122.91</v>
      </c>
      <c r="L88" s="112">
        <v>18.45</v>
      </c>
      <c r="M88" s="112">
        <v>64.489999999999995</v>
      </c>
      <c r="N88" s="112">
        <v>0</v>
      </c>
      <c r="O88" s="112">
        <v>0</v>
      </c>
      <c r="P88" s="112">
        <v>0.91</v>
      </c>
      <c r="Q88" s="112">
        <v>5.14</v>
      </c>
    </row>
    <row r="89" spans="1:17" customFormat="1">
      <c r="A89" s="80">
        <v>45277.84375</v>
      </c>
      <c r="B89" s="112">
        <v>11.86</v>
      </c>
      <c r="C89" s="112">
        <v>31.11</v>
      </c>
      <c r="D89" s="112">
        <v>27.12</v>
      </c>
      <c r="E89" s="112">
        <v>6.31</v>
      </c>
      <c r="F89" s="112">
        <v>2.57</v>
      </c>
      <c r="G89" s="112">
        <v>121.93</v>
      </c>
      <c r="H89" s="112">
        <v>43.86</v>
      </c>
      <c r="I89" s="112">
        <v>7.41</v>
      </c>
      <c r="J89" s="112">
        <v>0.17</v>
      </c>
      <c r="K89" s="112">
        <v>133.21</v>
      </c>
      <c r="L89" s="112">
        <v>18.27</v>
      </c>
      <c r="M89" s="112">
        <v>65.239999999999995</v>
      </c>
      <c r="N89" s="112">
        <v>0</v>
      </c>
      <c r="O89" s="112">
        <v>0</v>
      </c>
      <c r="P89" s="112">
        <v>0.92</v>
      </c>
      <c r="Q89" s="112">
        <v>5.16</v>
      </c>
    </row>
    <row r="90" spans="1:17" customFormat="1">
      <c r="A90" s="80">
        <v>45277.854166666664</v>
      </c>
      <c r="B90" s="112">
        <v>12.36</v>
      </c>
      <c r="C90" s="112">
        <v>31.41</v>
      </c>
      <c r="D90" s="112">
        <v>27.67</v>
      </c>
      <c r="E90" s="112">
        <v>6.89</v>
      </c>
      <c r="F90" s="112">
        <v>2.71</v>
      </c>
      <c r="G90" s="112">
        <v>121.93</v>
      </c>
      <c r="H90" s="112">
        <v>43.86</v>
      </c>
      <c r="I90" s="112">
        <v>7.64</v>
      </c>
      <c r="J90" s="112">
        <v>0.12</v>
      </c>
      <c r="K90" s="112">
        <v>182.08</v>
      </c>
      <c r="L90" s="112">
        <v>17.989999999999998</v>
      </c>
      <c r="M90" s="112">
        <v>68.56</v>
      </c>
      <c r="N90" s="112">
        <v>0</v>
      </c>
      <c r="O90" s="112">
        <v>0</v>
      </c>
      <c r="P90" s="112">
        <v>0.93</v>
      </c>
      <c r="Q90" s="112">
        <v>5.17</v>
      </c>
    </row>
    <row r="91" spans="1:17" customFormat="1">
      <c r="A91" s="80">
        <v>45277.864583333336</v>
      </c>
      <c r="B91" s="112">
        <v>12.39</v>
      </c>
      <c r="C91" s="112">
        <v>31.06</v>
      </c>
      <c r="D91" s="112">
        <v>27.52</v>
      </c>
      <c r="E91" s="112">
        <v>6.44</v>
      </c>
      <c r="F91" s="112">
        <v>2.64</v>
      </c>
      <c r="G91" s="112">
        <v>121.93</v>
      </c>
      <c r="H91" s="112">
        <v>43.86</v>
      </c>
      <c r="I91" s="112">
        <v>7.84</v>
      </c>
      <c r="J91" s="112">
        <v>0.13</v>
      </c>
      <c r="K91" s="112">
        <v>190.21</v>
      </c>
      <c r="L91" s="112">
        <v>17.5</v>
      </c>
      <c r="M91" s="112">
        <v>79.540000000000006</v>
      </c>
      <c r="N91" s="112">
        <v>0</v>
      </c>
      <c r="O91" s="112">
        <v>0</v>
      </c>
      <c r="P91" s="112">
        <v>0.94</v>
      </c>
      <c r="Q91" s="112">
        <v>5.18</v>
      </c>
    </row>
    <row r="92" spans="1:17" customFormat="1">
      <c r="A92" s="80">
        <v>45277.875</v>
      </c>
      <c r="B92" s="112">
        <v>12.35</v>
      </c>
      <c r="C92" s="112">
        <v>30.02</v>
      </c>
      <c r="D92" s="112">
        <v>26.93</v>
      </c>
      <c r="E92" s="112">
        <v>6.47</v>
      </c>
      <c r="F92" s="112">
        <v>2.5099999999999998</v>
      </c>
      <c r="G92" s="112">
        <v>120.88</v>
      </c>
      <c r="H92" s="112">
        <v>46.22</v>
      </c>
      <c r="I92" s="112">
        <v>7.98</v>
      </c>
      <c r="J92" s="112">
        <v>0.17</v>
      </c>
      <c r="K92" s="112">
        <v>235.14</v>
      </c>
      <c r="L92" s="112">
        <v>16.89</v>
      </c>
      <c r="M92" s="112">
        <v>78.73</v>
      </c>
      <c r="N92" s="112">
        <v>0</v>
      </c>
      <c r="O92" s="112">
        <v>0</v>
      </c>
      <c r="P92" s="112">
        <v>0.95</v>
      </c>
      <c r="Q92" s="112">
        <v>5.21</v>
      </c>
    </row>
    <row r="93" spans="1:17" customFormat="1">
      <c r="A93" s="80">
        <v>45277.885416666664</v>
      </c>
      <c r="B93" s="112">
        <v>11.95</v>
      </c>
      <c r="C93" s="112">
        <v>30.13</v>
      </c>
      <c r="D93" s="112">
        <v>26.68</v>
      </c>
      <c r="E93" s="112">
        <v>6.12</v>
      </c>
      <c r="F93" s="112">
        <v>2.4700000000000002</v>
      </c>
      <c r="G93" s="112">
        <v>119.83</v>
      </c>
      <c r="H93" s="112">
        <v>47.45</v>
      </c>
      <c r="I93" s="112">
        <v>8.08</v>
      </c>
      <c r="J93" s="112">
        <v>0.17</v>
      </c>
      <c r="K93" s="112">
        <v>240.65</v>
      </c>
      <c r="L93" s="112">
        <v>16.71</v>
      </c>
      <c r="M93" s="112">
        <v>76.25</v>
      </c>
      <c r="N93" s="112">
        <v>0</v>
      </c>
      <c r="O93" s="112">
        <v>0</v>
      </c>
      <c r="P93" s="112">
        <v>0.96</v>
      </c>
      <c r="Q93" s="112">
        <v>5.17</v>
      </c>
    </row>
    <row r="94" spans="1:17" customFormat="1">
      <c r="A94" s="80">
        <v>45277.895833333336</v>
      </c>
      <c r="B94" s="112">
        <v>11.43</v>
      </c>
      <c r="C94" s="112">
        <v>29.84</v>
      </c>
      <c r="D94" s="112">
        <v>26.11</v>
      </c>
      <c r="E94" s="112">
        <v>6.46</v>
      </c>
      <c r="F94" s="112">
        <v>2.59</v>
      </c>
      <c r="G94" s="112">
        <v>119.83</v>
      </c>
      <c r="H94" s="112">
        <v>47.45</v>
      </c>
      <c r="I94" s="112">
        <v>8.17</v>
      </c>
      <c r="J94" s="112">
        <v>0.13</v>
      </c>
      <c r="K94" s="112">
        <v>232.62</v>
      </c>
      <c r="L94" s="112">
        <v>16.52</v>
      </c>
      <c r="M94" s="112">
        <v>78.540000000000006</v>
      </c>
      <c r="N94" s="112">
        <v>0</v>
      </c>
      <c r="O94" s="112">
        <v>0</v>
      </c>
      <c r="P94" s="112">
        <v>0.96</v>
      </c>
      <c r="Q94" s="112">
        <v>5.15</v>
      </c>
    </row>
    <row r="95" spans="1:17" customFormat="1">
      <c r="A95" s="80">
        <v>45277.90625</v>
      </c>
      <c r="B95" s="112">
        <v>11.03</v>
      </c>
      <c r="C95" s="112">
        <v>29.35</v>
      </c>
      <c r="D95" s="112">
        <v>25.53</v>
      </c>
      <c r="E95" s="112">
        <v>6.84</v>
      </c>
      <c r="F95" s="112">
        <v>2.72</v>
      </c>
      <c r="G95" s="112">
        <v>119.83</v>
      </c>
      <c r="H95" s="112">
        <v>47.45</v>
      </c>
      <c r="I95" s="112">
        <v>8.25</v>
      </c>
      <c r="J95" s="112">
        <v>0.16</v>
      </c>
      <c r="K95" s="112">
        <v>216.34</v>
      </c>
      <c r="L95" s="112">
        <v>16.45</v>
      </c>
      <c r="M95" s="112">
        <v>83.49</v>
      </c>
      <c r="N95" s="112">
        <v>0</v>
      </c>
      <c r="O95" s="112">
        <v>0</v>
      </c>
      <c r="P95" s="112">
        <v>0.97</v>
      </c>
      <c r="Q95" s="112">
        <v>5.16</v>
      </c>
    </row>
    <row r="96" spans="1:17" customFormat="1">
      <c r="A96" s="80">
        <v>45277.916666666664</v>
      </c>
      <c r="B96" s="112">
        <v>10.73</v>
      </c>
      <c r="C96" s="112">
        <v>28.73</v>
      </c>
      <c r="D96" s="112">
        <v>24.97</v>
      </c>
      <c r="E96" s="112">
        <v>6.1</v>
      </c>
      <c r="F96" s="112">
        <v>2.72</v>
      </c>
      <c r="G96" s="112">
        <v>112.39</v>
      </c>
      <c r="H96" s="112">
        <v>45.26</v>
      </c>
      <c r="I96" s="112">
        <v>8.2899999999999991</v>
      </c>
      <c r="J96" s="112">
        <v>0.1</v>
      </c>
      <c r="K96" s="112">
        <v>170.5</v>
      </c>
      <c r="L96" s="112">
        <v>16.2</v>
      </c>
      <c r="M96" s="112">
        <v>84.93</v>
      </c>
      <c r="N96" s="112">
        <v>0</v>
      </c>
      <c r="O96" s="112">
        <v>0</v>
      </c>
      <c r="P96" s="112">
        <v>0.97</v>
      </c>
      <c r="Q96" s="112">
        <v>5.13</v>
      </c>
    </row>
    <row r="97" spans="1:22" customFormat="1">
      <c r="A97" s="80">
        <v>45277.927083333336</v>
      </c>
      <c r="B97" s="112">
        <v>10.6</v>
      </c>
      <c r="C97" s="112">
        <v>28.19</v>
      </c>
      <c r="D97" s="112">
        <v>24.58</v>
      </c>
      <c r="E97" s="112">
        <v>5.97</v>
      </c>
      <c r="F97" s="112">
        <v>2.8</v>
      </c>
      <c r="G97" s="112">
        <v>104.95</v>
      </c>
      <c r="H97" s="112">
        <v>44.12</v>
      </c>
      <c r="I97" s="112">
        <v>8.33</v>
      </c>
      <c r="J97" s="112">
        <v>0.1</v>
      </c>
      <c r="K97" s="112">
        <v>193.32</v>
      </c>
      <c r="L97" s="112">
        <v>16.28</v>
      </c>
      <c r="M97" s="112">
        <v>79.209999999999994</v>
      </c>
      <c r="N97" s="112">
        <v>0</v>
      </c>
      <c r="O97" s="112">
        <v>0</v>
      </c>
      <c r="P97" s="112">
        <v>0.98</v>
      </c>
      <c r="Q97" s="112">
        <v>5.15</v>
      </c>
    </row>
    <row r="98" spans="1:22" customFormat="1">
      <c r="A98" s="80">
        <v>45277.9375</v>
      </c>
      <c r="B98" s="112">
        <v>11.35</v>
      </c>
      <c r="C98" s="112">
        <v>28.63</v>
      </c>
      <c r="D98" s="112">
        <v>25.41</v>
      </c>
      <c r="E98" s="112">
        <v>6.21</v>
      </c>
      <c r="F98" s="112">
        <v>2.87</v>
      </c>
      <c r="G98" s="112">
        <v>104.95</v>
      </c>
      <c r="H98" s="112">
        <v>44.12</v>
      </c>
      <c r="I98" s="112">
        <v>8.39</v>
      </c>
      <c r="J98" s="112">
        <v>0.17</v>
      </c>
      <c r="K98" s="112">
        <v>167.66</v>
      </c>
      <c r="L98" s="112">
        <v>16.21</v>
      </c>
      <c r="M98" s="112">
        <v>79.19</v>
      </c>
      <c r="N98" s="112">
        <v>0</v>
      </c>
      <c r="O98" s="112">
        <v>0</v>
      </c>
      <c r="P98" s="112">
        <v>0.98</v>
      </c>
      <c r="Q98" s="112">
        <v>5.16</v>
      </c>
    </row>
    <row r="99" spans="1:22" customFormat="1">
      <c r="A99" s="80">
        <v>45277.947916666664</v>
      </c>
      <c r="B99" s="112">
        <v>13.18</v>
      </c>
      <c r="C99" s="112">
        <v>29.39</v>
      </c>
      <c r="D99" s="112">
        <v>27.28</v>
      </c>
      <c r="E99" s="112">
        <v>6.04</v>
      </c>
      <c r="F99" s="112">
        <v>2.71</v>
      </c>
      <c r="G99" s="112">
        <v>104.95</v>
      </c>
      <c r="H99" s="112">
        <v>44.12</v>
      </c>
      <c r="I99" s="112">
        <v>8.4600000000000009</v>
      </c>
      <c r="J99" s="112">
        <v>0.15</v>
      </c>
      <c r="K99" s="112">
        <v>108.21</v>
      </c>
      <c r="L99" s="112">
        <v>16.399999999999999</v>
      </c>
      <c r="M99" s="112">
        <v>78.44</v>
      </c>
      <c r="N99" s="112">
        <v>0</v>
      </c>
      <c r="O99" s="112">
        <v>0</v>
      </c>
      <c r="P99" s="112">
        <v>0.99</v>
      </c>
      <c r="Q99" s="112">
        <v>5.2</v>
      </c>
    </row>
    <row r="100" spans="1:22" customFormat="1">
      <c r="A100" s="80">
        <v>45277.958333333336</v>
      </c>
      <c r="B100" s="112">
        <v>16.46</v>
      </c>
      <c r="C100" s="112">
        <v>30.83</v>
      </c>
      <c r="D100" s="112">
        <v>30.66</v>
      </c>
      <c r="E100" s="112">
        <v>6.19</v>
      </c>
      <c r="F100" s="112">
        <v>2.66</v>
      </c>
      <c r="G100" s="112">
        <v>108.2</v>
      </c>
      <c r="H100" s="112">
        <v>45.88</v>
      </c>
      <c r="I100" s="112">
        <v>8.5299999999999994</v>
      </c>
      <c r="J100" s="112">
        <v>7.0000000000000007E-2</v>
      </c>
      <c r="K100" s="112">
        <v>94.92</v>
      </c>
      <c r="L100" s="112">
        <v>16.600000000000001</v>
      </c>
      <c r="M100" s="112">
        <v>73.81</v>
      </c>
      <c r="N100" s="112">
        <v>0</v>
      </c>
      <c r="O100" s="112">
        <v>0</v>
      </c>
      <c r="P100" s="112">
        <v>1</v>
      </c>
      <c r="Q100" s="112">
        <v>5.27</v>
      </c>
    </row>
    <row r="101" spans="1:22" customFormat="1">
      <c r="A101" s="80">
        <v>45277.96875</v>
      </c>
      <c r="B101" s="112">
        <v>19.2</v>
      </c>
      <c r="C101" s="112">
        <v>32.04</v>
      </c>
      <c r="D101" s="112">
        <v>33.49</v>
      </c>
      <c r="E101" s="112">
        <v>6.59</v>
      </c>
      <c r="F101" s="112">
        <v>2.68</v>
      </c>
      <c r="G101" s="112">
        <v>111.46</v>
      </c>
      <c r="H101" s="112">
        <v>46.8</v>
      </c>
      <c r="I101" s="112">
        <v>8.58</v>
      </c>
      <c r="J101" s="112">
        <v>0.11</v>
      </c>
      <c r="K101" s="112">
        <v>149.58000000000001</v>
      </c>
      <c r="L101" s="112">
        <v>16.940000000000001</v>
      </c>
      <c r="M101" s="112">
        <v>70.680000000000007</v>
      </c>
      <c r="N101" s="112">
        <v>0</v>
      </c>
      <c r="O101" s="112">
        <v>0</v>
      </c>
      <c r="P101" s="112">
        <v>1.01</v>
      </c>
      <c r="Q101" s="112">
        <v>5.35</v>
      </c>
    </row>
    <row r="102" spans="1:22" customFormat="1">
      <c r="A102" s="80">
        <v>45277.979166666664</v>
      </c>
      <c r="B102" s="112">
        <v>19.62</v>
      </c>
      <c r="C102" s="112">
        <v>32.33</v>
      </c>
      <c r="D102" s="112">
        <v>33.979999999999997</v>
      </c>
      <c r="E102" s="112">
        <v>6.05</v>
      </c>
      <c r="F102" s="112">
        <v>2.5299999999999998</v>
      </c>
      <c r="G102" s="112">
        <v>111.46</v>
      </c>
      <c r="H102" s="112">
        <v>46.8</v>
      </c>
      <c r="I102" s="112">
        <v>8.66</v>
      </c>
      <c r="J102" s="112">
        <v>0.11</v>
      </c>
      <c r="K102" s="112">
        <v>152.12</v>
      </c>
      <c r="L102" s="112">
        <v>16.87</v>
      </c>
      <c r="M102" s="112">
        <v>70.86</v>
      </c>
      <c r="N102" s="112">
        <v>0</v>
      </c>
      <c r="O102" s="112">
        <v>0</v>
      </c>
      <c r="P102" s="112">
        <v>1.01</v>
      </c>
      <c r="Q102" s="112">
        <v>5.4</v>
      </c>
    </row>
    <row r="103" spans="1:22" customFormat="1">
      <c r="A103" s="80">
        <v>45277.989583333336</v>
      </c>
      <c r="B103" s="112">
        <v>19.12</v>
      </c>
      <c r="C103" s="112">
        <v>32.33</v>
      </c>
      <c r="D103" s="112">
        <v>33.57</v>
      </c>
      <c r="E103" s="112">
        <v>6.07</v>
      </c>
      <c r="F103" s="112">
        <v>2.57</v>
      </c>
      <c r="G103" s="112">
        <v>111.46</v>
      </c>
      <c r="H103" s="112">
        <v>46.8</v>
      </c>
      <c r="I103" s="112">
        <v>8.7100000000000009</v>
      </c>
      <c r="J103" s="112">
        <v>0.04</v>
      </c>
      <c r="K103" s="112">
        <v>157.26</v>
      </c>
      <c r="L103" s="112">
        <v>16.36</v>
      </c>
      <c r="M103" s="112">
        <v>74.61</v>
      </c>
      <c r="N103" s="112">
        <v>0</v>
      </c>
      <c r="O103" s="112">
        <v>0</v>
      </c>
      <c r="P103" s="112">
        <v>0.99</v>
      </c>
      <c r="Q103" s="112">
        <v>5.39</v>
      </c>
    </row>
    <row r="104" spans="1:22" customFormat="1">
      <c r="A104" s="80">
        <v>45278</v>
      </c>
      <c r="B104" s="112">
        <v>18.829999999999998</v>
      </c>
      <c r="C104" s="112">
        <v>32.49</v>
      </c>
      <c r="D104" s="112">
        <v>33.43</v>
      </c>
      <c r="E104" s="112">
        <v>6.06</v>
      </c>
      <c r="F104" s="112">
        <v>2.6</v>
      </c>
      <c r="G104" s="112">
        <v>112.3</v>
      </c>
      <c r="H104" s="112">
        <v>45.34</v>
      </c>
      <c r="I104" s="112">
        <v>8.67</v>
      </c>
      <c r="J104" s="112">
        <v>0.16</v>
      </c>
      <c r="K104" s="112">
        <v>221.71</v>
      </c>
      <c r="L104" s="112">
        <v>15.92</v>
      </c>
      <c r="M104" s="112">
        <v>79.180000000000007</v>
      </c>
      <c r="N104" s="112">
        <v>0</v>
      </c>
      <c r="O104" s="112">
        <v>0</v>
      </c>
      <c r="P104" s="112">
        <v>0.98</v>
      </c>
      <c r="Q104" s="112">
        <v>5.35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5.62</v>
      </c>
      <c r="C106" s="183">
        <f>MIN(C9:C104)</f>
        <v>24.84</v>
      </c>
      <c r="D106" s="183">
        <f t="shared" ref="D106:Q106" si="0">MIN(D9:D104)</f>
        <v>19.39</v>
      </c>
      <c r="E106" s="183">
        <f t="shared" si="0"/>
        <v>4.6900000000000004</v>
      </c>
      <c r="F106" s="183">
        <f t="shared" si="0"/>
        <v>2.41</v>
      </c>
      <c r="G106" s="183">
        <f t="shared" si="0"/>
        <v>53.85</v>
      </c>
      <c r="H106" s="183">
        <f t="shared" si="0"/>
        <v>26.69</v>
      </c>
      <c r="I106" s="183">
        <f t="shared" si="0"/>
        <v>5.97</v>
      </c>
      <c r="J106" s="183">
        <f t="shared" si="0"/>
        <v>0.04</v>
      </c>
      <c r="K106" s="183">
        <f t="shared" si="0"/>
        <v>2.92</v>
      </c>
      <c r="L106" s="183">
        <f t="shared" si="0"/>
        <v>13.25</v>
      </c>
      <c r="M106" s="183">
        <f t="shared" si="0"/>
        <v>32.659999999999997</v>
      </c>
      <c r="N106" s="183">
        <f t="shared" si="0"/>
        <v>0</v>
      </c>
      <c r="O106" s="183">
        <f t="shared" si="0"/>
        <v>0</v>
      </c>
      <c r="P106" s="183">
        <f t="shared" si="0"/>
        <v>0.68</v>
      </c>
      <c r="Q106" s="183">
        <f t="shared" si="0"/>
        <v>4.93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47.71</v>
      </c>
      <c r="C107" s="184">
        <f t="shared" ref="C107:Q107" si="1">MAX(C9:C104)</f>
        <v>35.06</v>
      </c>
      <c r="D107" s="184">
        <f t="shared" si="1"/>
        <v>57.13</v>
      </c>
      <c r="E107" s="184">
        <f t="shared" si="1"/>
        <v>7.66</v>
      </c>
      <c r="F107" s="184">
        <f t="shared" si="1"/>
        <v>6.48</v>
      </c>
      <c r="G107" s="184">
        <f t="shared" si="1"/>
        <v>164.38</v>
      </c>
      <c r="H107" s="184">
        <f t="shared" si="1"/>
        <v>71.77</v>
      </c>
      <c r="I107" s="184">
        <f t="shared" si="1"/>
        <v>14.32</v>
      </c>
      <c r="J107" s="184">
        <f t="shared" si="1"/>
        <v>0.77</v>
      </c>
      <c r="K107" s="184">
        <f t="shared" si="1"/>
        <v>338.48</v>
      </c>
      <c r="L107" s="184">
        <f t="shared" si="1"/>
        <v>26.27</v>
      </c>
      <c r="M107" s="184">
        <f t="shared" si="1"/>
        <v>93.51</v>
      </c>
      <c r="N107" s="184">
        <f t="shared" si="1"/>
        <v>551.5</v>
      </c>
      <c r="O107" s="184">
        <f t="shared" si="1"/>
        <v>0</v>
      </c>
      <c r="P107" s="184">
        <f t="shared" si="1"/>
        <v>1.6</v>
      </c>
      <c r="Q107" s="184">
        <f t="shared" si="1"/>
        <v>6.12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24.00291666666665</v>
      </c>
      <c r="C108" s="183">
        <f t="shared" ref="C108:Q108" si="2">AVERAGE(C9:C104)</f>
        <v>30.7578125</v>
      </c>
      <c r="D108" s="183">
        <f t="shared" si="2"/>
        <v>36.669479166666669</v>
      </c>
      <c r="E108" s="183">
        <f t="shared" si="2"/>
        <v>6.2796875000000041</v>
      </c>
      <c r="F108" s="183">
        <f t="shared" si="2"/>
        <v>3.1073958333333338</v>
      </c>
      <c r="G108" s="183">
        <f t="shared" si="2"/>
        <v>109.27874999999995</v>
      </c>
      <c r="H108" s="183">
        <f t="shared" si="2"/>
        <v>46.552291666666662</v>
      </c>
      <c r="I108" s="183">
        <f t="shared" si="2"/>
        <v>9.5992708333333336</v>
      </c>
      <c r="J108" s="183">
        <f t="shared" si="2"/>
        <v>0.24250000000000002</v>
      </c>
      <c r="K108" s="183">
        <f t="shared" si="2"/>
        <v>109.1392708333333</v>
      </c>
      <c r="L108" s="183">
        <f t="shared" si="2"/>
        <v>19.020208333333336</v>
      </c>
      <c r="M108" s="183">
        <f t="shared" si="2"/>
        <v>63.758020833333326</v>
      </c>
      <c r="N108" s="183">
        <f t="shared" si="2"/>
        <v>104.27395833333333</v>
      </c>
      <c r="O108" s="183">
        <f t="shared" si="2"/>
        <v>0</v>
      </c>
      <c r="P108" s="183">
        <f t="shared" si="2"/>
        <v>1.0799999999999998</v>
      </c>
      <c r="Q108" s="183">
        <f t="shared" si="2"/>
        <v>5.4932291666666684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15.163568731227732</v>
      </c>
      <c r="C109" s="183">
        <f t="shared" ref="C109:Q109" si="3">STDEV(C9:C104)</f>
        <v>2.691825521492424</v>
      </c>
      <c r="D109" s="183">
        <f t="shared" si="3"/>
        <v>13.31789855161618</v>
      </c>
      <c r="E109" s="183">
        <f t="shared" si="3"/>
        <v>0.64802445230825712</v>
      </c>
      <c r="F109" s="183">
        <f t="shared" si="3"/>
        <v>0.94985898653339529</v>
      </c>
      <c r="G109" s="183">
        <f t="shared" si="3"/>
        <v>35.204774354743883</v>
      </c>
      <c r="H109" s="183">
        <f t="shared" si="3"/>
        <v>14.680939270049345</v>
      </c>
      <c r="I109" s="183">
        <f t="shared" si="3"/>
        <v>2.607768251243384</v>
      </c>
      <c r="J109" s="183">
        <f t="shared" si="3"/>
        <v>0.15513661212316268</v>
      </c>
      <c r="K109" s="183">
        <f t="shared" si="3"/>
        <v>75.182803706345894</v>
      </c>
      <c r="L109" s="183">
        <f t="shared" si="3"/>
        <v>4.5356331837123571</v>
      </c>
      <c r="M109" s="183">
        <f t="shared" si="3"/>
        <v>21.489653844523872</v>
      </c>
      <c r="N109" s="183">
        <f t="shared" si="3"/>
        <v>178.55472063785211</v>
      </c>
      <c r="O109" s="183">
        <f t="shared" si="3"/>
        <v>0</v>
      </c>
      <c r="P109" s="183">
        <f t="shared" si="3"/>
        <v>0.28520721921917869</v>
      </c>
      <c r="Q109" s="183">
        <f t="shared" si="3"/>
        <v>0.42632948659497905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45278.010416666664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45278.010416666664</v>
      </c>
      <c r="B9" s="112">
        <v>17.12</v>
      </c>
      <c r="C9" s="112">
        <v>32.1</v>
      </c>
      <c r="D9" s="112">
        <v>31.85</v>
      </c>
      <c r="E9" s="112">
        <v>5.55</v>
      </c>
      <c r="F9" s="112">
        <v>2.65</v>
      </c>
      <c r="G9" s="112">
        <v>113.17</v>
      </c>
      <c r="H9" s="112">
        <v>44.58</v>
      </c>
      <c r="I9" s="112">
        <v>8.59</v>
      </c>
      <c r="J9" s="112">
        <v>0.15</v>
      </c>
      <c r="K9" s="112">
        <v>252.59</v>
      </c>
      <c r="L9" s="112">
        <v>15.49</v>
      </c>
      <c r="M9" s="112">
        <v>82.84</v>
      </c>
      <c r="N9" s="112">
        <v>0</v>
      </c>
      <c r="O9" s="112">
        <v>0</v>
      </c>
      <c r="P9" s="112">
        <v>0.97</v>
      </c>
      <c r="Q9" s="112">
        <v>5.36</v>
      </c>
    </row>
    <row r="10" spans="1:21" customFormat="1">
      <c r="A10" s="80">
        <v>45278.020833333336</v>
      </c>
      <c r="B10" s="112">
        <v>17.03</v>
      </c>
      <c r="C10" s="112">
        <v>31.55</v>
      </c>
      <c r="D10" s="112">
        <v>31.49</v>
      </c>
      <c r="E10" s="112">
        <v>5.96</v>
      </c>
      <c r="F10" s="112">
        <v>2.61</v>
      </c>
      <c r="G10" s="112">
        <v>113.17</v>
      </c>
      <c r="H10" s="112">
        <v>44.58</v>
      </c>
      <c r="I10" s="112">
        <v>8.52</v>
      </c>
      <c r="J10" s="112">
        <v>0.22</v>
      </c>
      <c r="K10" s="112">
        <v>204.13</v>
      </c>
      <c r="L10" s="112">
        <v>15.26</v>
      </c>
      <c r="M10" s="112">
        <v>83.64</v>
      </c>
      <c r="N10" s="112">
        <v>0</v>
      </c>
      <c r="O10" s="112">
        <v>0</v>
      </c>
      <c r="P10" s="112">
        <v>0.97</v>
      </c>
      <c r="Q10" s="112">
        <v>5.35</v>
      </c>
    </row>
    <row r="11" spans="1:21" customFormat="1">
      <c r="A11" s="80">
        <v>45278.03125</v>
      </c>
      <c r="B11" s="112">
        <v>17.329999999999998</v>
      </c>
      <c r="C11" s="112">
        <v>31.2</v>
      </c>
      <c r="D11" s="112">
        <v>31.55</v>
      </c>
      <c r="E11" s="112">
        <v>5.83</v>
      </c>
      <c r="F11" s="112">
        <v>2.5299999999999998</v>
      </c>
      <c r="G11" s="112">
        <v>113.17</v>
      </c>
      <c r="H11" s="112">
        <v>44.58</v>
      </c>
      <c r="I11" s="112">
        <v>8.51</v>
      </c>
      <c r="J11" s="112">
        <v>0.06</v>
      </c>
      <c r="K11" s="112">
        <v>180.14</v>
      </c>
      <c r="L11" s="112">
        <v>15.02</v>
      </c>
      <c r="M11" s="112">
        <v>84.58</v>
      </c>
      <c r="N11" s="112">
        <v>0</v>
      </c>
      <c r="O11" s="112">
        <v>0</v>
      </c>
      <c r="P11" s="112">
        <v>0.99</v>
      </c>
      <c r="Q11" s="112">
        <v>5.36</v>
      </c>
    </row>
    <row r="12" spans="1:21" customFormat="1">
      <c r="A12" s="80">
        <v>45278.041666666664</v>
      </c>
      <c r="B12" s="112">
        <v>19.28</v>
      </c>
      <c r="C12" s="112">
        <v>31.44</v>
      </c>
      <c r="D12" s="112">
        <v>33.24</v>
      </c>
      <c r="E12" s="112">
        <v>5.76</v>
      </c>
      <c r="F12" s="112">
        <v>2.64</v>
      </c>
      <c r="G12" s="112">
        <v>112.79</v>
      </c>
      <c r="H12" s="112">
        <v>44.56</v>
      </c>
      <c r="I12" s="112">
        <v>8.56</v>
      </c>
      <c r="J12" s="112">
        <v>0.06</v>
      </c>
      <c r="K12" s="112">
        <v>244.94</v>
      </c>
      <c r="L12" s="112">
        <v>14.93</v>
      </c>
      <c r="M12" s="112">
        <v>82.83</v>
      </c>
      <c r="N12" s="112">
        <v>0</v>
      </c>
      <c r="O12" s="112">
        <v>0</v>
      </c>
      <c r="P12" s="112">
        <v>1.01</v>
      </c>
      <c r="Q12" s="112">
        <v>5.4</v>
      </c>
    </row>
    <row r="13" spans="1:21" customFormat="1">
      <c r="A13" s="80">
        <v>45278.052083333336</v>
      </c>
      <c r="B13" s="112">
        <v>23.01</v>
      </c>
      <c r="C13" s="112">
        <v>31.92</v>
      </c>
      <c r="D13" s="112">
        <v>36.479999999999997</v>
      </c>
      <c r="E13" s="112">
        <v>6.05</v>
      </c>
      <c r="F13" s="112">
        <v>2.5299999999999998</v>
      </c>
      <c r="G13" s="112">
        <v>112.4</v>
      </c>
      <c r="H13" s="112">
        <v>44.56</v>
      </c>
      <c r="I13" s="112">
        <v>8.68</v>
      </c>
      <c r="J13" s="112">
        <v>0.14000000000000001</v>
      </c>
      <c r="K13" s="112">
        <v>178.71</v>
      </c>
      <c r="L13" s="112">
        <v>15.09</v>
      </c>
      <c r="M13" s="112">
        <v>81.77</v>
      </c>
      <c r="N13" s="112">
        <v>0</v>
      </c>
      <c r="O13" s="112">
        <v>0</v>
      </c>
      <c r="P13" s="112">
        <v>1.01</v>
      </c>
      <c r="Q13" s="112">
        <v>5.45</v>
      </c>
    </row>
    <row r="14" spans="1:21" customFormat="1">
      <c r="A14" s="80">
        <v>45278.0625</v>
      </c>
      <c r="B14" s="112">
        <v>25.99</v>
      </c>
      <c r="C14" s="112">
        <v>32.46</v>
      </c>
      <c r="D14" s="112">
        <v>39.15</v>
      </c>
      <c r="E14" s="112">
        <v>6.15</v>
      </c>
      <c r="F14" s="112">
        <v>2.57</v>
      </c>
      <c r="G14" s="112">
        <v>112.4</v>
      </c>
      <c r="H14" s="112">
        <v>44.56</v>
      </c>
      <c r="I14" s="112">
        <v>8.8000000000000007</v>
      </c>
      <c r="J14" s="112">
        <v>0.06</v>
      </c>
      <c r="K14" s="112">
        <v>200.48</v>
      </c>
      <c r="L14" s="112">
        <v>15.07</v>
      </c>
      <c r="M14" s="112">
        <v>82.42</v>
      </c>
      <c r="N14" s="112">
        <v>0</v>
      </c>
      <c r="O14" s="112">
        <v>0</v>
      </c>
      <c r="P14" s="112">
        <v>1.02</v>
      </c>
      <c r="Q14" s="112">
        <v>5.52</v>
      </c>
    </row>
    <row r="15" spans="1:21" customFormat="1">
      <c r="A15" s="80">
        <v>45278.072916666664</v>
      </c>
      <c r="B15" s="112">
        <v>28.22</v>
      </c>
      <c r="C15" s="112">
        <v>32.86</v>
      </c>
      <c r="D15" s="112">
        <v>41.15</v>
      </c>
      <c r="E15" s="112">
        <v>6.22</v>
      </c>
      <c r="F15" s="112">
        <v>2.65</v>
      </c>
      <c r="G15" s="112">
        <v>112.4</v>
      </c>
      <c r="H15" s="112">
        <v>44.56</v>
      </c>
      <c r="I15" s="112">
        <v>8.89</v>
      </c>
      <c r="J15" s="112">
        <v>0.15</v>
      </c>
      <c r="K15" s="112">
        <v>40.25</v>
      </c>
      <c r="L15" s="112">
        <v>15.06</v>
      </c>
      <c r="M15" s="112">
        <v>79.86</v>
      </c>
      <c r="N15" s="112">
        <v>0</v>
      </c>
      <c r="O15" s="112">
        <v>0</v>
      </c>
      <c r="P15" s="112">
        <v>1.01</v>
      </c>
      <c r="Q15" s="112">
        <v>5.61</v>
      </c>
    </row>
    <row r="16" spans="1:21" customFormat="1">
      <c r="A16" s="80">
        <v>45278.083333333336</v>
      </c>
      <c r="B16" s="112">
        <v>29.9</v>
      </c>
      <c r="C16" s="112">
        <v>32.950000000000003</v>
      </c>
      <c r="D16" s="112">
        <v>42.55</v>
      </c>
      <c r="E16" s="112">
        <v>5.99</v>
      </c>
      <c r="F16" s="112">
        <v>2.67</v>
      </c>
      <c r="G16" s="112">
        <v>114.13</v>
      </c>
      <c r="H16" s="112">
        <v>45.33</v>
      </c>
      <c r="I16" s="112">
        <v>8.94</v>
      </c>
      <c r="J16" s="112">
        <v>0.04</v>
      </c>
      <c r="K16" s="112">
        <v>69.489999999999995</v>
      </c>
      <c r="L16" s="112">
        <v>15.34</v>
      </c>
      <c r="M16" s="112">
        <v>76.349999999999994</v>
      </c>
      <c r="N16" s="112">
        <v>0</v>
      </c>
      <c r="O16" s="112">
        <v>0</v>
      </c>
      <c r="P16" s="112">
        <v>1</v>
      </c>
      <c r="Q16" s="112">
        <v>5.65</v>
      </c>
    </row>
    <row r="17" spans="1:17" customFormat="1">
      <c r="A17" s="80">
        <v>45278.09375</v>
      </c>
      <c r="B17" s="112">
        <v>29.91</v>
      </c>
      <c r="C17" s="112">
        <v>32.92</v>
      </c>
      <c r="D17" s="112">
        <v>42.54</v>
      </c>
      <c r="E17" s="112">
        <v>5.55</v>
      </c>
      <c r="F17" s="112">
        <v>2.59</v>
      </c>
      <c r="G17" s="112">
        <v>115.94</v>
      </c>
      <c r="H17" s="112">
        <v>46.22</v>
      </c>
      <c r="I17" s="112">
        <v>8.9700000000000006</v>
      </c>
      <c r="J17" s="112">
        <v>0.1</v>
      </c>
      <c r="K17" s="112">
        <v>146.93</v>
      </c>
      <c r="L17" s="112">
        <v>15.17</v>
      </c>
      <c r="M17" s="112">
        <v>78.099999999999994</v>
      </c>
      <c r="N17" s="112">
        <v>0</v>
      </c>
      <c r="O17" s="112">
        <v>0</v>
      </c>
      <c r="P17" s="112">
        <v>0.98</v>
      </c>
      <c r="Q17" s="112">
        <v>5.66</v>
      </c>
    </row>
    <row r="18" spans="1:17" customFormat="1">
      <c r="A18" s="80">
        <v>45278.104166666664</v>
      </c>
      <c r="B18" s="112">
        <v>29.01</v>
      </c>
      <c r="C18" s="112">
        <v>30.82</v>
      </c>
      <c r="D18" s="112">
        <v>40.72</v>
      </c>
      <c r="E18" s="112">
        <v>5.36</v>
      </c>
      <c r="F18" s="112">
        <v>2.72</v>
      </c>
      <c r="G18" s="112">
        <v>115.94</v>
      </c>
      <c r="H18" s="112">
        <v>46.22</v>
      </c>
      <c r="I18" s="112">
        <v>8.9700000000000006</v>
      </c>
      <c r="J18" s="112">
        <v>0.11</v>
      </c>
      <c r="K18" s="112">
        <v>63.96</v>
      </c>
      <c r="L18" s="112">
        <v>14.94</v>
      </c>
      <c r="M18" s="112">
        <v>77.63</v>
      </c>
      <c r="N18" s="112">
        <v>0</v>
      </c>
      <c r="O18" s="112">
        <v>0</v>
      </c>
      <c r="P18" s="112">
        <v>0.97</v>
      </c>
      <c r="Q18" s="112">
        <v>5.63</v>
      </c>
    </row>
    <row r="19" spans="1:17" customFormat="1">
      <c r="A19" s="80">
        <v>45278.114583333336</v>
      </c>
      <c r="B19" s="112">
        <v>27.66</v>
      </c>
      <c r="C19" s="112">
        <v>29.88</v>
      </c>
      <c r="D19" s="112">
        <v>39.15</v>
      </c>
      <c r="E19" s="112">
        <v>5.62</v>
      </c>
      <c r="F19" s="112">
        <v>2.68</v>
      </c>
      <c r="G19" s="112">
        <v>115.94</v>
      </c>
      <c r="H19" s="112">
        <v>46.22</v>
      </c>
      <c r="I19" s="112">
        <v>8.9499999999999993</v>
      </c>
      <c r="J19" s="112">
        <v>0.08</v>
      </c>
      <c r="K19" s="112">
        <v>128.37</v>
      </c>
      <c r="L19" s="112">
        <v>14.89</v>
      </c>
      <c r="M19" s="112">
        <v>79.06</v>
      </c>
      <c r="N19" s="112">
        <v>0</v>
      </c>
      <c r="O19" s="112">
        <v>0</v>
      </c>
      <c r="P19" s="112">
        <v>0.93</v>
      </c>
      <c r="Q19" s="112">
        <v>5.59</v>
      </c>
    </row>
    <row r="20" spans="1:17" customFormat="1">
      <c r="A20" s="80">
        <v>45278.125</v>
      </c>
      <c r="B20" s="112">
        <v>26.35</v>
      </c>
      <c r="C20" s="112">
        <v>30.05</v>
      </c>
      <c r="D20" s="112">
        <v>38.18</v>
      </c>
      <c r="E20" s="112">
        <v>5.08</v>
      </c>
      <c r="F20" s="112">
        <v>2.44</v>
      </c>
      <c r="G20" s="112">
        <v>104.73</v>
      </c>
      <c r="H20" s="112">
        <v>44.02</v>
      </c>
      <c r="I20" s="112">
        <v>8.92</v>
      </c>
      <c r="J20" s="112">
        <v>0.09</v>
      </c>
      <c r="K20" s="112">
        <v>45.13</v>
      </c>
      <c r="L20" s="112">
        <v>14.66</v>
      </c>
      <c r="M20" s="112">
        <v>79.78</v>
      </c>
      <c r="N20" s="112">
        <v>0</v>
      </c>
      <c r="O20" s="112">
        <v>0</v>
      </c>
      <c r="P20" s="112">
        <v>0.92</v>
      </c>
      <c r="Q20" s="112">
        <v>5.54</v>
      </c>
    </row>
    <row r="21" spans="1:17" customFormat="1">
      <c r="A21" s="80">
        <v>45278.135416666664</v>
      </c>
      <c r="B21" s="112">
        <v>25.78</v>
      </c>
      <c r="C21" s="112">
        <v>29.85</v>
      </c>
      <c r="D21" s="112">
        <v>37.619999999999997</v>
      </c>
      <c r="E21" s="112">
        <v>5.28</v>
      </c>
      <c r="F21" s="112">
        <v>2.62</v>
      </c>
      <c r="G21" s="112">
        <v>93.01</v>
      </c>
      <c r="H21" s="112">
        <v>42.84</v>
      </c>
      <c r="I21" s="112">
        <v>8.92</v>
      </c>
      <c r="J21" s="112">
        <v>7.0000000000000007E-2</v>
      </c>
      <c r="K21" s="112">
        <v>131.75</v>
      </c>
      <c r="L21" s="112">
        <v>14.56</v>
      </c>
      <c r="M21" s="112">
        <v>81.11</v>
      </c>
      <c r="N21" s="112">
        <v>0</v>
      </c>
      <c r="O21" s="112">
        <v>0</v>
      </c>
      <c r="P21" s="112">
        <v>0.9</v>
      </c>
      <c r="Q21" s="112">
        <v>5.53</v>
      </c>
    </row>
    <row r="22" spans="1:17" customFormat="1">
      <c r="A22" s="80">
        <v>45278.145833333336</v>
      </c>
      <c r="B22" s="112">
        <v>25.57</v>
      </c>
      <c r="C22" s="112">
        <v>29.94</v>
      </c>
      <c r="D22" s="112">
        <v>37.5</v>
      </c>
      <c r="E22" s="112">
        <v>5.41</v>
      </c>
      <c r="F22" s="112">
        <v>2.5099999999999998</v>
      </c>
      <c r="G22" s="112">
        <v>93.01</v>
      </c>
      <c r="H22" s="112">
        <v>42.84</v>
      </c>
      <c r="I22" s="112">
        <v>8.94</v>
      </c>
      <c r="J22" s="112">
        <v>0.08</v>
      </c>
      <c r="K22" s="112">
        <v>189.18</v>
      </c>
      <c r="L22" s="112">
        <v>14.32</v>
      </c>
      <c r="M22" s="112">
        <v>83.24</v>
      </c>
      <c r="N22" s="112">
        <v>0</v>
      </c>
      <c r="O22" s="112">
        <v>0</v>
      </c>
      <c r="P22" s="112">
        <v>0.88</v>
      </c>
      <c r="Q22" s="112">
        <v>5.52</v>
      </c>
    </row>
    <row r="23" spans="1:17" customFormat="1">
      <c r="A23" s="80">
        <v>45278.15625</v>
      </c>
      <c r="B23" s="112">
        <v>25.03</v>
      </c>
      <c r="C23" s="112">
        <v>29.96</v>
      </c>
      <c r="D23" s="112">
        <v>37.07</v>
      </c>
      <c r="E23" s="112">
        <v>5.1100000000000003</v>
      </c>
      <c r="F23" s="112">
        <v>2.6</v>
      </c>
      <c r="G23" s="112">
        <v>93.01</v>
      </c>
      <c r="H23" s="112">
        <v>42.84</v>
      </c>
      <c r="I23" s="112">
        <v>8.86</v>
      </c>
      <c r="J23" s="112">
        <v>0.06</v>
      </c>
      <c r="K23" s="112">
        <v>201.74</v>
      </c>
      <c r="L23" s="112">
        <v>14.06</v>
      </c>
      <c r="M23" s="112">
        <v>87</v>
      </c>
      <c r="N23" s="112">
        <v>0</v>
      </c>
      <c r="O23" s="112">
        <v>0</v>
      </c>
      <c r="P23" s="112">
        <v>0.86</v>
      </c>
      <c r="Q23" s="112">
        <v>5.51</v>
      </c>
    </row>
    <row r="24" spans="1:17" customFormat="1">
      <c r="A24" s="80">
        <v>45278.166666666664</v>
      </c>
      <c r="B24" s="112">
        <v>24.77</v>
      </c>
      <c r="C24" s="112">
        <v>30.11</v>
      </c>
      <c r="D24" s="112">
        <v>36.950000000000003</v>
      </c>
      <c r="E24" s="112">
        <v>5.72</v>
      </c>
      <c r="F24" s="112">
        <v>2.61</v>
      </c>
      <c r="G24" s="112">
        <v>91.06</v>
      </c>
      <c r="H24" s="112">
        <v>40.25</v>
      </c>
      <c r="I24" s="112">
        <v>8.7200000000000006</v>
      </c>
      <c r="J24" s="112">
        <v>0.06</v>
      </c>
      <c r="K24" s="112">
        <v>140.69999999999999</v>
      </c>
      <c r="L24" s="112">
        <v>13.99</v>
      </c>
      <c r="M24" s="112">
        <v>84.7</v>
      </c>
      <c r="N24" s="112">
        <v>0</v>
      </c>
      <c r="O24" s="112">
        <v>0</v>
      </c>
      <c r="P24" s="112">
        <v>0.86</v>
      </c>
      <c r="Q24" s="112">
        <v>5.52</v>
      </c>
    </row>
    <row r="25" spans="1:17" customFormat="1">
      <c r="A25" s="80">
        <v>45278.177083333336</v>
      </c>
      <c r="B25" s="112">
        <v>25</v>
      </c>
      <c r="C25" s="112">
        <v>30.16</v>
      </c>
      <c r="D25" s="112">
        <v>37.159999999999997</v>
      </c>
      <c r="E25" s="112">
        <v>5.31</v>
      </c>
      <c r="F25" s="112">
        <v>2.54</v>
      </c>
      <c r="G25" s="112">
        <v>89.01</v>
      </c>
      <c r="H25" s="112">
        <v>38.89</v>
      </c>
      <c r="I25" s="112">
        <v>8.58</v>
      </c>
      <c r="J25" s="112">
        <v>0.08</v>
      </c>
      <c r="K25" s="112">
        <v>147.34</v>
      </c>
      <c r="L25" s="112">
        <v>13.92</v>
      </c>
      <c r="M25" s="112">
        <v>85.78</v>
      </c>
      <c r="N25" s="112">
        <v>0</v>
      </c>
      <c r="O25" s="112">
        <v>0</v>
      </c>
      <c r="P25" s="112">
        <v>0.83</v>
      </c>
      <c r="Q25" s="112">
        <v>5.52</v>
      </c>
    </row>
    <row r="26" spans="1:17" customFormat="1">
      <c r="A26" s="80">
        <v>45278.1875</v>
      </c>
      <c r="B26" s="112">
        <v>24.69</v>
      </c>
      <c r="C26" s="112">
        <v>29.56</v>
      </c>
      <c r="D26" s="112">
        <v>36.590000000000003</v>
      </c>
      <c r="E26" s="112">
        <v>5.46</v>
      </c>
      <c r="F26" s="112">
        <v>2.58</v>
      </c>
      <c r="G26" s="112">
        <v>89.01</v>
      </c>
      <c r="H26" s="112">
        <v>38.89</v>
      </c>
      <c r="I26" s="112">
        <v>8.43</v>
      </c>
      <c r="J26" s="112">
        <v>0.11</v>
      </c>
      <c r="K26" s="112">
        <v>130.04</v>
      </c>
      <c r="L26" s="112">
        <v>13.96</v>
      </c>
      <c r="M26" s="112">
        <v>84.89</v>
      </c>
      <c r="N26" s="112">
        <v>0</v>
      </c>
      <c r="O26" s="112">
        <v>0</v>
      </c>
      <c r="P26" s="112">
        <v>0.82</v>
      </c>
      <c r="Q26" s="112">
        <v>5.5</v>
      </c>
    </row>
    <row r="27" spans="1:17" customFormat="1">
      <c r="A27" s="80">
        <v>45278.197916666664</v>
      </c>
      <c r="B27" s="112">
        <v>24.2</v>
      </c>
      <c r="C27" s="112">
        <v>29.34</v>
      </c>
      <c r="D27" s="112">
        <v>36.090000000000003</v>
      </c>
      <c r="E27" s="112">
        <v>5.35</v>
      </c>
      <c r="F27" s="112">
        <v>2.5099999999999998</v>
      </c>
      <c r="G27" s="112">
        <v>89.01</v>
      </c>
      <c r="H27" s="112">
        <v>38.89</v>
      </c>
      <c r="I27" s="112">
        <v>8.24</v>
      </c>
      <c r="J27" s="112">
        <v>0.18</v>
      </c>
      <c r="K27" s="112">
        <v>46.24</v>
      </c>
      <c r="L27" s="112">
        <v>13.95</v>
      </c>
      <c r="M27" s="112">
        <v>83.25</v>
      </c>
      <c r="N27" s="112">
        <v>0</v>
      </c>
      <c r="O27" s="112">
        <v>0</v>
      </c>
      <c r="P27" s="112">
        <v>0.79</v>
      </c>
      <c r="Q27" s="112">
        <v>5.48</v>
      </c>
    </row>
    <row r="28" spans="1:17" customFormat="1">
      <c r="A28" s="80">
        <v>45278.208333333336</v>
      </c>
      <c r="B28" s="112">
        <v>23.73</v>
      </c>
      <c r="C28" s="112">
        <v>29.48</v>
      </c>
      <c r="D28" s="112">
        <v>35.78</v>
      </c>
      <c r="E28" s="112">
        <v>5.4</v>
      </c>
      <c r="F28" s="112">
        <v>2.5499999999999998</v>
      </c>
      <c r="G28" s="112">
        <v>83.72</v>
      </c>
      <c r="H28" s="112">
        <v>37.74</v>
      </c>
      <c r="I28" s="112">
        <v>8.06</v>
      </c>
      <c r="J28" s="112">
        <v>0.25</v>
      </c>
      <c r="K28" s="112">
        <v>34.11</v>
      </c>
      <c r="L28" s="112">
        <v>14.14</v>
      </c>
      <c r="M28" s="112">
        <v>81.13</v>
      </c>
      <c r="N28" s="112">
        <v>0</v>
      </c>
      <c r="O28" s="112">
        <v>0</v>
      </c>
      <c r="P28" s="112">
        <v>0.78</v>
      </c>
      <c r="Q28" s="112">
        <v>5.47</v>
      </c>
    </row>
    <row r="29" spans="1:17" customFormat="1">
      <c r="A29" s="80">
        <v>45278.21875</v>
      </c>
      <c r="B29" s="112">
        <v>23.08</v>
      </c>
      <c r="C29" s="112">
        <v>29.54</v>
      </c>
      <c r="D29" s="112">
        <v>35.299999999999997</v>
      </c>
      <c r="E29" s="112">
        <v>5.24</v>
      </c>
      <c r="F29" s="112">
        <v>2.54</v>
      </c>
      <c r="G29" s="112">
        <v>78.19</v>
      </c>
      <c r="H29" s="112">
        <v>36.979999999999997</v>
      </c>
      <c r="I29" s="112">
        <v>7.88</v>
      </c>
      <c r="J29" s="112">
        <v>0.2</v>
      </c>
      <c r="K29" s="112">
        <v>53.1</v>
      </c>
      <c r="L29" s="112">
        <v>14.13</v>
      </c>
      <c r="M29" s="112">
        <v>81.349999999999994</v>
      </c>
      <c r="N29" s="112">
        <v>0</v>
      </c>
      <c r="O29" s="112">
        <v>0</v>
      </c>
      <c r="P29" s="112">
        <v>0.77</v>
      </c>
      <c r="Q29" s="112">
        <v>5.47</v>
      </c>
    </row>
    <row r="30" spans="1:17" customFormat="1">
      <c r="A30" s="80">
        <v>45278.229166666664</v>
      </c>
      <c r="B30" s="112">
        <v>22.73</v>
      </c>
      <c r="C30" s="112">
        <v>29.18</v>
      </c>
      <c r="D30" s="112">
        <v>34.82</v>
      </c>
      <c r="E30" s="112">
        <v>5.0199999999999996</v>
      </c>
      <c r="F30" s="112">
        <v>2.56</v>
      </c>
      <c r="G30" s="112">
        <v>78.19</v>
      </c>
      <c r="H30" s="112">
        <v>36.979999999999997</v>
      </c>
      <c r="I30" s="112">
        <v>7.74</v>
      </c>
      <c r="J30" s="112">
        <v>0.25</v>
      </c>
      <c r="K30" s="112">
        <v>32.58</v>
      </c>
      <c r="L30" s="112">
        <v>14.14</v>
      </c>
      <c r="M30" s="112">
        <v>80.7</v>
      </c>
      <c r="N30" s="112">
        <v>0</v>
      </c>
      <c r="O30" s="112">
        <v>0</v>
      </c>
      <c r="P30" s="112">
        <v>0.76</v>
      </c>
      <c r="Q30" s="112">
        <v>5.47</v>
      </c>
    </row>
    <row r="31" spans="1:17" customFormat="1">
      <c r="A31" s="80">
        <v>45278.239583333336</v>
      </c>
      <c r="B31" s="112">
        <v>22.94</v>
      </c>
      <c r="C31" s="112">
        <v>29.35</v>
      </c>
      <c r="D31" s="112">
        <v>35.090000000000003</v>
      </c>
      <c r="E31" s="112">
        <v>5.55</v>
      </c>
      <c r="F31" s="112">
        <v>2.62</v>
      </c>
      <c r="G31" s="112">
        <v>78.19</v>
      </c>
      <c r="H31" s="112">
        <v>36.979999999999997</v>
      </c>
      <c r="I31" s="112">
        <v>7.63</v>
      </c>
      <c r="J31" s="112">
        <v>0.24</v>
      </c>
      <c r="K31" s="112">
        <v>46.84</v>
      </c>
      <c r="L31" s="112">
        <v>14.19</v>
      </c>
      <c r="M31" s="112">
        <v>80.08</v>
      </c>
      <c r="N31" s="112">
        <v>0</v>
      </c>
      <c r="O31" s="112">
        <v>0</v>
      </c>
      <c r="P31" s="112">
        <v>0.74</v>
      </c>
      <c r="Q31" s="112">
        <v>5.43</v>
      </c>
    </row>
    <row r="32" spans="1:17" customFormat="1">
      <c r="A32" s="80">
        <v>45278.25</v>
      </c>
      <c r="B32" s="112">
        <v>23.34</v>
      </c>
      <c r="C32" s="112">
        <v>30.12</v>
      </c>
      <c r="D32" s="112">
        <v>35.81</v>
      </c>
      <c r="E32" s="112">
        <v>5.57</v>
      </c>
      <c r="F32" s="112">
        <v>2.64</v>
      </c>
      <c r="G32" s="112">
        <v>76.739999999999995</v>
      </c>
      <c r="H32" s="112">
        <v>35.39</v>
      </c>
      <c r="I32" s="112">
        <v>7.52</v>
      </c>
      <c r="J32" s="112">
        <v>0.18</v>
      </c>
      <c r="K32" s="112">
        <v>32.97</v>
      </c>
      <c r="L32" s="112">
        <v>14.06</v>
      </c>
      <c r="M32" s="112">
        <v>81.55</v>
      </c>
      <c r="N32" s="112">
        <v>0</v>
      </c>
      <c r="O32" s="112">
        <v>0</v>
      </c>
      <c r="P32" s="112">
        <v>0.74</v>
      </c>
      <c r="Q32" s="112">
        <v>5.43</v>
      </c>
    </row>
    <row r="33" spans="1:17" customFormat="1">
      <c r="A33" s="80">
        <v>45278.260416666664</v>
      </c>
      <c r="B33" s="112">
        <v>23.97</v>
      </c>
      <c r="C33" s="112">
        <v>30.45</v>
      </c>
      <c r="D33" s="112">
        <v>36.479999999999997</v>
      </c>
      <c r="E33" s="112">
        <v>4.99</v>
      </c>
      <c r="F33" s="112">
        <v>2.54</v>
      </c>
      <c r="G33" s="112">
        <v>75.23</v>
      </c>
      <c r="H33" s="112">
        <v>34.56</v>
      </c>
      <c r="I33" s="112">
        <v>7.43</v>
      </c>
      <c r="J33" s="112">
        <v>0.15</v>
      </c>
      <c r="K33" s="112">
        <v>36.4</v>
      </c>
      <c r="L33" s="112">
        <v>13.88</v>
      </c>
      <c r="M33" s="112">
        <v>83</v>
      </c>
      <c r="N33" s="112">
        <v>0</v>
      </c>
      <c r="O33" s="112">
        <v>0</v>
      </c>
      <c r="P33" s="112">
        <v>0.73</v>
      </c>
      <c r="Q33" s="112">
        <v>5.47</v>
      </c>
    </row>
    <row r="34" spans="1:17" customFormat="1">
      <c r="A34" s="80">
        <v>45278.270833333336</v>
      </c>
      <c r="B34" s="112">
        <v>24.3</v>
      </c>
      <c r="C34" s="112">
        <v>29.99</v>
      </c>
      <c r="D34" s="112">
        <v>36.5</v>
      </c>
      <c r="E34" s="112">
        <v>5.73</v>
      </c>
      <c r="F34" s="112">
        <v>2.62</v>
      </c>
      <c r="G34" s="112">
        <v>75.23</v>
      </c>
      <c r="H34" s="112">
        <v>34.56</v>
      </c>
      <c r="I34" s="112">
        <v>7.36</v>
      </c>
      <c r="J34" s="112">
        <v>0.22</v>
      </c>
      <c r="K34" s="112">
        <v>40.26</v>
      </c>
      <c r="L34" s="112">
        <v>13.93</v>
      </c>
      <c r="M34" s="112">
        <v>82.75</v>
      </c>
      <c r="N34" s="112">
        <v>0</v>
      </c>
      <c r="O34" s="112">
        <v>0</v>
      </c>
      <c r="P34" s="112">
        <v>0.73</v>
      </c>
      <c r="Q34" s="112">
        <v>5.46</v>
      </c>
    </row>
    <row r="35" spans="1:17" customFormat="1">
      <c r="A35" s="80">
        <v>45278.28125</v>
      </c>
      <c r="B35" s="112">
        <v>24.59</v>
      </c>
      <c r="C35" s="112">
        <v>29.82</v>
      </c>
      <c r="D35" s="112">
        <v>36.65</v>
      </c>
      <c r="E35" s="112">
        <v>5.76</v>
      </c>
      <c r="F35" s="112">
        <v>2.6</v>
      </c>
      <c r="G35" s="112">
        <v>75.23</v>
      </c>
      <c r="H35" s="112">
        <v>34.56</v>
      </c>
      <c r="I35" s="112">
        <v>7.31</v>
      </c>
      <c r="J35" s="112">
        <v>0.21</v>
      </c>
      <c r="K35" s="112">
        <v>42.5</v>
      </c>
      <c r="L35" s="112">
        <v>14.01</v>
      </c>
      <c r="M35" s="112">
        <v>82.32</v>
      </c>
      <c r="N35" s="112">
        <v>0.2</v>
      </c>
      <c r="O35" s="112">
        <v>0</v>
      </c>
      <c r="P35" s="112">
        <v>0.73</v>
      </c>
      <c r="Q35" s="112">
        <v>5.48</v>
      </c>
    </row>
    <row r="36" spans="1:17" customFormat="1">
      <c r="A36" s="80">
        <v>45278.291666666664</v>
      </c>
      <c r="B36" s="112">
        <v>25.3</v>
      </c>
      <c r="C36" s="112">
        <v>30.42</v>
      </c>
      <c r="D36" s="112">
        <v>37.53</v>
      </c>
      <c r="E36" s="112">
        <v>5.5</v>
      </c>
      <c r="F36" s="112">
        <v>2.5099999999999998</v>
      </c>
      <c r="G36" s="112">
        <v>75.459999999999994</v>
      </c>
      <c r="H36" s="112">
        <v>36.71</v>
      </c>
      <c r="I36" s="112">
        <v>7.3</v>
      </c>
      <c r="J36" s="112">
        <v>0.2</v>
      </c>
      <c r="K36" s="112">
        <v>47.03</v>
      </c>
      <c r="L36" s="112">
        <v>14.1</v>
      </c>
      <c r="M36" s="112">
        <v>81.56</v>
      </c>
      <c r="N36" s="112">
        <v>2.4</v>
      </c>
      <c r="O36" s="112">
        <v>0</v>
      </c>
      <c r="P36" s="112">
        <v>0.75</v>
      </c>
      <c r="Q36" s="112">
        <v>5.53</v>
      </c>
    </row>
    <row r="37" spans="1:17" customFormat="1">
      <c r="A37" s="80">
        <v>45278.302083333336</v>
      </c>
      <c r="B37" s="112">
        <v>26.59</v>
      </c>
      <c r="C37" s="112">
        <v>31.03</v>
      </c>
      <c r="D37" s="112">
        <v>38.880000000000003</v>
      </c>
      <c r="E37" s="112">
        <v>5.23</v>
      </c>
      <c r="F37" s="112">
        <v>2.4500000000000002</v>
      </c>
      <c r="G37" s="112">
        <v>75.7</v>
      </c>
      <c r="H37" s="112">
        <v>37.86</v>
      </c>
      <c r="I37" s="112">
        <v>7.34</v>
      </c>
      <c r="J37" s="112">
        <v>0.3</v>
      </c>
      <c r="K37" s="112">
        <v>40.200000000000003</v>
      </c>
      <c r="L37" s="112">
        <v>14.3</v>
      </c>
      <c r="M37" s="112">
        <v>80.209999999999994</v>
      </c>
      <c r="N37" s="112">
        <v>17.399999999999999</v>
      </c>
      <c r="O37" s="112">
        <v>0</v>
      </c>
      <c r="P37" s="112">
        <v>0.77</v>
      </c>
      <c r="Q37" s="112">
        <v>5.54</v>
      </c>
    </row>
    <row r="38" spans="1:17" customFormat="1">
      <c r="A38" s="80">
        <v>45278.3125</v>
      </c>
      <c r="B38" s="112">
        <v>27.12</v>
      </c>
      <c r="C38" s="112">
        <v>31.29</v>
      </c>
      <c r="D38" s="112">
        <v>39.450000000000003</v>
      </c>
      <c r="E38" s="112">
        <v>5.12</v>
      </c>
      <c r="F38" s="112">
        <v>2.59</v>
      </c>
      <c r="G38" s="112">
        <v>75.7</v>
      </c>
      <c r="H38" s="112">
        <v>37.86</v>
      </c>
      <c r="I38" s="112">
        <v>7.49</v>
      </c>
      <c r="J38" s="112">
        <v>0.42</v>
      </c>
      <c r="K38" s="112">
        <v>34.99</v>
      </c>
      <c r="L38" s="112">
        <v>14.75</v>
      </c>
      <c r="M38" s="112">
        <v>76.55</v>
      </c>
      <c r="N38" s="112">
        <v>29</v>
      </c>
      <c r="O38" s="112">
        <v>0</v>
      </c>
      <c r="P38" s="112">
        <v>0.79</v>
      </c>
      <c r="Q38" s="112">
        <v>5.56</v>
      </c>
    </row>
    <row r="39" spans="1:17" customFormat="1">
      <c r="A39" s="80">
        <v>45278.322916666664</v>
      </c>
      <c r="B39" s="112">
        <v>26.18</v>
      </c>
      <c r="C39" s="112">
        <v>32.06</v>
      </c>
      <c r="D39" s="112">
        <v>39.1</v>
      </c>
      <c r="E39" s="112">
        <v>5.28</v>
      </c>
      <c r="F39" s="112">
        <v>2.7</v>
      </c>
      <c r="G39" s="112">
        <v>75.7</v>
      </c>
      <c r="H39" s="112">
        <v>37.86</v>
      </c>
      <c r="I39" s="112">
        <v>7.67</v>
      </c>
      <c r="J39" s="112">
        <v>0.45</v>
      </c>
      <c r="K39" s="112">
        <v>31.98</v>
      </c>
      <c r="L39" s="112">
        <v>15.11</v>
      </c>
      <c r="M39" s="112">
        <v>74.599999999999994</v>
      </c>
      <c r="N39" s="112">
        <v>37.1</v>
      </c>
      <c r="O39" s="112">
        <v>0</v>
      </c>
      <c r="P39" s="112">
        <v>0.79</v>
      </c>
      <c r="Q39" s="112">
        <v>5.54</v>
      </c>
    </row>
    <row r="40" spans="1:17" customFormat="1">
      <c r="A40" s="80">
        <v>45278.333333333336</v>
      </c>
      <c r="B40" s="112">
        <v>24.85</v>
      </c>
      <c r="C40" s="112">
        <v>32.9</v>
      </c>
      <c r="D40" s="112">
        <v>38.47</v>
      </c>
      <c r="E40" s="112">
        <v>5.35</v>
      </c>
      <c r="F40" s="112">
        <v>2.88</v>
      </c>
      <c r="G40" s="112">
        <v>77.22</v>
      </c>
      <c r="H40" s="112">
        <v>36.71</v>
      </c>
      <c r="I40" s="112">
        <v>7.81</v>
      </c>
      <c r="J40" s="112">
        <v>0.61</v>
      </c>
      <c r="K40" s="112">
        <v>51.32</v>
      </c>
      <c r="L40" s="112">
        <v>15.6</v>
      </c>
      <c r="M40" s="112">
        <v>72.37</v>
      </c>
      <c r="N40" s="112">
        <v>73.7</v>
      </c>
      <c r="O40" s="112">
        <v>0</v>
      </c>
      <c r="P40" s="112">
        <v>0.79</v>
      </c>
      <c r="Q40" s="112">
        <v>5.52</v>
      </c>
    </row>
    <row r="41" spans="1:17" customFormat="1">
      <c r="A41" s="80">
        <v>45278.34375</v>
      </c>
      <c r="B41" s="112">
        <v>23.26</v>
      </c>
      <c r="C41" s="112">
        <v>33.49</v>
      </c>
      <c r="D41" s="112">
        <v>37.5</v>
      </c>
      <c r="E41" s="112">
        <v>5.17</v>
      </c>
      <c r="F41" s="112">
        <v>2.81</v>
      </c>
      <c r="G41" s="112">
        <v>78.81</v>
      </c>
      <c r="H41" s="112">
        <v>35.44</v>
      </c>
      <c r="I41" s="112">
        <v>7.92</v>
      </c>
      <c r="J41" s="112">
        <v>0.65</v>
      </c>
      <c r="K41" s="112">
        <v>49.19</v>
      </c>
      <c r="L41" s="112">
        <v>16.170000000000002</v>
      </c>
      <c r="M41" s="112">
        <v>70.55</v>
      </c>
      <c r="N41" s="112">
        <v>152.4</v>
      </c>
      <c r="O41" s="112">
        <v>0</v>
      </c>
      <c r="P41" s="112">
        <v>0.79</v>
      </c>
      <c r="Q41" s="112">
        <v>5.47</v>
      </c>
    </row>
    <row r="42" spans="1:17" customFormat="1">
      <c r="A42" s="80">
        <v>45278.354166666664</v>
      </c>
      <c r="B42" s="112">
        <v>21.53</v>
      </c>
      <c r="C42" s="112">
        <v>32.69</v>
      </c>
      <c r="D42" s="112">
        <v>35.69</v>
      </c>
      <c r="E42" s="112">
        <v>5.37</v>
      </c>
      <c r="F42" s="112">
        <v>2.92</v>
      </c>
      <c r="G42" s="112">
        <v>78.81</v>
      </c>
      <c r="H42" s="112">
        <v>35.44</v>
      </c>
      <c r="I42" s="112">
        <v>7.94</v>
      </c>
      <c r="J42" s="112">
        <v>0.51</v>
      </c>
      <c r="K42" s="112">
        <v>52.19</v>
      </c>
      <c r="L42" s="112">
        <v>16.87</v>
      </c>
      <c r="M42" s="112">
        <v>67.91</v>
      </c>
      <c r="N42" s="112">
        <v>186.7</v>
      </c>
      <c r="O42" s="112">
        <v>0</v>
      </c>
      <c r="P42" s="112">
        <v>0.78</v>
      </c>
      <c r="Q42" s="112">
        <v>5.46</v>
      </c>
    </row>
    <row r="43" spans="1:17" customFormat="1">
      <c r="A43" s="80">
        <v>45278.364583333336</v>
      </c>
      <c r="B43" s="112">
        <v>19.8</v>
      </c>
      <c r="C43" s="112">
        <v>31.75</v>
      </c>
      <c r="D43" s="112">
        <v>33.82</v>
      </c>
      <c r="E43" s="112">
        <v>5.22</v>
      </c>
      <c r="F43" s="112">
        <v>2.9</v>
      </c>
      <c r="G43" s="112">
        <v>78.81</v>
      </c>
      <c r="H43" s="112">
        <v>35.44</v>
      </c>
      <c r="I43" s="112">
        <v>7.88</v>
      </c>
      <c r="J43" s="112">
        <v>0.6</v>
      </c>
      <c r="K43" s="112">
        <v>54.28</v>
      </c>
      <c r="L43" s="112">
        <v>17.75</v>
      </c>
      <c r="M43" s="112">
        <v>63.13</v>
      </c>
      <c r="N43" s="112">
        <v>217.3</v>
      </c>
      <c r="O43" s="112">
        <v>0</v>
      </c>
      <c r="P43" s="112">
        <v>0.77</v>
      </c>
      <c r="Q43" s="112">
        <v>5.41</v>
      </c>
    </row>
    <row r="44" spans="1:17" customFormat="1">
      <c r="A44" s="80">
        <v>45278.375</v>
      </c>
      <c r="B44" s="112">
        <v>18.2</v>
      </c>
      <c r="C44" s="112">
        <v>31.47</v>
      </c>
      <c r="D44" s="112">
        <v>32.39</v>
      </c>
      <c r="E44" s="112">
        <v>4.8</v>
      </c>
      <c r="F44" s="112">
        <v>2.97</v>
      </c>
      <c r="G44" s="112">
        <v>77.59</v>
      </c>
      <c r="H44" s="112">
        <v>33.24</v>
      </c>
      <c r="I44" s="112">
        <v>7.78</v>
      </c>
      <c r="J44" s="112">
        <v>0.78</v>
      </c>
      <c r="K44" s="112">
        <v>36.159999999999997</v>
      </c>
      <c r="L44" s="112">
        <v>18.34</v>
      </c>
      <c r="M44" s="112">
        <v>59.94</v>
      </c>
      <c r="N44" s="112">
        <v>188.2</v>
      </c>
      <c r="O44" s="112">
        <v>0</v>
      </c>
      <c r="P44" s="112">
        <v>0.78</v>
      </c>
      <c r="Q44" s="112">
        <v>5.35</v>
      </c>
    </row>
    <row r="45" spans="1:17" customFormat="1">
      <c r="A45" s="80">
        <v>45278.385416666664</v>
      </c>
      <c r="B45" s="112">
        <v>17.43</v>
      </c>
      <c r="C45" s="112">
        <v>32.06</v>
      </c>
      <c r="D45" s="112">
        <v>32.08</v>
      </c>
      <c r="E45" s="112">
        <v>5.2</v>
      </c>
      <c r="F45" s="112">
        <v>2.87</v>
      </c>
      <c r="G45" s="112">
        <v>76.31</v>
      </c>
      <c r="H45" s="112">
        <v>32.090000000000003</v>
      </c>
      <c r="I45" s="112">
        <v>7.74</v>
      </c>
      <c r="J45" s="112">
        <v>0.66</v>
      </c>
      <c r="K45" s="112">
        <v>48.06</v>
      </c>
      <c r="L45" s="112">
        <v>19.100000000000001</v>
      </c>
      <c r="M45" s="112">
        <v>56.77</v>
      </c>
      <c r="N45" s="112">
        <v>120.4</v>
      </c>
      <c r="O45" s="112">
        <v>0</v>
      </c>
      <c r="P45" s="112">
        <v>0.78</v>
      </c>
      <c r="Q45" s="112">
        <v>5.34</v>
      </c>
    </row>
    <row r="46" spans="1:17" customFormat="1">
      <c r="A46" s="80">
        <v>45278.395833333336</v>
      </c>
      <c r="B46" s="112">
        <v>16.89</v>
      </c>
      <c r="C46" s="112">
        <v>31.78</v>
      </c>
      <c r="D46" s="112">
        <v>31.5</v>
      </c>
      <c r="E46" s="112">
        <v>5.33</v>
      </c>
      <c r="F46" s="112">
        <v>2.91</v>
      </c>
      <c r="G46" s="112">
        <v>76.31</v>
      </c>
      <c r="H46" s="112">
        <v>32.090000000000003</v>
      </c>
      <c r="I46" s="112">
        <v>7.73</v>
      </c>
      <c r="J46" s="112">
        <v>0.61</v>
      </c>
      <c r="K46" s="112">
        <v>57.4</v>
      </c>
      <c r="L46" s="112">
        <v>19.77</v>
      </c>
      <c r="M46" s="112">
        <v>52.78</v>
      </c>
      <c r="N46" s="112">
        <v>117.5</v>
      </c>
      <c r="O46" s="112">
        <v>0</v>
      </c>
      <c r="P46" s="112">
        <v>0.77</v>
      </c>
      <c r="Q46" s="112">
        <v>5.3</v>
      </c>
    </row>
    <row r="47" spans="1:17" customFormat="1">
      <c r="A47" s="80">
        <v>45278.40625</v>
      </c>
      <c r="B47" s="112">
        <v>16.27</v>
      </c>
      <c r="C47" s="112">
        <v>31.45</v>
      </c>
      <c r="D47" s="112">
        <v>30.83</v>
      </c>
      <c r="E47" s="112">
        <v>5.25</v>
      </c>
      <c r="F47" s="112">
        <v>2.88</v>
      </c>
      <c r="G47" s="112">
        <v>76.31</v>
      </c>
      <c r="H47" s="112">
        <v>32.090000000000003</v>
      </c>
      <c r="I47" s="112">
        <v>7.74</v>
      </c>
      <c r="J47" s="112">
        <v>0.74</v>
      </c>
      <c r="K47" s="112">
        <v>42</v>
      </c>
      <c r="L47" s="112">
        <v>20.27</v>
      </c>
      <c r="M47" s="112">
        <v>51.31</v>
      </c>
      <c r="N47" s="112">
        <v>141.5</v>
      </c>
      <c r="O47" s="112">
        <v>0</v>
      </c>
      <c r="P47" s="112">
        <v>0.77</v>
      </c>
      <c r="Q47" s="112">
        <v>5.29</v>
      </c>
    </row>
    <row r="48" spans="1:17" customFormat="1">
      <c r="A48" s="80">
        <v>45278.416666666664</v>
      </c>
      <c r="B48" s="112">
        <v>15.43</v>
      </c>
      <c r="C48" s="112">
        <v>31.48</v>
      </c>
      <c r="D48" s="112">
        <v>30.17</v>
      </c>
      <c r="E48" s="112">
        <v>5.0999999999999996</v>
      </c>
      <c r="F48" s="112">
        <v>2.94</v>
      </c>
      <c r="G48" s="112">
        <v>77.739999999999995</v>
      </c>
      <c r="H48" s="112">
        <v>31.61</v>
      </c>
      <c r="I48" s="112">
        <v>7.68</v>
      </c>
      <c r="J48" s="112">
        <v>0.79</v>
      </c>
      <c r="K48" s="112">
        <v>46.2</v>
      </c>
      <c r="L48" s="112">
        <v>20.75</v>
      </c>
      <c r="M48" s="112">
        <v>48.63</v>
      </c>
      <c r="N48" s="112">
        <v>248.1</v>
      </c>
      <c r="O48" s="112">
        <v>0</v>
      </c>
      <c r="P48" s="112">
        <v>0.76</v>
      </c>
      <c r="Q48" s="112">
        <v>5.28</v>
      </c>
    </row>
    <row r="49" spans="1:17" customFormat="1">
      <c r="A49" s="80">
        <v>45278.427083333336</v>
      </c>
      <c r="B49" s="112">
        <v>14.68</v>
      </c>
      <c r="C49" s="112">
        <v>31.55</v>
      </c>
      <c r="D49" s="112">
        <v>29.61</v>
      </c>
      <c r="E49" s="112">
        <v>5.62</v>
      </c>
      <c r="F49" s="112">
        <v>3.1</v>
      </c>
      <c r="G49" s="112">
        <v>79.22</v>
      </c>
      <c r="H49" s="112">
        <v>31.36</v>
      </c>
      <c r="I49" s="112">
        <v>7.58</v>
      </c>
      <c r="J49" s="112">
        <v>0.87</v>
      </c>
      <c r="K49" s="112">
        <v>35.549999999999997</v>
      </c>
      <c r="L49" s="112">
        <v>21.22</v>
      </c>
      <c r="M49" s="112">
        <v>45.54</v>
      </c>
      <c r="N49" s="112">
        <v>409.5</v>
      </c>
      <c r="O49" s="112">
        <v>0</v>
      </c>
      <c r="P49" s="112">
        <v>0.75</v>
      </c>
      <c r="Q49" s="112">
        <v>5.26</v>
      </c>
    </row>
    <row r="50" spans="1:17" customFormat="1">
      <c r="A50" s="80">
        <v>45278.4375</v>
      </c>
      <c r="B50" s="112">
        <v>14.11</v>
      </c>
      <c r="C50" s="112">
        <v>31.62</v>
      </c>
      <c r="D50" s="112">
        <v>29.19</v>
      </c>
      <c r="E50" s="112">
        <v>5.97</v>
      </c>
      <c r="F50" s="112">
        <v>3.27</v>
      </c>
      <c r="G50" s="112">
        <v>79.22</v>
      </c>
      <c r="H50" s="112">
        <v>31.36</v>
      </c>
      <c r="I50" s="112">
        <v>7.48</v>
      </c>
      <c r="J50" s="112">
        <v>0.71</v>
      </c>
      <c r="K50" s="112">
        <v>30.02</v>
      </c>
      <c r="L50" s="112">
        <v>21.77</v>
      </c>
      <c r="M50" s="112">
        <v>43.79</v>
      </c>
      <c r="N50" s="112">
        <v>436.2</v>
      </c>
      <c r="O50" s="112">
        <v>0</v>
      </c>
      <c r="P50" s="112">
        <v>0.74</v>
      </c>
      <c r="Q50" s="112">
        <v>5.24</v>
      </c>
    </row>
    <row r="51" spans="1:17" customFormat="1">
      <c r="A51" s="80">
        <v>45278.447916666664</v>
      </c>
      <c r="B51" s="112">
        <v>13.55</v>
      </c>
      <c r="C51" s="112">
        <v>32.08</v>
      </c>
      <c r="D51" s="112">
        <v>28.98</v>
      </c>
      <c r="E51" s="112">
        <v>6.02</v>
      </c>
      <c r="F51" s="112">
        <v>3.17</v>
      </c>
      <c r="G51" s="112">
        <v>79.22</v>
      </c>
      <c r="H51" s="112">
        <v>31.36</v>
      </c>
      <c r="I51" s="112">
        <v>7.35</v>
      </c>
      <c r="J51" s="112">
        <v>0.87</v>
      </c>
      <c r="K51" s="112">
        <v>41.14</v>
      </c>
      <c r="L51" s="112">
        <v>22.31</v>
      </c>
      <c r="M51" s="112">
        <v>41.2</v>
      </c>
      <c r="N51" s="112">
        <v>427.7</v>
      </c>
      <c r="O51" s="112">
        <v>0</v>
      </c>
      <c r="P51" s="112">
        <v>0.74</v>
      </c>
      <c r="Q51" s="112">
        <v>5.21</v>
      </c>
    </row>
    <row r="52" spans="1:17" customFormat="1">
      <c r="A52" s="80">
        <v>45278.458333333336</v>
      </c>
      <c r="B52" s="112">
        <v>12.91</v>
      </c>
      <c r="C52" s="112">
        <v>32.57</v>
      </c>
      <c r="D52" s="112">
        <v>28.72</v>
      </c>
      <c r="E52" s="112">
        <v>6.12</v>
      </c>
      <c r="F52" s="112">
        <v>3.18</v>
      </c>
      <c r="G52" s="112">
        <v>79.78</v>
      </c>
      <c r="H52" s="112">
        <v>30.98</v>
      </c>
      <c r="I52" s="112">
        <v>7.2</v>
      </c>
      <c r="J52" s="112">
        <v>0.61</v>
      </c>
      <c r="K52" s="112">
        <v>58.84</v>
      </c>
      <c r="L52" s="112">
        <v>22.39</v>
      </c>
      <c r="M52" s="112">
        <v>39.880000000000003</v>
      </c>
      <c r="N52" s="112">
        <v>420.6</v>
      </c>
      <c r="O52" s="112">
        <v>0</v>
      </c>
      <c r="P52" s="112">
        <v>0.73</v>
      </c>
      <c r="Q52" s="112">
        <v>5.21</v>
      </c>
    </row>
    <row r="53" spans="1:17" customFormat="1">
      <c r="A53" s="80">
        <v>45278.46875</v>
      </c>
      <c r="B53" s="112">
        <v>12.2</v>
      </c>
      <c r="C53" s="112">
        <v>32.76</v>
      </c>
      <c r="D53" s="112">
        <v>28.25</v>
      </c>
      <c r="E53" s="112">
        <v>6.87</v>
      </c>
      <c r="F53" s="112">
        <v>3.38</v>
      </c>
      <c r="G53" s="112">
        <v>80.37</v>
      </c>
      <c r="H53" s="112">
        <v>30.78</v>
      </c>
      <c r="I53" s="112">
        <v>7.07</v>
      </c>
      <c r="J53" s="112">
        <v>0.77</v>
      </c>
      <c r="K53" s="112">
        <v>46.61</v>
      </c>
      <c r="L53" s="112">
        <v>23.01</v>
      </c>
      <c r="M53" s="112">
        <v>38.590000000000003</v>
      </c>
      <c r="N53" s="112">
        <v>476.1</v>
      </c>
      <c r="O53" s="112">
        <v>0</v>
      </c>
      <c r="P53" s="112">
        <v>0.72</v>
      </c>
      <c r="Q53" s="112">
        <v>5.19</v>
      </c>
    </row>
    <row r="54" spans="1:17" customFormat="1">
      <c r="A54" s="80">
        <v>45278.479166666664</v>
      </c>
      <c r="B54" s="112">
        <v>11.2</v>
      </c>
      <c r="C54" s="112">
        <v>32.979999999999997</v>
      </c>
      <c r="D54" s="112">
        <v>27.56</v>
      </c>
      <c r="E54" s="112">
        <v>6.42</v>
      </c>
      <c r="F54" s="112">
        <v>3.45</v>
      </c>
      <c r="G54" s="112">
        <v>80.37</v>
      </c>
      <c r="H54" s="112">
        <v>30.78</v>
      </c>
      <c r="I54" s="112">
        <v>6.98</v>
      </c>
      <c r="J54" s="112">
        <v>0.44</v>
      </c>
      <c r="K54" s="112">
        <v>66.150000000000006</v>
      </c>
      <c r="L54" s="112">
        <v>23.57</v>
      </c>
      <c r="M54" s="112">
        <v>37.450000000000003</v>
      </c>
      <c r="N54" s="112">
        <v>487.4</v>
      </c>
      <c r="O54" s="112">
        <v>0</v>
      </c>
      <c r="P54" s="112">
        <v>0.71</v>
      </c>
      <c r="Q54" s="112">
        <v>5.17</v>
      </c>
    </row>
    <row r="55" spans="1:17" customFormat="1">
      <c r="A55" s="80">
        <v>45278.489583333336</v>
      </c>
      <c r="B55" s="112">
        <v>10.220000000000001</v>
      </c>
      <c r="C55" s="112">
        <v>33.04</v>
      </c>
      <c r="D55" s="112">
        <v>26.81</v>
      </c>
      <c r="E55" s="112">
        <v>6.65</v>
      </c>
      <c r="F55" s="112">
        <v>3.51</v>
      </c>
      <c r="G55" s="112">
        <v>80.37</v>
      </c>
      <c r="H55" s="112">
        <v>30.78</v>
      </c>
      <c r="I55" s="112">
        <v>6.87</v>
      </c>
      <c r="J55" s="112">
        <v>0.66</v>
      </c>
      <c r="K55" s="112">
        <v>35.4</v>
      </c>
      <c r="L55" s="112">
        <v>23.54</v>
      </c>
      <c r="M55" s="112">
        <v>37.4</v>
      </c>
      <c r="N55" s="112">
        <v>499.8</v>
      </c>
      <c r="O55" s="112">
        <v>0</v>
      </c>
      <c r="P55" s="112">
        <v>0.7</v>
      </c>
      <c r="Q55" s="112">
        <v>5.15</v>
      </c>
    </row>
    <row r="56" spans="1:17" customFormat="1">
      <c r="A56" s="80">
        <v>45278.5</v>
      </c>
      <c r="B56" s="112">
        <v>9.48</v>
      </c>
      <c r="C56" s="112">
        <v>32.89</v>
      </c>
      <c r="D56" s="112">
        <v>26.14</v>
      </c>
      <c r="E56" s="112">
        <v>6.58</v>
      </c>
      <c r="F56" s="112">
        <v>3.51</v>
      </c>
      <c r="G56" s="112">
        <v>78.31</v>
      </c>
      <c r="H56" s="112">
        <v>29.38</v>
      </c>
      <c r="I56" s="112">
        <v>6.69</v>
      </c>
      <c r="J56" s="112">
        <v>0.54</v>
      </c>
      <c r="K56" s="112">
        <v>39.869999999999997</v>
      </c>
      <c r="L56" s="112">
        <v>24.1</v>
      </c>
      <c r="M56" s="112">
        <v>36.71</v>
      </c>
      <c r="N56" s="112">
        <v>475.7</v>
      </c>
      <c r="O56" s="112">
        <v>0</v>
      </c>
      <c r="P56" s="112">
        <v>0.69</v>
      </c>
      <c r="Q56" s="112">
        <v>5.13</v>
      </c>
    </row>
    <row r="57" spans="1:17" customFormat="1">
      <c r="A57" s="80">
        <v>45278.510416666664</v>
      </c>
      <c r="B57" s="112">
        <v>9.15</v>
      </c>
      <c r="C57" s="112">
        <v>32.159999999999997</v>
      </c>
      <c r="D57" s="112">
        <v>25.49</v>
      </c>
      <c r="E57" s="112">
        <v>6.02</v>
      </c>
      <c r="F57" s="112">
        <v>3.26</v>
      </c>
      <c r="G57" s="112">
        <v>76.16</v>
      </c>
      <c r="H57" s="112">
        <v>28.65</v>
      </c>
      <c r="I57" s="112">
        <v>6.56</v>
      </c>
      <c r="J57" s="112">
        <v>0.37</v>
      </c>
      <c r="K57" s="112">
        <v>35.020000000000003</v>
      </c>
      <c r="L57" s="112">
        <v>24.13</v>
      </c>
      <c r="M57" s="112">
        <v>36.35</v>
      </c>
      <c r="N57" s="112">
        <v>477.7</v>
      </c>
      <c r="O57" s="112">
        <v>0</v>
      </c>
      <c r="P57" s="112">
        <v>0.69</v>
      </c>
      <c r="Q57" s="112">
        <v>5.09</v>
      </c>
    </row>
    <row r="58" spans="1:17" customFormat="1">
      <c r="A58" s="80">
        <v>45278.520833333336</v>
      </c>
      <c r="B58" s="112">
        <v>9.02</v>
      </c>
      <c r="C58" s="112">
        <v>30.91</v>
      </c>
      <c r="D58" s="112">
        <v>24.74</v>
      </c>
      <c r="E58" s="112">
        <v>6.2</v>
      </c>
      <c r="F58" s="112">
        <v>3.22</v>
      </c>
      <c r="G58" s="112">
        <v>76.16</v>
      </c>
      <c r="H58" s="112">
        <v>28.65</v>
      </c>
      <c r="I58" s="112">
        <v>6.48</v>
      </c>
      <c r="J58" s="112">
        <v>0.48</v>
      </c>
      <c r="K58" s="112">
        <v>52.43</v>
      </c>
      <c r="L58" s="112">
        <v>24.29</v>
      </c>
      <c r="M58" s="112">
        <v>35.72</v>
      </c>
      <c r="N58" s="112">
        <v>483.3</v>
      </c>
      <c r="O58" s="112">
        <v>0</v>
      </c>
      <c r="P58" s="112">
        <v>0.68</v>
      </c>
      <c r="Q58" s="112">
        <v>5.09</v>
      </c>
    </row>
    <row r="59" spans="1:17" customFormat="1">
      <c r="A59" s="80">
        <v>45278.53125</v>
      </c>
      <c r="B59" s="112">
        <v>8.8699999999999992</v>
      </c>
      <c r="C59" s="112">
        <v>29.73</v>
      </c>
      <c r="D59" s="112">
        <v>24</v>
      </c>
      <c r="E59" s="112">
        <v>6.32</v>
      </c>
      <c r="F59" s="112">
        <v>3.3</v>
      </c>
      <c r="G59" s="112">
        <v>76.16</v>
      </c>
      <c r="H59" s="112">
        <v>28.65</v>
      </c>
      <c r="I59" s="112">
        <v>6.43</v>
      </c>
      <c r="J59" s="112">
        <v>0.57999999999999996</v>
      </c>
      <c r="K59" s="112">
        <v>35.630000000000003</v>
      </c>
      <c r="L59" s="112">
        <v>24.42</v>
      </c>
      <c r="M59" s="112">
        <v>35.83</v>
      </c>
      <c r="N59" s="112">
        <v>471.9</v>
      </c>
      <c r="O59" s="112">
        <v>0</v>
      </c>
      <c r="P59" s="112">
        <v>0.68</v>
      </c>
      <c r="Q59" s="112">
        <v>5.0599999999999996</v>
      </c>
    </row>
    <row r="60" spans="1:17" customFormat="1">
      <c r="A60" s="80">
        <v>45278.541666666664</v>
      </c>
      <c r="B60" s="112">
        <v>8.7200000000000006</v>
      </c>
      <c r="C60" s="112">
        <v>28.78</v>
      </c>
      <c r="D60" s="112">
        <v>23.38</v>
      </c>
      <c r="E60" s="112">
        <v>6.01</v>
      </c>
      <c r="F60" s="112">
        <v>3.56</v>
      </c>
      <c r="G60" s="112">
        <v>75.69</v>
      </c>
      <c r="H60" s="112">
        <v>31.19</v>
      </c>
      <c r="I60" s="112">
        <v>6.41</v>
      </c>
      <c r="J60" s="112">
        <v>0.59</v>
      </c>
      <c r="K60" s="112">
        <v>15.4</v>
      </c>
      <c r="L60" s="112">
        <v>24.57</v>
      </c>
      <c r="M60" s="112">
        <v>35.6</v>
      </c>
      <c r="N60" s="112">
        <v>461.3</v>
      </c>
      <c r="O60" s="112">
        <v>0</v>
      </c>
      <c r="P60" s="112">
        <v>0.66</v>
      </c>
      <c r="Q60" s="112">
        <v>5.07</v>
      </c>
    </row>
    <row r="61" spans="1:17" customFormat="1">
      <c r="A61" s="80">
        <v>45278.552083333336</v>
      </c>
      <c r="B61" s="112">
        <v>8.34</v>
      </c>
      <c r="C61" s="112">
        <v>28.38</v>
      </c>
      <c r="D61" s="112">
        <v>22.87</v>
      </c>
      <c r="E61" s="112">
        <v>6.05</v>
      </c>
      <c r="F61" s="112">
        <v>3.28</v>
      </c>
      <c r="G61" s="112">
        <v>75.2</v>
      </c>
      <c r="H61" s="112">
        <v>32.51</v>
      </c>
      <c r="I61" s="112">
        <v>6.35</v>
      </c>
      <c r="J61" s="112">
        <v>0.33</v>
      </c>
      <c r="K61" s="112">
        <v>36.28</v>
      </c>
      <c r="L61" s="112">
        <v>24.82</v>
      </c>
      <c r="M61" s="112">
        <v>35.270000000000003</v>
      </c>
      <c r="N61" s="112">
        <v>450.5</v>
      </c>
      <c r="O61" s="112">
        <v>0</v>
      </c>
      <c r="P61" s="112">
        <v>0.65</v>
      </c>
      <c r="Q61" s="112">
        <v>5.0599999999999996</v>
      </c>
    </row>
    <row r="62" spans="1:17" customFormat="1">
      <c r="A62" s="80">
        <v>45278.5625</v>
      </c>
      <c r="B62" s="112">
        <v>7.95</v>
      </c>
      <c r="C62" s="112">
        <v>28.05</v>
      </c>
      <c r="D62" s="112">
        <v>22.38</v>
      </c>
      <c r="E62" s="112">
        <v>5.63</v>
      </c>
      <c r="F62" s="112">
        <v>3.31</v>
      </c>
      <c r="G62" s="112">
        <v>75.2</v>
      </c>
      <c r="H62" s="112">
        <v>32.51</v>
      </c>
      <c r="I62" s="112">
        <v>6.27</v>
      </c>
      <c r="J62" s="112">
        <v>0.4</v>
      </c>
      <c r="K62" s="112">
        <v>27.38</v>
      </c>
      <c r="L62" s="112">
        <v>24.98</v>
      </c>
      <c r="M62" s="112">
        <v>35.229999999999997</v>
      </c>
      <c r="N62" s="112">
        <v>425.8</v>
      </c>
      <c r="O62" s="112">
        <v>0</v>
      </c>
      <c r="P62" s="112">
        <v>0.65</v>
      </c>
      <c r="Q62" s="112">
        <v>5.03</v>
      </c>
    </row>
    <row r="63" spans="1:17" customFormat="1">
      <c r="A63" s="80">
        <v>45278.572916666664</v>
      </c>
      <c r="B63" s="112">
        <v>7.37</v>
      </c>
      <c r="C63" s="112">
        <v>26.87</v>
      </c>
      <c r="D63" s="112">
        <v>21.31</v>
      </c>
      <c r="E63" s="112">
        <v>5.96</v>
      </c>
      <c r="F63" s="112">
        <v>3.63</v>
      </c>
      <c r="G63" s="112">
        <v>75.2</v>
      </c>
      <c r="H63" s="112">
        <v>32.51</v>
      </c>
      <c r="I63" s="112">
        <v>6.23</v>
      </c>
      <c r="J63" s="112">
        <v>0.38</v>
      </c>
      <c r="K63" s="112">
        <v>353.64</v>
      </c>
      <c r="L63" s="112">
        <v>24.74</v>
      </c>
      <c r="M63" s="112">
        <v>36.090000000000003</v>
      </c>
      <c r="N63" s="112">
        <v>412.4</v>
      </c>
      <c r="O63" s="112">
        <v>0</v>
      </c>
      <c r="P63" s="112">
        <v>0.66</v>
      </c>
      <c r="Q63" s="112">
        <v>5.0199999999999996</v>
      </c>
    </row>
    <row r="64" spans="1:17" customFormat="1">
      <c r="A64" s="80">
        <v>45278.583333333336</v>
      </c>
      <c r="B64" s="112">
        <v>6.75</v>
      </c>
      <c r="C64" s="112">
        <v>25.9</v>
      </c>
      <c r="D64" s="112">
        <v>20.3</v>
      </c>
      <c r="E64" s="112">
        <v>6.16</v>
      </c>
      <c r="F64" s="112">
        <v>3.63</v>
      </c>
      <c r="G64" s="112">
        <v>73.09</v>
      </c>
      <c r="H64" s="112">
        <v>31.55</v>
      </c>
      <c r="I64" s="112">
        <v>6.17</v>
      </c>
      <c r="J64" s="112">
        <v>0.42</v>
      </c>
      <c r="K64" s="112">
        <v>337.99</v>
      </c>
      <c r="L64" s="112">
        <v>24.69</v>
      </c>
      <c r="M64" s="112">
        <v>35.479999999999997</v>
      </c>
      <c r="N64" s="112">
        <v>350</v>
      </c>
      <c r="O64" s="112">
        <v>0</v>
      </c>
      <c r="P64" s="112">
        <v>0.65</v>
      </c>
      <c r="Q64" s="112">
        <v>5</v>
      </c>
    </row>
    <row r="65" spans="1:17" customFormat="1">
      <c r="A65" s="80">
        <v>45278.59375</v>
      </c>
      <c r="B65" s="112">
        <v>6.26</v>
      </c>
      <c r="C65" s="112">
        <v>26.39</v>
      </c>
      <c r="D65" s="112">
        <v>20.16</v>
      </c>
      <c r="E65" s="112">
        <v>5.96</v>
      </c>
      <c r="F65" s="112">
        <v>3.67</v>
      </c>
      <c r="G65" s="112">
        <v>70.88</v>
      </c>
      <c r="H65" s="112">
        <v>30.44</v>
      </c>
      <c r="I65" s="112">
        <v>6.1</v>
      </c>
      <c r="J65" s="112">
        <v>0.65</v>
      </c>
      <c r="K65" s="112">
        <v>24.7</v>
      </c>
      <c r="L65" s="112">
        <v>24.4</v>
      </c>
      <c r="M65" s="112">
        <v>36.36</v>
      </c>
      <c r="N65" s="112">
        <v>159.4</v>
      </c>
      <c r="O65" s="112">
        <v>0</v>
      </c>
      <c r="P65" s="112">
        <v>0.67</v>
      </c>
      <c r="Q65" s="112">
        <v>4.99</v>
      </c>
    </row>
    <row r="66" spans="1:17" customFormat="1">
      <c r="A66" s="80">
        <v>45278.604166666664</v>
      </c>
      <c r="B66" s="112">
        <v>5.79</v>
      </c>
      <c r="C66" s="112">
        <v>26.1</v>
      </c>
      <c r="D66" s="112">
        <v>19.63</v>
      </c>
      <c r="E66" s="112">
        <v>5.82</v>
      </c>
      <c r="F66" s="112">
        <v>3.63</v>
      </c>
      <c r="G66" s="112">
        <v>70.88</v>
      </c>
      <c r="H66" s="112">
        <v>30.44</v>
      </c>
      <c r="I66" s="112">
        <v>6.04</v>
      </c>
      <c r="J66" s="112">
        <v>0.45</v>
      </c>
      <c r="K66" s="112">
        <v>30.83</v>
      </c>
      <c r="L66" s="112">
        <v>24.17</v>
      </c>
      <c r="M66" s="112">
        <v>36.29</v>
      </c>
      <c r="N66" s="112">
        <v>142.30000000000001</v>
      </c>
      <c r="O66" s="112">
        <v>0</v>
      </c>
      <c r="P66" s="112">
        <v>0.7</v>
      </c>
      <c r="Q66" s="112">
        <v>4.97</v>
      </c>
    </row>
    <row r="67" spans="1:17" customFormat="1">
      <c r="A67" s="80">
        <v>45278.614583333336</v>
      </c>
      <c r="B67" s="112">
        <v>5.51</v>
      </c>
      <c r="C67" s="112">
        <v>25.72</v>
      </c>
      <c r="D67" s="112">
        <v>19.2</v>
      </c>
      <c r="E67" s="112">
        <v>5.87</v>
      </c>
      <c r="F67" s="112">
        <v>3.99</v>
      </c>
      <c r="G67" s="112">
        <v>70.88</v>
      </c>
      <c r="H67" s="112">
        <v>30.44</v>
      </c>
      <c r="I67" s="112">
        <v>6.02</v>
      </c>
      <c r="J67" s="112">
        <v>0.48</v>
      </c>
      <c r="K67" s="112">
        <v>1.44</v>
      </c>
      <c r="L67" s="112">
        <v>24.03</v>
      </c>
      <c r="M67" s="112">
        <v>37.049999999999997</v>
      </c>
      <c r="N67" s="112">
        <v>106.2</v>
      </c>
      <c r="O67" s="112">
        <v>0</v>
      </c>
      <c r="P67" s="112">
        <v>0.71</v>
      </c>
      <c r="Q67" s="112">
        <v>4.9800000000000004</v>
      </c>
    </row>
    <row r="68" spans="1:17" customFormat="1">
      <c r="A68" s="80">
        <v>45278.625</v>
      </c>
      <c r="B68" s="112">
        <v>5.24</v>
      </c>
      <c r="C68" s="112">
        <v>24.52</v>
      </c>
      <c r="D68" s="112">
        <v>18.36</v>
      </c>
      <c r="E68" s="112">
        <v>5.87</v>
      </c>
      <c r="F68" s="112">
        <v>3.89</v>
      </c>
      <c r="G68" s="112">
        <v>70.930000000000007</v>
      </c>
      <c r="H68" s="112">
        <v>31.59</v>
      </c>
      <c r="I68" s="112">
        <v>5.99</v>
      </c>
      <c r="J68" s="112">
        <v>0.45</v>
      </c>
      <c r="K68" s="112">
        <v>19.38</v>
      </c>
      <c r="L68" s="112">
        <v>23.82</v>
      </c>
      <c r="M68" s="112">
        <v>37.42</v>
      </c>
      <c r="N68" s="112">
        <v>85.7</v>
      </c>
      <c r="O68" s="112">
        <v>0</v>
      </c>
      <c r="P68" s="112">
        <v>0.7</v>
      </c>
      <c r="Q68" s="112">
        <v>4.96</v>
      </c>
    </row>
    <row r="69" spans="1:17" customFormat="1">
      <c r="A69" s="80">
        <v>45278.635416666664</v>
      </c>
      <c r="B69" s="112">
        <v>5.08</v>
      </c>
      <c r="C69" s="112">
        <v>24.3</v>
      </c>
      <c r="D69" s="112">
        <v>18.12</v>
      </c>
      <c r="E69" s="112">
        <v>6.48</v>
      </c>
      <c r="F69" s="112">
        <v>3.44</v>
      </c>
      <c r="G69" s="112">
        <v>70.98</v>
      </c>
      <c r="H69" s="112">
        <v>32.200000000000003</v>
      </c>
      <c r="I69" s="112">
        <v>5.96</v>
      </c>
      <c r="J69" s="112">
        <v>0.59</v>
      </c>
      <c r="K69" s="112">
        <v>47.16</v>
      </c>
      <c r="L69" s="112">
        <v>23.71</v>
      </c>
      <c r="M69" s="112">
        <v>37.409999999999997</v>
      </c>
      <c r="N69" s="112">
        <v>70.5</v>
      </c>
      <c r="O69" s="112">
        <v>0</v>
      </c>
      <c r="P69" s="112">
        <v>0.7</v>
      </c>
      <c r="Q69" s="112">
        <v>4.96</v>
      </c>
    </row>
    <row r="70" spans="1:17" customFormat="1">
      <c r="A70" s="80">
        <v>45278.645833333336</v>
      </c>
      <c r="B70" s="112">
        <v>5.12</v>
      </c>
      <c r="C70" s="112">
        <v>24.04</v>
      </c>
      <c r="D70" s="112">
        <v>18.02</v>
      </c>
      <c r="E70" s="112">
        <v>5.81</v>
      </c>
      <c r="F70" s="112">
        <v>3.59</v>
      </c>
      <c r="G70" s="112">
        <v>70.98</v>
      </c>
      <c r="H70" s="112">
        <v>32.200000000000003</v>
      </c>
      <c r="I70" s="112">
        <v>5.94</v>
      </c>
      <c r="J70" s="112">
        <v>0.56999999999999995</v>
      </c>
      <c r="K70" s="112">
        <v>40.130000000000003</v>
      </c>
      <c r="L70" s="112">
        <v>23.58</v>
      </c>
      <c r="M70" s="112">
        <v>37.880000000000003</v>
      </c>
      <c r="N70" s="112">
        <v>65.3</v>
      </c>
      <c r="O70" s="112">
        <v>0</v>
      </c>
      <c r="P70" s="112">
        <v>0.71</v>
      </c>
      <c r="Q70" s="112">
        <v>4.96</v>
      </c>
    </row>
    <row r="71" spans="1:17" customFormat="1">
      <c r="A71" s="80">
        <v>45278.65625</v>
      </c>
      <c r="B71" s="112">
        <v>5.15</v>
      </c>
      <c r="C71" s="112">
        <v>24.69</v>
      </c>
      <c r="D71" s="112">
        <v>18.38</v>
      </c>
      <c r="E71" s="112">
        <v>5.94</v>
      </c>
      <c r="F71" s="112">
        <v>3.47</v>
      </c>
      <c r="G71" s="112">
        <v>70.98</v>
      </c>
      <c r="H71" s="112">
        <v>32.200000000000003</v>
      </c>
      <c r="I71" s="112">
        <v>5.91</v>
      </c>
      <c r="J71" s="112">
        <v>0.53</v>
      </c>
      <c r="K71" s="112">
        <v>37.619999999999997</v>
      </c>
      <c r="L71" s="112">
        <v>23.49</v>
      </c>
      <c r="M71" s="112">
        <v>38.380000000000003</v>
      </c>
      <c r="N71" s="112">
        <v>55.6</v>
      </c>
      <c r="O71" s="112">
        <v>0</v>
      </c>
      <c r="P71" s="112">
        <v>0.72</v>
      </c>
      <c r="Q71" s="112">
        <v>4.95</v>
      </c>
    </row>
    <row r="72" spans="1:17" customFormat="1">
      <c r="A72" s="80">
        <v>45278.666666666664</v>
      </c>
      <c r="B72" s="112">
        <v>5.21</v>
      </c>
      <c r="C72" s="112">
        <v>24.65</v>
      </c>
      <c r="D72" s="112">
        <v>18.41</v>
      </c>
      <c r="E72" s="112">
        <v>5.52</v>
      </c>
      <c r="F72" s="112">
        <v>3.68</v>
      </c>
      <c r="G72" s="112">
        <v>72.650000000000006</v>
      </c>
      <c r="H72" s="112">
        <v>30.65</v>
      </c>
      <c r="I72" s="112">
        <v>5.9</v>
      </c>
      <c r="J72" s="112">
        <v>0.46</v>
      </c>
      <c r="K72" s="112">
        <v>24.55</v>
      </c>
      <c r="L72" s="112">
        <v>23.28</v>
      </c>
      <c r="M72" s="112">
        <v>38.880000000000003</v>
      </c>
      <c r="N72" s="112">
        <v>43.5</v>
      </c>
      <c r="O72" s="112">
        <v>0</v>
      </c>
      <c r="P72" s="112">
        <v>0.72</v>
      </c>
      <c r="Q72" s="112">
        <v>4.96</v>
      </c>
    </row>
    <row r="73" spans="1:17" customFormat="1">
      <c r="A73" s="80">
        <v>45278.677083333336</v>
      </c>
      <c r="B73" s="112">
        <v>5.29</v>
      </c>
      <c r="C73" s="112">
        <v>25.01</v>
      </c>
      <c r="D73" s="112">
        <v>18.66</v>
      </c>
      <c r="E73" s="112">
        <v>6.13</v>
      </c>
      <c r="F73" s="112">
        <v>3.31</v>
      </c>
      <c r="G73" s="112">
        <v>74.39</v>
      </c>
      <c r="H73" s="112">
        <v>29.84</v>
      </c>
      <c r="I73" s="112">
        <v>5.88</v>
      </c>
      <c r="J73" s="112">
        <v>0.53</v>
      </c>
      <c r="K73" s="112">
        <v>42.04</v>
      </c>
      <c r="L73" s="112">
        <v>23.03</v>
      </c>
      <c r="M73" s="112">
        <v>39.03</v>
      </c>
      <c r="N73" s="112">
        <v>34.1</v>
      </c>
      <c r="O73" s="112">
        <v>0</v>
      </c>
      <c r="P73" s="112">
        <v>0.73</v>
      </c>
      <c r="Q73" s="112">
        <v>4.97</v>
      </c>
    </row>
    <row r="74" spans="1:17" customFormat="1">
      <c r="A74" s="80">
        <v>45278.6875</v>
      </c>
      <c r="B74" s="112">
        <v>5.32</v>
      </c>
      <c r="C74" s="112">
        <v>24.66</v>
      </c>
      <c r="D74" s="112">
        <v>18.5</v>
      </c>
      <c r="E74" s="112">
        <v>6</v>
      </c>
      <c r="F74" s="112">
        <v>3.43</v>
      </c>
      <c r="G74" s="112">
        <v>74.39</v>
      </c>
      <c r="H74" s="112">
        <v>29.84</v>
      </c>
      <c r="I74" s="112">
        <v>5.86</v>
      </c>
      <c r="J74" s="112">
        <v>0.46</v>
      </c>
      <c r="K74" s="112">
        <v>24.77</v>
      </c>
      <c r="L74" s="112">
        <v>22.68</v>
      </c>
      <c r="M74" s="112">
        <v>40.700000000000003</v>
      </c>
      <c r="N74" s="112">
        <v>22.6</v>
      </c>
      <c r="O74" s="112">
        <v>0</v>
      </c>
      <c r="P74" s="112">
        <v>0.72</v>
      </c>
      <c r="Q74" s="112">
        <v>4.9800000000000004</v>
      </c>
    </row>
    <row r="75" spans="1:17" customFormat="1">
      <c r="A75" s="80">
        <v>45278.697916666664</v>
      </c>
      <c r="B75" s="112">
        <v>5.27</v>
      </c>
      <c r="C75" s="112">
        <v>25.24</v>
      </c>
      <c r="D75" s="112">
        <v>18.760000000000002</v>
      </c>
      <c r="E75" s="112">
        <v>5.97</v>
      </c>
      <c r="F75" s="112">
        <v>3.27</v>
      </c>
      <c r="G75" s="112">
        <v>74.39</v>
      </c>
      <c r="H75" s="112">
        <v>29.84</v>
      </c>
      <c r="I75" s="112">
        <v>5.85</v>
      </c>
      <c r="J75" s="112">
        <v>0.37</v>
      </c>
      <c r="K75" s="112">
        <v>46.02</v>
      </c>
      <c r="L75" s="112">
        <v>22.22</v>
      </c>
      <c r="M75" s="112">
        <v>42.37</v>
      </c>
      <c r="N75" s="112">
        <v>18.399999999999999</v>
      </c>
      <c r="O75" s="112">
        <v>0</v>
      </c>
      <c r="P75" s="112">
        <v>0.72</v>
      </c>
      <c r="Q75" s="112">
        <v>4.95</v>
      </c>
    </row>
    <row r="76" spans="1:17" customFormat="1">
      <c r="A76" s="80">
        <v>45278.708333333336</v>
      </c>
      <c r="B76" s="112">
        <v>5.37</v>
      </c>
      <c r="C76" s="112">
        <v>25.96</v>
      </c>
      <c r="D76" s="112">
        <v>19.22</v>
      </c>
      <c r="E76" s="112">
        <v>6.18</v>
      </c>
      <c r="F76" s="112">
        <v>3.4</v>
      </c>
      <c r="G76" s="112">
        <v>77.48</v>
      </c>
      <c r="H76" s="112">
        <v>32.86</v>
      </c>
      <c r="I76" s="112">
        <v>5.83</v>
      </c>
      <c r="J76" s="112">
        <v>0.32</v>
      </c>
      <c r="K76" s="112">
        <v>42.62</v>
      </c>
      <c r="L76" s="112">
        <v>21.82</v>
      </c>
      <c r="M76" s="112">
        <v>43.7</v>
      </c>
      <c r="N76" s="112">
        <v>4.2</v>
      </c>
      <c r="O76" s="112">
        <v>0</v>
      </c>
      <c r="P76" s="112">
        <v>0.75</v>
      </c>
      <c r="Q76" s="112">
        <v>4.99</v>
      </c>
    </row>
    <row r="77" spans="1:17" customFormat="1">
      <c r="A77" s="80">
        <v>45278.71875</v>
      </c>
      <c r="B77" s="112">
        <v>5.36</v>
      </c>
      <c r="C77" s="112">
        <v>26.91</v>
      </c>
      <c r="D77" s="112">
        <v>19.71</v>
      </c>
      <c r="E77" s="112">
        <v>5.81</v>
      </c>
      <c r="F77" s="112">
        <v>3.61</v>
      </c>
      <c r="G77" s="112">
        <v>80.72</v>
      </c>
      <c r="H77" s="112">
        <v>34.44</v>
      </c>
      <c r="I77" s="112">
        <v>5.81</v>
      </c>
      <c r="J77" s="112">
        <v>0.28999999999999998</v>
      </c>
      <c r="K77" s="112">
        <v>40.32</v>
      </c>
      <c r="L77" s="112">
        <v>21.26</v>
      </c>
      <c r="M77" s="112">
        <v>45.15</v>
      </c>
      <c r="N77" s="112">
        <v>0</v>
      </c>
      <c r="O77" s="112">
        <v>0</v>
      </c>
      <c r="P77" s="112">
        <v>0.77</v>
      </c>
      <c r="Q77" s="112">
        <v>5</v>
      </c>
    </row>
    <row r="78" spans="1:17" customFormat="1">
      <c r="A78" s="80">
        <v>45278.729166666664</v>
      </c>
      <c r="B78" s="112">
        <v>5.48</v>
      </c>
      <c r="C78" s="112">
        <v>28.47</v>
      </c>
      <c r="D78" s="112">
        <v>20.62</v>
      </c>
      <c r="E78" s="112">
        <v>5.9</v>
      </c>
      <c r="F78" s="112">
        <v>3.38</v>
      </c>
      <c r="G78" s="112">
        <v>80.72</v>
      </c>
      <c r="H78" s="112">
        <v>34.44</v>
      </c>
      <c r="I78" s="112">
        <v>5.82</v>
      </c>
      <c r="J78" s="112">
        <v>0.28000000000000003</v>
      </c>
      <c r="K78" s="112">
        <v>51.58</v>
      </c>
      <c r="L78" s="112">
        <v>20.82</v>
      </c>
      <c r="M78" s="112">
        <v>46.14</v>
      </c>
      <c r="N78" s="112">
        <v>0</v>
      </c>
      <c r="O78" s="112">
        <v>0</v>
      </c>
      <c r="P78" s="112">
        <v>0.79</v>
      </c>
      <c r="Q78" s="112">
        <v>5.0199999999999996</v>
      </c>
    </row>
    <row r="79" spans="1:17" customFormat="1">
      <c r="A79" s="80">
        <v>45278.739583333336</v>
      </c>
      <c r="B79" s="112">
        <v>5.7</v>
      </c>
      <c r="C79" s="112">
        <v>29.83</v>
      </c>
      <c r="D79" s="112">
        <v>21.5</v>
      </c>
      <c r="E79" s="112">
        <v>6.15</v>
      </c>
      <c r="F79" s="112">
        <v>3.34</v>
      </c>
      <c r="G79" s="112">
        <v>80.72</v>
      </c>
      <c r="H79" s="112">
        <v>34.44</v>
      </c>
      <c r="I79" s="112">
        <v>5.88</v>
      </c>
      <c r="J79" s="112">
        <v>0.28000000000000003</v>
      </c>
      <c r="K79" s="112">
        <v>42.03</v>
      </c>
      <c r="L79" s="112">
        <v>20.43</v>
      </c>
      <c r="M79" s="112">
        <v>47.26</v>
      </c>
      <c r="N79" s="112">
        <v>0</v>
      </c>
      <c r="O79" s="112">
        <v>0</v>
      </c>
      <c r="P79" s="112">
        <v>0.81</v>
      </c>
      <c r="Q79" s="112">
        <v>5.0199999999999996</v>
      </c>
    </row>
    <row r="80" spans="1:17" customFormat="1">
      <c r="A80" s="80">
        <v>45278.75</v>
      </c>
      <c r="B80" s="112">
        <v>6.19</v>
      </c>
      <c r="C80" s="112">
        <v>31.48</v>
      </c>
      <c r="D80" s="112">
        <v>22.76</v>
      </c>
      <c r="E80" s="112">
        <v>5.93</v>
      </c>
      <c r="F80" s="112">
        <v>3.12</v>
      </c>
      <c r="G80" s="112">
        <v>87.78</v>
      </c>
      <c r="H80" s="112">
        <v>36.4</v>
      </c>
      <c r="I80" s="112">
        <v>5.93</v>
      </c>
      <c r="J80" s="112">
        <v>0.17</v>
      </c>
      <c r="K80" s="112">
        <v>56.44</v>
      </c>
      <c r="L80" s="112">
        <v>20.09</v>
      </c>
      <c r="M80" s="112">
        <v>48.89</v>
      </c>
      <c r="N80" s="112">
        <v>0</v>
      </c>
      <c r="O80" s="112">
        <v>0</v>
      </c>
      <c r="P80" s="112">
        <v>0.85</v>
      </c>
      <c r="Q80" s="112">
        <v>5.04</v>
      </c>
    </row>
    <row r="81" spans="1:17" customFormat="1">
      <c r="A81" s="80">
        <v>45278.760416666664</v>
      </c>
      <c r="B81" s="112">
        <v>6.91</v>
      </c>
      <c r="C81" s="112">
        <v>32.659999999999997</v>
      </c>
      <c r="D81" s="112">
        <v>23.96</v>
      </c>
      <c r="E81" s="112">
        <v>4.9400000000000004</v>
      </c>
      <c r="F81" s="112">
        <v>2.91</v>
      </c>
      <c r="G81" s="112">
        <v>95.17</v>
      </c>
      <c r="H81" s="112">
        <v>37.42</v>
      </c>
      <c r="I81" s="112">
        <v>6.02</v>
      </c>
      <c r="J81" s="112">
        <v>0.1</v>
      </c>
      <c r="K81" s="112">
        <v>124.19</v>
      </c>
      <c r="L81" s="112">
        <v>19.7</v>
      </c>
      <c r="M81" s="112">
        <v>52.01</v>
      </c>
      <c r="N81" s="112">
        <v>0</v>
      </c>
      <c r="O81" s="112">
        <v>0</v>
      </c>
      <c r="P81" s="112">
        <v>0.88</v>
      </c>
      <c r="Q81" s="112">
        <v>5.0599999999999996</v>
      </c>
    </row>
    <row r="82" spans="1:17" customFormat="1">
      <c r="A82" s="80">
        <v>45278.770833333336</v>
      </c>
      <c r="B82" s="112">
        <v>7.27</v>
      </c>
      <c r="C82" s="112">
        <v>33.51</v>
      </c>
      <c r="D82" s="112">
        <v>24.69</v>
      </c>
      <c r="E82" s="112">
        <v>5.23</v>
      </c>
      <c r="F82" s="112">
        <v>2.96</v>
      </c>
      <c r="G82" s="112">
        <v>95.17</v>
      </c>
      <c r="H82" s="112">
        <v>37.42</v>
      </c>
      <c r="I82" s="112">
        <v>6.2</v>
      </c>
      <c r="J82" s="112">
        <v>0.09</v>
      </c>
      <c r="K82" s="112">
        <v>120.89</v>
      </c>
      <c r="L82" s="112">
        <v>19.13</v>
      </c>
      <c r="M82" s="112">
        <v>54.9</v>
      </c>
      <c r="N82" s="112">
        <v>0</v>
      </c>
      <c r="O82" s="112">
        <v>0</v>
      </c>
      <c r="P82" s="112">
        <v>0.92</v>
      </c>
      <c r="Q82" s="112">
        <v>5.08</v>
      </c>
    </row>
    <row r="83" spans="1:17" customFormat="1">
      <c r="A83" s="80">
        <v>45278.78125</v>
      </c>
      <c r="B83" s="112">
        <v>7.79</v>
      </c>
      <c r="C83" s="112">
        <v>34.36</v>
      </c>
      <c r="D83" s="112">
        <v>25.55</v>
      </c>
      <c r="E83" s="112">
        <v>5.56</v>
      </c>
      <c r="F83" s="112">
        <v>2.71</v>
      </c>
      <c r="G83" s="112">
        <v>95.17</v>
      </c>
      <c r="H83" s="112">
        <v>37.42</v>
      </c>
      <c r="I83" s="112">
        <v>6.41</v>
      </c>
      <c r="J83" s="112">
        <v>0.14000000000000001</v>
      </c>
      <c r="K83" s="112">
        <v>152.38999999999999</v>
      </c>
      <c r="L83" s="112">
        <v>18.670000000000002</v>
      </c>
      <c r="M83" s="112">
        <v>57.5</v>
      </c>
      <c r="N83" s="112">
        <v>0</v>
      </c>
      <c r="O83" s="112">
        <v>0</v>
      </c>
      <c r="P83" s="112">
        <v>0.95</v>
      </c>
      <c r="Q83" s="112">
        <v>5.09</v>
      </c>
    </row>
    <row r="84" spans="1:17" customFormat="1">
      <c r="A84" s="80">
        <v>45278.791666666664</v>
      </c>
      <c r="B84" s="112">
        <v>8.33</v>
      </c>
      <c r="C84" s="112">
        <v>35.06</v>
      </c>
      <c r="D84" s="112">
        <v>26.35</v>
      </c>
      <c r="E84" s="112">
        <v>5.33</v>
      </c>
      <c r="F84" s="112">
        <v>2.78</v>
      </c>
      <c r="G84" s="112">
        <v>105.66</v>
      </c>
      <c r="H84" s="112">
        <v>45.86</v>
      </c>
      <c r="I84" s="112">
        <v>6.63</v>
      </c>
      <c r="J84" s="112">
        <v>0.22</v>
      </c>
      <c r="K84" s="112">
        <v>159.76</v>
      </c>
      <c r="L84" s="112">
        <v>18.079999999999998</v>
      </c>
      <c r="M84" s="112">
        <v>65.650000000000006</v>
      </c>
      <c r="N84" s="112">
        <v>0</v>
      </c>
      <c r="O84" s="112">
        <v>0</v>
      </c>
      <c r="P84" s="112">
        <v>0.98</v>
      </c>
      <c r="Q84" s="112">
        <v>5.13</v>
      </c>
    </row>
    <row r="85" spans="1:17" customFormat="1">
      <c r="A85" s="80">
        <v>45278.802083333336</v>
      </c>
      <c r="B85" s="112">
        <v>8.35</v>
      </c>
      <c r="C85" s="112">
        <v>34.79</v>
      </c>
      <c r="D85" s="112">
        <v>26.22</v>
      </c>
      <c r="E85" s="112">
        <v>5.39</v>
      </c>
      <c r="F85" s="112">
        <v>2.86</v>
      </c>
      <c r="G85" s="112">
        <v>116.62</v>
      </c>
      <c r="H85" s="112">
        <v>50.08</v>
      </c>
      <c r="I85" s="112">
        <v>6.94</v>
      </c>
      <c r="J85" s="112">
        <v>0.21</v>
      </c>
      <c r="K85" s="112">
        <v>161.93</v>
      </c>
      <c r="L85" s="112">
        <v>17.420000000000002</v>
      </c>
      <c r="M85" s="112">
        <v>72.540000000000006</v>
      </c>
      <c r="N85" s="112">
        <v>0</v>
      </c>
      <c r="O85" s="112">
        <v>0</v>
      </c>
      <c r="P85" s="112">
        <v>1</v>
      </c>
      <c r="Q85" s="112">
        <v>5.13</v>
      </c>
    </row>
    <row r="86" spans="1:17" customFormat="1">
      <c r="A86" s="80">
        <v>45278.8125</v>
      </c>
      <c r="B86" s="112">
        <v>8.0299999999999994</v>
      </c>
      <c r="C86" s="112">
        <v>34.380000000000003</v>
      </c>
      <c r="D86" s="112">
        <v>25.76</v>
      </c>
      <c r="E86" s="112">
        <v>5.4</v>
      </c>
      <c r="F86" s="112">
        <v>2.92</v>
      </c>
      <c r="G86" s="112">
        <v>116.62</v>
      </c>
      <c r="H86" s="112">
        <v>50.08</v>
      </c>
      <c r="I86" s="112">
        <v>7.25</v>
      </c>
      <c r="J86" s="112">
        <v>0.2</v>
      </c>
      <c r="K86" s="112">
        <v>161.80000000000001</v>
      </c>
      <c r="L86" s="112">
        <v>17.02</v>
      </c>
      <c r="M86" s="112">
        <v>74.42</v>
      </c>
      <c r="N86" s="112">
        <v>0</v>
      </c>
      <c r="O86" s="112">
        <v>0</v>
      </c>
      <c r="P86" s="112">
        <v>1.02</v>
      </c>
      <c r="Q86" s="112">
        <v>5.14</v>
      </c>
    </row>
    <row r="87" spans="1:17" customFormat="1">
      <c r="A87" s="80">
        <v>45278.822916666664</v>
      </c>
      <c r="B87" s="112">
        <v>7.74</v>
      </c>
      <c r="C87" s="112">
        <v>33.71</v>
      </c>
      <c r="D87" s="112">
        <v>25.17</v>
      </c>
      <c r="E87" s="112">
        <v>4.93</v>
      </c>
      <c r="F87" s="112">
        <v>2.88</v>
      </c>
      <c r="G87" s="112">
        <v>116.62</v>
      </c>
      <c r="H87" s="112">
        <v>50.08</v>
      </c>
      <c r="I87" s="112">
        <v>7.47</v>
      </c>
      <c r="J87" s="112">
        <v>0.14000000000000001</v>
      </c>
      <c r="K87" s="112">
        <v>184</v>
      </c>
      <c r="L87" s="112">
        <v>16.75</v>
      </c>
      <c r="M87" s="112">
        <v>75.040000000000006</v>
      </c>
      <c r="N87" s="112">
        <v>0</v>
      </c>
      <c r="O87" s="112">
        <v>0</v>
      </c>
      <c r="P87" s="112">
        <v>1.04</v>
      </c>
      <c r="Q87" s="112">
        <v>5.13</v>
      </c>
    </row>
    <row r="88" spans="1:17" customFormat="1">
      <c r="A88" s="80">
        <v>45278.833333333336</v>
      </c>
      <c r="B88" s="112">
        <v>7.82</v>
      </c>
      <c r="C88" s="112">
        <v>33.22</v>
      </c>
      <c r="D88" s="112">
        <v>24.98</v>
      </c>
      <c r="E88" s="112">
        <v>5.05</v>
      </c>
      <c r="F88" s="112">
        <v>2.72</v>
      </c>
      <c r="G88" s="112">
        <v>113.94</v>
      </c>
      <c r="H88" s="112">
        <v>49.48</v>
      </c>
      <c r="I88" s="112">
        <v>7.68</v>
      </c>
      <c r="J88" s="112">
        <v>0.17</v>
      </c>
      <c r="K88" s="112">
        <v>180.21</v>
      </c>
      <c r="L88" s="112">
        <v>16.23</v>
      </c>
      <c r="M88" s="112">
        <v>79.13</v>
      </c>
      <c r="N88" s="112">
        <v>0</v>
      </c>
      <c r="O88" s="112">
        <v>0</v>
      </c>
      <c r="P88" s="112">
        <v>1.07</v>
      </c>
      <c r="Q88" s="112">
        <v>5.0999999999999996</v>
      </c>
    </row>
    <row r="89" spans="1:17" customFormat="1">
      <c r="A89" s="80">
        <v>45278.84375</v>
      </c>
      <c r="B89" s="112">
        <v>7.78</v>
      </c>
      <c r="C89" s="112">
        <v>32.44</v>
      </c>
      <c r="D89" s="112">
        <v>24.54</v>
      </c>
      <c r="E89" s="112">
        <v>5.38</v>
      </c>
      <c r="F89" s="112">
        <v>2.67</v>
      </c>
      <c r="G89" s="112">
        <v>111.14</v>
      </c>
      <c r="H89" s="112">
        <v>48.79</v>
      </c>
      <c r="I89" s="112">
        <v>7.93</v>
      </c>
      <c r="J89" s="112">
        <v>0.11</v>
      </c>
      <c r="K89" s="112">
        <v>158.24</v>
      </c>
      <c r="L89" s="112">
        <v>15.79</v>
      </c>
      <c r="M89" s="112">
        <v>77.459999999999994</v>
      </c>
      <c r="N89" s="112">
        <v>0</v>
      </c>
      <c r="O89" s="112">
        <v>0</v>
      </c>
      <c r="P89" s="112">
        <v>1.07</v>
      </c>
      <c r="Q89" s="112">
        <v>5.09</v>
      </c>
    </row>
    <row r="90" spans="1:17" customFormat="1">
      <c r="A90" s="80">
        <v>45278.854166666664</v>
      </c>
      <c r="B90" s="112">
        <v>7.45</v>
      </c>
      <c r="C90" s="112">
        <v>31.6</v>
      </c>
      <c r="D90" s="112">
        <v>23.84</v>
      </c>
      <c r="E90" s="112">
        <v>5.4</v>
      </c>
      <c r="F90" s="112">
        <v>2.8</v>
      </c>
      <c r="G90" s="112">
        <v>111.14</v>
      </c>
      <c r="H90" s="112">
        <v>48.79</v>
      </c>
      <c r="I90" s="112">
        <v>8.1199999999999992</v>
      </c>
      <c r="J90" s="112">
        <v>0.11</v>
      </c>
      <c r="K90" s="112">
        <v>184.35</v>
      </c>
      <c r="L90" s="112">
        <v>15.65</v>
      </c>
      <c r="M90" s="112">
        <v>75.55</v>
      </c>
      <c r="N90" s="112">
        <v>0</v>
      </c>
      <c r="O90" s="112">
        <v>0</v>
      </c>
      <c r="P90" s="112">
        <v>1.08</v>
      </c>
      <c r="Q90" s="112">
        <v>5.0999999999999996</v>
      </c>
    </row>
    <row r="91" spans="1:17" customFormat="1">
      <c r="A91" s="80">
        <v>45278.864583333336</v>
      </c>
      <c r="B91" s="112">
        <v>7.13</v>
      </c>
      <c r="C91" s="112">
        <v>30.75</v>
      </c>
      <c r="D91" s="112">
        <v>23.13</v>
      </c>
      <c r="E91" s="112">
        <v>4.93</v>
      </c>
      <c r="F91" s="112">
        <v>2.76</v>
      </c>
      <c r="G91" s="112">
        <v>111.14</v>
      </c>
      <c r="H91" s="112">
        <v>48.79</v>
      </c>
      <c r="I91" s="112">
        <v>8.24</v>
      </c>
      <c r="J91" s="112">
        <v>0.17</v>
      </c>
      <c r="K91" s="112">
        <v>222.44</v>
      </c>
      <c r="L91" s="112">
        <v>15.54</v>
      </c>
      <c r="M91" s="112">
        <v>81.06</v>
      </c>
      <c r="N91" s="112">
        <v>0</v>
      </c>
      <c r="O91" s="112">
        <v>0</v>
      </c>
      <c r="P91" s="112">
        <v>1.08</v>
      </c>
      <c r="Q91" s="112">
        <v>5.07</v>
      </c>
    </row>
    <row r="92" spans="1:17" customFormat="1">
      <c r="A92" s="80">
        <v>45278.875</v>
      </c>
      <c r="B92" s="112">
        <v>6.93</v>
      </c>
      <c r="C92" s="112">
        <v>29.68</v>
      </c>
      <c r="D92" s="112">
        <v>22.42</v>
      </c>
      <c r="E92" s="112">
        <v>5</v>
      </c>
      <c r="F92" s="112">
        <v>2.78</v>
      </c>
      <c r="G92" s="112">
        <v>106.72</v>
      </c>
      <c r="H92" s="112">
        <v>48.84</v>
      </c>
      <c r="I92" s="112">
        <v>8.36</v>
      </c>
      <c r="J92" s="112">
        <v>0.13</v>
      </c>
      <c r="K92" s="112">
        <v>187.36</v>
      </c>
      <c r="L92" s="112">
        <v>15.25</v>
      </c>
      <c r="M92" s="112">
        <v>83.31</v>
      </c>
      <c r="N92" s="112">
        <v>0</v>
      </c>
      <c r="O92" s="112">
        <v>0</v>
      </c>
      <c r="P92" s="112">
        <v>1.0900000000000001</v>
      </c>
      <c r="Q92" s="112">
        <v>5.07</v>
      </c>
    </row>
    <row r="93" spans="1:17" customFormat="1">
      <c r="A93" s="80">
        <v>45278.885416666664</v>
      </c>
      <c r="B93" s="112">
        <v>6.76</v>
      </c>
      <c r="C93" s="112">
        <v>28.96</v>
      </c>
      <c r="D93" s="112">
        <v>21.9</v>
      </c>
      <c r="E93" s="112">
        <v>4.84</v>
      </c>
      <c r="F93" s="112">
        <v>2.79</v>
      </c>
      <c r="G93" s="112">
        <v>102.1</v>
      </c>
      <c r="H93" s="112">
        <v>48.87</v>
      </c>
      <c r="I93" s="112">
        <v>8.49</v>
      </c>
      <c r="J93" s="112">
        <v>0.15</v>
      </c>
      <c r="K93" s="112">
        <v>162.63999999999999</v>
      </c>
      <c r="L93" s="112">
        <v>15.1</v>
      </c>
      <c r="M93" s="112">
        <v>83.19</v>
      </c>
      <c r="N93" s="112">
        <v>0</v>
      </c>
      <c r="O93" s="112">
        <v>0</v>
      </c>
      <c r="P93" s="112">
        <v>1.08</v>
      </c>
      <c r="Q93" s="112">
        <v>5.0599999999999996</v>
      </c>
    </row>
    <row r="94" spans="1:17" customFormat="1">
      <c r="A94" s="80">
        <v>45278.895833333336</v>
      </c>
      <c r="B94" s="112">
        <v>6.66</v>
      </c>
      <c r="C94" s="112">
        <v>28.08</v>
      </c>
      <c r="D94" s="112">
        <v>21.36</v>
      </c>
      <c r="E94" s="112">
        <v>4.8899999999999997</v>
      </c>
      <c r="F94" s="112">
        <v>2.63</v>
      </c>
      <c r="G94" s="112">
        <v>102.1</v>
      </c>
      <c r="H94" s="112">
        <v>48.87</v>
      </c>
      <c r="I94" s="112">
        <v>8.5299999999999994</v>
      </c>
      <c r="J94" s="112">
        <v>0.12</v>
      </c>
      <c r="K94" s="112">
        <v>201.2</v>
      </c>
      <c r="L94" s="112">
        <v>15.01</v>
      </c>
      <c r="M94" s="112">
        <v>82.64</v>
      </c>
      <c r="N94" s="112">
        <v>0</v>
      </c>
      <c r="O94" s="112">
        <v>0</v>
      </c>
      <c r="P94" s="112">
        <v>1.08</v>
      </c>
      <c r="Q94" s="112">
        <v>5.0599999999999996</v>
      </c>
    </row>
    <row r="95" spans="1:17" customFormat="1">
      <c r="A95" s="80">
        <v>45278.90625</v>
      </c>
      <c r="B95" s="112">
        <v>6.44</v>
      </c>
      <c r="C95" s="112">
        <v>27.58</v>
      </c>
      <c r="D95" s="112">
        <v>20.92</v>
      </c>
      <c r="E95" s="112">
        <v>5.08</v>
      </c>
      <c r="F95" s="112">
        <v>2.83</v>
      </c>
      <c r="G95" s="112">
        <v>102.1</v>
      </c>
      <c r="H95" s="112">
        <v>48.87</v>
      </c>
      <c r="I95" s="112">
        <v>8.5299999999999994</v>
      </c>
      <c r="J95" s="112">
        <v>0.12</v>
      </c>
      <c r="K95" s="112">
        <v>182.8</v>
      </c>
      <c r="L95" s="112">
        <v>14.86</v>
      </c>
      <c r="M95" s="112">
        <v>83.6</v>
      </c>
      <c r="N95" s="112">
        <v>0</v>
      </c>
      <c r="O95" s="112">
        <v>0</v>
      </c>
      <c r="P95" s="112">
        <v>1.0900000000000001</v>
      </c>
      <c r="Q95" s="112">
        <v>5.05</v>
      </c>
    </row>
    <row r="96" spans="1:17" customFormat="1">
      <c r="A96" s="80">
        <v>45278.916666666664</v>
      </c>
      <c r="B96" s="112">
        <v>6.51</v>
      </c>
      <c r="C96" s="112">
        <v>27.13</v>
      </c>
      <c r="D96" s="112">
        <v>20.75</v>
      </c>
      <c r="E96" s="112">
        <v>4.84</v>
      </c>
      <c r="F96" s="112">
        <v>2.69</v>
      </c>
      <c r="G96" s="112">
        <v>97.5</v>
      </c>
      <c r="H96" s="112">
        <v>47.77</v>
      </c>
      <c r="I96" s="112">
        <v>8.5299999999999994</v>
      </c>
      <c r="J96" s="112">
        <v>0.18</v>
      </c>
      <c r="K96" s="112">
        <v>148.88</v>
      </c>
      <c r="L96" s="112">
        <v>14.78</v>
      </c>
      <c r="M96" s="112">
        <v>84.92</v>
      </c>
      <c r="N96" s="112">
        <v>0</v>
      </c>
      <c r="O96" s="112">
        <v>0</v>
      </c>
      <c r="P96" s="112">
        <v>1.0900000000000001</v>
      </c>
      <c r="Q96" s="112">
        <v>5.03</v>
      </c>
    </row>
    <row r="97" spans="1:22" customFormat="1">
      <c r="A97" s="80">
        <v>45278.927083333336</v>
      </c>
      <c r="B97" s="112">
        <v>7.9</v>
      </c>
      <c r="C97" s="112">
        <v>26.52</v>
      </c>
      <c r="D97" s="112">
        <v>21.55</v>
      </c>
      <c r="E97" s="112">
        <v>4.78</v>
      </c>
      <c r="F97" s="112">
        <v>2.77</v>
      </c>
      <c r="G97" s="112">
        <v>92.69</v>
      </c>
      <c r="H97" s="112">
        <v>47.19</v>
      </c>
      <c r="I97" s="112">
        <v>8.5399999999999991</v>
      </c>
      <c r="J97" s="112">
        <v>0.1</v>
      </c>
      <c r="K97" s="112">
        <v>138.72</v>
      </c>
      <c r="L97" s="112">
        <v>14.7</v>
      </c>
      <c r="M97" s="112">
        <v>82.11</v>
      </c>
      <c r="N97" s="112">
        <v>0</v>
      </c>
      <c r="O97" s="112">
        <v>0</v>
      </c>
      <c r="P97" s="112">
        <v>1.0900000000000001</v>
      </c>
      <c r="Q97" s="112">
        <v>5.03</v>
      </c>
    </row>
    <row r="98" spans="1:22" customFormat="1">
      <c r="A98" s="80">
        <v>45278.9375</v>
      </c>
      <c r="B98" s="112">
        <v>10.79</v>
      </c>
      <c r="C98" s="112">
        <v>27.27</v>
      </c>
      <c r="D98" s="112">
        <v>24.25</v>
      </c>
      <c r="E98" s="112">
        <v>4.4400000000000004</v>
      </c>
      <c r="F98" s="112">
        <v>2.77</v>
      </c>
      <c r="G98" s="112">
        <v>92.69</v>
      </c>
      <c r="H98" s="112">
        <v>47.19</v>
      </c>
      <c r="I98" s="112">
        <v>8.61</v>
      </c>
      <c r="J98" s="112">
        <v>0.02</v>
      </c>
      <c r="K98" s="112">
        <v>22.49</v>
      </c>
      <c r="L98" s="112">
        <v>14.74</v>
      </c>
      <c r="M98" s="112">
        <v>76.739999999999995</v>
      </c>
      <c r="N98" s="112">
        <v>0</v>
      </c>
      <c r="O98" s="112">
        <v>0</v>
      </c>
      <c r="P98" s="112">
        <v>1.1200000000000001</v>
      </c>
      <c r="Q98" s="112">
        <v>5.07</v>
      </c>
    </row>
    <row r="99" spans="1:22" customFormat="1">
      <c r="A99" s="80">
        <v>45278.947916666664</v>
      </c>
      <c r="B99" s="112">
        <v>14.58</v>
      </c>
      <c r="C99" s="112">
        <v>29.68</v>
      </c>
      <c r="D99" s="112">
        <v>28.55</v>
      </c>
      <c r="E99" s="112">
        <v>5.14</v>
      </c>
      <c r="F99" s="112">
        <v>2.57</v>
      </c>
      <c r="G99" s="112">
        <v>92.69</v>
      </c>
      <c r="H99" s="112">
        <v>47.19</v>
      </c>
      <c r="I99" s="112">
        <v>8.7799999999999994</v>
      </c>
      <c r="J99" s="112">
        <v>0.06</v>
      </c>
      <c r="K99" s="112">
        <v>218.59</v>
      </c>
      <c r="L99" s="112">
        <v>14.48</v>
      </c>
      <c r="M99" s="112">
        <v>75.88</v>
      </c>
      <c r="N99" s="112">
        <v>0</v>
      </c>
      <c r="O99" s="112">
        <v>0</v>
      </c>
      <c r="P99" s="112">
        <v>1.1299999999999999</v>
      </c>
      <c r="Q99" s="112">
        <v>5.19</v>
      </c>
    </row>
    <row r="100" spans="1:22" customFormat="1">
      <c r="A100" s="80">
        <v>45278.958333333336</v>
      </c>
      <c r="B100" s="112">
        <v>18.71</v>
      </c>
      <c r="C100" s="112">
        <v>31.61</v>
      </c>
      <c r="D100" s="112">
        <v>32.869999999999997</v>
      </c>
      <c r="E100" s="112">
        <v>5.51</v>
      </c>
      <c r="F100" s="112">
        <v>2.4900000000000002</v>
      </c>
      <c r="G100" s="112">
        <v>105.82</v>
      </c>
      <c r="H100" s="112">
        <v>50.4</v>
      </c>
      <c r="I100" s="112">
        <v>9.0399999999999991</v>
      </c>
      <c r="J100" s="112">
        <v>7.0000000000000007E-2</v>
      </c>
      <c r="K100" s="112">
        <v>99.32</v>
      </c>
      <c r="L100" s="112">
        <v>14.62</v>
      </c>
      <c r="M100" s="112">
        <v>69.760000000000005</v>
      </c>
      <c r="N100" s="112">
        <v>0</v>
      </c>
      <c r="O100" s="112">
        <v>0</v>
      </c>
      <c r="P100" s="112">
        <v>1.1499999999999999</v>
      </c>
      <c r="Q100" s="112">
        <v>5.3</v>
      </c>
    </row>
    <row r="101" spans="1:22" customFormat="1">
      <c r="A101" s="80">
        <v>45278.96875</v>
      </c>
      <c r="B101" s="112">
        <v>22.1</v>
      </c>
      <c r="C101" s="112">
        <v>32.75</v>
      </c>
      <c r="D101" s="112">
        <v>36.19</v>
      </c>
      <c r="E101" s="112">
        <v>5.36</v>
      </c>
      <c r="F101" s="112">
        <v>2.48</v>
      </c>
      <c r="G101" s="112">
        <v>119.56</v>
      </c>
      <c r="H101" s="112">
        <v>52.08</v>
      </c>
      <c r="I101" s="112">
        <v>9.25</v>
      </c>
      <c r="J101" s="112">
        <v>0.03</v>
      </c>
      <c r="K101" s="112">
        <v>134.59</v>
      </c>
      <c r="L101" s="112">
        <v>14.72</v>
      </c>
      <c r="M101" s="112">
        <v>67.12</v>
      </c>
      <c r="N101" s="112">
        <v>0</v>
      </c>
      <c r="O101" s="112">
        <v>0</v>
      </c>
      <c r="P101" s="112">
        <v>1.1499999999999999</v>
      </c>
      <c r="Q101" s="112">
        <v>5.42</v>
      </c>
    </row>
    <row r="102" spans="1:22" customFormat="1">
      <c r="A102" s="80">
        <v>45278.979166666664</v>
      </c>
      <c r="B102" s="112">
        <v>24.06</v>
      </c>
      <c r="C102" s="112">
        <v>33.83</v>
      </c>
      <c r="D102" s="112">
        <v>38.32</v>
      </c>
      <c r="E102" s="112">
        <v>5.09</v>
      </c>
      <c r="F102" s="112">
        <v>2.59</v>
      </c>
      <c r="G102" s="112">
        <v>119.56</v>
      </c>
      <c r="H102" s="112">
        <v>52.08</v>
      </c>
      <c r="I102" s="112">
        <v>9.36</v>
      </c>
      <c r="J102" s="112">
        <v>0.11</v>
      </c>
      <c r="K102" s="112">
        <v>170.39</v>
      </c>
      <c r="L102" s="112">
        <v>14.59</v>
      </c>
      <c r="M102" s="112">
        <v>70.099999999999994</v>
      </c>
      <c r="N102" s="112">
        <v>0</v>
      </c>
      <c r="O102" s="112">
        <v>0</v>
      </c>
      <c r="P102" s="112">
        <v>1.1399999999999999</v>
      </c>
      <c r="Q102" s="112">
        <v>5.45</v>
      </c>
    </row>
    <row r="103" spans="1:22" customFormat="1">
      <c r="A103" s="80">
        <v>45278.989583333336</v>
      </c>
      <c r="B103" s="112">
        <v>24.71</v>
      </c>
      <c r="C103" s="112">
        <v>34.119999999999997</v>
      </c>
      <c r="D103" s="112">
        <v>39</v>
      </c>
      <c r="E103" s="112">
        <v>5.85</v>
      </c>
      <c r="F103" s="112">
        <v>2.65</v>
      </c>
      <c r="G103" s="112">
        <v>119.56</v>
      </c>
      <c r="H103" s="112">
        <v>52.08</v>
      </c>
      <c r="I103" s="112">
        <v>9.4</v>
      </c>
      <c r="J103" s="112">
        <v>0.01</v>
      </c>
      <c r="K103" s="112">
        <v>226.16</v>
      </c>
      <c r="L103" s="112">
        <v>14.1</v>
      </c>
      <c r="M103" s="112">
        <v>79.97</v>
      </c>
      <c r="N103" s="112">
        <v>0</v>
      </c>
      <c r="O103" s="112">
        <v>0</v>
      </c>
      <c r="P103" s="112">
        <v>1.1299999999999999</v>
      </c>
      <c r="Q103" s="112">
        <v>5.48</v>
      </c>
    </row>
    <row r="104" spans="1:22" customFormat="1">
      <c r="A104" s="80">
        <v>45279</v>
      </c>
      <c r="B104" s="112">
        <v>25.84</v>
      </c>
      <c r="C104" s="112">
        <v>33.89</v>
      </c>
      <c r="D104" s="112">
        <v>39.78</v>
      </c>
      <c r="E104" s="112">
        <v>5.22</v>
      </c>
      <c r="F104" s="112">
        <v>2.75</v>
      </c>
      <c r="G104" s="112">
        <v>118.98</v>
      </c>
      <c r="H104" s="112">
        <v>50.76</v>
      </c>
      <c r="I104" s="112">
        <v>9.3800000000000008</v>
      </c>
      <c r="J104" s="112">
        <v>0.23</v>
      </c>
      <c r="K104" s="112">
        <v>25.61</v>
      </c>
      <c r="L104" s="112">
        <v>14.28</v>
      </c>
      <c r="M104" s="112">
        <v>67.5</v>
      </c>
      <c r="N104" s="112">
        <v>0</v>
      </c>
      <c r="O104" s="112">
        <v>0</v>
      </c>
      <c r="P104" s="112">
        <v>1.1200000000000001</v>
      </c>
      <c r="Q104" s="112">
        <v>5.52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5.08</v>
      </c>
      <c r="C106" s="183">
        <f>MIN(C9:C104)</f>
        <v>24.04</v>
      </c>
      <c r="D106" s="183">
        <f t="shared" ref="D106:Q106" si="0">MIN(D9:D104)</f>
        <v>18.02</v>
      </c>
      <c r="E106" s="183">
        <f t="shared" si="0"/>
        <v>4.4400000000000004</v>
      </c>
      <c r="F106" s="183">
        <f t="shared" si="0"/>
        <v>2.44</v>
      </c>
      <c r="G106" s="183">
        <f t="shared" si="0"/>
        <v>70.88</v>
      </c>
      <c r="H106" s="183">
        <f t="shared" si="0"/>
        <v>28.65</v>
      </c>
      <c r="I106" s="183">
        <f t="shared" si="0"/>
        <v>5.81</v>
      </c>
      <c r="J106" s="183">
        <f t="shared" si="0"/>
        <v>0.01</v>
      </c>
      <c r="K106" s="183">
        <f t="shared" si="0"/>
        <v>1.44</v>
      </c>
      <c r="L106" s="183">
        <f t="shared" si="0"/>
        <v>13.88</v>
      </c>
      <c r="M106" s="183">
        <f t="shared" si="0"/>
        <v>35.229999999999997</v>
      </c>
      <c r="N106" s="183">
        <f t="shared" si="0"/>
        <v>0</v>
      </c>
      <c r="O106" s="183">
        <f t="shared" si="0"/>
        <v>0</v>
      </c>
      <c r="P106" s="183">
        <f t="shared" si="0"/>
        <v>0.65</v>
      </c>
      <c r="Q106" s="183">
        <f t="shared" si="0"/>
        <v>4.95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29.91</v>
      </c>
      <c r="C107" s="184">
        <f t="shared" ref="C107:Q107" si="1">MAX(C9:C104)</f>
        <v>35.06</v>
      </c>
      <c r="D107" s="184">
        <f t="shared" si="1"/>
        <v>42.55</v>
      </c>
      <c r="E107" s="184">
        <f t="shared" si="1"/>
        <v>6.87</v>
      </c>
      <c r="F107" s="184">
        <f t="shared" si="1"/>
        <v>3.99</v>
      </c>
      <c r="G107" s="184">
        <f t="shared" si="1"/>
        <v>119.56</v>
      </c>
      <c r="H107" s="184">
        <f t="shared" si="1"/>
        <v>52.08</v>
      </c>
      <c r="I107" s="184">
        <f t="shared" si="1"/>
        <v>9.4</v>
      </c>
      <c r="J107" s="184">
        <f t="shared" si="1"/>
        <v>0.87</v>
      </c>
      <c r="K107" s="184">
        <f t="shared" si="1"/>
        <v>353.64</v>
      </c>
      <c r="L107" s="184">
        <f t="shared" si="1"/>
        <v>24.98</v>
      </c>
      <c r="M107" s="184">
        <f t="shared" si="1"/>
        <v>87</v>
      </c>
      <c r="N107" s="184">
        <f t="shared" si="1"/>
        <v>499.8</v>
      </c>
      <c r="O107" s="184">
        <f t="shared" si="1"/>
        <v>0</v>
      </c>
      <c r="P107" s="184">
        <f t="shared" si="1"/>
        <v>1.1499999999999999</v>
      </c>
      <c r="Q107" s="184">
        <f t="shared" si="1"/>
        <v>5.66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15.123229166666661</v>
      </c>
      <c r="C108" s="183">
        <f t="shared" ref="C108:Q108" si="2">AVERAGE(C9:C104)</f>
        <v>30.278020833333326</v>
      </c>
      <c r="D108" s="183">
        <f t="shared" si="2"/>
        <v>29.298541666666694</v>
      </c>
      <c r="E108" s="183">
        <f t="shared" si="2"/>
        <v>5.577708333333331</v>
      </c>
      <c r="F108" s="183">
        <f t="shared" si="2"/>
        <v>2.937395833333333</v>
      </c>
      <c r="G108" s="183">
        <f t="shared" si="2"/>
        <v>89.733541666666625</v>
      </c>
      <c r="H108" s="183">
        <f t="shared" si="2"/>
        <v>38.742500000000007</v>
      </c>
      <c r="I108" s="183">
        <f t="shared" si="2"/>
        <v>7.5361458333333333</v>
      </c>
      <c r="J108" s="183">
        <f t="shared" si="2"/>
        <v>0.31052083333333341</v>
      </c>
      <c r="K108" s="183">
        <f t="shared" si="2"/>
        <v>95.831249999999997</v>
      </c>
      <c r="L108" s="183">
        <f t="shared" si="2"/>
        <v>18.100312499999998</v>
      </c>
      <c r="M108" s="183">
        <f t="shared" si="2"/>
        <v>63.532916666666694</v>
      </c>
      <c r="N108" s="183">
        <f t="shared" si="2"/>
        <v>99.016666666666666</v>
      </c>
      <c r="O108" s="183">
        <f t="shared" si="2"/>
        <v>0</v>
      </c>
      <c r="P108" s="183">
        <f t="shared" si="2"/>
        <v>0.85635416666666675</v>
      </c>
      <c r="Q108" s="183">
        <f t="shared" si="2"/>
        <v>5.2552083333333313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8.3686304601475285</v>
      </c>
      <c r="C109" s="183">
        <f t="shared" ref="C109:Q109" si="3">STDEV(C9:C104)</f>
        <v>2.7646839049516827</v>
      </c>
      <c r="D109" s="183">
        <f t="shared" si="3"/>
        <v>7.433309099362492</v>
      </c>
      <c r="E109" s="183">
        <f t="shared" si="3"/>
        <v>0.47887912806704991</v>
      </c>
      <c r="F109" s="183">
        <f t="shared" si="3"/>
        <v>0.39311507567035009</v>
      </c>
      <c r="G109" s="183">
        <f t="shared" si="3"/>
        <v>16.369939264856562</v>
      </c>
      <c r="H109" s="183">
        <f t="shared" si="3"/>
        <v>7.2961493809729774</v>
      </c>
      <c r="I109" s="183">
        <f t="shared" si="3"/>
        <v>1.1038434002126343</v>
      </c>
      <c r="J109" s="183">
        <f t="shared" si="3"/>
        <v>0.23132738155294191</v>
      </c>
      <c r="K109" s="183">
        <f t="shared" si="3"/>
        <v>76.848070184309989</v>
      </c>
      <c r="L109" s="183">
        <f t="shared" si="3"/>
        <v>3.9603764980843814</v>
      </c>
      <c r="M109" s="183">
        <f t="shared" si="3"/>
        <v>19.084810599375402</v>
      </c>
      <c r="N109" s="183">
        <f t="shared" si="3"/>
        <v>166.38821293441663</v>
      </c>
      <c r="O109" s="183">
        <f t="shared" si="3"/>
        <v>0</v>
      </c>
      <c r="P109" s="183">
        <f t="shared" si="3"/>
        <v>0.15425965663992283</v>
      </c>
      <c r="Q109" s="183">
        <f t="shared" si="3"/>
        <v>0.22025334296611204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45279.010416666664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45279.010416666664</v>
      </c>
      <c r="B9" s="112">
        <v>28.94</v>
      </c>
      <c r="C9" s="112">
        <v>33.86</v>
      </c>
      <c r="D9" s="112">
        <v>42.25</v>
      </c>
      <c r="E9" s="112">
        <v>5.63</v>
      </c>
      <c r="F9" s="112">
        <v>2.66</v>
      </c>
      <c r="G9" s="112">
        <v>118.38</v>
      </c>
      <c r="H9" s="112">
        <v>50.07</v>
      </c>
      <c r="I9" s="112">
        <v>9.31</v>
      </c>
      <c r="J9" s="112">
        <v>0.17</v>
      </c>
      <c r="K9" s="112">
        <v>52.68</v>
      </c>
      <c r="L9" s="112">
        <v>14.49</v>
      </c>
      <c r="M9" s="112">
        <v>66.31</v>
      </c>
      <c r="N9" s="112">
        <v>0</v>
      </c>
      <c r="O9" s="112">
        <v>0</v>
      </c>
      <c r="P9" s="112">
        <v>1.1100000000000001</v>
      </c>
      <c r="Q9" s="112">
        <v>5.57</v>
      </c>
    </row>
    <row r="10" spans="1:21" customFormat="1">
      <c r="A10" s="80">
        <v>45279.020833333336</v>
      </c>
      <c r="B10" s="112">
        <v>29.28</v>
      </c>
      <c r="C10" s="112">
        <v>34.15</v>
      </c>
      <c r="D10" s="112">
        <v>42.67</v>
      </c>
      <c r="E10" s="112">
        <v>5.55</v>
      </c>
      <c r="F10" s="112">
        <v>2.61</v>
      </c>
      <c r="G10" s="112">
        <v>118.38</v>
      </c>
      <c r="H10" s="112">
        <v>50.07</v>
      </c>
      <c r="I10" s="112">
        <v>9.26</v>
      </c>
      <c r="J10" s="112">
        <v>7.0000000000000007E-2</v>
      </c>
      <c r="K10" s="112">
        <v>50.03</v>
      </c>
      <c r="L10" s="112">
        <v>14.25</v>
      </c>
      <c r="M10" s="112">
        <v>68.5</v>
      </c>
      <c r="N10" s="112">
        <v>0</v>
      </c>
      <c r="O10" s="112">
        <v>0</v>
      </c>
      <c r="P10" s="112">
        <v>1.1000000000000001</v>
      </c>
      <c r="Q10" s="112">
        <v>5.57</v>
      </c>
    </row>
    <row r="11" spans="1:21" customFormat="1">
      <c r="A11" s="80">
        <v>45279.03125</v>
      </c>
      <c r="B11" s="112">
        <v>29.88</v>
      </c>
      <c r="C11" s="112">
        <v>33.97</v>
      </c>
      <c r="D11" s="112">
        <v>43.06</v>
      </c>
      <c r="E11" s="112">
        <v>5.51</v>
      </c>
      <c r="F11" s="112">
        <v>2.4700000000000002</v>
      </c>
      <c r="G11" s="112">
        <v>118.38</v>
      </c>
      <c r="H11" s="112">
        <v>50.07</v>
      </c>
      <c r="I11" s="112">
        <v>9.2200000000000006</v>
      </c>
      <c r="J11" s="112">
        <v>0.12</v>
      </c>
      <c r="K11" s="112">
        <v>3.77</v>
      </c>
      <c r="L11" s="112">
        <v>14.26</v>
      </c>
      <c r="M11" s="112">
        <v>67.41</v>
      </c>
      <c r="N11" s="112">
        <v>0</v>
      </c>
      <c r="O11" s="112">
        <v>0</v>
      </c>
      <c r="P11" s="112">
        <v>1.0900000000000001</v>
      </c>
      <c r="Q11" s="112">
        <v>5.6</v>
      </c>
    </row>
    <row r="12" spans="1:21" customFormat="1">
      <c r="A12" s="80">
        <v>45279.041666666664</v>
      </c>
      <c r="B12" s="112">
        <v>29.41</v>
      </c>
      <c r="C12" s="112">
        <v>33.630000000000003</v>
      </c>
      <c r="D12" s="112">
        <v>42.51</v>
      </c>
      <c r="E12" s="112">
        <v>5.96</v>
      </c>
      <c r="F12" s="112">
        <v>2.62</v>
      </c>
      <c r="G12" s="112">
        <v>116.08</v>
      </c>
      <c r="H12" s="112">
        <v>50.72</v>
      </c>
      <c r="I12" s="112">
        <v>9.16</v>
      </c>
      <c r="J12" s="112">
        <v>0.27</v>
      </c>
      <c r="K12" s="112">
        <v>36.85</v>
      </c>
      <c r="L12" s="112">
        <v>14.6</v>
      </c>
      <c r="M12" s="112">
        <v>62.52</v>
      </c>
      <c r="N12" s="112">
        <v>0</v>
      </c>
      <c r="O12" s="112">
        <v>0</v>
      </c>
      <c r="P12" s="112">
        <v>1.08</v>
      </c>
      <c r="Q12" s="112">
        <v>5.59</v>
      </c>
    </row>
    <row r="13" spans="1:21" customFormat="1">
      <c r="A13" s="80">
        <v>45279.052083333336</v>
      </c>
      <c r="B13" s="112">
        <v>28.42</v>
      </c>
      <c r="C13" s="112">
        <v>33.42</v>
      </c>
      <c r="D13" s="112">
        <v>41.6</v>
      </c>
      <c r="E13" s="112">
        <v>5.58</v>
      </c>
      <c r="F13" s="112">
        <v>2.6</v>
      </c>
      <c r="G13" s="112">
        <v>113.68</v>
      </c>
      <c r="H13" s="112">
        <v>51.04</v>
      </c>
      <c r="I13" s="112">
        <v>9.1</v>
      </c>
      <c r="J13" s="112">
        <v>0.28999999999999998</v>
      </c>
      <c r="K13" s="112">
        <v>23.66</v>
      </c>
      <c r="L13" s="112">
        <v>14.63</v>
      </c>
      <c r="M13" s="112">
        <v>62.25</v>
      </c>
      <c r="N13" s="112">
        <v>0</v>
      </c>
      <c r="O13" s="112">
        <v>0</v>
      </c>
      <c r="P13" s="112">
        <v>1.07</v>
      </c>
      <c r="Q13" s="112">
        <v>5.57</v>
      </c>
    </row>
    <row r="14" spans="1:21" customFormat="1">
      <c r="A14" s="80">
        <v>45279.0625</v>
      </c>
      <c r="B14" s="112">
        <v>27.15</v>
      </c>
      <c r="C14" s="112">
        <v>32.799999999999997</v>
      </c>
      <c r="D14" s="112">
        <v>40.26</v>
      </c>
      <c r="E14" s="112">
        <v>5.5</v>
      </c>
      <c r="F14" s="112">
        <v>2.67</v>
      </c>
      <c r="G14" s="112">
        <v>113.68</v>
      </c>
      <c r="H14" s="112">
        <v>51.04</v>
      </c>
      <c r="I14" s="112">
        <v>9.02</v>
      </c>
      <c r="J14" s="112">
        <v>0.28000000000000003</v>
      </c>
      <c r="K14" s="112">
        <v>31.5</v>
      </c>
      <c r="L14" s="112">
        <v>14.57</v>
      </c>
      <c r="M14" s="112">
        <v>62.21</v>
      </c>
      <c r="N14" s="112">
        <v>0</v>
      </c>
      <c r="O14" s="112">
        <v>0</v>
      </c>
      <c r="P14" s="112">
        <v>1.05</v>
      </c>
      <c r="Q14" s="112">
        <v>5.54</v>
      </c>
    </row>
    <row r="15" spans="1:21" customFormat="1">
      <c r="A15" s="80">
        <v>45279.072916666664</v>
      </c>
      <c r="B15" s="112">
        <v>25.99</v>
      </c>
      <c r="C15" s="112">
        <v>32.58</v>
      </c>
      <c r="D15" s="112">
        <v>39.22</v>
      </c>
      <c r="E15" s="112">
        <v>5.4</v>
      </c>
      <c r="F15" s="112">
        <v>2.6</v>
      </c>
      <c r="G15" s="112">
        <v>113.68</v>
      </c>
      <c r="H15" s="112">
        <v>51.04</v>
      </c>
      <c r="I15" s="112">
        <v>8.9</v>
      </c>
      <c r="J15" s="112">
        <v>0.27</v>
      </c>
      <c r="K15" s="112">
        <v>26.22</v>
      </c>
      <c r="L15" s="112">
        <v>14.42</v>
      </c>
      <c r="M15" s="112">
        <v>62.85</v>
      </c>
      <c r="N15" s="112">
        <v>0</v>
      </c>
      <c r="O15" s="112">
        <v>0</v>
      </c>
      <c r="P15" s="112">
        <v>1.03</v>
      </c>
      <c r="Q15" s="112">
        <v>5.52</v>
      </c>
    </row>
    <row r="16" spans="1:21" customFormat="1">
      <c r="A16" s="80">
        <v>45279.083333333336</v>
      </c>
      <c r="B16" s="112">
        <v>24.91</v>
      </c>
      <c r="C16" s="112">
        <v>32.32</v>
      </c>
      <c r="D16" s="112">
        <v>38.21</v>
      </c>
      <c r="E16" s="112">
        <v>5.43</v>
      </c>
      <c r="F16" s="112">
        <v>2.62</v>
      </c>
      <c r="G16" s="112">
        <v>105.54</v>
      </c>
      <c r="H16" s="112">
        <v>49.6</v>
      </c>
      <c r="I16" s="112">
        <v>8.7799999999999994</v>
      </c>
      <c r="J16" s="112">
        <v>0.25</v>
      </c>
      <c r="K16" s="112">
        <v>25.82</v>
      </c>
      <c r="L16" s="112">
        <v>14.33</v>
      </c>
      <c r="M16" s="112">
        <v>63.59</v>
      </c>
      <c r="N16" s="112">
        <v>0</v>
      </c>
      <c r="O16" s="112">
        <v>0</v>
      </c>
      <c r="P16" s="112">
        <v>1.02</v>
      </c>
      <c r="Q16" s="112">
        <v>5.48</v>
      </c>
    </row>
    <row r="17" spans="1:17" customFormat="1">
      <c r="A17" s="80">
        <v>45279.09375</v>
      </c>
      <c r="B17" s="112">
        <v>24.25</v>
      </c>
      <c r="C17" s="112">
        <v>32.14</v>
      </c>
      <c r="D17" s="112">
        <v>37.590000000000003</v>
      </c>
      <c r="E17" s="112">
        <v>6.86</v>
      </c>
      <c r="F17" s="112">
        <v>2.5299999999999998</v>
      </c>
      <c r="G17" s="112">
        <v>97.02</v>
      </c>
      <c r="H17" s="112">
        <v>47.96</v>
      </c>
      <c r="I17" s="112">
        <v>8.65</v>
      </c>
      <c r="J17" s="112">
        <v>0.41</v>
      </c>
      <c r="K17" s="112">
        <v>33.97</v>
      </c>
      <c r="L17" s="112">
        <v>14.33</v>
      </c>
      <c r="M17" s="112">
        <v>62.85</v>
      </c>
      <c r="N17" s="112">
        <v>0</v>
      </c>
      <c r="O17" s="112">
        <v>0</v>
      </c>
      <c r="P17" s="112">
        <v>1</v>
      </c>
      <c r="Q17" s="112">
        <v>5.48</v>
      </c>
    </row>
    <row r="18" spans="1:17" customFormat="1">
      <c r="A18" s="80">
        <v>45279.104166666664</v>
      </c>
      <c r="B18" s="112">
        <v>23.24</v>
      </c>
      <c r="C18" s="112">
        <v>31.24</v>
      </c>
      <c r="D18" s="112">
        <v>36.31</v>
      </c>
      <c r="E18" s="112">
        <v>7.19</v>
      </c>
      <c r="F18" s="112">
        <v>2.62</v>
      </c>
      <c r="G18" s="112">
        <v>97.02</v>
      </c>
      <c r="H18" s="112">
        <v>47.96</v>
      </c>
      <c r="I18" s="112">
        <v>8.5299999999999994</v>
      </c>
      <c r="J18" s="112">
        <v>0.33</v>
      </c>
      <c r="K18" s="112">
        <v>26.82</v>
      </c>
      <c r="L18" s="112">
        <v>14.22</v>
      </c>
      <c r="M18" s="112">
        <v>63.37</v>
      </c>
      <c r="N18" s="112">
        <v>0</v>
      </c>
      <c r="O18" s="112">
        <v>0</v>
      </c>
      <c r="P18" s="112">
        <v>0.98</v>
      </c>
      <c r="Q18" s="112">
        <v>5.44</v>
      </c>
    </row>
    <row r="19" spans="1:17" customFormat="1">
      <c r="A19" s="80">
        <v>45279.114583333336</v>
      </c>
      <c r="B19" s="112">
        <v>22.16</v>
      </c>
      <c r="C19" s="112">
        <v>31.05</v>
      </c>
      <c r="D19" s="112">
        <v>35.340000000000003</v>
      </c>
      <c r="E19" s="112">
        <v>6.86</v>
      </c>
      <c r="F19" s="112">
        <v>2.67</v>
      </c>
      <c r="G19" s="112">
        <v>97.02</v>
      </c>
      <c r="H19" s="112">
        <v>47.96</v>
      </c>
      <c r="I19" s="112">
        <v>8.39</v>
      </c>
      <c r="J19" s="112">
        <v>0.38</v>
      </c>
      <c r="K19" s="112">
        <v>34.14</v>
      </c>
      <c r="L19" s="112">
        <v>14.09</v>
      </c>
      <c r="M19" s="112">
        <v>62.79</v>
      </c>
      <c r="N19" s="112">
        <v>0</v>
      </c>
      <c r="O19" s="112">
        <v>0</v>
      </c>
      <c r="P19" s="112">
        <v>0.95</v>
      </c>
      <c r="Q19" s="112">
        <v>5.41</v>
      </c>
    </row>
    <row r="20" spans="1:17" customFormat="1">
      <c r="A20" s="80">
        <v>45279.125</v>
      </c>
      <c r="B20" s="112">
        <v>21.15</v>
      </c>
      <c r="C20" s="112">
        <v>30.87</v>
      </c>
      <c r="D20" s="112">
        <v>34.44</v>
      </c>
      <c r="E20" s="112">
        <v>6.83</v>
      </c>
      <c r="F20" s="112">
        <v>2.72</v>
      </c>
      <c r="G20" s="112">
        <v>86.23</v>
      </c>
      <c r="H20" s="112">
        <v>43.03</v>
      </c>
      <c r="I20" s="112">
        <v>8.2200000000000006</v>
      </c>
      <c r="J20" s="112">
        <v>0.24</v>
      </c>
      <c r="K20" s="112">
        <v>31.99</v>
      </c>
      <c r="L20" s="112">
        <v>13.93</v>
      </c>
      <c r="M20" s="112">
        <v>63.23</v>
      </c>
      <c r="N20" s="112">
        <v>0</v>
      </c>
      <c r="O20" s="112">
        <v>0</v>
      </c>
      <c r="P20" s="112">
        <v>0.94</v>
      </c>
      <c r="Q20" s="112">
        <v>5.4</v>
      </c>
    </row>
    <row r="21" spans="1:17" customFormat="1">
      <c r="A21" s="80">
        <v>45279.135416666664</v>
      </c>
      <c r="B21" s="112">
        <v>20.21</v>
      </c>
      <c r="C21" s="112">
        <v>30.47</v>
      </c>
      <c r="D21" s="112">
        <v>33.479999999999997</v>
      </c>
      <c r="E21" s="112">
        <v>6.64</v>
      </c>
      <c r="F21" s="112">
        <v>2.75</v>
      </c>
      <c r="G21" s="112">
        <v>74.95</v>
      </c>
      <c r="H21" s="112">
        <v>40.39</v>
      </c>
      <c r="I21" s="112">
        <v>8.0500000000000007</v>
      </c>
      <c r="J21" s="112">
        <v>0.18</v>
      </c>
      <c r="K21" s="112">
        <v>36.74</v>
      </c>
      <c r="L21" s="112">
        <v>13.61</v>
      </c>
      <c r="M21" s="112">
        <v>65.48</v>
      </c>
      <c r="N21" s="112">
        <v>0</v>
      </c>
      <c r="O21" s="112">
        <v>0</v>
      </c>
      <c r="P21" s="112">
        <v>0.92</v>
      </c>
      <c r="Q21" s="112">
        <v>5.36</v>
      </c>
    </row>
    <row r="22" spans="1:17" customFormat="1">
      <c r="A22" s="80">
        <v>45279.145833333336</v>
      </c>
      <c r="B22" s="112">
        <v>19.600000000000001</v>
      </c>
      <c r="C22" s="112">
        <v>29.96</v>
      </c>
      <c r="D22" s="112">
        <v>32.72</v>
      </c>
      <c r="E22" s="112">
        <v>6.36</v>
      </c>
      <c r="F22" s="112">
        <v>2.83</v>
      </c>
      <c r="G22" s="112">
        <v>74.95</v>
      </c>
      <c r="H22" s="112">
        <v>40.39</v>
      </c>
      <c r="I22" s="112">
        <v>7.87</v>
      </c>
      <c r="J22" s="112">
        <v>0.26</v>
      </c>
      <c r="K22" s="112">
        <v>25.58</v>
      </c>
      <c r="L22" s="112">
        <v>13.46</v>
      </c>
      <c r="M22" s="112">
        <v>65.849999999999994</v>
      </c>
      <c r="N22" s="112">
        <v>0</v>
      </c>
      <c r="O22" s="112">
        <v>0</v>
      </c>
      <c r="P22" s="112">
        <v>0.9</v>
      </c>
      <c r="Q22" s="112">
        <v>5.37</v>
      </c>
    </row>
    <row r="23" spans="1:17" customFormat="1">
      <c r="A23" s="80">
        <v>45279.15625</v>
      </c>
      <c r="B23" s="112">
        <v>18.89</v>
      </c>
      <c r="C23" s="112">
        <v>29.55</v>
      </c>
      <c r="D23" s="112">
        <v>31.94</v>
      </c>
      <c r="E23" s="112">
        <v>6.65</v>
      </c>
      <c r="F23" s="112">
        <v>2.88</v>
      </c>
      <c r="G23" s="112">
        <v>74.95</v>
      </c>
      <c r="H23" s="112">
        <v>40.39</v>
      </c>
      <c r="I23" s="112">
        <v>7.71</v>
      </c>
      <c r="J23" s="112">
        <v>0.31</v>
      </c>
      <c r="K23" s="112">
        <v>39.090000000000003</v>
      </c>
      <c r="L23" s="112">
        <v>13.41</v>
      </c>
      <c r="M23" s="112">
        <v>66.12</v>
      </c>
      <c r="N23" s="112">
        <v>0</v>
      </c>
      <c r="O23" s="112">
        <v>0</v>
      </c>
      <c r="P23" s="112">
        <v>0.88</v>
      </c>
      <c r="Q23" s="112">
        <v>5.32</v>
      </c>
    </row>
    <row r="24" spans="1:17" customFormat="1">
      <c r="A24" s="80">
        <v>45279.166666666664</v>
      </c>
      <c r="B24" s="112">
        <v>18.21</v>
      </c>
      <c r="C24" s="112">
        <v>29.34</v>
      </c>
      <c r="D24" s="112">
        <v>31.28</v>
      </c>
      <c r="E24" s="112">
        <v>6.3</v>
      </c>
      <c r="F24" s="112">
        <v>2.96</v>
      </c>
      <c r="G24" s="112">
        <v>74.680000000000007</v>
      </c>
      <c r="H24" s="112">
        <v>37.76</v>
      </c>
      <c r="I24" s="112">
        <v>7.54</v>
      </c>
      <c r="J24" s="112">
        <v>0.43</v>
      </c>
      <c r="K24" s="112">
        <v>40.81</v>
      </c>
      <c r="L24" s="112">
        <v>13.47</v>
      </c>
      <c r="M24" s="112">
        <v>65.72</v>
      </c>
      <c r="N24" s="112">
        <v>0</v>
      </c>
      <c r="O24" s="112">
        <v>0</v>
      </c>
      <c r="P24" s="112">
        <v>0.86</v>
      </c>
      <c r="Q24" s="112">
        <v>5.3</v>
      </c>
    </row>
    <row r="25" spans="1:17" customFormat="1">
      <c r="A25" s="80">
        <v>45279.177083333336</v>
      </c>
      <c r="B25" s="112">
        <v>17.920000000000002</v>
      </c>
      <c r="C25" s="112">
        <v>29.25</v>
      </c>
      <c r="D25" s="112">
        <v>31.01</v>
      </c>
      <c r="E25" s="112">
        <v>6.12</v>
      </c>
      <c r="F25" s="112">
        <v>2.98</v>
      </c>
      <c r="G25" s="112">
        <v>74.39</v>
      </c>
      <c r="H25" s="112">
        <v>36.35</v>
      </c>
      <c r="I25" s="112">
        <v>7.38</v>
      </c>
      <c r="J25" s="112">
        <v>0.44</v>
      </c>
      <c r="K25" s="112">
        <v>50.82</v>
      </c>
      <c r="L25" s="112">
        <v>13.37</v>
      </c>
      <c r="M25" s="112">
        <v>66.94</v>
      </c>
      <c r="N25" s="112">
        <v>0</v>
      </c>
      <c r="O25" s="112">
        <v>0</v>
      </c>
      <c r="P25" s="112">
        <v>0.86</v>
      </c>
      <c r="Q25" s="112">
        <v>5.28</v>
      </c>
    </row>
    <row r="26" spans="1:17" customFormat="1">
      <c r="A26" s="80">
        <v>45279.1875</v>
      </c>
      <c r="B26" s="112">
        <v>17.989999999999998</v>
      </c>
      <c r="C26" s="112">
        <v>28.94</v>
      </c>
      <c r="D26" s="112">
        <v>30.9</v>
      </c>
      <c r="E26" s="112">
        <v>6.08</v>
      </c>
      <c r="F26" s="112">
        <v>2.83</v>
      </c>
      <c r="G26" s="112">
        <v>74.39</v>
      </c>
      <c r="H26" s="112">
        <v>36.35</v>
      </c>
      <c r="I26" s="112">
        <v>7.27</v>
      </c>
      <c r="J26" s="112">
        <v>0.28000000000000003</v>
      </c>
      <c r="K26" s="112">
        <v>45.82</v>
      </c>
      <c r="L26" s="112">
        <v>13.2</v>
      </c>
      <c r="M26" s="112">
        <v>68.06</v>
      </c>
      <c r="N26" s="112">
        <v>0</v>
      </c>
      <c r="O26" s="112">
        <v>0</v>
      </c>
      <c r="P26" s="112">
        <v>0.84</v>
      </c>
      <c r="Q26" s="112">
        <v>5.29</v>
      </c>
    </row>
    <row r="27" spans="1:17" customFormat="1">
      <c r="A27" s="80">
        <v>45279.197916666664</v>
      </c>
      <c r="B27" s="112">
        <v>17.690000000000001</v>
      </c>
      <c r="C27" s="112">
        <v>28.86</v>
      </c>
      <c r="D27" s="112">
        <v>30.62</v>
      </c>
      <c r="E27" s="112">
        <v>5.91</v>
      </c>
      <c r="F27" s="112">
        <v>2.86</v>
      </c>
      <c r="G27" s="112">
        <v>74.39</v>
      </c>
      <c r="H27" s="112">
        <v>36.35</v>
      </c>
      <c r="I27" s="112">
        <v>7.2</v>
      </c>
      <c r="J27" s="112">
        <v>0.22</v>
      </c>
      <c r="K27" s="112">
        <v>50.38</v>
      </c>
      <c r="L27" s="112">
        <v>12.83</v>
      </c>
      <c r="M27" s="112">
        <v>70.48</v>
      </c>
      <c r="N27" s="112">
        <v>0</v>
      </c>
      <c r="O27" s="112">
        <v>0</v>
      </c>
      <c r="P27" s="112">
        <v>0.83</v>
      </c>
      <c r="Q27" s="112">
        <v>5.27</v>
      </c>
    </row>
    <row r="28" spans="1:17" customFormat="1">
      <c r="A28" s="80">
        <v>45279.208333333336</v>
      </c>
      <c r="B28" s="112">
        <v>17.239999999999998</v>
      </c>
      <c r="C28" s="112">
        <v>28.74</v>
      </c>
      <c r="D28" s="112">
        <v>30.19</v>
      </c>
      <c r="E28" s="112">
        <v>6.1</v>
      </c>
      <c r="F28" s="112">
        <v>2.82</v>
      </c>
      <c r="G28" s="112">
        <v>72.5</v>
      </c>
      <c r="H28" s="112">
        <v>36.020000000000003</v>
      </c>
      <c r="I28" s="112">
        <v>7.1</v>
      </c>
      <c r="J28" s="112">
        <v>0.2</v>
      </c>
      <c r="K28" s="112">
        <v>70.22</v>
      </c>
      <c r="L28" s="112">
        <v>12.67</v>
      </c>
      <c r="M28" s="112">
        <v>71.930000000000007</v>
      </c>
      <c r="N28" s="112">
        <v>0</v>
      </c>
      <c r="O28" s="112">
        <v>0</v>
      </c>
      <c r="P28" s="112">
        <v>0.82</v>
      </c>
      <c r="Q28" s="112">
        <v>5.25</v>
      </c>
    </row>
    <row r="29" spans="1:17" customFormat="1">
      <c r="A29" s="80">
        <v>45279.21875</v>
      </c>
      <c r="B29" s="112">
        <v>16.96</v>
      </c>
      <c r="C29" s="112">
        <v>28.5</v>
      </c>
      <c r="D29" s="112">
        <v>29.85</v>
      </c>
      <c r="E29" s="112">
        <v>6.06</v>
      </c>
      <c r="F29" s="112">
        <v>2.9</v>
      </c>
      <c r="G29" s="112">
        <v>70.53</v>
      </c>
      <c r="H29" s="112">
        <v>35.840000000000003</v>
      </c>
      <c r="I29" s="112">
        <v>7</v>
      </c>
      <c r="J29" s="112">
        <v>0.32</v>
      </c>
      <c r="K29" s="112">
        <v>40.57</v>
      </c>
      <c r="L29" s="112">
        <v>12.49</v>
      </c>
      <c r="M29" s="112">
        <v>72.400000000000006</v>
      </c>
      <c r="N29" s="112">
        <v>0</v>
      </c>
      <c r="O29" s="112">
        <v>0</v>
      </c>
      <c r="P29" s="112">
        <v>0.82</v>
      </c>
      <c r="Q29" s="112">
        <v>5.24</v>
      </c>
    </row>
    <row r="30" spans="1:17" customFormat="1">
      <c r="A30" s="80">
        <v>45279.229166666664</v>
      </c>
      <c r="B30" s="112">
        <v>17.37</v>
      </c>
      <c r="C30" s="112">
        <v>28.48</v>
      </c>
      <c r="D30" s="112">
        <v>30.16</v>
      </c>
      <c r="E30" s="112">
        <v>6.42</v>
      </c>
      <c r="F30" s="112">
        <v>2.81</v>
      </c>
      <c r="G30" s="112">
        <v>70.53</v>
      </c>
      <c r="H30" s="112">
        <v>35.840000000000003</v>
      </c>
      <c r="I30" s="112">
        <v>6.88</v>
      </c>
      <c r="J30" s="112">
        <v>0.32</v>
      </c>
      <c r="K30" s="112">
        <v>32.08</v>
      </c>
      <c r="L30" s="112">
        <v>12.39</v>
      </c>
      <c r="M30" s="112">
        <v>73.25</v>
      </c>
      <c r="N30" s="112">
        <v>0</v>
      </c>
      <c r="O30" s="112">
        <v>0</v>
      </c>
      <c r="P30" s="112">
        <v>0.81</v>
      </c>
      <c r="Q30" s="112">
        <v>5.25</v>
      </c>
    </row>
    <row r="31" spans="1:17" customFormat="1">
      <c r="A31" s="80">
        <v>45279.239583333336</v>
      </c>
      <c r="B31" s="112">
        <v>18.46</v>
      </c>
      <c r="C31" s="112">
        <v>28.99</v>
      </c>
      <c r="D31" s="112">
        <v>31.3</v>
      </c>
      <c r="E31" s="112">
        <v>6.42</v>
      </c>
      <c r="F31" s="112">
        <v>2.73</v>
      </c>
      <c r="G31" s="112">
        <v>70.53</v>
      </c>
      <c r="H31" s="112">
        <v>35.840000000000003</v>
      </c>
      <c r="I31" s="112">
        <v>6.77</v>
      </c>
      <c r="J31" s="112">
        <v>0.24</v>
      </c>
      <c r="K31" s="112">
        <v>25.12</v>
      </c>
      <c r="L31" s="112">
        <v>12.18</v>
      </c>
      <c r="M31" s="112">
        <v>75.14</v>
      </c>
      <c r="N31" s="112">
        <v>0</v>
      </c>
      <c r="O31" s="112">
        <v>0</v>
      </c>
      <c r="P31" s="112">
        <v>0.81</v>
      </c>
      <c r="Q31" s="112">
        <v>5.29</v>
      </c>
    </row>
    <row r="32" spans="1:17" customFormat="1">
      <c r="A32" s="80">
        <v>45279.25</v>
      </c>
      <c r="B32" s="112">
        <v>19.54</v>
      </c>
      <c r="C32" s="112">
        <v>29.24</v>
      </c>
      <c r="D32" s="112">
        <v>32.29</v>
      </c>
      <c r="E32" s="112">
        <v>6.47</v>
      </c>
      <c r="F32" s="112">
        <v>2.77</v>
      </c>
      <c r="G32" s="112">
        <v>69.62</v>
      </c>
      <c r="H32" s="112">
        <v>37.229999999999997</v>
      </c>
      <c r="I32" s="112">
        <v>6.71</v>
      </c>
      <c r="J32" s="112">
        <v>0.23</v>
      </c>
      <c r="K32" s="112">
        <v>37.979999999999997</v>
      </c>
      <c r="L32" s="112">
        <v>11.97</v>
      </c>
      <c r="M32" s="112">
        <v>76.53</v>
      </c>
      <c r="N32" s="112">
        <v>0</v>
      </c>
      <c r="O32" s="112">
        <v>0</v>
      </c>
      <c r="P32" s="112">
        <v>0.81</v>
      </c>
      <c r="Q32" s="112">
        <v>5.3</v>
      </c>
    </row>
    <row r="33" spans="1:17" customFormat="1">
      <c r="A33" s="80">
        <v>45279.260416666664</v>
      </c>
      <c r="B33" s="112">
        <v>20.170000000000002</v>
      </c>
      <c r="C33" s="112">
        <v>28.92</v>
      </c>
      <c r="D33" s="112">
        <v>32.64</v>
      </c>
      <c r="E33" s="112">
        <v>6.04</v>
      </c>
      <c r="F33" s="112">
        <v>2.72</v>
      </c>
      <c r="G33" s="112">
        <v>68.67</v>
      </c>
      <c r="H33" s="112">
        <v>37.96</v>
      </c>
      <c r="I33" s="112">
        <v>6.74</v>
      </c>
      <c r="J33" s="112">
        <v>0.28999999999999998</v>
      </c>
      <c r="K33" s="112">
        <v>28.08</v>
      </c>
      <c r="L33" s="112">
        <v>11.87</v>
      </c>
      <c r="M33" s="112">
        <v>77.040000000000006</v>
      </c>
      <c r="N33" s="112">
        <v>0</v>
      </c>
      <c r="O33" s="112">
        <v>0</v>
      </c>
      <c r="P33" s="112">
        <v>0.81</v>
      </c>
      <c r="Q33" s="112">
        <v>5.34</v>
      </c>
    </row>
    <row r="34" spans="1:17" customFormat="1">
      <c r="A34" s="80">
        <v>45279.270833333336</v>
      </c>
      <c r="B34" s="112">
        <v>20.09</v>
      </c>
      <c r="C34" s="112">
        <v>28.66</v>
      </c>
      <c r="D34" s="112">
        <v>32.43</v>
      </c>
      <c r="E34" s="112">
        <v>6.35</v>
      </c>
      <c r="F34" s="112">
        <v>2.75</v>
      </c>
      <c r="G34" s="112">
        <v>68.67</v>
      </c>
      <c r="H34" s="112">
        <v>37.96</v>
      </c>
      <c r="I34" s="112">
        <v>6.74</v>
      </c>
      <c r="J34" s="112">
        <v>0.3</v>
      </c>
      <c r="K34" s="112">
        <v>33.979999999999997</v>
      </c>
      <c r="L34" s="112">
        <v>11.83</v>
      </c>
      <c r="M34" s="112">
        <v>77.349999999999994</v>
      </c>
      <c r="N34" s="112">
        <v>0</v>
      </c>
      <c r="O34" s="112">
        <v>0</v>
      </c>
      <c r="P34" s="112">
        <v>0.81</v>
      </c>
      <c r="Q34" s="112">
        <v>5.32</v>
      </c>
    </row>
    <row r="35" spans="1:17" customFormat="1">
      <c r="A35" s="80">
        <v>45279.28125</v>
      </c>
      <c r="B35" s="112">
        <v>20.18</v>
      </c>
      <c r="C35" s="112">
        <v>28.94</v>
      </c>
      <c r="D35" s="112">
        <v>32.65</v>
      </c>
      <c r="E35" s="112">
        <v>6.27</v>
      </c>
      <c r="F35" s="112">
        <v>2.73</v>
      </c>
      <c r="G35" s="112">
        <v>68.67</v>
      </c>
      <c r="H35" s="112">
        <v>37.96</v>
      </c>
      <c r="I35" s="112">
        <v>6.73</v>
      </c>
      <c r="J35" s="112">
        <v>0.33</v>
      </c>
      <c r="K35" s="112">
        <v>26.51</v>
      </c>
      <c r="L35" s="112">
        <v>11.85</v>
      </c>
      <c r="M35" s="112">
        <v>77.239999999999995</v>
      </c>
      <c r="N35" s="112">
        <v>0</v>
      </c>
      <c r="O35" s="112">
        <v>0</v>
      </c>
      <c r="P35" s="112">
        <v>0.81</v>
      </c>
      <c r="Q35" s="112">
        <v>5.33</v>
      </c>
    </row>
    <row r="36" spans="1:17" customFormat="1">
      <c r="A36" s="80">
        <v>45279.291666666664</v>
      </c>
      <c r="B36" s="112">
        <v>20.59</v>
      </c>
      <c r="C36" s="112">
        <v>29.36</v>
      </c>
      <c r="D36" s="112">
        <v>33.21</v>
      </c>
      <c r="E36" s="112">
        <v>5.99</v>
      </c>
      <c r="F36" s="112">
        <v>2.74</v>
      </c>
      <c r="G36" s="112">
        <v>70.03</v>
      </c>
      <c r="H36" s="112">
        <v>36.479999999999997</v>
      </c>
      <c r="I36" s="112">
        <v>6.75</v>
      </c>
      <c r="J36" s="112">
        <v>0.36</v>
      </c>
      <c r="K36" s="112">
        <v>42.37</v>
      </c>
      <c r="L36" s="112">
        <v>12.02</v>
      </c>
      <c r="M36" s="112">
        <v>75.819999999999993</v>
      </c>
      <c r="N36" s="112">
        <v>1.6</v>
      </c>
      <c r="O36" s="112">
        <v>0</v>
      </c>
      <c r="P36" s="112">
        <v>0.82</v>
      </c>
      <c r="Q36" s="112">
        <v>5.33</v>
      </c>
    </row>
    <row r="37" spans="1:17" customFormat="1">
      <c r="A37" s="80">
        <v>45279.302083333336</v>
      </c>
      <c r="B37" s="112">
        <v>20.89</v>
      </c>
      <c r="C37" s="112">
        <v>29.08</v>
      </c>
      <c r="D37" s="112">
        <v>33.299999999999997</v>
      </c>
      <c r="E37" s="112">
        <v>5.73</v>
      </c>
      <c r="F37" s="112">
        <v>2.76</v>
      </c>
      <c r="G37" s="112">
        <v>71.44</v>
      </c>
      <c r="H37" s="112">
        <v>35.700000000000003</v>
      </c>
      <c r="I37" s="112">
        <v>6.77</v>
      </c>
      <c r="J37" s="112">
        <v>0.33</v>
      </c>
      <c r="K37" s="112">
        <v>41.95</v>
      </c>
      <c r="L37" s="112">
        <v>12.23</v>
      </c>
      <c r="M37" s="112">
        <v>75.14</v>
      </c>
      <c r="N37" s="112">
        <v>13.3</v>
      </c>
      <c r="O37" s="112">
        <v>0</v>
      </c>
      <c r="P37" s="112">
        <v>0.84</v>
      </c>
      <c r="Q37" s="112">
        <v>5.33</v>
      </c>
    </row>
    <row r="38" spans="1:17" customFormat="1">
      <c r="A38" s="80">
        <v>45279.3125</v>
      </c>
      <c r="B38" s="112">
        <v>21.41</v>
      </c>
      <c r="C38" s="112">
        <v>29.66</v>
      </c>
      <c r="D38" s="112">
        <v>34.020000000000003</v>
      </c>
      <c r="E38" s="112">
        <v>6.19</v>
      </c>
      <c r="F38" s="112">
        <v>2.69</v>
      </c>
      <c r="G38" s="112">
        <v>71.44</v>
      </c>
      <c r="H38" s="112">
        <v>35.700000000000003</v>
      </c>
      <c r="I38" s="112">
        <v>6.87</v>
      </c>
      <c r="J38" s="112">
        <v>0.45</v>
      </c>
      <c r="K38" s="112">
        <v>24.57</v>
      </c>
      <c r="L38" s="112">
        <v>12.68</v>
      </c>
      <c r="M38" s="112">
        <v>73.16</v>
      </c>
      <c r="N38" s="112">
        <v>26.4</v>
      </c>
      <c r="O38" s="112">
        <v>0</v>
      </c>
      <c r="P38" s="112">
        <v>0.85</v>
      </c>
      <c r="Q38" s="112">
        <v>5.37</v>
      </c>
    </row>
    <row r="39" spans="1:17" customFormat="1">
      <c r="A39" s="80">
        <v>45279.322916666664</v>
      </c>
      <c r="B39" s="112">
        <v>21.97</v>
      </c>
      <c r="C39" s="112">
        <v>29.71</v>
      </c>
      <c r="D39" s="112">
        <v>34.49</v>
      </c>
      <c r="E39" s="112">
        <v>6.47</v>
      </c>
      <c r="F39" s="112">
        <v>2.76</v>
      </c>
      <c r="G39" s="112">
        <v>71.44</v>
      </c>
      <c r="H39" s="112">
        <v>35.700000000000003</v>
      </c>
      <c r="I39" s="112">
        <v>7.03</v>
      </c>
      <c r="J39" s="112">
        <v>0.42</v>
      </c>
      <c r="K39" s="112">
        <v>36.85</v>
      </c>
      <c r="L39" s="112">
        <v>13.19</v>
      </c>
      <c r="M39" s="112">
        <v>71.55</v>
      </c>
      <c r="N39" s="112">
        <v>39.9</v>
      </c>
      <c r="O39" s="112">
        <v>0</v>
      </c>
      <c r="P39" s="112">
        <v>0.87</v>
      </c>
      <c r="Q39" s="112">
        <v>5.39</v>
      </c>
    </row>
    <row r="40" spans="1:17" customFormat="1">
      <c r="A40" s="80">
        <v>45279.333333333336</v>
      </c>
      <c r="B40" s="112">
        <v>22.26</v>
      </c>
      <c r="C40" s="112">
        <v>29.84</v>
      </c>
      <c r="D40" s="112">
        <v>34.79</v>
      </c>
      <c r="E40" s="112">
        <v>5.94</v>
      </c>
      <c r="F40" s="112">
        <v>2.74</v>
      </c>
      <c r="G40" s="112">
        <v>79.400000000000006</v>
      </c>
      <c r="H40" s="112">
        <v>37.19</v>
      </c>
      <c r="I40" s="112">
        <v>7.16</v>
      </c>
      <c r="J40" s="112">
        <v>0.55000000000000004</v>
      </c>
      <c r="K40" s="112">
        <v>40.369999999999997</v>
      </c>
      <c r="L40" s="112">
        <v>13.86</v>
      </c>
      <c r="M40" s="112">
        <v>68.900000000000006</v>
      </c>
      <c r="N40" s="112">
        <v>74.099999999999994</v>
      </c>
      <c r="O40" s="112">
        <v>0</v>
      </c>
      <c r="P40" s="112">
        <v>0.87</v>
      </c>
      <c r="Q40" s="112">
        <v>5.37</v>
      </c>
    </row>
    <row r="41" spans="1:17" customFormat="1">
      <c r="A41" s="80">
        <v>45279.34375</v>
      </c>
      <c r="B41" s="112">
        <v>21.54</v>
      </c>
      <c r="C41" s="112">
        <v>30.04</v>
      </c>
      <c r="D41" s="112">
        <v>34.32</v>
      </c>
      <c r="E41" s="112">
        <v>6.13</v>
      </c>
      <c r="F41" s="112">
        <v>2.78</v>
      </c>
      <c r="G41" s="112">
        <v>87.72</v>
      </c>
      <c r="H41" s="112">
        <v>38.9</v>
      </c>
      <c r="I41" s="112">
        <v>7.3</v>
      </c>
      <c r="J41" s="112">
        <v>0.69</v>
      </c>
      <c r="K41" s="112">
        <v>31.04</v>
      </c>
      <c r="L41" s="112">
        <v>14.77</v>
      </c>
      <c r="M41" s="112">
        <v>63.84</v>
      </c>
      <c r="N41" s="112">
        <v>184.4</v>
      </c>
      <c r="O41" s="112">
        <v>0</v>
      </c>
      <c r="P41" s="112">
        <v>0.86</v>
      </c>
      <c r="Q41" s="112">
        <v>5.37</v>
      </c>
    </row>
    <row r="42" spans="1:17" customFormat="1">
      <c r="A42" s="80">
        <v>45279.354166666664</v>
      </c>
      <c r="B42" s="112">
        <v>20.69</v>
      </c>
      <c r="C42" s="112">
        <v>31.23</v>
      </c>
      <c r="D42" s="112">
        <v>34.26</v>
      </c>
      <c r="E42" s="112">
        <v>6.16</v>
      </c>
      <c r="F42" s="112">
        <v>2.78</v>
      </c>
      <c r="G42" s="112">
        <v>87.72</v>
      </c>
      <c r="H42" s="112">
        <v>38.9</v>
      </c>
      <c r="I42" s="112">
        <v>7.43</v>
      </c>
      <c r="J42" s="112">
        <v>0.66</v>
      </c>
      <c r="K42" s="112">
        <v>24.63</v>
      </c>
      <c r="L42" s="112">
        <v>15.73</v>
      </c>
      <c r="M42" s="112">
        <v>59.78</v>
      </c>
      <c r="N42" s="112">
        <v>223.9</v>
      </c>
      <c r="O42" s="112">
        <v>0</v>
      </c>
      <c r="P42" s="112">
        <v>0.85</v>
      </c>
      <c r="Q42" s="112">
        <v>5.35</v>
      </c>
    </row>
    <row r="43" spans="1:17" customFormat="1">
      <c r="A43" s="80">
        <v>45279.364583333336</v>
      </c>
      <c r="B43" s="112">
        <v>19.73</v>
      </c>
      <c r="C43" s="112">
        <v>31.49</v>
      </c>
      <c r="D43" s="112">
        <v>33.619999999999997</v>
      </c>
      <c r="E43" s="112">
        <v>6.39</v>
      </c>
      <c r="F43" s="112">
        <v>2.7</v>
      </c>
      <c r="G43" s="112">
        <v>87.72</v>
      </c>
      <c r="H43" s="112">
        <v>38.9</v>
      </c>
      <c r="I43" s="112">
        <v>7.46</v>
      </c>
      <c r="J43" s="112">
        <v>0.56999999999999995</v>
      </c>
      <c r="K43" s="112">
        <v>25.35</v>
      </c>
      <c r="L43" s="112">
        <v>16.760000000000002</v>
      </c>
      <c r="M43" s="112">
        <v>57.26</v>
      </c>
      <c r="N43" s="112">
        <v>258.8</v>
      </c>
      <c r="O43" s="112">
        <v>0</v>
      </c>
      <c r="P43" s="112">
        <v>0.84</v>
      </c>
      <c r="Q43" s="112">
        <v>5.32</v>
      </c>
    </row>
    <row r="44" spans="1:17" customFormat="1">
      <c r="A44" s="80">
        <v>45279.375</v>
      </c>
      <c r="B44" s="112">
        <v>19.190000000000001</v>
      </c>
      <c r="C44" s="112">
        <v>30.65</v>
      </c>
      <c r="D44" s="112">
        <v>32.76</v>
      </c>
      <c r="E44" s="112">
        <v>6.11</v>
      </c>
      <c r="F44" s="112">
        <v>2.69</v>
      </c>
      <c r="G44" s="112">
        <v>80.02</v>
      </c>
      <c r="H44" s="112">
        <v>36.229999999999997</v>
      </c>
      <c r="I44" s="112">
        <v>7.37</v>
      </c>
      <c r="J44" s="112">
        <v>0.59</v>
      </c>
      <c r="K44" s="112">
        <v>38.99</v>
      </c>
      <c r="L44" s="112">
        <v>17.78</v>
      </c>
      <c r="M44" s="112">
        <v>53.37</v>
      </c>
      <c r="N44" s="112">
        <v>210.9</v>
      </c>
      <c r="O44" s="112">
        <v>0</v>
      </c>
      <c r="P44" s="112">
        <v>0.85</v>
      </c>
      <c r="Q44" s="112">
        <v>5.32</v>
      </c>
    </row>
    <row r="45" spans="1:17" customFormat="1">
      <c r="A45" s="80">
        <v>45279.385416666664</v>
      </c>
      <c r="B45" s="112">
        <v>18.72</v>
      </c>
      <c r="C45" s="112">
        <v>29.77</v>
      </c>
      <c r="D45" s="112">
        <v>31.91</v>
      </c>
      <c r="E45" s="112">
        <v>6.45</v>
      </c>
      <c r="F45" s="112">
        <v>2.77</v>
      </c>
      <c r="G45" s="112">
        <v>71.959999999999994</v>
      </c>
      <c r="H45" s="112">
        <v>34.840000000000003</v>
      </c>
      <c r="I45" s="112">
        <v>7.33</v>
      </c>
      <c r="J45" s="112">
        <v>0.55000000000000004</v>
      </c>
      <c r="K45" s="112">
        <v>39.299999999999997</v>
      </c>
      <c r="L45" s="112">
        <v>18.739999999999998</v>
      </c>
      <c r="M45" s="112">
        <v>49.4</v>
      </c>
      <c r="N45" s="112">
        <v>103.1</v>
      </c>
      <c r="O45" s="112">
        <v>0</v>
      </c>
      <c r="P45" s="112">
        <v>0.86</v>
      </c>
      <c r="Q45" s="112">
        <v>5.29</v>
      </c>
    </row>
    <row r="46" spans="1:17" customFormat="1">
      <c r="A46" s="80">
        <v>45279.395833333336</v>
      </c>
      <c r="B46" s="112">
        <v>18.32</v>
      </c>
      <c r="C46" s="112">
        <v>29.08</v>
      </c>
      <c r="D46" s="112">
        <v>31.23</v>
      </c>
      <c r="E46" s="112">
        <v>6.67</v>
      </c>
      <c r="F46" s="112">
        <v>2.74</v>
      </c>
      <c r="G46" s="112">
        <v>71.959999999999994</v>
      </c>
      <c r="H46" s="112">
        <v>34.840000000000003</v>
      </c>
      <c r="I46" s="112">
        <v>7.32</v>
      </c>
      <c r="J46" s="112">
        <v>0.67</v>
      </c>
      <c r="K46" s="112">
        <v>53.06</v>
      </c>
      <c r="L46" s="112">
        <v>19.32</v>
      </c>
      <c r="M46" s="112">
        <v>46.99</v>
      </c>
      <c r="N46" s="112">
        <v>104.5</v>
      </c>
      <c r="O46" s="112">
        <v>0</v>
      </c>
      <c r="P46" s="112">
        <v>0.85</v>
      </c>
      <c r="Q46" s="112">
        <v>5.3</v>
      </c>
    </row>
    <row r="47" spans="1:17" customFormat="1">
      <c r="A47" s="80">
        <v>45279.40625</v>
      </c>
      <c r="B47" s="112">
        <v>17.940000000000001</v>
      </c>
      <c r="C47" s="112">
        <v>28.86</v>
      </c>
      <c r="D47" s="112">
        <v>30.82</v>
      </c>
      <c r="E47" s="112">
        <v>6.85</v>
      </c>
      <c r="F47" s="112">
        <v>2.78</v>
      </c>
      <c r="G47" s="112">
        <v>71.959999999999994</v>
      </c>
      <c r="H47" s="112">
        <v>34.840000000000003</v>
      </c>
      <c r="I47" s="112">
        <v>7.3</v>
      </c>
      <c r="J47" s="112">
        <v>0.7</v>
      </c>
      <c r="K47" s="112">
        <v>34.94</v>
      </c>
      <c r="L47" s="112">
        <v>19.760000000000002</v>
      </c>
      <c r="M47" s="112">
        <v>46</v>
      </c>
      <c r="N47" s="112">
        <v>119</v>
      </c>
      <c r="O47" s="112">
        <v>0</v>
      </c>
      <c r="P47" s="112">
        <v>0.85</v>
      </c>
      <c r="Q47" s="112">
        <v>5.28</v>
      </c>
    </row>
    <row r="48" spans="1:17" customFormat="1">
      <c r="A48" s="80">
        <v>45279.416666666664</v>
      </c>
      <c r="B48" s="112">
        <v>17.940000000000001</v>
      </c>
      <c r="C48" s="112">
        <v>28.84</v>
      </c>
      <c r="D48" s="112">
        <v>30.8</v>
      </c>
      <c r="E48" s="112">
        <v>6.64</v>
      </c>
      <c r="F48" s="112">
        <v>2.77</v>
      </c>
      <c r="G48" s="112">
        <v>72.83</v>
      </c>
      <c r="H48" s="112">
        <v>34.19</v>
      </c>
      <c r="I48" s="112">
        <v>7.25</v>
      </c>
      <c r="J48" s="112">
        <v>0.95</v>
      </c>
      <c r="K48" s="112">
        <v>43.44</v>
      </c>
      <c r="L48" s="112">
        <v>20.079999999999998</v>
      </c>
      <c r="M48" s="112">
        <v>41.88</v>
      </c>
      <c r="N48" s="112">
        <v>237.5</v>
      </c>
      <c r="O48" s="112">
        <v>0</v>
      </c>
      <c r="P48" s="112">
        <v>0.84</v>
      </c>
      <c r="Q48" s="112">
        <v>5.27</v>
      </c>
    </row>
    <row r="49" spans="1:17" customFormat="1">
      <c r="A49" s="80">
        <v>45279.427083333336</v>
      </c>
      <c r="B49" s="112">
        <v>17.57</v>
      </c>
      <c r="C49" s="112">
        <v>29.08</v>
      </c>
      <c r="D49" s="112">
        <v>30.63</v>
      </c>
      <c r="E49" s="112">
        <v>6.94</v>
      </c>
      <c r="F49" s="112">
        <v>2.8</v>
      </c>
      <c r="G49" s="112">
        <v>73.73</v>
      </c>
      <c r="H49" s="112">
        <v>33.85</v>
      </c>
      <c r="I49" s="112">
        <v>7.22</v>
      </c>
      <c r="J49" s="112">
        <v>0.92</v>
      </c>
      <c r="K49" s="112">
        <v>49</v>
      </c>
      <c r="L49" s="112">
        <v>20.350000000000001</v>
      </c>
      <c r="M49" s="112">
        <v>39.93</v>
      </c>
      <c r="N49" s="112">
        <v>453.4</v>
      </c>
      <c r="O49" s="112">
        <v>0</v>
      </c>
      <c r="P49" s="112">
        <v>0.83</v>
      </c>
      <c r="Q49" s="112">
        <v>5.28</v>
      </c>
    </row>
    <row r="50" spans="1:17" customFormat="1">
      <c r="A50" s="80">
        <v>45279.4375</v>
      </c>
      <c r="B50" s="112">
        <v>17.27</v>
      </c>
      <c r="C50" s="112">
        <v>28.86</v>
      </c>
      <c r="D50" s="112">
        <v>30.28</v>
      </c>
      <c r="E50" s="112">
        <v>7.82</v>
      </c>
      <c r="F50" s="112">
        <v>2.94</v>
      </c>
      <c r="G50" s="112">
        <v>73.73</v>
      </c>
      <c r="H50" s="112">
        <v>33.85</v>
      </c>
      <c r="I50" s="112">
        <v>7.18</v>
      </c>
      <c r="J50" s="112">
        <v>0.95</v>
      </c>
      <c r="K50" s="112">
        <v>42.15</v>
      </c>
      <c r="L50" s="112">
        <v>20.9</v>
      </c>
      <c r="M50" s="112">
        <v>37.69</v>
      </c>
      <c r="N50" s="112">
        <v>481.5</v>
      </c>
      <c r="O50" s="112">
        <v>0</v>
      </c>
      <c r="P50" s="112">
        <v>0.82</v>
      </c>
      <c r="Q50" s="112">
        <v>5.27</v>
      </c>
    </row>
    <row r="51" spans="1:17" customFormat="1">
      <c r="A51" s="80">
        <v>45279.447916666664</v>
      </c>
      <c r="B51" s="112">
        <v>16.84</v>
      </c>
      <c r="C51" s="112">
        <v>28.93</v>
      </c>
      <c r="D51" s="112">
        <v>29.98</v>
      </c>
      <c r="E51" s="112">
        <v>7.76</v>
      </c>
      <c r="F51" s="112">
        <v>2.97</v>
      </c>
      <c r="G51" s="112">
        <v>73.73</v>
      </c>
      <c r="H51" s="112">
        <v>33.85</v>
      </c>
      <c r="I51" s="112">
        <v>7.1</v>
      </c>
      <c r="J51" s="112">
        <v>0.88</v>
      </c>
      <c r="K51" s="112">
        <v>33.380000000000003</v>
      </c>
      <c r="L51" s="112">
        <v>21.3</v>
      </c>
      <c r="M51" s="112">
        <v>35.89</v>
      </c>
      <c r="N51" s="112">
        <v>498.7</v>
      </c>
      <c r="O51" s="112">
        <v>0</v>
      </c>
      <c r="P51" s="112">
        <v>0.82</v>
      </c>
      <c r="Q51" s="112">
        <v>5.25</v>
      </c>
    </row>
    <row r="52" spans="1:17" customFormat="1">
      <c r="A52" s="80">
        <v>45279.458333333336</v>
      </c>
      <c r="B52" s="112">
        <v>16.260000000000002</v>
      </c>
      <c r="C52" s="112">
        <v>28.65</v>
      </c>
      <c r="D52" s="112">
        <v>29.36</v>
      </c>
      <c r="E52" s="112">
        <v>8.32</v>
      </c>
      <c r="F52" s="112">
        <v>3.17</v>
      </c>
      <c r="G52" s="112">
        <v>72.040000000000006</v>
      </c>
      <c r="H52" s="112">
        <v>31.81</v>
      </c>
      <c r="I52" s="112">
        <v>7.02</v>
      </c>
      <c r="J52" s="112">
        <v>0.99</v>
      </c>
      <c r="K52" s="112">
        <v>27.36</v>
      </c>
      <c r="L52" s="112">
        <v>21.55</v>
      </c>
      <c r="M52" s="112">
        <v>34.51</v>
      </c>
      <c r="N52" s="112">
        <v>500.2</v>
      </c>
      <c r="O52" s="112">
        <v>0</v>
      </c>
      <c r="P52" s="112">
        <v>0.81</v>
      </c>
      <c r="Q52" s="112">
        <v>5.24</v>
      </c>
    </row>
    <row r="53" spans="1:17" customFormat="1">
      <c r="A53" s="80">
        <v>45279.46875</v>
      </c>
      <c r="B53" s="112">
        <v>15.5</v>
      </c>
      <c r="C53" s="112">
        <v>28.6</v>
      </c>
      <c r="D53" s="112">
        <v>28.73</v>
      </c>
      <c r="E53" s="112">
        <v>8.15</v>
      </c>
      <c r="F53" s="112">
        <v>3.16</v>
      </c>
      <c r="G53" s="112">
        <v>70.27</v>
      </c>
      <c r="H53" s="112">
        <v>30.74</v>
      </c>
      <c r="I53" s="112">
        <v>6.9</v>
      </c>
      <c r="J53" s="112">
        <v>0.83</v>
      </c>
      <c r="K53" s="112">
        <v>35.46</v>
      </c>
      <c r="L53" s="112">
        <v>22.11</v>
      </c>
      <c r="M53" s="112">
        <v>33.25</v>
      </c>
      <c r="N53" s="112">
        <v>517.6</v>
      </c>
      <c r="O53" s="112">
        <v>0</v>
      </c>
      <c r="P53" s="112">
        <v>0.79</v>
      </c>
      <c r="Q53" s="112">
        <v>5.21</v>
      </c>
    </row>
    <row r="54" spans="1:17" customFormat="1">
      <c r="A54" s="80">
        <v>45279.479166666664</v>
      </c>
      <c r="B54" s="112">
        <v>14.76</v>
      </c>
      <c r="C54" s="112">
        <v>28.2</v>
      </c>
      <c r="D54" s="112">
        <v>27.93</v>
      </c>
      <c r="E54" s="112">
        <v>7.89</v>
      </c>
      <c r="F54" s="112">
        <v>3.3</v>
      </c>
      <c r="G54" s="112">
        <v>70.27</v>
      </c>
      <c r="H54" s="112">
        <v>30.74</v>
      </c>
      <c r="I54" s="112">
        <v>6.78</v>
      </c>
      <c r="J54" s="112">
        <v>0.74</v>
      </c>
      <c r="K54" s="112">
        <v>44.24</v>
      </c>
      <c r="L54" s="112">
        <v>22.21</v>
      </c>
      <c r="M54" s="112">
        <v>32.770000000000003</v>
      </c>
      <c r="N54" s="112">
        <v>542.1</v>
      </c>
      <c r="O54" s="112">
        <v>0</v>
      </c>
      <c r="P54" s="112">
        <v>0.78</v>
      </c>
      <c r="Q54" s="112">
        <v>5.22</v>
      </c>
    </row>
    <row r="55" spans="1:17" customFormat="1">
      <c r="A55" s="80">
        <v>45279.489583333336</v>
      </c>
      <c r="B55" s="112">
        <v>13.9</v>
      </c>
      <c r="C55" s="112">
        <v>27.84</v>
      </c>
      <c r="D55" s="112">
        <v>27.04</v>
      </c>
      <c r="E55" s="112">
        <v>7.71</v>
      </c>
      <c r="F55" s="112">
        <v>3.13</v>
      </c>
      <c r="G55" s="112">
        <v>70.27</v>
      </c>
      <c r="H55" s="112">
        <v>30.74</v>
      </c>
      <c r="I55" s="112">
        <v>6.68</v>
      </c>
      <c r="J55" s="112">
        <v>0.61</v>
      </c>
      <c r="K55" s="112">
        <v>38.79</v>
      </c>
      <c r="L55" s="112">
        <v>22.88</v>
      </c>
      <c r="M55" s="112">
        <v>31.55</v>
      </c>
      <c r="N55" s="112">
        <v>560</v>
      </c>
      <c r="O55" s="112">
        <v>0</v>
      </c>
      <c r="P55" s="112">
        <v>0.78</v>
      </c>
      <c r="Q55" s="112">
        <v>5.2</v>
      </c>
    </row>
    <row r="56" spans="1:17" customFormat="1">
      <c r="A56" s="80">
        <v>45279.5</v>
      </c>
      <c r="B56" s="112">
        <v>13</v>
      </c>
      <c r="C56" s="112">
        <v>27.51</v>
      </c>
      <c r="D56" s="112">
        <v>26.15</v>
      </c>
      <c r="E56" s="112">
        <v>7.84</v>
      </c>
      <c r="F56" s="112">
        <v>3.22</v>
      </c>
      <c r="G56" s="112">
        <v>68.56</v>
      </c>
      <c r="H56" s="112">
        <v>30.55</v>
      </c>
      <c r="I56" s="112">
        <v>6.6</v>
      </c>
      <c r="J56" s="112">
        <v>0.68</v>
      </c>
      <c r="K56" s="112">
        <v>32.06</v>
      </c>
      <c r="L56" s="112">
        <v>23.01</v>
      </c>
      <c r="M56" s="112">
        <v>31.24</v>
      </c>
      <c r="N56" s="112">
        <v>566.20000000000005</v>
      </c>
      <c r="O56" s="112">
        <v>0</v>
      </c>
      <c r="P56" s="112">
        <v>0.77</v>
      </c>
      <c r="Q56" s="112">
        <v>5.15</v>
      </c>
    </row>
    <row r="57" spans="1:17" customFormat="1">
      <c r="A57" s="80">
        <v>45279.510416666664</v>
      </c>
      <c r="B57" s="112">
        <v>12.19</v>
      </c>
      <c r="C57" s="112">
        <v>27.35</v>
      </c>
      <c r="D57" s="112">
        <v>25.42</v>
      </c>
      <c r="E57" s="112">
        <v>7.93</v>
      </c>
      <c r="F57" s="112">
        <v>3.31</v>
      </c>
      <c r="G57" s="112">
        <v>66.77</v>
      </c>
      <c r="H57" s="112">
        <v>30.44</v>
      </c>
      <c r="I57" s="112">
        <v>6.53</v>
      </c>
      <c r="J57" s="112">
        <v>0.69</v>
      </c>
      <c r="K57" s="112">
        <v>30.03</v>
      </c>
      <c r="L57" s="112">
        <v>23.18</v>
      </c>
      <c r="M57" s="112">
        <v>29.78</v>
      </c>
      <c r="N57" s="112">
        <v>567.1</v>
      </c>
      <c r="O57" s="112">
        <v>0</v>
      </c>
      <c r="P57" s="112">
        <v>0.76</v>
      </c>
      <c r="Q57" s="112">
        <v>5.14</v>
      </c>
    </row>
    <row r="58" spans="1:17" customFormat="1">
      <c r="A58" s="80">
        <v>45279.520833333336</v>
      </c>
      <c r="B58" s="112">
        <v>11.5</v>
      </c>
      <c r="C58" s="112">
        <v>27.11</v>
      </c>
      <c r="D58" s="112">
        <v>24.74</v>
      </c>
      <c r="E58" s="112">
        <v>7.55</v>
      </c>
      <c r="F58" s="112">
        <v>3.22</v>
      </c>
      <c r="G58" s="112">
        <v>66.77</v>
      </c>
      <c r="H58" s="112">
        <v>30.44</v>
      </c>
      <c r="I58" s="112">
        <v>6.45</v>
      </c>
      <c r="J58" s="112">
        <v>0.78</v>
      </c>
      <c r="K58" s="112">
        <v>40.86</v>
      </c>
      <c r="L58" s="112">
        <v>23.13</v>
      </c>
      <c r="M58" s="112">
        <v>30.47</v>
      </c>
      <c r="N58" s="112">
        <v>560.29999999999995</v>
      </c>
      <c r="O58" s="112">
        <v>0</v>
      </c>
      <c r="P58" s="112">
        <v>0.76</v>
      </c>
      <c r="Q58" s="112">
        <v>5.12</v>
      </c>
    </row>
    <row r="59" spans="1:17" customFormat="1">
      <c r="A59" s="80">
        <v>45279.53125</v>
      </c>
      <c r="B59" s="112">
        <v>10.47</v>
      </c>
      <c r="C59" s="112">
        <v>26.87</v>
      </c>
      <c r="D59" s="112">
        <v>23.79</v>
      </c>
      <c r="E59" s="112">
        <v>8.25</v>
      </c>
      <c r="F59" s="112">
        <v>4.2</v>
      </c>
      <c r="G59" s="112">
        <v>66.77</v>
      </c>
      <c r="H59" s="112">
        <v>30.44</v>
      </c>
      <c r="I59" s="112">
        <v>6.35</v>
      </c>
      <c r="J59" s="112">
        <v>0.47</v>
      </c>
      <c r="K59" s="112">
        <v>41.45</v>
      </c>
      <c r="L59" s="112">
        <v>23.46</v>
      </c>
      <c r="M59" s="112">
        <v>29.96</v>
      </c>
      <c r="N59" s="112">
        <v>552.79999999999995</v>
      </c>
      <c r="O59" s="112">
        <v>0</v>
      </c>
      <c r="P59" s="112">
        <v>0.76</v>
      </c>
      <c r="Q59" s="112">
        <v>5.08</v>
      </c>
    </row>
    <row r="60" spans="1:17" customFormat="1">
      <c r="A60" s="80">
        <v>45279.541666666664</v>
      </c>
      <c r="B60" s="112">
        <v>9.26</v>
      </c>
      <c r="C60" s="112">
        <v>27.05</v>
      </c>
      <c r="D60" s="112">
        <v>22.91</v>
      </c>
      <c r="E60" s="112">
        <v>7.51</v>
      </c>
      <c r="F60" s="112">
        <v>3.91</v>
      </c>
      <c r="G60" s="112">
        <v>68.67</v>
      </c>
      <c r="H60" s="112">
        <v>29.46</v>
      </c>
      <c r="I60" s="112">
        <v>6.24</v>
      </c>
      <c r="J60" s="112">
        <v>0.36</v>
      </c>
      <c r="K60" s="112">
        <v>25.89</v>
      </c>
      <c r="L60" s="112">
        <v>23.64</v>
      </c>
      <c r="M60" s="112">
        <v>28.7</v>
      </c>
      <c r="N60" s="112">
        <v>508.9</v>
      </c>
      <c r="O60" s="112">
        <v>0</v>
      </c>
      <c r="P60" s="112">
        <v>0.76</v>
      </c>
      <c r="Q60" s="112">
        <v>5.0599999999999996</v>
      </c>
    </row>
    <row r="61" spans="1:17" customFormat="1">
      <c r="A61" s="80">
        <v>45279.552083333336</v>
      </c>
      <c r="B61" s="112">
        <v>8.2100000000000009</v>
      </c>
      <c r="C61" s="112">
        <v>27.1</v>
      </c>
      <c r="D61" s="112">
        <v>22.09</v>
      </c>
      <c r="E61" s="112">
        <v>7.73</v>
      </c>
      <c r="F61" s="112">
        <v>4.16</v>
      </c>
      <c r="G61" s="112">
        <v>70.66</v>
      </c>
      <c r="H61" s="112">
        <v>28.95</v>
      </c>
      <c r="I61" s="112">
        <v>6.17</v>
      </c>
      <c r="J61" s="112">
        <v>0.66</v>
      </c>
      <c r="K61" s="112">
        <v>1.03</v>
      </c>
      <c r="L61" s="112">
        <v>23.69</v>
      </c>
      <c r="M61" s="112">
        <v>27.93</v>
      </c>
      <c r="N61" s="112">
        <v>498</v>
      </c>
      <c r="O61" s="112">
        <v>0</v>
      </c>
      <c r="P61" s="112">
        <v>0.76</v>
      </c>
      <c r="Q61" s="112">
        <v>5.03</v>
      </c>
    </row>
    <row r="62" spans="1:17" customFormat="1">
      <c r="A62" s="80">
        <v>45279.5625</v>
      </c>
      <c r="B62" s="112">
        <v>7.27</v>
      </c>
      <c r="C62" s="112">
        <v>26.98</v>
      </c>
      <c r="D62" s="112">
        <v>21.28</v>
      </c>
      <c r="E62" s="112">
        <v>7.37</v>
      </c>
      <c r="F62" s="112">
        <v>4.3499999999999996</v>
      </c>
      <c r="G62" s="112">
        <v>70.66</v>
      </c>
      <c r="H62" s="112">
        <v>28.95</v>
      </c>
      <c r="I62" s="112">
        <v>6.16</v>
      </c>
      <c r="J62" s="112">
        <v>0.63</v>
      </c>
      <c r="K62" s="112">
        <v>45.1</v>
      </c>
      <c r="L62" s="112">
        <v>24.02</v>
      </c>
      <c r="M62" s="112">
        <v>27.29</v>
      </c>
      <c r="N62" s="112">
        <v>492.9</v>
      </c>
      <c r="O62" s="112">
        <v>0</v>
      </c>
      <c r="P62" s="112">
        <v>0.76</v>
      </c>
      <c r="Q62" s="112">
        <v>5</v>
      </c>
    </row>
    <row r="63" spans="1:17" customFormat="1">
      <c r="A63" s="80">
        <v>45279.572916666664</v>
      </c>
      <c r="B63" s="112">
        <v>6.64</v>
      </c>
      <c r="C63" s="112">
        <v>26.73</v>
      </c>
      <c r="D63" s="112">
        <v>20.64</v>
      </c>
      <c r="E63" s="112">
        <v>7.31</v>
      </c>
      <c r="F63" s="112">
        <v>4.8</v>
      </c>
      <c r="G63" s="112">
        <v>70.66</v>
      </c>
      <c r="H63" s="112">
        <v>28.95</v>
      </c>
      <c r="I63" s="112">
        <v>6.15</v>
      </c>
      <c r="J63" s="112">
        <v>0.64</v>
      </c>
      <c r="K63" s="112">
        <v>17.2</v>
      </c>
      <c r="L63" s="112">
        <v>23.98</v>
      </c>
      <c r="M63" s="112">
        <v>27.16</v>
      </c>
      <c r="N63" s="112">
        <v>469.7</v>
      </c>
      <c r="O63" s="112">
        <v>0</v>
      </c>
      <c r="P63" s="112">
        <v>0.75</v>
      </c>
      <c r="Q63" s="112">
        <v>4.9800000000000004</v>
      </c>
    </row>
    <row r="64" spans="1:17" customFormat="1">
      <c r="A64" s="80">
        <v>45279.583333333336</v>
      </c>
      <c r="B64" s="112">
        <v>6.16</v>
      </c>
      <c r="C64" s="112">
        <v>26.35</v>
      </c>
      <c r="D64" s="112">
        <v>20.059999999999999</v>
      </c>
      <c r="E64" s="112">
        <v>7.55</v>
      </c>
      <c r="F64" s="112">
        <v>4.8099999999999996</v>
      </c>
      <c r="G64" s="112">
        <v>68.239999999999995</v>
      </c>
      <c r="H64" s="112">
        <v>29.15</v>
      </c>
      <c r="I64" s="112">
        <v>6.08</v>
      </c>
      <c r="J64" s="112">
        <v>0.25</v>
      </c>
      <c r="K64" s="112">
        <v>100.12</v>
      </c>
      <c r="L64" s="112">
        <v>24.36</v>
      </c>
      <c r="M64" s="112">
        <v>26.48</v>
      </c>
      <c r="N64" s="112">
        <v>412.1</v>
      </c>
      <c r="O64" s="112">
        <v>0</v>
      </c>
      <c r="P64" s="112">
        <v>0.74</v>
      </c>
      <c r="Q64" s="112">
        <v>4.97</v>
      </c>
    </row>
    <row r="65" spans="1:17" customFormat="1">
      <c r="A65" s="80">
        <v>45279.59375</v>
      </c>
      <c r="B65" s="112">
        <v>5.77</v>
      </c>
      <c r="C65" s="112">
        <v>25.71</v>
      </c>
      <c r="D65" s="112">
        <v>19.41</v>
      </c>
      <c r="E65" s="112">
        <v>7.69</v>
      </c>
      <c r="F65" s="112">
        <v>5.1100000000000003</v>
      </c>
      <c r="G65" s="112">
        <v>65.709999999999994</v>
      </c>
      <c r="H65" s="112">
        <v>29.37</v>
      </c>
      <c r="I65" s="112">
        <v>5.97</v>
      </c>
      <c r="J65" s="112">
        <v>0.69</v>
      </c>
      <c r="K65" s="112">
        <v>29.73</v>
      </c>
      <c r="L65" s="112">
        <v>23.87</v>
      </c>
      <c r="M65" s="112">
        <v>26.06</v>
      </c>
      <c r="N65" s="112">
        <v>159.69999999999999</v>
      </c>
      <c r="O65" s="112">
        <v>0</v>
      </c>
      <c r="P65" s="112">
        <v>0.59</v>
      </c>
      <c r="Q65" s="112">
        <v>4.95</v>
      </c>
    </row>
    <row r="66" spans="1:17" customFormat="1">
      <c r="A66" s="80">
        <v>45279.604166666664</v>
      </c>
      <c r="B66" s="112">
        <v>5.45</v>
      </c>
      <c r="C66" s="112">
        <v>25.53</v>
      </c>
      <c r="D66" s="112">
        <v>19.059999999999999</v>
      </c>
      <c r="E66" s="112">
        <v>7.43</v>
      </c>
      <c r="F66" s="112">
        <v>5.13</v>
      </c>
      <c r="G66" s="112">
        <v>65.709999999999994</v>
      </c>
      <c r="H66" s="112">
        <v>29.37</v>
      </c>
      <c r="I66" s="112">
        <v>5.87</v>
      </c>
      <c r="J66" s="112">
        <v>0.33</v>
      </c>
      <c r="K66" s="112">
        <v>22.46</v>
      </c>
      <c r="L66" s="112">
        <v>23.49</v>
      </c>
      <c r="M66" s="112">
        <v>26.54</v>
      </c>
      <c r="N66" s="112">
        <v>130.4</v>
      </c>
      <c r="O66" s="112">
        <v>0</v>
      </c>
      <c r="P66" s="112">
        <v>0.62</v>
      </c>
      <c r="Q66" s="112">
        <v>4.93</v>
      </c>
    </row>
    <row r="67" spans="1:17" customFormat="1">
      <c r="A67" s="80">
        <v>45279.614583333336</v>
      </c>
      <c r="B67" s="112">
        <v>5.3</v>
      </c>
      <c r="C67" s="112">
        <v>25.35</v>
      </c>
      <c r="D67" s="112">
        <v>18.850000000000001</v>
      </c>
      <c r="E67" s="112">
        <v>7.63</v>
      </c>
      <c r="F67" s="112">
        <v>5.25</v>
      </c>
      <c r="G67" s="112">
        <v>65.709999999999994</v>
      </c>
      <c r="H67" s="112">
        <v>29.37</v>
      </c>
      <c r="I67" s="112">
        <v>5.78</v>
      </c>
      <c r="J67" s="112">
        <v>0.33</v>
      </c>
      <c r="K67" s="112">
        <v>330.37</v>
      </c>
      <c r="L67" s="112">
        <v>23.74</v>
      </c>
      <c r="M67" s="112">
        <v>26.13</v>
      </c>
      <c r="N67" s="112">
        <v>110.2</v>
      </c>
      <c r="O67" s="112">
        <v>0</v>
      </c>
      <c r="P67" s="112">
        <v>0.63</v>
      </c>
      <c r="Q67" s="112">
        <v>4.92</v>
      </c>
    </row>
    <row r="68" spans="1:17" customFormat="1">
      <c r="A68" s="80">
        <v>45279.625</v>
      </c>
      <c r="B68" s="112">
        <v>5.23</v>
      </c>
      <c r="C68" s="112">
        <v>25.08</v>
      </c>
      <c r="D68" s="112">
        <v>18.649999999999999</v>
      </c>
      <c r="E68" s="112">
        <v>7.38</v>
      </c>
      <c r="F68" s="112">
        <v>5.96</v>
      </c>
      <c r="G68" s="112">
        <v>63.11</v>
      </c>
      <c r="H68" s="112">
        <v>28.99</v>
      </c>
      <c r="I68" s="112">
        <v>5.7</v>
      </c>
      <c r="J68" s="112">
        <v>0.37</v>
      </c>
      <c r="K68" s="112">
        <v>5.31</v>
      </c>
      <c r="L68" s="112">
        <v>23.53</v>
      </c>
      <c r="M68" s="112">
        <v>26.86</v>
      </c>
      <c r="N68" s="112">
        <v>72.5</v>
      </c>
      <c r="O68" s="112">
        <v>0</v>
      </c>
      <c r="P68" s="112">
        <v>0.63</v>
      </c>
      <c r="Q68" s="112">
        <v>4.9000000000000004</v>
      </c>
    </row>
    <row r="69" spans="1:17" customFormat="1">
      <c r="A69" s="80">
        <v>45279.635416666664</v>
      </c>
      <c r="B69" s="112">
        <v>5.22</v>
      </c>
      <c r="C69" s="112">
        <v>24.93</v>
      </c>
      <c r="D69" s="112">
        <v>18.559999999999999</v>
      </c>
      <c r="E69" s="112">
        <v>7.25</v>
      </c>
      <c r="F69" s="112">
        <v>5.4</v>
      </c>
      <c r="G69" s="112">
        <v>60.4</v>
      </c>
      <c r="H69" s="112">
        <v>28.79</v>
      </c>
      <c r="I69" s="112">
        <v>5.63</v>
      </c>
      <c r="J69" s="112">
        <v>0.34</v>
      </c>
      <c r="K69" s="112">
        <v>66.400000000000006</v>
      </c>
      <c r="L69" s="112">
        <v>23.48</v>
      </c>
      <c r="M69" s="112">
        <v>26.11</v>
      </c>
      <c r="N69" s="112">
        <v>77.7</v>
      </c>
      <c r="O69" s="112">
        <v>0</v>
      </c>
      <c r="P69" s="112">
        <v>0.62</v>
      </c>
      <c r="Q69" s="112">
        <v>4.91</v>
      </c>
    </row>
    <row r="70" spans="1:17" customFormat="1">
      <c r="A70" s="80">
        <v>45279.645833333336</v>
      </c>
      <c r="B70" s="112">
        <v>5.18</v>
      </c>
      <c r="C70" s="112">
        <v>25.14</v>
      </c>
      <c r="D70" s="112">
        <v>18.64</v>
      </c>
      <c r="E70" s="112">
        <v>7.79</v>
      </c>
      <c r="F70" s="112">
        <v>4.84</v>
      </c>
      <c r="G70" s="112">
        <v>60.4</v>
      </c>
      <c r="H70" s="112">
        <v>28.79</v>
      </c>
      <c r="I70" s="112">
        <v>5.57</v>
      </c>
      <c r="J70" s="112">
        <v>0.42</v>
      </c>
      <c r="K70" s="112">
        <v>25.16</v>
      </c>
      <c r="L70" s="112">
        <v>23.13</v>
      </c>
      <c r="M70" s="112">
        <v>27.17</v>
      </c>
      <c r="N70" s="112">
        <v>56.2</v>
      </c>
      <c r="O70" s="112">
        <v>0</v>
      </c>
      <c r="P70" s="112">
        <v>0.64</v>
      </c>
      <c r="Q70" s="112">
        <v>4.9000000000000004</v>
      </c>
    </row>
    <row r="71" spans="1:17" customFormat="1">
      <c r="A71" s="80">
        <v>45279.65625</v>
      </c>
      <c r="B71" s="112">
        <v>5.33</v>
      </c>
      <c r="C71" s="112">
        <v>25.73</v>
      </c>
      <c r="D71" s="112">
        <v>19.07</v>
      </c>
      <c r="E71" s="112">
        <v>7.21</v>
      </c>
      <c r="F71" s="112">
        <v>4.4400000000000004</v>
      </c>
      <c r="G71" s="112">
        <v>60.4</v>
      </c>
      <c r="H71" s="112">
        <v>28.79</v>
      </c>
      <c r="I71" s="112">
        <v>5.55</v>
      </c>
      <c r="J71" s="112">
        <v>0.26</v>
      </c>
      <c r="K71" s="112">
        <v>47.8</v>
      </c>
      <c r="L71" s="112">
        <v>23.24</v>
      </c>
      <c r="M71" s="112">
        <v>27.28</v>
      </c>
      <c r="N71" s="112">
        <v>69.099999999999994</v>
      </c>
      <c r="O71" s="112">
        <v>0</v>
      </c>
      <c r="P71" s="112">
        <v>0.64</v>
      </c>
      <c r="Q71" s="112">
        <v>4.91</v>
      </c>
    </row>
    <row r="72" spans="1:17" customFormat="1">
      <c r="A72" s="80">
        <v>45279.666666666664</v>
      </c>
      <c r="B72" s="112">
        <v>5.42</v>
      </c>
      <c r="C72" s="112">
        <v>26.06</v>
      </c>
      <c r="D72" s="112">
        <v>19.309999999999999</v>
      </c>
      <c r="E72" s="112">
        <v>7.6</v>
      </c>
      <c r="F72" s="112">
        <v>4.4800000000000004</v>
      </c>
      <c r="G72" s="112">
        <v>62.92</v>
      </c>
      <c r="H72" s="112">
        <v>29.57</v>
      </c>
      <c r="I72" s="112">
        <v>5.54</v>
      </c>
      <c r="J72" s="112">
        <v>0.46</v>
      </c>
      <c r="K72" s="112">
        <v>39.67</v>
      </c>
      <c r="L72" s="112">
        <v>23.18</v>
      </c>
      <c r="M72" s="112">
        <v>26.41</v>
      </c>
      <c r="N72" s="112">
        <v>58.5</v>
      </c>
      <c r="O72" s="112">
        <v>0</v>
      </c>
      <c r="P72" s="112">
        <v>0.65</v>
      </c>
      <c r="Q72" s="112">
        <v>4.92</v>
      </c>
    </row>
    <row r="73" spans="1:17" customFormat="1">
      <c r="A73" s="80">
        <v>45279.677083333336</v>
      </c>
      <c r="B73" s="112">
        <v>5.53</v>
      </c>
      <c r="C73" s="112">
        <v>26.7</v>
      </c>
      <c r="D73" s="112">
        <v>19.739999999999998</v>
      </c>
      <c r="E73" s="112">
        <v>7.35</v>
      </c>
      <c r="F73" s="112">
        <v>4.4000000000000004</v>
      </c>
      <c r="G73" s="112">
        <v>65.56</v>
      </c>
      <c r="H73" s="112">
        <v>29.98</v>
      </c>
      <c r="I73" s="112">
        <v>5.51</v>
      </c>
      <c r="J73" s="112">
        <v>0.39</v>
      </c>
      <c r="K73" s="112">
        <v>39.46</v>
      </c>
      <c r="L73" s="112">
        <v>22.89</v>
      </c>
      <c r="M73" s="112">
        <v>26.21</v>
      </c>
      <c r="N73" s="112">
        <v>34.200000000000003</v>
      </c>
      <c r="O73" s="112">
        <v>0</v>
      </c>
      <c r="P73" s="112">
        <v>0.66</v>
      </c>
      <c r="Q73" s="112">
        <v>4.91</v>
      </c>
    </row>
    <row r="74" spans="1:17" customFormat="1">
      <c r="A74" s="80">
        <v>45279.6875</v>
      </c>
      <c r="B74" s="112">
        <v>5.65</v>
      </c>
      <c r="C74" s="112">
        <v>27.19</v>
      </c>
      <c r="D74" s="112">
        <v>20.09</v>
      </c>
      <c r="E74" s="112">
        <v>6.74</v>
      </c>
      <c r="F74" s="112">
        <v>4.1100000000000003</v>
      </c>
      <c r="G74" s="112">
        <v>65.56</v>
      </c>
      <c r="H74" s="112">
        <v>29.98</v>
      </c>
      <c r="I74" s="112">
        <v>5.5</v>
      </c>
      <c r="J74" s="112">
        <v>0.27</v>
      </c>
      <c r="K74" s="112">
        <v>28</v>
      </c>
      <c r="L74" s="112">
        <v>22.46</v>
      </c>
      <c r="M74" s="112">
        <v>27.22</v>
      </c>
      <c r="N74" s="112">
        <v>24.1</v>
      </c>
      <c r="O74" s="112">
        <v>0</v>
      </c>
      <c r="P74" s="112">
        <v>0.66</v>
      </c>
      <c r="Q74" s="112">
        <v>4.91</v>
      </c>
    </row>
    <row r="75" spans="1:17" customFormat="1">
      <c r="A75" s="80">
        <v>45279.697916666664</v>
      </c>
      <c r="B75" s="112">
        <v>5.84</v>
      </c>
      <c r="C75" s="112">
        <v>28.05</v>
      </c>
      <c r="D75" s="112">
        <v>20.69</v>
      </c>
      <c r="E75" s="112">
        <v>6.53</v>
      </c>
      <c r="F75" s="112">
        <v>3.73</v>
      </c>
      <c r="G75" s="112">
        <v>65.56</v>
      </c>
      <c r="H75" s="112">
        <v>29.98</v>
      </c>
      <c r="I75" s="112">
        <v>5.52</v>
      </c>
      <c r="J75" s="112">
        <v>0.16</v>
      </c>
      <c r="K75" s="112">
        <v>43.23</v>
      </c>
      <c r="L75" s="112">
        <v>22.03</v>
      </c>
      <c r="M75" s="112">
        <v>28.71</v>
      </c>
      <c r="N75" s="112">
        <v>17</v>
      </c>
      <c r="O75" s="112">
        <v>0</v>
      </c>
      <c r="P75" s="112">
        <v>0.67</v>
      </c>
      <c r="Q75" s="112">
        <v>4.92</v>
      </c>
    </row>
    <row r="76" spans="1:17" customFormat="1">
      <c r="A76" s="80">
        <v>45279.708333333336</v>
      </c>
      <c r="B76" s="112">
        <v>6.15</v>
      </c>
      <c r="C76" s="112">
        <v>29.17</v>
      </c>
      <c r="D76" s="112">
        <v>21.52</v>
      </c>
      <c r="E76" s="112">
        <v>6.68</v>
      </c>
      <c r="F76" s="112">
        <v>3.48</v>
      </c>
      <c r="G76" s="112">
        <v>69.72</v>
      </c>
      <c r="H76" s="112">
        <v>30.88</v>
      </c>
      <c r="I76" s="112">
        <v>5.55</v>
      </c>
      <c r="J76" s="112">
        <v>0.09</v>
      </c>
      <c r="K76" s="112">
        <v>67.900000000000006</v>
      </c>
      <c r="L76" s="112">
        <v>21.43</v>
      </c>
      <c r="M76" s="112">
        <v>32.619999999999997</v>
      </c>
      <c r="N76" s="112">
        <v>2.4</v>
      </c>
      <c r="O76" s="112">
        <v>0</v>
      </c>
      <c r="P76" s="112">
        <v>0.69</v>
      </c>
      <c r="Q76" s="112">
        <v>4.96</v>
      </c>
    </row>
    <row r="77" spans="1:17" customFormat="1">
      <c r="A77" s="80">
        <v>45279.71875</v>
      </c>
      <c r="B77" s="112">
        <v>6.62</v>
      </c>
      <c r="C77" s="112">
        <v>30.44</v>
      </c>
      <c r="D77" s="112">
        <v>22.57</v>
      </c>
      <c r="E77" s="112">
        <v>6.87</v>
      </c>
      <c r="F77" s="112">
        <v>3.09</v>
      </c>
      <c r="G77" s="112">
        <v>74.08</v>
      </c>
      <c r="H77" s="112">
        <v>31.35</v>
      </c>
      <c r="I77" s="112">
        <v>5.64</v>
      </c>
      <c r="J77" s="112">
        <v>0.15</v>
      </c>
      <c r="K77" s="112">
        <v>129.31</v>
      </c>
      <c r="L77" s="112">
        <v>20.45</v>
      </c>
      <c r="M77" s="112">
        <v>38.590000000000003</v>
      </c>
      <c r="N77" s="112">
        <v>0</v>
      </c>
      <c r="O77" s="112">
        <v>0</v>
      </c>
      <c r="P77" s="112">
        <v>0.71</v>
      </c>
      <c r="Q77" s="112">
        <v>4.9800000000000004</v>
      </c>
    </row>
    <row r="78" spans="1:17" customFormat="1">
      <c r="A78" s="80">
        <v>45279.729166666664</v>
      </c>
      <c r="B78" s="112">
        <v>6.79</v>
      </c>
      <c r="C78" s="112">
        <v>31.23</v>
      </c>
      <c r="D78" s="112">
        <v>23.12</v>
      </c>
      <c r="E78" s="112">
        <v>6.99</v>
      </c>
      <c r="F78" s="112">
        <v>3.19</v>
      </c>
      <c r="G78" s="112">
        <v>74.08</v>
      </c>
      <c r="H78" s="112">
        <v>31.35</v>
      </c>
      <c r="I78" s="112">
        <v>5.76</v>
      </c>
      <c r="J78" s="112">
        <v>0.28000000000000003</v>
      </c>
      <c r="K78" s="112">
        <v>163.95</v>
      </c>
      <c r="L78" s="112">
        <v>19.36</v>
      </c>
      <c r="M78" s="112">
        <v>45.75</v>
      </c>
      <c r="N78" s="112">
        <v>0</v>
      </c>
      <c r="O78" s="112">
        <v>0</v>
      </c>
      <c r="P78" s="112">
        <v>0.75</v>
      </c>
      <c r="Q78" s="112">
        <v>5</v>
      </c>
    </row>
    <row r="79" spans="1:17" customFormat="1">
      <c r="A79" s="80">
        <v>45279.739583333336</v>
      </c>
      <c r="B79" s="112">
        <v>6.82</v>
      </c>
      <c r="C79" s="112">
        <v>31.49</v>
      </c>
      <c r="D79" s="112">
        <v>23.27</v>
      </c>
      <c r="E79" s="112">
        <v>6.42</v>
      </c>
      <c r="F79" s="112">
        <v>3.25</v>
      </c>
      <c r="G79" s="112">
        <v>74.08</v>
      </c>
      <c r="H79" s="112">
        <v>31.35</v>
      </c>
      <c r="I79" s="112">
        <v>6.25</v>
      </c>
      <c r="J79" s="112">
        <v>0.18</v>
      </c>
      <c r="K79" s="112">
        <v>159.9</v>
      </c>
      <c r="L79" s="112">
        <v>18.48</v>
      </c>
      <c r="M79" s="112">
        <v>46.89</v>
      </c>
      <c r="N79" s="112">
        <v>0</v>
      </c>
      <c r="O79" s="112">
        <v>0</v>
      </c>
      <c r="P79" s="112">
        <v>0.78</v>
      </c>
      <c r="Q79" s="112">
        <v>4.9800000000000004</v>
      </c>
    </row>
    <row r="80" spans="1:17" customFormat="1">
      <c r="A80" s="80">
        <v>45279.75</v>
      </c>
      <c r="B80" s="112">
        <v>7.42</v>
      </c>
      <c r="C80" s="112">
        <v>31.24</v>
      </c>
      <c r="D80" s="112">
        <v>23.62</v>
      </c>
      <c r="E80" s="112">
        <v>6.9</v>
      </c>
      <c r="F80" s="112">
        <v>3.05</v>
      </c>
      <c r="G80" s="112">
        <v>147.58000000000001</v>
      </c>
      <c r="H80" s="112">
        <v>47.43</v>
      </c>
      <c r="I80" s="112">
        <v>7.33</v>
      </c>
      <c r="J80" s="112">
        <v>0.14000000000000001</v>
      </c>
      <c r="K80" s="112">
        <v>178.94</v>
      </c>
      <c r="L80" s="112">
        <v>18.22</v>
      </c>
      <c r="M80" s="112">
        <v>47.15</v>
      </c>
      <c r="N80" s="112">
        <v>0</v>
      </c>
      <c r="O80" s="112">
        <v>0</v>
      </c>
      <c r="P80" s="112">
        <v>0.81</v>
      </c>
      <c r="Q80" s="112">
        <v>5</v>
      </c>
    </row>
    <row r="81" spans="1:17" customFormat="1">
      <c r="A81" s="80">
        <v>45279.760416666664</v>
      </c>
      <c r="B81" s="112">
        <v>8.7799999999999994</v>
      </c>
      <c r="C81" s="112">
        <v>31.74</v>
      </c>
      <c r="D81" s="112">
        <v>24.98</v>
      </c>
      <c r="E81" s="112">
        <v>5.59</v>
      </c>
      <c r="F81" s="112">
        <v>2.8</v>
      </c>
      <c r="G81" s="112">
        <v>224.41</v>
      </c>
      <c r="H81" s="112">
        <v>55.83</v>
      </c>
      <c r="I81" s="112">
        <v>8.61</v>
      </c>
      <c r="J81" s="112">
        <v>0.17</v>
      </c>
      <c r="K81" s="112">
        <v>160.76</v>
      </c>
      <c r="L81" s="112">
        <v>17.899999999999999</v>
      </c>
      <c r="M81" s="112">
        <v>48.5</v>
      </c>
      <c r="N81" s="112">
        <v>0</v>
      </c>
      <c r="O81" s="112">
        <v>0</v>
      </c>
      <c r="P81" s="112">
        <v>0.82</v>
      </c>
      <c r="Q81" s="112">
        <v>5.03</v>
      </c>
    </row>
    <row r="82" spans="1:17" customFormat="1">
      <c r="A82" s="80">
        <v>45279.770833333336</v>
      </c>
      <c r="B82" s="112">
        <v>10.4</v>
      </c>
      <c r="C82" s="112">
        <v>33.54</v>
      </c>
      <c r="D82" s="112">
        <v>27.21</v>
      </c>
      <c r="E82" s="112">
        <v>5.97</v>
      </c>
      <c r="F82" s="112">
        <v>2.7</v>
      </c>
      <c r="G82" s="112">
        <v>224.41</v>
      </c>
      <c r="H82" s="112">
        <v>55.83</v>
      </c>
      <c r="I82" s="112">
        <v>9.56</v>
      </c>
      <c r="J82" s="112">
        <v>0.28000000000000003</v>
      </c>
      <c r="K82" s="112">
        <v>159.75</v>
      </c>
      <c r="L82" s="112">
        <v>17.510000000000002</v>
      </c>
      <c r="M82" s="112">
        <v>52.98</v>
      </c>
      <c r="N82" s="112">
        <v>0</v>
      </c>
      <c r="O82" s="112">
        <v>0</v>
      </c>
      <c r="P82" s="112">
        <v>0.86</v>
      </c>
      <c r="Q82" s="112">
        <v>5.07</v>
      </c>
    </row>
    <row r="83" spans="1:17" customFormat="1">
      <c r="A83" s="80">
        <v>45279.78125</v>
      </c>
      <c r="B83" s="112">
        <v>11.02</v>
      </c>
      <c r="C83" s="112">
        <v>34.18</v>
      </c>
      <c r="D83" s="112">
        <v>28.05</v>
      </c>
      <c r="E83" s="112">
        <v>6.2</v>
      </c>
      <c r="F83" s="112">
        <v>2.68</v>
      </c>
      <c r="G83" s="112">
        <v>224.41</v>
      </c>
      <c r="H83" s="112">
        <v>55.83</v>
      </c>
      <c r="I83" s="112">
        <v>10.15</v>
      </c>
      <c r="J83" s="112">
        <v>0.16</v>
      </c>
      <c r="K83" s="112">
        <v>199.17</v>
      </c>
      <c r="L83" s="112">
        <v>17.29</v>
      </c>
      <c r="M83" s="112">
        <v>53.58</v>
      </c>
      <c r="N83" s="112">
        <v>0</v>
      </c>
      <c r="O83" s="112">
        <v>0</v>
      </c>
      <c r="P83" s="112">
        <v>0.89</v>
      </c>
      <c r="Q83" s="112">
        <v>5.1100000000000003</v>
      </c>
    </row>
    <row r="84" spans="1:17" customFormat="1">
      <c r="A84" s="80">
        <v>45279.791666666664</v>
      </c>
      <c r="B84" s="112">
        <v>11.25</v>
      </c>
      <c r="C84" s="112">
        <v>34.409999999999997</v>
      </c>
      <c r="D84" s="112">
        <v>28.35</v>
      </c>
      <c r="E84" s="112">
        <v>6.03</v>
      </c>
      <c r="F84" s="112">
        <v>2.57</v>
      </c>
      <c r="G84" s="112">
        <v>184.01</v>
      </c>
      <c r="H84" s="112">
        <v>55.78</v>
      </c>
      <c r="I84" s="112">
        <v>10.76</v>
      </c>
      <c r="J84" s="112">
        <v>0.15</v>
      </c>
      <c r="K84" s="112">
        <v>175.92</v>
      </c>
      <c r="L84" s="112">
        <v>16.75</v>
      </c>
      <c r="M84" s="112">
        <v>66.41</v>
      </c>
      <c r="N84" s="112">
        <v>0</v>
      </c>
      <c r="O84" s="112">
        <v>0</v>
      </c>
      <c r="P84" s="112">
        <v>0.9</v>
      </c>
      <c r="Q84" s="112">
        <v>5.13</v>
      </c>
    </row>
    <row r="85" spans="1:17" customFormat="1">
      <c r="A85" s="80">
        <v>45279.802083333336</v>
      </c>
      <c r="B85" s="112">
        <v>11.24</v>
      </c>
      <c r="C85" s="112">
        <v>33.89</v>
      </c>
      <c r="D85" s="112">
        <v>28.07</v>
      </c>
      <c r="E85" s="112">
        <v>5.58</v>
      </c>
      <c r="F85" s="112">
        <v>2.62</v>
      </c>
      <c r="G85" s="112">
        <v>141.77000000000001</v>
      </c>
      <c r="H85" s="112">
        <v>55.76</v>
      </c>
      <c r="I85" s="112">
        <v>11.37</v>
      </c>
      <c r="J85" s="112">
        <v>0.19</v>
      </c>
      <c r="K85" s="112">
        <v>163.58000000000001</v>
      </c>
      <c r="L85" s="112">
        <v>16.32</v>
      </c>
      <c r="M85" s="112">
        <v>70.849999999999994</v>
      </c>
      <c r="N85" s="112">
        <v>0</v>
      </c>
      <c r="O85" s="112">
        <v>0</v>
      </c>
      <c r="P85" s="112">
        <v>0.92</v>
      </c>
      <c r="Q85" s="112">
        <v>5.13</v>
      </c>
    </row>
    <row r="86" spans="1:17" customFormat="1">
      <c r="A86" s="80">
        <v>45279.8125</v>
      </c>
      <c r="B86" s="112">
        <v>11.32</v>
      </c>
      <c r="C86" s="112">
        <v>33.1</v>
      </c>
      <c r="D86" s="112">
        <v>27.72</v>
      </c>
      <c r="E86" s="112">
        <v>5.87</v>
      </c>
      <c r="F86" s="112">
        <v>2.75</v>
      </c>
      <c r="G86" s="112">
        <v>141.77000000000001</v>
      </c>
      <c r="H86" s="112">
        <v>55.76</v>
      </c>
      <c r="I86" s="112">
        <v>11.82</v>
      </c>
      <c r="J86" s="112">
        <v>0.11</v>
      </c>
      <c r="K86" s="112">
        <v>192.5</v>
      </c>
      <c r="L86" s="112">
        <v>15.92</v>
      </c>
      <c r="M86" s="112">
        <v>66.59</v>
      </c>
      <c r="N86" s="112">
        <v>0</v>
      </c>
      <c r="O86" s="112">
        <v>0</v>
      </c>
      <c r="P86" s="112">
        <v>0.94</v>
      </c>
      <c r="Q86" s="112">
        <v>5.12</v>
      </c>
    </row>
    <row r="87" spans="1:17" customFormat="1">
      <c r="A87" s="80">
        <v>45279.822916666664</v>
      </c>
      <c r="B87" s="112">
        <v>12.41</v>
      </c>
      <c r="C87" s="112">
        <v>33.19</v>
      </c>
      <c r="D87" s="112">
        <v>28.64</v>
      </c>
      <c r="E87" s="112">
        <v>6.03</v>
      </c>
      <c r="F87" s="112">
        <v>2.58</v>
      </c>
      <c r="G87" s="112">
        <v>141.77000000000001</v>
      </c>
      <c r="H87" s="112">
        <v>55.76</v>
      </c>
      <c r="I87" s="112">
        <v>11.99</v>
      </c>
      <c r="J87" s="112">
        <v>0.11</v>
      </c>
      <c r="K87" s="112">
        <v>191.73</v>
      </c>
      <c r="L87" s="112">
        <v>15.49</v>
      </c>
      <c r="M87" s="112">
        <v>73.23</v>
      </c>
      <c r="N87" s="112">
        <v>0</v>
      </c>
      <c r="O87" s="112">
        <v>0</v>
      </c>
      <c r="P87" s="112">
        <v>0.96</v>
      </c>
      <c r="Q87" s="112">
        <v>5.15</v>
      </c>
    </row>
    <row r="88" spans="1:17" customFormat="1">
      <c r="A88" s="80">
        <v>45279.833333333336</v>
      </c>
      <c r="B88" s="112">
        <v>12.7</v>
      </c>
      <c r="C88" s="112">
        <v>33.090000000000003</v>
      </c>
      <c r="D88" s="112">
        <v>28.82</v>
      </c>
      <c r="E88" s="112">
        <v>6.06</v>
      </c>
      <c r="F88" s="112">
        <v>2.58</v>
      </c>
      <c r="G88" s="112">
        <v>123.22</v>
      </c>
      <c r="H88" s="112">
        <v>54.25</v>
      </c>
      <c r="I88" s="112">
        <v>12.03</v>
      </c>
      <c r="J88" s="112">
        <v>0.14000000000000001</v>
      </c>
      <c r="K88" s="112">
        <v>154.56</v>
      </c>
      <c r="L88" s="112">
        <v>15.33</v>
      </c>
      <c r="M88" s="112">
        <v>72.31</v>
      </c>
      <c r="N88" s="112">
        <v>0</v>
      </c>
      <c r="O88" s="112">
        <v>0</v>
      </c>
      <c r="P88" s="112">
        <v>0.98</v>
      </c>
      <c r="Q88" s="112">
        <v>5.17</v>
      </c>
    </row>
    <row r="89" spans="1:17" customFormat="1">
      <c r="A89" s="80">
        <v>45279.84375</v>
      </c>
      <c r="B89" s="112">
        <v>13.04</v>
      </c>
      <c r="C89" s="112">
        <v>32.770000000000003</v>
      </c>
      <c r="D89" s="112">
        <v>28.93</v>
      </c>
      <c r="E89" s="112">
        <v>6.02</v>
      </c>
      <c r="F89" s="112">
        <v>2.65</v>
      </c>
      <c r="G89" s="112">
        <v>103.82</v>
      </c>
      <c r="H89" s="112">
        <v>52.52</v>
      </c>
      <c r="I89" s="112">
        <v>12.04</v>
      </c>
      <c r="J89" s="112">
        <v>0.11</v>
      </c>
      <c r="K89" s="112">
        <v>198.25</v>
      </c>
      <c r="L89" s="112">
        <v>15.25</v>
      </c>
      <c r="M89" s="112">
        <v>69.7</v>
      </c>
      <c r="N89" s="112">
        <v>0</v>
      </c>
      <c r="O89" s="112">
        <v>0</v>
      </c>
      <c r="P89" s="112">
        <v>1</v>
      </c>
      <c r="Q89" s="112">
        <v>5.17</v>
      </c>
    </row>
    <row r="90" spans="1:17" customFormat="1">
      <c r="A90" s="80">
        <v>45279.854166666664</v>
      </c>
      <c r="B90" s="112">
        <v>14.04</v>
      </c>
      <c r="C90" s="112">
        <v>32.770000000000003</v>
      </c>
      <c r="D90" s="112">
        <v>29.73</v>
      </c>
      <c r="E90" s="112">
        <v>6.09</v>
      </c>
      <c r="F90" s="112">
        <v>2.5299999999999998</v>
      </c>
      <c r="G90" s="112">
        <v>103.82</v>
      </c>
      <c r="H90" s="112">
        <v>52.52</v>
      </c>
      <c r="I90" s="112">
        <v>12.03</v>
      </c>
      <c r="J90" s="112">
        <v>0.1</v>
      </c>
      <c r="K90" s="112">
        <v>202.3</v>
      </c>
      <c r="L90" s="112">
        <v>15.01</v>
      </c>
      <c r="M90" s="112">
        <v>72.91</v>
      </c>
      <c r="N90" s="112">
        <v>0</v>
      </c>
      <c r="O90" s="112">
        <v>0</v>
      </c>
      <c r="P90" s="112">
        <v>1.03</v>
      </c>
      <c r="Q90" s="112">
        <v>5.19</v>
      </c>
    </row>
    <row r="91" spans="1:17" customFormat="1">
      <c r="A91" s="80">
        <v>45279.864583333336</v>
      </c>
      <c r="B91" s="112">
        <v>16.25</v>
      </c>
      <c r="C91" s="112">
        <v>33.15</v>
      </c>
      <c r="D91" s="112">
        <v>31.7</v>
      </c>
      <c r="E91" s="112">
        <v>5.92</v>
      </c>
      <c r="F91" s="112">
        <v>2.39</v>
      </c>
      <c r="G91" s="112">
        <v>103.82</v>
      </c>
      <c r="H91" s="112">
        <v>52.52</v>
      </c>
      <c r="I91" s="112">
        <v>12.05</v>
      </c>
      <c r="J91" s="112">
        <v>0.09</v>
      </c>
      <c r="K91" s="112">
        <v>159.21</v>
      </c>
      <c r="L91" s="112">
        <v>14.92</v>
      </c>
      <c r="M91" s="112">
        <v>71.569999999999993</v>
      </c>
      <c r="N91" s="112">
        <v>0</v>
      </c>
      <c r="O91" s="112">
        <v>0</v>
      </c>
      <c r="P91" s="112">
        <v>1.06</v>
      </c>
      <c r="Q91" s="112">
        <v>5.24</v>
      </c>
    </row>
    <row r="92" spans="1:17" customFormat="1">
      <c r="A92" s="80">
        <v>45279.875</v>
      </c>
      <c r="B92" s="112">
        <v>21.35</v>
      </c>
      <c r="C92" s="112">
        <v>34.29</v>
      </c>
      <c r="D92" s="112">
        <v>36.39</v>
      </c>
      <c r="E92" s="112">
        <v>5.93</v>
      </c>
      <c r="F92" s="112">
        <v>2.44</v>
      </c>
      <c r="G92" s="112">
        <v>110.72</v>
      </c>
      <c r="H92" s="112">
        <v>51.38</v>
      </c>
      <c r="I92" s="112">
        <v>12.1</v>
      </c>
      <c r="J92" s="112">
        <v>0.23</v>
      </c>
      <c r="K92" s="112">
        <v>156.81</v>
      </c>
      <c r="L92" s="112">
        <v>15.09</v>
      </c>
      <c r="M92" s="112">
        <v>72.73</v>
      </c>
      <c r="N92" s="112">
        <v>0</v>
      </c>
      <c r="O92" s="112">
        <v>0</v>
      </c>
      <c r="P92" s="112">
        <v>1.1100000000000001</v>
      </c>
      <c r="Q92" s="112">
        <v>5.32</v>
      </c>
    </row>
    <row r="93" spans="1:17" customFormat="1">
      <c r="A93" s="80">
        <v>45279.885416666664</v>
      </c>
      <c r="B93" s="112">
        <v>25.84</v>
      </c>
      <c r="C93" s="112">
        <v>34.880000000000003</v>
      </c>
      <c r="D93" s="112">
        <v>40.299999999999997</v>
      </c>
      <c r="E93" s="112">
        <v>6.2</v>
      </c>
      <c r="F93" s="112">
        <v>2.4700000000000002</v>
      </c>
      <c r="G93" s="112">
        <v>117.93</v>
      </c>
      <c r="H93" s="112">
        <v>50.79</v>
      </c>
      <c r="I93" s="112">
        <v>12.23</v>
      </c>
      <c r="J93" s="112">
        <v>0.11</v>
      </c>
      <c r="K93" s="112">
        <v>167.07</v>
      </c>
      <c r="L93" s="112">
        <v>15.04</v>
      </c>
      <c r="M93" s="112">
        <v>74.78</v>
      </c>
      <c r="N93" s="112">
        <v>0</v>
      </c>
      <c r="O93" s="112">
        <v>0</v>
      </c>
      <c r="P93" s="112">
        <v>1.1399999999999999</v>
      </c>
      <c r="Q93" s="112">
        <v>5.46</v>
      </c>
    </row>
    <row r="94" spans="1:17" customFormat="1">
      <c r="A94" s="80">
        <v>45279.895833333336</v>
      </c>
      <c r="B94" s="112">
        <v>29.42</v>
      </c>
      <c r="C94" s="112">
        <v>35.19</v>
      </c>
      <c r="D94" s="112">
        <v>43.33</v>
      </c>
      <c r="E94" s="112">
        <v>6.2</v>
      </c>
      <c r="F94" s="112">
        <v>2.62</v>
      </c>
      <c r="G94" s="112">
        <v>117.93</v>
      </c>
      <c r="H94" s="112">
        <v>50.79</v>
      </c>
      <c r="I94" s="112">
        <v>12.45</v>
      </c>
      <c r="J94" s="112">
        <v>0.12</v>
      </c>
      <c r="K94" s="112">
        <v>198.95</v>
      </c>
      <c r="L94" s="112">
        <v>14.94</v>
      </c>
      <c r="M94" s="112">
        <v>71.61</v>
      </c>
      <c r="N94" s="112">
        <v>0</v>
      </c>
      <c r="O94" s="112">
        <v>0</v>
      </c>
      <c r="P94" s="112">
        <v>1.18</v>
      </c>
      <c r="Q94" s="112">
        <v>5.55</v>
      </c>
    </row>
    <row r="95" spans="1:17" customFormat="1">
      <c r="A95" s="80">
        <v>45279.90625</v>
      </c>
      <c r="B95" s="112">
        <v>33.42</v>
      </c>
      <c r="C95" s="112">
        <v>35.44</v>
      </c>
      <c r="D95" s="112">
        <v>46.67</v>
      </c>
      <c r="E95" s="112">
        <v>6.23</v>
      </c>
      <c r="F95" s="112">
        <v>2.63</v>
      </c>
      <c r="G95" s="112">
        <v>117.93</v>
      </c>
      <c r="H95" s="112">
        <v>50.79</v>
      </c>
      <c r="I95" s="112">
        <v>12.72</v>
      </c>
      <c r="J95" s="112">
        <v>0.12</v>
      </c>
      <c r="K95" s="112">
        <v>180.86</v>
      </c>
      <c r="L95" s="112">
        <v>14.63</v>
      </c>
      <c r="M95" s="112">
        <v>79.08</v>
      </c>
      <c r="N95" s="112">
        <v>0</v>
      </c>
      <c r="O95" s="112">
        <v>0</v>
      </c>
      <c r="P95" s="112">
        <v>1.21</v>
      </c>
      <c r="Q95" s="112">
        <v>5.62</v>
      </c>
    </row>
    <row r="96" spans="1:17" customFormat="1">
      <c r="A96" s="80">
        <v>45279.916666666664</v>
      </c>
      <c r="B96" s="112">
        <v>34.979999999999997</v>
      </c>
      <c r="C96" s="112">
        <v>35.380000000000003</v>
      </c>
      <c r="D96" s="112">
        <v>47.89</v>
      </c>
      <c r="E96" s="112">
        <v>6.66</v>
      </c>
      <c r="F96" s="112">
        <v>2.58</v>
      </c>
      <c r="G96" s="112">
        <v>124.08</v>
      </c>
      <c r="H96" s="112">
        <v>53.02</v>
      </c>
      <c r="I96" s="112">
        <v>13.08</v>
      </c>
      <c r="J96" s="112">
        <v>0.22</v>
      </c>
      <c r="K96" s="112">
        <v>159.05000000000001</v>
      </c>
      <c r="L96" s="112">
        <v>14.38</v>
      </c>
      <c r="M96" s="112">
        <v>81.650000000000006</v>
      </c>
      <c r="N96" s="112">
        <v>0</v>
      </c>
      <c r="O96" s="112">
        <v>0</v>
      </c>
      <c r="P96" s="112">
        <v>1.22</v>
      </c>
      <c r="Q96" s="112">
        <v>5.66</v>
      </c>
    </row>
    <row r="97" spans="1:22" customFormat="1">
      <c r="A97" s="80">
        <v>45279.927083333336</v>
      </c>
      <c r="B97" s="112">
        <v>35.51</v>
      </c>
      <c r="C97" s="112">
        <v>34.729999999999997</v>
      </c>
      <c r="D97" s="112">
        <v>47.97</v>
      </c>
      <c r="E97" s="112">
        <v>6.28</v>
      </c>
      <c r="F97" s="112">
        <v>2.64</v>
      </c>
      <c r="G97" s="112">
        <v>130.5</v>
      </c>
      <c r="H97" s="112">
        <v>54.13</v>
      </c>
      <c r="I97" s="112">
        <v>13.34</v>
      </c>
      <c r="J97" s="112">
        <v>0.14000000000000001</v>
      </c>
      <c r="K97" s="112">
        <v>145.51</v>
      </c>
      <c r="L97" s="112">
        <v>14.23</v>
      </c>
      <c r="M97" s="112">
        <v>79.17</v>
      </c>
      <c r="N97" s="112">
        <v>0</v>
      </c>
      <c r="O97" s="112">
        <v>0</v>
      </c>
      <c r="P97" s="112">
        <v>1.24</v>
      </c>
      <c r="Q97" s="112">
        <v>5.68</v>
      </c>
    </row>
    <row r="98" spans="1:22" customFormat="1">
      <c r="A98" s="80">
        <v>45279.9375</v>
      </c>
      <c r="B98" s="112">
        <v>37.15</v>
      </c>
      <c r="C98" s="112">
        <v>35.14</v>
      </c>
      <c r="D98" s="112">
        <v>49.5</v>
      </c>
      <c r="E98" s="112">
        <v>6.35</v>
      </c>
      <c r="F98" s="112">
        <v>2.52</v>
      </c>
      <c r="G98" s="112">
        <v>130.5</v>
      </c>
      <c r="H98" s="112">
        <v>54.13</v>
      </c>
      <c r="I98" s="112">
        <v>13.45</v>
      </c>
      <c r="J98" s="112">
        <v>0.1</v>
      </c>
      <c r="K98" s="112">
        <v>135.15</v>
      </c>
      <c r="L98" s="112">
        <v>14.18</v>
      </c>
      <c r="M98" s="112">
        <v>69.290000000000006</v>
      </c>
      <c r="N98" s="112">
        <v>0</v>
      </c>
      <c r="O98" s="112">
        <v>0</v>
      </c>
      <c r="P98" s="112">
        <v>1.26</v>
      </c>
      <c r="Q98" s="112">
        <v>5.69</v>
      </c>
    </row>
    <row r="99" spans="1:22" customFormat="1">
      <c r="A99" s="80">
        <v>45279.947916666664</v>
      </c>
      <c r="B99" s="112">
        <v>40.619999999999997</v>
      </c>
      <c r="C99" s="112">
        <v>35.71</v>
      </c>
      <c r="D99" s="112">
        <v>52.58</v>
      </c>
      <c r="E99" s="112">
        <v>6.6</v>
      </c>
      <c r="F99" s="112">
        <v>2.5499999999999998</v>
      </c>
      <c r="G99" s="112">
        <v>130.5</v>
      </c>
      <c r="H99" s="112">
        <v>54.13</v>
      </c>
      <c r="I99" s="112">
        <v>13.56</v>
      </c>
      <c r="J99" s="112">
        <v>0.13</v>
      </c>
      <c r="K99" s="112">
        <v>142.94</v>
      </c>
      <c r="L99" s="112">
        <v>14.5</v>
      </c>
      <c r="M99" s="112">
        <v>67.989999999999995</v>
      </c>
      <c r="N99" s="112">
        <v>0</v>
      </c>
      <c r="O99" s="112">
        <v>0</v>
      </c>
      <c r="P99" s="112">
        <v>1.29</v>
      </c>
      <c r="Q99" s="112">
        <v>5.78</v>
      </c>
    </row>
    <row r="100" spans="1:22" customFormat="1">
      <c r="A100" s="80">
        <v>45279.958333333336</v>
      </c>
      <c r="B100" s="112">
        <v>42.57</v>
      </c>
      <c r="C100" s="112">
        <v>36.06</v>
      </c>
      <c r="D100" s="112">
        <v>54.33</v>
      </c>
      <c r="E100" s="112">
        <v>6.85</v>
      </c>
      <c r="F100" s="112">
        <v>2.65</v>
      </c>
      <c r="G100" s="112">
        <v>129.31</v>
      </c>
      <c r="H100" s="112">
        <v>55.12</v>
      </c>
      <c r="I100" s="112">
        <v>13.66</v>
      </c>
      <c r="J100" s="112">
        <v>0.13</v>
      </c>
      <c r="K100" s="112">
        <v>164.3</v>
      </c>
      <c r="L100" s="112">
        <v>14.17</v>
      </c>
      <c r="M100" s="112">
        <v>70.8</v>
      </c>
      <c r="N100" s="112">
        <v>0</v>
      </c>
      <c r="O100" s="112">
        <v>0</v>
      </c>
      <c r="P100" s="112">
        <v>1.3</v>
      </c>
      <c r="Q100" s="112">
        <v>5.82</v>
      </c>
    </row>
    <row r="101" spans="1:22" customFormat="1">
      <c r="A101" s="80">
        <v>45279.96875</v>
      </c>
      <c r="B101" s="112">
        <v>43.55</v>
      </c>
      <c r="C101" s="112">
        <v>36.28</v>
      </c>
      <c r="D101" s="112">
        <v>55.23</v>
      </c>
      <c r="E101" s="112">
        <v>6.68</v>
      </c>
      <c r="F101" s="112">
        <v>2.58</v>
      </c>
      <c r="G101" s="112">
        <v>128.06</v>
      </c>
      <c r="H101" s="112">
        <v>55.63</v>
      </c>
      <c r="I101" s="112">
        <v>13.74</v>
      </c>
      <c r="J101" s="112">
        <v>0.09</v>
      </c>
      <c r="K101" s="112">
        <v>213.01</v>
      </c>
      <c r="L101" s="112">
        <v>13.84</v>
      </c>
      <c r="M101" s="112">
        <v>73.78</v>
      </c>
      <c r="N101" s="112">
        <v>0</v>
      </c>
      <c r="O101" s="112">
        <v>0</v>
      </c>
      <c r="P101" s="112">
        <v>1.31</v>
      </c>
      <c r="Q101" s="112">
        <v>5.87</v>
      </c>
    </row>
    <row r="102" spans="1:22" customFormat="1">
      <c r="A102" s="80">
        <v>45279.979166666664</v>
      </c>
      <c r="B102" s="112">
        <v>45.08</v>
      </c>
      <c r="C102" s="112">
        <v>36.630000000000003</v>
      </c>
      <c r="D102" s="112">
        <v>56.64</v>
      </c>
      <c r="E102" s="112">
        <v>6.46</v>
      </c>
      <c r="F102" s="112">
        <v>2.67</v>
      </c>
      <c r="G102" s="112">
        <v>128.06</v>
      </c>
      <c r="H102" s="112">
        <v>55.63</v>
      </c>
      <c r="I102" s="112">
        <v>13.78</v>
      </c>
      <c r="J102" s="112">
        <v>0.11</v>
      </c>
      <c r="K102" s="112">
        <v>244.43</v>
      </c>
      <c r="L102" s="112">
        <v>13.47</v>
      </c>
      <c r="M102" s="112">
        <v>76.680000000000007</v>
      </c>
      <c r="N102" s="112">
        <v>0</v>
      </c>
      <c r="O102" s="112">
        <v>0</v>
      </c>
      <c r="P102" s="112">
        <v>1.3</v>
      </c>
      <c r="Q102" s="112">
        <v>5.88</v>
      </c>
    </row>
    <row r="103" spans="1:22" customFormat="1">
      <c r="A103" s="80">
        <v>45279.989583333336</v>
      </c>
      <c r="B103" s="112">
        <v>47.54</v>
      </c>
      <c r="C103" s="112">
        <v>36.450000000000003</v>
      </c>
      <c r="D103" s="112">
        <v>58.52</v>
      </c>
      <c r="E103" s="112">
        <v>6.68</v>
      </c>
      <c r="F103" s="112">
        <v>2.82</v>
      </c>
      <c r="G103" s="112">
        <v>128.06</v>
      </c>
      <c r="H103" s="112">
        <v>55.63</v>
      </c>
      <c r="I103" s="112">
        <v>13.73</v>
      </c>
      <c r="J103" s="112">
        <v>0.09</v>
      </c>
      <c r="K103" s="112">
        <v>184.13</v>
      </c>
      <c r="L103" s="112">
        <v>13.32</v>
      </c>
      <c r="M103" s="112">
        <v>77.16</v>
      </c>
      <c r="N103" s="112">
        <v>0</v>
      </c>
      <c r="O103" s="112">
        <v>0</v>
      </c>
      <c r="P103" s="112">
        <v>1.31</v>
      </c>
      <c r="Q103" s="112">
        <v>5.94</v>
      </c>
    </row>
    <row r="104" spans="1:22" customFormat="1">
      <c r="A104" s="80">
        <v>45280</v>
      </c>
      <c r="B104" s="112">
        <v>50.48</v>
      </c>
      <c r="C104" s="112">
        <v>36.619999999999997</v>
      </c>
      <c r="D104" s="112">
        <v>60.97</v>
      </c>
      <c r="E104" s="112">
        <v>6.94</v>
      </c>
      <c r="F104" s="112">
        <v>2.84</v>
      </c>
      <c r="G104" s="112">
        <v>135.32</v>
      </c>
      <c r="H104" s="112">
        <v>58.12</v>
      </c>
      <c r="I104" s="112">
        <v>13.69</v>
      </c>
      <c r="J104" s="112">
        <v>0.11</v>
      </c>
      <c r="K104" s="112">
        <v>175.42</v>
      </c>
      <c r="L104" s="112">
        <v>13.21</v>
      </c>
      <c r="M104" s="112">
        <v>76.81</v>
      </c>
      <c r="N104" s="112">
        <v>0</v>
      </c>
      <c r="O104" s="112">
        <v>0</v>
      </c>
      <c r="P104" s="112">
        <v>1.31</v>
      </c>
      <c r="Q104" s="112">
        <v>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5.18</v>
      </c>
      <c r="C106" s="183">
        <f>MIN(C9:C104)</f>
        <v>24.93</v>
      </c>
      <c r="D106" s="183">
        <f t="shared" ref="D106:Q106" si="0">MIN(D9:D104)</f>
        <v>18.559999999999999</v>
      </c>
      <c r="E106" s="183">
        <f t="shared" si="0"/>
        <v>5.4</v>
      </c>
      <c r="F106" s="183">
        <f t="shared" si="0"/>
        <v>2.39</v>
      </c>
      <c r="G106" s="183">
        <f t="shared" si="0"/>
        <v>60.4</v>
      </c>
      <c r="H106" s="183">
        <f t="shared" si="0"/>
        <v>28.79</v>
      </c>
      <c r="I106" s="183">
        <f t="shared" si="0"/>
        <v>5.5</v>
      </c>
      <c r="J106" s="183">
        <f t="shared" si="0"/>
        <v>7.0000000000000007E-2</v>
      </c>
      <c r="K106" s="183">
        <f t="shared" si="0"/>
        <v>1.03</v>
      </c>
      <c r="L106" s="183">
        <f t="shared" si="0"/>
        <v>11.83</v>
      </c>
      <c r="M106" s="183">
        <f t="shared" si="0"/>
        <v>26.06</v>
      </c>
      <c r="N106" s="183">
        <f t="shared" si="0"/>
        <v>0</v>
      </c>
      <c r="O106" s="183">
        <f t="shared" si="0"/>
        <v>0</v>
      </c>
      <c r="P106" s="183">
        <f t="shared" si="0"/>
        <v>0.59</v>
      </c>
      <c r="Q106" s="183">
        <f t="shared" si="0"/>
        <v>4.9000000000000004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50.48</v>
      </c>
      <c r="C107" s="184">
        <f t="shared" ref="C107:Q107" si="1">MAX(C9:C104)</f>
        <v>36.630000000000003</v>
      </c>
      <c r="D107" s="184">
        <f t="shared" si="1"/>
        <v>60.97</v>
      </c>
      <c r="E107" s="184">
        <f t="shared" si="1"/>
        <v>8.32</v>
      </c>
      <c r="F107" s="184">
        <f t="shared" si="1"/>
        <v>5.96</v>
      </c>
      <c r="G107" s="184">
        <f t="shared" si="1"/>
        <v>224.41</v>
      </c>
      <c r="H107" s="184">
        <f t="shared" si="1"/>
        <v>58.12</v>
      </c>
      <c r="I107" s="184">
        <f t="shared" si="1"/>
        <v>13.78</v>
      </c>
      <c r="J107" s="184">
        <f t="shared" si="1"/>
        <v>0.99</v>
      </c>
      <c r="K107" s="184">
        <f t="shared" si="1"/>
        <v>330.37</v>
      </c>
      <c r="L107" s="184">
        <f t="shared" si="1"/>
        <v>24.36</v>
      </c>
      <c r="M107" s="184">
        <f t="shared" si="1"/>
        <v>81.650000000000006</v>
      </c>
      <c r="N107" s="184">
        <f t="shared" si="1"/>
        <v>567.1</v>
      </c>
      <c r="O107" s="184">
        <f t="shared" si="1"/>
        <v>0</v>
      </c>
      <c r="P107" s="184">
        <f t="shared" si="1"/>
        <v>1.31</v>
      </c>
      <c r="Q107" s="184">
        <f t="shared" si="1"/>
        <v>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18.405937500000004</v>
      </c>
      <c r="C108" s="183">
        <f t="shared" ref="C108:Q108" si="2">AVERAGE(C9:C104)</f>
        <v>30.493333333333322</v>
      </c>
      <c r="D108" s="183">
        <f t="shared" si="2"/>
        <v>32.043437499999989</v>
      </c>
      <c r="E108" s="183">
        <f t="shared" si="2"/>
        <v>6.6220833333333315</v>
      </c>
      <c r="F108" s="183">
        <f t="shared" si="2"/>
        <v>3.1107291666666654</v>
      </c>
      <c r="G108" s="183">
        <f t="shared" si="2"/>
        <v>93.558958333333337</v>
      </c>
      <c r="H108" s="183">
        <f t="shared" si="2"/>
        <v>40.786458333333336</v>
      </c>
      <c r="I108" s="183">
        <f t="shared" si="2"/>
        <v>8.3311458333333324</v>
      </c>
      <c r="J108" s="183">
        <f t="shared" si="2"/>
        <v>0.35593750000000007</v>
      </c>
      <c r="K108" s="183">
        <f t="shared" si="2"/>
        <v>79.637083333333337</v>
      </c>
      <c r="L108" s="183">
        <f t="shared" si="2"/>
        <v>17.177916666666675</v>
      </c>
      <c r="M108" s="183">
        <f t="shared" si="2"/>
        <v>55.426666666666655</v>
      </c>
      <c r="N108" s="183">
        <f t="shared" si="2"/>
        <v>110.32187500000005</v>
      </c>
      <c r="O108" s="183">
        <f t="shared" si="2"/>
        <v>0</v>
      </c>
      <c r="P108" s="183">
        <f t="shared" si="2"/>
        <v>0.89375000000000016</v>
      </c>
      <c r="Q108" s="183">
        <f t="shared" si="2"/>
        <v>5.280729166666668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10.459546792851109</v>
      </c>
      <c r="C109" s="183">
        <f t="shared" ref="C109:Q109" si="3">STDEV(C9:C104)</f>
        <v>3.131491545293732</v>
      </c>
      <c r="D109" s="183">
        <f t="shared" si="3"/>
        <v>9.6776354036809824</v>
      </c>
      <c r="E109" s="183">
        <f t="shared" si="3"/>
        <v>0.72795592212814308</v>
      </c>
      <c r="F109" s="183">
        <f t="shared" si="3"/>
        <v>0.78458067216849325</v>
      </c>
      <c r="G109" s="183">
        <f t="shared" si="3"/>
        <v>35.520685966561608</v>
      </c>
      <c r="H109" s="183">
        <f t="shared" si="3"/>
        <v>9.9049008580990243</v>
      </c>
      <c r="I109" s="183">
        <f t="shared" si="3"/>
        <v>2.5439864571766591</v>
      </c>
      <c r="J109" s="183">
        <f t="shared" si="3"/>
        <v>0.23759575631953658</v>
      </c>
      <c r="K109" s="183">
        <f t="shared" si="3"/>
        <v>69.97846781488785</v>
      </c>
      <c r="L109" s="183">
        <f t="shared" si="3"/>
        <v>4.135594380157789</v>
      </c>
      <c r="M109" s="183">
        <f t="shared" si="3"/>
        <v>18.762780439598036</v>
      </c>
      <c r="N109" s="183">
        <f t="shared" si="3"/>
        <v>189.74748771826921</v>
      </c>
      <c r="O109" s="183">
        <f t="shared" si="3"/>
        <v>0</v>
      </c>
      <c r="P109" s="183">
        <f t="shared" si="3"/>
        <v>0.18274082884324308</v>
      </c>
      <c r="Q109" s="183">
        <f t="shared" si="3"/>
        <v>0.25828684499646298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tabSelected="1" zoomScale="85" zoomScaleNormal="85" workbookViewId="0">
      <pane xSplit="1" ySplit="8" topLeftCell="B9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20/12/2023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1295</v>
      </c>
      <c r="B9" s="189">
        <v>52.71</v>
      </c>
      <c r="C9" s="189">
        <v>36.04</v>
      </c>
      <c r="D9" s="189">
        <v>62.45</v>
      </c>
      <c r="E9" s="189">
        <v>6.73</v>
      </c>
      <c r="F9" s="189">
        <v>2.7</v>
      </c>
      <c r="G9" s="189">
        <v>142.58000000000001</v>
      </c>
      <c r="H9" s="189">
        <v>59.36</v>
      </c>
      <c r="I9" s="189">
        <v>13.7</v>
      </c>
      <c r="J9" s="189">
        <v>0.14000000000000001</v>
      </c>
      <c r="K9" s="189">
        <v>158.5</v>
      </c>
      <c r="L9" s="189">
        <v>13.18</v>
      </c>
      <c r="M9" s="189">
        <v>79.75</v>
      </c>
      <c r="N9" s="189">
        <v>0</v>
      </c>
      <c r="O9" s="189">
        <v>0</v>
      </c>
      <c r="P9" s="189">
        <v>1.32</v>
      </c>
      <c r="Q9" s="189">
        <v>6.07</v>
      </c>
    </row>
    <row r="10" spans="1:21" customFormat="1">
      <c r="A10" s="6" t="s">
        <v>1296</v>
      </c>
      <c r="B10" s="189">
        <v>52.86</v>
      </c>
      <c r="C10" s="189">
        <v>35.799999999999997</v>
      </c>
      <c r="D10" s="189">
        <v>62.45</v>
      </c>
      <c r="E10" s="189">
        <v>6.89</v>
      </c>
      <c r="F10" s="189">
        <v>2.75</v>
      </c>
      <c r="G10" s="189">
        <v>142.58000000000001</v>
      </c>
      <c r="H10" s="189">
        <v>59.36</v>
      </c>
      <c r="I10" s="189">
        <v>13.71</v>
      </c>
      <c r="J10" s="189">
        <v>0.11</v>
      </c>
      <c r="K10" s="189">
        <v>129.49</v>
      </c>
      <c r="L10" s="189">
        <v>13.22</v>
      </c>
      <c r="M10" s="189">
        <v>78.28</v>
      </c>
      <c r="N10" s="189">
        <v>0</v>
      </c>
      <c r="O10" s="189">
        <v>0</v>
      </c>
      <c r="P10" s="189">
        <v>1.33</v>
      </c>
      <c r="Q10" s="189">
        <v>6.06</v>
      </c>
    </row>
    <row r="11" spans="1:21" customFormat="1">
      <c r="A11" s="6" t="s">
        <v>1297</v>
      </c>
      <c r="B11" s="189">
        <v>55.47</v>
      </c>
      <c r="C11" s="189">
        <v>35.94</v>
      </c>
      <c r="D11" s="189">
        <v>64.61</v>
      </c>
      <c r="E11" s="189">
        <v>6.76</v>
      </c>
      <c r="F11" s="189">
        <v>2.73</v>
      </c>
      <c r="G11" s="189">
        <v>142.58000000000001</v>
      </c>
      <c r="H11" s="189">
        <v>59.36</v>
      </c>
      <c r="I11" s="189">
        <v>13.83</v>
      </c>
      <c r="J11" s="189">
        <v>0.1</v>
      </c>
      <c r="K11" s="189">
        <v>91.2</v>
      </c>
      <c r="L11" s="189">
        <v>13.32</v>
      </c>
      <c r="M11" s="189">
        <v>70.75</v>
      </c>
      <c r="N11" s="189">
        <v>0</v>
      </c>
      <c r="O11" s="189">
        <v>0</v>
      </c>
      <c r="P11" s="189">
        <v>1.32</v>
      </c>
      <c r="Q11" s="189">
        <v>6.11</v>
      </c>
    </row>
    <row r="12" spans="1:21" customFormat="1">
      <c r="A12" s="6" t="s">
        <v>1298</v>
      </c>
      <c r="B12" s="189">
        <v>57.83</v>
      </c>
      <c r="C12" s="189">
        <v>36.24</v>
      </c>
      <c r="D12" s="189">
        <v>66.66</v>
      </c>
      <c r="E12" s="189">
        <v>6.62</v>
      </c>
      <c r="F12" s="189">
        <v>2.74</v>
      </c>
      <c r="G12" s="189">
        <v>150.56</v>
      </c>
      <c r="H12" s="189">
        <v>58.4</v>
      </c>
      <c r="I12" s="189">
        <v>13.94</v>
      </c>
      <c r="J12" s="189">
        <v>0.11</v>
      </c>
      <c r="K12" s="189">
        <v>111.01</v>
      </c>
      <c r="L12" s="189">
        <v>13.78</v>
      </c>
      <c r="M12" s="189">
        <v>65.97</v>
      </c>
      <c r="N12" s="189">
        <v>0</v>
      </c>
      <c r="O12" s="189">
        <v>0</v>
      </c>
      <c r="P12" s="189">
        <v>1.3</v>
      </c>
      <c r="Q12" s="189">
        <v>6.15</v>
      </c>
    </row>
    <row r="13" spans="1:21" customFormat="1">
      <c r="A13" s="6" t="s">
        <v>1299</v>
      </c>
      <c r="B13" s="189">
        <v>57.11</v>
      </c>
      <c r="C13" s="189">
        <v>36.119999999999997</v>
      </c>
      <c r="D13" s="189">
        <v>66.02</v>
      </c>
      <c r="E13" s="189">
        <v>6.93</v>
      </c>
      <c r="F13" s="189">
        <v>2.62</v>
      </c>
      <c r="G13" s="189">
        <v>158.53</v>
      </c>
      <c r="H13" s="189">
        <v>57.92</v>
      </c>
      <c r="I13" s="189">
        <v>13.88</v>
      </c>
      <c r="J13" s="189">
        <v>0.18</v>
      </c>
      <c r="K13" s="189">
        <v>42.03</v>
      </c>
      <c r="L13" s="189">
        <v>13.92</v>
      </c>
      <c r="M13" s="189">
        <v>61.88</v>
      </c>
      <c r="N13" s="189">
        <v>0</v>
      </c>
      <c r="O13" s="189">
        <v>0</v>
      </c>
      <c r="P13" s="189">
        <v>1.27</v>
      </c>
      <c r="Q13" s="189">
        <v>6.15</v>
      </c>
    </row>
    <row r="14" spans="1:21" customFormat="1">
      <c r="A14" s="6" t="s">
        <v>1300</v>
      </c>
      <c r="B14" s="189">
        <v>55.3</v>
      </c>
      <c r="C14" s="189">
        <v>36.270000000000003</v>
      </c>
      <c r="D14" s="189">
        <v>64.650000000000006</v>
      </c>
      <c r="E14" s="189">
        <v>6.64</v>
      </c>
      <c r="F14" s="189">
        <v>2.66</v>
      </c>
      <c r="G14" s="189">
        <v>158.53</v>
      </c>
      <c r="H14" s="189">
        <v>57.92</v>
      </c>
      <c r="I14" s="189">
        <v>13.73</v>
      </c>
      <c r="J14" s="189">
        <v>0.02</v>
      </c>
      <c r="K14" s="189">
        <v>346.87</v>
      </c>
      <c r="L14" s="189">
        <v>13.72</v>
      </c>
      <c r="M14" s="189">
        <v>64.760000000000005</v>
      </c>
      <c r="N14" s="189">
        <v>0</v>
      </c>
      <c r="O14" s="189">
        <v>0</v>
      </c>
      <c r="P14" s="189">
        <v>1.23</v>
      </c>
      <c r="Q14" s="189">
        <v>6.1</v>
      </c>
    </row>
    <row r="15" spans="1:21" customFormat="1">
      <c r="A15" s="6" t="s">
        <v>1301</v>
      </c>
      <c r="B15" s="189">
        <v>52.83</v>
      </c>
      <c r="C15" s="189">
        <v>36.01</v>
      </c>
      <c r="D15" s="189">
        <v>62.53</v>
      </c>
      <c r="E15" s="189">
        <v>6.59</v>
      </c>
      <c r="F15" s="189">
        <v>2.68</v>
      </c>
      <c r="G15" s="189">
        <v>158.53</v>
      </c>
      <c r="H15" s="189">
        <v>57.92</v>
      </c>
      <c r="I15" s="189">
        <v>13.42</v>
      </c>
      <c r="J15" s="189">
        <v>0.15</v>
      </c>
      <c r="K15" s="189">
        <v>144.97999999999999</v>
      </c>
      <c r="L15" s="189">
        <v>13.44</v>
      </c>
      <c r="M15" s="189">
        <v>67.709999999999994</v>
      </c>
      <c r="N15" s="189">
        <v>0</v>
      </c>
      <c r="O15" s="189">
        <v>0</v>
      </c>
      <c r="P15" s="189">
        <v>1.19</v>
      </c>
      <c r="Q15" s="189">
        <v>6.06</v>
      </c>
    </row>
    <row r="16" spans="1:21" customFormat="1">
      <c r="A16" s="6" t="s">
        <v>1302</v>
      </c>
      <c r="B16" s="189">
        <v>49.65</v>
      </c>
      <c r="C16" s="189">
        <v>35.31</v>
      </c>
      <c r="D16" s="189">
        <v>59.62</v>
      </c>
      <c r="E16" s="189">
        <v>6.29</v>
      </c>
      <c r="F16" s="189">
        <v>2.67</v>
      </c>
      <c r="G16" s="189">
        <v>124.15</v>
      </c>
      <c r="H16" s="189">
        <v>54.01</v>
      </c>
      <c r="I16" s="189">
        <v>13.04</v>
      </c>
      <c r="J16" s="189">
        <v>0.12</v>
      </c>
      <c r="K16" s="189">
        <v>96.08</v>
      </c>
      <c r="L16" s="189">
        <v>13.15</v>
      </c>
      <c r="M16" s="189">
        <v>68.16</v>
      </c>
      <c r="N16" s="189">
        <v>0</v>
      </c>
      <c r="O16" s="189">
        <v>0</v>
      </c>
      <c r="P16" s="189">
        <v>1.1599999999999999</v>
      </c>
      <c r="Q16" s="189">
        <v>5.98</v>
      </c>
    </row>
    <row r="17" spans="1:17" customFormat="1">
      <c r="A17" s="6" t="s">
        <v>1303</v>
      </c>
      <c r="B17" s="189">
        <v>46.28</v>
      </c>
      <c r="C17" s="189">
        <v>34.54</v>
      </c>
      <c r="D17" s="189">
        <v>56.51</v>
      </c>
      <c r="E17" s="189">
        <v>5.34</v>
      </c>
      <c r="F17" s="189">
        <v>2.71</v>
      </c>
      <c r="G17" s="189">
        <v>88.2</v>
      </c>
      <c r="H17" s="189">
        <v>49.72</v>
      </c>
      <c r="I17" s="189">
        <v>12.66</v>
      </c>
      <c r="J17" s="189">
        <v>0.11</v>
      </c>
      <c r="K17" s="189">
        <v>67.239999999999995</v>
      </c>
      <c r="L17" s="189">
        <v>13.19</v>
      </c>
      <c r="M17" s="189">
        <v>64.67</v>
      </c>
      <c r="N17" s="189">
        <v>0</v>
      </c>
      <c r="O17" s="189">
        <v>0</v>
      </c>
      <c r="P17" s="189">
        <v>1.1100000000000001</v>
      </c>
      <c r="Q17" s="189">
        <v>5.93</v>
      </c>
    </row>
    <row r="18" spans="1:17" customFormat="1">
      <c r="A18" s="6" t="s">
        <v>1304</v>
      </c>
      <c r="B18" s="189">
        <v>43.28</v>
      </c>
      <c r="C18" s="189">
        <v>34.369999999999997</v>
      </c>
      <c r="D18" s="189">
        <v>54.01</v>
      </c>
      <c r="E18" s="189">
        <v>5.73</v>
      </c>
      <c r="F18" s="189">
        <v>2.72</v>
      </c>
      <c r="G18" s="189">
        <v>88.2</v>
      </c>
      <c r="H18" s="189">
        <v>49.72</v>
      </c>
      <c r="I18" s="189">
        <v>12.33</v>
      </c>
      <c r="J18" s="189">
        <v>0.28000000000000003</v>
      </c>
      <c r="K18" s="189">
        <v>38.630000000000003</v>
      </c>
      <c r="L18" s="189">
        <v>13.29</v>
      </c>
      <c r="M18" s="189">
        <v>62.39</v>
      </c>
      <c r="N18" s="189">
        <v>0</v>
      </c>
      <c r="O18" s="189">
        <v>0</v>
      </c>
      <c r="P18" s="189">
        <v>1.07</v>
      </c>
      <c r="Q18" s="189">
        <v>5.87</v>
      </c>
    </row>
    <row r="19" spans="1:17" customFormat="1">
      <c r="A19" s="6" t="s">
        <v>1305</v>
      </c>
      <c r="B19" s="189">
        <v>40.44</v>
      </c>
      <c r="C19" s="189">
        <v>34.409999999999997</v>
      </c>
      <c r="D19" s="189">
        <v>51.76</v>
      </c>
      <c r="E19" s="189">
        <v>5.93</v>
      </c>
      <c r="F19" s="189">
        <v>2.77</v>
      </c>
      <c r="G19" s="189">
        <v>88.2</v>
      </c>
      <c r="H19" s="189">
        <v>49.72</v>
      </c>
      <c r="I19" s="189">
        <v>12.04</v>
      </c>
      <c r="J19" s="189">
        <v>0.25</v>
      </c>
      <c r="K19" s="189">
        <v>27.2</v>
      </c>
      <c r="L19" s="189">
        <v>13.23</v>
      </c>
      <c r="M19" s="189">
        <v>62.78</v>
      </c>
      <c r="N19" s="189">
        <v>0</v>
      </c>
      <c r="O19" s="189">
        <v>0</v>
      </c>
      <c r="P19" s="189">
        <v>1.04</v>
      </c>
      <c r="Q19" s="189">
        <v>5.81</v>
      </c>
    </row>
    <row r="20" spans="1:17" customFormat="1">
      <c r="A20" s="6" t="s">
        <v>1306</v>
      </c>
      <c r="B20" s="189">
        <v>37.770000000000003</v>
      </c>
      <c r="C20" s="189">
        <v>33.82</v>
      </c>
      <c r="D20" s="189">
        <v>49.31</v>
      </c>
      <c r="E20" s="189">
        <v>5.41</v>
      </c>
      <c r="F20" s="189">
        <v>2.7</v>
      </c>
      <c r="G20" s="189">
        <v>69.66</v>
      </c>
      <c r="H20" s="189">
        <v>41.05</v>
      </c>
      <c r="I20" s="189">
        <v>11.7</v>
      </c>
      <c r="J20" s="189">
        <v>0.21</v>
      </c>
      <c r="K20" s="189">
        <v>48.42</v>
      </c>
      <c r="L20" s="189">
        <v>13.01</v>
      </c>
      <c r="M20" s="189">
        <v>64.040000000000006</v>
      </c>
      <c r="N20" s="189">
        <v>0</v>
      </c>
      <c r="O20" s="189">
        <v>0</v>
      </c>
      <c r="P20" s="189">
        <v>1.01</v>
      </c>
      <c r="Q20" s="189">
        <v>5.75</v>
      </c>
    </row>
    <row r="21" spans="1:17" customFormat="1">
      <c r="A21" s="6" t="s">
        <v>1307</v>
      </c>
      <c r="B21" s="189">
        <v>35.25</v>
      </c>
      <c r="C21" s="189">
        <v>33.630000000000003</v>
      </c>
      <c r="D21" s="189">
        <v>47.19</v>
      </c>
      <c r="E21" s="189">
        <v>5.59</v>
      </c>
      <c r="F21" s="189">
        <v>2.66</v>
      </c>
      <c r="G21" s="189">
        <v>50.28</v>
      </c>
      <c r="H21" s="189">
        <v>36.520000000000003</v>
      </c>
      <c r="I21" s="189">
        <v>11.36</v>
      </c>
      <c r="J21" s="189">
        <v>0.14000000000000001</v>
      </c>
      <c r="K21" s="189">
        <v>44.11</v>
      </c>
      <c r="L21" s="189">
        <v>12.93</v>
      </c>
      <c r="M21" s="189">
        <v>64.650000000000006</v>
      </c>
      <c r="N21" s="189">
        <v>0</v>
      </c>
      <c r="O21" s="189">
        <v>0</v>
      </c>
      <c r="P21" s="189">
        <v>0.98</v>
      </c>
      <c r="Q21" s="189">
        <v>5.69</v>
      </c>
    </row>
    <row r="22" spans="1:17" customFormat="1">
      <c r="A22" s="6" t="s">
        <v>1308</v>
      </c>
      <c r="B22" s="189">
        <v>32.619999999999997</v>
      </c>
      <c r="C22" s="189">
        <v>32.799999999999997</v>
      </c>
      <c r="D22" s="189">
        <v>44.65</v>
      </c>
      <c r="E22" s="189">
        <v>5.39</v>
      </c>
      <c r="F22" s="189">
        <v>2.83</v>
      </c>
      <c r="G22" s="189">
        <v>50.28</v>
      </c>
      <c r="H22" s="189">
        <v>36.520000000000003</v>
      </c>
      <c r="I22" s="189">
        <v>11.05</v>
      </c>
      <c r="J22" s="189">
        <v>0.11</v>
      </c>
      <c r="K22" s="189">
        <v>177.47</v>
      </c>
      <c r="L22" s="189">
        <v>12.57</v>
      </c>
      <c r="M22" s="189">
        <v>69.89</v>
      </c>
      <c r="N22" s="189">
        <v>0</v>
      </c>
      <c r="O22" s="189">
        <v>0</v>
      </c>
      <c r="P22" s="189">
        <v>0.94</v>
      </c>
      <c r="Q22" s="189">
        <v>5.62</v>
      </c>
    </row>
    <row r="23" spans="1:17" customFormat="1">
      <c r="A23" s="6" t="s">
        <v>1309</v>
      </c>
      <c r="B23" s="189">
        <v>30.02</v>
      </c>
      <c r="C23" s="189">
        <v>31.73</v>
      </c>
      <c r="D23" s="189">
        <v>42.01</v>
      </c>
      <c r="E23" s="189">
        <v>5.77</v>
      </c>
      <c r="F23" s="189">
        <v>2.83</v>
      </c>
      <c r="G23" s="189">
        <v>50.28</v>
      </c>
      <c r="H23" s="189">
        <v>36.520000000000003</v>
      </c>
      <c r="I23" s="189">
        <v>10.77</v>
      </c>
      <c r="J23" s="189">
        <v>0.11</v>
      </c>
      <c r="K23" s="189">
        <v>154.4</v>
      </c>
      <c r="L23" s="189">
        <v>12.08</v>
      </c>
      <c r="M23" s="189">
        <v>76.3</v>
      </c>
      <c r="N23" s="189">
        <v>0</v>
      </c>
      <c r="O23" s="189">
        <v>0</v>
      </c>
      <c r="P23" s="189">
        <v>0.92</v>
      </c>
      <c r="Q23" s="189">
        <v>5.54</v>
      </c>
    </row>
    <row r="24" spans="1:17" customFormat="1">
      <c r="A24" s="6" t="s">
        <v>1310</v>
      </c>
      <c r="B24" s="189">
        <v>27.82</v>
      </c>
      <c r="C24" s="189">
        <v>29.94</v>
      </c>
      <c r="D24" s="189">
        <v>39.299999999999997</v>
      </c>
      <c r="E24" s="189">
        <v>5.55</v>
      </c>
      <c r="F24" s="189">
        <v>2.82</v>
      </c>
      <c r="G24" s="189">
        <v>55.14</v>
      </c>
      <c r="H24" s="189">
        <v>34.36</v>
      </c>
      <c r="I24" s="189">
        <v>10.53</v>
      </c>
      <c r="J24" s="189">
        <v>0.08</v>
      </c>
      <c r="K24" s="189">
        <v>135.88</v>
      </c>
      <c r="L24" s="189">
        <v>11.75</v>
      </c>
      <c r="M24" s="189">
        <v>78.72</v>
      </c>
      <c r="N24" s="189">
        <v>0</v>
      </c>
      <c r="O24" s="189">
        <v>0</v>
      </c>
      <c r="P24" s="189">
        <v>0.89</v>
      </c>
      <c r="Q24" s="189">
        <v>5.48</v>
      </c>
    </row>
    <row r="25" spans="1:17" customFormat="1">
      <c r="A25" s="6" t="s">
        <v>1311</v>
      </c>
      <c r="B25" s="189">
        <v>26.08</v>
      </c>
      <c r="C25" s="189">
        <v>29.88</v>
      </c>
      <c r="D25" s="189">
        <v>37.869999999999997</v>
      </c>
      <c r="E25" s="189">
        <v>5.22</v>
      </c>
      <c r="F25" s="189">
        <v>2.64</v>
      </c>
      <c r="G25" s="189">
        <v>60.22</v>
      </c>
      <c r="H25" s="189">
        <v>33.200000000000003</v>
      </c>
      <c r="I25" s="189">
        <v>10.39</v>
      </c>
      <c r="J25" s="189">
        <v>7.0000000000000007E-2</v>
      </c>
      <c r="K25" s="189">
        <v>221.59</v>
      </c>
      <c r="L25" s="189">
        <v>11.48</v>
      </c>
      <c r="M25" s="189">
        <v>79.459999999999994</v>
      </c>
      <c r="N25" s="189">
        <v>0</v>
      </c>
      <c r="O25" s="189">
        <v>0</v>
      </c>
      <c r="P25" s="189">
        <v>0.87</v>
      </c>
      <c r="Q25" s="189">
        <v>5.43</v>
      </c>
    </row>
    <row r="26" spans="1:17" customFormat="1">
      <c r="A26" s="6" t="s">
        <v>1312</v>
      </c>
      <c r="B26" s="189">
        <v>25.23</v>
      </c>
      <c r="C26" s="189">
        <v>29.85</v>
      </c>
      <c r="D26" s="189">
        <v>37.17</v>
      </c>
      <c r="E26" s="189">
        <v>5.29</v>
      </c>
      <c r="F26" s="189">
        <v>2.67</v>
      </c>
      <c r="G26" s="189">
        <v>60.22</v>
      </c>
      <c r="H26" s="189">
        <v>33.200000000000003</v>
      </c>
      <c r="I26" s="189">
        <v>10.29</v>
      </c>
      <c r="J26" s="189">
        <v>0.15</v>
      </c>
      <c r="K26" s="189">
        <v>281.52</v>
      </c>
      <c r="L26" s="189">
        <v>11.15</v>
      </c>
      <c r="M26" s="189">
        <v>79.02</v>
      </c>
      <c r="N26" s="189">
        <v>0</v>
      </c>
      <c r="O26" s="189">
        <v>0</v>
      </c>
      <c r="P26" s="189">
        <v>0.85</v>
      </c>
      <c r="Q26" s="189">
        <v>5.4</v>
      </c>
    </row>
    <row r="27" spans="1:17" customFormat="1">
      <c r="A27" s="6" t="s">
        <v>1313</v>
      </c>
      <c r="B27" s="189">
        <v>25.55</v>
      </c>
      <c r="C27" s="189">
        <v>30.01</v>
      </c>
      <c r="D27" s="189">
        <v>37.520000000000003</v>
      </c>
      <c r="E27" s="189">
        <v>5.59</v>
      </c>
      <c r="F27" s="189">
        <v>2.57</v>
      </c>
      <c r="G27" s="189">
        <v>60.22</v>
      </c>
      <c r="H27" s="189">
        <v>33.200000000000003</v>
      </c>
      <c r="I27" s="189">
        <v>10.19</v>
      </c>
      <c r="J27" s="189">
        <v>0.08</v>
      </c>
      <c r="K27" s="189">
        <v>144.26</v>
      </c>
      <c r="L27" s="189">
        <v>11.16</v>
      </c>
      <c r="M27" s="189">
        <v>77.52</v>
      </c>
      <c r="N27" s="189">
        <v>0</v>
      </c>
      <c r="O27" s="189">
        <v>0</v>
      </c>
      <c r="P27" s="189">
        <v>0.83</v>
      </c>
      <c r="Q27" s="189">
        <v>5.4</v>
      </c>
    </row>
    <row r="28" spans="1:17" customFormat="1">
      <c r="A28" s="6" t="s">
        <v>1314</v>
      </c>
      <c r="B28" s="189">
        <v>26.04</v>
      </c>
      <c r="C28" s="189">
        <v>30.06</v>
      </c>
      <c r="D28" s="189">
        <v>37.94</v>
      </c>
      <c r="E28" s="189">
        <v>5.66</v>
      </c>
      <c r="F28" s="189">
        <v>2.73</v>
      </c>
      <c r="G28" s="189">
        <v>55.33</v>
      </c>
      <c r="H28" s="189">
        <v>30.44</v>
      </c>
      <c r="I28" s="189">
        <v>10.050000000000001</v>
      </c>
      <c r="J28" s="189">
        <v>0.15</v>
      </c>
      <c r="K28" s="189">
        <v>188.3</v>
      </c>
      <c r="L28" s="189">
        <v>11.18</v>
      </c>
      <c r="M28" s="189">
        <v>85.63</v>
      </c>
      <c r="N28" s="189">
        <v>0</v>
      </c>
      <c r="O28" s="189">
        <v>0</v>
      </c>
      <c r="P28" s="189">
        <v>0.82</v>
      </c>
      <c r="Q28" s="189">
        <v>5.43</v>
      </c>
    </row>
    <row r="29" spans="1:17" customFormat="1">
      <c r="A29" s="6" t="s">
        <v>1315</v>
      </c>
      <c r="B29" s="189">
        <v>25.07</v>
      </c>
      <c r="C29" s="189">
        <v>29.28</v>
      </c>
      <c r="D29" s="189">
        <v>36.75</v>
      </c>
      <c r="E29" s="189">
        <v>5.46</v>
      </c>
      <c r="F29" s="189">
        <v>2.6</v>
      </c>
      <c r="G29" s="189">
        <v>50.21</v>
      </c>
      <c r="H29" s="189">
        <v>28.97</v>
      </c>
      <c r="I29" s="189">
        <v>9.85</v>
      </c>
      <c r="J29" s="189">
        <v>0.09</v>
      </c>
      <c r="K29" s="189">
        <v>165.07</v>
      </c>
      <c r="L29" s="189">
        <v>10.92</v>
      </c>
      <c r="M29" s="189">
        <v>89.12</v>
      </c>
      <c r="N29" s="189">
        <v>0</v>
      </c>
      <c r="O29" s="189">
        <v>0</v>
      </c>
      <c r="P29" s="189">
        <v>0.8</v>
      </c>
      <c r="Q29" s="189">
        <v>5.4</v>
      </c>
    </row>
    <row r="30" spans="1:17" customFormat="1">
      <c r="A30" s="6" t="s">
        <v>1316</v>
      </c>
      <c r="B30" s="189">
        <v>23.83</v>
      </c>
      <c r="C30" s="189">
        <v>28.48</v>
      </c>
      <c r="D30" s="189">
        <v>35.340000000000003</v>
      </c>
      <c r="E30" s="189">
        <v>5.46</v>
      </c>
      <c r="F30" s="189">
        <v>2.66</v>
      </c>
      <c r="G30" s="189">
        <v>50.21</v>
      </c>
      <c r="H30" s="189">
        <v>28.97</v>
      </c>
      <c r="I30" s="189">
        <v>9.75</v>
      </c>
      <c r="J30" s="189">
        <v>0.08</v>
      </c>
      <c r="K30" s="189">
        <v>161.09</v>
      </c>
      <c r="L30" s="189">
        <v>10.72</v>
      </c>
      <c r="M30" s="189">
        <v>87.81</v>
      </c>
      <c r="N30" s="189">
        <v>0</v>
      </c>
      <c r="O30" s="189">
        <v>0</v>
      </c>
      <c r="P30" s="189">
        <v>0.79</v>
      </c>
      <c r="Q30" s="189">
        <v>5.39</v>
      </c>
    </row>
    <row r="31" spans="1:17" customFormat="1">
      <c r="A31" s="6" t="s">
        <v>1317</v>
      </c>
      <c r="B31" s="189">
        <v>24.84</v>
      </c>
      <c r="C31" s="189">
        <v>28.3</v>
      </c>
      <c r="D31" s="189">
        <v>36.06</v>
      </c>
      <c r="E31" s="189">
        <v>5.1100000000000003</v>
      </c>
      <c r="F31" s="189">
        <v>2.59</v>
      </c>
      <c r="G31" s="189">
        <v>50.21</v>
      </c>
      <c r="H31" s="189">
        <v>28.97</v>
      </c>
      <c r="I31" s="189">
        <v>9.69</v>
      </c>
      <c r="J31" s="189">
        <v>7.0000000000000007E-2</v>
      </c>
      <c r="K31" s="189">
        <v>203.25</v>
      </c>
      <c r="L31" s="189">
        <v>10.73</v>
      </c>
      <c r="M31" s="189">
        <v>85.74</v>
      </c>
      <c r="N31" s="189">
        <v>0</v>
      </c>
      <c r="O31" s="189">
        <v>0</v>
      </c>
      <c r="P31" s="189">
        <v>0.78</v>
      </c>
      <c r="Q31" s="189">
        <v>5.37</v>
      </c>
    </row>
    <row r="32" spans="1:17" customFormat="1">
      <c r="A32" s="6" t="s">
        <v>1318</v>
      </c>
      <c r="B32" s="189">
        <v>28.83</v>
      </c>
      <c r="C32" s="189">
        <v>28.85</v>
      </c>
      <c r="D32" s="189">
        <v>39.54</v>
      </c>
      <c r="E32" s="189">
        <v>5.35</v>
      </c>
      <c r="F32" s="189">
        <v>2.54</v>
      </c>
      <c r="G32" s="189">
        <v>52.05</v>
      </c>
      <c r="H32" s="189">
        <v>28.41</v>
      </c>
      <c r="I32" s="189">
        <v>9.58</v>
      </c>
      <c r="J32" s="189">
        <v>0.1</v>
      </c>
      <c r="K32" s="189">
        <v>277.14</v>
      </c>
      <c r="L32" s="189">
        <v>10.59</v>
      </c>
      <c r="M32" s="189">
        <v>83.64</v>
      </c>
      <c r="N32" s="189">
        <v>0</v>
      </c>
      <c r="O32" s="189">
        <v>0</v>
      </c>
      <c r="P32" s="189">
        <v>0.76</v>
      </c>
      <c r="Q32" s="189">
        <v>5.44</v>
      </c>
    </row>
    <row r="33" spans="1:17" customFormat="1">
      <c r="A33" s="6" t="s">
        <v>1319</v>
      </c>
      <c r="B33" s="189">
        <v>34.35</v>
      </c>
      <c r="C33" s="189">
        <v>29.6</v>
      </c>
      <c r="D33" s="189">
        <v>44.36</v>
      </c>
      <c r="E33" s="189">
        <v>5.97</v>
      </c>
      <c r="F33" s="189">
        <v>2.4900000000000002</v>
      </c>
      <c r="G33" s="189">
        <v>53.97</v>
      </c>
      <c r="H33" s="189">
        <v>28.12</v>
      </c>
      <c r="I33" s="189">
        <v>9.44</v>
      </c>
      <c r="J33" s="189">
        <v>7.0000000000000007E-2</v>
      </c>
      <c r="K33" s="189">
        <v>207.87</v>
      </c>
      <c r="L33" s="189">
        <v>10.48</v>
      </c>
      <c r="M33" s="189">
        <v>83.89</v>
      </c>
      <c r="N33" s="189">
        <v>0</v>
      </c>
      <c r="O33" s="189">
        <v>0</v>
      </c>
      <c r="P33" s="189">
        <v>0.76</v>
      </c>
      <c r="Q33" s="189">
        <v>5.56</v>
      </c>
    </row>
    <row r="34" spans="1:17" customFormat="1">
      <c r="A34" s="6" t="s">
        <v>1320</v>
      </c>
      <c r="B34" s="189">
        <v>38.1</v>
      </c>
      <c r="C34" s="189">
        <v>29.69</v>
      </c>
      <c r="D34" s="189">
        <v>47.42</v>
      </c>
      <c r="E34" s="189">
        <v>5.97</v>
      </c>
      <c r="F34" s="189">
        <v>2.37</v>
      </c>
      <c r="G34" s="189">
        <v>53.97</v>
      </c>
      <c r="H34" s="189">
        <v>28.12</v>
      </c>
      <c r="I34" s="189">
        <v>9.3000000000000007</v>
      </c>
      <c r="J34" s="189">
        <v>0.14000000000000001</v>
      </c>
      <c r="K34" s="189">
        <v>158.47</v>
      </c>
      <c r="L34" s="189">
        <v>10.49</v>
      </c>
      <c r="M34" s="189">
        <v>87.11</v>
      </c>
      <c r="N34" s="189">
        <v>0</v>
      </c>
      <c r="O34" s="189">
        <v>0</v>
      </c>
      <c r="P34" s="189">
        <v>0.75</v>
      </c>
      <c r="Q34" s="189">
        <v>5.65</v>
      </c>
    </row>
    <row r="35" spans="1:17" customFormat="1">
      <c r="A35" s="6" t="s">
        <v>1321</v>
      </c>
      <c r="B35" s="189">
        <v>38.76</v>
      </c>
      <c r="C35" s="189">
        <v>29.66</v>
      </c>
      <c r="D35" s="189">
        <v>47.93</v>
      </c>
      <c r="E35" s="189">
        <v>5.44</v>
      </c>
      <c r="F35" s="189">
        <v>2.5</v>
      </c>
      <c r="G35" s="189">
        <v>53.97</v>
      </c>
      <c r="H35" s="189">
        <v>28.12</v>
      </c>
      <c r="I35" s="189">
        <v>9.18</v>
      </c>
      <c r="J35" s="189">
        <v>0.1</v>
      </c>
      <c r="K35" s="189">
        <v>152.24</v>
      </c>
      <c r="L35" s="189">
        <v>10.64</v>
      </c>
      <c r="M35" s="189">
        <v>88.58</v>
      </c>
      <c r="N35" s="189">
        <v>0.2</v>
      </c>
      <c r="O35" s="189">
        <v>0</v>
      </c>
      <c r="P35" s="189">
        <v>0.75</v>
      </c>
      <c r="Q35" s="189">
        <v>5.68</v>
      </c>
    </row>
    <row r="36" spans="1:17" customFormat="1">
      <c r="A36" s="6" t="s">
        <v>1322</v>
      </c>
      <c r="B36" s="189">
        <v>38.65</v>
      </c>
      <c r="C36" s="189">
        <v>29.71</v>
      </c>
      <c r="D36" s="189">
        <v>47.87</v>
      </c>
      <c r="E36" s="189">
        <v>5.46</v>
      </c>
      <c r="F36" s="189">
        <v>2.48</v>
      </c>
      <c r="G36" s="189">
        <v>45.15</v>
      </c>
      <c r="H36" s="189">
        <v>26.6</v>
      </c>
      <c r="I36" s="189">
        <v>9.1</v>
      </c>
      <c r="J36" s="189">
        <v>0.1</v>
      </c>
      <c r="K36" s="189">
        <v>271.27999999999997</v>
      </c>
      <c r="L36" s="189">
        <v>10.59</v>
      </c>
      <c r="M36" s="189">
        <v>86.93</v>
      </c>
      <c r="N36" s="189">
        <v>5.6</v>
      </c>
      <c r="O36" s="189">
        <v>0</v>
      </c>
      <c r="P36" s="189">
        <v>0.75</v>
      </c>
      <c r="Q36" s="189">
        <v>5.66</v>
      </c>
    </row>
    <row r="37" spans="1:17" customFormat="1">
      <c r="A37" s="6" t="s">
        <v>1323</v>
      </c>
      <c r="B37" s="189">
        <v>40.44</v>
      </c>
      <c r="C37" s="189">
        <v>30.18</v>
      </c>
      <c r="D37" s="189">
        <v>49.55</v>
      </c>
      <c r="E37" s="189">
        <v>5.77</v>
      </c>
      <c r="F37" s="189">
        <v>2.4900000000000002</v>
      </c>
      <c r="G37" s="189">
        <v>35.92</v>
      </c>
      <c r="H37" s="189">
        <v>25.8</v>
      </c>
      <c r="I37" s="189">
        <v>9.07</v>
      </c>
      <c r="J37" s="189">
        <v>0.04</v>
      </c>
      <c r="K37" s="189">
        <v>160.56</v>
      </c>
      <c r="L37" s="189">
        <v>11.12</v>
      </c>
      <c r="M37" s="189">
        <v>81.290000000000006</v>
      </c>
      <c r="N37" s="189">
        <v>14.3</v>
      </c>
      <c r="O37" s="189">
        <v>0</v>
      </c>
      <c r="P37" s="189">
        <v>0.74</v>
      </c>
      <c r="Q37" s="189">
        <v>5.69</v>
      </c>
    </row>
    <row r="38" spans="1:17" customFormat="1">
      <c r="A38" s="6" t="s">
        <v>1324</v>
      </c>
      <c r="B38" s="189">
        <v>41.62</v>
      </c>
      <c r="C38" s="189">
        <v>30.1</v>
      </c>
      <c r="D38" s="189">
        <v>50.46</v>
      </c>
      <c r="E38" s="189">
        <v>5.48</v>
      </c>
      <c r="F38" s="189">
        <v>2.46</v>
      </c>
      <c r="G38" s="189">
        <v>35.92</v>
      </c>
      <c r="H38" s="189">
        <v>25.8</v>
      </c>
      <c r="I38" s="189">
        <v>9.0299999999999994</v>
      </c>
      <c r="J38" s="189">
        <v>0.1</v>
      </c>
      <c r="K38" s="189">
        <v>30.69</v>
      </c>
      <c r="L38" s="189">
        <v>11.76</v>
      </c>
      <c r="M38" s="189">
        <v>77.650000000000006</v>
      </c>
      <c r="N38" s="189">
        <v>25.5</v>
      </c>
      <c r="O38" s="189">
        <v>0</v>
      </c>
      <c r="P38" s="189">
        <v>0.75</v>
      </c>
      <c r="Q38" s="189">
        <v>5.74</v>
      </c>
    </row>
    <row r="39" spans="1:17" customFormat="1">
      <c r="A39" s="6" t="s">
        <v>1325</v>
      </c>
      <c r="B39" s="189">
        <v>41.7</v>
      </c>
      <c r="C39" s="189">
        <v>30.37</v>
      </c>
      <c r="D39" s="189">
        <v>50.66</v>
      </c>
      <c r="E39" s="189">
        <v>5.43</v>
      </c>
      <c r="F39" s="189">
        <v>2.54</v>
      </c>
      <c r="G39" s="189">
        <v>35.92</v>
      </c>
      <c r="H39" s="189">
        <v>25.8</v>
      </c>
      <c r="I39" s="189">
        <v>9.0299999999999994</v>
      </c>
      <c r="J39" s="189">
        <v>0.41</v>
      </c>
      <c r="K39" s="189">
        <v>25.27</v>
      </c>
      <c r="L39" s="189">
        <v>12.71</v>
      </c>
      <c r="M39" s="189">
        <v>71.27</v>
      </c>
      <c r="N39" s="189">
        <v>38.6</v>
      </c>
      <c r="O39" s="189">
        <v>0</v>
      </c>
      <c r="P39" s="189">
        <v>0.76</v>
      </c>
      <c r="Q39" s="189">
        <v>5.75</v>
      </c>
    </row>
    <row r="40" spans="1:17" customFormat="1">
      <c r="A40" s="6" t="s">
        <v>1326</v>
      </c>
      <c r="B40" s="189">
        <v>40.69</v>
      </c>
      <c r="C40" s="189">
        <v>31.24</v>
      </c>
      <c r="D40" s="189">
        <v>50.31</v>
      </c>
      <c r="E40" s="189">
        <v>6.16</v>
      </c>
      <c r="F40" s="189">
        <v>2.67</v>
      </c>
      <c r="G40" s="189">
        <v>53.99</v>
      </c>
      <c r="H40" s="189">
        <v>28.36</v>
      </c>
      <c r="I40" s="189">
        <v>9.0399999999999991</v>
      </c>
      <c r="J40" s="189">
        <v>0.52</v>
      </c>
      <c r="K40" s="189">
        <v>42.84</v>
      </c>
      <c r="L40" s="189">
        <v>13.41</v>
      </c>
      <c r="M40" s="189">
        <v>68.819999999999993</v>
      </c>
      <c r="N40" s="189">
        <v>74.8</v>
      </c>
      <c r="O40" s="189">
        <v>0</v>
      </c>
      <c r="P40" s="189">
        <v>0.77</v>
      </c>
      <c r="Q40" s="189">
        <v>5.75</v>
      </c>
    </row>
    <row r="41" spans="1:17" customFormat="1">
      <c r="A41" s="6" t="s">
        <v>1327</v>
      </c>
      <c r="B41" s="189">
        <v>39.200000000000003</v>
      </c>
      <c r="C41" s="189">
        <v>32.35</v>
      </c>
      <c r="D41" s="189">
        <v>49.69</v>
      </c>
      <c r="E41" s="189">
        <v>6.02</v>
      </c>
      <c r="F41" s="189">
        <v>2.64</v>
      </c>
      <c r="G41" s="189">
        <v>72.89</v>
      </c>
      <c r="H41" s="189">
        <v>31.17</v>
      </c>
      <c r="I41" s="189">
        <v>9.01</v>
      </c>
      <c r="J41" s="189">
        <v>0.63</v>
      </c>
      <c r="K41" s="189">
        <v>23.74</v>
      </c>
      <c r="L41" s="189">
        <v>14.25</v>
      </c>
      <c r="M41" s="189">
        <v>67.62</v>
      </c>
      <c r="N41" s="189">
        <v>203.5</v>
      </c>
      <c r="O41" s="189">
        <v>0</v>
      </c>
      <c r="P41" s="189">
        <v>0.77</v>
      </c>
      <c r="Q41" s="189">
        <v>5.74</v>
      </c>
    </row>
    <row r="42" spans="1:17" customFormat="1">
      <c r="A42" s="6" t="s">
        <v>1328</v>
      </c>
      <c r="B42" s="189">
        <v>37.39</v>
      </c>
      <c r="C42" s="189">
        <v>32.79</v>
      </c>
      <c r="D42" s="189">
        <v>48.47</v>
      </c>
      <c r="E42" s="189">
        <v>5.78</v>
      </c>
      <c r="F42" s="189">
        <v>2.73</v>
      </c>
      <c r="G42" s="189">
        <v>72.89</v>
      </c>
      <c r="H42" s="189">
        <v>31.17</v>
      </c>
      <c r="I42" s="189">
        <v>8.9700000000000006</v>
      </c>
      <c r="J42" s="189">
        <v>0.7</v>
      </c>
      <c r="K42" s="189">
        <v>22.85</v>
      </c>
      <c r="L42" s="189">
        <v>15.19</v>
      </c>
      <c r="M42" s="189">
        <v>61.79</v>
      </c>
      <c r="N42" s="189">
        <v>236.8</v>
      </c>
      <c r="O42" s="189">
        <v>0</v>
      </c>
      <c r="P42" s="189">
        <v>0.77</v>
      </c>
      <c r="Q42" s="189">
        <v>5.69</v>
      </c>
    </row>
    <row r="43" spans="1:17" customFormat="1">
      <c r="A43" s="6" t="s">
        <v>1329</v>
      </c>
      <c r="B43" s="189">
        <v>34.97</v>
      </c>
      <c r="C43" s="189">
        <v>32.25</v>
      </c>
      <c r="D43" s="189">
        <v>46.24</v>
      </c>
      <c r="E43" s="189">
        <v>5.32</v>
      </c>
      <c r="F43" s="189">
        <v>2.78</v>
      </c>
      <c r="G43" s="189">
        <v>72.89</v>
      </c>
      <c r="H43" s="189">
        <v>31.17</v>
      </c>
      <c r="I43" s="189">
        <v>8.89</v>
      </c>
      <c r="J43" s="189">
        <v>0.56000000000000005</v>
      </c>
      <c r="K43" s="189">
        <v>27.71</v>
      </c>
      <c r="L43" s="189">
        <v>16.2</v>
      </c>
      <c r="M43" s="189">
        <v>58.77</v>
      </c>
      <c r="N43" s="189">
        <v>254.8</v>
      </c>
      <c r="O43" s="189">
        <v>0</v>
      </c>
      <c r="P43" s="189">
        <v>0.77</v>
      </c>
      <c r="Q43" s="189">
        <v>5.64</v>
      </c>
    </row>
    <row r="44" spans="1:17" customFormat="1">
      <c r="A44" s="6" t="s">
        <v>1330</v>
      </c>
      <c r="B44" s="189">
        <v>33.25</v>
      </c>
      <c r="C44" s="189">
        <v>33.29</v>
      </c>
      <c r="D44" s="189">
        <v>45.41</v>
      </c>
      <c r="E44" s="189">
        <v>5.88</v>
      </c>
      <c r="F44" s="189">
        <v>2.81</v>
      </c>
      <c r="G44" s="189">
        <v>67.7</v>
      </c>
      <c r="H44" s="189">
        <v>29.61</v>
      </c>
      <c r="I44" s="189">
        <v>8.77</v>
      </c>
      <c r="J44" s="189">
        <v>0.59</v>
      </c>
      <c r="K44" s="189">
        <v>21.5</v>
      </c>
      <c r="L44" s="189">
        <v>17.149999999999999</v>
      </c>
      <c r="M44" s="189">
        <v>55.62</v>
      </c>
      <c r="N44" s="189">
        <v>232.1</v>
      </c>
      <c r="O44" s="189">
        <v>0</v>
      </c>
      <c r="P44" s="189">
        <v>0.77</v>
      </c>
      <c r="Q44" s="189">
        <v>5.58</v>
      </c>
    </row>
    <row r="45" spans="1:17" customFormat="1">
      <c r="A45" s="6" t="s">
        <v>1331</v>
      </c>
      <c r="B45" s="189">
        <v>31.86</v>
      </c>
      <c r="C45" s="189">
        <v>33.49</v>
      </c>
      <c r="D45" s="189">
        <v>44.4</v>
      </c>
      <c r="E45" s="189">
        <v>5.96</v>
      </c>
      <c r="F45" s="189">
        <v>2.89</v>
      </c>
      <c r="G45" s="189">
        <v>62.28</v>
      </c>
      <c r="H45" s="189">
        <v>28.78</v>
      </c>
      <c r="I45" s="189">
        <v>8.66</v>
      </c>
      <c r="J45" s="189">
        <v>0.67</v>
      </c>
      <c r="K45" s="189">
        <v>41.53</v>
      </c>
      <c r="L45" s="189">
        <v>17.98</v>
      </c>
      <c r="M45" s="189">
        <v>51.72</v>
      </c>
      <c r="N45" s="189">
        <v>122.3</v>
      </c>
      <c r="O45" s="189">
        <v>0</v>
      </c>
      <c r="P45" s="189">
        <v>0.77</v>
      </c>
      <c r="Q45" s="189">
        <v>5.56</v>
      </c>
    </row>
    <row r="46" spans="1:17" customFormat="1">
      <c r="A46" s="6" t="s">
        <v>1332</v>
      </c>
      <c r="B46" s="189">
        <v>30.82</v>
      </c>
      <c r="C46" s="189">
        <v>33.31</v>
      </c>
      <c r="D46" s="189">
        <v>43.47</v>
      </c>
      <c r="E46" s="189">
        <v>6.05</v>
      </c>
      <c r="F46" s="189">
        <v>3.05</v>
      </c>
      <c r="G46" s="189">
        <v>62.28</v>
      </c>
      <c r="H46" s="189">
        <v>28.78</v>
      </c>
      <c r="I46" s="189">
        <v>8.5500000000000007</v>
      </c>
      <c r="J46" s="189">
        <v>0.86</v>
      </c>
      <c r="K46" s="189">
        <v>40.880000000000003</v>
      </c>
      <c r="L46" s="189">
        <v>18.14</v>
      </c>
      <c r="M46" s="189">
        <v>50.73</v>
      </c>
      <c r="N46" s="189">
        <v>111.8</v>
      </c>
      <c r="O46" s="189">
        <v>0</v>
      </c>
      <c r="P46" s="189">
        <v>0.77</v>
      </c>
      <c r="Q46" s="189">
        <v>5.54</v>
      </c>
    </row>
    <row r="47" spans="1:17" customFormat="1">
      <c r="A47" s="6" t="s">
        <v>1333</v>
      </c>
      <c r="B47" s="189">
        <v>29.6</v>
      </c>
      <c r="C47" s="189">
        <v>33.9</v>
      </c>
      <c r="D47" s="189">
        <v>42.8</v>
      </c>
      <c r="E47" s="189">
        <v>6.27</v>
      </c>
      <c r="F47" s="189">
        <v>2.97</v>
      </c>
      <c r="G47" s="189">
        <v>62.28</v>
      </c>
      <c r="H47" s="189">
        <v>28.78</v>
      </c>
      <c r="I47" s="189">
        <v>8.4700000000000006</v>
      </c>
      <c r="J47" s="189">
        <v>0.74</v>
      </c>
      <c r="K47" s="189">
        <v>46.8</v>
      </c>
      <c r="L47" s="189">
        <v>18.64</v>
      </c>
      <c r="M47" s="189">
        <v>48.97</v>
      </c>
      <c r="N47" s="189">
        <v>128.30000000000001</v>
      </c>
      <c r="O47" s="189">
        <v>0</v>
      </c>
      <c r="P47" s="189">
        <v>0.76</v>
      </c>
      <c r="Q47" s="189">
        <v>5.51</v>
      </c>
    </row>
    <row r="48" spans="1:17" customFormat="1">
      <c r="A48" s="6" t="s">
        <v>1334</v>
      </c>
      <c r="B48" s="189">
        <v>28.39</v>
      </c>
      <c r="C48" s="189">
        <v>34.4</v>
      </c>
      <c r="D48" s="189">
        <v>42.09</v>
      </c>
      <c r="E48" s="189">
        <v>5.84</v>
      </c>
      <c r="F48" s="189">
        <v>2.94</v>
      </c>
      <c r="G48" s="189">
        <v>65.239999999999995</v>
      </c>
      <c r="H48" s="189">
        <v>28.89</v>
      </c>
      <c r="I48" s="189">
        <v>8.3699999999999992</v>
      </c>
      <c r="J48" s="189">
        <v>0.85</v>
      </c>
      <c r="K48" s="189">
        <v>39.869999999999997</v>
      </c>
      <c r="L48" s="189">
        <v>19.399999999999999</v>
      </c>
      <c r="M48" s="189">
        <v>46.52</v>
      </c>
      <c r="N48" s="189">
        <v>230.3</v>
      </c>
      <c r="O48" s="189">
        <v>0</v>
      </c>
      <c r="P48" s="189">
        <v>0.76</v>
      </c>
      <c r="Q48" s="189">
        <v>5.5</v>
      </c>
    </row>
    <row r="49" spans="1:17" customFormat="1">
      <c r="A49" s="6" t="s">
        <v>1335</v>
      </c>
      <c r="B49" s="189">
        <v>26.72</v>
      </c>
      <c r="C49" s="189">
        <v>34.83</v>
      </c>
      <c r="D49" s="189">
        <v>40.98</v>
      </c>
      <c r="E49" s="189">
        <v>5.82</v>
      </c>
      <c r="F49" s="189">
        <v>2.98</v>
      </c>
      <c r="G49" s="189">
        <v>68.33</v>
      </c>
      <c r="H49" s="189">
        <v>28.95</v>
      </c>
      <c r="I49" s="189">
        <v>8.2100000000000009</v>
      </c>
      <c r="J49" s="189">
        <v>1.01</v>
      </c>
      <c r="K49" s="189">
        <v>39.04</v>
      </c>
      <c r="L49" s="189">
        <v>20.04</v>
      </c>
      <c r="M49" s="189">
        <v>41.56</v>
      </c>
      <c r="N49" s="189">
        <v>427.7</v>
      </c>
      <c r="O49" s="189">
        <v>0</v>
      </c>
      <c r="P49" s="189">
        <v>0.75</v>
      </c>
      <c r="Q49" s="189">
        <v>5.48</v>
      </c>
    </row>
    <row r="50" spans="1:17" customFormat="1">
      <c r="A50" s="6" t="s">
        <v>1336</v>
      </c>
      <c r="B50" s="189">
        <v>24.53</v>
      </c>
      <c r="C50" s="189">
        <v>35.06</v>
      </c>
      <c r="D50" s="189">
        <v>39.33</v>
      </c>
      <c r="E50" s="189">
        <v>6.43</v>
      </c>
      <c r="F50" s="189">
        <v>2.95</v>
      </c>
      <c r="G50" s="189">
        <v>68.33</v>
      </c>
      <c r="H50" s="189">
        <v>28.95</v>
      </c>
      <c r="I50" s="189">
        <v>8.07</v>
      </c>
      <c r="J50" s="189">
        <v>0.92</v>
      </c>
      <c r="K50" s="189">
        <v>41.37</v>
      </c>
      <c r="L50" s="189">
        <v>20.48</v>
      </c>
      <c r="M50" s="189">
        <v>39.25</v>
      </c>
      <c r="N50" s="189">
        <v>455.2</v>
      </c>
      <c r="O50" s="189">
        <v>0</v>
      </c>
      <c r="P50" s="189">
        <v>0.74</v>
      </c>
      <c r="Q50" s="189">
        <v>5.42</v>
      </c>
    </row>
    <row r="51" spans="1:17" customFormat="1">
      <c r="A51" s="6" t="s">
        <v>1337</v>
      </c>
      <c r="B51" s="189">
        <v>22.47</v>
      </c>
      <c r="C51" s="189">
        <v>35.53</v>
      </c>
      <c r="D51" s="189">
        <v>37.93</v>
      </c>
      <c r="E51" s="189">
        <v>7.76</v>
      </c>
      <c r="F51" s="189">
        <v>3.02</v>
      </c>
      <c r="G51" s="189">
        <v>68.33</v>
      </c>
      <c r="H51" s="189">
        <v>28.95</v>
      </c>
      <c r="I51" s="189">
        <v>7.9</v>
      </c>
      <c r="J51" s="189">
        <v>1.02</v>
      </c>
      <c r="K51" s="189">
        <v>41.44</v>
      </c>
      <c r="L51" s="189">
        <v>20.84</v>
      </c>
      <c r="M51" s="189">
        <v>37.69</v>
      </c>
      <c r="N51" s="189">
        <v>492.7</v>
      </c>
      <c r="O51" s="189">
        <v>0</v>
      </c>
      <c r="P51" s="189">
        <v>0.72</v>
      </c>
      <c r="Q51" s="189">
        <v>5.39</v>
      </c>
    </row>
    <row r="52" spans="1:17" customFormat="1">
      <c r="A52" s="6" t="s">
        <v>1338</v>
      </c>
      <c r="B52" s="189">
        <v>21.06</v>
      </c>
      <c r="C52" s="189">
        <v>35.61</v>
      </c>
      <c r="D52" s="189">
        <v>36.840000000000003</v>
      </c>
      <c r="E52" s="189">
        <v>7.27</v>
      </c>
      <c r="F52" s="189">
        <v>3.06</v>
      </c>
      <c r="G52" s="189">
        <v>65.790000000000006</v>
      </c>
      <c r="H52" s="189">
        <v>28.34</v>
      </c>
      <c r="I52" s="189">
        <v>7.69</v>
      </c>
      <c r="J52" s="189">
        <v>0.87</v>
      </c>
      <c r="K52" s="189">
        <v>46.46</v>
      </c>
      <c r="L52" s="189">
        <v>21.48</v>
      </c>
      <c r="M52" s="189">
        <v>36.79</v>
      </c>
      <c r="N52" s="189">
        <v>457.7</v>
      </c>
      <c r="O52" s="189">
        <v>0</v>
      </c>
      <c r="P52" s="189">
        <v>0.71</v>
      </c>
      <c r="Q52" s="189">
        <v>5.35</v>
      </c>
    </row>
    <row r="53" spans="1:17" customFormat="1">
      <c r="A53" s="6" t="s">
        <v>1339</v>
      </c>
      <c r="B53" s="189">
        <v>19.829999999999998</v>
      </c>
      <c r="C53" s="189">
        <v>35.619999999999997</v>
      </c>
      <c r="D53" s="189">
        <v>35.869999999999997</v>
      </c>
      <c r="E53" s="189">
        <v>7.43</v>
      </c>
      <c r="F53" s="189">
        <v>3.04</v>
      </c>
      <c r="G53" s="189">
        <v>63.14</v>
      </c>
      <c r="H53" s="189">
        <v>28.02</v>
      </c>
      <c r="I53" s="189">
        <v>7.46</v>
      </c>
      <c r="J53" s="189">
        <v>0.8</v>
      </c>
      <c r="K53" s="189">
        <v>51.61</v>
      </c>
      <c r="L53" s="189">
        <v>21.69</v>
      </c>
      <c r="M53" s="189">
        <v>36.549999999999997</v>
      </c>
      <c r="N53" s="189">
        <v>492.3</v>
      </c>
      <c r="O53" s="189">
        <v>0</v>
      </c>
      <c r="P53" s="189">
        <v>0.7</v>
      </c>
      <c r="Q53" s="189">
        <v>5.33</v>
      </c>
    </row>
    <row r="54" spans="1:17" customFormat="1">
      <c r="A54" s="6" t="s">
        <v>1340</v>
      </c>
      <c r="B54" s="189">
        <v>18.440000000000001</v>
      </c>
      <c r="C54" s="189">
        <v>35.85</v>
      </c>
      <c r="D54" s="189">
        <v>34.869999999999997</v>
      </c>
      <c r="E54" s="189">
        <v>9.07</v>
      </c>
      <c r="F54" s="189">
        <v>3.11</v>
      </c>
      <c r="G54" s="189">
        <v>63.14</v>
      </c>
      <c r="H54" s="189">
        <v>28.02</v>
      </c>
      <c r="I54" s="189">
        <v>7.31</v>
      </c>
      <c r="J54" s="189">
        <v>0.81</v>
      </c>
      <c r="K54" s="189">
        <v>32.479999999999997</v>
      </c>
      <c r="L54" s="189">
        <v>22.08</v>
      </c>
      <c r="M54" s="189">
        <v>33.31</v>
      </c>
      <c r="N54" s="189">
        <v>543.5</v>
      </c>
      <c r="O54" s="189">
        <v>0</v>
      </c>
      <c r="P54" s="189">
        <v>0.69</v>
      </c>
      <c r="Q54" s="189">
        <v>5.29</v>
      </c>
    </row>
    <row r="55" spans="1:17" customFormat="1">
      <c r="A55" s="6" t="s">
        <v>1341</v>
      </c>
      <c r="B55" s="189">
        <v>17.75</v>
      </c>
      <c r="C55" s="189">
        <v>36.200000000000003</v>
      </c>
      <c r="D55" s="189">
        <v>34.5</v>
      </c>
      <c r="E55" s="189">
        <v>9.93</v>
      </c>
      <c r="F55" s="189">
        <v>2.95</v>
      </c>
      <c r="G55" s="189">
        <v>63.14</v>
      </c>
      <c r="H55" s="189">
        <v>28.02</v>
      </c>
      <c r="I55" s="189">
        <v>7.14</v>
      </c>
      <c r="J55" s="189">
        <v>0.61</v>
      </c>
      <c r="K55" s="189">
        <v>49.45</v>
      </c>
      <c r="L55" s="189">
        <v>22.5</v>
      </c>
      <c r="M55" s="189">
        <v>32.270000000000003</v>
      </c>
      <c r="N55" s="189">
        <v>524.4</v>
      </c>
      <c r="O55" s="189">
        <v>0</v>
      </c>
      <c r="P55" s="189">
        <v>0.68</v>
      </c>
      <c r="Q55" s="189">
        <v>5.28</v>
      </c>
    </row>
    <row r="56" spans="1:17" customFormat="1">
      <c r="A56" s="6" t="s">
        <v>1342</v>
      </c>
      <c r="B56" s="189">
        <v>17.21</v>
      </c>
      <c r="C56" s="189">
        <v>36.39</v>
      </c>
      <c r="D56" s="189">
        <v>34.17</v>
      </c>
      <c r="E56" s="189">
        <v>10.4</v>
      </c>
      <c r="F56" s="189">
        <v>3.04</v>
      </c>
      <c r="G56" s="189">
        <v>67.25</v>
      </c>
      <c r="H56" s="189">
        <v>27.63</v>
      </c>
      <c r="I56" s="189">
        <v>6.96</v>
      </c>
      <c r="J56" s="189">
        <v>0.57999999999999996</v>
      </c>
      <c r="K56" s="189">
        <v>45.16</v>
      </c>
      <c r="L56" s="189">
        <v>23.06</v>
      </c>
      <c r="M56" s="189">
        <v>31.24</v>
      </c>
      <c r="N56" s="189">
        <v>552.9</v>
      </c>
      <c r="O56" s="189">
        <v>0</v>
      </c>
      <c r="P56" s="189">
        <v>0.68</v>
      </c>
      <c r="Q56" s="189">
        <v>5.27</v>
      </c>
    </row>
    <row r="57" spans="1:17" customFormat="1">
      <c r="A57" s="6" t="s">
        <v>1343</v>
      </c>
      <c r="B57" s="189">
        <v>16.559999999999999</v>
      </c>
      <c r="C57" s="189">
        <v>36.25</v>
      </c>
      <c r="D57" s="189">
        <v>33.57</v>
      </c>
      <c r="E57" s="189">
        <v>10.07</v>
      </c>
      <c r="F57" s="189">
        <v>3.09</v>
      </c>
      <c r="G57" s="189">
        <v>71.540000000000006</v>
      </c>
      <c r="H57" s="189">
        <v>27.43</v>
      </c>
      <c r="I57" s="189">
        <v>6.79</v>
      </c>
      <c r="J57" s="189">
        <v>0.55000000000000004</v>
      </c>
      <c r="K57" s="189">
        <v>24.98</v>
      </c>
      <c r="L57" s="189">
        <v>23.34</v>
      </c>
      <c r="M57" s="189">
        <v>30.85</v>
      </c>
      <c r="N57" s="189">
        <v>539.4</v>
      </c>
      <c r="O57" s="189">
        <v>0</v>
      </c>
      <c r="P57" s="189">
        <v>0.66</v>
      </c>
      <c r="Q57" s="189">
        <v>5.25</v>
      </c>
    </row>
    <row r="58" spans="1:17" customFormat="1">
      <c r="A58" s="6" t="s">
        <v>1344</v>
      </c>
      <c r="B58" s="189">
        <v>15.98</v>
      </c>
      <c r="C58" s="189">
        <v>36.090000000000003</v>
      </c>
      <c r="D58" s="189">
        <v>33.020000000000003</v>
      </c>
      <c r="E58" s="189">
        <v>9.8800000000000008</v>
      </c>
      <c r="F58" s="189">
        <v>3.05</v>
      </c>
      <c r="G58" s="189">
        <v>71.540000000000006</v>
      </c>
      <c r="H58" s="189">
        <v>27.43</v>
      </c>
      <c r="I58" s="189">
        <v>6.65</v>
      </c>
      <c r="J58" s="189">
        <v>0.66</v>
      </c>
      <c r="K58" s="189">
        <v>42.38</v>
      </c>
      <c r="L58" s="189">
        <v>23.47</v>
      </c>
      <c r="M58" s="189">
        <v>30.49</v>
      </c>
      <c r="N58" s="189">
        <v>548.1</v>
      </c>
      <c r="O58" s="189">
        <v>0</v>
      </c>
      <c r="P58" s="189">
        <v>0.66</v>
      </c>
      <c r="Q58" s="189">
        <v>5.22</v>
      </c>
    </row>
    <row r="59" spans="1:17" customFormat="1">
      <c r="A59" s="6" t="s">
        <v>1345</v>
      </c>
      <c r="B59" s="189">
        <v>14.17</v>
      </c>
      <c r="C59" s="189">
        <v>36.36</v>
      </c>
      <c r="D59" s="189">
        <v>31.71</v>
      </c>
      <c r="E59" s="189">
        <v>14.61</v>
      </c>
      <c r="F59" s="189">
        <v>3.89</v>
      </c>
      <c r="G59" s="189">
        <v>71.540000000000006</v>
      </c>
      <c r="H59" s="189">
        <v>27.43</v>
      </c>
      <c r="I59" s="189">
        <v>6.52</v>
      </c>
      <c r="J59" s="189">
        <v>0.38</v>
      </c>
      <c r="K59" s="189">
        <v>62.99</v>
      </c>
      <c r="L59" s="189">
        <v>23.86</v>
      </c>
      <c r="M59" s="189">
        <v>28.41</v>
      </c>
      <c r="N59" s="189">
        <v>541.6</v>
      </c>
      <c r="O59" s="189">
        <v>0</v>
      </c>
      <c r="P59" s="189">
        <v>0.65</v>
      </c>
      <c r="Q59" s="189">
        <v>5.2</v>
      </c>
    </row>
    <row r="60" spans="1:17" customFormat="1">
      <c r="A60" s="6" t="s">
        <v>1346</v>
      </c>
      <c r="B60" s="189">
        <v>13.49</v>
      </c>
      <c r="C60" s="189">
        <v>36.22</v>
      </c>
      <c r="D60" s="189">
        <v>31.1</v>
      </c>
      <c r="E60" s="189">
        <v>16.39</v>
      </c>
      <c r="F60" s="189">
        <v>4.63</v>
      </c>
      <c r="G60" s="189">
        <v>69.400000000000006</v>
      </c>
      <c r="H60" s="189">
        <v>28.55</v>
      </c>
      <c r="I60" s="189">
        <v>6.36</v>
      </c>
      <c r="J60" s="189">
        <v>0.38</v>
      </c>
      <c r="K60" s="189">
        <v>40.17</v>
      </c>
      <c r="L60" s="189">
        <v>23.94</v>
      </c>
      <c r="M60" s="189">
        <v>28.8</v>
      </c>
      <c r="N60" s="189">
        <v>509.4</v>
      </c>
      <c r="O60" s="189">
        <v>0</v>
      </c>
      <c r="P60" s="189">
        <v>0.64</v>
      </c>
      <c r="Q60" s="189">
        <v>5.15</v>
      </c>
    </row>
    <row r="61" spans="1:17" customFormat="1">
      <c r="A61" s="6" t="s">
        <v>1347</v>
      </c>
      <c r="B61" s="151" t="s">
        <v>12</v>
      </c>
      <c r="C61" s="151" t="s">
        <v>12</v>
      </c>
      <c r="D61" s="151" t="s">
        <v>12</v>
      </c>
      <c r="E61" s="189">
        <v>13.98</v>
      </c>
      <c r="F61" s="151" t="s">
        <v>12</v>
      </c>
      <c r="G61" s="151" t="s">
        <v>12</v>
      </c>
      <c r="H61" s="151" t="s">
        <v>12</v>
      </c>
      <c r="I61" s="189">
        <v>6.02</v>
      </c>
      <c r="J61" s="189">
        <v>0.59</v>
      </c>
      <c r="K61" s="189">
        <v>39.36</v>
      </c>
      <c r="L61" s="189">
        <v>24.13</v>
      </c>
      <c r="M61" s="189">
        <v>29.22</v>
      </c>
      <c r="N61" s="189">
        <v>472.3</v>
      </c>
      <c r="O61" s="189">
        <v>0</v>
      </c>
      <c r="P61" s="151" t="s">
        <v>12</v>
      </c>
      <c r="Q61" s="189">
        <v>5.08</v>
      </c>
    </row>
    <row r="62" spans="1:17" customFormat="1">
      <c r="A62" s="6" t="s">
        <v>1348</v>
      </c>
      <c r="B62" s="151" t="s">
        <v>12</v>
      </c>
      <c r="C62" s="151" t="s">
        <v>12</v>
      </c>
      <c r="D62" s="151" t="s">
        <v>12</v>
      </c>
      <c r="E62" s="189">
        <v>14</v>
      </c>
      <c r="F62" s="189">
        <v>4.9000000000000004</v>
      </c>
      <c r="G62" s="151" t="s">
        <v>12</v>
      </c>
      <c r="H62" s="151" t="s">
        <v>12</v>
      </c>
      <c r="I62" s="189">
        <v>6.57</v>
      </c>
      <c r="J62" s="189">
        <v>0.55000000000000004</v>
      </c>
      <c r="K62" s="189">
        <v>39.19</v>
      </c>
      <c r="L62" s="189">
        <v>24.29</v>
      </c>
      <c r="M62" s="189">
        <v>29.46</v>
      </c>
      <c r="N62" s="189">
        <v>473.4</v>
      </c>
      <c r="O62" s="189">
        <v>0</v>
      </c>
      <c r="P62" s="189">
        <v>0.1</v>
      </c>
      <c r="Q62" s="189">
        <v>5.05</v>
      </c>
    </row>
    <row r="63" spans="1:17" customFormat="1">
      <c r="A63" s="6" t="s">
        <v>1349</v>
      </c>
      <c r="B63" s="151" t="s">
        <v>12</v>
      </c>
      <c r="C63" s="151" t="s">
        <v>12</v>
      </c>
      <c r="D63" s="151" t="s">
        <v>12</v>
      </c>
      <c r="E63" s="189">
        <v>12.96</v>
      </c>
      <c r="F63" s="189">
        <v>7.25</v>
      </c>
      <c r="G63" s="151" t="s">
        <v>12</v>
      </c>
      <c r="H63" s="151" t="s">
        <v>12</v>
      </c>
      <c r="I63" s="189">
        <v>9.59</v>
      </c>
      <c r="J63" s="189">
        <v>0.43</v>
      </c>
      <c r="K63" s="189">
        <v>47.15</v>
      </c>
      <c r="L63" s="189">
        <v>24.36</v>
      </c>
      <c r="M63" s="189">
        <v>29.07</v>
      </c>
      <c r="N63" s="189">
        <v>448.7</v>
      </c>
      <c r="O63" s="189">
        <v>0</v>
      </c>
      <c r="P63" s="189">
        <v>0.46</v>
      </c>
      <c r="Q63" s="189">
        <v>5.0199999999999996</v>
      </c>
    </row>
    <row r="64" spans="1:17" customFormat="1">
      <c r="A64" s="6" t="s">
        <v>1350</v>
      </c>
      <c r="B64" s="189">
        <v>4.46</v>
      </c>
      <c r="C64" s="189">
        <v>35.93</v>
      </c>
      <c r="D64" s="189">
        <v>23.7</v>
      </c>
      <c r="E64" s="189">
        <v>11.51</v>
      </c>
      <c r="F64" s="189">
        <v>6.49</v>
      </c>
      <c r="G64" s="151" t="s">
        <v>12</v>
      </c>
      <c r="H64" s="151" t="s">
        <v>12</v>
      </c>
      <c r="I64" s="189">
        <v>16.71</v>
      </c>
      <c r="J64" s="189">
        <v>0.22</v>
      </c>
      <c r="K64" s="189">
        <v>0.44</v>
      </c>
      <c r="L64" s="189">
        <v>24.36</v>
      </c>
      <c r="M64" s="189">
        <v>27.75</v>
      </c>
      <c r="N64" s="189">
        <v>422.4</v>
      </c>
      <c r="O64" s="189">
        <v>0</v>
      </c>
      <c r="P64" s="189">
        <v>0.48</v>
      </c>
      <c r="Q64" s="189">
        <v>4.99</v>
      </c>
    </row>
    <row r="65" spans="1:17" customFormat="1">
      <c r="A65" s="6" t="s">
        <v>1351</v>
      </c>
      <c r="B65" s="189">
        <v>4.59</v>
      </c>
      <c r="C65" s="189">
        <v>39.6</v>
      </c>
      <c r="D65" s="189">
        <v>25.72</v>
      </c>
      <c r="E65" s="189">
        <v>13.99</v>
      </c>
      <c r="F65" s="189">
        <v>6.26</v>
      </c>
      <c r="G65" s="151" t="s">
        <v>12</v>
      </c>
      <c r="H65" s="151" t="s">
        <v>12</v>
      </c>
      <c r="I65" s="189">
        <v>28.7</v>
      </c>
      <c r="J65" s="189">
        <v>0.52</v>
      </c>
      <c r="K65" s="189">
        <v>99.43</v>
      </c>
      <c r="L65" s="189">
        <v>23.99</v>
      </c>
      <c r="M65" s="189">
        <v>26.76</v>
      </c>
      <c r="N65" s="189">
        <v>128.5</v>
      </c>
      <c r="O65" s="189">
        <v>0</v>
      </c>
      <c r="P65" s="189">
        <v>0.45</v>
      </c>
      <c r="Q65" s="189">
        <v>4.9800000000000004</v>
      </c>
    </row>
    <row r="66" spans="1:17" customFormat="1">
      <c r="A66" s="6" t="s">
        <v>1352</v>
      </c>
      <c r="B66" s="189">
        <v>4.05</v>
      </c>
      <c r="C66" s="189">
        <v>39.799999999999997</v>
      </c>
      <c r="D66" s="189">
        <v>25.39</v>
      </c>
      <c r="E66" s="189">
        <v>12.94</v>
      </c>
      <c r="F66" s="189">
        <v>5.6</v>
      </c>
      <c r="G66" s="151" t="s">
        <v>12</v>
      </c>
      <c r="H66" s="151" t="s">
        <v>12</v>
      </c>
      <c r="I66" s="189">
        <v>49.41</v>
      </c>
      <c r="J66" s="189">
        <v>0.54</v>
      </c>
      <c r="K66" s="189">
        <v>35.979999999999997</v>
      </c>
      <c r="L66" s="189">
        <v>23.92</v>
      </c>
      <c r="M66" s="189">
        <v>27.68</v>
      </c>
      <c r="N66" s="189">
        <v>135.30000000000001</v>
      </c>
      <c r="O66" s="189">
        <v>0</v>
      </c>
      <c r="P66" s="189">
        <v>0.48</v>
      </c>
      <c r="Q66" s="189">
        <v>4.9800000000000004</v>
      </c>
    </row>
    <row r="67" spans="1:17" customFormat="1">
      <c r="A67" s="6" t="s">
        <v>1353</v>
      </c>
      <c r="B67" s="189">
        <v>3.54</v>
      </c>
      <c r="C67" s="189">
        <v>41.75</v>
      </c>
      <c r="D67" s="189">
        <v>26</v>
      </c>
      <c r="E67" s="189">
        <v>22.17</v>
      </c>
      <c r="F67" s="189">
        <v>10.039999999999999</v>
      </c>
      <c r="G67" s="189">
        <v>39.93</v>
      </c>
      <c r="H67" s="189">
        <v>20.260000000000002</v>
      </c>
      <c r="I67" s="189">
        <v>67.959999999999994</v>
      </c>
      <c r="J67" s="189">
        <v>0.56000000000000005</v>
      </c>
      <c r="K67" s="189">
        <v>17.46</v>
      </c>
      <c r="L67" s="189">
        <v>23.88</v>
      </c>
      <c r="M67" s="189">
        <v>27.89</v>
      </c>
      <c r="N67" s="189">
        <v>98.6</v>
      </c>
      <c r="O67" s="189">
        <v>0</v>
      </c>
      <c r="P67" s="189">
        <v>0.49</v>
      </c>
      <c r="Q67" s="189">
        <v>4.9800000000000004</v>
      </c>
    </row>
    <row r="68" spans="1:17" customFormat="1">
      <c r="A68" s="6" t="s">
        <v>1354</v>
      </c>
      <c r="B68" s="189">
        <v>2.89</v>
      </c>
      <c r="C68" s="189">
        <v>42.85</v>
      </c>
      <c r="D68" s="189">
        <v>26.06</v>
      </c>
      <c r="E68" s="189">
        <v>8.69</v>
      </c>
      <c r="F68" s="189">
        <v>6.07</v>
      </c>
      <c r="G68" s="189">
        <v>45.49</v>
      </c>
      <c r="H68" s="189">
        <v>20.260000000000002</v>
      </c>
      <c r="I68" s="189">
        <v>67.77</v>
      </c>
      <c r="J68" s="189">
        <v>0.41</v>
      </c>
      <c r="K68" s="189">
        <v>28.84</v>
      </c>
      <c r="L68" s="189">
        <v>23.67</v>
      </c>
      <c r="M68" s="189">
        <v>27.03</v>
      </c>
      <c r="N68" s="189">
        <v>71.099999999999994</v>
      </c>
      <c r="O68" s="189">
        <v>0</v>
      </c>
      <c r="P68" s="189">
        <v>0.48</v>
      </c>
      <c r="Q68" s="189">
        <v>4.99</v>
      </c>
    </row>
    <row r="69" spans="1:17" customFormat="1">
      <c r="A69" s="6" t="s">
        <v>1355</v>
      </c>
      <c r="B69" s="189">
        <v>3.08</v>
      </c>
      <c r="C69" s="189">
        <v>41.24</v>
      </c>
      <c r="D69" s="189">
        <v>25.37</v>
      </c>
      <c r="E69" s="189">
        <v>6.16</v>
      </c>
      <c r="F69" s="189">
        <v>3.93</v>
      </c>
      <c r="G69" s="189">
        <v>45.49</v>
      </c>
      <c r="H69" s="189">
        <v>20.260000000000002</v>
      </c>
      <c r="I69" s="189">
        <v>56.38</v>
      </c>
      <c r="J69" s="189">
        <v>0.39</v>
      </c>
      <c r="K69" s="189">
        <v>39.619999999999997</v>
      </c>
      <c r="L69" s="189">
        <v>23.63</v>
      </c>
      <c r="M69" s="189">
        <v>26.84</v>
      </c>
      <c r="N69" s="189">
        <v>63.1</v>
      </c>
      <c r="O69" s="189">
        <v>0</v>
      </c>
      <c r="P69" s="189">
        <v>0.48</v>
      </c>
      <c r="Q69" s="189">
        <v>5.01</v>
      </c>
    </row>
    <row r="70" spans="1:17" customFormat="1">
      <c r="A70" s="6" t="s">
        <v>1356</v>
      </c>
      <c r="B70" s="189">
        <v>3.53</v>
      </c>
      <c r="C70" s="189">
        <v>39.53</v>
      </c>
      <c r="D70" s="189">
        <v>24.84</v>
      </c>
      <c r="E70" s="189">
        <v>6.07</v>
      </c>
      <c r="F70" s="189">
        <v>3.24</v>
      </c>
      <c r="G70" s="189">
        <v>45.49</v>
      </c>
      <c r="H70" s="189">
        <v>20.260000000000002</v>
      </c>
      <c r="I70" s="189">
        <v>50.74</v>
      </c>
      <c r="J70" s="189">
        <v>0.54</v>
      </c>
      <c r="K70" s="189">
        <v>41.75</v>
      </c>
      <c r="L70" s="189">
        <v>23.53</v>
      </c>
      <c r="M70" s="189">
        <v>27.42</v>
      </c>
      <c r="N70" s="189">
        <v>55.5</v>
      </c>
      <c r="O70" s="189">
        <v>0</v>
      </c>
      <c r="P70" s="189">
        <v>0.48</v>
      </c>
      <c r="Q70" s="189">
        <v>5.01</v>
      </c>
    </row>
    <row r="71" spans="1:17" customFormat="1">
      <c r="A71" s="6" t="s">
        <v>1357</v>
      </c>
      <c r="B71" s="189">
        <v>4.04</v>
      </c>
      <c r="C71" s="189">
        <v>37.97</v>
      </c>
      <c r="D71" s="189">
        <v>24.43</v>
      </c>
      <c r="E71" s="189">
        <v>6.05</v>
      </c>
      <c r="F71" s="189">
        <v>3</v>
      </c>
      <c r="G71" s="189">
        <v>57.09</v>
      </c>
      <c r="H71" s="189">
        <v>28.77</v>
      </c>
      <c r="I71" s="189">
        <v>49.27</v>
      </c>
      <c r="J71" s="189">
        <v>0.44</v>
      </c>
      <c r="K71" s="189">
        <v>50</v>
      </c>
      <c r="L71" s="189">
        <v>23.35</v>
      </c>
      <c r="M71" s="189">
        <v>27.24</v>
      </c>
      <c r="N71" s="189">
        <v>46.6</v>
      </c>
      <c r="O71" s="189">
        <v>0</v>
      </c>
      <c r="P71" s="189">
        <v>0.49</v>
      </c>
      <c r="Q71" s="189">
        <v>4.9800000000000004</v>
      </c>
    </row>
    <row r="72" spans="1:17" customFormat="1">
      <c r="A72" s="6" t="s">
        <v>1358</v>
      </c>
      <c r="B72" s="189">
        <v>4.37</v>
      </c>
      <c r="C72" s="189">
        <v>37.18</v>
      </c>
      <c r="D72" s="189">
        <v>24.28</v>
      </c>
      <c r="E72" s="189">
        <v>6.31</v>
      </c>
      <c r="F72" s="189">
        <v>3.04</v>
      </c>
      <c r="G72" s="189">
        <v>58.87</v>
      </c>
      <c r="H72" s="189">
        <v>28.77</v>
      </c>
      <c r="I72" s="189">
        <v>47.83</v>
      </c>
      <c r="J72" s="189">
        <v>0.28000000000000003</v>
      </c>
      <c r="K72" s="189">
        <v>86.41</v>
      </c>
      <c r="L72" s="189">
        <v>23.13</v>
      </c>
      <c r="M72" s="189">
        <v>28.98</v>
      </c>
      <c r="N72" s="189">
        <v>38.4</v>
      </c>
      <c r="O72" s="189">
        <v>0</v>
      </c>
      <c r="P72" s="189">
        <v>0.49</v>
      </c>
      <c r="Q72" s="189">
        <v>4.99</v>
      </c>
    </row>
    <row r="73" spans="1:17" customFormat="1">
      <c r="A73" s="6" t="s">
        <v>1359</v>
      </c>
      <c r="B73" s="189">
        <v>4.62</v>
      </c>
      <c r="C73" s="189">
        <v>36.11</v>
      </c>
      <c r="D73" s="189">
        <v>23.92</v>
      </c>
      <c r="E73" s="189">
        <v>5.68</v>
      </c>
      <c r="F73" s="189">
        <v>3.19</v>
      </c>
      <c r="G73" s="189">
        <v>58.87</v>
      </c>
      <c r="H73" s="189">
        <v>28.77</v>
      </c>
      <c r="I73" s="189">
        <v>46.46</v>
      </c>
      <c r="J73" s="189">
        <v>0.22</v>
      </c>
      <c r="K73" s="189">
        <v>84.71</v>
      </c>
      <c r="L73" s="189">
        <v>22.72</v>
      </c>
      <c r="M73" s="189">
        <v>31.24</v>
      </c>
      <c r="N73" s="189">
        <v>30.8</v>
      </c>
      <c r="O73" s="189">
        <v>0</v>
      </c>
      <c r="P73" s="189">
        <v>0.49</v>
      </c>
      <c r="Q73" s="189">
        <v>4.9800000000000004</v>
      </c>
    </row>
    <row r="74" spans="1:17" customFormat="1">
      <c r="A74" s="6" t="s">
        <v>1360</v>
      </c>
      <c r="B74" s="189">
        <v>4.8099999999999996</v>
      </c>
      <c r="C74" s="189">
        <v>35.35</v>
      </c>
      <c r="D74" s="189">
        <v>23.68</v>
      </c>
      <c r="E74" s="189">
        <v>6.06</v>
      </c>
      <c r="F74" s="189">
        <v>3.16</v>
      </c>
      <c r="G74" s="189">
        <v>58.87</v>
      </c>
      <c r="H74" s="189">
        <v>28.77</v>
      </c>
      <c r="I74" s="189">
        <v>45.09</v>
      </c>
      <c r="J74" s="189">
        <v>0.33</v>
      </c>
      <c r="K74" s="189">
        <v>45.1</v>
      </c>
      <c r="L74" s="189">
        <v>22.56</v>
      </c>
      <c r="M74" s="189">
        <v>31.38</v>
      </c>
      <c r="N74" s="189">
        <v>22.9</v>
      </c>
      <c r="O74" s="189">
        <v>0</v>
      </c>
      <c r="P74" s="189">
        <v>0.5</v>
      </c>
      <c r="Q74" s="189">
        <v>4.9800000000000004</v>
      </c>
    </row>
    <row r="75" spans="1:17" customFormat="1">
      <c r="A75" s="6" t="s">
        <v>1361</v>
      </c>
      <c r="B75" s="189">
        <v>5.12</v>
      </c>
      <c r="C75" s="189">
        <v>35.25</v>
      </c>
      <c r="D75" s="189">
        <v>23.87</v>
      </c>
      <c r="E75" s="189">
        <v>5.97</v>
      </c>
      <c r="F75" s="189">
        <v>3.02</v>
      </c>
      <c r="G75" s="189">
        <v>64.64</v>
      </c>
      <c r="H75" s="189">
        <v>30.19</v>
      </c>
      <c r="I75" s="189">
        <v>43.67</v>
      </c>
      <c r="J75" s="189">
        <v>0.18</v>
      </c>
      <c r="K75" s="189">
        <v>60.64</v>
      </c>
      <c r="L75" s="189">
        <v>22.23</v>
      </c>
      <c r="M75" s="189">
        <v>34.22</v>
      </c>
      <c r="N75" s="189">
        <v>13.4</v>
      </c>
      <c r="O75" s="189">
        <v>0</v>
      </c>
      <c r="P75" s="189">
        <v>0.51</v>
      </c>
      <c r="Q75" s="189">
        <v>5</v>
      </c>
    </row>
    <row r="76" spans="1:17" customFormat="1">
      <c r="A76" s="6" t="s">
        <v>1362</v>
      </c>
      <c r="B76" s="189">
        <v>5.44</v>
      </c>
      <c r="C76" s="189">
        <v>35.1</v>
      </c>
      <c r="D76" s="189">
        <v>24.05</v>
      </c>
      <c r="E76" s="189">
        <v>6.39</v>
      </c>
      <c r="F76" s="189">
        <v>2.96</v>
      </c>
      <c r="G76" s="189">
        <v>65.44</v>
      </c>
      <c r="H76" s="189">
        <v>30.19</v>
      </c>
      <c r="I76" s="189">
        <v>42.3</v>
      </c>
      <c r="J76" s="189">
        <v>0.15</v>
      </c>
      <c r="K76" s="189">
        <v>82.96</v>
      </c>
      <c r="L76" s="189">
        <v>21.34</v>
      </c>
      <c r="M76" s="189">
        <v>38.590000000000003</v>
      </c>
      <c r="N76" s="189">
        <v>4.3</v>
      </c>
      <c r="O76" s="189">
        <v>0</v>
      </c>
      <c r="P76" s="189">
        <v>0.52</v>
      </c>
      <c r="Q76" s="189">
        <v>4.99</v>
      </c>
    </row>
    <row r="77" spans="1:17" customFormat="1">
      <c r="A77" s="6" t="s">
        <v>1363</v>
      </c>
      <c r="B77" s="189">
        <v>5.77</v>
      </c>
      <c r="C77" s="189">
        <v>34.29</v>
      </c>
      <c r="D77" s="189">
        <v>23.89</v>
      </c>
      <c r="E77" s="189">
        <v>5.6</v>
      </c>
      <c r="F77" s="189">
        <v>3.03</v>
      </c>
      <c r="G77" s="189">
        <v>65.44</v>
      </c>
      <c r="H77" s="189">
        <v>30.19</v>
      </c>
      <c r="I77" s="189">
        <v>41.11</v>
      </c>
      <c r="J77" s="189">
        <v>0.13</v>
      </c>
      <c r="K77" s="189">
        <v>84.69</v>
      </c>
      <c r="L77" s="189">
        <v>20.75</v>
      </c>
      <c r="M77" s="189">
        <v>40.799999999999997</v>
      </c>
      <c r="N77" s="189">
        <v>0</v>
      </c>
      <c r="O77" s="189">
        <v>0</v>
      </c>
      <c r="P77" s="189">
        <v>0.52</v>
      </c>
      <c r="Q77" s="189">
        <v>5</v>
      </c>
    </row>
    <row r="78" spans="1:17" customFormat="1">
      <c r="A78" s="6" t="s">
        <v>1364</v>
      </c>
      <c r="B78" s="189">
        <v>6.29</v>
      </c>
      <c r="C78" s="189">
        <v>33.83</v>
      </c>
      <c r="D78" s="189">
        <v>24.07</v>
      </c>
      <c r="E78" s="189">
        <v>5.66</v>
      </c>
      <c r="F78" s="189">
        <v>2.9</v>
      </c>
      <c r="G78" s="189">
        <v>65.44</v>
      </c>
      <c r="H78" s="189">
        <v>30.19</v>
      </c>
      <c r="I78" s="189">
        <v>39.93</v>
      </c>
      <c r="J78" s="189">
        <v>7.0000000000000007E-2</v>
      </c>
      <c r="K78" s="189">
        <v>86.6</v>
      </c>
      <c r="L78" s="189">
        <v>19.86</v>
      </c>
      <c r="M78" s="189">
        <v>44.29</v>
      </c>
      <c r="N78" s="189">
        <v>0</v>
      </c>
      <c r="O78" s="189">
        <v>0</v>
      </c>
      <c r="P78" s="189">
        <v>0.53</v>
      </c>
      <c r="Q78" s="189">
        <v>5.0199999999999996</v>
      </c>
    </row>
    <row r="79" spans="1:17" customFormat="1">
      <c r="A79" s="6" t="s">
        <v>1365</v>
      </c>
      <c r="B79" s="189">
        <v>7.24</v>
      </c>
      <c r="C79" s="189">
        <v>35.880000000000003</v>
      </c>
      <c r="D79" s="189">
        <v>25.9</v>
      </c>
      <c r="E79" s="189">
        <v>5.63</v>
      </c>
      <c r="F79" s="189">
        <v>2.64</v>
      </c>
      <c r="G79" s="189">
        <v>91</v>
      </c>
      <c r="H79" s="189">
        <v>37.9</v>
      </c>
      <c r="I79" s="189">
        <v>38.92</v>
      </c>
      <c r="J79" s="189">
        <v>0.23</v>
      </c>
      <c r="K79" s="189">
        <v>165.97</v>
      </c>
      <c r="L79" s="189">
        <v>19.22</v>
      </c>
      <c r="M79" s="189">
        <v>47.77</v>
      </c>
      <c r="N79" s="189">
        <v>0</v>
      </c>
      <c r="O79" s="189">
        <v>0</v>
      </c>
      <c r="P79" s="189">
        <v>0.55000000000000004</v>
      </c>
      <c r="Q79" s="189">
        <v>5.03</v>
      </c>
    </row>
    <row r="80" spans="1:17" customFormat="1">
      <c r="A80" s="6" t="s">
        <v>1366</v>
      </c>
      <c r="B80" s="189">
        <v>8.16</v>
      </c>
      <c r="C80" s="189">
        <v>37.29</v>
      </c>
      <c r="D80" s="189">
        <v>27.37</v>
      </c>
      <c r="E80" s="189">
        <v>5.66</v>
      </c>
      <c r="F80" s="189">
        <v>2.64</v>
      </c>
      <c r="G80" s="189">
        <v>94.55</v>
      </c>
      <c r="H80" s="189">
        <v>37.9</v>
      </c>
      <c r="I80" s="189">
        <v>37.94</v>
      </c>
      <c r="J80" s="189">
        <v>0.18</v>
      </c>
      <c r="K80" s="189">
        <v>155.74</v>
      </c>
      <c r="L80" s="189">
        <v>18.489999999999998</v>
      </c>
      <c r="M80" s="189">
        <v>51.64</v>
      </c>
      <c r="N80" s="189">
        <v>0</v>
      </c>
      <c r="O80" s="189">
        <v>0</v>
      </c>
      <c r="P80" s="189">
        <v>0.57999999999999996</v>
      </c>
      <c r="Q80" s="189">
        <v>5.07</v>
      </c>
    </row>
    <row r="81" spans="1:17" customFormat="1">
      <c r="A81" s="6" t="s">
        <v>1367</v>
      </c>
      <c r="B81" s="189">
        <v>9.36</v>
      </c>
      <c r="C81" s="189">
        <v>39</v>
      </c>
      <c r="D81" s="189">
        <v>29.24</v>
      </c>
      <c r="E81" s="189">
        <v>5.95</v>
      </c>
      <c r="F81" s="189">
        <v>2.69</v>
      </c>
      <c r="G81" s="189">
        <v>94.55</v>
      </c>
      <c r="H81" s="189">
        <v>37.9</v>
      </c>
      <c r="I81" s="189">
        <v>36.869999999999997</v>
      </c>
      <c r="J81" s="189">
        <v>0.22</v>
      </c>
      <c r="K81" s="189">
        <v>174.76</v>
      </c>
      <c r="L81" s="189">
        <v>18.07</v>
      </c>
      <c r="M81" s="189">
        <v>53.41</v>
      </c>
      <c r="N81" s="189">
        <v>0</v>
      </c>
      <c r="O81" s="189">
        <v>0</v>
      </c>
      <c r="P81" s="189">
        <v>0.62</v>
      </c>
      <c r="Q81" s="189">
        <v>5.12</v>
      </c>
    </row>
    <row r="82" spans="1:17" customFormat="1">
      <c r="A82" s="6" t="s">
        <v>1368</v>
      </c>
      <c r="B82" s="189">
        <v>10.27</v>
      </c>
      <c r="C82" s="189">
        <v>40</v>
      </c>
      <c r="D82" s="189">
        <v>30.48</v>
      </c>
      <c r="E82" s="189">
        <v>6.97</v>
      </c>
      <c r="F82" s="189">
        <v>2.68</v>
      </c>
      <c r="G82" s="189">
        <v>94.55</v>
      </c>
      <c r="H82" s="189">
        <v>37.9</v>
      </c>
      <c r="I82" s="189">
        <v>35.75</v>
      </c>
      <c r="J82" s="189">
        <v>0.22</v>
      </c>
      <c r="K82" s="189">
        <v>170.96</v>
      </c>
      <c r="L82" s="189">
        <v>17.68</v>
      </c>
      <c r="M82" s="189">
        <v>57.38</v>
      </c>
      <c r="N82" s="189">
        <v>0</v>
      </c>
      <c r="O82" s="189">
        <v>0</v>
      </c>
      <c r="P82" s="189">
        <v>0.68</v>
      </c>
      <c r="Q82" s="189">
        <v>5.15</v>
      </c>
    </row>
    <row r="83" spans="1:17" customFormat="1">
      <c r="A83" s="6" t="s">
        <v>1369</v>
      </c>
      <c r="B83" s="189">
        <v>10.69</v>
      </c>
      <c r="C83" s="189">
        <v>40.69</v>
      </c>
      <c r="D83" s="189">
        <v>31.19</v>
      </c>
      <c r="E83" s="189">
        <v>7.43</v>
      </c>
      <c r="F83" s="189">
        <v>2.66</v>
      </c>
      <c r="G83" s="189">
        <v>111.05</v>
      </c>
      <c r="H83" s="189">
        <v>47.78</v>
      </c>
      <c r="I83" s="189">
        <v>34.54</v>
      </c>
      <c r="J83" s="189">
        <v>0.2</v>
      </c>
      <c r="K83" s="189">
        <v>160.6</v>
      </c>
      <c r="L83" s="189">
        <v>17.2</v>
      </c>
      <c r="M83" s="189">
        <v>66.03</v>
      </c>
      <c r="N83" s="189">
        <v>0</v>
      </c>
      <c r="O83" s="189">
        <v>0</v>
      </c>
      <c r="P83" s="189">
        <v>0.72</v>
      </c>
      <c r="Q83" s="189">
        <v>5.14</v>
      </c>
    </row>
    <row r="84" spans="1:17" customFormat="1">
      <c r="A84" s="6" t="s">
        <v>1370</v>
      </c>
      <c r="B84" s="189">
        <v>10.61</v>
      </c>
      <c r="C84" s="189">
        <v>40.840000000000003</v>
      </c>
      <c r="D84" s="189">
        <v>31.2</v>
      </c>
      <c r="E84" s="189">
        <v>6.79</v>
      </c>
      <c r="F84" s="189">
        <v>2.81</v>
      </c>
      <c r="G84" s="189">
        <v>113.59</v>
      </c>
      <c r="H84" s="189">
        <v>47.78</v>
      </c>
      <c r="I84" s="189">
        <v>33.4</v>
      </c>
      <c r="J84" s="189">
        <v>0.22</v>
      </c>
      <c r="K84" s="189">
        <v>163.47</v>
      </c>
      <c r="L84" s="189">
        <v>16.7</v>
      </c>
      <c r="M84" s="189">
        <v>72.62</v>
      </c>
      <c r="N84" s="189">
        <v>0</v>
      </c>
      <c r="O84" s="189">
        <v>0</v>
      </c>
      <c r="P84" s="189">
        <v>0.76</v>
      </c>
      <c r="Q84" s="189">
        <v>5.14</v>
      </c>
    </row>
    <row r="85" spans="1:17" customFormat="1">
      <c r="A85" s="6" t="s">
        <v>1371</v>
      </c>
      <c r="B85" s="189">
        <v>10.28</v>
      </c>
      <c r="C85" s="189">
        <v>40.53</v>
      </c>
      <c r="D85" s="189">
        <v>30.77</v>
      </c>
      <c r="E85" s="189">
        <v>6.78</v>
      </c>
      <c r="F85" s="189">
        <v>2.81</v>
      </c>
      <c r="G85" s="189">
        <v>113.59</v>
      </c>
      <c r="H85" s="189">
        <v>47.78</v>
      </c>
      <c r="I85" s="189">
        <v>32.31</v>
      </c>
      <c r="J85" s="189">
        <v>0.18</v>
      </c>
      <c r="K85" s="189">
        <v>166.15</v>
      </c>
      <c r="L85" s="189">
        <v>16.309999999999999</v>
      </c>
      <c r="M85" s="189">
        <v>73.8</v>
      </c>
      <c r="N85" s="189">
        <v>0</v>
      </c>
      <c r="O85" s="189">
        <v>0</v>
      </c>
      <c r="P85" s="189">
        <v>0.8</v>
      </c>
      <c r="Q85" s="189">
        <v>5.17</v>
      </c>
    </row>
    <row r="86" spans="1:17" customFormat="1">
      <c r="A86" s="6" t="s">
        <v>1372</v>
      </c>
      <c r="B86" s="189">
        <v>10</v>
      </c>
      <c r="C86" s="189">
        <v>39.950000000000003</v>
      </c>
      <c r="D86" s="189">
        <v>30.24</v>
      </c>
      <c r="E86" s="189">
        <v>6.47</v>
      </c>
      <c r="F86" s="189">
        <v>2.78</v>
      </c>
      <c r="G86" s="189">
        <v>113.59</v>
      </c>
      <c r="H86" s="189">
        <v>47.78</v>
      </c>
      <c r="I86" s="189">
        <v>31.26</v>
      </c>
      <c r="J86" s="189">
        <v>0.17</v>
      </c>
      <c r="K86" s="189">
        <v>159.66999999999999</v>
      </c>
      <c r="L86" s="189">
        <v>15.87</v>
      </c>
      <c r="M86" s="189">
        <v>75.77</v>
      </c>
      <c r="N86" s="189">
        <v>0</v>
      </c>
      <c r="O86" s="189">
        <v>0</v>
      </c>
      <c r="P86" s="189">
        <v>0.83</v>
      </c>
      <c r="Q86" s="189">
        <v>5.15</v>
      </c>
    </row>
    <row r="87" spans="1:17" customFormat="1">
      <c r="A87" s="6" t="s">
        <v>1373</v>
      </c>
      <c r="B87" s="189">
        <v>9.66</v>
      </c>
      <c r="C87" s="189">
        <v>39.64</v>
      </c>
      <c r="D87" s="189">
        <v>29.81</v>
      </c>
      <c r="E87" s="189">
        <v>6.57</v>
      </c>
      <c r="F87" s="189">
        <v>2.81</v>
      </c>
      <c r="G87" s="189">
        <v>118.13</v>
      </c>
      <c r="H87" s="189">
        <v>54.11</v>
      </c>
      <c r="I87" s="189">
        <v>30.26</v>
      </c>
      <c r="J87" s="189">
        <v>0.11</v>
      </c>
      <c r="K87" s="189">
        <v>216.87</v>
      </c>
      <c r="L87" s="189">
        <v>15.58</v>
      </c>
      <c r="M87" s="189">
        <v>73.37</v>
      </c>
      <c r="N87" s="189">
        <v>0</v>
      </c>
      <c r="O87" s="189">
        <v>0</v>
      </c>
      <c r="P87" s="189">
        <v>0.87</v>
      </c>
      <c r="Q87" s="189">
        <v>5.14</v>
      </c>
    </row>
    <row r="88" spans="1:17" customFormat="1">
      <c r="A88" s="6" t="s">
        <v>1374</v>
      </c>
      <c r="B88" s="189">
        <v>9.9600000000000009</v>
      </c>
      <c r="C88" s="189">
        <v>39.4</v>
      </c>
      <c r="D88" s="189">
        <v>29.92</v>
      </c>
      <c r="E88" s="189">
        <v>6.65</v>
      </c>
      <c r="F88" s="189">
        <v>2.79</v>
      </c>
      <c r="G88" s="189">
        <v>118.76</v>
      </c>
      <c r="H88" s="189">
        <v>54.11</v>
      </c>
      <c r="I88" s="189">
        <v>29.36</v>
      </c>
      <c r="J88" s="189">
        <v>0.15</v>
      </c>
      <c r="K88" s="189">
        <v>228.74</v>
      </c>
      <c r="L88" s="189">
        <v>15.33</v>
      </c>
      <c r="M88" s="189">
        <v>75.06</v>
      </c>
      <c r="N88" s="189">
        <v>0</v>
      </c>
      <c r="O88" s="189">
        <v>0</v>
      </c>
      <c r="P88" s="189">
        <v>0.9</v>
      </c>
      <c r="Q88" s="189">
        <v>5.14</v>
      </c>
    </row>
    <row r="89" spans="1:17" customFormat="1">
      <c r="A89" s="6" t="s">
        <v>1375</v>
      </c>
      <c r="B89" s="189">
        <v>10.15</v>
      </c>
      <c r="C89" s="189">
        <v>38.909999999999997</v>
      </c>
      <c r="D89" s="189">
        <v>29.82</v>
      </c>
      <c r="E89" s="189">
        <v>6.17</v>
      </c>
      <c r="F89" s="189">
        <v>2.66</v>
      </c>
      <c r="G89" s="189">
        <v>118.76</v>
      </c>
      <c r="H89" s="189">
        <v>54.11</v>
      </c>
      <c r="I89" s="189">
        <v>28.56</v>
      </c>
      <c r="J89" s="189">
        <v>0.15</v>
      </c>
      <c r="K89" s="189">
        <v>181.62</v>
      </c>
      <c r="L89" s="189">
        <v>15.13</v>
      </c>
      <c r="M89" s="189">
        <v>78.92</v>
      </c>
      <c r="N89" s="189">
        <v>0</v>
      </c>
      <c r="O89" s="189">
        <v>0</v>
      </c>
      <c r="P89" s="189">
        <v>0.93</v>
      </c>
      <c r="Q89" s="189">
        <v>5.16</v>
      </c>
    </row>
    <row r="90" spans="1:17" customFormat="1">
      <c r="A90" s="6" t="s">
        <v>1376</v>
      </c>
      <c r="B90" s="189">
        <v>9.75</v>
      </c>
      <c r="C90" s="189">
        <v>38.03</v>
      </c>
      <c r="D90" s="189">
        <v>29.04</v>
      </c>
      <c r="E90" s="189">
        <v>6.53</v>
      </c>
      <c r="F90" s="189">
        <v>2.79</v>
      </c>
      <c r="G90" s="189">
        <v>118.76</v>
      </c>
      <c r="H90" s="189">
        <v>54.11</v>
      </c>
      <c r="I90" s="189">
        <v>26.91</v>
      </c>
      <c r="J90" s="189">
        <v>0.15</v>
      </c>
      <c r="K90" s="189">
        <v>152.80000000000001</v>
      </c>
      <c r="L90" s="189">
        <v>14.99</v>
      </c>
      <c r="M90" s="189">
        <v>76.92</v>
      </c>
      <c r="N90" s="189">
        <v>0</v>
      </c>
      <c r="O90" s="189">
        <v>0</v>
      </c>
      <c r="P90" s="189">
        <v>0.95</v>
      </c>
      <c r="Q90" s="189">
        <v>5.15</v>
      </c>
    </row>
    <row r="91" spans="1:17" customFormat="1">
      <c r="A91" s="6" t="s">
        <v>1377</v>
      </c>
      <c r="B91" s="189">
        <v>9.57</v>
      </c>
      <c r="C91" s="189">
        <v>36.99</v>
      </c>
      <c r="D91" s="189">
        <v>28.35</v>
      </c>
      <c r="E91" s="189">
        <v>7.16</v>
      </c>
      <c r="F91" s="189">
        <v>2.83</v>
      </c>
      <c r="G91" s="189">
        <v>117.92</v>
      </c>
      <c r="H91" s="189">
        <v>53.32</v>
      </c>
      <c r="I91" s="189">
        <v>25.52</v>
      </c>
      <c r="J91" s="189">
        <v>0.13</v>
      </c>
      <c r="K91" s="189">
        <v>174.95</v>
      </c>
      <c r="L91" s="189">
        <v>14.82</v>
      </c>
      <c r="M91" s="189">
        <v>74.989999999999995</v>
      </c>
      <c r="N91" s="189">
        <v>0</v>
      </c>
      <c r="O91" s="189">
        <v>0</v>
      </c>
      <c r="P91" s="189">
        <v>0.97</v>
      </c>
      <c r="Q91" s="189">
        <v>5.12</v>
      </c>
    </row>
    <row r="92" spans="1:17" customFormat="1">
      <c r="A92" s="6" t="s">
        <v>1378</v>
      </c>
      <c r="B92" s="189">
        <v>10.050000000000001</v>
      </c>
      <c r="C92" s="189">
        <v>37.03</v>
      </c>
      <c r="D92" s="189">
        <v>28.76</v>
      </c>
      <c r="E92" s="189">
        <v>6.81</v>
      </c>
      <c r="F92" s="189">
        <v>2.68</v>
      </c>
      <c r="G92" s="189">
        <v>117.8</v>
      </c>
      <c r="H92" s="189">
        <v>53.32</v>
      </c>
      <c r="I92" s="189">
        <v>24.72</v>
      </c>
      <c r="J92" s="189">
        <v>0.16</v>
      </c>
      <c r="K92" s="189">
        <v>173.34</v>
      </c>
      <c r="L92" s="189">
        <v>14.75</v>
      </c>
      <c r="M92" s="189">
        <v>79.63</v>
      </c>
      <c r="N92" s="189">
        <v>0</v>
      </c>
      <c r="O92" s="189">
        <v>0</v>
      </c>
      <c r="P92" s="189">
        <v>1</v>
      </c>
      <c r="Q92" s="189">
        <v>5.1100000000000003</v>
      </c>
    </row>
    <row r="93" spans="1:17" customFormat="1">
      <c r="A93" s="6" t="s">
        <v>1379</v>
      </c>
      <c r="B93" s="189">
        <v>12.55</v>
      </c>
      <c r="C93" s="189">
        <v>37.799999999999997</v>
      </c>
      <c r="D93" s="189">
        <v>31.17</v>
      </c>
      <c r="E93" s="189">
        <v>7.32</v>
      </c>
      <c r="F93" s="189">
        <v>2.75</v>
      </c>
      <c r="G93" s="189">
        <v>117.8</v>
      </c>
      <c r="H93" s="189">
        <v>53.32</v>
      </c>
      <c r="I93" s="189">
        <v>24.01</v>
      </c>
      <c r="J93" s="189">
        <v>0.13</v>
      </c>
      <c r="K93" s="189">
        <v>185.67</v>
      </c>
      <c r="L93" s="189">
        <v>14.64</v>
      </c>
      <c r="M93" s="189">
        <v>81.02</v>
      </c>
      <c r="N93" s="189">
        <v>0</v>
      </c>
      <c r="O93" s="189">
        <v>0</v>
      </c>
      <c r="P93" s="189">
        <v>1.04</v>
      </c>
      <c r="Q93" s="189">
        <v>5.17</v>
      </c>
    </row>
    <row r="94" spans="1:17" customFormat="1">
      <c r="A94" s="6" t="s">
        <v>1380</v>
      </c>
      <c r="B94" s="189">
        <v>15.71</v>
      </c>
      <c r="C94" s="189">
        <v>38.520000000000003</v>
      </c>
      <c r="D94" s="189">
        <v>34.08</v>
      </c>
      <c r="E94" s="189">
        <v>6.69</v>
      </c>
      <c r="F94" s="189">
        <v>2.57</v>
      </c>
      <c r="G94" s="189">
        <v>117.8</v>
      </c>
      <c r="H94" s="189">
        <v>53.32</v>
      </c>
      <c r="I94" s="189">
        <v>23.39</v>
      </c>
      <c r="J94" s="189">
        <v>0.2</v>
      </c>
      <c r="K94" s="189">
        <v>226.85</v>
      </c>
      <c r="L94" s="189">
        <v>14.23</v>
      </c>
      <c r="M94" s="189">
        <v>85.16</v>
      </c>
      <c r="N94" s="189">
        <v>0</v>
      </c>
      <c r="O94" s="189">
        <v>0</v>
      </c>
      <c r="P94" s="189">
        <v>1.07</v>
      </c>
      <c r="Q94" s="189">
        <v>5.24</v>
      </c>
    </row>
    <row r="95" spans="1:17" customFormat="1">
      <c r="A95" s="6" t="s">
        <v>1381</v>
      </c>
      <c r="B95" s="189">
        <v>16.09</v>
      </c>
      <c r="C95" s="189">
        <v>38.32</v>
      </c>
      <c r="D95" s="189">
        <v>34.270000000000003</v>
      </c>
      <c r="E95" s="189">
        <v>6.84</v>
      </c>
      <c r="F95" s="189">
        <v>2.62</v>
      </c>
      <c r="G95" s="189">
        <v>126.41</v>
      </c>
      <c r="H95" s="189">
        <v>60.35</v>
      </c>
      <c r="I95" s="189">
        <v>22.88</v>
      </c>
      <c r="J95" s="189">
        <v>0.14000000000000001</v>
      </c>
      <c r="K95" s="189">
        <v>240.47</v>
      </c>
      <c r="L95" s="189">
        <v>13.83</v>
      </c>
      <c r="M95" s="189">
        <v>81.62</v>
      </c>
      <c r="N95" s="189">
        <v>0</v>
      </c>
      <c r="O95" s="189">
        <v>0</v>
      </c>
      <c r="P95" s="189">
        <v>1.0900000000000001</v>
      </c>
      <c r="Q95" s="189">
        <v>5.25</v>
      </c>
    </row>
    <row r="96" spans="1:17" customFormat="1">
      <c r="A96" s="6" t="s">
        <v>1382</v>
      </c>
      <c r="B96" s="189">
        <v>15.54</v>
      </c>
      <c r="C96" s="189">
        <v>37.81</v>
      </c>
      <c r="D96" s="189">
        <v>33.56</v>
      </c>
      <c r="E96" s="189">
        <v>6.93</v>
      </c>
      <c r="F96" s="189">
        <v>2.61</v>
      </c>
      <c r="G96" s="189">
        <v>127.74</v>
      </c>
      <c r="H96" s="189">
        <v>60.35</v>
      </c>
      <c r="I96" s="189">
        <v>22.3</v>
      </c>
      <c r="J96" s="189">
        <v>0.1</v>
      </c>
      <c r="K96" s="189">
        <v>214.03</v>
      </c>
      <c r="L96" s="189">
        <v>13.72</v>
      </c>
      <c r="M96" s="189">
        <v>81.33</v>
      </c>
      <c r="N96" s="189">
        <v>0</v>
      </c>
      <c r="O96" s="189">
        <v>0</v>
      </c>
      <c r="P96" s="189">
        <v>1.0900000000000001</v>
      </c>
      <c r="Q96" s="189">
        <v>5.25</v>
      </c>
    </row>
    <row r="97" spans="1:22" customFormat="1">
      <c r="A97" s="6" t="s">
        <v>1383</v>
      </c>
      <c r="B97" s="189">
        <v>15.37</v>
      </c>
      <c r="C97" s="189">
        <v>37.46</v>
      </c>
      <c r="D97" s="189">
        <v>33.25</v>
      </c>
      <c r="E97" s="189">
        <v>6.93</v>
      </c>
      <c r="F97" s="189">
        <v>2.65</v>
      </c>
      <c r="G97" s="189">
        <v>127.74</v>
      </c>
      <c r="H97" s="189">
        <v>60.35</v>
      </c>
      <c r="I97" s="189">
        <v>21.64</v>
      </c>
      <c r="J97" s="189">
        <v>0.17</v>
      </c>
      <c r="K97" s="189">
        <v>158.80000000000001</v>
      </c>
      <c r="L97" s="189">
        <v>13.88</v>
      </c>
      <c r="M97" s="189">
        <v>80.8</v>
      </c>
      <c r="N97" s="189">
        <v>0</v>
      </c>
      <c r="O97" s="189">
        <v>0</v>
      </c>
      <c r="P97" s="189">
        <v>1.1200000000000001</v>
      </c>
      <c r="Q97" s="189">
        <v>5.26</v>
      </c>
    </row>
    <row r="98" spans="1:22" customFormat="1">
      <c r="A98" s="6" t="s">
        <v>1384</v>
      </c>
      <c r="B98" s="189">
        <v>15.18</v>
      </c>
      <c r="C98" s="189">
        <v>36.81</v>
      </c>
      <c r="D98" s="189">
        <v>32.76</v>
      </c>
      <c r="E98" s="189">
        <v>6.14</v>
      </c>
      <c r="F98" s="189">
        <v>2.67</v>
      </c>
      <c r="G98" s="189">
        <v>127.74</v>
      </c>
      <c r="H98" s="189">
        <v>60.35</v>
      </c>
      <c r="I98" s="189">
        <v>21.04</v>
      </c>
      <c r="J98" s="189">
        <v>0.19</v>
      </c>
      <c r="K98" s="189">
        <v>157.34</v>
      </c>
      <c r="L98" s="189">
        <v>13.89</v>
      </c>
      <c r="M98" s="189">
        <v>85.4</v>
      </c>
      <c r="N98" s="189">
        <v>0</v>
      </c>
      <c r="O98" s="189">
        <v>0</v>
      </c>
      <c r="P98" s="189">
        <v>1.1299999999999999</v>
      </c>
      <c r="Q98" s="189">
        <v>5.23</v>
      </c>
    </row>
    <row r="99" spans="1:22" customFormat="1">
      <c r="A99" s="6" t="s">
        <v>1385</v>
      </c>
      <c r="B99" s="189">
        <v>14.7</v>
      </c>
      <c r="C99" s="189">
        <v>36.369999999999997</v>
      </c>
      <c r="D99" s="189">
        <v>32.14</v>
      </c>
      <c r="E99" s="189">
        <v>6.49</v>
      </c>
      <c r="F99" s="189">
        <v>2.67</v>
      </c>
      <c r="G99" s="189">
        <v>123.68</v>
      </c>
      <c r="H99" s="189">
        <v>63.39</v>
      </c>
      <c r="I99" s="189">
        <v>20.52</v>
      </c>
      <c r="J99" s="189">
        <v>0.13</v>
      </c>
      <c r="K99" s="189">
        <v>195.42</v>
      </c>
      <c r="L99" s="189">
        <v>13.76</v>
      </c>
      <c r="M99" s="189">
        <v>86.17</v>
      </c>
      <c r="N99" s="189">
        <v>0</v>
      </c>
      <c r="O99" s="189">
        <v>0</v>
      </c>
      <c r="P99" s="189">
        <v>1.1399999999999999</v>
      </c>
      <c r="Q99" s="189">
        <v>5.22</v>
      </c>
    </row>
    <row r="100" spans="1:22" customFormat="1">
      <c r="A100" s="6" t="s">
        <v>1386</v>
      </c>
      <c r="B100" s="189">
        <v>14.37</v>
      </c>
      <c r="C100" s="189">
        <v>35.82</v>
      </c>
      <c r="D100" s="189">
        <v>31.59</v>
      </c>
      <c r="E100" s="189">
        <v>6.43</v>
      </c>
      <c r="F100" s="189">
        <v>2.73</v>
      </c>
      <c r="G100" s="189">
        <v>123.11</v>
      </c>
      <c r="H100" s="189">
        <v>63.39</v>
      </c>
      <c r="I100" s="189">
        <v>20.03</v>
      </c>
      <c r="J100" s="189">
        <v>0.16</v>
      </c>
      <c r="K100" s="189">
        <v>242.8</v>
      </c>
      <c r="L100" s="189">
        <v>13.41</v>
      </c>
      <c r="M100" s="189">
        <v>87.98</v>
      </c>
      <c r="N100" s="189">
        <v>0</v>
      </c>
      <c r="O100" s="189">
        <v>0</v>
      </c>
      <c r="P100" s="189">
        <v>1.1599999999999999</v>
      </c>
      <c r="Q100" s="189">
        <v>5.21</v>
      </c>
    </row>
    <row r="101" spans="1:22" customFormat="1">
      <c r="A101" s="6" t="s">
        <v>1387</v>
      </c>
      <c r="B101" s="189">
        <v>14.31</v>
      </c>
      <c r="C101" s="189">
        <v>35.18</v>
      </c>
      <c r="D101" s="189">
        <v>31.21</v>
      </c>
      <c r="E101" s="189">
        <v>6.66</v>
      </c>
      <c r="F101" s="189">
        <v>2.8</v>
      </c>
      <c r="G101" s="189">
        <v>123.11</v>
      </c>
      <c r="H101" s="189">
        <v>63.39</v>
      </c>
      <c r="I101" s="189">
        <v>19.62</v>
      </c>
      <c r="J101" s="189">
        <v>0.15</v>
      </c>
      <c r="K101" s="189">
        <v>249.25</v>
      </c>
      <c r="L101" s="189">
        <v>13.02</v>
      </c>
      <c r="M101" s="189">
        <v>87.03</v>
      </c>
      <c r="N101" s="189">
        <v>0</v>
      </c>
      <c r="O101" s="189">
        <v>0</v>
      </c>
      <c r="P101" s="189">
        <v>1.18</v>
      </c>
      <c r="Q101" s="189">
        <v>5.21</v>
      </c>
    </row>
    <row r="102" spans="1:22" customFormat="1">
      <c r="A102" s="6" t="s">
        <v>1388</v>
      </c>
      <c r="B102" s="189">
        <v>14.14</v>
      </c>
      <c r="C102" s="189">
        <v>34.619999999999997</v>
      </c>
      <c r="D102" s="189">
        <v>30.78</v>
      </c>
      <c r="E102" s="189">
        <v>6.08</v>
      </c>
      <c r="F102" s="189">
        <v>2.79</v>
      </c>
      <c r="G102" s="189">
        <v>123.11</v>
      </c>
      <c r="H102" s="189">
        <v>63.39</v>
      </c>
      <c r="I102" s="189">
        <v>20.04</v>
      </c>
      <c r="J102" s="189">
        <v>0.15</v>
      </c>
      <c r="K102" s="189">
        <v>235.8</v>
      </c>
      <c r="L102" s="189">
        <v>12.92</v>
      </c>
      <c r="M102" s="189">
        <v>88.63</v>
      </c>
      <c r="N102" s="189">
        <v>0</v>
      </c>
      <c r="O102" s="189">
        <v>0</v>
      </c>
      <c r="P102" s="189">
        <v>1.18</v>
      </c>
      <c r="Q102" s="189">
        <v>5.17</v>
      </c>
    </row>
    <row r="103" spans="1:22" customFormat="1">
      <c r="A103" s="6" t="s">
        <v>1389</v>
      </c>
      <c r="B103" s="189">
        <v>13.87</v>
      </c>
      <c r="C103" s="189">
        <v>32.81</v>
      </c>
      <c r="D103" s="189">
        <v>29.61</v>
      </c>
      <c r="E103" s="189">
        <v>6.16</v>
      </c>
      <c r="F103" s="189">
        <v>2.83</v>
      </c>
      <c r="G103" s="189">
        <v>120.62</v>
      </c>
      <c r="H103" s="189">
        <v>63.77</v>
      </c>
      <c r="I103" s="189">
        <v>20.21</v>
      </c>
      <c r="J103" s="189">
        <v>0.11</v>
      </c>
      <c r="K103" s="189">
        <v>216.29</v>
      </c>
      <c r="L103" s="189">
        <v>12.81</v>
      </c>
      <c r="M103" s="189">
        <v>90.43</v>
      </c>
      <c r="N103" s="189">
        <v>0</v>
      </c>
      <c r="O103" s="189">
        <v>0</v>
      </c>
      <c r="P103" s="189">
        <v>1.18</v>
      </c>
      <c r="Q103" s="189">
        <v>5.17</v>
      </c>
    </row>
    <row r="104" spans="1:22" customFormat="1">
      <c r="A104" s="6" t="s">
        <v>1390</v>
      </c>
      <c r="B104" s="189">
        <v>13.49</v>
      </c>
      <c r="C104" s="189">
        <v>32.409999999999997</v>
      </c>
      <c r="D104" s="189">
        <v>29.11</v>
      </c>
      <c r="E104" s="189">
        <v>5.88</v>
      </c>
      <c r="F104" s="189">
        <v>2.5299999999999998</v>
      </c>
      <c r="G104" s="189">
        <v>120.28</v>
      </c>
      <c r="H104" s="189">
        <v>63.77</v>
      </c>
      <c r="I104" s="189">
        <v>19.82</v>
      </c>
      <c r="J104" s="189">
        <v>0.12</v>
      </c>
      <c r="K104" s="189">
        <v>168.6</v>
      </c>
      <c r="L104" s="189">
        <v>12.77</v>
      </c>
      <c r="M104" s="189">
        <v>90.15</v>
      </c>
      <c r="N104" s="189">
        <v>0</v>
      </c>
      <c r="O104" s="189">
        <v>0</v>
      </c>
      <c r="P104" s="189">
        <v>1.18</v>
      </c>
      <c r="Q104" s="189">
        <v>5.17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2.89</v>
      </c>
      <c r="C106" s="183">
        <f>MIN(C9:C104)</f>
        <v>28.3</v>
      </c>
      <c r="D106" s="183">
        <f t="shared" ref="D106:Q106" si="0">MIN(D9:D104)</f>
        <v>23.68</v>
      </c>
      <c r="E106" s="183">
        <f t="shared" si="0"/>
        <v>5.1100000000000003</v>
      </c>
      <c r="F106" s="183">
        <f t="shared" si="0"/>
        <v>2.37</v>
      </c>
      <c r="G106" s="183">
        <f t="shared" si="0"/>
        <v>35.92</v>
      </c>
      <c r="H106" s="183">
        <f t="shared" si="0"/>
        <v>20.260000000000002</v>
      </c>
      <c r="I106" s="183">
        <f t="shared" si="0"/>
        <v>6.02</v>
      </c>
      <c r="J106" s="183">
        <f t="shared" si="0"/>
        <v>0.02</v>
      </c>
      <c r="K106" s="183">
        <f t="shared" si="0"/>
        <v>0.44</v>
      </c>
      <c r="L106" s="183">
        <f t="shared" si="0"/>
        <v>10.48</v>
      </c>
      <c r="M106" s="183">
        <f t="shared" si="0"/>
        <v>26.76</v>
      </c>
      <c r="N106" s="183">
        <f t="shared" si="0"/>
        <v>0</v>
      </c>
      <c r="O106" s="183">
        <f t="shared" si="0"/>
        <v>0</v>
      </c>
      <c r="P106" s="183">
        <f t="shared" si="0"/>
        <v>0.1</v>
      </c>
      <c r="Q106" s="183">
        <f t="shared" si="0"/>
        <v>4.9800000000000004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57.83</v>
      </c>
      <c r="C107" s="184">
        <f t="shared" ref="C107:Q107" si="1">MAX(C9:C104)</f>
        <v>42.85</v>
      </c>
      <c r="D107" s="184">
        <f t="shared" si="1"/>
        <v>66.66</v>
      </c>
      <c r="E107" s="184">
        <f t="shared" si="1"/>
        <v>22.17</v>
      </c>
      <c r="F107" s="184">
        <f t="shared" si="1"/>
        <v>10.039999999999999</v>
      </c>
      <c r="G107" s="184">
        <f t="shared" si="1"/>
        <v>158.53</v>
      </c>
      <c r="H107" s="184">
        <f t="shared" si="1"/>
        <v>63.77</v>
      </c>
      <c r="I107" s="184">
        <f t="shared" si="1"/>
        <v>67.959999999999994</v>
      </c>
      <c r="J107" s="184">
        <f t="shared" si="1"/>
        <v>1.02</v>
      </c>
      <c r="K107" s="184">
        <f t="shared" si="1"/>
        <v>346.87</v>
      </c>
      <c r="L107" s="184">
        <f t="shared" si="1"/>
        <v>24.36</v>
      </c>
      <c r="M107" s="184">
        <f t="shared" si="1"/>
        <v>90.43</v>
      </c>
      <c r="N107" s="184">
        <f t="shared" si="1"/>
        <v>552.9</v>
      </c>
      <c r="O107" s="184">
        <f t="shared" si="1"/>
        <v>0</v>
      </c>
      <c r="P107" s="184">
        <f t="shared" si="1"/>
        <v>1.33</v>
      </c>
      <c r="Q107" s="184">
        <f t="shared" si="1"/>
        <v>6.15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22.778279569892465</v>
      </c>
      <c r="C108" s="183">
        <f t="shared" ref="C108:Q108" si="2">AVERAGE(C9:C104)</f>
        <v>35.13881720430107</v>
      </c>
      <c r="D108" s="183">
        <f t="shared" si="2"/>
        <v>37.976666666666659</v>
      </c>
      <c r="E108" s="183">
        <f t="shared" si="2"/>
        <v>7.1819791666666646</v>
      </c>
      <c r="F108" s="183">
        <f t="shared" si="2"/>
        <v>3.1029473684210531</v>
      </c>
      <c r="G108" s="183">
        <f t="shared" si="2"/>
        <v>84.027555555555537</v>
      </c>
      <c r="H108" s="183">
        <f t="shared" si="2"/>
        <v>39.426111111111126</v>
      </c>
      <c r="I108" s="183">
        <f t="shared" si="2"/>
        <v>20.091145833333332</v>
      </c>
      <c r="J108" s="183">
        <f t="shared" si="2"/>
        <v>0.30677083333333316</v>
      </c>
      <c r="K108" s="183">
        <f t="shared" si="2"/>
        <v>116.61093749999998</v>
      </c>
      <c r="L108" s="183">
        <f t="shared" si="2"/>
        <v>16.680833333333336</v>
      </c>
      <c r="M108" s="183">
        <f t="shared" si="2"/>
        <v>60.437708333333326</v>
      </c>
      <c r="N108" s="183">
        <f t="shared" si="2"/>
        <v>107.17812499999997</v>
      </c>
      <c r="O108" s="183">
        <f t="shared" si="2"/>
        <v>0</v>
      </c>
      <c r="P108" s="183">
        <f t="shared" si="2"/>
        <v>0.81789473684210545</v>
      </c>
      <c r="Q108" s="183">
        <f t="shared" si="2"/>
        <v>5.3736458333333337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15.357343635202268</v>
      </c>
      <c r="C109" s="183">
        <f t="shared" ref="C109:Q109" si="3">STDEV(C9:C104)</f>
        <v>3.4294370971311658</v>
      </c>
      <c r="D109" s="183">
        <f t="shared" si="3"/>
        <v>11.505859880695684</v>
      </c>
      <c r="E109" s="183">
        <f t="shared" si="3"/>
        <v>2.7961039133584218</v>
      </c>
      <c r="F109" s="183">
        <f t="shared" si="3"/>
        <v>1.1338213241392097</v>
      </c>
      <c r="G109" s="183">
        <f t="shared" si="3"/>
        <v>33.876962883090265</v>
      </c>
      <c r="H109" s="183">
        <f t="shared" si="3"/>
        <v>13.715061489942645</v>
      </c>
      <c r="I109" s="183">
        <f t="shared" si="3"/>
        <v>14.888359626146061</v>
      </c>
      <c r="J109" s="183">
        <f t="shared" si="3"/>
        <v>0.25579389232520283</v>
      </c>
      <c r="K109" s="183">
        <f t="shared" si="3"/>
        <v>79.856128447920597</v>
      </c>
      <c r="L109" s="183">
        <f t="shared" si="3"/>
        <v>4.6246619601451924</v>
      </c>
      <c r="M109" s="183">
        <f t="shared" si="3"/>
        <v>21.830918850357083</v>
      </c>
      <c r="N109" s="183">
        <f t="shared" si="3"/>
        <v>183.88641070716224</v>
      </c>
      <c r="O109" s="183">
        <f t="shared" si="3"/>
        <v>0</v>
      </c>
      <c r="P109" s="183">
        <f t="shared" si="3"/>
        <v>0.25097213008297781</v>
      </c>
      <c r="Q109" s="183">
        <f t="shared" si="3"/>
        <v>0.32886125627264029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21/12/2023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1391</v>
      </c>
      <c r="B9" s="189">
        <v>13.18</v>
      </c>
      <c r="C9" s="189">
        <v>32.4</v>
      </c>
      <c r="D9" s="189">
        <v>28.85</v>
      </c>
      <c r="E9" s="189">
        <v>6.36</v>
      </c>
      <c r="F9" s="189">
        <v>2.63</v>
      </c>
      <c r="G9" s="189">
        <v>120.28</v>
      </c>
      <c r="H9" s="189">
        <v>63.77</v>
      </c>
      <c r="I9" s="189">
        <v>19.47</v>
      </c>
      <c r="J9" s="189">
        <v>0.12</v>
      </c>
      <c r="K9" s="189">
        <v>205.86</v>
      </c>
      <c r="L9" s="189">
        <v>12.87</v>
      </c>
      <c r="M9" s="189">
        <v>89.98</v>
      </c>
      <c r="N9" s="189">
        <v>0</v>
      </c>
      <c r="O9" s="189">
        <v>0</v>
      </c>
      <c r="P9" s="189">
        <v>1.18</v>
      </c>
      <c r="Q9" s="189">
        <v>5.17</v>
      </c>
    </row>
    <row r="10" spans="1:21" customFormat="1">
      <c r="A10" s="6" t="s">
        <v>1392</v>
      </c>
      <c r="B10" s="189">
        <v>13</v>
      </c>
      <c r="C10" s="189">
        <v>32</v>
      </c>
      <c r="D10" s="189">
        <v>28.5</v>
      </c>
      <c r="E10" s="189">
        <v>6.72</v>
      </c>
      <c r="F10" s="189">
        <v>2.59</v>
      </c>
      <c r="G10" s="189">
        <v>120.28</v>
      </c>
      <c r="H10" s="189">
        <v>63.77</v>
      </c>
      <c r="I10" s="189">
        <v>19.14</v>
      </c>
      <c r="J10" s="189">
        <v>0.06</v>
      </c>
      <c r="K10" s="189">
        <v>191.58</v>
      </c>
      <c r="L10" s="189">
        <v>12.67</v>
      </c>
      <c r="M10" s="189">
        <v>89.93</v>
      </c>
      <c r="N10" s="189">
        <v>0</v>
      </c>
      <c r="O10" s="189">
        <v>0</v>
      </c>
      <c r="P10" s="189">
        <v>1.2</v>
      </c>
      <c r="Q10" s="189">
        <v>5.14</v>
      </c>
    </row>
    <row r="11" spans="1:21" customFormat="1">
      <c r="A11" s="6" t="s">
        <v>1393</v>
      </c>
      <c r="B11" s="189">
        <v>12.69</v>
      </c>
      <c r="C11" s="189">
        <v>31.89</v>
      </c>
      <c r="D11" s="189">
        <v>28.18</v>
      </c>
      <c r="E11" s="189">
        <v>6.73</v>
      </c>
      <c r="F11" s="189">
        <v>2.46</v>
      </c>
      <c r="G11" s="189">
        <v>116.11</v>
      </c>
      <c r="H11" s="189">
        <v>65.44</v>
      </c>
      <c r="I11" s="189">
        <v>18.84</v>
      </c>
      <c r="J11" s="189">
        <v>0.13</v>
      </c>
      <c r="K11" s="189">
        <v>151.81</v>
      </c>
      <c r="L11" s="189">
        <v>12.48</v>
      </c>
      <c r="M11" s="189">
        <v>87.2</v>
      </c>
      <c r="N11" s="189">
        <v>0</v>
      </c>
      <c r="O11" s="189">
        <v>0</v>
      </c>
      <c r="P11" s="189">
        <v>1.2</v>
      </c>
      <c r="Q11" s="189">
        <v>5.14</v>
      </c>
    </row>
    <row r="12" spans="1:21" customFormat="1">
      <c r="A12" s="6" t="s">
        <v>1394</v>
      </c>
      <c r="B12" s="189">
        <v>12.47</v>
      </c>
      <c r="C12" s="189">
        <v>31.72</v>
      </c>
      <c r="D12" s="189">
        <v>27.92</v>
      </c>
      <c r="E12" s="189">
        <v>6.68</v>
      </c>
      <c r="F12" s="189">
        <v>2.52</v>
      </c>
      <c r="G12" s="189">
        <v>115.53</v>
      </c>
      <c r="H12" s="189">
        <v>65.44</v>
      </c>
      <c r="I12" s="189">
        <v>18.600000000000001</v>
      </c>
      <c r="J12" s="189">
        <v>7.0000000000000007E-2</v>
      </c>
      <c r="K12" s="189">
        <v>204.35</v>
      </c>
      <c r="L12" s="189">
        <v>12.55</v>
      </c>
      <c r="M12" s="189">
        <v>84.5</v>
      </c>
      <c r="N12" s="189">
        <v>0</v>
      </c>
      <c r="O12" s="189">
        <v>0</v>
      </c>
      <c r="P12" s="189">
        <v>1.22</v>
      </c>
      <c r="Q12" s="189">
        <v>5.12</v>
      </c>
    </row>
    <row r="13" spans="1:21" customFormat="1">
      <c r="A13" s="6" t="s">
        <v>1395</v>
      </c>
      <c r="B13" s="189">
        <v>13.56</v>
      </c>
      <c r="C13" s="189">
        <v>31.62</v>
      </c>
      <c r="D13" s="189">
        <v>28.75</v>
      </c>
      <c r="E13" s="189">
        <v>6.67</v>
      </c>
      <c r="F13" s="189">
        <v>2.67</v>
      </c>
      <c r="G13" s="189">
        <v>115.53</v>
      </c>
      <c r="H13" s="189">
        <v>65.44</v>
      </c>
      <c r="I13" s="189">
        <v>18.37</v>
      </c>
      <c r="J13" s="189">
        <v>0.06</v>
      </c>
      <c r="K13" s="189">
        <v>133.43</v>
      </c>
      <c r="L13" s="189">
        <v>12.55</v>
      </c>
      <c r="M13" s="189">
        <v>84.43</v>
      </c>
      <c r="N13" s="189">
        <v>0</v>
      </c>
      <c r="O13" s="189">
        <v>0</v>
      </c>
      <c r="P13" s="189">
        <v>1.23</v>
      </c>
      <c r="Q13" s="189">
        <v>5.15</v>
      </c>
    </row>
    <row r="14" spans="1:21" customFormat="1">
      <c r="A14" s="6" t="s">
        <v>1396</v>
      </c>
      <c r="B14" s="189">
        <v>18.04</v>
      </c>
      <c r="C14" s="189">
        <v>32.61</v>
      </c>
      <c r="D14" s="189">
        <v>32.85</v>
      </c>
      <c r="E14" s="189">
        <v>6.95</v>
      </c>
      <c r="F14" s="189">
        <v>2.65</v>
      </c>
      <c r="G14" s="189">
        <v>115.53</v>
      </c>
      <c r="H14" s="189">
        <v>65.44</v>
      </c>
      <c r="I14" s="189">
        <v>18.18</v>
      </c>
      <c r="J14" s="189">
        <v>0.08</v>
      </c>
      <c r="K14" s="189">
        <v>188.84</v>
      </c>
      <c r="L14" s="189">
        <v>12.51</v>
      </c>
      <c r="M14" s="189">
        <v>84.78</v>
      </c>
      <c r="N14" s="189">
        <v>0</v>
      </c>
      <c r="O14" s="189">
        <v>0</v>
      </c>
      <c r="P14" s="189">
        <v>1.26</v>
      </c>
      <c r="Q14" s="189">
        <v>5.23</v>
      </c>
    </row>
    <row r="15" spans="1:21" customFormat="1">
      <c r="A15" s="6" t="s">
        <v>1397</v>
      </c>
      <c r="B15" s="189">
        <v>24.3</v>
      </c>
      <c r="C15" s="189">
        <v>33.97</v>
      </c>
      <c r="D15" s="189">
        <v>38.590000000000003</v>
      </c>
      <c r="E15" s="189">
        <v>6.61</v>
      </c>
      <c r="F15" s="189">
        <v>2.54</v>
      </c>
      <c r="G15" s="189">
        <v>129.62</v>
      </c>
      <c r="H15" s="189">
        <v>70.17</v>
      </c>
      <c r="I15" s="189">
        <v>18.04</v>
      </c>
      <c r="J15" s="189">
        <v>0.1</v>
      </c>
      <c r="K15" s="189">
        <v>147.61000000000001</v>
      </c>
      <c r="L15" s="189">
        <v>12.48</v>
      </c>
      <c r="M15" s="189">
        <v>85.18</v>
      </c>
      <c r="N15" s="189">
        <v>0</v>
      </c>
      <c r="O15" s="189">
        <v>0</v>
      </c>
      <c r="P15" s="189">
        <v>1.29</v>
      </c>
      <c r="Q15" s="189">
        <v>5.32</v>
      </c>
    </row>
    <row r="16" spans="1:21" customFormat="1">
      <c r="A16" s="6" t="s">
        <v>1398</v>
      </c>
      <c r="B16" s="189">
        <v>28.98</v>
      </c>
      <c r="C16" s="189">
        <v>34.65</v>
      </c>
      <c r="D16" s="189">
        <v>42.69</v>
      </c>
      <c r="E16" s="189">
        <v>6.8</v>
      </c>
      <c r="F16" s="189">
        <v>2.67</v>
      </c>
      <c r="G16" s="189">
        <v>131.79</v>
      </c>
      <c r="H16" s="189">
        <v>70.17</v>
      </c>
      <c r="I16" s="189">
        <v>17.97</v>
      </c>
      <c r="J16" s="189">
        <v>0.1</v>
      </c>
      <c r="K16" s="189">
        <v>140.59</v>
      </c>
      <c r="L16" s="189">
        <v>12.36</v>
      </c>
      <c r="M16" s="189">
        <v>86.81</v>
      </c>
      <c r="N16" s="189">
        <v>0</v>
      </c>
      <c r="O16" s="189">
        <v>0</v>
      </c>
      <c r="P16" s="189">
        <v>1.32</v>
      </c>
      <c r="Q16" s="189">
        <v>5.41</v>
      </c>
    </row>
    <row r="17" spans="1:17" customFormat="1">
      <c r="A17" s="6" t="s">
        <v>1399</v>
      </c>
      <c r="B17" s="189">
        <v>32.57</v>
      </c>
      <c r="C17" s="189">
        <v>34.770000000000003</v>
      </c>
      <c r="D17" s="189">
        <v>45.63</v>
      </c>
      <c r="E17" s="189">
        <v>6</v>
      </c>
      <c r="F17" s="189">
        <v>2.65</v>
      </c>
      <c r="G17" s="189">
        <v>131.79</v>
      </c>
      <c r="H17" s="189">
        <v>70.17</v>
      </c>
      <c r="I17" s="189">
        <v>17.97</v>
      </c>
      <c r="J17" s="189">
        <v>7.0000000000000007E-2</v>
      </c>
      <c r="K17" s="189">
        <v>177.58</v>
      </c>
      <c r="L17" s="189">
        <v>12.32</v>
      </c>
      <c r="M17" s="189">
        <v>84.85</v>
      </c>
      <c r="N17" s="189">
        <v>0</v>
      </c>
      <c r="O17" s="189">
        <v>0</v>
      </c>
      <c r="P17" s="189">
        <v>1.33</v>
      </c>
      <c r="Q17" s="189">
        <v>5.49</v>
      </c>
    </row>
    <row r="18" spans="1:17" customFormat="1">
      <c r="A18" s="6" t="s">
        <v>1400</v>
      </c>
      <c r="B18" s="189">
        <v>35.78</v>
      </c>
      <c r="C18" s="189">
        <v>35.54</v>
      </c>
      <c r="D18" s="189">
        <v>48.61</v>
      </c>
      <c r="E18" s="189">
        <v>6.79</v>
      </c>
      <c r="F18" s="189">
        <v>2.66</v>
      </c>
      <c r="G18" s="189">
        <v>131.79</v>
      </c>
      <c r="H18" s="189">
        <v>70.17</v>
      </c>
      <c r="I18" s="189">
        <v>18.04</v>
      </c>
      <c r="J18" s="189">
        <v>0.1</v>
      </c>
      <c r="K18" s="189">
        <v>154.46</v>
      </c>
      <c r="L18" s="189">
        <v>12.29</v>
      </c>
      <c r="M18" s="189">
        <v>82.76</v>
      </c>
      <c r="N18" s="189">
        <v>0</v>
      </c>
      <c r="O18" s="189">
        <v>0</v>
      </c>
      <c r="P18" s="189">
        <v>1.35</v>
      </c>
      <c r="Q18" s="189">
        <v>5.56</v>
      </c>
    </row>
    <row r="19" spans="1:17" customFormat="1">
      <c r="A19" s="6" t="s">
        <v>1401</v>
      </c>
      <c r="B19" s="189">
        <v>38.86</v>
      </c>
      <c r="C19" s="189">
        <v>36.270000000000003</v>
      </c>
      <c r="D19" s="189">
        <v>51.47</v>
      </c>
      <c r="E19" s="189">
        <v>6.72</v>
      </c>
      <c r="F19" s="189">
        <v>2.57</v>
      </c>
      <c r="G19" s="189">
        <v>135.44</v>
      </c>
      <c r="H19" s="189">
        <v>73.34</v>
      </c>
      <c r="I19" s="189">
        <v>18.25</v>
      </c>
      <c r="J19" s="189">
        <v>0.1</v>
      </c>
      <c r="K19" s="189">
        <v>184.68</v>
      </c>
      <c r="L19" s="189">
        <v>12.15</v>
      </c>
      <c r="M19" s="189">
        <v>83.62</v>
      </c>
      <c r="N19" s="189">
        <v>0</v>
      </c>
      <c r="O19" s="189">
        <v>0</v>
      </c>
      <c r="P19" s="189">
        <v>1.38</v>
      </c>
      <c r="Q19" s="189">
        <v>5.62</v>
      </c>
    </row>
    <row r="20" spans="1:17" customFormat="1">
      <c r="A20" s="6" t="s">
        <v>1402</v>
      </c>
      <c r="B20" s="189">
        <v>39.69</v>
      </c>
      <c r="C20" s="189">
        <v>36.15</v>
      </c>
      <c r="D20" s="189">
        <v>52.06</v>
      </c>
      <c r="E20" s="189">
        <v>6.35</v>
      </c>
      <c r="F20" s="189">
        <v>2.5499999999999998</v>
      </c>
      <c r="G20" s="189">
        <v>135.94</v>
      </c>
      <c r="H20" s="189">
        <v>73.34</v>
      </c>
      <c r="I20" s="189">
        <v>18.5</v>
      </c>
      <c r="J20" s="189">
        <v>0.12</v>
      </c>
      <c r="K20" s="189">
        <v>231.8</v>
      </c>
      <c r="L20" s="189">
        <v>12.05</v>
      </c>
      <c r="M20" s="189">
        <v>87.91</v>
      </c>
      <c r="N20" s="189">
        <v>0</v>
      </c>
      <c r="O20" s="189">
        <v>0</v>
      </c>
      <c r="P20" s="189">
        <v>1.39</v>
      </c>
      <c r="Q20" s="189">
        <v>5.67</v>
      </c>
    </row>
    <row r="21" spans="1:17" customFormat="1">
      <c r="A21" s="6" t="s">
        <v>1403</v>
      </c>
      <c r="B21" s="189">
        <v>38.9</v>
      </c>
      <c r="C21" s="189">
        <v>35.770000000000003</v>
      </c>
      <c r="D21" s="189">
        <v>51.24</v>
      </c>
      <c r="E21" s="189">
        <v>6.89</v>
      </c>
      <c r="F21" s="189">
        <v>2.63</v>
      </c>
      <c r="G21" s="189">
        <v>135.94</v>
      </c>
      <c r="H21" s="189">
        <v>73.34</v>
      </c>
      <c r="I21" s="189">
        <v>18.670000000000002</v>
      </c>
      <c r="J21" s="189">
        <v>0.13</v>
      </c>
      <c r="K21" s="189">
        <v>252.78</v>
      </c>
      <c r="L21" s="189">
        <v>11.61</v>
      </c>
      <c r="M21" s="189">
        <v>90.99</v>
      </c>
      <c r="N21" s="189">
        <v>0</v>
      </c>
      <c r="O21" s="189">
        <v>0</v>
      </c>
      <c r="P21" s="189">
        <v>1.38</v>
      </c>
      <c r="Q21" s="189">
        <v>5.65</v>
      </c>
    </row>
    <row r="22" spans="1:17" customFormat="1">
      <c r="A22" s="6" t="s">
        <v>1404</v>
      </c>
      <c r="B22" s="189">
        <v>37.67</v>
      </c>
      <c r="C22" s="189">
        <v>35.340000000000003</v>
      </c>
      <c r="D22" s="189">
        <v>50.03</v>
      </c>
      <c r="E22" s="189">
        <v>6.05</v>
      </c>
      <c r="F22" s="189">
        <v>2.59</v>
      </c>
      <c r="G22" s="189">
        <v>135.94</v>
      </c>
      <c r="H22" s="189">
        <v>73.34</v>
      </c>
      <c r="I22" s="189">
        <v>18.64</v>
      </c>
      <c r="J22" s="189">
        <v>0.05</v>
      </c>
      <c r="K22" s="189">
        <v>266.33999999999997</v>
      </c>
      <c r="L22" s="189">
        <v>11.38</v>
      </c>
      <c r="M22" s="189">
        <v>91.27</v>
      </c>
      <c r="N22" s="189">
        <v>0</v>
      </c>
      <c r="O22" s="189">
        <v>0</v>
      </c>
      <c r="P22" s="189">
        <v>1.38</v>
      </c>
      <c r="Q22" s="189">
        <v>5.63</v>
      </c>
    </row>
    <row r="23" spans="1:17" customFormat="1">
      <c r="A23" s="6" t="s">
        <v>1405</v>
      </c>
      <c r="B23" s="189">
        <v>36.450000000000003</v>
      </c>
      <c r="C23" s="189">
        <v>34.9</v>
      </c>
      <c r="D23" s="189">
        <v>48.81</v>
      </c>
      <c r="E23" s="189">
        <v>6.49</v>
      </c>
      <c r="F23" s="189">
        <v>2.58</v>
      </c>
      <c r="G23" s="189">
        <v>131.72999999999999</v>
      </c>
      <c r="H23" s="189">
        <v>76.08</v>
      </c>
      <c r="I23" s="189">
        <v>18.53</v>
      </c>
      <c r="J23" s="189">
        <v>0.08</v>
      </c>
      <c r="K23" s="189">
        <v>115.34</v>
      </c>
      <c r="L23" s="189">
        <v>11.37</v>
      </c>
      <c r="M23" s="189">
        <v>91.57</v>
      </c>
      <c r="N23" s="189">
        <v>0</v>
      </c>
      <c r="O23" s="189">
        <v>0</v>
      </c>
      <c r="P23" s="189">
        <v>1.38</v>
      </c>
      <c r="Q23" s="189">
        <v>5.61</v>
      </c>
    </row>
    <row r="24" spans="1:17" customFormat="1">
      <c r="A24" s="6" t="s">
        <v>1406</v>
      </c>
      <c r="B24" s="189">
        <v>36.200000000000003</v>
      </c>
      <c r="C24" s="189">
        <v>34.29</v>
      </c>
      <c r="D24" s="189">
        <v>48.3</v>
      </c>
      <c r="E24" s="189">
        <v>6.07</v>
      </c>
      <c r="F24" s="189">
        <v>2.64</v>
      </c>
      <c r="G24" s="189">
        <v>131.13999999999999</v>
      </c>
      <c r="H24" s="189">
        <v>76.08</v>
      </c>
      <c r="I24" s="189">
        <v>18.38</v>
      </c>
      <c r="J24" s="189">
        <v>0.12</v>
      </c>
      <c r="K24" s="189">
        <v>105.66</v>
      </c>
      <c r="L24" s="189">
        <v>11.42</v>
      </c>
      <c r="M24" s="189">
        <v>89.4</v>
      </c>
      <c r="N24" s="189">
        <v>0</v>
      </c>
      <c r="O24" s="189">
        <v>0</v>
      </c>
      <c r="P24" s="189">
        <v>1.37</v>
      </c>
      <c r="Q24" s="189">
        <v>5.6</v>
      </c>
    </row>
    <row r="25" spans="1:17" customFormat="1">
      <c r="A25" s="6" t="s">
        <v>1407</v>
      </c>
      <c r="B25" s="189">
        <v>37.03</v>
      </c>
      <c r="C25" s="189">
        <v>34.200000000000003</v>
      </c>
      <c r="D25" s="189">
        <v>48.92</v>
      </c>
      <c r="E25" s="189">
        <v>6.39</v>
      </c>
      <c r="F25" s="189">
        <v>2.57</v>
      </c>
      <c r="G25" s="189">
        <v>131.13999999999999</v>
      </c>
      <c r="H25" s="189">
        <v>76.08</v>
      </c>
      <c r="I25" s="189">
        <v>18.21</v>
      </c>
      <c r="J25" s="189">
        <v>0.11</v>
      </c>
      <c r="K25" s="189">
        <v>118.7</v>
      </c>
      <c r="L25" s="189">
        <v>11.57</v>
      </c>
      <c r="M25" s="189">
        <v>84.88</v>
      </c>
      <c r="N25" s="189">
        <v>0</v>
      </c>
      <c r="O25" s="189">
        <v>0</v>
      </c>
      <c r="P25" s="189">
        <v>1.36</v>
      </c>
      <c r="Q25" s="189">
        <v>5.62</v>
      </c>
    </row>
    <row r="26" spans="1:17" customFormat="1">
      <c r="A26" s="6" t="s">
        <v>1408</v>
      </c>
      <c r="B26" s="189">
        <v>37.72</v>
      </c>
      <c r="C26" s="189">
        <v>35.24</v>
      </c>
      <c r="D26" s="189">
        <v>50.01</v>
      </c>
      <c r="E26" s="189">
        <v>6.48</v>
      </c>
      <c r="F26" s="189">
        <v>2.64</v>
      </c>
      <c r="G26" s="189">
        <v>131.13999999999999</v>
      </c>
      <c r="H26" s="189">
        <v>76.08</v>
      </c>
      <c r="I26" s="189">
        <v>17.989999999999998</v>
      </c>
      <c r="J26" s="189">
        <v>0.05</v>
      </c>
      <c r="K26" s="189">
        <v>89.72</v>
      </c>
      <c r="L26" s="189">
        <v>11.79</v>
      </c>
      <c r="M26" s="189">
        <v>80.819999999999993</v>
      </c>
      <c r="N26" s="189">
        <v>0</v>
      </c>
      <c r="O26" s="189">
        <v>0</v>
      </c>
      <c r="P26" s="189">
        <v>1.35</v>
      </c>
      <c r="Q26" s="189">
        <v>5.63</v>
      </c>
    </row>
    <row r="27" spans="1:17" customFormat="1">
      <c r="A27" s="6" t="s">
        <v>1409</v>
      </c>
      <c r="B27" s="189">
        <v>38.32</v>
      </c>
      <c r="C27" s="189">
        <v>35.130000000000003</v>
      </c>
      <c r="D27" s="189">
        <v>50.44</v>
      </c>
      <c r="E27" s="189">
        <v>6.03</v>
      </c>
      <c r="F27" s="189">
        <v>2.74</v>
      </c>
      <c r="G27" s="189">
        <v>126.53</v>
      </c>
      <c r="H27" s="189">
        <v>67.790000000000006</v>
      </c>
      <c r="I27" s="189">
        <v>17.760000000000002</v>
      </c>
      <c r="J27" s="189">
        <v>0.02</v>
      </c>
      <c r="K27" s="189">
        <v>174.78</v>
      </c>
      <c r="L27" s="189">
        <v>11.88</v>
      </c>
      <c r="M27" s="189">
        <v>80.13</v>
      </c>
      <c r="N27" s="189">
        <v>0</v>
      </c>
      <c r="O27" s="189">
        <v>0</v>
      </c>
      <c r="P27" s="189">
        <v>1.32</v>
      </c>
      <c r="Q27" s="189">
        <v>5.62</v>
      </c>
    </row>
    <row r="28" spans="1:17" customFormat="1">
      <c r="A28" s="6" t="s">
        <v>1410</v>
      </c>
      <c r="B28" s="189">
        <v>38.17</v>
      </c>
      <c r="C28" s="189">
        <v>35.51</v>
      </c>
      <c r="D28" s="189">
        <v>50.51</v>
      </c>
      <c r="E28" s="189">
        <v>6.08</v>
      </c>
      <c r="F28" s="189">
        <v>2.74</v>
      </c>
      <c r="G28" s="189">
        <v>125.89</v>
      </c>
      <c r="H28" s="189">
        <v>67.790000000000006</v>
      </c>
      <c r="I28" s="189">
        <v>17.43</v>
      </c>
      <c r="J28" s="189">
        <v>0.09</v>
      </c>
      <c r="K28" s="189">
        <v>148.52000000000001</v>
      </c>
      <c r="L28" s="189">
        <v>11.68</v>
      </c>
      <c r="M28" s="189">
        <v>82.08</v>
      </c>
      <c r="N28" s="189">
        <v>0</v>
      </c>
      <c r="O28" s="189">
        <v>0</v>
      </c>
      <c r="P28" s="189">
        <v>1.3</v>
      </c>
      <c r="Q28" s="189">
        <v>5.61</v>
      </c>
    </row>
    <row r="29" spans="1:17" customFormat="1">
      <c r="A29" s="6" t="s">
        <v>1411</v>
      </c>
      <c r="B29" s="189">
        <v>37.42</v>
      </c>
      <c r="C29" s="189">
        <v>35.72</v>
      </c>
      <c r="D29" s="189">
        <v>50.02</v>
      </c>
      <c r="E29" s="189">
        <v>6.54</v>
      </c>
      <c r="F29" s="189">
        <v>2.91</v>
      </c>
      <c r="G29" s="189">
        <v>125.89</v>
      </c>
      <c r="H29" s="189">
        <v>67.790000000000006</v>
      </c>
      <c r="I29" s="189">
        <v>17.05</v>
      </c>
      <c r="J29" s="189">
        <v>0.12</v>
      </c>
      <c r="K29" s="189">
        <v>122.87</v>
      </c>
      <c r="L29" s="189">
        <v>11.53</v>
      </c>
      <c r="M29" s="189">
        <v>82.69</v>
      </c>
      <c r="N29" s="189">
        <v>0</v>
      </c>
      <c r="O29" s="189">
        <v>0</v>
      </c>
      <c r="P29" s="189">
        <v>1.26</v>
      </c>
      <c r="Q29" s="189">
        <v>5.61</v>
      </c>
    </row>
    <row r="30" spans="1:17" customFormat="1">
      <c r="A30" s="6" t="s">
        <v>1412</v>
      </c>
      <c r="B30" s="189">
        <v>37.630000000000003</v>
      </c>
      <c r="C30" s="189">
        <v>35.96</v>
      </c>
      <c r="D30" s="189">
        <v>50.32</v>
      </c>
      <c r="E30" s="189">
        <v>6.2</v>
      </c>
      <c r="F30" s="189">
        <v>2.83</v>
      </c>
      <c r="G30" s="189">
        <v>125.89</v>
      </c>
      <c r="H30" s="189">
        <v>67.790000000000006</v>
      </c>
      <c r="I30" s="189">
        <v>16.61</v>
      </c>
      <c r="J30" s="189">
        <v>0.14000000000000001</v>
      </c>
      <c r="K30" s="189">
        <v>162.69</v>
      </c>
      <c r="L30" s="189">
        <v>11.58</v>
      </c>
      <c r="M30" s="189">
        <v>82.58</v>
      </c>
      <c r="N30" s="189">
        <v>0</v>
      </c>
      <c r="O30" s="189">
        <v>0</v>
      </c>
      <c r="P30" s="189">
        <v>1.23</v>
      </c>
      <c r="Q30" s="189">
        <v>5.6</v>
      </c>
    </row>
    <row r="31" spans="1:17" customFormat="1">
      <c r="A31" s="6" t="s">
        <v>1413</v>
      </c>
      <c r="B31" s="189">
        <v>36.82</v>
      </c>
      <c r="C31" s="189">
        <v>36.01</v>
      </c>
      <c r="D31" s="189">
        <v>49.69</v>
      </c>
      <c r="E31" s="189">
        <v>6.05</v>
      </c>
      <c r="F31" s="189">
        <v>2.69</v>
      </c>
      <c r="G31" s="189">
        <v>111.75</v>
      </c>
      <c r="H31" s="189">
        <v>64.819999999999993</v>
      </c>
      <c r="I31" s="189">
        <v>16.14</v>
      </c>
      <c r="J31" s="189">
        <v>0.09</v>
      </c>
      <c r="K31" s="189">
        <v>192.51</v>
      </c>
      <c r="L31" s="189">
        <v>11.34</v>
      </c>
      <c r="M31" s="189">
        <v>84.92</v>
      </c>
      <c r="N31" s="189">
        <v>0</v>
      </c>
      <c r="O31" s="189">
        <v>0</v>
      </c>
      <c r="P31" s="189">
        <v>1.19</v>
      </c>
      <c r="Q31" s="189">
        <v>5.59</v>
      </c>
    </row>
    <row r="32" spans="1:17" customFormat="1">
      <c r="A32" s="6" t="s">
        <v>1414</v>
      </c>
      <c r="B32" s="189">
        <v>34.880000000000003</v>
      </c>
      <c r="C32" s="189">
        <v>35.549999999999997</v>
      </c>
      <c r="D32" s="189">
        <v>47.9</v>
      </c>
      <c r="E32" s="189">
        <v>6.31</v>
      </c>
      <c r="F32" s="189">
        <v>2.66</v>
      </c>
      <c r="G32" s="189">
        <v>109.78</v>
      </c>
      <c r="H32" s="189">
        <v>64.819999999999993</v>
      </c>
      <c r="I32" s="189">
        <v>15.66</v>
      </c>
      <c r="J32" s="189">
        <v>0.08</v>
      </c>
      <c r="K32" s="189">
        <v>222.44</v>
      </c>
      <c r="L32" s="189">
        <v>11.19</v>
      </c>
      <c r="M32" s="189">
        <v>87.71</v>
      </c>
      <c r="N32" s="189">
        <v>0</v>
      </c>
      <c r="O32" s="189">
        <v>0</v>
      </c>
      <c r="P32" s="189">
        <v>1.1499999999999999</v>
      </c>
      <c r="Q32" s="189">
        <v>5.57</v>
      </c>
    </row>
    <row r="33" spans="1:17" customFormat="1">
      <c r="A33" s="6" t="s">
        <v>1415</v>
      </c>
      <c r="B33" s="189">
        <v>33.44</v>
      </c>
      <c r="C33" s="189">
        <v>34.6</v>
      </c>
      <c r="D33" s="189">
        <v>46.25</v>
      </c>
      <c r="E33" s="189">
        <v>6.05</v>
      </c>
      <c r="F33" s="189">
        <v>2.78</v>
      </c>
      <c r="G33" s="189">
        <v>109.78</v>
      </c>
      <c r="H33" s="189">
        <v>64.819999999999993</v>
      </c>
      <c r="I33" s="189">
        <v>15.2</v>
      </c>
      <c r="J33" s="189">
        <v>0.11</v>
      </c>
      <c r="K33" s="189">
        <v>238.06</v>
      </c>
      <c r="L33" s="189">
        <v>10.84</v>
      </c>
      <c r="M33" s="189">
        <v>90.23</v>
      </c>
      <c r="N33" s="189">
        <v>0</v>
      </c>
      <c r="O33" s="189">
        <v>0</v>
      </c>
      <c r="P33" s="189">
        <v>1.1100000000000001</v>
      </c>
      <c r="Q33" s="189">
        <v>5.55</v>
      </c>
    </row>
    <row r="34" spans="1:17" customFormat="1">
      <c r="A34" s="6" t="s">
        <v>1416</v>
      </c>
      <c r="B34" s="189">
        <v>31.54</v>
      </c>
      <c r="C34" s="189">
        <v>33.75</v>
      </c>
      <c r="D34" s="189">
        <v>44.28</v>
      </c>
      <c r="E34" s="189">
        <v>6.36</v>
      </c>
      <c r="F34" s="189">
        <v>2.65</v>
      </c>
      <c r="G34" s="189">
        <v>109.78</v>
      </c>
      <c r="H34" s="189">
        <v>64.819999999999993</v>
      </c>
      <c r="I34" s="189">
        <v>14.79</v>
      </c>
      <c r="J34" s="189">
        <v>0.15</v>
      </c>
      <c r="K34" s="189">
        <v>226.17</v>
      </c>
      <c r="L34" s="189">
        <v>10.82</v>
      </c>
      <c r="M34" s="189">
        <v>92.44</v>
      </c>
      <c r="N34" s="189">
        <v>0</v>
      </c>
      <c r="O34" s="189">
        <v>0</v>
      </c>
      <c r="P34" s="189">
        <v>1.0900000000000001</v>
      </c>
      <c r="Q34" s="189">
        <v>5.51</v>
      </c>
    </row>
    <row r="35" spans="1:17" customFormat="1">
      <c r="A35" s="6" t="s">
        <v>1417</v>
      </c>
      <c r="B35" s="189">
        <v>29.62</v>
      </c>
      <c r="C35" s="189">
        <v>32.549999999999997</v>
      </c>
      <c r="D35" s="189">
        <v>42.11</v>
      </c>
      <c r="E35" s="189">
        <v>6.04</v>
      </c>
      <c r="F35" s="189">
        <v>2.71</v>
      </c>
      <c r="G35" s="189">
        <v>91.43</v>
      </c>
      <c r="H35" s="189">
        <v>52.27</v>
      </c>
      <c r="I35" s="189">
        <v>14.43</v>
      </c>
      <c r="J35" s="189">
        <v>0.04</v>
      </c>
      <c r="K35" s="189">
        <v>218.19</v>
      </c>
      <c r="L35" s="189">
        <v>10.55</v>
      </c>
      <c r="M35" s="189">
        <v>92.84</v>
      </c>
      <c r="N35" s="189">
        <v>0.9</v>
      </c>
      <c r="O35" s="189">
        <v>0</v>
      </c>
      <c r="P35" s="189">
        <v>1.08</v>
      </c>
      <c r="Q35" s="189">
        <v>5.43</v>
      </c>
    </row>
    <row r="36" spans="1:17" customFormat="1">
      <c r="A36" s="6" t="s">
        <v>1418</v>
      </c>
      <c r="B36" s="189">
        <v>27.88</v>
      </c>
      <c r="C36" s="189">
        <v>31.26</v>
      </c>
      <c r="D36" s="189">
        <v>40.04</v>
      </c>
      <c r="E36" s="189">
        <v>5.82</v>
      </c>
      <c r="F36" s="189">
        <v>2.82</v>
      </c>
      <c r="G36" s="189">
        <v>88.88</v>
      </c>
      <c r="H36" s="189">
        <v>52.27</v>
      </c>
      <c r="I36" s="189">
        <v>14.12</v>
      </c>
      <c r="J36" s="189">
        <v>0.15</v>
      </c>
      <c r="K36" s="189">
        <v>265.76</v>
      </c>
      <c r="L36" s="189">
        <v>10.74</v>
      </c>
      <c r="M36" s="189">
        <v>91.39</v>
      </c>
      <c r="N36" s="189">
        <v>9.4</v>
      </c>
      <c r="O36" s="189">
        <v>0</v>
      </c>
      <c r="P36" s="189">
        <v>1.05</v>
      </c>
      <c r="Q36" s="189">
        <v>5.4</v>
      </c>
    </row>
    <row r="37" spans="1:17" customFormat="1">
      <c r="A37" s="6" t="s">
        <v>1419</v>
      </c>
      <c r="B37" s="189">
        <v>26.4</v>
      </c>
      <c r="C37" s="189">
        <v>30.2</v>
      </c>
      <c r="D37" s="189">
        <v>38.299999999999997</v>
      </c>
      <c r="E37" s="189">
        <v>5.65</v>
      </c>
      <c r="F37" s="189">
        <v>2.62</v>
      </c>
      <c r="G37" s="189">
        <v>88.88</v>
      </c>
      <c r="H37" s="189">
        <v>52.27</v>
      </c>
      <c r="I37" s="189">
        <v>13.88</v>
      </c>
      <c r="J37" s="189">
        <v>0.26</v>
      </c>
      <c r="K37" s="189">
        <v>273.98</v>
      </c>
      <c r="L37" s="189">
        <v>11.11</v>
      </c>
      <c r="M37" s="189">
        <v>87.56</v>
      </c>
      <c r="N37" s="189">
        <v>32.799999999999997</v>
      </c>
      <c r="O37" s="189">
        <v>0</v>
      </c>
      <c r="P37" s="189">
        <v>1.05</v>
      </c>
      <c r="Q37" s="189">
        <v>5.38</v>
      </c>
    </row>
    <row r="38" spans="1:17" customFormat="1">
      <c r="A38" s="6" t="s">
        <v>1420</v>
      </c>
      <c r="B38" s="189">
        <v>24.91</v>
      </c>
      <c r="C38" s="189">
        <v>30</v>
      </c>
      <c r="D38" s="189">
        <v>37</v>
      </c>
      <c r="E38" s="189">
        <v>5.56</v>
      </c>
      <c r="F38" s="189">
        <v>2.57</v>
      </c>
      <c r="G38" s="189">
        <v>88.88</v>
      </c>
      <c r="H38" s="189">
        <v>52.27</v>
      </c>
      <c r="I38" s="189">
        <v>13.69</v>
      </c>
      <c r="J38" s="189">
        <v>0.13</v>
      </c>
      <c r="K38" s="189">
        <v>228.8</v>
      </c>
      <c r="L38" s="189">
        <v>12.1</v>
      </c>
      <c r="M38" s="189">
        <v>81.72</v>
      </c>
      <c r="N38" s="189">
        <v>49.5</v>
      </c>
      <c r="O38" s="189">
        <v>0</v>
      </c>
      <c r="P38" s="189">
        <v>1.05</v>
      </c>
      <c r="Q38" s="189">
        <v>5.33</v>
      </c>
    </row>
    <row r="39" spans="1:17" customFormat="1">
      <c r="A39" s="6" t="s">
        <v>1421</v>
      </c>
      <c r="B39" s="189">
        <v>23.48</v>
      </c>
      <c r="C39" s="189">
        <v>30.73</v>
      </c>
      <c r="D39" s="189">
        <v>36.24</v>
      </c>
      <c r="E39" s="189">
        <v>6.14</v>
      </c>
      <c r="F39" s="189">
        <v>2.64</v>
      </c>
      <c r="G39" s="189">
        <v>88.22</v>
      </c>
      <c r="H39" s="189">
        <v>52.11</v>
      </c>
      <c r="I39" s="189">
        <v>13.55</v>
      </c>
      <c r="J39" s="189">
        <v>0.11</v>
      </c>
      <c r="K39" s="189">
        <v>232.4</v>
      </c>
      <c r="L39" s="189">
        <v>13.21</v>
      </c>
      <c r="M39" s="189">
        <v>76.56</v>
      </c>
      <c r="N39" s="189">
        <v>54</v>
      </c>
      <c r="O39" s="189">
        <v>0</v>
      </c>
      <c r="P39" s="189">
        <v>1.05</v>
      </c>
      <c r="Q39" s="189">
        <v>5.31</v>
      </c>
    </row>
    <row r="40" spans="1:17" customFormat="1">
      <c r="A40" s="6" t="s">
        <v>1422</v>
      </c>
      <c r="B40" s="189">
        <v>22.06</v>
      </c>
      <c r="C40" s="189">
        <v>32.32</v>
      </c>
      <c r="D40" s="189">
        <v>35.93</v>
      </c>
      <c r="E40" s="189">
        <v>5.46</v>
      </c>
      <c r="F40" s="189">
        <v>2.75</v>
      </c>
      <c r="G40" s="189">
        <v>88.13</v>
      </c>
      <c r="H40" s="189">
        <v>52.11</v>
      </c>
      <c r="I40" s="189">
        <v>13.48</v>
      </c>
      <c r="J40" s="189">
        <v>0.21</v>
      </c>
      <c r="K40" s="189">
        <v>87.05</v>
      </c>
      <c r="L40" s="189">
        <v>14.16</v>
      </c>
      <c r="M40" s="189">
        <v>70.63</v>
      </c>
      <c r="N40" s="189">
        <v>55.4</v>
      </c>
      <c r="O40" s="189">
        <v>0</v>
      </c>
      <c r="P40" s="189">
        <v>1.04</v>
      </c>
      <c r="Q40" s="189">
        <v>5.3</v>
      </c>
    </row>
    <row r="41" spans="1:17" customFormat="1">
      <c r="A41" s="6" t="s">
        <v>1423</v>
      </c>
      <c r="B41" s="189">
        <v>20.65</v>
      </c>
      <c r="C41" s="189">
        <v>32.549999999999997</v>
      </c>
      <c r="D41" s="189">
        <v>34.92</v>
      </c>
      <c r="E41" s="189">
        <v>5.99</v>
      </c>
      <c r="F41" s="189">
        <v>2.71</v>
      </c>
      <c r="G41" s="189">
        <v>88.13</v>
      </c>
      <c r="H41" s="189">
        <v>52.11</v>
      </c>
      <c r="I41" s="189">
        <v>13.55</v>
      </c>
      <c r="J41" s="189">
        <v>0.21</v>
      </c>
      <c r="K41" s="189">
        <v>77.92</v>
      </c>
      <c r="L41" s="189">
        <v>14.74</v>
      </c>
      <c r="M41" s="189">
        <v>68.09</v>
      </c>
      <c r="N41" s="189">
        <v>66.400000000000006</v>
      </c>
      <c r="O41" s="189">
        <v>0</v>
      </c>
      <c r="P41" s="189">
        <v>1.01</v>
      </c>
      <c r="Q41" s="189">
        <v>5.27</v>
      </c>
    </row>
    <row r="42" spans="1:17" customFormat="1">
      <c r="A42" s="6" t="s">
        <v>1424</v>
      </c>
      <c r="B42" s="189">
        <v>19.399999999999999</v>
      </c>
      <c r="C42" s="189">
        <v>31.99</v>
      </c>
      <c r="D42" s="189">
        <v>33.619999999999997</v>
      </c>
      <c r="E42" s="189">
        <v>6.01</v>
      </c>
      <c r="F42" s="189">
        <v>2.87</v>
      </c>
      <c r="G42" s="189">
        <v>88.13</v>
      </c>
      <c r="H42" s="189">
        <v>52.11</v>
      </c>
      <c r="I42" s="189">
        <v>13.45</v>
      </c>
      <c r="J42" s="189">
        <v>0.21</v>
      </c>
      <c r="K42" s="189">
        <v>102.4</v>
      </c>
      <c r="L42" s="189">
        <v>15.41</v>
      </c>
      <c r="M42" s="189">
        <v>63.74</v>
      </c>
      <c r="N42" s="189">
        <v>141.69999999999999</v>
      </c>
      <c r="O42" s="189">
        <v>0</v>
      </c>
      <c r="P42" s="189">
        <v>0.98</v>
      </c>
      <c r="Q42" s="189">
        <v>5.25</v>
      </c>
    </row>
    <row r="43" spans="1:17" customFormat="1">
      <c r="A43" s="6" t="s">
        <v>1425</v>
      </c>
      <c r="B43" s="189">
        <v>18.02</v>
      </c>
      <c r="C43" s="189">
        <v>31.37</v>
      </c>
      <c r="D43" s="189">
        <v>32.19</v>
      </c>
      <c r="E43" s="189">
        <v>5.82</v>
      </c>
      <c r="F43" s="189">
        <v>2.87</v>
      </c>
      <c r="G43" s="189">
        <v>77.989999999999995</v>
      </c>
      <c r="H43" s="189">
        <v>47.22</v>
      </c>
      <c r="I43" s="189">
        <v>13.2</v>
      </c>
      <c r="J43" s="189">
        <v>0.24</v>
      </c>
      <c r="K43" s="189">
        <v>138.01</v>
      </c>
      <c r="L43" s="189">
        <v>16.5</v>
      </c>
      <c r="M43" s="189">
        <v>59.41</v>
      </c>
      <c r="N43" s="189">
        <v>224.1</v>
      </c>
      <c r="O43" s="189">
        <v>0</v>
      </c>
      <c r="P43" s="189">
        <v>0.95</v>
      </c>
      <c r="Q43" s="189">
        <v>5.2</v>
      </c>
    </row>
    <row r="44" spans="1:17" customFormat="1">
      <c r="A44" s="6" t="s">
        <v>1426</v>
      </c>
      <c r="B44" s="189">
        <v>16.46</v>
      </c>
      <c r="C44" s="189">
        <v>31.09</v>
      </c>
      <c r="D44" s="189">
        <v>30.79</v>
      </c>
      <c r="E44" s="189">
        <v>5.97</v>
      </c>
      <c r="F44" s="189">
        <v>3.04</v>
      </c>
      <c r="G44" s="189">
        <v>76.58</v>
      </c>
      <c r="H44" s="189">
        <v>47.22</v>
      </c>
      <c r="I44" s="189">
        <v>12.89</v>
      </c>
      <c r="J44" s="189">
        <v>0.39</v>
      </c>
      <c r="K44" s="189">
        <v>62.05</v>
      </c>
      <c r="L44" s="189">
        <v>17.84</v>
      </c>
      <c r="M44" s="189">
        <v>54.21</v>
      </c>
      <c r="N44" s="189">
        <v>209.1</v>
      </c>
      <c r="O44" s="189">
        <v>0</v>
      </c>
      <c r="P44" s="189">
        <v>0.92</v>
      </c>
      <c r="Q44" s="189">
        <v>5.19</v>
      </c>
    </row>
    <row r="45" spans="1:17" customFormat="1">
      <c r="A45" s="6" t="s">
        <v>1427</v>
      </c>
      <c r="B45" s="189">
        <v>15.5</v>
      </c>
      <c r="C45" s="189">
        <v>31.3</v>
      </c>
      <c r="D45" s="189">
        <v>30.14</v>
      </c>
      <c r="E45" s="189">
        <v>5.72</v>
      </c>
      <c r="F45" s="189">
        <v>2.81</v>
      </c>
      <c r="G45" s="189">
        <v>76.58</v>
      </c>
      <c r="H45" s="189">
        <v>47.22</v>
      </c>
      <c r="I45" s="189">
        <v>12.53</v>
      </c>
      <c r="J45" s="189">
        <v>0.28000000000000003</v>
      </c>
      <c r="K45" s="189">
        <v>53.8</v>
      </c>
      <c r="L45" s="189">
        <v>18.36</v>
      </c>
      <c r="M45" s="189">
        <v>53.05</v>
      </c>
      <c r="N45" s="189">
        <v>113</v>
      </c>
      <c r="O45" s="189">
        <v>0</v>
      </c>
      <c r="P45" s="189">
        <v>0.9</v>
      </c>
      <c r="Q45" s="189">
        <v>5.16</v>
      </c>
    </row>
    <row r="46" spans="1:17" customFormat="1">
      <c r="A46" s="6" t="s">
        <v>1428</v>
      </c>
      <c r="B46" s="189">
        <v>14.79</v>
      </c>
      <c r="C46" s="189">
        <v>31.09</v>
      </c>
      <c r="D46" s="189">
        <v>29.46</v>
      </c>
      <c r="E46" s="189">
        <v>6.01</v>
      </c>
      <c r="F46" s="189">
        <v>2.93</v>
      </c>
      <c r="G46" s="189">
        <v>76.58</v>
      </c>
      <c r="H46" s="189">
        <v>47.22</v>
      </c>
      <c r="I46" s="189">
        <v>12.16</v>
      </c>
      <c r="J46" s="189">
        <v>0.4</v>
      </c>
      <c r="K46" s="189">
        <v>45.27</v>
      </c>
      <c r="L46" s="189">
        <v>19.329999999999998</v>
      </c>
      <c r="M46" s="189">
        <v>49.94</v>
      </c>
      <c r="N46" s="189">
        <v>103.6</v>
      </c>
      <c r="O46" s="189">
        <v>0</v>
      </c>
      <c r="P46" s="189">
        <v>0.88</v>
      </c>
      <c r="Q46" s="189">
        <v>5.13</v>
      </c>
    </row>
    <row r="47" spans="1:17" customFormat="1">
      <c r="A47" s="6" t="s">
        <v>1429</v>
      </c>
      <c r="B47" s="189">
        <v>14.13</v>
      </c>
      <c r="C47" s="189">
        <v>29.72</v>
      </c>
      <c r="D47" s="189">
        <v>28.2</v>
      </c>
      <c r="E47" s="189">
        <v>6.25</v>
      </c>
      <c r="F47" s="189">
        <v>3.06</v>
      </c>
      <c r="G47" s="189">
        <v>74.489999999999995</v>
      </c>
      <c r="H47" s="189">
        <v>42.04</v>
      </c>
      <c r="I47" s="189">
        <v>11.89</v>
      </c>
      <c r="J47" s="189">
        <v>0.43</v>
      </c>
      <c r="K47" s="189">
        <v>54.21</v>
      </c>
      <c r="L47" s="189">
        <v>19.670000000000002</v>
      </c>
      <c r="M47" s="189">
        <v>47.58</v>
      </c>
      <c r="N47" s="189">
        <v>125.2</v>
      </c>
      <c r="O47" s="189">
        <v>0</v>
      </c>
      <c r="P47" s="189">
        <v>0.86</v>
      </c>
      <c r="Q47" s="189">
        <v>5.12</v>
      </c>
    </row>
    <row r="48" spans="1:17" customFormat="1">
      <c r="A48" s="6" t="s">
        <v>1430</v>
      </c>
      <c r="B48" s="189">
        <v>13.61</v>
      </c>
      <c r="C48" s="189">
        <v>30.25</v>
      </c>
      <c r="D48" s="189">
        <v>28.07</v>
      </c>
      <c r="E48" s="189">
        <v>5.87</v>
      </c>
      <c r="F48" s="189">
        <v>2.9</v>
      </c>
      <c r="G48" s="189">
        <v>74.2</v>
      </c>
      <c r="H48" s="189">
        <v>42.04</v>
      </c>
      <c r="I48" s="189">
        <v>11.67</v>
      </c>
      <c r="J48" s="189">
        <v>0.43</v>
      </c>
      <c r="K48" s="189">
        <v>61.04</v>
      </c>
      <c r="L48" s="189">
        <v>20.45</v>
      </c>
      <c r="M48" s="189">
        <v>44.37</v>
      </c>
      <c r="N48" s="189">
        <v>180.3</v>
      </c>
      <c r="O48" s="189">
        <v>0</v>
      </c>
      <c r="P48" s="189">
        <v>0.83</v>
      </c>
      <c r="Q48" s="189">
        <v>5.1100000000000003</v>
      </c>
    </row>
    <row r="49" spans="1:17" customFormat="1">
      <c r="A49" s="6" t="s">
        <v>1431</v>
      </c>
      <c r="B49" s="189">
        <v>13.38</v>
      </c>
      <c r="C49" s="189">
        <v>29.63</v>
      </c>
      <c r="D49" s="189">
        <v>27.56</v>
      </c>
      <c r="E49" s="189">
        <v>7.58</v>
      </c>
      <c r="F49" s="189">
        <v>2.79</v>
      </c>
      <c r="G49" s="189">
        <v>74.2</v>
      </c>
      <c r="H49" s="189">
        <v>42.04</v>
      </c>
      <c r="I49" s="189">
        <v>11.5</v>
      </c>
      <c r="J49" s="189">
        <v>0.66</v>
      </c>
      <c r="K49" s="189">
        <v>49.95</v>
      </c>
      <c r="L49" s="189">
        <v>20.46</v>
      </c>
      <c r="M49" s="189">
        <v>42.41</v>
      </c>
      <c r="N49" s="189">
        <v>396.2</v>
      </c>
      <c r="O49" s="189">
        <v>0</v>
      </c>
      <c r="P49" s="189">
        <v>0.81</v>
      </c>
      <c r="Q49" s="189">
        <v>5.0999999999999996</v>
      </c>
    </row>
    <row r="50" spans="1:17" customFormat="1">
      <c r="A50" s="6" t="s">
        <v>1432</v>
      </c>
      <c r="B50" s="189">
        <v>13.12</v>
      </c>
      <c r="C50" s="189">
        <v>30.37</v>
      </c>
      <c r="D50" s="189">
        <v>27.73</v>
      </c>
      <c r="E50" s="189">
        <v>8.44</v>
      </c>
      <c r="F50" s="189">
        <v>2.82</v>
      </c>
      <c r="G50" s="189">
        <v>74.2</v>
      </c>
      <c r="H50" s="189">
        <v>42.04</v>
      </c>
      <c r="I50" s="189">
        <v>11.35</v>
      </c>
      <c r="J50" s="189">
        <v>0.55000000000000004</v>
      </c>
      <c r="K50" s="189">
        <v>55.2</v>
      </c>
      <c r="L50" s="189">
        <v>21.05</v>
      </c>
      <c r="M50" s="189">
        <v>40.229999999999997</v>
      </c>
      <c r="N50" s="189">
        <v>454.9</v>
      </c>
      <c r="O50" s="189">
        <v>0</v>
      </c>
      <c r="P50" s="189">
        <v>0.81</v>
      </c>
      <c r="Q50" s="189">
        <v>5.08</v>
      </c>
    </row>
    <row r="51" spans="1:17" customFormat="1">
      <c r="A51" s="6" t="s">
        <v>1433</v>
      </c>
      <c r="B51" s="189">
        <v>12.66</v>
      </c>
      <c r="C51" s="189">
        <v>30.08</v>
      </c>
      <c r="D51" s="189">
        <v>27.22</v>
      </c>
      <c r="E51" s="189">
        <v>8.9600000000000009</v>
      </c>
      <c r="F51" s="189">
        <v>2.88</v>
      </c>
      <c r="G51" s="189">
        <v>73.5</v>
      </c>
      <c r="H51" s="189">
        <v>37.409999999999997</v>
      </c>
      <c r="I51" s="189">
        <v>11.15</v>
      </c>
      <c r="J51" s="189">
        <v>0.47</v>
      </c>
      <c r="K51" s="189">
        <v>61.45</v>
      </c>
      <c r="L51" s="189">
        <v>21.43</v>
      </c>
      <c r="M51" s="189">
        <v>38.96</v>
      </c>
      <c r="N51" s="189">
        <v>360.1</v>
      </c>
      <c r="O51" s="189">
        <v>0</v>
      </c>
      <c r="P51" s="189">
        <v>0.8</v>
      </c>
      <c r="Q51" s="189">
        <v>5.09</v>
      </c>
    </row>
    <row r="52" spans="1:17" customFormat="1">
      <c r="A52" s="6" t="s">
        <v>1434</v>
      </c>
      <c r="B52" s="189">
        <v>12.15</v>
      </c>
      <c r="C52" s="189">
        <v>29.48</v>
      </c>
      <c r="D52" s="189">
        <v>26.5</v>
      </c>
      <c r="E52" s="189">
        <v>8.5399999999999991</v>
      </c>
      <c r="F52" s="189">
        <v>2.9</v>
      </c>
      <c r="G52" s="189">
        <v>73.41</v>
      </c>
      <c r="H52" s="189">
        <v>37.409999999999997</v>
      </c>
      <c r="I52" s="189">
        <v>10.95</v>
      </c>
      <c r="J52" s="189">
        <v>0.39</v>
      </c>
      <c r="K52" s="189">
        <v>87.19</v>
      </c>
      <c r="L52" s="189">
        <v>22.4</v>
      </c>
      <c r="M52" s="189">
        <v>36.35</v>
      </c>
      <c r="N52" s="189">
        <v>506.4</v>
      </c>
      <c r="O52" s="189">
        <v>0</v>
      </c>
      <c r="P52" s="189">
        <v>0.77</v>
      </c>
      <c r="Q52" s="189">
        <v>5.08</v>
      </c>
    </row>
    <row r="53" spans="1:17" customFormat="1">
      <c r="A53" s="6" t="s">
        <v>1435</v>
      </c>
      <c r="B53" s="189">
        <v>11.52</v>
      </c>
      <c r="C53" s="189">
        <v>29.44</v>
      </c>
      <c r="D53" s="189">
        <v>25.97</v>
      </c>
      <c r="E53" s="189">
        <v>8.7100000000000009</v>
      </c>
      <c r="F53" s="189">
        <v>2.89</v>
      </c>
      <c r="G53" s="189">
        <v>73.41</v>
      </c>
      <c r="H53" s="189">
        <v>37.409999999999997</v>
      </c>
      <c r="I53" s="189">
        <v>10.78</v>
      </c>
      <c r="J53" s="189">
        <v>0.48</v>
      </c>
      <c r="K53" s="189">
        <v>49.19</v>
      </c>
      <c r="L53" s="189">
        <v>22.76</v>
      </c>
      <c r="M53" s="189">
        <v>37.06</v>
      </c>
      <c r="N53" s="189">
        <v>495.7</v>
      </c>
      <c r="O53" s="189">
        <v>0</v>
      </c>
      <c r="P53" s="189">
        <v>0.76</v>
      </c>
      <c r="Q53" s="189">
        <v>5.0599999999999996</v>
      </c>
    </row>
    <row r="54" spans="1:17" customFormat="1">
      <c r="A54" s="6" t="s">
        <v>1436</v>
      </c>
      <c r="B54" s="189">
        <v>11.06</v>
      </c>
      <c r="C54" s="189">
        <v>28.78</v>
      </c>
      <c r="D54" s="189">
        <v>25.26</v>
      </c>
      <c r="E54" s="189">
        <v>9.1999999999999993</v>
      </c>
      <c r="F54" s="189">
        <v>3.01</v>
      </c>
      <c r="G54" s="189">
        <v>73.41</v>
      </c>
      <c r="H54" s="189">
        <v>37.409999999999997</v>
      </c>
      <c r="I54" s="189">
        <v>10.58</v>
      </c>
      <c r="J54" s="189">
        <v>0.62</v>
      </c>
      <c r="K54" s="189">
        <v>48.15</v>
      </c>
      <c r="L54" s="189">
        <v>23</v>
      </c>
      <c r="M54" s="189">
        <v>36.36</v>
      </c>
      <c r="N54" s="189">
        <v>520.4</v>
      </c>
      <c r="O54" s="189">
        <v>0</v>
      </c>
      <c r="P54" s="189">
        <v>0.76</v>
      </c>
      <c r="Q54" s="189">
        <v>5.05</v>
      </c>
    </row>
    <row r="55" spans="1:17" customFormat="1">
      <c r="A55" s="6" t="s">
        <v>1437</v>
      </c>
      <c r="B55" s="189">
        <v>10.49</v>
      </c>
      <c r="C55" s="189">
        <v>28.9</v>
      </c>
      <c r="D55" s="189">
        <v>24.86</v>
      </c>
      <c r="E55" s="189">
        <v>8.66</v>
      </c>
      <c r="F55" s="189">
        <v>2.92</v>
      </c>
      <c r="G55" s="189">
        <v>70.87</v>
      </c>
      <c r="H55" s="189">
        <v>36.979999999999997</v>
      </c>
      <c r="I55" s="189">
        <v>10.41</v>
      </c>
      <c r="J55" s="189">
        <v>0.32</v>
      </c>
      <c r="K55" s="189">
        <v>51.57</v>
      </c>
      <c r="L55" s="189">
        <v>23.49</v>
      </c>
      <c r="M55" s="189">
        <v>35.380000000000003</v>
      </c>
      <c r="N55" s="189">
        <v>533.20000000000005</v>
      </c>
      <c r="O55" s="189">
        <v>0</v>
      </c>
      <c r="P55" s="189">
        <v>0.75</v>
      </c>
      <c r="Q55" s="189">
        <v>5.03</v>
      </c>
    </row>
    <row r="56" spans="1:17" customFormat="1">
      <c r="A56" s="6" t="s">
        <v>1438</v>
      </c>
      <c r="B56" s="189">
        <v>10.06</v>
      </c>
      <c r="C56" s="189">
        <v>28.53</v>
      </c>
      <c r="D56" s="189">
        <v>24.32</v>
      </c>
      <c r="E56" s="189">
        <v>8.9499999999999993</v>
      </c>
      <c r="F56" s="189">
        <v>2.94</v>
      </c>
      <c r="G56" s="189">
        <v>70.52</v>
      </c>
      <c r="H56" s="189">
        <v>36.979999999999997</v>
      </c>
      <c r="I56" s="189">
        <v>10.26</v>
      </c>
      <c r="J56" s="189">
        <v>0.28000000000000003</v>
      </c>
      <c r="K56" s="189">
        <v>51.24</v>
      </c>
      <c r="L56" s="189">
        <v>23.98</v>
      </c>
      <c r="M56" s="189">
        <v>33.54</v>
      </c>
      <c r="N56" s="189">
        <v>527.20000000000005</v>
      </c>
      <c r="O56" s="189">
        <v>0</v>
      </c>
      <c r="P56" s="189">
        <v>0.73</v>
      </c>
      <c r="Q56" s="189">
        <v>5</v>
      </c>
    </row>
    <row r="57" spans="1:17" customFormat="1">
      <c r="A57" s="6" t="s">
        <v>1439</v>
      </c>
      <c r="B57" s="189">
        <v>9.66</v>
      </c>
      <c r="C57" s="189">
        <v>28.19</v>
      </c>
      <c r="D57" s="189">
        <v>23.82</v>
      </c>
      <c r="E57" s="189">
        <v>9.2200000000000006</v>
      </c>
      <c r="F57" s="189">
        <v>3.08</v>
      </c>
      <c r="G57" s="189">
        <v>70.52</v>
      </c>
      <c r="H57" s="189">
        <v>36.979999999999997</v>
      </c>
      <c r="I57" s="189">
        <v>10.1</v>
      </c>
      <c r="J57" s="189">
        <v>0.38</v>
      </c>
      <c r="K57" s="189">
        <v>27.06</v>
      </c>
      <c r="L57" s="189">
        <v>24.55</v>
      </c>
      <c r="M57" s="189">
        <v>32.08</v>
      </c>
      <c r="N57" s="189">
        <v>534.79999999999995</v>
      </c>
      <c r="O57" s="189">
        <v>0</v>
      </c>
      <c r="P57" s="189">
        <v>0.73</v>
      </c>
      <c r="Q57" s="189">
        <v>5.01</v>
      </c>
    </row>
    <row r="58" spans="1:17" customFormat="1">
      <c r="A58" s="6" t="s">
        <v>1440</v>
      </c>
      <c r="B58" s="189">
        <v>9.3699999999999992</v>
      </c>
      <c r="C58" s="189">
        <v>28.6</v>
      </c>
      <c r="D58" s="189">
        <v>23.81</v>
      </c>
      <c r="E58" s="189">
        <v>8.94</v>
      </c>
      <c r="F58" s="189">
        <v>3.08</v>
      </c>
      <c r="G58" s="189">
        <v>70.52</v>
      </c>
      <c r="H58" s="189">
        <v>36.979999999999997</v>
      </c>
      <c r="I58" s="189">
        <v>9.9499999999999993</v>
      </c>
      <c r="J58" s="189">
        <v>0.32</v>
      </c>
      <c r="K58" s="189">
        <v>26.57</v>
      </c>
      <c r="L58" s="189">
        <v>24.6</v>
      </c>
      <c r="M58" s="189">
        <v>31.02</v>
      </c>
      <c r="N58" s="189">
        <v>526.29999999999995</v>
      </c>
      <c r="O58" s="189">
        <v>0</v>
      </c>
      <c r="P58" s="189">
        <v>0.72</v>
      </c>
      <c r="Q58" s="189">
        <v>5.0199999999999996</v>
      </c>
    </row>
    <row r="59" spans="1:17" customFormat="1">
      <c r="A59" s="6" t="s">
        <v>1441</v>
      </c>
      <c r="B59" s="189">
        <v>9.19</v>
      </c>
      <c r="C59" s="189">
        <v>27.86</v>
      </c>
      <c r="D59" s="189">
        <v>23.28</v>
      </c>
      <c r="E59" s="189">
        <v>9.76</v>
      </c>
      <c r="F59" s="189">
        <v>3.19</v>
      </c>
      <c r="G59" s="189">
        <v>77.739999999999995</v>
      </c>
      <c r="H59" s="189">
        <v>35.9</v>
      </c>
      <c r="I59" s="189">
        <v>9.8000000000000007</v>
      </c>
      <c r="J59" s="189">
        <v>0.56999999999999995</v>
      </c>
      <c r="K59" s="189">
        <v>30.21</v>
      </c>
      <c r="L59" s="189">
        <v>24.75</v>
      </c>
      <c r="M59" s="189">
        <v>30.44</v>
      </c>
      <c r="N59" s="189">
        <v>522.4</v>
      </c>
      <c r="O59" s="189">
        <v>0</v>
      </c>
      <c r="P59" s="189">
        <v>0.71</v>
      </c>
      <c r="Q59" s="189">
        <v>5.01</v>
      </c>
    </row>
    <row r="60" spans="1:17" customFormat="1">
      <c r="A60" s="6" t="s">
        <v>1442</v>
      </c>
      <c r="B60" s="189">
        <v>8.9700000000000006</v>
      </c>
      <c r="C60" s="189">
        <v>28.37</v>
      </c>
      <c r="D60" s="189">
        <v>23.37</v>
      </c>
      <c r="E60" s="189">
        <v>9.48</v>
      </c>
      <c r="F60" s="189">
        <v>3.03</v>
      </c>
      <c r="G60" s="189">
        <v>78.75</v>
      </c>
      <c r="H60" s="189">
        <v>35.9</v>
      </c>
      <c r="I60" s="189">
        <v>9.65</v>
      </c>
      <c r="J60" s="189">
        <v>0.11</v>
      </c>
      <c r="K60" s="189">
        <v>195.18</v>
      </c>
      <c r="L60" s="189">
        <v>24.98</v>
      </c>
      <c r="M60" s="189">
        <v>29.46</v>
      </c>
      <c r="N60" s="189">
        <v>501.7</v>
      </c>
      <c r="O60" s="189">
        <v>0</v>
      </c>
      <c r="P60" s="189">
        <v>0.71</v>
      </c>
      <c r="Q60" s="189">
        <v>5.0199999999999996</v>
      </c>
    </row>
    <row r="61" spans="1:17" customFormat="1">
      <c r="A61" s="6" t="s">
        <v>1443</v>
      </c>
      <c r="B61" s="189">
        <v>8.65</v>
      </c>
      <c r="C61" s="189">
        <v>28.05</v>
      </c>
      <c r="D61" s="189">
        <v>22.95</v>
      </c>
      <c r="E61" s="189">
        <v>9.77</v>
      </c>
      <c r="F61" s="189">
        <v>3.1</v>
      </c>
      <c r="G61" s="189">
        <v>78.75</v>
      </c>
      <c r="H61" s="189">
        <v>35.9</v>
      </c>
      <c r="I61" s="189">
        <v>9.5</v>
      </c>
      <c r="J61" s="189">
        <v>0.25</v>
      </c>
      <c r="K61" s="189">
        <v>351.33</v>
      </c>
      <c r="L61" s="189">
        <v>25.28</v>
      </c>
      <c r="M61" s="189">
        <v>28.25</v>
      </c>
      <c r="N61" s="189">
        <v>482.6</v>
      </c>
      <c r="O61" s="189">
        <v>0</v>
      </c>
      <c r="P61" s="189">
        <v>0.7</v>
      </c>
      <c r="Q61" s="189">
        <v>5</v>
      </c>
    </row>
    <row r="62" spans="1:17" customFormat="1">
      <c r="A62" s="6" t="s">
        <v>1444</v>
      </c>
      <c r="B62" s="189">
        <v>8.1999999999999993</v>
      </c>
      <c r="C62" s="189">
        <v>27.41</v>
      </c>
      <c r="D62" s="189">
        <v>22.25</v>
      </c>
      <c r="E62" s="189">
        <v>9.7799999999999994</v>
      </c>
      <c r="F62" s="189">
        <v>3.27</v>
      </c>
      <c r="G62" s="189">
        <v>78.75</v>
      </c>
      <c r="H62" s="189">
        <v>35.9</v>
      </c>
      <c r="I62" s="189">
        <v>9.3800000000000008</v>
      </c>
      <c r="J62" s="189">
        <v>0.25</v>
      </c>
      <c r="K62" s="189">
        <v>160.02000000000001</v>
      </c>
      <c r="L62" s="189">
        <v>25.61</v>
      </c>
      <c r="M62" s="189">
        <v>27.52</v>
      </c>
      <c r="N62" s="189">
        <v>457.1</v>
      </c>
      <c r="O62" s="189">
        <v>0</v>
      </c>
      <c r="P62" s="189">
        <v>0.68</v>
      </c>
      <c r="Q62" s="189">
        <v>5</v>
      </c>
    </row>
    <row r="63" spans="1:17" customFormat="1">
      <c r="A63" s="6" t="s">
        <v>1445</v>
      </c>
      <c r="B63" s="189">
        <v>7.71</v>
      </c>
      <c r="C63" s="189">
        <v>26.87</v>
      </c>
      <c r="D63" s="189">
        <v>21.57</v>
      </c>
      <c r="E63" s="189">
        <v>9.44</v>
      </c>
      <c r="F63" s="189">
        <v>3.21</v>
      </c>
      <c r="G63" s="189">
        <v>74.150000000000006</v>
      </c>
      <c r="H63" s="189">
        <v>33.299999999999997</v>
      </c>
      <c r="I63" s="189">
        <v>9.24</v>
      </c>
      <c r="J63" s="189">
        <v>0.19</v>
      </c>
      <c r="K63" s="189">
        <v>80.739999999999995</v>
      </c>
      <c r="L63" s="189">
        <v>26.02</v>
      </c>
      <c r="M63" s="189">
        <v>27.44</v>
      </c>
      <c r="N63" s="189">
        <v>459.2</v>
      </c>
      <c r="O63" s="189">
        <v>0</v>
      </c>
      <c r="P63" s="189">
        <v>0.68</v>
      </c>
      <c r="Q63" s="189">
        <v>5</v>
      </c>
    </row>
    <row r="64" spans="1:17" customFormat="1">
      <c r="A64" s="6" t="s">
        <v>1446</v>
      </c>
      <c r="B64" s="189">
        <v>7.38</v>
      </c>
      <c r="C64" s="189">
        <v>26.96</v>
      </c>
      <c r="D64" s="189">
        <v>21.35</v>
      </c>
      <c r="E64" s="189">
        <v>9.56</v>
      </c>
      <c r="F64" s="189">
        <v>3.18</v>
      </c>
      <c r="G64" s="189">
        <v>73.510000000000005</v>
      </c>
      <c r="H64" s="189">
        <v>33.299999999999997</v>
      </c>
      <c r="I64" s="189">
        <v>9.1199999999999992</v>
      </c>
      <c r="J64" s="189">
        <v>0.28000000000000003</v>
      </c>
      <c r="K64" s="189">
        <v>297.57</v>
      </c>
      <c r="L64" s="189">
        <v>25.71</v>
      </c>
      <c r="M64" s="189">
        <v>26.89</v>
      </c>
      <c r="N64" s="189">
        <v>409.5</v>
      </c>
      <c r="O64" s="189">
        <v>0</v>
      </c>
      <c r="P64" s="189">
        <v>0.66</v>
      </c>
      <c r="Q64" s="189">
        <v>4.9800000000000004</v>
      </c>
    </row>
    <row r="65" spans="1:17" customFormat="1">
      <c r="A65" s="6" t="s">
        <v>1447</v>
      </c>
      <c r="B65" s="189">
        <v>6.95</v>
      </c>
      <c r="C65" s="189">
        <v>27.8</v>
      </c>
      <c r="D65" s="189">
        <v>21.45</v>
      </c>
      <c r="E65" s="189">
        <v>10.8</v>
      </c>
      <c r="F65" s="189">
        <v>3.69</v>
      </c>
      <c r="G65" s="189">
        <v>73.510000000000005</v>
      </c>
      <c r="H65" s="189">
        <v>33.299999999999997</v>
      </c>
      <c r="I65" s="189">
        <v>9.01</v>
      </c>
      <c r="J65" s="189">
        <v>0.48</v>
      </c>
      <c r="K65" s="189">
        <v>314.47000000000003</v>
      </c>
      <c r="L65" s="189">
        <v>25.3</v>
      </c>
      <c r="M65" s="189">
        <v>26.52</v>
      </c>
      <c r="N65" s="189">
        <v>159.9</v>
      </c>
      <c r="O65" s="189">
        <v>0</v>
      </c>
      <c r="P65" s="189">
        <v>0.65</v>
      </c>
      <c r="Q65" s="189">
        <v>4.99</v>
      </c>
    </row>
    <row r="66" spans="1:17" customFormat="1">
      <c r="A66" s="6" t="s">
        <v>1448</v>
      </c>
      <c r="B66" s="189">
        <v>6.24</v>
      </c>
      <c r="C66" s="189">
        <v>28.06</v>
      </c>
      <c r="D66" s="189">
        <v>21.01</v>
      </c>
      <c r="E66" s="189">
        <v>10.74</v>
      </c>
      <c r="F66" s="189">
        <v>4.57</v>
      </c>
      <c r="G66" s="189">
        <v>73.510000000000005</v>
      </c>
      <c r="H66" s="189">
        <v>33.299999999999997</v>
      </c>
      <c r="I66" s="189">
        <v>8.86</v>
      </c>
      <c r="J66" s="189">
        <v>0.51</v>
      </c>
      <c r="K66" s="189">
        <v>304.27</v>
      </c>
      <c r="L66" s="189">
        <v>25.06</v>
      </c>
      <c r="M66" s="189">
        <v>25.3</v>
      </c>
      <c r="N66" s="189">
        <v>150.1</v>
      </c>
      <c r="O66" s="189">
        <v>0</v>
      </c>
      <c r="P66" s="189">
        <v>0.67</v>
      </c>
      <c r="Q66" s="189">
        <v>4.95</v>
      </c>
    </row>
    <row r="67" spans="1:17" customFormat="1">
      <c r="A67" s="6" t="s">
        <v>1449</v>
      </c>
      <c r="B67" s="189">
        <v>5.54</v>
      </c>
      <c r="C67" s="189">
        <v>27.72</v>
      </c>
      <c r="D67" s="189">
        <v>20.28</v>
      </c>
      <c r="E67" s="189">
        <v>10.57</v>
      </c>
      <c r="F67" s="189">
        <v>5.54</v>
      </c>
      <c r="G67" s="189">
        <v>71.86</v>
      </c>
      <c r="H67" s="189">
        <v>29.62</v>
      </c>
      <c r="I67" s="189">
        <v>8.67</v>
      </c>
      <c r="J67" s="189">
        <v>0.27</v>
      </c>
      <c r="K67" s="189">
        <v>304.52</v>
      </c>
      <c r="L67" s="189">
        <v>25.04</v>
      </c>
      <c r="M67" s="189">
        <v>26.55</v>
      </c>
      <c r="N67" s="189">
        <v>89.1</v>
      </c>
      <c r="O67" s="189">
        <v>0</v>
      </c>
      <c r="P67" s="189">
        <v>0.66</v>
      </c>
      <c r="Q67" s="189">
        <v>4.95</v>
      </c>
    </row>
    <row r="68" spans="1:17" customFormat="1">
      <c r="A68" s="6" t="s">
        <v>1450</v>
      </c>
      <c r="B68" s="189">
        <v>5.1100000000000003</v>
      </c>
      <c r="C68" s="189">
        <v>27.46</v>
      </c>
      <c r="D68" s="189">
        <v>19.79</v>
      </c>
      <c r="E68" s="189">
        <v>10.81</v>
      </c>
      <c r="F68" s="189">
        <v>5.59</v>
      </c>
      <c r="G68" s="189">
        <v>71.63</v>
      </c>
      <c r="H68" s="189">
        <v>29.62</v>
      </c>
      <c r="I68" s="189">
        <v>8.42</v>
      </c>
      <c r="J68" s="189">
        <v>0.22</v>
      </c>
      <c r="K68" s="189">
        <v>323.77</v>
      </c>
      <c r="L68" s="189">
        <v>25.03</v>
      </c>
      <c r="M68" s="189">
        <v>25.54</v>
      </c>
      <c r="N68" s="189">
        <v>70.099999999999994</v>
      </c>
      <c r="O68" s="189">
        <v>0</v>
      </c>
      <c r="P68" s="189">
        <v>0.65</v>
      </c>
      <c r="Q68" s="189">
        <v>4.95</v>
      </c>
    </row>
    <row r="69" spans="1:17" customFormat="1">
      <c r="A69" s="6" t="s">
        <v>1451</v>
      </c>
      <c r="B69" s="189">
        <v>4.88</v>
      </c>
      <c r="C69" s="189">
        <v>27.1</v>
      </c>
      <c r="D69" s="189">
        <v>19.420000000000002</v>
      </c>
      <c r="E69" s="189">
        <v>10.02</v>
      </c>
      <c r="F69" s="189">
        <v>5.27</v>
      </c>
      <c r="G69" s="189">
        <v>71.63</v>
      </c>
      <c r="H69" s="189">
        <v>29.62</v>
      </c>
      <c r="I69" s="189">
        <v>8.23</v>
      </c>
      <c r="J69" s="189">
        <v>0.26</v>
      </c>
      <c r="K69" s="189">
        <v>18.829999999999998</v>
      </c>
      <c r="L69" s="189">
        <v>24.91</v>
      </c>
      <c r="M69" s="189">
        <v>25.47</v>
      </c>
      <c r="N69" s="189">
        <v>57.8</v>
      </c>
      <c r="O69" s="189">
        <v>0</v>
      </c>
      <c r="P69" s="189">
        <v>0.64</v>
      </c>
      <c r="Q69" s="189">
        <v>4.92</v>
      </c>
    </row>
    <row r="70" spans="1:17" customFormat="1">
      <c r="A70" s="6" t="s">
        <v>1452</v>
      </c>
      <c r="B70" s="189">
        <v>4.8600000000000003</v>
      </c>
      <c r="C70" s="189">
        <v>26.83</v>
      </c>
      <c r="D70" s="189">
        <v>19.260000000000002</v>
      </c>
      <c r="E70" s="189">
        <v>10.39</v>
      </c>
      <c r="F70" s="189">
        <v>5.09</v>
      </c>
      <c r="G70" s="189">
        <v>71.63</v>
      </c>
      <c r="H70" s="189">
        <v>29.62</v>
      </c>
      <c r="I70" s="189">
        <v>8.0500000000000007</v>
      </c>
      <c r="J70" s="189">
        <v>0.18</v>
      </c>
      <c r="K70" s="189">
        <v>89.51</v>
      </c>
      <c r="L70" s="189">
        <v>24.81</v>
      </c>
      <c r="M70" s="189">
        <v>26.07</v>
      </c>
      <c r="N70" s="189">
        <v>48.7</v>
      </c>
      <c r="O70" s="189">
        <v>0</v>
      </c>
      <c r="P70" s="189">
        <v>0.64</v>
      </c>
      <c r="Q70" s="189">
        <v>4.92</v>
      </c>
    </row>
    <row r="71" spans="1:17" customFormat="1">
      <c r="A71" s="6" t="s">
        <v>1453</v>
      </c>
      <c r="B71" s="189">
        <v>4.76</v>
      </c>
      <c r="C71" s="189">
        <v>26.76</v>
      </c>
      <c r="D71" s="189">
        <v>19.149999999999999</v>
      </c>
      <c r="E71" s="189">
        <v>10.36</v>
      </c>
      <c r="F71" s="189">
        <v>4.84</v>
      </c>
      <c r="G71" s="189">
        <v>67.47</v>
      </c>
      <c r="H71" s="189">
        <v>29.15</v>
      </c>
      <c r="I71" s="189">
        <v>7.88</v>
      </c>
      <c r="J71" s="189">
        <v>0.16</v>
      </c>
      <c r="K71" s="189">
        <v>49.46</v>
      </c>
      <c r="L71" s="189">
        <v>24.6</v>
      </c>
      <c r="M71" s="189">
        <v>25.69</v>
      </c>
      <c r="N71" s="189">
        <v>42.6</v>
      </c>
      <c r="O71" s="189">
        <v>0</v>
      </c>
      <c r="P71" s="189">
        <v>0.64</v>
      </c>
      <c r="Q71" s="189">
        <v>4.9000000000000004</v>
      </c>
    </row>
    <row r="72" spans="1:17" customFormat="1">
      <c r="A72" s="6" t="s">
        <v>1454</v>
      </c>
      <c r="B72" s="189">
        <v>4.8600000000000003</v>
      </c>
      <c r="C72" s="189">
        <v>26.74</v>
      </c>
      <c r="D72" s="189">
        <v>19.21</v>
      </c>
      <c r="E72" s="189">
        <v>10.46</v>
      </c>
      <c r="F72" s="189">
        <v>4.88</v>
      </c>
      <c r="G72" s="189">
        <v>66.89</v>
      </c>
      <c r="H72" s="189">
        <v>29.15</v>
      </c>
      <c r="I72" s="189">
        <v>7.75</v>
      </c>
      <c r="J72" s="189">
        <v>0.19</v>
      </c>
      <c r="K72" s="189">
        <v>48.66</v>
      </c>
      <c r="L72" s="189">
        <v>24.45</v>
      </c>
      <c r="M72" s="189">
        <v>27.45</v>
      </c>
      <c r="N72" s="189">
        <v>36.9</v>
      </c>
      <c r="O72" s="189">
        <v>0</v>
      </c>
      <c r="P72" s="189">
        <v>0.62</v>
      </c>
      <c r="Q72" s="189">
        <v>4.91</v>
      </c>
    </row>
    <row r="73" spans="1:17" customFormat="1">
      <c r="A73" s="6" t="s">
        <v>1455</v>
      </c>
      <c r="B73" s="189">
        <v>5.0199999999999996</v>
      </c>
      <c r="C73" s="189">
        <v>27.24</v>
      </c>
      <c r="D73" s="189">
        <v>19.61</v>
      </c>
      <c r="E73" s="189">
        <v>9.9700000000000006</v>
      </c>
      <c r="F73" s="189">
        <v>4.53</v>
      </c>
      <c r="G73" s="189">
        <v>66.89</v>
      </c>
      <c r="H73" s="189">
        <v>29.15</v>
      </c>
      <c r="I73" s="189">
        <v>7.59</v>
      </c>
      <c r="J73" s="189">
        <v>0.1</v>
      </c>
      <c r="K73" s="189">
        <v>43.18</v>
      </c>
      <c r="L73" s="189">
        <v>24.13</v>
      </c>
      <c r="M73" s="189">
        <v>29.92</v>
      </c>
      <c r="N73" s="189">
        <v>29.5</v>
      </c>
      <c r="O73" s="189">
        <v>0</v>
      </c>
      <c r="P73" s="189">
        <v>0.62</v>
      </c>
      <c r="Q73" s="189">
        <v>4.93</v>
      </c>
    </row>
    <row r="74" spans="1:17" customFormat="1">
      <c r="A74" s="6" t="s">
        <v>1456</v>
      </c>
      <c r="B74" s="189">
        <v>5.18</v>
      </c>
      <c r="C74" s="189">
        <v>27.64</v>
      </c>
      <c r="D74" s="189">
        <v>19.95</v>
      </c>
      <c r="E74" s="189">
        <v>9.83</v>
      </c>
      <c r="F74" s="189">
        <v>4.04</v>
      </c>
      <c r="G74" s="189">
        <v>66.89</v>
      </c>
      <c r="H74" s="189">
        <v>29.15</v>
      </c>
      <c r="I74" s="189">
        <v>7.47</v>
      </c>
      <c r="J74" s="189">
        <v>0.25</v>
      </c>
      <c r="K74" s="189">
        <v>159.86000000000001</v>
      </c>
      <c r="L74" s="189">
        <v>23.48</v>
      </c>
      <c r="M74" s="189">
        <v>35.06</v>
      </c>
      <c r="N74" s="189">
        <v>20.8</v>
      </c>
      <c r="O74" s="189">
        <v>0</v>
      </c>
      <c r="P74" s="189">
        <v>0.62</v>
      </c>
      <c r="Q74" s="189">
        <v>4.91</v>
      </c>
    </row>
    <row r="75" spans="1:17" customFormat="1">
      <c r="A75" s="6" t="s">
        <v>1457</v>
      </c>
      <c r="B75" s="189">
        <v>5.14</v>
      </c>
      <c r="C75" s="189">
        <v>28.08</v>
      </c>
      <c r="D75" s="189">
        <v>20.14</v>
      </c>
      <c r="E75" s="189">
        <v>9.23</v>
      </c>
      <c r="F75" s="189">
        <v>3.93</v>
      </c>
      <c r="G75" s="189">
        <v>70.94</v>
      </c>
      <c r="H75" s="189">
        <v>28.26</v>
      </c>
      <c r="I75" s="189">
        <v>7.39</v>
      </c>
      <c r="J75" s="189">
        <v>0.23</v>
      </c>
      <c r="K75" s="189">
        <v>170.73</v>
      </c>
      <c r="L75" s="189">
        <v>22.67</v>
      </c>
      <c r="M75" s="189">
        <v>38.67</v>
      </c>
      <c r="N75" s="189">
        <v>11.1</v>
      </c>
      <c r="O75" s="189">
        <v>0</v>
      </c>
      <c r="P75" s="189">
        <v>0.62</v>
      </c>
      <c r="Q75" s="189">
        <v>4.9000000000000004</v>
      </c>
    </row>
    <row r="76" spans="1:17" customFormat="1">
      <c r="A76" s="6" t="s">
        <v>1458</v>
      </c>
      <c r="B76" s="189">
        <v>5.28</v>
      </c>
      <c r="C76" s="189">
        <v>28.54</v>
      </c>
      <c r="D76" s="189">
        <v>20.5</v>
      </c>
      <c r="E76" s="189">
        <v>9.36</v>
      </c>
      <c r="F76" s="189">
        <v>3.48</v>
      </c>
      <c r="G76" s="189">
        <v>71.510000000000005</v>
      </c>
      <c r="H76" s="189">
        <v>28.26</v>
      </c>
      <c r="I76" s="189">
        <v>7.32</v>
      </c>
      <c r="J76" s="189">
        <v>0.22</v>
      </c>
      <c r="K76" s="189">
        <v>167.38</v>
      </c>
      <c r="L76" s="189">
        <v>21.77</v>
      </c>
      <c r="M76" s="189">
        <v>43.14</v>
      </c>
      <c r="N76" s="189">
        <v>1.8</v>
      </c>
      <c r="O76" s="189">
        <v>0</v>
      </c>
      <c r="P76" s="189">
        <v>0.63</v>
      </c>
      <c r="Q76" s="189">
        <v>4.93</v>
      </c>
    </row>
    <row r="77" spans="1:17" customFormat="1">
      <c r="A77" s="6" t="s">
        <v>1459</v>
      </c>
      <c r="B77" s="189">
        <v>5.56</v>
      </c>
      <c r="C77" s="189">
        <v>29.68</v>
      </c>
      <c r="D77" s="189">
        <v>21.32</v>
      </c>
      <c r="E77" s="189">
        <v>9.34</v>
      </c>
      <c r="F77" s="189">
        <v>3.22</v>
      </c>
      <c r="G77" s="189">
        <v>71.510000000000005</v>
      </c>
      <c r="H77" s="189">
        <v>28.26</v>
      </c>
      <c r="I77" s="189">
        <v>7.28</v>
      </c>
      <c r="J77" s="189">
        <v>0.25</v>
      </c>
      <c r="K77" s="189">
        <v>165.28</v>
      </c>
      <c r="L77" s="189">
        <v>20.86</v>
      </c>
      <c r="M77" s="189">
        <v>47.95</v>
      </c>
      <c r="N77" s="189">
        <v>0</v>
      </c>
      <c r="O77" s="189">
        <v>0</v>
      </c>
      <c r="P77" s="189">
        <v>0.64</v>
      </c>
      <c r="Q77" s="189">
        <v>4.9400000000000004</v>
      </c>
    </row>
    <row r="78" spans="1:17" customFormat="1">
      <c r="A78" s="6" t="s">
        <v>1460</v>
      </c>
      <c r="B78" s="189">
        <v>5.64</v>
      </c>
      <c r="C78" s="189">
        <v>30.41</v>
      </c>
      <c r="D78" s="189">
        <v>21.76</v>
      </c>
      <c r="E78" s="189">
        <v>9.31</v>
      </c>
      <c r="F78" s="189">
        <v>3.39</v>
      </c>
      <c r="G78" s="189">
        <v>71.510000000000005</v>
      </c>
      <c r="H78" s="189">
        <v>28.26</v>
      </c>
      <c r="I78" s="189">
        <v>7.31</v>
      </c>
      <c r="J78" s="189">
        <v>0.25</v>
      </c>
      <c r="K78" s="189">
        <v>163.69999999999999</v>
      </c>
      <c r="L78" s="189">
        <v>20.079999999999998</v>
      </c>
      <c r="M78" s="189">
        <v>53.3</v>
      </c>
      <c r="N78" s="189">
        <v>0</v>
      </c>
      <c r="O78" s="189">
        <v>0</v>
      </c>
      <c r="P78" s="189">
        <v>0.64</v>
      </c>
      <c r="Q78" s="189">
        <v>4.93</v>
      </c>
    </row>
    <row r="79" spans="1:17" customFormat="1">
      <c r="A79" s="6" t="s">
        <v>1461</v>
      </c>
      <c r="B79" s="189">
        <v>5.67</v>
      </c>
      <c r="C79" s="189">
        <v>31.07</v>
      </c>
      <c r="D79" s="189">
        <v>22.13</v>
      </c>
      <c r="E79" s="189">
        <v>9.25</v>
      </c>
      <c r="F79" s="189">
        <v>3.2</v>
      </c>
      <c r="G79" s="189">
        <v>83.59</v>
      </c>
      <c r="H79" s="189">
        <v>35.1</v>
      </c>
      <c r="I79" s="189">
        <v>7.31</v>
      </c>
      <c r="J79" s="189">
        <v>0.28000000000000003</v>
      </c>
      <c r="K79" s="189">
        <v>165.7</v>
      </c>
      <c r="L79" s="189">
        <v>19.54</v>
      </c>
      <c r="M79" s="189">
        <v>56.94</v>
      </c>
      <c r="N79" s="189">
        <v>0</v>
      </c>
      <c r="O79" s="189">
        <v>0</v>
      </c>
      <c r="P79" s="189">
        <v>0.66</v>
      </c>
      <c r="Q79" s="189">
        <v>4.97</v>
      </c>
    </row>
    <row r="80" spans="1:17" customFormat="1">
      <c r="A80" s="6" t="s">
        <v>1462</v>
      </c>
      <c r="B80" s="189">
        <v>5.93</v>
      </c>
      <c r="C80" s="189">
        <v>31.55</v>
      </c>
      <c r="D80" s="189">
        <v>22.59</v>
      </c>
      <c r="E80" s="189">
        <v>8.7799999999999994</v>
      </c>
      <c r="F80" s="189">
        <v>2.95</v>
      </c>
      <c r="G80" s="189">
        <v>85.28</v>
      </c>
      <c r="H80" s="189">
        <v>35.1</v>
      </c>
      <c r="I80" s="189">
        <v>7.33</v>
      </c>
      <c r="J80" s="189">
        <v>0.22</v>
      </c>
      <c r="K80" s="189">
        <v>165.28</v>
      </c>
      <c r="L80" s="189">
        <v>18.68</v>
      </c>
      <c r="M80" s="189">
        <v>65.489999999999995</v>
      </c>
      <c r="N80" s="189">
        <v>0</v>
      </c>
      <c r="O80" s="189">
        <v>0</v>
      </c>
      <c r="P80" s="189">
        <v>0.66</v>
      </c>
      <c r="Q80" s="189">
        <v>4.97</v>
      </c>
    </row>
    <row r="81" spans="1:17" customFormat="1">
      <c r="A81" s="6" t="s">
        <v>1463</v>
      </c>
      <c r="B81" s="189">
        <v>6.17</v>
      </c>
      <c r="C81" s="189">
        <v>31.64</v>
      </c>
      <c r="D81" s="189">
        <v>22.83</v>
      </c>
      <c r="E81" s="189">
        <v>6.5</v>
      </c>
      <c r="F81" s="189">
        <v>2.83</v>
      </c>
      <c r="G81" s="189">
        <v>85.28</v>
      </c>
      <c r="H81" s="189">
        <v>35.1</v>
      </c>
      <c r="I81" s="189">
        <v>7.42</v>
      </c>
      <c r="J81" s="189">
        <v>0.22</v>
      </c>
      <c r="K81" s="189">
        <v>157.75</v>
      </c>
      <c r="L81" s="189">
        <v>18.170000000000002</v>
      </c>
      <c r="M81" s="189">
        <v>63.48</v>
      </c>
      <c r="N81" s="189">
        <v>0</v>
      </c>
      <c r="O81" s="189">
        <v>0</v>
      </c>
      <c r="P81" s="189">
        <v>0.68</v>
      </c>
      <c r="Q81" s="189">
        <v>4.96</v>
      </c>
    </row>
    <row r="82" spans="1:17" customFormat="1">
      <c r="A82" s="6" t="s">
        <v>1464</v>
      </c>
      <c r="B82" s="189">
        <v>6.16</v>
      </c>
      <c r="C82" s="189">
        <v>31.68</v>
      </c>
      <c r="D82" s="189">
        <v>22.84</v>
      </c>
      <c r="E82" s="189">
        <v>7.48</v>
      </c>
      <c r="F82" s="189">
        <v>3.03</v>
      </c>
      <c r="G82" s="189">
        <v>85.28</v>
      </c>
      <c r="H82" s="189">
        <v>35.1</v>
      </c>
      <c r="I82" s="189">
        <v>7.6</v>
      </c>
      <c r="J82" s="189">
        <v>0.17</v>
      </c>
      <c r="K82" s="189">
        <v>163.4</v>
      </c>
      <c r="L82" s="189">
        <v>17.989999999999998</v>
      </c>
      <c r="M82" s="189">
        <v>62.94</v>
      </c>
      <c r="N82" s="189">
        <v>0</v>
      </c>
      <c r="O82" s="189">
        <v>0</v>
      </c>
      <c r="P82" s="189">
        <v>0.7</v>
      </c>
      <c r="Q82" s="189">
        <v>4.95</v>
      </c>
    </row>
    <row r="83" spans="1:17" customFormat="1">
      <c r="A83" s="6" t="s">
        <v>1465</v>
      </c>
      <c r="B83" s="189">
        <v>7.25</v>
      </c>
      <c r="C83" s="189">
        <v>32.49</v>
      </c>
      <c r="D83" s="189">
        <v>24.14</v>
      </c>
      <c r="E83" s="189">
        <v>7.81</v>
      </c>
      <c r="F83" s="189">
        <v>2.83</v>
      </c>
      <c r="G83" s="189">
        <v>83.02</v>
      </c>
      <c r="H83" s="189">
        <v>36.24</v>
      </c>
      <c r="I83" s="189">
        <v>7.82</v>
      </c>
      <c r="J83" s="189">
        <v>0.17</v>
      </c>
      <c r="K83" s="189">
        <v>170.5</v>
      </c>
      <c r="L83" s="189">
        <v>17.8</v>
      </c>
      <c r="M83" s="189">
        <v>60.07</v>
      </c>
      <c r="N83" s="189">
        <v>0</v>
      </c>
      <c r="O83" s="189">
        <v>0</v>
      </c>
      <c r="P83" s="189">
        <v>0.73</v>
      </c>
      <c r="Q83" s="189">
        <v>4.97</v>
      </c>
    </row>
    <row r="84" spans="1:17" customFormat="1">
      <c r="A84" s="6" t="s">
        <v>1466</v>
      </c>
      <c r="B84" s="189">
        <v>9.86</v>
      </c>
      <c r="C84" s="189">
        <v>34.75</v>
      </c>
      <c r="D84" s="189">
        <v>27.41</v>
      </c>
      <c r="E84" s="189">
        <v>7.48</v>
      </c>
      <c r="F84" s="189">
        <v>2.61</v>
      </c>
      <c r="G84" s="189">
        <v>82.7</v>
      </c>
      <c r="H84" s="189">
        <v>36.24</v>
      </c>
      <c r="I84" s="189">
        <v>8.02</v>
      </c>
      <c r="J84" s="189">
        <v>0.24</v>
      </c>
      <c r="K84" s="189">
        <v>165.79</v>
      </c>
      <c r="L84" s="189">
        <v>17.5</v>
      </c>
      <c r="M84" s="189">
        <v>68.66</v>
      </c>
      <c r="N84" s="189">
        <v>0</v>
      </c>
      <c r="O84" s="189">
        <v>0</v>
      </c>
      <c r="P84" s="189">
        <v>0.78</v>
      </c>
      <c r="Q84" s="189">
        <v>5.01</v>
      </c>
    </row>
    <row r="85" spans="1:17" customFormat="1">
      <c r="A85" s="6" t="s">
        <v>1467</v>
      </c>
      <c r="B85" s="189">
        <v>11.46</v>
      </c>
      <c r="C85" s="189">
        <v>36.090000000000003</v>
      </c>
      <c r="D85" s="189">
        <v>29.4</v>
      </c>
      <c r="E85" s="189">
        <v>7.36</v>
      </c>
      <c r="F85" s="189">
        <v>2.66</v>
      </c>
      <c r="G85" s="189">
        <v>82.7</v>
      </c>
      <c r="H85" s="189">
        <v>36.24</v>
      </c>
      <c r="I85" s="189">
        <v>8.34</v>
      </c>
      <c r="J85" s="189">
        <v>0.14000000000000001</v>
      </c>
      <c r="K85" s="189">
        <v>192.82</v>
      </c>
      <c r="L85" s="189">
        <v>16.829999999999998</v>
      </c>
      <c r="M85" s="189">
        <v>75.16</v>
      </c>
      <c r="N85" s="189">
        <v>0</v>
      </c>
      <c r="O85" s="189">
        <v>0</v>
      </c>
      <c r="P85" s="189">
        <v>0.8</v>
      </c>
      <c r="Q85" s="189">
        <v>5.07</v>
      </c>
    </row>
    <row r="86" spans="1:17" customFormat="1">
      <c r="A86" s="6" t="s">
        <v>1468</v>
      </c>
      <c r="B86" s="189">
        <v>12.06</v>
      </c>
      <c r="C86" s="189">
        <v>35.46</v>
      </c>
      <c r="D86" s="189">
        <v>29.55</v>
      </c>
      <c r="E86" s="189">
        <v>6.93</v>
      </c>
      <c r="F86" s="189">
        <v>2.73</v>
      </c>
      <c r="G86" s="189">
        <v>82.7</v>
      </c>
      <c r="H86" s="189">
        <v>36.24</v>
      </c>
      <c r="I86" s="189">
        <v>8.7100000000000009</v>
      </c>
      <c r="J86" s="189">
        <v>0.13</v>
      </c>
      <c r="K86" s="189">
        <v>201.18</v>
      </c>
      <c r="L86" s="189">
        <v>16.43</v>
      </c>
      <c r="M86" s="189">
        <v>74.12</v>
      </c>
      <c r="N86" s="189">
        <v>0</v>
      </c>
      <c r="O86" s="189">
        <v>0</v>
      </c>
      <c r="P86" s="189">
        <v>0.81</v>
      </c>
      <c r="Q86" s="189">
        <v>5.09</v>
      </c>
    </row>
    <row r="87" spans="1:17" customFormat="1">
      <c r="A87" s="6" t="s">
        <v>1469</v>
      </c>
      <c r="B87" s="189">
        <v>11.99</v>
      </c>
      <c r="C87" s="189">
        <v>34.68</v>
      </c>
      <c r="D87" s="189">
        <v>29.08</v>
      </c>
      <c r="E87" s="189">
        <v>6.92</v>
      </c>
      <c r="F87" s="189">
        <v>2.74</v>
      </c>
      <c r="G87" s="189">
        <v>96.59</v>
      </c>
      <c r="H87" s="189">
        <v>41.69</v>
      </c>
      <c r="I87" s="189">
        <v>8.98</v>
      </c>
      <c r="J87" s="189">
        <v>0.17</v>
      </c>
      <c r="K87" s="189">
        <v>160.46</v>
      </c>
      <c r="L87" s="189">
        <v>16.23</v>
      </c>
      <c r="M87" s="189">
        <v>71.849999999999994</v>
      </c>
      <c r="N87" s="189">
        <v>0</v>
      </c>
      <c r="O87" s="189">
        <v>0</v>
      </c>
      <c r="P87" s="189">
        <v>0.82</v>
      </c>
      <c r="Q87" s="189">
        <v>5.09</v>
      </c>
    </row>
    <row r="88" spans="1:17" customFormat="1">
      <c r="A88" s="6" t="s">
        <v>1470</v>
      </c>
      <c r="B88" s="189">
        <v>11.75</v>
      </c>
      <c r="C88" s="189">
        <v>35.1</v>
      </c>
      <c r="D88" s="189">
        <v>29.11</v>
      </c>
      <c r="E88" s="189">
        <v>7.04</v>
      </c>
      <c r="F88" s="189">
        <v>2.63</v>
      </c>
      <c r="G88" s="189">
        <v>98.53</v>
      </c>
      <c r="H88" s="189">
        <v>41.69</v>
      </c>
      <c r="I88" s="189">
        <v>9.19</v>
      </c>
      <c r="J88" s="189">
        <v>0.13</v>
      </c>
      <c r="K88" s="189">
        <v>181.76</v>
      </c>
      <c r="L88" s="189">
        <v>15.97</v>
      </c>
      <c r="M88" s="189">
        <v>76.819999999999993</v>
      </c>
      <c r="N88" s="189">
        <v>0</v>
      </c>
      <c r="O88" s="189">
        <v>0</v>
      </c>
      <c r="P88" s="189">
        <v>0.83</v>
      </c>
      <c r="Q88" s="189">
        <v>5.07</v>
      </c>
    </row>
    <row r="89" spans="1:17" customFormat="1">
      <c r="A89" s="6" t="s">
        <v>1471</v>
      </c>
      <c r="B89" s="189">
        <v>11.46</v>
      </c>
      <c r="C89" s="189">
        <v>34.72</v>
      </c>
      <c r="D89" s="189">
        <v>28.69</v>
      </c>
      <c r="E89" s="189">
        <v>6.63</v>
      </c>
      <c r="F89" s="189">
        <v>2.61</v>
      </c>
      <c r="G89" s="189">
        <v>98.53</v>
      </c>
      <c r="H89" s="189">
        <v>41.69</v>
      </c>
      <c r="I89" s="189">
        <v>9.36</v>
      </c>
      <c r="J89" s="189">
        <v>0.12</v>
      </c>
      <c r="K89" s="189">
        <v>183.46</v>
      </c>
      <c r="L89" s="189">
        <v>15.74</v>
      </c>
      <c r="M89" s="189">
        <v>78.11</v>
      </c>
      <c r="N89" s="189">
        <v>0</v>
      </c>
      <c r="O89" s="189">
        <v>0</v>
      </c>
      <c r="P89" s="189">
        <v>0.85</v>
      </c>
      <c r="Q89" s="189">
        <v>5.08</v>
      </c>
    </row>
    <row r="90" spans="1:17" customFormat="1">
      <c r="A90" s="6" t="s">
        <v>1472</v>
      </c>
      <c r="B90" s="189">
        <v>11.28</v>
      </c>
      <c r="C90" s="189">
        <v>34.28</v>
      </c>
      <c r="D90" s="189">
        <v>28.31</v>
      </c>
      <c r="E90" s="189">
        <v>7.33</v>
      </c>
      <c r="F90" s="189">
        <v>2.61</v>
      </c>
      <c r="G90" s="189">
        <v>98.53</v>
      </c>
      <c r="H90" s="189">
        <v>41.69</v>
      </c>
      <c r="I90" s="189">
        <v>9.5</v>
      </c>
      <c r="J90" s="189">
        <v>0.12</v>
      </c>
      <c r="K90" s="189">
        <v>179.37</v>
      </c>
      <c r="L90" s="189">
        <v>15.49</v>
      </c>
      <c r="M90" s="189">
        <v>81.5</v>
      </c>
      <c r="N90" s="189">
        <v>0</v>
      </c>
      <c r="O90" s="189">
        <v>0</v>
      </c>
      <c r="P90" s="189">
        <v>0.87</v>
      </c>
      <c r="Q90" s="189">
        <v>5.09</v>
      </c>
    </row>
    <row r="91" spans="1:17" customFormat="1">
      <c r="A91" s="6" t="s">
        <v>1473</v>
      </c>
      <c r="B91" s="189">
        <v>11.15</v>
      </c>
      <c r="C91" s="189">
        <v>34</v>
      </c>
      <c r="D91" s="189">
        <v>28.06</v>
      </c>
      <c r="E91" s="189">
        <v>7.2</v>
      </c>
      <c r="F91" s="189">
        <v>2.48</v>
      </c>
      <c r="G91" s="189">
        <v>100.49</v>
      </c>
      <c r="H91" s="189">
        <v>44.81</v>
      </c>
      <c r="I91" s="189">
        <v>9.6999999999999993</v>
      </c>
      <c r="J91" s="189">
        <v>0.18</v>
      </c>
      <c r="K91" s="189">
        <v>182.46</v>
      </c>
      <c r="L91" s="189">
        <v>15.38</v>
      </c>
      <c r="M91" s="189">
        <v>82.36</v>
      </c>
      <c r="N91" s="189">
        <v>0</v>
      </c>
      <c r="O91" s="189">
        <v>0</v>
      </c>
      <c r="P91" s="189">
        <v>0.88</v>
      </c>
      <c r="Q91" s="189">
        <v>5.09</v>
      </c>
    </row>
    <row r="92" spans="1:17" customFormat="1">
      <c r="A92" s="6" t="s">
        <v>1474</v>
      </c>
      <c r="B92" s="189">
        <v>11.05</v>
      </c>
      <c r="C92" s="189">
        <v>33.69</v>
      </c>
      <c r="D92" s="189">
        <v>27.81</v>
      </c>
      <c r="E92" s="189">
        <v>7.01</v>
      </c>
      <c r="F92" s="189">
        <v>2.59</v>
      </c>
      <c r="G92" s="189">
        <v>100.77</v>
      </c>
      <c r="H92" s="189">
        <v>44.81</v>
      </c>
      <c r="I92" s="189">
        <v>9.92</v>
      </c>
      <c r="J92" s="189">
        <v>0.11</v>
      </c>
      <c r="K92" s="189">
        <v>150.29</v>
      </c>
      <c r="L92" s="189">
        <v>15.08</v>
      </c>
      <c r="M92" s="189">
        <v>81</v>
      </c>
      <c r="N92" s="189">
        <v>0</v>
      </c>
      <c r="O92" s="189">
        <v>0</v>
      </c>
      <c r="P92" s="189">
        <v>0.9</v>
      </c>
      <c r="Q92" s="189">
        <v>5.07</v>
      </c>
    </row>
    <row r="93" spans="1:17" customFormat="1">
      <c r="A93" s="6" t="s">
        <v>1475</v>
      </c>
      <c r="B93" s="189">
        <v>11.18</v>
      </c>
      <c r="C93" s="189">
        <v>33.380000000000003</v>
      </c>
      <c r="D93" s="189">
        <v>27.76</v>
      </c>
      <c r="E93" s="189">
        <v>7.17</v>
      </c>
      <c r="F93" s="189">
        <v>2.54</v>
      </c>
      <c r="G93" s="189">
        <v>100.77</v>
      </c>
      <c r="H93" s="189">
        <v>44.81</v>
      </c>
      <c r="I93" s="189">
        <v>10.14</v>
      </c>
      <c r="J93" s="189">
        <v>0.12</v>
      </c>
      <c r="K93" s="189">
        <v>227.39</v>
      </c>
      <c r="L93" s="189">
        <v>15.13</v>
      </c>
      <c r="M93" s="189">
        <v>78.16</v>
      </c>
      <c r="N93" s="189">
        <v>0</v>
      </c>
      <c r="O93" s="189">
        <v>0</v>
      </c>
      <c r="P93" s="189">
        <v>0.91</v>
      </c>
      <c r="Q93" s="189">
        <v>5.08</v>
      </c>
    </row>
    <row r="94" spans="1:17" customFormat="1">
      <c r="A94" s="6" t="s">
        <v>1476</v>
      </c>
      <c r="B94" s="189">
        <v>12.19</v>
      </c>
      <c r="C94" s="189">
        <v>33.840000000000003</v>
      </c>
      <c r="D94" s="189">
        <v>28.81</v>
      </c>
      <c r="E94" s="189">
        <v>7.38</v>
      </c>
      <c r="F94" s="189">
        <v>2.56</v>
      </c>
      <c r="G94" s="189">
        <v>100.77</v>
      </c>
      <c r="H94" s="189">
        <v>44.81</v>
      </c>
      <c r="I94" s="189">
        <v>10.36</v>
      </c>
      <c r="J94" s="189">
        <v>0.13</v>
      </c>
      <c r="K94" s="189">
        <v>203.11</v>
      </c>
      <c r="L94" s="189">
        <v>14.95</v>
      </c>
      <c r="M94" s="189">
        <v>80.22</v>
      </c>
      <c r="N94" s="189">
        <v>0</v>
      </c>
      <c r="O94" s="189">
        <v>0</v>
      </c>
      <c r="P94" s="189">
        <v>0.94</v>
      </c>
      <c r="Q94" s="189">
        <v>5.09</v>
      </c>
    </row>
    <row r="95" spans="1:17" customFormat="1">
      <c r="A95" s="6" t="s">
        <v>1477</v>
      </c>
      <c r="B95" s="189">
        <v>13.44</v>
      </c>
      <c r="C95" s="189">
        <v>33.64</v>
      </c>
      <c r="D95" s="189">
        <v>29.7</v>
      </c>
      <c r="E95" s="189">
        <v>7.34</v>
      </c>
      <c r="F95" s="189">
        <v>2.62</v>
      </c>
      <c r="G95" s="189">
        <v>115.04</v>
      </c>
      <c r="H95" s="189">
        <v>46.85</v>
      </c>
      <c r="I95" s="189">
        <v>10.54</v>
      </c>
      <c r="J95" s="189">
        <v>0.15</v>
      </c>
      <c r="K95" s="189">
        <v>166.08</v>
      </c>
      <c r="L95" s="189">
        <v>14.75</v>
      </c>
      <c r="M95" s="189">
        <v>84.47</v>
      </c>
      <c r="N95" s="189">
        <v>0</v>
      </c>
      <c r="O95" s="189">
        <v>0</v>
      </c>
      <c r="P95" s="189">
        <v>0.95</v>
      </c>
      <c r="Q95" s="189">
        <v>5.1100000000000003</v>
      </c>
    </row>
    <row r="96" spans="1:17" customFormat="1">
      <c r="A96" s="6" t="s">
        <v>1478</v>
      </c>
      <c r="B96" s="189">
        <v>13.59</v>
      </c>
      <c r="C96" s="189">
        <v>33.28</v>
      </c>
      <c r="D96" s="189">
        <v>29.64</v>
      </c>
      <c r="E96" s="189">
        <v>7.37</v>
      </c>
      <c r="F96" s="189">
        <v>2.57</v>
      </c>
      <c r="G96" s="189">
        <v>117.02</v>
      </c>
      <c r="H96" s="189">
        <v>46.85</v>
      </c>
      <c r="I96" s="189">
        <v>10.74</v>
      </c>
      <c r="J96" s="189">
        <v>0.11</v>
      </c>
      <c r="K96" s="189">
        <v>209.53</v>
      </c>
      <c r="L96" s="189">
        <v>14.61</v>
      </c>
      <c r="M96" s="189">
        <v>86.39</v>
      </c>
      <c r="N96" s="189">
        <v>0</v>
      </c>
      <c r="O96" s="189">
        <v>0</v>
      </c>
      <c r="P96" s="189">
        <v>0.95</v>
      </c>
      <c r="Q96" s="189">
        <v>5.12</v>
      </c>
    </row>
    <row r="97" spans="1:22" customFormat="1">
      <c r="A97" s="6" t="s">
        <v>1479</v>
      </c>
      <c r="B97" s="189">
        <v>13.58</v>
      </c>
      <c r="C97" s="189">
        <v>33.04</v>
      </c>
      <c r="D97" s="189">
        <v>29.5</v>
      </c>
      <c r="E97" s="189">
        <v>7.19</v>
      </c>
      <c r="F97" s="189">
        <v>2.62</v>
      </c>
      <c r="G97" s="189">
        <v>117.02</v>
      </c>
      <c r="H97" s="189">
        <v>46.85</v>
      </c>
      <c r="I97" s="189">
        <v>10.9</v>
      </c>
      <c r="J97" s="189">
        <v>0.16</v>
      </c>
      <c r="K97" s="189">
        <v>179.25</v>
      </c>
      <c r="L97" s="189">
        <v>14.49</v>
      </c>
      <c r="M97" s="189">
        <v>85.67</v>
      </c>
      <c r="N97" s="189">
        <v>0</v>
      </c>
      <c r="O97" s="189">
        <v>0</v>
      </c>
      <c r="P97" s="189">
        <v>0.98</v>
      </c>
      <c r="Q97" s="189">
        <v>5.12</v>
      </c>
    </row>
    <row r="98" spans="1:22" customFormat="1">
      <c r="A98" s="6" t="s">
        <v>1480</v>
      </c>
      <c r="B98" s="189">
        <v>13.8</v>
      </c>
      <c r="C98" s="189">
        <v>32.869999999999997</v>
      </c>
      <c r="D98" s="189">
        <v>29.6</v>
      </c>
      <c r="E98" s="189">
        <v>6.92</v>
      </c>
      <c r="F98" s="189">
        <v>2.57</v>
      </c>
      <c r="G98" s="189">
        <v>117.02</v>
      </c>
      <c r="H98" s="189">
        <v>46.85</v>
      </c>
      <c r="I98" s="189">
        <v>11.03</v>
      </c>
      <c r="J98" s="189">
        <v>0.16</v>
      </c>
      <c r="K98" s="189">
        <v>252.22</v>
      </c>
      <c r="L98" s="189">
        <v>14.27</v>
      </c>
      <c r="M98" s="189">
        <v>82.26</v>
      </c>
      <c r="N98" s="189">
        <v>0</v>
      </c>
      <c r="O98" s="189">
        <v>0</v>
      </c>
      <c r="P98" s="189">
        <v>0.98</v>
      </c>
      <c r="Q98" s="189">
        <v>5.12</v>
      </c>
    </row>
    <row r="99" spans="1:22" customFormat="1">
      <c r="A99" s="6" t="s">
        <v>1481</v>
      </c>
      <c r="B99" s="189">
        <v>14.14</v>
      </c>
      <c r="C99" s="189">
        <v>32.880000000000003</v>
      </c>
      <c r="D99" s="189">
        <v>29.87</v>
      </c>
      <c r="E99" s="189">
        <v>7.01</v>
      </c>
      <c r="F99" s="189">
        <v>2.54</v>
      </c>
      <c r="G99" s="189">
        <v>127.32</v>
      </c>
      <c r="H99" s="189">
        <v>54.8</v>
      </c>
      <c r="I99" s="189">
        <v>11.15</v>
      </c>
      <c r="J99" s="189">
        <v>0.16</v>
      </c>
      <c r="K99" s="189">
        <v>255.29</v>
      </c>
      <c r="L99" s="189">
        <v>13.87</v>
      </c>
      <c r="M99" s="189">
        <v>83.7</v>
      </c>
      <c r="N99" s="189">
        <v>0</v>
      </c>
      <c r="O99" s="189">
        <v>0</v>
      </c>
      <c r="P99" s="189">
        <v>1</v>
      </c>
      <c r="Q99" s="189">
        <v>5.13</v>
      </c>
    </row>
    <row r="100" spans="1:22" customFormat="1">
      <c r="A100" s="6" t="s">
        <v>1482</v>
      </c>
      <c r="B100" s="189">
        <v>14.44</v>
      </c>
      <c r="C100" s="189">
        <v>32.75</v>
      </c>
      <c r="D100" s="189">
        <v>30.05</v>
      </c>
      <c r="E100" s="189">
        <v>7.31</v>
      </c>
      <c r="F100" s="189">
        <v>2.5</v>
      </c>
      <c r="G100" s="189">
        <v>128.75</v>
      </c>
      <c r="H100" s="189">
        <v>54.8</v>
      </c>
      <c r="I100" s="189">
        <v>11.26</v>
      </c>
      <c r="J100" s="189">
        <v>0.12</v>
      </c>
      <c r="K100" s="189">
        <v>173.09</v>
      </c>
      <c r="L100" s="189">
        <v>13.9</v>
      </c>
      <c r="M100" s="189">
        <v>84.1</v>
      </c>
      <c r="N100" s="189">
        <v>0</v>
      </c>
      <c r="O100" s="189">
        <v>0</v>
      </c>
      <c r="P100" s="189">
        <v>1</v>
      </c>
      <c r="Q100" s="189">
        <v>5.14</v>
      </c>
    </row>
    <row r="101" spans="1:22" customFormat="1">
      <c r="A101" s="6" t="s">
        <v>1483</v>
      </c>
      <c r="B101" s="189">
        <v>14.75</v>
      </c>
      <c r="C101" s="189">
        <v>32.229999999999997</v>
      </c>
      <c r="D101" s="189">
        <v>30.02</v>
      </c>
      <c r="E101" s="189">
        <v>7.19</v>
      </c>
      <c r="F101" s="189">
        <v>2.58</v>
      </c>
      <c r="G101" s="189">
        <v>128.75</v>
      </c>
      <c r="H101" s="189">
        <v>54.8</v>
      </c>
      <c r="I101" s="189">
        <v>11.36</v>
      </c>
      <c r="J101" s="189">
        <v>0.16</v>
      </c>
      <c r="K101" s="189">
        <v>244.12</v>
      </c>
      <c r="L101" s="189">
        <v>13.75</v>
      </c>
      <c r="M101" s="189">
        <v>87.63</v>
      </c>
      <c r="N101" s="189">
        <v>0</v>
      </c>
      <c r="O101" s="189">
        <v>0</v>
      </c>
      <c r="P101" s="189">
        <v>1.01</v>
      </c>
      <c r="Q101" s="189">
        <v>5.14</v>
      </c>
    </row>
    <row r="102" spans="1:22" customFormat="1">
      <c r="A102" s="6" t="s">
        <v>1484</v>
      </c>
      <c r="B102" s="189">
        <v>14.87</v>
      </c>
      <c r="C102" s="189">
        <v>31.91</v>
      </c>
      <c r="D102" s="189">
        <v>29.95</v>
      </c>
      <c r="E102" s="189">
        <v>7.58</v>
      </c>
      <c r="F102" s="189">
        <v>2.4500000000000002</v>
      </c>
      <c r="G102" s="189">
        <v>128.75</v>
      </c>
      <c r="H102" s="189">
        <v>54.8</v>
      </c>
      <c r="I102" s="189">
        <v>11.41</v>
      </c>
      <c r="J102" s="189">
        <v>0.11</v>
      </c>
      <c r="K102" s="189">
        <v>211.86</v>
      </c>
      <c r="L102" s="189">
        <v>13.59</v>
      </c>
      <c r="M102" s="189">
        <v>87.45</v>
      </c>
      <c r="N102" s="189">
        <v>0</v>
      </c>
      <c r="O102" s="189">
        <v>0</v>
      </c>
      <c r="P102" s="189">
        <v>1.01</v>
      </c>
      <c r="Q102" s="189">
        <v>5.15</v>
      </c>
    </row>
    <row r="103" spans="1:22" customFormat="1">
      <c r="A103" s="6" t="s">
        <v>1485</v>
      </c>
      <c r="B103" s="189">
        <v>14.91</v>
      </c>
      <c r="C103" s="189">
        <v>31.65</v>
      </c>
      <c r="D103" s="189">
        <v>29.84</v>
      </c>
      <c r="E103" s="189">
        <v>7.25</v>
      </c>
      <c r="F103" s="189">
        <v>2.57</v>
      </c>
      <c r="G103" s="189">
        <v>119.34</v>
      </c>
      <c r="H103" s="189">
        <v>53.85</v>
      </c>
      <c r="I103" s="189">
        <v>11.47</v>
      </c>
      <c r="J103" s="189">
        <v>0.15</v>
      </c>
      <c r="K103" s="189">
        <v>238.72</v>
      </c>
      <c r="L103" s="189">
        <v>13.45</v>
      </c>
      <c r="M103" s="189">
        <v>88.75</v>
      </c>
      <c r="N103" s="189">
        <v>0</v>
      </c>
      <c r="O103" s="189">
        <v>0</v>
      </c>
      <c r="P103" s="189">
        <v>1.04</v>
      </c>
      <c r="Q103" s="189">
        <v>5.14</v>
      </c>
    </row>
    <row r="104" spans="1:22" customFormat="1">
      <c r="A104" s="6" t="s">
        <v>1486</v>
      </c>
      <c r="B104" s="189">
        <v>14.91</v>
      </c>
      <c r="C104" s="189">
        <v>31.53</v>
      </c>
      <c r="D104" s="189">
        <v>29.78</v>
      </c>
      <c r="E104" s="189">
        <v>7.08</v>
      </c>
      <c r="F104" s="189">
        <v>2.65</v>
      </c>
      <c r="G104" s="189">
        <v>118.03</v>
      </c>
      <c r="H104" s="189">
        <v>53.85</v>
      </c>
      <c r="I104" s="189">
        <v>11.54</v>
      </c>
      <c r="J104" s="189">
        <v>0.08</v>
      </c>
      <c r="K104" s="189">
        <v>167.1</v>
      </c>
      <c r="L104" s="189">
        <v>13.46</v>
      </c>
      <c r="M104" s="189">
        <v>88.46</v>
      </c>
      <c r="N104" s="189">
        <v>0</v>
      </c>
      <c r="O104" s="189">
        <v>0</v>
      </c>
      <c r="P104" s="189">
        <v>1.07</v>
      </c>
      <c r="Q104" s="189">
        <v>5.13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4.76</v>
      </c>
      <c r="C106" s="183">
        <f>MIN(C9:C104)</f>
        <v>26.74</v>
      </c>
      <c r="D106" s="183">
        <f t="shared" ref="D106:Q106" si="0">MIN(D9:D104)</f>
        <v>19.149999999999999</v>
      </c>
      <c r="E106" s="183">
        <f t="shared" si="0"/>
        <v>5.46</v>
      </c>
      <c r="F106" s="183">
        <f t="shared" si="0"/>
        <v>2.4500000000000002</v>
      </c>
      <c r="G106" s="183">
        <f t="shared" si="0"/>
        <v>66.89</v>
      </c>
      <c r="H106" s="183">
        <f t="shared" si="0"/>
        <v>28.26</v>
      </c>
      <c r="I106" s="183">
        <f t="shared" si="0"/>
        <v>7.28</v>
      </c>
      <c r="J106" s="183">
        <f t="shared" si="0"/>
        <v>0.02</v>
      </c>
      <c r="K106" s="183">
        <f t="shared" si="0"/>
        <v>18.829999999999998</v>
      </c>
      <c r="L106" s="183">
        <f t="shared" si="0"/>
        <v>10.55</v>
      </c>
      <c r="M106" s="183">
        <f t="shared" si="0"/>
        <v>25.3</v>
      </c>
      <c r="N106" s="183">
        <f t="shared" si="0"/>
        <v>0</v>
      </c>
      <c r="O106" s="183">
        <f t="shared" si="0"/>
        <v>0</v>
      </c>
      <c r="P106" s="183">
        <f t="shared" si="0"/>
        <v>0.62</v>
      </c>
      <c r="Q106" s="183">
        <f t="shared" si="0"/>
        <v>4.9000000000000004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39.69</v>
      </c>
      <c r="C107" s="184">
        <f t="shared" ref="C107:Q107" si="1">MAX(C9:C104)</f>
        <v>36.270000000000003</v>
      </c>
      <c r="D107" s="184">
        <f t="shared" si="1"/>
        <v>52.06</v>
      </c>
      <c r="E107" s="184">
        <f t="shared" si="1"/>
        <v>10.81</v>
      </c>
      <c r="F107" s="184">
        <f t="shared" si="1"/>
        <v>5.59</v>
      </c>
      <c r="G107" s="184">
        <f t="shared" si="1"/>
        <v>135.94</v>
      </c>
      <c r="H107" s="184">
        <f t="shared" si="1"/>
        <v>76.08</v>
      </c>
      <c r="I107" s="184">
        <f t="shared" si="1"/>
        <v>19.47</v>
      </c>
      <c r="J107" s="184">
        <f t="shared" si="1"/>
        <v>0.66</v>
      </c>
      <c r="K107" s="184">
        <f t="shared" si="1"/>
        <v>351.33</v>
      </c>
      <c r="L107" s="184">
        <f t="shared" si="1"/>
        <v>26.02</v>
      </c>
      <c r="M107" s="184">
        <f t="shared" si="1"/>
        <v>92.84</v>
      </c>
      <c r="N107" s="184">
        <f t="shared" si="1"/>
        <v>534.79999999999995</v>
      </c>
      <c r="O107" s="184">
        <f t="shared" si="1"/>
        <v>0</v>
      </c>
      <c r="P107" s="184">
        <f t="shared" si="1"/>
        <v>1.39</v>
      </c>
      <c r="Q107" s="184">
        <f t="shared" si="1"/>
        <v>5.67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16.873437500000005</v>
      </c>
      <c r="C108" s="183">
        <f t="shared" ref="C108:Q108" si="2">AVERAGE(C9:C104)</f>
        <v>31.70583333333332</v>
      </c>
      <c r="D108" s="183">
        <f t="shared" si="2"/>
        <v>31.447604166666675</v>
      </c>
      <c r="E108" s="183">
        <f t="shared" si="2"/>
        <v>7.5663541666666658</v>
      </c>
      <c r="F108" s="183">
        <f t="shared" si="2"/>
        <v>2.9971875000000003</v>
      </c>
      <c r="G108" s="183">
        <f t="shared" si="2"/>
        <v>96.512604166666691</v>
      </c>
      <c r="H108" s="183">
        <f t="shared" si="2"/>
        <v>48.34166666666669</v>
      </c>
      <c r="I108" s="183">
        <f t="shared" si="2"/>
        <v>12.218437500000002</v>
      </c>
      <c r="J108" s="183">
        <f t="shared" si="2"/>
        <v>0.20458333333333326</v>
      </c>
      <c r="K108" s="183">
        <f t="shared" si="2"/>
        <v>159.83614583333338</v>
      </c>
      <c r="L108" s="183">
        <f t="shared" si="2"/>
        <v>17.112083333333334</v>
      </c>
      <c r="M108" s="183">
        <f t="shared" si="2"/>
        <v>64.484687499999978</v>
      </c>
      <c r="N108" s="183">
        <f t="shared" si="2"/>
        <v>101.78645833333333</v>
      </c>
      <c r="O108" s="183">
        <f t="shared" si="2"/>
        <v>0</v>
      </c>
      <c r="P108" s="183">
        <f t="shared" si="2"/>
        <v>0.94166666666666676</v>
      </c>
      <c r="Q108" s="183">
        <f t="shared" si="2"/>
        <v>5.1823958333333318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11.018589443407368</v>
      </c>
      <c r="C109" s="183">
        <f t="shared" ref="C109:Q109" si="3">STDEV(C9:C104)</f>
        <v>2.8436831812085455</v>
      </c>
      <c r="D109" s="183">
        <f t="shared" si="3"/>
        <v>9.9453451417753502</v>
      </c>
      <c r="E109" s="183">
        <f t="shared" si="3"/>
        <v>1.521964879456249</v>
      </c>
      <c r="F109" s="183">
        <f t="shared" si="3"/>
        <v>0.6927363030232484</v>
      </c>
      <c r="G109" s="183">
        <f t="shared" si="3"/>
        <v>23.260335529316848</v>
      </c>
      <c r="H109" s="183">
        <f t="shared" si="3"/>
        <v>14.785337449945832</v>
      </c>
      <c r="I109" s="183">
        <f t="shared" si="3"/>
        <v>3.8655627569128286</v>
      </c>
      <c r="J109" s="183">
        <f t="shared" si="3"/>
        <v>0.13690501253109899</v>
      </c>
      <c r="K109" s="183">
        <f t="shared" si="3"/>
        <v>77.868026292395683</v>
      </c>
      <c r="L109" s="183">
        <f t="shared" si="3"/>
        <v>5.0811370291276186</v>
      </c>
      <c r="M109" s="183">
        <f t="shared" si="3"/>
        <v>23.911644111433397</v>
      </c>
      <c r="N109" s="183">
        <f t="shared" si="3"/>
        <v>178.09469014206525</v>
      </c>
      <c r="O109" s="183">
        <f t="shared" si="3"/>
        <v>0</v>
      </c>
      <c r="P109" s="183">
        <f t="shared" si="3"/>
        <v>0.24561701752575085</v>
      </c>
      <c r="Q109" s="183">
        <f t="shared" si="3"/>
        <v>0.2317655112241834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22/12/2023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1487</v>
      </c>
      <c r="B9" s="189">
        <v>15.55</v>
      </c>
      <c r="C9" s="189">
        <v>30.9</v>
      </c>
      <c r="D9" s="189">
        <v>29.97</v>
      </c>
      <c r="E9" s="189">
        <v>7.29</v>
      </c>
      <c r="F9" s="189">
        <v>2.63</v>
      </c>
      <c r="G9" s="189">
        <v>118.03</v>
      </c>
      <c r="H9" s="189">
        <v>53.85</v>
      </c>
      <c r="I9" s="189">
        <v>11.69</v>
      </c>
      <c r="J9" s="189">
        <v>0.13</v>
      </c>
      <c r="K9" s="189">
        <v>157.65</v>
      </c>
      <c r="L9" s="189">
        <v>13.49</v>
      </c>
      <c r="M9" s="189">
        <v>87.4</v>
      </c>
      <c r="N9" s="189">
        <v>0</v>
      </c>
      <c r="O9" s="189">
        <v>0</v>
      </c>
      <c r="P9" s="189">
        <v>1.1200000000000001</v>
      </c>
      <c r="Q9" s="189">
        <v>5.16</v>
      </c>
    </row>
    <row r="10" spans="1:21" customFormat="1">
      <c r="A10" s="6" t="s">
        <v>1488</v>
      </c>
      <c r="B10" s="189">
        <v>16.440000000000001</v>
      </c>
      <c r="C10" s="189">
        <v>31.45</v>
      </c>
      <c r="D10" s="189">
        <v>30.96</v>
      </c>
      <c r="E10" s="189">
        <v>7.38</v>
      </c>
      <c r="F10" s="189">
        <v>2.54</v>
      </c>
      <c r="G10" s="189">
        <v>118.03</v>
      </c>
      <c r="H10" s="189">
        <v>53.85</v>
      </c>
      <c r="I10" s="189">
        <v>12</v>
      </c>
      <c r="J10" s="189">
        <v>0.14000000000000001</v>
      </c>
      <c r="K10" s="189">
        <v>185.36</v>
      </c>
      <c r="L10" s="189">
        <v>13.67</v>
      </c>
      <c r="M10" s="189">
        <v>89.72</v>
      </c>
      <c r="N10" s="189">
        <v>0</v>
      </c>
      <c r="O10" s="189">
        <v>0</v>
      </c>
      <c r="P10" s="189">
        <v>1.19</v>
      </c>
      <c r="Q10" s="189">
        <v>5.16</v>
      </c>
    </row>
    <row r="11" spans="1:21" customFormat="1">
      <c r="A11" s="6" t="s">
        <v>1489</v>
      </c>
      <c r="B11" s="189">
        <v>17.53</v>
      </c>
      <c r="C11" s="189">
        <v>31.8</v>
      </c>
      <c r="D11" s="189">
        <v>32.020000000000003</v>
      </c>
      <c r="E11" s="189">
        <v>7.17</v>
      </c>
      <c r="F11" s="189">
        <v>2.4700000000000002</v>
      </c>
      <c r="G11" s="189">
        <v>119.82</v>
      </c>
      <c r="H11" s="189">
        <v>56.51</v>
      </c>
      <c r="I11" s="189">
        <v>12.46</v>
      </c>
      <c r="J11" s="189">
        <v>0.17</v>
      </c>
      <c r="K11" s="189">
        <v>220.21</v>
      </c>
      <c r="L11" s="189">
        <v>13.36</v>
      </c>
      <c r="M11" s="189">
        <v>88.96</v>
      </c>
      <c r="N11" s="189">
        <v>0</v>
      </c>
      <c r="O11" s="189">
        <v>0</v>
      </c>
      <c r="P11" s="189">
        <v>1.23</v>
      </c>
      <c r="Q11" s="189">
        <v>5.21</v>
      </c>
    </row>
    <row r="12" spans="1:21" customFormat="1">
      <c r="A12" s="6" t="s">
        <v>1490</v>
      </c>
      <c r="B12" s="189">
        <v>18.38</v>
      </c>
      <c r="C12" s="189">
        <v>32.26</v>
      </c>
      <c r="D12" s="189">
        <v>32.950000000000003</v>
      </c>
      <c r="E12" s="189">
        <v>7.03</v>
      </c>
      <c r="F12" s="189">
        <v>2.56</v>
      </c>
      <c r="G12" s="189">
        <v>120.07</v>
      </c>
      <c r="H12" s="189">
        <v>56.51</v>
      </c>
      <c r="I12" s="189">
        <v>12.92</v>
      </c>
      <c r="J12" s="189">
        <v>0.11</v>
      </c>
      <c r="K12" s="189">
        <v>214.37</v>
      </c>
      <c r="L12" s="189">
        <v>13.14</v>
      </c>
      <c r="M12" s="189">
        <v>88.79</v>
      </c>
      <c r="N12" s="189">
        <v>0</v>
      </c>
      <c r="O12" s="189">
        <v>0</v>
      </c>
      <c r="P12" s="189">
        <v>1.25</v>
      </c>
      <c r="Q12" s="189">
        <v>5.22</v>
      </c>
    </row>
    <row r="13" spans="1:21" customFormat="1">
      <c r="A13" s="6" t="s">
        <v>1491</v>
      </c>
      <c r="B13" s="189">
        <v>18.829999999999998</v>
      </c>
      <c r="C13" s="189">
        <v>32.01</v>
      </c>
      <c r="D13" s="189">
        <v>33.17</v>
      </c>
      <c r="E13" s="189">
        <v>7.42</v>
      </c>
      <c r="F13" s="189">
        <v>2.63</v>
      </c>
      <c r="G13" s="189">
        <v>120.07</v>
      </c>
      <c r="H13" s="189">
        <v>56.51</v>
      </c>
      <c r="I13" s="189">
        <v>13.33</v>
      </c>
      <c r="J13" s="189">
        <v>0.15</v>
      </c>
      <c r="K13" s="189">
        <v>223.44</v>
      </c>
      <c r="L13" s="189">
        <v>13.12</v>
      </c>
      <c r="M13" s="189">
        <v>89.97</v>
      </c>
      <c r="N13" s="189">
        <v>0</v>
      </c>
      <c r="O13" s="189">
        <v>0</v>
      </c>
      <c r="P13" s="189">
        <v>1.27</v>
      </c>
      <c r="Q13" s="189">
        <v>5.21</v>
      </c>
    </row>
    <row r="14" spans="1:21" customFormat="1">
      <c r="A14" s="6" t="s">
        <v>1492</v>
      </c>
      <c r="B14" s="189">
        <v>18.72</v>
      </c>
      <c r="C14" s="189">
        <v>31.8</v>
      </c>
      <c r="D14" s="189">
        <v>32.97</v>
      </c>
      <c r="E14" s="189">
        <v>7.31</v>
      </c>
      <c r="F14" s="189">
        <v>2.62</v>
      </c>
      <c r="G14" s="189">
        <v>120.07</v>
      </c>
      <c r="H14" s="189">
        <v>56.51</v>
      </c>
      <c r="I14" s="189">
        <v>13.65</v>
      </c>
      <c r="J14" s="189">
        <v>0.08</v>
      </c>
      <c r="K14" s="189">
        <v>223.27</v>
      </c>
      <c r="L14" s="189">
        <v>13.01</v>
      </c>
      <c r="M14" s="189">
        <v>87.29</v>
      </c>
      <c r="N14" s="189">
        <v>0</v>
      </c>
      <c r="O14" s="189">
        <v>0</v>
      </c>
      <c r="P14" s="189">
        <v>1.27</v>
      </c>
      <c r="Q14" s="189">
        <v>5.22</v>
      </c>
    </row>
    <row r="15" spans="1:21" customFormat="1">
      <c r="A15" s="6" t="s">
        <v>1493</v>
      </c>
      <c r="B15" s="189">
        <v>18.22</v>
      </c>
      <c r="C15" s="189">
        <v>31.6</v>
      </c>
      <c r="D15" s="189">
        <v>32.47</v>
      </c>
      <c r="E15" s="189">
        <v>7.31</v>
      </c>
      <c r="F15" s="189">
        <v>2.57</v>
      </c>
      <c r="G15" s="189">
        <v>118.51</v>
      </c>
      <c r="H15" s="189">
        <v>56.82</v>
      </c>
      <c r="I15" s="189">
        <v>13.84</v>
      </c>
      <c r="J15" s="189">
        <v>0.09</v>
      </c>
      <c r="K15" s="189">
        <v>170.49</v>
      </c>
      <c r="L15" s="189">
        <v>12.87</v>
      </c>
      <c r="M15" s="189">
        <v>85.25</v>
      </c>
      <c r="N15" s="189">
        <v>0</v>
      </c>
      <c r="O15" s="189">
        <v>0</v>
      </c>
      <c r="P15" s="189">
        <v>1.27</v>
      </c>
      <c r="Q15" s="189">
        <v>5.19</v>
      </c>
    </row>
    <row r="16" spans="1:21" customFormat="1">
      <c r="A16" s="6" t="s">
        <v>1494</v>
      </c>
      <c r="B16" s="189">
        <v>17.66</v>
      </c>
      <c r="C16" s="189">
        <v>31.26</v>
      </c>
      <c r="D16" s="189">
        <v>31.84</v>
      </c>
      <c r="E16" s="189">
        <v>7.43</v>
      </c>
      <c r="F16" s="189">
        <v>2.5099999999999998</v>
      </c>
      <c r="G16" s="189">
        <v>118.3</v>
      </c>
      <c r="H16" s="189">
        <v>56.82</v>
      </c>
      <c r="I16" s="189">
        <v>13.91</v>
      </c>
      <c r="J16" s="189">
        <v>0.09</v>
      </c>
      <c r="K16" s="189">
        <v>178.78</v>
      </c>
      <c r="L16" s="189">
        <v>12.93</v>
      </c>
      <c r="M16" s="189">
        <v>84.91</v>
      </c>
      <c r="N16" s="189">
        <v>0</v>
      </c>
      <c r="O16" s="189">
        <v>0</v>
      </c>
      <c r="P16" s="189">
        <v>1.27</v>
      </c>
      <c r="Q16" s="189">
        <v>5.18</v>
      </c>
    </row>
    <row r="17" spans="1:17" customFormat="1">
      <c r="A17" s="6" t="s">
        <v>1495</v>
      </c>
      <c r="B17" s="189">
        <v>16.91</v>
      </c>
      <c r="C17" s="189">
        <v>31.32</v>
      </c>
      <c r="D17" s="189">
        <v>31.27</v>
      </c>
      <c r="E17" s="189">
        <v>5.98</v>
      </c>
      <c r="F17" s="189">
        <v>2.58</v>
      </c>
      <c r="G17" s="189">
        <v>118.3</v>
      </c>
      <c r="H17" s="189">
        <v>56.82</v>
      </c>
      <c r="I17" s="189">
        <v>13.95</v>
      </c>
      <c r="J17" s="189">
        <v>0.1</v>
      </c>
      <c r="K17" s="189">
        <v>158.80000000000001</v>
      </c>
      <c r="L17" s="189">
        <v>12.96</v>
      </c>
      <c r="M17" s="189">
        <v>83.01</v>
      </c>
      <c r="N17" s="189">
        <v>0</v>
      </c>
      <c r="O17" s="189">
        <v>0</v>
      </c>
      <c r="P17" s="189">
        <v>1.27</v>
      </c>
      <c r="Q17" s="189">
        <v>5.18</v>
      </c>
    </row>
    <row r="18" spans="1:17" customFormat="1">
      <c r="A18" s="6" t="s">
        <v>1496</v>
      </c>
      <c r="B18" s="189">
        <v>16.329999999999998</v>
      </c>
      <c r="C18" s="189">
        <v>31.06</v>
      </c>
      <c r="D18" s="189">
        <v>30.67</v>
      </c>
      <c r="E18" s="189">
        <v>5.65</v>
      </c>
      <c r="F18" s="189">
        <v>2.64</v>
      </c>
      <c r="G18" s="189">
        <v>118.3</v>
      </c>
      <c r="H18" s="189">
        <v>56.82</v>
      </c>
      <c r="I18" s="189">
        <v>13.99</v>
      </c>
      <c r="J18" s="189">
        <v>0.13</v>
      </c>
      <c r="K18" s="189">
        <v>124.78</v>
      </c>
      <c r="L18" s="189">
        <v>12.94</v>
      </c>
      <c r="M18" s="189">
        <v>83.99</v>
      </c>
      <c r="N18" s="189">
        <v>0</v>
      </c>
      <c r="O18" s="189">
        <v>0</v>
      </c>
      <c r="P18" s="189">
        <v>1.28</v>
      </c>
      <c r="Q18" s="189">
        <v>5.18</v>
      </c>
    </row>
    <row r="19" spans="1:17" customFormat="1">
      <c r="A19" s="6" t="s">
        <v>1497</v>
      </c>
      <c r="B19" s="189">
        <v>16.829999999999998</v>
      </c>
      <c r="C19" s="189">
        <v>31.3</v>
      </c>
      <c r="D19" s="189">
        <v>31.2</v>
      </c>
      <c r="E19" s="189">
        <v>6.17</v>
      </c>
      <c r="F19" s="189">
        <v>2.63</v>
      </c>
      <c r="G19" s="189">
        <v>112.81</v>
      </c>
      <c r="H19" s="189">
        <v>56.78</v>
      </c>
      <c r="I19" s="189">
        <v>14.05</v>
      </c>
      <c r="J19" s="189">
        <v>0.16</v>
      </c>
      <c r="K19" s="189">
        <v>87.51</v>
      </c>
      <c r="L19" s="189">
        <v>12.92</v>
      </c>
      <c r="M19" s="189">
        <v>82.63</v>
      </c>
      <c r="N19" s="189">
        <v>0</v>
      </c>
      <c r="O19" s="189">
        <v>0</v>
      </c>
      <c r="P19" s="189">
        <v>1.28</v>
      </c>
      <c r="Q19" s="189">
        <v>5.19</v>
      </c>
    </row>
    <row r="20" spans="1:17" customFormat="1">
      <c r="A20" s="6" t="s">
        <v>1498</v>
      </c>
      <c r="B20" s="189">
        <v>20.05</v>
      </c>
      <c r="C20" s="189">
        <v>32.21</v>
      </c>
      <c r="D20" s="189">
        <v>34.25</v>
      </c>
      <c r="E20" s="189">
        <v>6.16</v>
      </c>
      <c r="F20" s="189">
        <v>2.64</v>
      </c>
      <c r="G20" s="189">
        <v>112.05</v>
      </c>
      <c r="H20" s="189">
        <v>56.78</v>
      </c>
      <c r="I20" s="189">
        <v>14.1</v>
      </c>
      <c r="J20" s="189">
        <v>0.14000000000000001</v>
      </c>
      <c r="K20" s="189">
        <v>125.7</v>
      </c>
      <c r="L20" s="189">
        <v>12.98</v>
      </c>
      <c r="M20" s="189">
        <v>81.42</v>
      </c>
      <c r="N20" s="189">
        <v>0</v>
      </c>
      <c r="O20" s="189">
        <v>0</v>
      </c>
      <c r="P20" s="189">
        <v>1.29</v>
      </c>
      <c r="Q20" s="189">
        <v>5.22</v>
      </c>
    </row>
    <row r="21" spans="1:17" customFormat="1">
      <c r="A21" s="6" t="s">
        <v>1499</v>
      </c>
      <c r="B21" s="189">
        <v>22.69</v>
      </c>
      <c r="C21" s="189">
        <v>32.82</v>
      </c>
      <c r="D21" s="189">
        <v>36.69</v>
      </c>
      <c r="E21" s="189">
        <v>5.96</v>
      </c>
      <c r="F21" s="189">
        <v>2.58</v>
      </c>
      <c r="G21" s="189">
        <v>112.05</v>
      </c>
      <c r="H21" s="189">
        <v>56.78</v>
      </c>
      <c r="I21" s="189">
        <v>14.17</v>
      </c>
      <c r="J21" s="189">
        <v>0.15</v>
      </c>
      <c r="K21" s="189">
        <v>151.03</v>
      </c>
      <c r="L21" s="189">
        <v>13.13</v>
      </c>
      <c r="M21" s="189">
        <v>82.24</v>
      </c>
      <c r="N21" s="189">
        <v>0</v>
      </c>
      <c r="O21" s="189">
        <v>0</v>
      </c>
      <c r="P21" s="189">
        <v>1.3</v>
      </c>
      <c r="Q21" s="189">
        <v>5.26</v>
      </c>
    </row>
    <row r="22" spans="1:17" customFormat="1">
      <c r="A22" s="6" t="s">
        <v>1500</v>
      </c>
      <c r="B22" s="189">
        <v>24.74</v>
      </c>
      <c r="C22" s="189">
        <v>33.200000000000003</v>
      </c>
      <c r="D22" s="189">
        <v>38.54</v>
      </c>
      <c r="E22" s="189">
        <v>6.27</v>
      </c>
      <c r="F22" s="189">
        <v>2.65</v>
      </c>
      <c r="G22" s="189">
        <v>112.05</v>
      </c>
      <c r="H22" s="189">
        <v>56.78</v>
      </c>
      <c r="I22" s="189">
        <v>14.28</v>
      </c>
      <c r="J22" s="189">
        <v>0.13</v>
      </c>
      <c r="K22" s="189">
        <v>89.22</v>
      </c>
      <c r="L22" s="189">
        <v>12.83</v>
      </c>
      <c r="M22" s="189">
        <v>83.5</v>
      </c>
      <c r="N22" s="189">
        <v>0</v>
      </c>
      <c r="O22" s="189">
        <v>0</v>
      </c>
      <c r="P22" s="189">
        <v>1.33</v>
      </c>
      <c r="Q22" s="189">
        <v>5.3</v>
      </c>
    </row>
    <row r="23" spans="1:17" customFormat="1">
      <c r="A23" s="6" t="s">
        <v>1501</v>
      </c>
      <c r="B23" s="189">
        <v>26.89</v>
      </c>
      <c r="C23" s="189">
        <v>33.659999999999997</v>
      </c>
      <c r="D23" s="189">
        <v>40.5</v>
      </c>
      <c r="E23" s="189">
        <v>6.34</v>
      </c>
      <c r="F23" s="189">
        <v>2.71</v>
      </c>
      <c r="G23" s="189">
        <v>123.04</v>
      </c>
      <c r="H23" s="189">
        <v>66.06</v>
      </c>
      <c r="I23" s="189">
        <v>14.48</v>
      </c>
      <c r="J23" s="189">
        <v>0.15</v>
      </c>
      <c r="K23" s="189">
        <v>163.98</v>
      </c>
      <c r="L23" s="189">
        <v>12.79</v>
      </c>
      <c r="M23" s="189">
        <v>83.43</v>
      </c>
      <c r="N23" s="189">
        <v>0</v>
      </c>
      <c r="O23" s="189">
        <v>0</v>
      </c>
      <c r="P23" s="189">
        <v>1.35</v>
      </c>
      <c r="Q23" s="189">
        <v>5.32</v>
      </c>
    </row>
    <row r="24" spans="1:17" customFormat="1">
      <c r="A24" s="6" t="s">
        <v>1502</v>
      </c>
      <c r="B24" s="189">
        <v>28.34</v>
      </c>
      <c r="C24" s="189">
        <v>34.07</v>
      </c>
      <c r="D24" s="189">
        <v>41.88</v>
      </c>
      <c r="E24" s="189">
        <v>6.35</v>
      </c>
      <c r="F24" s="189">
        <v>2.67</v>
      </c>
      <c r="G24" s="189">
        <v>124.58</v>
      </c>
      <c r="H24" s="189">
        <v>66.06</v>
      </c>
      <c r="I24" s="189">
        <v>14.78</v>
      </c>
      <c r="J24" s="189">
        <v>0.1</v>
      </c>
      <c r="K24" s="189">
        <v>244.15</v>
      </c>
      <c r="L24" s="189">
        <v>12.46</v>
      </c>
      <c r="M24" s="189">
        <v>87.62</v>
      </c>
      <c r="N24" s="189">
        <v>0</v>
      </c>
      <c r="O24" s="189">
        <v>0</v>
      </c>
      <c r="P24" s="189">
        <v>1.37</v>
      </c>
      <c r="Q24" s="189">
        <v>5.34</v>
      </c>
    </row>
    <row r="25" spans="1:17" customFormat="1">
      <c r="A25" s="6" t="s">
        <v>1503</v>
      </c>
      <c r="B25" s="189">
        <v>28.74</v>
      </c>
      <c r="C25" s="189">
        <v>34.06</v>
      </c>
      <c r="D25" s="189">
        <v>42.19</v>
      </c>
      <c r="E25" s="189">
        <v>6.27</v>
      </c>
      <c r="F25" s="189">
        <v>2.76</v>
      </c>
      <c r="G25" s="189">
        <v>124.58</v>
      </c>
      <c r="H25" s="189">
        <v>66.06</v>
      </c>
      <c r="I25" s="189">
        <v>15.1</v>
      </c>
      <c r="J25" s="189">
        <v>0.14000000000000001</v>
      </c>
      <c r="K25" s="189">
        <v>209.46</v>
      </c>
      <c r="L25" s="189">
        <v>12.18</v>
      </c>
      <c r="M25" s="189">
        <v>89.8</v>
      </c>
      <c r="N25" s="189">
        <v>0</v>
      </c>
      <c r="O25" s="189">
        <v>0</v>
      </c>
      <c r="P25" s="189">
        <v>1.36</v>
      </c>
      <c r="Q25" s="189">
        <v>5.38</v>
      </c>
    </row>
    <row r="26" spans="1:17" customFormat="1">
      <c r="A26" s="6" t="s">
        <v>1504</v>
      </c>
      <c r="B26" s="189">
        <v>28.31</v>
      </c>
      <c r="C26" s="189">
        <v>33.659999999999997</v>
      </c>
      <c r="D26" s="189">
        <v>41.64</v>
      </c>
      <c r="E26" s="189">
        <v>6.06</v>
      </c>
      <c r="F26" s="189">
        <v>2.68</v>
      </c>
      <c r="G26" s="189">
        <v>124.58</v>
      </c>
      <c r="H26" s="189">
        <v>66.06</v>
      </c>
      <c r="I26" s="189">
        <v>15.32</v>
      </c>
      <c r="J26" s="189">
        <v>0.24</v>
      </c>
      <c r="K26" s="189">
        <v>184.71</v>
      </c>
      <c r="L26" s="189">
        <v>11.92</v>
      </c>
      <c r="M26" s="189">
        <v>91.31</v>
      </c>
      <c r="N26" s="189">
        <v>0</v>
      </c>
      <c r="O26" s="189">
        <v>0</v>
      </c>
      <c r="P26" s="189">
        <v>1.36</v>
      </c>
      <c r="Q26" s="189">
        <v>5.38</v>
      </c>
    </row>
    <row r="27" spans="1:17" customFormat="1">
      <c r="A27" s="6" t="s">
        <v>1505</v>
      </c>
      <c r="B27" s="189">
        <v>27.29</v>
      </c>
      <c r="C27" s="189">
        <v>33.4</v>
      </c>
      <c r="D27" s="189">
        <v>40.68</v>
      </c>
      <c r="E27" s="189">
        <v>6.46</v>
      </c>
      <c r="F27" s="189">
        <v>2.59</v>
      </c>
      <c r="G27" s="189">
        <v>129.94999999999999</v>
      </c>
      <c r="H27" s="189">
        <v>60.78</v>
      </c>
      <c r="I27" s="189">
        <v>15.44</v>
      </c>
      <c r="J27" s="189">
        <v>0.15</v>
      </c>
      <c r="K27" s="189">
        <v>256.85000000000002</v>
      </c>
      <c r="L27" s="189">
        <v>11.72</v>
      </c>
      <c r="M27" s="189">
        <v>90.92</v>
      </c>
      <c r="N27" s="189">
        <v>0</v>
      </c>
      <c r="O27" s="189">
        <v>0</v>
      </c>
      <c r="P27" s="189">
        <v>1.37</v>
      </c>
      <c r="Q27" s="189">
        <v>5.37</v>
      </c>
    </row>
    <row r="28" spans="1:17" customFormat="1">
      <c r="A28" s="6" t="s">
        <v>1506</v>
      </c>
      <c r="B28" s="189">
        <v>26.21</v>
      </c>
      <c r="C28" s="189">
        <v>33.14</v>
      </c>
      <c r="D28" s="189">
        <v>39.68</v>
      </c>
      <c r="E28" s="189">
        <v>6.17</v>
      </c>
      <c r="F28" s="189">
        <v>2.69</v>
      </c>
      <c r="G28" s="189">
        <v>130.78</v>
      </c>
      <c r="H28" s="189">
        <v>60.78</v>
      </c>
      <c r="I28" s="189">
        <v>15.5</v>
      </c>
      <c r="J28" s="189">
        <v>0.25</v>
      </c>
      <c r="K28" s="189">
        <v>265.24</v>
      </c>
      <c r="L28" s="189">
        <v>11.49</v>
      </c>
      <c r="M28" s="189">
        <v>90.2</v>
      </c>
      <c r="N28" s="189">
        <v>0</v>
      </c>
      <c r="O28" s="189">
        <v>0</v>
      </c>
      <c r="P28" s="189">
        <v>1.35</v>
      </c>
      <c r="Q28" s="189">
        <v>5.34</v>
      </c>
    </row>
    <row r="29" spans="1:17" customFormat="1">
      <c r="A29" s="6" t="s">
        <v>1507</v>
      </c>
      <c r="B29" s="189">
        <v>25.14</v>
      </c>
      <c r="C29" s="189">
        <v>32.22</v>
      </c>
      <c r="D29" s="189">
        <v>38.35</v>
      </c>
      <c r="E29" s="189">
        <v>5.75</v>
      </c>
      <c r="F29" s="189">
        <v>2.56</v>
      </c>
      <c r="G29" s="189">
        <v>130.78</v>
      </c>
      <c r="H29" s="189">
        <v>60.78</v>
      </c>
      <c r="I29" s="189">
        <v>15.53</v>
      </c>
      <c r="J29" s="189">
        <v>0.19</v>
      </c>
      <c r="K29" s="189">
        <v>175.11</v>
      </c>
      <c r="L29" s="189">
        <v>11.42</v>
      </c>
      <c r="M29" s="189">
        <v>90.34</v>
      </c>
      <c r="N29" s="189">
        <v>0</v>
      </c>
      <c r="O29" s="189">
        <v>0</v>
      </c>
      <c r="P29" s="189">
        <v>1.34</v>
      </c>
      <c r="Q29" s="189">
        <v>5.29</v>
      </c>
    </row>
    <row r="30" spans="1:17" customFormat="1">
      <c r="A30" s="6" t="s">
        <v>1508</v>
      </c>
      <c r="B30" s="189">
        <v>24.12</v>
      </c>
      <c r="C30" s="189">
        <v>30.33</v>
      </c>
      <c r="D30" s="189">
        <v>36.54</v>
      </c>
      <c r="E30" s="189">
        <v>5.41</v>
      </c>
      <c r="F30" s="189">
        <v>2.68</v>
      </c>
      <c r="G30" s="189">
        <v>130.78</v>
      </c>
      <c r="H30" s="189">
        <v>60.78</v>
      </c>
      <c r="I30" s="189">
        <v>15.48</v>
      </c>
      <c r="J30" s="189">
        <v>0.13</v>
      </c>
      <c r="K30" s="189">
        <v>227.86</v>
      </c>
      <c r="L30" s="189">
        <v>11.36</v>
      </c>
      <c r="M30" s="189">
        <v>92.26</v>
      </c>
      <c r="N30" s="189">
        <v>0</v>
      </c>
      <c r="O30" s="189">
        <v>0</v>
      </c>
      <c r="P30" s="189">
        <v>1.3</v>
      </c>
      <c r="Q30" s="189">
        <v>5.29</v>
      </c>
    </row>
    <row r="31" spans="1:17" customFormat="1">
      <c r="A31" s="6" t="s">
        <v>1509</v>
      </c>
      <c r="B31" s="189">
        <v>23</v>
      </c>
      <c r="C31" s="189">
        <v>30.71</v>
      </c>
      <c r="D31" s="189">
        <v>35.840000000000003</v>
      </c>
      <c r="E31" s="189">
        <v>5.8</v>
      </c>
      <c r="F31" s="189">
        <v>2.5299999999999998</v>
      </c>
      <c r="G31" s="189">
        <v>121.68</v>
      </c>
      <c r="H31" s="189">
        <v>62.12</v>
      </c>
      <c r="I31" s="189">
        <v>15.37</v>
      </c>
      <c r="J31" s="189">
        <v>0.09</v>
      </c>
      <c r="K31" s="189">
        <v>115.21</v>
      </c>
      <c r="L31" s="189">
        <v>11.25</v>
      </c>
      <c r="M31" s="189">
        <v>92.33</v>
      </c>
      <c r="N31" s="189">
        <v>0</v>
      </c>
      <c r="O31" s="189">
        <v>0</v>
      </c>
      <c r="P31" s="189">
        <v>1.29</v>
      </c>
      <c r="Q31" s="189">
        <v>5.27</v>
      </c>
    </row>
    <row r="32" spans="1:17" customFormat="1">
      <c r="A32" s="6" t="s">
        <v>1510</v>
      </c>
      <c r="B32" s="189">
        <v>22.16</v>
      </c>
      <c r="C32" s="189">
        <v>30.65</v>
      </c>
      <c r="D32" s="189">
        <v>35.14</v>
      </c>
      <c r="E32" s="189">
        <v>5.94</v>
      </c>
      <c r="F32" s="189">
        <v>2.5299999999999998</v>
      </c>
      <c r="G32" s="189">
        <v>120.41</v>
      </c>
      <c r="H32" s="189">
        <v>62.12</v>
      </c>
      <c r="I32" s="189">
        <v>15.23</v>
      </c>
      <c r="J32" s="189">
        <v>0.09</v>
      </c>
      <c r="K32" s="189">
        <v>113.61</v>
      </c>
      <c r="L32" s="189">
        <v>11.35</v>
      </c>
      <c r="M32" s="189">
        <v>89.95</v>
      </c>
      <c r="N32" s="189">
        <v>0</v>
      </c>
      <c r="O32" s="189">
        <v>0</v>
      </c>
      <c r="P32" s="189">
        <v>1.28</v>
      </c>
      <c r="Q32" s="189">
        <v>5.27</v>
      </c>
    </row>
    <row r="33" spans="1:17" customFormat="1">
      <c r="A33" s="6" t="s">
        <v>1511</v>
      </c>
      <c r="B33" s="189">
        <v>22.94</v>
      </c>
      <c r="C33" s="189">
        <v>30.66</v>
      </c>
      <c r="D33" s="189">
        <v>35.770000000000003</v>
      </c>
      <c r="E33" s="189">
        <v>5.94</v>
      </c>
      <c r="F33" s="189">
        <v>2.54</v>
      </c>
      <c r="G33" s="189">
        <v>120.41</v>
      </c>
      <c r="H33" s="189">
        <v>62.12</v>
      </c>
      <c r="I33" s="189">
        <v>15.07</v>
      </c>
      <c r="J33" s="189">
        <v>0.05</v>
      </c>
      <c r="K33" s="189">
        <v>242.24</v>
      </c>
      <c r="L33" s="189">
        <v>11.43</v>
      </c>
      <c r="M33" s="189">
        <v>88.35</v>
      </c>
      <c r="N33" s="189">
        <v>0</v>
      </c>
      <c r="O33" s="189">
        <v>0</v>
      </c>
      <c r="P33" s="189">
        <v>1.26</v>
      </c>
      <c r="Q33" s="189">
        <v>5.24</v>
      </c>
    </row>
    <row r="34" spans="1:17" customFormat="1">
      <c r="A34" s="6" t="s">
        <v>1512</v>
      </c>
      <c r="B34" s="189">
        <v>25.97</v>
      </c>
      <c r="C34" s="189">
        <v>31.18</v>
      </c>
      <c r="D34" s="189">
        <v>38.47</v>
      </c>
      <c r="E34" s="189">
        <v>6.24</v>
      </c>
      <c r="F34" s="189">
        <v>2.5499999999999998</v>
      </c>
      <c r="G34" s="189">
        <v>120.41</v>
      </c>
      <c r="H34" s="189">
        <v>62.12</v>
      </c>
      <c r="I34" s="189">
        <v>14.92</v>
      </c>
      <c r="J34" s="189">
        <v>0.17</v>
      </c>
      <c r="K34" s="189">
        <v>260.69</v>
      </c>
      <c r="L34" s="189">
        <v>11.39</v>
      </c>
      <c r="M34" s="189">
        <v>89.39</v>
      </c>
      <c r="N34" s="189">
        <v>0</v>
      </c>
      <c r="O34" s="189">
        <v>0</v>
      </c>
      <c r="P34" s="189">
        <v>1.26</v>
      </c>
      <c r="Q34" s="189">
        <v>5.28</v>
      </c>
    </row>
    <row r="35" spans="1:17" customFormat="1">
      <c r="A35" s="6" t="s">
        <v>1513</v>
      </c>
      <c r="B35" s="189">
        <v>29.96</v>
      </c>
      <c r="C35" s="189">
        <v>31.94</v>
      </c>
      <c r="D35" s="189">
        <v>42.06</v>
      </c>
      <c r="E35" s="189">
        <v>6.18</v>
      </c>
      <c r="F35" s="189">
        <v>2.4700000000000002</v>
      </c>
      <c r="G35" s="189">
        <v>138.29</v>
      </c>
      <c r="H35" s="189">
        <v>65.58</v>
      </c>
      <c r="I35" s="189">
        <v>14.83</v>
      </c>
      <c r="J35" s="189">
        <v>0.11</v>
      </c>
      <c r="K35" s="189">
        <v>228.68</v>
      </c>
      <c r="L35" s="189">
        <v>11.31</v>
      </c>
      <c r="M35" s="189">
        <v>89.44</v>
      </c>
      <c r="N35" s="189">
        <v>0</v>
      </c>
      <c r="O35" s="189">
        <v>0</v>
      </c>
      <c r="P35" s="189">
        <v>1.27</v>
      </c>
      <c r="Q35" s="189">
        <v>5.36</v>
      </c>
    </row>
    <row r="36" spans="1:17" customFormat="1">
      <c r="A36" s="6" t="s">
        <v>1514</v>
      </c>
      <c r="B36" s="189">
        <v>34.630000000000003</v>
      </c>
      <c r="C36" s="189">
        <v>32.04</v>
      </c>
      <c r="D36" s="189">
        <v>45.86</v>
      </c>
      <c r="E36" s="189">
        <v>6.05</v>
      </c>
      <c r="F36" s="189">
        <v>2.35</v>
      </c>
      <c r="G36" s="189">
        <v>140.78</v>
      </c>
      <c r="H36" s="189">
        <v>65.58</v>
      </c>
      <c r="I36" s="189">
        <v>14.77</v>
      </c>
      <c r="J36" s="189">
        <v>0.08</v>
      </c>
      <c r="K36" s="189">
        <v>199.37</v>
      </c>
      <c r="L36" s="189">
        <v>11.43</v>
      </c>
      <c r="M36" s="189">
        <v>90.66</v>
      </c>
      <c r="N36" s="189">
        <v>4.5</v>
      </c>
      <c r="O36" s="189">
        <v>0</v>
      </c>
      <c r="P36" s="189">
        <v>1.26</v>
      </c>
      <c r="Q36" s="189">
        <v>5.44</v>
      </c>
    </row>
    <row r="37" spans="1:17" customFormat="1">
      <c r="A37" s="6" t="s">
        <v>1515</v>
      </c>
      <c r="B37" s="189">
        <v>37.979999999999997</v>
      </c>
      <c r="C37" s="189">
        <v>32.22</v>
      </c>
      <c r="D37" s="189">
        <v>48.64</v>
      </c>
      <c r="E37" s="189">
        <v>6.1</v>
      </c>
      <c r="F37" s="189">
        <v>2.44</v>
      </c>
      <c r="G37" s="189">
        <v>140.78</v>
      </c>
      <c r="H37" s="189">
        <v>65.58</v>
      </c>
      <c r="I37" s="189">
        <v>14.79</v>
      </c>
      <c r="J37" s="189">
        <v>0.06</v>
      </c>
      <c r="K37" s="189">
        <v>256.31</v>
      </c>
      <c r="L37" s="189">
        <v>11.71</v>
      </c>
      <c r="M37" s="189">
        <v>91.82</v>
      </c>
      <c r="N37" s="189">
        <v>13.8</v>
      </c>
      <c r="O37" s="189">
        <v>0</v>
      </c>
      <c r="P37" s="189">
        <v>1.27</v>
      </c>
      <c r="Q37" s="189">
        <v>5.51</v>
      </c>
    </row>
    <row r="38" spans="1:17" customFormat="1">
      <c r="A38" s="6" t="s">
        <v>1516</v>
      </c>
      <c r="B38" s="189">
        <v>39.880000000000003</v>
      </c>
      <c r="C38" s="189">
        <v>32.020000000000003</v>
      </c>
      <c r="D38" s="189">
        <v>50.07</v>
      </c>
      <c r="E38" s="189">
        <v>6.76</v>
      </c>
      <c r="F38" s="189">
        <v>2.44</v>
      </c>
      <c r="G38" s="189">
        <v>140.78</v>
      </c>
      <c r="H38" s="189">
        <v>65.58</v>
      </c>
      <c r="I38" s="189">
        <v>14.85</v>
      </c>
      <c r="J38" s="189">
        <v>0.09</v>
      </c>
      <c r="K38" s="189">
        <v>164.9</v>
      </c>
      <c r="L38" s="189">
        <v>12.17</v>
      </c>
      <c r="M38" s="189">
        <v>90</v>
      </c>
      <c r="N38" s="189">
        <v>25</v>
      </c>
      <c r="O38" s="189">
        <v>0</v>
      </c>
      <c r="P38" s="189">
        <v>1.26</v>
      </c>
      <c r="Q38" s="189">
        <v>5.55</v>
      </c>
    </row>
    <row r="39" spans="1:17" customFormat="1">
      <c r="A39" s="6" t="s">
        <v>1517</v>
      </c>
      <c r="B39" s="189">
        <v>40.630000000000003</v>
      </c>
      <c r="C39" s="189">
        <v>32.19</v>
      </c>
      <c r="D39" s="189">
        <v>50.75</v>
      </c>
      <c r="E39" s="189">
        <v>6.33</v>
      </c>
      <c r="F39" s="189">
        <v>2.48</v>
      </c>
      <c r="G39" s="189">
        <v>145.21</v>
      </c>
      <c r="H39" s="189">
        <v>66.099999999999994</v>
      </c>
      <c r="I39" s="189">
        <v>14.89</v>
      </c>
      <c r="J39" s="189">
        <v>0.21</v>
      </c>
      <c r="K39" s="189">
        <v>174.69</v>
      </c>
      <c r="L39" s="189">
        <v>12.88</v>
      </c>
      <c r="M39" s="189">
        <v>88</v>
      </c>
      <c r="N39" s="189">
        <v>37.4</v>
      </c>
      <c r="O39" s="189">
        <v>0</v>
      </c>
      <c r="P39" s="189">
        <v>1.27</v>
      </c>
      <c r="Q39" s="189">
        <v>5.53</v>
      </c>
    </row>
    <row r="40" spans="1:17" customFormat="1">
      <c r="A40" s="6" t="s">
        <v>1518</v>
      </c>
      <c r="B40" s="189">
        <v>39.89</v>
      </c>
      <c r="C40" s="189">
        <v>32.53</v>
      </c>
      <c r="D40" s="189">
        <v>50.34</v>
      </c>
      <c r="E40" s="189">
        <v>6.07</v>
      </c>
      <c r="F40" s="189">
        <v>2.62</v>
      </c>
      <c r="G40" s="189">
        <v>145.82</v>
      </c>
      <c r="H40" s="189">
        <v>66.099999999999994</v>
      </c>
      <c r="I40" s="189">
        <v>14.91</v>
      </c>
      <c r="J40" s="189">
        <v>0.35</v>
      </c>
      <c r="K40" s="189">
        <v>158.16999999999999</v>
      </c>
      <c r="L40" s="189">
        <v>13.89</v>
      </c>
      <c r="M40" s="189">
        <v>80.989999999999995</v>
      </c>
      <c r="N40" s="189">
        <v>58.8</v>
      </c>
      <c r="O40" s="189">
        <v>0</v>
      </c>
      <c r="P40" s="189">
        <v>1.27</v>
      </c>
      <c r="Q40" s="189">
        <v>5.53</v>
      </c>
    </row>
    <row r="41" spans="1:17" customFormat="1">
      <c r="A41" s="6" t="s">
        <v>1519</v>
      </c>
      <c r="B41" s="189">
        <v>38.15</v>
      </c>
      <c r="C41" s="189">
        <v>33.25</v>
      </c>
      <c r="D41" s="189">
        <v>49.32</v>
      </c>
      <c r="E41" s="189">
        <v>6.38</v>
      </c>
      <c r="F41" s="189">
        <v>2.5099999999999998</v>
      </c>
      <c r="G41" s="189">
        <v>145.82</v>
      </c>
      <c r="H41" s="189">
        <v>66.099999999999994</v>
      </c>
      <c r="I41" s="189">
        <v>14.97</v>
      </c>
      <c r="J41" s="189">
        <v>0.32</v>
      </c>
      <c r="K41" s="189">
        <v>144.74</v>
      </c>
      <c r="L41" s="189">
        <v>14.96</v>
      </c>
      <c r="M41" s="189">
        <v>73.56</v>
      </c>
      <c r="N41" s="189">
        <v>148.1</v>
      </c>
      <c r="O41" s="189">
        <v>0</v>
      </c>
      <c r="P41" s="189">
        <v>1.27</v>
      </c>
      <c r="Q41" s="189">
        <v>5.52</v>
      </c>
    </row>
    <row r="42" spans="1:17" customFormat="1">
      <c r="A42" s="6" t="s">
        <v>1520</v>
      </c>
      <c r="B42" s="189">
        <v>35.81</v>
      </c>
      <c r="C42" s="189">
        <v>34.17</v>
      </c>
      <c r="D42" s="189">
        <v>47.92</v>
      </c>
      <c r="E42" s="189">
        <v>6.08</v>
      </c>
      <c r="F42" s="189">
        <v>2.61</v>
      </c>
      <c r="G42" s="189">
        <v>145.82</v>
      </c>
      <c r="H42" s="189">
        <v>66.099999999999994</v>
      </c>
      <c r="I42" s="189">
        <v>15.01</v>
      </c>
      <c r="J42" s="189">
        <v>0.2</v>
      </c>
      <c r="K42" s="189">
        <v>145.51</v>
      </c>
      <c r="L42" s="189">
        <v>16.47</v>
      </c>
      <c r="M42" s="189">
        <v>65.650000000000006</v>
      </c>
      <c r="N42" s="189">
        <v>180.4</v>
      </c>
      <c r="O42" s="189">
        <v>0</v>
      </c>
      <c r="P42" s="189">
        <v>1.25</v>
      </c>
      <c r="Q42" s="189">
        <v>5.49</v>
      </c>
    </row>
    <row r="43" spans="1:17" customFormat="1">
      <c r="A43" s="6" t="s">
        <v>1521</v>
      </c>
      <c r="B43" s="189">
        <v>33.22</v>
      </c>
      <c r="C43" s="189">
        <v>34.840000000000003</v>
      </c>
      <c r="D43" s="189">
        <v>46.2</v>
      </c>
      <c r="E43" s="189">
        <v>6.45</v>
      </c>
      <c r="F43" s="189">
        <v>2.66</v>
      </c>
      <c r="G43" s="189">
        <v>141.69999999999999</v>
      </c>
      <c r="H43" s="189">
        <v>65.06</v>
      </c>
      <c r="I43" s="189">
        <v>14.93</v>
      </c>
      <c r="J43" s="189">
        <v>0.11</v>
      </c>
      <c r="K43" s="189">
        <v>184.53</v>
      </c>
      <c r="L43" s="189">
        <v>17.55</v>
      </c>
      <c r="M43" s="189">
        <v>60.93</v>
      </c>
      <c r="N43" s="189">
        <v>209</v>
      </c>
      <c r="O43" s="189">
        <v>0</v>
      </c>
      <c r="P43" s="189">
        <v>1.24</v>
      </c>
      <c r="Q43" s="189">
        <v>5.43</v>
      </c>
    </row>
    <row r="44" spans="1:17" customFormat="1">
      <c r="A44" s="6" t="s">
        <v>1522</v>
      </c>
      <c r="B44" s="189">
        <v>30.56</v>
      </c>
      <c r="C44" s="189">
        <v>35.67</v>
      </c>
      <c r="D44" s="189">
        <v>44.5</v>
      </c>
      <c r="E44" s="189">
        <v>6.91</v>
      </c>
      <c r="F44" s="189">
        <v>2.74</v>
      </c>
      <c r="G44" s="189">
        <v>141.12</v>
      </c>
      <c r="H44" s="189">
        <v>65.06</v>
      </c>
      <c r="I44" s="189">
        <v>14.79</v>
      </c>
      <c r="J44" s="189">
        <v>0.36</v>
      </c>
      <c r="K44" s="189">
        <v>151.80000000000001</v>
      </c>
      <c r="L44" s="189">
        <v>18.920000000000002</v>
      </c>
      <c r="M44" s="189">
        <v>55.04</v>
      </c>
      <c r="N44" s="189">
        <v>199.7</v>
      </c>
      <c r="O44" s="189">
        <v>0</v>
      </c>
      <c r="P44" s="189">
        <v>1.22</v>
      </c>
      <c r="Q44" s="189">
        <v>5.38</v>
      </c>
    </row>
    <row r="45" spans="1:17" customFormat="1">
      <c r="A45" s="6" t="s">
        <v>1523</v>
      </c>
      <c r="B45" s="189">
        <v>27.72</v>
      </c>
      <c r="C45" s="189">
        <v>34.869999999999997</v>
      </c>
      <c r="D45" s="189">
        <v>41.8</v>
      </c>
      <c r="E45" s="189">
        <v>6.75</v>
      </c>
      <c r="F45" s="189">
        <v>2.73</v>
      </c>
      <c r="G45" s="189">
        <v>141.12</v>
      </c>
      <c r="H45" s="189">
        <v>65.06</v>
      </c>
      <c r="I45" s="189">
        <v>14.65</v>
      </c>
      <c r="J45" s="189">
        <v>0.3</v>
      </c>
      <c r="K45" s="189">
        <v>150.02000000000001</v>
      </c>
      <c r="L45" s="189">
        <v>20.13</v>
      </c>
      <c r="M45" s="189">
        <v>50.75</v>
      </c>
      <c r="N45" s="189">
        <v>107</v>
      </c>
      <c r="O45" s="189">
        <v>0</v>
      </c>
      <c r="P45" s="189">
        <v>1.21</v>
      </c>
      <c r="Q45" s="189">
        <v>5.36</v>
      </c>
    </row>
    <row r="46" spans="1:17" customFormat="1">
      <c r="A46" s="6" t="s">
        <v>1524</v>
      </c>
      <c r="B46" s="189">
        <v>24.97</v>
      </c>
      <c r="C46" s="189">
        <v>33.869999999999997</v>
      </c>
      <c r="D46" s="189">
        <v>39.08</v>
      </c>
      <c r="E46" s="189">
        <v>6.6</v>
      </c>
      <c r="F46" s="189">
        <v>2.67</v>
      </c>
      <c r="G46" s="189">
        <v>141.12</v>
      </c>
      <c r="H46" s="189">
        <v>65.06</v>
      </c>
      <c r="I46" s="189">
        <v>14.47</v>
      </c>
      <c r="J46" s="189">
        <v>0.21</v>
      </c>
      <c r="K46" s="189">
        <v>158.77000000000001</v>
      </c>
      <c r="L46" s="189">
        <v>20.83</v>
      </c>
      <c r="M46" s="189">
        <v>45.68</v>
      </c>
      <c r="N46" s="189">
        <v>110</v>
      </c>
      <c r="O46" s="189">
        <v>0</v>
      </c>
      <c r="P46" s="189">
        <v>1.19</v>
      </c>
      <c r="Q46" s="189">
        <v>5.31</v>
      </c>
    </row>
    <row r="47" spans="1:17" customFormat="1">
      <c r="A47" s="6" t="s">
        <v>1525</v>
      </c>
      <c r="B47" s="189">
        <v>22.11</v>
      </c>
      <c r="C47" s="189">
        <v>34.39</v>
      </c>
      <c r="D47" s="189">
        <v>37.049999999999997</v>
      </c>
      <c r="E47" s="189">
        <v>6.41</v>
      </c>
      <c r="F47" s="189">
        <v>2.74</v>
      </c>
      <c r="G47" s="189">
        <v>133.06</v>
      </c>
      <c r="H47" s="189">
        <v>66.23</v>
      </c>
      <c r="I47" s="189">
        <v>14.29</v>
      </c>
      <c r="J47" s="189">
        <v>0.23</v>
      </c>
      <c r="K47" s="189">
        <v>114.1</v>
      </c>
      <c r="L47" s="189">
        <v>21.78</v>
      </c>
      <c r="M47" s="189">
        <v>41.57</v>
      </c>
      <c r="N47" s="189">
        <v>121.5</v>
      </c>
      <c r="O47" s="189">
        <v>0</v>
      </c>
      <c r="P47" s="189">
        <v>1.17</v>
      </c>
      <c r="Q47" s="189">
        <v>5.27</v>
      </c>
    </row>
    <row r="48" spans="1:17" customFormat="1">
      <c r="A48" s="6" t="s">
        <v>1526</v>
      </c>
      <c r="B48" s="189">
        <v>19.39</v>
      </c>
      <c r="C48" s="189">
        <v>34.67</v>
      </c>
      <c r="D48" s="189">
        <v>35.01</v>
      </c>
      <c r="E48" s="189">
        <v>6.99</v>
      </c>
      <c r="F48" s="189">
        <v>2.95</v>
      </c>
      <c r="G48" s="189">
        <v>131.94</v>
      </c>
      <c r="H48" s="189">
        <v>66.23</v>
      </c>
      <c r="I48" s="189">
        <v>14.16</v>
      </c>
      <c r="J48" s="189">
        <v>0.28000000000000003</v>
      </c>
      <c r="K48" s="189">
        <v>135.11000000000001</v>
      </c>
      <c r="L48" s="189">
        <v>22.39</v>
      </c>
      <c r="M48" s="189">
        <v>39.76</v>
      </c>
      <c r="N48" s="189">
        <v>198.5</v>
      </c>
      <c r="O48" s="189">
        <v>0</v>
      </c>
      <c r="P48" s="189">
        <v>1.1499999999999999</v>
      </c>
      <c r="Q48" s="189">
        <v>5.23</v>
      </c>
    </row>
    <row r="49" spans="1:17" customFormat="1">
      <c r="A49" s="6" t="s">
        <v>1527</v>
      </c>
      <c r="B49" s="189">
        <v>16.489999999999998</v>
      </c>
      <c r="C49" s="189">
        <v>34.81</v>
      </c>
      <c r="D49" s="189">
        <v>32.770000000000003</v>
      </c>
      <c r="E49" s="189">
        <v>5.0999999999999996</v>
      </c>
      <c r="F49" s="189">
        <v>3.07</v>
      </c>
      <c r="G49" s="189">
        <v>131.94</v>
      </c>
      <c r="H49" s="189">
        <v>66.23</v>
      </c>
      <c r="I49" s="189">
        <v>13.98</v>
      </c>
      <c r="J49" s="189">
        <v>0.39</v>
      </c>
      <c r="K49" s="189">
        <v>54.11</v>
      </c>
      <c r="L49" s="189">
        <v>22.83</v>
      </c>
      <c r="M49" s="189">
        <v>38.299999999999997</v>
      </c>
      <c r="N49" s="189">
        <v>396.6</v>
      </c>
      <c r="O49" s="189">
        <v>0</v>
      </c>
      <c r="P49" s="189">
        <v>1.1200000000000001</v>
      </c>
      <c r="Q49" s="189">
        <v>5.19</v>
      </c>
    </row>
    <row r="50" spans="1:17" customFormat="1">
      <c r="A50" s="6" t="s">
        <v>1528</v>
      </c>
      <c r="B50" s="189">
        <v>13.7</v>
      </c>
      <c r="C50" s="189">
        <v>35.21</v>
      </c>
      <c r="D50" s="189">
        <v>30.73</v>
      </c>
      <c r="E50" s="189">
        <v>5.54</v>
      </c>
      <c r="F50" s="189">
        <v>3.28</v>
      </c>
      <c r="G50" s="189">
        <v>131.94</v>
      </c>
      <c r="H50" s="189">
        <v>66.23</v>
      </c>
      <c r="I50" s="189">
        <v>13.68</v>
      </c>
      <c r="J50" s="189">
        <v>0.2</v>
      </c>
      <c r="K50" s="189">
        <v>107.15</v>
      </c>
      <c r="L50" s="189">
        <v>23.38</v>
      </c>
      <c r="M50" s="189">
        <v>37.409999999999997</v>
      </c>
      <c r="N50" s="189">
        <v>425.7</v>
      </c>
      <c r="O50" s="189">
        <v>0</v>
      </c>
      <c r="P50" s="189">
        <v>1.1000000000000001</v>
      </c>
      <c r="Q50" s="189">
        <v>5.15</v>
      </c>
    </row>
    <row r="51" spans="1:17" customFormat="1">
      <c r="A51" s="6" t="s">
        <v>1529</v>
      </c>
      <c r="B51" s="189">
        <v>11.44</v>
      </c>
      <c r="C51" s="189">
        <v>35.1</v>
      </c>
      <c r="D51" s="189">
        <v>28.86</v>
      </c>
      <c r="E51" s="189">
        <v>6.16</v>
      </c>
      <c r="F51" s="189">
        <v>3.39</v>
      </c>
      <c r="G51" s="189">
        <v>115.48</v>
      </c>
      <c r="H51" s="189">
        <v>57.27</v>
      </c>
      <c r="I51" s="189">
        <v>13.35</v>
      </c>
      <c r="J51" s="189">
        <v>0.56999999999999995</v>
      </c>
      <c r="K51" s="189">
        <v>46.89</v>
      </c>
      <c r="L51" s="189">
        <v>23.53</v>
      </c>
      <c r="M51" s="189">
        <v>36.24</v>
      </c>
      <c r="N51" s="189">
        <v>433.7</v>
      </c>
      <c r="O51" s="189">
        <v>0</v>
      </c>
      <c r="P51" s="189">
        <v>1.0900000000000001</v>
      </c>
      <c r="Q51" s="189">
        <v>5.1100000000000003</v>
      </c>
    </row>
    <row r="52" spans="1:17" customFormat="1">
      <c r="A52" s="6" t="s">
        <v>1530</v>
      </c>
      <c r="B52" s="189">
        <v>9.7200000000000006</v>
      </c>
      <c r="C52" s="189">
        <v>34.74</v>
      </c>
      <c r="D52" s="189">
        <v>27.3</v>
      </c>
      <c r="E52" s="189">
        <v>5.59</v>
      </c>
      <c r="F52" s="189">
        <v>3.4</v>
      </c>
      <c r="G52" s="189">
        <v>113.19</v>
      </c>
      <c r="H52" s="189">
        <v>57.27</v>
      </c>
      <c r="I52" s="189">
        <v>13.03</v>
      </c>
      <c r="J52" s="189">
        <v>0.46</v>
      </c>
      <c r="K52" s="189">
        <v>58.26</v>
      </c>
      <c r="L52" s="189">
        <v>23.84</v>
      </c>
      <c r="M52" s="189">
        <v>34.81</v>
      </c>
      <c r="N52" s="189">
        <v>434.7</v>
      </c>
      <c r="O52" s="189">
        <v>0</v>
      </c>
      <c r="P52" s="189">
        <v>1.05</v>
      </c>
      <c r="Q52" s="189">
        <v>5.05</v>
      </c>
    </row>
    <row r="53" spans="1:17" customFormat="1">
      <c r="A53" s="6" t="s">
        <v>1531</v>
      </c>
      <c r="B53" s="189">
        <v>8.25</v>
      </c>
      <c r="C53" s="189">
        <v>33.69</v>
      </c>
      <c r="D53" s="189">
        <v>25.57</v>
      </c>
      <c r="E53" s="189">
        <v>5.79</v>
      </c>
      <c r="F53" s="189">
        <v>3.72</v>
      </c>
      <c r="G53" s="189">
        <v>113.19</v>
      </c>
      <c r="H53" s="189">
        <v>57.27</v>
      </c>
      <c r="I53" s="189">
        <v>12.72</v>
      </c>
      <c r="J53" s="189">
        <v>0.28999999999999998</v>
      </c>
      <c r="K53" s="189">
        <v>134.13</v>
      </c>
      <c r="L53" s="189">
        <v>24.52</v>
      </c>
      <c r="M53" s="189">
        <v>33.46</v>
      </c>
      <c r="N53" s="189">
        <v>433.3</v>
      </c>
      <c r="O53" s="189">
        <v>0</v>
      </c>
      <c r="P53" s="189">
        <v>1.03</v>
      </c>
      <c r="Q53" s="189">
        <v>5.0199999999999996</v>
      </c>
    </row>
    <row r="54" spans="1:17" customFormat="1">
      <c r="A54" s="6" t="s">
        <v>1532</v>
      </c>
      <c r="B54" s="189">
        <v>6.77</v>
      </c>
      <c r="C54" s="189">
        <v>33.020000000000003</v>
      </c>
      <c r="D54" s="189">
        <v>24.03</v>
      </c>
      <c r="E54" s="189">
        <v>5.47</v>
      </c>
      <c r="F54" s="189">
        <v>3.94</v>
      </c>
      <c r="G54" s="189">
        <v>113.19</v>
      </c>
      <c r="H54" s="189">
        <v>57.27</v>
      </c>
      <c r="I54" s="189">
        <v>12.38</v>
      </c>
      <c r="J54" s="189">
        <v>0.23</v>
      </c>
      <c r="K54" s="189">
        <v>107.78</v>
      </c>
      <c r="L54" s="189">
        <v>24.8</v>
      </c>
      <c r="M54" s="189">
        <v>32.409999999999997</v>
      </c>
      <c r="N54" s="189">
        <v>483</v>
      </c>
      <c r="O54" s="189">
        <v>0</v>
      </c>
      <c r="P54" s="189">
        <v>1</v>
      </c>
      <c r="Q54" s="189">
        <v>4.9800000000000004</v>
      </c>
    </row>
    <row r="55" spans="1:17" customFormat="1">
      <c r="A55" s="6" t="s">
        <v>1533</v>
      </c>
      <c r="B55" s="189">
        <v>5.95</v>
      </c>
      <c r="C55" s="189">
        <v>31.62</v>
      </c>
      <c r="D55" s="189">
        <v>22.64</v>
      </c>
      <c r="E55" s="189">
        <v>5.77</v>
      </c>
      <c r="F55" s="189">
        <v>4.4400000000000004</v>
      </c>
      <c r="G55" s="189">
        <v>98.41</v>
      </c>
      <c r="H55" s="189">
        <v>48.56</v>
      </c>
      <c r="I55" s="189">
        <v>11.99</v>
      </c>
      <c r="J55" s="189">
        <v>0.26</v>
      </c>
      <c r="K55" s="189">
        <v>82.95</v>
      </c>
      <c r="L55" s="189">
        <v>25.34</v>
      </c>
      <c r="M55" s="189">
        <v>30.53</v>
      </c>
      <c r="N55" s="189">
        <v>502.1</v>
      </c>
      <c r="O55" s="189">
        <v>0</v>
      </c>
      <c r="P55" s="189">
        <v>0.97</v>
      </c>
      <c r="Q55" s="189">
        <v>4.95</v>
      </c>
    </row>
    <row r="56" spans="1:17" customFormat="1">
      <c r="A56" s="6" t="s">
        <v>1534</v>
      </c>
      <c r="B56" s="189">
        <v>5.36</v>
      </c>
      <c r="C56" s="189">
        <v>30.32</v>
      </c>
      <c r="D56" s="189">
        <v>21.49</v>
      </c>
      <c r="E56" s="189">
        <v>5.74</v>
      </c>
      <c r="F56" s="189">
        <v>4.66</v>
      </c>
      <c r="G56" s="189">
        <v>96.36</v>
      </c>
      <c r="H56" s="189">
        <v>48.56</v>
      </c>
      <c r="I56" s="189">
        <v>11.62</v>
      </c>
      <c r="J56" s="189">
        <v>0.22</v>
      </c>
      <c r="K56" s="189">
        <v>47.83</v>
      </c>
      <c r="L56" s="189">
        <v>25.42</v>
      </c>
      <c r="M56" s="189">
        <v>31.09</v>
      </c>
      <c r="N56" s="189">
        <v>504.8</v>
      </c>
      <c r="O56" s="189">
        <v>0</v>
      </c>
      <c r="P56" s="189">
        <v>0.94</v>
      </c>
      <c r="Q56" s="189">
        <v>4.9400000000000004</v>
      </c>
    </row>
    <row r="57" spans="1:17" customFormat="1">
      <c r="A57" s="6" t="s">
        <v>1535</v>
      </c>
      <c r="B57" s="189">
        <v>5.12</v>
      </c>
      <c r="C57" s="189">
        <v>29.55</v>
      </c>
      <c r="D57" s="189">
        <v>20.9</v>
      </c>
      <c r="E57" s="189">
        <v>5.62</v>
      </c>
      <c r="F57" s="189">
        <v>4.93</v>
      </c>
      <c r="G57" s="189">
        <v>96.36</v>
      </c>
      <c r="H57" s="189">
        <v>48.56</v>
      </c>
      <c r="I57" s="189">
        <v>11.28</v>
      </c>
      <c r="J57" s="189">
        <v>0.51</v>
      </c>
      <c r="K57" s="189">
        <v>38.07</v>
      </c>
      <c r="L57" s="189">
        <v>25.39</v>
      </c>
      <c r="M57" s="189">
        <v>31.72</v>
      </c>
      <c r="N57" s="189">
        <v>509.4</v>
      </c>
      <c r="O57" s="189">
        <v>0</v>
      </c>
      <c r="P57" s="189">
        <v>0.93</v>
      </c>
      <c r="Q57" s="189">
        <v>4.95</v>
      </c>
    </row>
    <row r="58" spans="1:17" customFormat="1">
      <c r="A58" s="6" t="s">
        <v>1536</v>
      </c>
      <c r="B58" s="189">
        <v>5.0199999999999996</v>
      </c>
      <c r="C58" s="189">
        <v>29.11</v>
      </c>
      <c r="D58" s="189">
        <v>20.59</v>
      </c>
      <c r="E58" s="189">
        <v>6.04</v>
      </c>
      <c r="F58" s="189">
        <v>5.1100000000000003</v>
      </c>
      <c r="G58" s="189">
        <v>96.36</v>
      </c>
      <c r="H58" s="189">
        <v>48.56</v>
      </c>
      <c r="I58" s="189">
        <v>10.97</v>
      </c>
      <c r="J58" s="189">
        <v>0.31</v>
      </c>
      <c r="K58" s="189">
        <v>67.7</v>
      </c>
      <c r="L58" s="189">
        <v>25.77</v>
      </c>
      <c r="M58" s="189">
        <v>30.11</v>
      </c>
      <c r="N58" s="189">
        <v>493.3</v>
      </c>
      <c r="O58" s="189">
        <v>0</v>
      </c>
      <c r="P58" s="189">
        <v>0.9</v>
      </c>
      <c r="Q58" s="189">
        <v>4.9400000000000004</v>
      </c>
    </row>
    <row r="59" spans="1:17" customFormat="1">
      <c r="A59" s="6" t="s">
        <v>1537</v>
      </c>
      <c r="B59" s="189">
        <v>4.8499999999999996</v>
      </c>
      <c r="C59" s="189">
        <v>28.54</v>
      </c>
      <c r="D59" s="189">
        <v>20.149999999999999</v>
      </c>
      <c r="E59" s="189">
        <v>6.17</v>
      </c>
      <c r="F59" s="189">
        <v>5.35</v>
      </c>
      <c r="G59" s="189">
        <v>89.03</v>
      </c>
      <c r="H59" s="189">
        <v>42.82</v>
      </c>
      <c r="I59" s="189">
        <v>10.71</v>
      </c>
      <c r="J59" s="189">
        <v>0.28000000000000003</v>
      </c>
      <c r="K59" s="189">
        <v>50.98</v>
      </c>
      <c r="L59" s="189">
        <v>25.66</v>
      </c>
      <c r="M59" s="189">
        <v>29.99</v>
      </c>
      <c r="N59" s="189">
        <v>496.5</v>
      </c>
      <c r="O59" s="189">
        <v>0</v>
      </c>
      <c r="P59" s="189">
        <v>0.89</v>
      </c>
      <c r="Q59" s="189">
        <v>4.91</v>
      </c>
    </row>
    <row r="60" spans="1:17" customFormat="1">
      <c r="A60" s="6" t="s">
        <v>1538</v>
      </c>
      <c r="B60" s="189">
        <v>4.87</v>
      </c>
      <c r="C60" s="189">
        <v>27.75</v>
      </c>
      <c r="D60" s="189">
        <v>19.75</v>
      </c>
      <c r="E60" s="189">
        <v>6.01</v>
      </c>
      <c r="F60" s="189">
        <v>5.46</v>
      </c>
      <c r="G60" s="189">
        <v>88.01</v>
      </c>
      <c r="H60" s="189">
        <v>42.82</v>
      </c>
      <c r="I60" s="189">
        <v>10.42</v>
      </c>
      <c r="J60" s="189">
        <v>0.08</v>
      </c>
      <c r="K60" s="189">
        <v>33.64</v>
      </c>
      <c r="L60" s="189">
        <v>26.24</v>
      </c>
      <c r="M60" s="189">
        <v>29.14</v>
      </c>
      <c r="N60" s="189">
        <v>486.7</v>
      </c>
      <c r="O60" s="189">
        <v>0</v>
      </c>
      <c r="P60" s="189">
        <v>0.87</v>
      </c>
      <c r="Q60" s="189">
        <v>4.92</v>
      </c>
    </row>
    <row r="61" spans="1:17" customFormat="1">
      <c r="A61" s="6" t="s">
        <v>1539</v>
      </c>
      <c r="B61" s="189">
        <v>4.8</v>
      </c>
      <c r="C61" s="189">
        <v>26.99</v>
      </c>
      <c r="D61" s="189">
        <v>19.3</v>
      </c>
      <c r="E61" s="189">
        <v>6.01</v>
      </c>
      <c r="F61" s="189">
        <v>5.71</v>
      </c>
      <c r="G61" s="189">
        <v>88.01</v>
      </c>
      <c r="H61" s="189">
        <v>42.82</v>
      </c>
      <c r="I61" s="189">
        <v>10.17</v>
      </c>
      <c r="J61" s="189">
        <v>0.3</v>
      </c>
      <c r="K61" s="189">
        <v>34.83</v>
      </c>
      <c r="L61" s="189">
        <v>26.6</v>
      </c>
      <c r="M61" s="189">
        <v>29.32</v>
      </c>
      <c r="N61" s="189">
        <v>452.6</v>
      </c>
      <c r="O61" s="189">
        <v>0</v>
      </c>
      <c r="P61" s="189">
        <v>0.87</v>
      </c>
      <c r="Q61" s="189">
        <v>4.9000000000000004</v>
      </c>
    </row>
    <row r="62" spans="1:17" customFormat="1">
      <c r="A62" s="6" t="s">
        <v>1540</v>
      </c>
      <c r="B62" s="189">
        <v>4.8499999999999996</v>
      </c>
      <c r="C62" s="189">
        <v>26.31</v>
      </c>
      <c r="D62" s="189">
        <v>18.989999999999998</v>
      </c>
      <c r="E62" s="189">
        <v>6.27</v>
      </c>
      <c r="F62" s="189">
        <v>5.83</v>
      </c>
      <c r="G62" s="189">
        <v>88.01</v>
      </c>
      <c r="H62" s="189">
        <v>42.82</v>
      </c>
      <c r="I62" s="189">
        <v>9.94</v>
      </c>
      <c r="J62" s="189">
        <v>0.13</v>
      </c>
      <c r="K62" s="189">
        <v>8.64</v>
      </c>
      <c r="L62" s="189">
        <v>26.99</v>
      </c>
      <c r="M62" s="189">
        <v>29.17</v>
      </c>
      <c r="N62" s="189">
        <v>417</v>
      </c>
      <c r="O62" s="189">
        <v>0</v>
      </c>
      <c r="P62" s="189">
        <v>0.85</v>
      </c>
      <c r="Q62" s="189">
        <v>4.9000000000000004</v>
      </c>
    </row>
    <row r="63" spans="1:17" customFormat="1">
      <c r="A63" s="6" t="s">
        <v>1541</v>
      </c>
      <c r="B63" s="189">
        <v>4.72</v>
      </c>
      <c r="C63" s="189">
        <v>26.06</v>
      </c>
      <c r="D63" s="189">
        <v>18.75</v>
      </c>
      <c r="E63" s="189">
        <v>6.2</v>
      </c>
      <c r="F63" s="189">
        <v>5.95</v>
      </c>
      <c r="G63" s="189">
        <v>82.56</v>
      </c>
      <c r="H63" s="189">
        <v>41.4</v>
      </c>
      <c r="I63" s="189">
        <v>9.7100000000000009</v>
      </c>
      <c r="J63" s="189">
        <v>0.6</v>
      </c>
      <c r="K63" s="189">
        <v>309.60000000000002</v>
      </c>
      <c r="L63" s="189">
        <v>26.33</v>
      </c>
      <c r="M63" s="189">
        <v>29.48</v>
      </c>
      <c r="N63" s="189">
        <v>248.3</v>
      </c>
      <c r="O63" s="189">
        <v>0</v>
      </c>
      <c r="P63" s="189">
        <v>0.83</v>
      </c>
      <c r="Q63" s="189">
        <v>4.8899999999999997</v>
      </c>
    </row>
    <row r="64" spans="1:17" customFormat="1">
      <c r="A64" s="6" t="s">
        <v>1542</v>
      </c>
      <c r="B64" s="189">
        <v>4.67</v>
      </c>
      <c r="C64" s="189">
        <v>25.76</v>
      </c>
      <c r="D64" s="189">
        <v>18.559999999999999</v>
      </c>
      <c r="E64" s="189">
        <v>6.05</v>
      </c>
      <c r="F64" s="189">
        <v>5.99</v>
      </c>
      <c r="G64" s="189">
        <v>81.81</v>
      </c>
      <c r="H64" s="189">
        <v>41.4</v>
      </c>
      <c r="I64" s="189">
        <v>9.4600000000000009</v>
      </c>
      <c r="J64" s="189">
        <v>0.2</v>
      </c>
      <c r="K64" s="189">
        <v>259.48</v>
      </c>
      <c r="L64" s="189">
        <v>26.36</v>
      </c>
      <c r="M64" s="189">
        <v>29.09</v>
      </c>
      <c r="N64" s="189">
        <v>310.2</v>
      </c>
      <c r="O64" s="189">
        <v>0</v>
      </c>
      <c r="P64" s="189">
        <v>0.82</v>
      </c>
      <c r="Q64" s="189">
        <v>4.9000000000000004</v>
      </c>
    </row>
    <row r="65" spans="1:17" customFormat="1">
      <c r="A65" s="6" t="s">
        <v>1543</v>
      </c>
      <c r="B65" s="189">
        <v>4.66</v>
      </c>
      <c r="C65" s="189">
        <v>24.84</v>
      </c>
      <c r="D65" s="189">
        <v>18.07</v>
      </c>
      <c r="E65" s="189">
        <v>5.57</v>
      </c>
      <c r="F65" s="189">
        <v>6.24</v>
      </c>
      <c r="G65" s="189">
        <v>81.81</v>
      </c>
      <c r="H65" s="189">
        <v>41.4</v>
      </c>
      <c r="I65" s="189">
        <v>9.26</v>
      </c>
      <c r="J65" s="189">
        <v>0.19</v>
      </c>
      <c r="K65" s="189">
        <v>279.13</v>
      </c>
      <c r="L65" s="189">
        <v>26.01</v>
      </c>
      <c r="M65" s="189">
        <v>30.82</v>
      </c>
      <c r="N65" s="189">
        <v>159</v>
      </c>
      <c r="O65" s="189">
        <v>0</v>
      </c>
      <c r="P65" s="189">
        <v>0.67</v>
      </c>
      <c r="Q65" s="189">
        <v>4.88</v>
      </c>
    </row>
    <row r="66" spans="1:17" customFormat="1">
      <c r="A66" s="6" t="s">
        <v>1544</v>
      </c>
      <c r="B66" s="189">
        <v>4.63</v>
      </c>
      <c r="C66" s="189">
        <v>24.29</v>
      </c>
      <c r="D66" s="189">
        <v>17.75</v>
      </c>
      <c r="E66" s="189">
        <v>6.14</v>
      </c>
      <c r="F66" s="189">
        <v>6.73</v>
      </c>
      <c r="G66" s="189">
        <v>81.81</v>
      </c>
      <c r="H66" s="189">
        <v>41.4</v>
      </c>
      <c r="I66" s="189">
        <v>9.07</v>
      </c>
      <c r="J66" s="189">
        <v>0.33</v>
      </c>
      <c r="K66" s="189">
        <v>344.8</v>
      </c>
      <c r="L66" s="189">
        <v>25.97</v>
      </c>
      <c r="M66" s="189">
        <v>29.63</v>
      </c>
      <c r="N66" s="189">
        <v>182.1</v>
      </c>
      <c r="O66" s="189">
        <v>0</v>
      </c>
      <c r="P66" s="189">
        <v>0.7</v>
      </c>
      <c r="Q66" s="189">
        <v>4.88</v>
      </c>
    </row>
    <row r="67" spans="1:17" customFormat="1">
      <c r="A67" s="6" t="s">
        <v>1545</v>
      </c>
      <c r="B67" s="189">
        <v>4.7</v>
      </c>
      <c r="C67" s="189">
        <v>24.22</v>
      </c>
      <c r="D67" s="189">
        <v>17.77</v>
      </c>
      <c r="E67" s="189">
        <v>5.72</v>
      </c>
      <c r="F67" s="189">
        <v>6.63</v>
      </c>
      <c r="G67" s="189">
        <v>78.959999999999994</v>
      </c>
      <c r="H67" s="189">
        <v>36.76</v>
      </c>
      <c r="I67" s="189">
        <v>8.89</v>
      </c>
      <c r="J67" s="189">
        <v>0.5</v>
      </c>
      <c r="K67" s="189">
        <v>301.61</v>
      </c>
      <c r="L67" s="189">
        <v>25.63</v>
      </c>
      <c r="M67" s="189">
        <v>30.22</v>
      </c>
      <c r="N67" s="189">
        <v>76.5</v>
      </c>
      <c r="O67" s="189">
        <v>0</v>
      </c>
      <c r="P67" s="189">
        <v>0.7</v>
      </c>
      <c r="Q67" s="189">
        <v>4.88</v>
      </c>
    </row>
    <row r="68" spans="1:17" customFormat="1">
      <c r="A68" s="6" t="s">
        <v>1546</v>
      </c>
      <c r="B68" s="189">
        <v>4.72</v>
      </c>
      <c r="C68" s="189">
        <v>24.4</v>
      </c>
      <c r="D68" s="189">
        <v>17.88</v>
      </c>
      <c r="E68" s="189">
        <v>5.91</v>
      </c>
      <c r="F68" s="189">
        <v>6.31</v>
      </c>
      <c r="G68" s="189">
        <v>78.56</v>
      </c>
      <c r="H68" s="189">
        <v>36.76</v>
      </c>
      <c r="I68" s="189">
        <v>8.69</v>
      </c>
      <c r="J68" s="189">
        <v>0.05</v>
      </c>
      <c r="K68" s="189">
        <v>279.77999999999997</v>
      </c>
      <c r="L68" s="189">
        <v>25.5</v>
      </c>
      <c r="M68" s="189">
        <v>31.36</v>
      </c>
      <c r="N68" s="189">
        <v>101.7</v>
      </c>
      <c r="O68" s="189">
        <v>0</v>
      </c>
      <c r="P68" s="189">
        <v>0.69</v>
      </c>
      <c r="Q68" s="189">
        <v>4.8899999999999997</v>
      </c>
    </row>
    <row r="69" spans="1:17" customFormat="1">
      <c r="A69" s="6" t="s">
        <v>1547</v>
      </c>
      <c r="B69" s="189">
        <v>4.83</v>
      </c>
      <c r="C69" s="189">
        <v>23.5</v>
      </c>
      <c r="D69" s="189">
        <v>17.5</v>
      </c>
      <c r="E69" s="189">
        <v>5</v>
      </c>
      <c r="F69" s="189">
        <v>5.0199999999999996</v>
      </c>
      <c r="G69" s="189">
        <v>78.56</v>
      </c>
      <c r="H69" s="189">
        <v>36.76</v>
      </c>
      <c r="I69" s="189">
        <v>8.5500000000000007</v>
      </c>
      <c r="J69" s="189">
        <v>0.14000000000000001</v>
      </c>
      <c r="K69" s="189">
        <v>295.45999999999998</v>
      </c>
      <c r="L69" s="189">
        <v>25.65</v>
      </c>
      <c r="M69" s="189">
        <v>32.450000000000003</v>
      </c>
      <c r="N69" s="189">
        <v>92.1</v>
      </c>
      <c r="O69" s="189">
        <v>0</v>
      </c>
      <c r="P69" s="189">
        <v>0.68</v>
      </c>
      <c r="Q69" s="189">
        <v>4.87</v>
      </c>
    </row>
    <row r="70" spans="1:17" customFormat="1">
      <c r="A70" s="6" t="s">
        <v>1548</v>
      </c>
      <c r="B70" s="189">
        <v>4.8499999999999996</v>
      </c>
      <c r="C70" s="189">
        <v>23.07</v>
      </c>
      <c r="D70" s="189">
        <v>17.3</v>
      </c>
      <c r="E70" s="189">
        <v>4.79</v>
      </c>
      <c r="F70" s="189">
        <v>4.41</v>
      </c>
      <c r="G70" s="189">
        <v>78.56</v>
      </c>
      <c r="H70" s="189">
        <v>36.76</v>
      </c>
      <c r="I70" s="189">
        <v>8.4600000000000009</v>
      </c>
      <c r="J70" s="189">
        <v>0.24</v>
      </c>
      <c r="K70" s="189">
        <v>12.61</v>
      </c>
      <c r="L70" s="189">
        <v>25.78</v>
      </c>
      <c r="M70" s="189">
        <v>31.4</v>
      </c>
      <c r="N70" s="189">
        <v>78.2</v>
      </c>
      <c r="O70" s="189">
        <v>0</v>
      </c>
      <c r="P70" s="189">
        <v>0.68</v>
      </c>
      <c r="Q70" s="189">
        <v>4.87</v>
      </c>
    </row>
    <row r="71" spans="1:17" customFormat="1">
      <c r="A71" s="6" t="s">
        <v>1549</v>
      </c>
      <c r="B71" s="189">
        <v>5</v>
      </c>
      <c r="C71" s="189">
        <v>22.94</v>
      </c>
      <c r="D71" s="189">
        <v>17.350000000000001</v>
      </c>
      <c r="E71" s="189">
        <v>4.5599999999999996</v>
      </c>
      <c r="F71" s="189">
        <v>3.97</v>
      </c>
      <c r="G71" s="189">
        <v>83.5</v>
      </c>
      <c r="H71" s="189">
        <v>41.39</v>
      </c>
      <c r="I71" s="189">
        <v>8.4</v>
      </c>
      <c r="J71" s="189">
        <v>0.26</v>
      </c>
      <c r="K71" s="189">
        <v>44.94</v>
      </c>
      <c r="L71" s="189">
        <v>25.6</v>
      </c>
      <c r="M71" s="189">
        <v>31.59</v>
      </c>
      <c r="N71" s="189">
        <v>59.7</v>
      </c>
      <c r="O71" s="189">
        <v>0</v>
      </c>
      <c r="P71" s="189">
        <v>0.68</v>
      </c>
      <c r="Q71" s="189">
        <v>4.8600000000000003</v>
      </c>
    </row>
    <row r="72" spans="1:17" customFormat="1">
      <c r="A72" s="6" t="s">
        <v>1550</v>
      </c>
      <c r="B72" s="189">
        <v>5.07</v>
      </c>
      <c r="C72" s="189">
        <v>23.15</v>
      </c>
      <c r="D72" s="189">
        <v>17.510000000000002</v>
      </c>
      <c r="E72" s="189">
        <v>5.13</v>
      </c>
      <c r="F72" s="189">
        <v>3.74</v>
      </c>
      <c r="G72" s="189">
        <v>84.19</v>
      </c>
      <c r="H72" s="189">
        <v>41.39</v>
      </c>
      <c r="I72" s="189">
        <v>8.3800000000000008</v>
      </c>
      <c r="J72" s="189">
        <v>0.2</v>
      </c>
      <c r="K72" s="189">
        <v>29.58</v>
      </c>
      <c r="L72" s="189">
        <v>25.32</v>
      </c>
      <c r="M72" s="189">
        <v>32.94</v>
      </c>
      <c r="N72" s="189">
        <v>43.1</v>
      </c>
      <c r="O72" s="189">
        <v>0</v>
      </c>
      <c r="P72" s="189">
        <v>0.68</v>
      </c>
      <c r="Q72" s="189">
        <v>4.88</v>
      </c>
    </row>
    <row r="73" spans="1:17" customFormat="1">
      <c r="A73" s="6" t="s">
        <v>1551</v>
      </c>
      <c r="B73" s="189">
        <v>5.07</v>
      </c>
      <c r="C73" s="189">
        <v>23.96</v>
      </c>
      <c r="D73" s="189">
        <v>17.940000000000001</v>
      </c>
      <c r="E73" s="189">
        <v>5.47</v>
      </c>
      <c r="F73" s="189">
        <v>3.69</v>
      </c>
      <c r="G73" s="189">
        <v>84.19</v>
      </c>
      <c r="H73" s="189">
        <v>41.39</v>
      </c>
      <c r="I73" s="189">
        <v>8.3800000000000008</v>
      </c>
      <c r="J73" s="189">
        <v>0.31</v>
      </c>
      <c r="K73" s="189">
        <v>42.62</v>
      </c>
      <c r="L73" s="189">
        <v>25.02</v>
      </c>
      <c r="M73" s="189">
        <v>33.75</v>
      </c>
      <c r="N73" s="189">
        <v>33.5</v>
      </c>
      <c r="O73" s="189">
        <v>0</v>
      </c>
      <c r="P73" s="189">
        <v>0.68</v>
      </c>
      <c r="Q73" s="189">
        <v>4.8899999999999997</v>
      </c>
    </row>
    <row r="74" spans="1:17" customFormat="1">
      <c r="A74" s="6" t="s">
        <v>1552</v>
      </c>
      <c r="B74" s="189">
        <v>5.28</v>
      </c>
      <c r="C74" s="189">
        <v>24.68</v>
      </c>
      <c r="D74" s="189">
        <v>18.48</v>
      </c>
      <c r="E74" s="189">
        <v>5.85</v>
      </c>
      <c r="F74" s="189">
        <v>3.44</v>
      </c>
      <c r="G74" s="189">
        <v>84.19</v>
      </c>
      <c r="H74" s="189">
        <v>41.39</v>
      </c>
      <c r="I74" s="189">
        <v>8.3800000000000008</v>
      </c>
      <c r="J74" s="189">
        <v>0.21</v>
      </c>
      <c r="K74" s="189">
        <v>52.85</v>
      </c>
      <c r="L74" s="189">
        <v>24.6</v>
      </c>
      <c r="M74" s="189">
        <v>35.54</v>
      </c>
      <c r="N74" s="189">
        <v>18.8</v>
      </c>
      <c r="O74" s="189">
        <v>0</v>
      </c>
      <c r="P74" s="189">
        <v>0.7</v>
      </c>
      <c r="Q74" s="189">
        <v>4.88</v>
      </c>
    </row>
    <row r="75" spans="1:17" customFormat="1">
      <c r="A75" s="6" t="s">
        <v>1553</v>
      </c>
      <c r="B75" s="189">
        <v>5.36</v>
      </c>
      <c r="C75" s="189">
        <v>25.68</v>
      </c>
      <c r="D75" s="189">
        <v>19.059999999999999</v>
      </c>
      <c r="E75" s="189">
        <v>5.64</v>
      </c>
      <c r="F75" s="189">
        <v>3.06</v>
      </c>
      <c r="G75" s="189">
        <v>103.24</v>
      </c>
      <c r="H75" s="189">
        <v>51.18</v>
      </c>
      <c r="I75" s="189">
        <v>8.3800000000000008</v>
      </c>
      <c r="J75" s="189">
        <v>0.16</v>
      </c>
      <c r="K75" s="189">
        <v>63.17</v>
      </c>
      <c r="L75" s="189">
        <v>23.69</v>
      </c>
      <c r="M75" s="189">
        <v>40.049999999999997</v>
      </c>
      <c r="N75" s="189">
        <v>1.3</v>
      </c>
      <c r="O75" s="189">
        <v>0</v>
      </c>
      <c r="P75" s="189">
        <v>0.71</v>
      </c>
      <c r="Q75" s="189">
        <v>4.8899999999999997</v>
      </c>
    </row>
    <row r="76" spans="1:17" customFormat="1">
      <c r="A76" s="6" t="s">
        <v>1554</v>
      </c>
      <c r="B76" s="189">
        <v>5.51</v>
      </c>
      <c r="C76" s="189">
        <v>27.09</v>
      </c>
      <c r="D76" s="189">
        <v>19.920000000000002</v>
      </c>
      <c r="E76" s="189">
        <v>5.78</v>
      </c>
      <c r="F76" s="189">
        <v>2.88</v>
      </c>
      <c r="G76" s="189">
        <v>105.89</v>
      </c>
      <c r="H76" s="189">
        <v>51.18</v>
      </c>
      <c r="I76" s="189">
        <v>8.3800000000000008</v>
      </c>
      <c r="J76" s="189">
        <v>0.12</v>
      </c>
      <c r="K76" s="189">
        <v>103.26</v>
      </c>
      <c r="L76" s="189">
        <v>22.95</v>
      </c>
      <c r="M76" s="189">
        <v>43.26</v>
      </c>
      <c r="N76" s="189">
        <v>1.2</v>
      </c>
      <c r="O76" s="189">
        <v>0</v>
      </c>
      <c r="P76" s="189">
        <v>0.73</v>
      </c>
      <c r="Q76" s="189">
        <v>4.8899999999999997</v>
      </c>
    </row>
    <row r="77" spans="1:17" customFormat="1">
      <c r="A77" s="6" t="s">
        <v>1555</v>
      </c>
      <c r="B77" s="189">
        <v>5.66</v>
      </c>
      <c r="C77" s="189">
        <v>28.6</v>
      </c>
      <c r="D77" s="189">
        <v>20.84</v>
      </c>
      <c r="E77" s="189">
        <v>5.58</v>
      </c>
      <c r="F77" s="189">
        <v>2.78</v>
      </c>
      <c r="G77" s="189">
        <v>105.89</v>
      </c>
      <c r="H77" s="189">
        <v>51.18</v>
      </c>
      <c r="I77" s="189">
        <v>8.4</v>
      </c>
      <c r="J77" s="189">
        <v>0.12</v>
      </c>
      <c r="K77" s="189">
        <v>140.75</v>
      </c>
      <c r="L77" s="189">
        <v>21.93</v>
      </c>
      <c r="M77" s="189">
        <v>47.05</v>
      </c>
      <c r="N77" s="189">
        <v>0.1</v>
      </c>
      <c r="O77" s="189">
        <v>0</v>
      </c>
      <c r="P77" s="189">
        <v>0.74</v>
      </c>
      <c r="Q77" s="189">
        <v>4.88</v>
      </c>
    </row>
    <row r="78" spans="1:17" customFormat="1">
      <c r="A78" s="6" t="s">
        <v>1556</v>
      </c>
      <c r="B78" s="189">
        <v>5.87</v>
      </c>
      <c r="C78" s="189">
        <v>29.23</v>
      </c>
      <c r="D78" s="189">
        <v>21.33</v>
      </c>
      <c r="E78" s="189">
        <v>5.71</v>
      </c>
      <c r="F78" s="189">
        <v>2.82</v>
      </c>
      <c r="G78" s="189">
        <v>105.89</v>
      </c>
      <c r="H78" s="189">
        <v>51.18</v>
      </c>
      <c r="I78" s="189">
        <v>8.44</v>
      </c>
      <c r="J78" s="189">
        <v>0.12</v>
      </c>
      <c r="K78" s="189">
        <v>125.8</v>
      </c>
      <c r="L78" s="189">
        <v>21.49</v>
      </c>
      <c r="M78" s="189">
        <v>48.32</v>
      </c>
      <c r="N78" s="189">
        <v>0</v>
      </c>
      <c r="O78" s="189">
        <v>0</v>
      </c>
      <c r="P78" s="189">
        <v>0.76</v>
      </c>
      <c r="Q78" s="189">
        <v>4.8899999999999997</v>
      </c>
    </row>
    <row r="79" spans="1:17" customFormat="1">
      <c r="A79" s="6" t="s">
        <v>1557</v>
      </c>
      <c r="B79" s="189">
        <v>6.27</v>
      </c>
      <c r="C79" s="189">
        <v>29.83</v>
      </c>
      <c r="D79" s="189">
        <v>21.96</v>
      </c>
      <c r="E79" s="189">
        <v>5.67</v>
      </c>
      <c r="F79" s="189">
        <v>2.76</v>
      </c>
      <c r="G79" s="189">
        <v>129.88999999999999</v>
      </c>
      <c r="H79" s="189">
        <v>55.43</v>
      </c>
      <c r="I79" s="189">
        <v>8.51</v>
      </c>
      <c r="J79" s="189">
        <v>0.2</v>
      </c>
      <c r="K79" s="189">
        <v>61.99</v>
      </c>
      <c r="L79" s="189">
        <v>21.47</v>
      </c>
      <c r="M79" s="189">
        <v>46.6</v>
      </c>
      <c r="N79" s="189">
        <v>0</v>
      </c>
      <c r="O79" s="189">
        <v>0</v>
      </c>
      <c r="P79" s="189">
        <v>0.77</v>
      </c>
      <c r="Q79" s="189">
        <v>4.93</v>
      </c>
    </row>
    <row r="80" spans="1:17" customFormat="1">
      <c r="A80" s="6" t="s">
        <v>1558</v>
      </c>
      <c r="B80" s="189">
        <v>6.67</v>
      </c>
      <c r="C80" s="189">
        <v>31.39</v>
      </c>
      <c r="D80" s="189">
        <v>23.1</v>
      </c>
      <c r="E80" s="189">
        <v>5.2</v>
      </c>
      <c r="F80" s="189">
        <v>2.77</v>
      </c>
      <c r="G80" s="189">
        <v>133.24</v>
      </c>
      <c r="H80" s="189">
        <v>55.43</v>
      </c>
      <c r="I80" s="189">
        <v>8.6</v>
      </c>
      <c r="J80" s="189">
        <v>0.15</v>
      </c>
      <c r="K80" s="189">
        <v>167.56</v>
      </c>
      <c r="L80" s="189">
        <v>20.39</v>
      </c>
      <c r="M80" s="189">
        <v>55.28</v>
      </c>
      <c r="N80" s="189">
        <v>0</v>
      </c>
      <c r="O80" s="189">
        <v>0</v>
      </c>
      <c r="P80" s="189">
        <v>0.78</v>
      </c>
      <c r="Q80" s="189">
        <v>4.95</v>
      </c>
    </row>
    <row r="81" spans="1:17" customFormat="1">
      <c r="A81" s="6" t="s">
        <v>1559</v>
      </c>
      <c r="B81" s="189">
        <v>6.96</v>
      </c>
      <c r="C81" s="189">
        <v>32.78</v>
      </c>
      <c r="D81" s="189">
        <v>24.06</v>
      </c>
      <c r="E81" s="189">
        <v>6.35</v>
      </c>
      <c r="F81" s="189">
        <v>2.66</v>
      </c>
      <c r="G81" s="189">
        <v>133.24</v>
      </c>
      <c r="H81" s="189">
        <v>55.43</v>
      </c>
      <c r="I81" s="189">
        <v>8.7200000000000006</v>
      </c>
      <c r="J81" s="189">
        <v>0.27</v>
      </c>
      <c r="K81" s="189">
        <v>161.83000000000001</v>
      </c>
      <c r="L81" s="189">
        <v>19.739999999999998</v>
      </c>
      <c r="M81" s="189">
        <v>58.17</v>
      </c>
      <c r="N81" s="189">
        <v>0</v>
      </c>
      <c r="O81" s="189">
        <v>0</v>
      </c>
      <c r="P81" s="189">
        <v>0.81</v>
      </c>
      <c r="Q81" s="189">
        <v>4.97</v>
      </c>
    </row>
    <row r="82" spans="1:17" customFormat="1">
      <c r="A82" s="6" t="s">
        <v>1560</v>
      </c>
      <c r="B82" s="189">
        <v>7.06</v>
      </c>
      <c r="C82" s="189">
        <v>33.36</v>
      </c>
      <c r="D82" s="189">
        <v>24.44</v>
      </c>
      <c r="E82" s="189">
        <v>6.97</v>
      </c>
      <c r="F82" s="189">
        <v>2.85</v>
      </c>
      <c r="G82" s="189">
        <v>133.24</v>
      </c>
      <c r="H82" s="189">
        <v>55.43</v>
      </c>
      <c r="I82" s="189">
        <v>8.84</v>
      </c>
      <c r="J82" s="189">
        <v>0.21</v>
      </c>
      <c r="K82" s="189">
        <v>171.43</v>
      </c>
      <c r="L82" s="189">
        <v>19.12</v>
      </c>
      <c r="M82" s="189">
        <v>62.49</v>
      </c>
      <c r="N82" s="189">
        <v>0</v>
      </c>
      <c r="O82" s="189">
        <v>0</v>
      </c>
      <c r="P82" s="189">
        <v>0.83</v>
      </c>
      <c r="Q82" s="189">
        <v>4.97</v>
      </c>
    </row>
    <row r="83" spans="1:17" customFormat="1">
      <c r="A83" s="6" t="s">
        <v>1561</v>
      </c>
      <c r="B83" s="189">
        <v>7.09</v>
      </c>
      <c r="C83" s="189">
        <v>34.65</v>
      </c>
      <c r="D83" s="189">
        <v>25.14</v>
      </c>
      <c r="E83" s="189">
        <v>7.04</v>
      </c>
      <c r="F83" s="189">
        <v>2.63</v>
      </c>
      <c r="G83" s="189">
        <v>154.69999999999999</v>
      </c>
      <c r="H83" s="189">
        <v>62.02</v>
      </c>
      <c r="I83" s="189">
        <v>9.0399999999999991</v>
      </c>
      <c r="J83" s="189">
        <v>0.16</v>
      </c>
      <c r="K83" s="189">
        <v>184.98</v>
      </c>
      <c r="L83" s="189">
        <v>18.66</v>
      </c>
      <c r="M83" s="189">
        <v>67.84</v>
      </c>
      <c r="N83" s="189">
        <v>0</v>
      </c>
      <c r="O83" s="189">
        <v>0</v>
      </c>
      <c r="P83" s="189">
        <v>0.86</v>
      </c>
      <c r="Q83" s="189">
        <v>4.97</v>
      </c>
    </row>
    <row r="84" spans="1:17" customFormat="1">
      <c r="A84" s="6" t="s">
        <v>1562</v>
      </c>
      <c r="B84" s="189">
        <v>7.04</v>
      </c>
      <c r="C84" s="189">
        <v>34.68</v>
      </c>
      <c r="D84" s="189">
        <v>25.11</v>
      </c>
      <c r="E84" s="189">
        <v>7.16</v>
      </c>
      <c r="F84" s="189">
        <v>2.78</v>
      </c>
      <c r="G84" s="189">
        <v>157.68</v>
      </c>
      <c r="H84" s="189">
        <v>62.02</v>
      </c>
      <c r="I84" s="189">
        <v>9.35</v>
      </c>
      <c r="J84" s="189">
        <v>0.16</v>
      </c>
      <c r="K84" s="189">
        <v>166.9</v>
      </c>
      <c r="L84" s="189">
        <v>18.170000000000002</v>
      </c>
      <c r="M84" s="189">
        <v>72.680000000000007</v>
      </c>
      <c r="N84" s="189">
        <v>0</v>
      </c>
      <c r="O84" s="189">
        <v>0</v>
      </c>
      <c r="P84" s="189">
        <v>0.88</v>
      </c>
      <c r="Q84" s="189">
        <v>4.9800000000000004</v>
      </c>
    </row>
    <row r="85" spans="1:17" customFormat="1">
      <c r="A85" s="6" t="s">
        <v>1563</v>
      </c>
      <c r="B85" s="189">
        <v>7.11</v>
      </c>
      <c r="C85" s="189">
        <v>35.07</v>
      </c>
      <c r="D85" s="189">
        <v>25.38</v>
      </c>
      <c r="E85" s="189">
        <v>6.74</v>
      </c>
      <c r="F85" s="189">
        <v>2.73</v>
      </c>
      <c r="G85" s="189">
        <v>157.68</v>
      </c>
      <c r="H85" s="189">
        <v>62.02</v>
      </c>
      <c r="I85" s="189">
        <v>9.7100000000000009</v>
      </c>
      <c r="J85" s="189">
        <v>0.21</v>
      </c>
      <c r="K85" s="189">
        <v>173.58</v>
      </c>
      <c r="L85" s="189">
        <v>17.8</v>
      </c>
      <c r="M85" s="189">
        <v>76.069999999999993</v>
      </c>
      <c r="N85" s="189">
        <v>0</v>
      </c>
      <c r="O85" s="189">
        <v>0</v>
      </c>
      <c r="P85" s="189">
        <v>0.9</v>
      </c>
      <c r="Q85" s="189">
        <v>4.99</v>
      </c>
    </row>
    <row r="86" spans="1:17" customFormat="1">
      <c r="A86" s="6" t="s">
        <v>1564</v>
      </c>
      <c r="B86" s="189">
        <v>7.24</v>
      </c>
      <c r="C86" s="189">
        <v>34.39</v>
      </c>
      <c r="D86" s="189">
        <v>25.12</v>
      </c>
      <c r="E86" s="189">
        <v>6.84</v>
      </c>
      <c r="F86" s="189">
        <v>2.73</v>
      </c>
      <c r="G86" s="189">
        <v>157.68</v>
      </c>
      <c r="H86" s="189">
        <v>62.02</v>
      </c>
      <c r="I86" s="189">
        <v>10.029999999999999</v>
      </c>
      <c r="J86" s="189">
        <v>0.15</v>
      </c>
      <c r="K86" s="189">
        <v>162.58000000000001</v>
      </c>
      <c r="L86" s="189">
        <v>17.46</v>
      </c>
      <c r="M86" s="189">
        <v>76.37</v>
      </c>
      <c r="N86" s="189">
        <v>0</v>
      </c>
      <c r="O86" s="189">
        <v>0</v>
      </c>
      <c r="P86" s="189">
        <v>0.92</v>
      </c>
      <c r="Q86" s="189">
        <v>4.9800000000000004</v>
      </c>
    </row>
    <row r="87" spans="1:17" customFormat="1">
      <c r="A87" s="6" t="s">
        <v>1565</v>
      </c>
      <c r="B87" s="189">
        <v>7.33</v>
      </c>
      <c r="C87" s="189">
        <v>34.64</v>
      </c>
      <c r="D87" s="189">
        <v>25.33</v>
      </c>
      <c r="E87" s="189">
        <v>7.39</v>
      </c>
      <c r="F87" s="189">
        <v>2.74</v>
      </c>
      <c r="G87" s="189">
        <v>156.29</v>
      </c>
      <c r="H87" s="189">
        <v>63</v>
      </c>
      <c r="I87" s="189">
        <v>10.32</v>
      </c>
      <c r="J87" s="189">
        <v>0.11</v>
      </c>
      <c r="K87" s="189">
        <v>188.23</v>
      </c>
      <c r="L87" s="189">
        <v>17.21</v>
      </c>
      <c r="M87" s="189">
        <v>72.63</v>
      </c>
      <c r="N87" s="189">
        <v>0</v>
      </c>
      <c r="O87" s="189">
        <v>0</v>
      </c>
      <c r="P87" s="189">
        <v>0.95</v>
      </c>
      <c r="Q87" s="189">
        <v>5</v>
      </c>
    </row>
    <row r="88" spans="1:17" customFormat="1">
      <c r="A88" s="6" t="s">
        <v>1566</v>
      </c>
      <c r="B88" s="189">
        <v>7.92</v>
      </c>
      <c r="C88" s="189">
        <v>36.01</v>
      </c>
      <c r="D88" s="189">
        <v>26.52</v>
      </c>
      <c r="E88" s="189">
        <v>7.17</v>
      </c>
      <c r="F88" s="189">
        <v>2.44</v>
      </c>
      <c r="G88" s="189">
        <v>156.09</v>
      </c>
      <c r="H88" s="189">
        <v>63</v>
      </c>
      <c r="I88" s="189">
        <v>10.58</v>
      </c>
      <c r="J88" s="189">
        <v>0.15</v>
      </c>
      <c r="K88" s="189">
        <v>211.72</v>
      </c>
      <c r="L88" s="189">
        <v>17.059999999999999</v>
      </c>
      <c r="M88" s="189">
        <v>75.180000000000007</v>
      </c>
      <c r="N88" s="189">
        <v>0</v>
      </c>
      <c r="O88" s="189">
        <v>0</v>
      </c>
      <c r="P88" s="189">
        <v>1</v>
      </c>
      <c r="Q88" s="189">
        <v>5.03</v>
      </c>
    </row>
    <row r="89" spans="1:17" customFormat="1">
      <c r="A89" s="6" t="s">
        <v>1567</v>
      </c>
      <c r="B89" s="189">
        <v>8.09</v>
      </c>
      <c r="C89" s="189">
        <v>36.369999999999997</v>
      </c>
      <c r="D89" s="189">
        <v>26.83</v>
      </c>
      <c r="E89" s="189">
        <v>7.1</v>
      </c>
      <c r="F89" s="189">
        <v>2.71</v>
      </c>
      <c r="G89" s="189">
        <v>156.09</v>
      </c>
      <c r="H89" s="189">
        <v>63</v>
      </c>
      <c r="I89" s="189">
        <v>10.87</v>
      </c>
      <c r="J89" s="189">
        <v>0.15</v>
      </c>
      <c r="K89" s="189">
        <v>171.45</v>
      </c>
      <c r="L89" s="189">
        <v>16.670000000000002</v>
      </c>
      <c r="M89" s="189">
        <v>80.239999999999995</v>
      </c>
      <c r="N89" s="189">
        <v>0</v>
      </c>
      <c r="O89" s="189">
        <v>0</v>
      </c>
      <c r="P89" s="189">
        <v>1.02</v>
      </c>
      <c r="Q89" s="189">
        <v>5.0199999999999996</v>
      </c>
    </row>
    <row r="90" spans="1:17" customFormat="1">
      <c r="A90" s="6" t="s">
        <v>1568</v>
      </c>
      <c r="B90" s="189">
        <v>7.79</v>
      </c>
      <c r="C90" s="189">
        <v>35.869999999999997</v>
      </c>
      <c r="D90" s="189">
        <v>26.34</v>
      </c>
      <c r="E90" s="189">
        <v>7.17</v>
      </c>
      <c r="F90" s="189">
        <v>2.73</v>
      </c>
      <c r="G90" s="189">
        <v>156.09</v>
      </c>
      <c r="H90" s="189">
        <v>63</v>
      </c>
      <c r="I90" s="189">
        <v>11.16</v>
      </c>
      <c r="J90" s="189">
        <v>0.16</v>
      </c>
      <c r="K90" s="189">
        <v>158.34</v>
      </c>
      <c r="L90" s="189">
        <v>16.399999999999999</v>
      </c>
      <c r="M90" s="189">
        <v>79.790000000000006</v>
      </c>
      <c r="N90" s="189">
        <v>0</v>
      </c>
      <c r="O90" s="189">
        <v>0</v>
      </c>
      <c r="P90" s="189">
        <v>1.05</v>
      </c>
      <c r="Q90" s="189">
        <v>5.03</v>
      </c>
    </row>
    <row r="91" spans="1:17" customFormat="1">
      <c r="A91" s="6" t="s">
        <v>1569</v>
      </c>
      <c r="B91" s="189">
        <v>7.49</v>
      </c>
      <c r="C91" s="189">
        <v>35.26</v>
      </c>
      <c r="D91" s="189">
        <v>25.78</v>
      </c>
      <c r="E91" s="189">
        <v>7.21</v>
      </c>
      <c r="F91" s="189">
        <v>2.86</v>
      </c>
      <c r="G91" s="189">
        <v>154.27000000000001</v>
      </c>
      <c r="H91" s="189">
        <v>65.28</v>
      </c>
      <c r="I91" s="189">
        <v>11.4</v>
      </c>
      <c r="J91" s="189">
        <v>0.14000000000000001</v>
      </c>
      <c r="K91" s="189">
        <v>163.86</v>
      </c>
      <c r="L91" s="189">
        <v>16.46</v>
      </c>
      <c r="M91" s="189">
        <v>80.14</v>
      </c>
      <c r="N91" s="189">
        <v>0</v>
      </c>
      <c r="O91" s="189">
        <v>0</v>
      </c>
      <c r="P91" s="189">
        <v>1.07</v>
      </c>
      <c r="Q91" s="189">
        <v>5.03</v>
      </c>
    </row>
    <row r="92" spans="1:17" customFormat="1">
      <c r="A92" s="6" t="s">
        <v>1570</v>
      </c>
      <c r="B92" s="189">
        <v>7.27</v>
      </c>
      <c r="C92" s="189">
        <v>34.65</v>
      </c>
      <c r="D92" s="189">
        <v>25.29</v>
      </c>
      <c r="E92" s="189">
        <v>7.49</v>
      </c>
      <c r="F92" s="189">
        <v>2.78</v>
      </c>
      <c r="G92" s="189">
        <v>154.01</v>
      </c>
      <c r="H92" s="189">
        <v>65.28</v>
      </c>
      <c r="I92" s="189">
        <v>11.57</v>
      </c>
      <c r="J92" s="189">
        <v>0.16</v>
      </c>
      <c r="K92" s="189">
        <v>170.63</v>
      </c>
      <c r="L92" s="189">
        <v>16.329999999999998</v>
      </c>
      <c r="M92" s="189">
        <v>82.86</v>
      </c>
      <c r="N92" s="189">
        <v>0</v>
      </c>
      <c r="O92" s="189">
        <v>0</v>
      </c>
      <c r="P92" s="189">
        <v>1.0900000000000001</v>
      </c>
      <c r="Q92" s="189">
        <v>5.03</v>
      </c>
    </row>
    <row r="93" spans="1:17" customFormat="1">
      <c r="A93" s="6" t="s">
        <v>1571</v>
      </c>
      <c r="B93" s="189">
        <v>7.06</v>
      </c>
      <c r="C93" s="189">
        <v>34.29</v>
      </c>
      <c r="D93" s="189">
        <v>24.93</v>
      </c>
      <c r="E93" s="189">
        <v>6.79</v>
      </c>
      <c r="F93" s="189">
        <v>2.77</v>
      </c>
      <c r="G93" s="189">
        <v>154.01</v>
      </c>
      <c r="H93" s="189">
        <v>65.28</v>
      </c>
      <c r="I93" s="189">
        <v>11.7</v>
      </c>
      <c r="J93" s="189">
        <v>0.12</v>
      </c>
      <c r="K93" s="189">
        <v>187.29</v>
      </c>
      <c r="L93" s="189">
        <v>16.38</v>
      </c>
      <c r="M93" s="189">
        <v>82.53</v>
      </c>
      <c r="N93" s="189">
        <v>0</v>
      </c>
      <c r="O93" s="189">
        <v>0</v>
      </c>
      <c r="P93" s="189">
        <v>1.1100000000000001</v>
      </c>
      <c r="Q93" s="189">
        <v>5.04</v>
      </c>
    </row>
    <row r="94" spans="1:17" customFormat="1">
      <c r="A94" s="6" t="s">
        <v>1572</v>
      </c>
      <c r="B94" s="189">
        <v>7.07</v>
      </c>
      <c r="C94" s="189">
        <v>33.89</v>
      </c>
      <c r="D94" s="189">
        <v>24.73</v>
      </c>
      <c r="E94" s="189">
        <v>7.35</v>
      </c>
      <c r="F94" s="189">
        <v>2.79</v>
      </c>
      <c r="G94" s="189">
        <v>154.01</v>
      </c>
      <c r="H94" s="189">
        <v>65.28</v>
      </c>
      <c r="I94" s="189">
        <v>11.87</v>
      </c>
      <c r="J94" s="189">
        <v>0.1</v>
      </c>
      <c r="K94" s="189">
        <v>215.04</v>
      </c>
      <c r="L94" s="189">
        <v>16</v>
      </c>
      <c r="M94" s="189">
        <v>82.72</v>
      </c>
      <c r="N94" s="189">
        <v>0</v>
      </c>
      <c r="O94" s="189">
        <v>0</v>
      </c>
      <c r="P94" s="189">
        <v>1.1299999999999999</v>
      </c>
      <c r="Q94" s="189">
        <v>5.01</v>
      </c>
    </row>
    <row r="95" spans="1:17" customFormat="1">
      <c r="A95" s="6" t="s">
        <v>1573</v>
      </c>
      <c r="B95" s="189">
        <v>7.09</v>
      </c>
      <c r="C95" s="189">
        <v>33.619999999999997</v>
      </c>
      <c r="D95" s="189">
        <v>24.6</v>
      </c>
      <c r="E95" s="189">
        <v>6.91</v>
      </c>
      <c r="F95" s="189">
        <v>2.71</v>
      </c>
      <c r="G95" s="189">
        <v>146.88999999999999</v>
      </c>
      <c r="H95" s="189">
        <v>69.42</v>
      </c>
      <c r="I95" s="189">
        <v>12.02</v>
      </c>
      <c r="J95" s="189">
        <v>0.13</v>
      </c>
      <c r="K95" s="189">
        <v>210.45</v>
      </c>
      <c r="L95" s="189">
        <v>15.96</v>
      </c>
      <c r="M95" s="189">
        <v>83.04</v>
      </c>
      <c r="N95" s="189">
        <v>0</v>
      </c>
      <c r="O95" s="189">
        <v>0</v>
      </c>
      <c r="P95" s="189">
        <v>1.1399999999999999</v>
      </c>
      <c r="Q95" s="189">
        <v>5</v>
      </c>
    </row>
    <row r="96" spans="1:17" customFormat="1">
      <c r="A96" s="6" t="s">
        <v>1574</v>
      </c>
      <c r="B96" s="189">
        <v>7.07</v>
      </c>
      <c r="C96" s="189">
        <v>33.11</v>
      </c>
      <c r="D96" s="189">
        <v>24.32</v>
      </c>
      <c r="E96" s="189">
        <v>7.23</v>
      </c>
      <c r="F96" s="189">
        <v>2.77</v>
      </c>
      <c r="G96" s="189">
        <v>145.9</v>
      </c>
      <c r="H96" s="189">
        <v>69.42</v>
      </c>
      <c r="I96" s="189">
        <v>12.15</v>
      </c>
      <c r="J96" s="189">
        <v>0.14000000000000001</v>
      </c>
      <c r="K96" s="189">
        <v>214.7</v>
      </c>
      <c r="L96" s="189">
        <v>15.66</v>
      </c>
      <c r="M96" s="189">
        <v>85.28</v>
      </c>
      <c r="N96" s="189">
        <v>0</v>
      </c>
      <c r="O96" s="189">
        <v>0</v>
      </c>
      <c r="P96" s="189">
        <v>1.1499999999999999</v>
      </c>
      <c r="Q96" s="189">
        <v>5.01</v>
      </c>
    </row>
    <row r="97" spans="1:22" customFormat="1">
      <c r="A97" s="6" t="s">
        <v>1575</v>
      </c>
      <c r="B97" s="189">
        <v>6.94</v>
      </c>
      <c r="C97" s="189">
        <v>32.549999999999997</v>
      </c>
      <c r="D97" s="189">
        <v>23.92</v>
      </c>
      <c r="E97" s="189">
        <v>7.07</v>
      </c>
      <c r="F97" s="189">
        <v>2.61</v>
      </c>
      <c r="G97" s="189">
        <v>145.9</v>
      </c>
      <c r="H97" s="189">
        <v>69.42</v>
      </c>
      <c r="I97" s="189">
        <v>12.23</v>
      </c>
      <c r="J97" s="189">
        <v>0.1</v>
      </c>
      <c r="K97" s="189">
        <v>204.03</v>
      </c>
      <c r="L97" s="189">
        <v>15.35</v>
      </c>
      <c r="M97" s="189">
        <v>86.24</v>
      </c>
      <c r="N97" s="189">
        <v>0</v>
      </c>
      <c r="O97" s="189">
        <v>0</v>
      </c>
      <c r="P97" s="189">
        <v>1.1599999999999999</v>
      </c>
      <c r="Q97" s="189">
        <v>5</v>
      </c>
    </row>
    <row r="98" spans="1:22" customFormat="1">
      <c r="A98" s="6" t="s">
        <v>1576</v>
      </c>
      <c r="B98" s="189">
        <v>6.91</v>
      </c>
      <c r="C98" s="189">
        <v>32.18</v>
      </c>
      <c r="D98" s="189">
        <v>23.71</v>
      </c>
      <c r="E98" s="189">
        <v>7.34</v>
      </c>
      <c r="F98" s="189">
        <v>2.56</v>
      </c>
      <c r="G98" s="189">
        <v>145.9</v>
      </c>
      <c r="H98" s="189">
        <v>69.42</v>
      </c>
      <c r="I98" s="189">
        <v>12.27</v>
      </c>
      <c r="J98" s="189">
        <v>0.09</v>
      </c>
      <c r="K98" s="189">
        <v>219.9</v>
      </c>
      <c r="L98" s="189">
        <v>15.08</v>
      </c>
      <c r="M98" s="189">
        <v>85.95</v>
      </c>
      <c r="N98" s="189">
        <v>0</v>
      </c>
      <c r="O98" s="189">
        <v>0</v>
      </c>
      <c r="P98" s="189">
        <v>1.17</v>
      </c>
      <c r="Q98" s="189">
        <v>4.9800000000000004</v>
      </c>
    </row>
    <row r="99" spans="1:22" customFormat="1">
      <c r="A99" s="6" t="s">
        <v>1577</v>
      </c>
      <c r="B99" s="189">
        <v>7.05</v>
      </c>
      <c r="C99" s="189">
        <v>32.130000000000003</v>
      </c>
      <c r="D99" s="189">
        <v>23.79</v>
      </c>
      <c r="E99" s="189">
        <v>7.05</v>
      </c>
      <c r="F99" s="189">
        <v>2.5299999999999998</v>
      </c>
      <c r="G99" s="189">
        <v>140.35</v>
      </c>
      <c r="H99" s="189">
        <v>69.459999999999994</v>
      </c>
      <c r="I99" s="189">
        <v>12.34</v>
      </c>
      <c r="J99" s="189">
        <v>0.1</v>
      </c>
      <c r="K99" s="189">
        <v>212.1</v>
      </c>
      <c r="L99" s="189">
        <v>15.25</v>
      </c>
      <c r="M99" s="189">
        <v>82.83</v>
      </c>
      <c r="N99" s="189">
        <v>0</v>
      </c>
      <c r="O99" s="189">
        <v>0</v>
      </c>
      <c r="P99" s="189">
        <v>1.18</v>
      </c>
      <c r="Q99" s="189">
        <v>4.99</v>
      </c>
    </row>
    <row r="100" spans="1:22" customFormat="1">
      <c r="A100" s="6" t="s">
        <v>1578</v>
      </c>
      <c r="B100" s="189">
        <v>7.49</v>
      </c>
      <c r="C100" s="189">
        <v>32.04</v>
      </c>
      <c r="D100" s="189">
        <v>24.1</v>
      </c>
      <c r="E100" s="189">
        <v>7.34</v>
      </c>
      <c r="F100" s="189">
        <v>2.48</v>
      </c>
      <c r="G100" s="189">
        <v>139.58000000000001</v>
      </c>
      <c r="H100" s="189">
        <v>69.459999999999994</v>
      </c>
      <c r="I100" s="189">
        <v>12.42</v>
      </c>
      <c r="J100" s="189">
        <v>0.1</v>
      </c>
      <c r="K100" s="189">
        <v>214.81</v>
      </c>
      <c r="L100" s="189">
        <v>15.17</v>
      </c>
      <c r="M100" s="189">
        <v>86.6</v>
      </c>
      <c r="N100" s="189">
        <v>0</v>
      </c>
      <c r="O100" s="189">
        <v>0</v>
      </c>
      <c r="P100" s="189">
        <v>1.2</v>
      </c>
      <c r="Q100" s="189">
        <v>5.01</v>
      </c>
    </row>
    <row r="101" spans="1:22" customFormat="1">
      <c r="A101" s="6" t="s">
        <v>1579</v>
      </c>
      <c r="B101" s="189">
        <v>7.54</v>
      </c>
      <c r="C101" s="189">
        <v>31.6</v>
      </c>
      <c r="D101" s="189">
        <v>23.91</v>
      </c>
      <c r="E101" s="189">
        <v>6.93</v>
      </c>
      <c r="F101" s="189">
        <v>2.54</v>
      </c>
      <c r="G101" s="189">
        <v>139.58000000000001</v>
      </c>
      <c r="H101" s="189">
        <v>69.459999999999994</v>
      </c>
      <c r="I101" s="189">
        <v>12.51</v>
      </c>
      <c r="J101" s="189">
        <v>0.22</v>
      </c>
      <c r="K101" s="189">
        <v>167.39</v>
      </c>
      <c r="L101" s="189">
        <v>15.33</v>
      </c>
      <c r="M101" s="189">
        <v>87.3</v>
      </c>
      <c r="N101" s="189">
        <v>0</v>
      </c>
      <c r="O101" s="189">
        <v>0</v>
      </c>
      <c r="P101" s="189">
        <v>1.21</v>
      </c>
      <c r="Q101" s="189">
        <v>5</v>
      </c>
    </row>
    <row r="102" spans="1:22" customFormat="1">
      <c r="A102" s="6" t="s">
        <v>1580</v>
      </c>
      <c r="B102" s="189">
        <v>7.43</v>
      </c>
      <c r="C102" s="189">
        <v>31.05</v>
      </c>
      <c r="D102" s="189">
        <v>23.53</v>
      </c>
      <c r="E102" s="189">
        <v>7.08</v>
      </c>
      <c r="F102" s="189">
        <v>2.6</v>
      </c>
      <c r="G102" s="189">
        <v>139.58000000000001</v>
      </c>
      <c r="H102" s="189">
        <v>69.459999999999994</v>
      </c>
      <c r="I102" s="189">
        <v>12.6</v>
      </c>
      <c r="J102" s="189">
        <v>0.1</v>
      </c>
      <c r="K102" s="189">
        <v>213.84</v>
      </c>
      <c r="L102" s="189">
        <v>14.79</v>
      </c>
      <c r="M102" s="189">
        <v>88.22</v>
      </c>
      <c r="N102" s="189">
        <v>0</v>
      </c>
      <c r="O102" s="189">
        <v>0</v>
      </c>
      <c r="P102" s="189">
        <v>1.22</v>
      </c>
      <c r="Q102" s="189">
        <v>5</v>
      </c>
    </row>
    <row r="103" spans="1:22" customFormat="1">
      <c r="A103" s="6" t="s">
        <v>1581</v>
      </c>
      <c r="B103" s="189">
        <v>7.42</v>
      </c>
      <c r="C103" s="189">
        <v>30.55</v>
      </c>
      <c r="D103" s="189">
        <v>23.26</v>
      </c>
      <c r="E103" s="189">
        <v>6.76</v>
      </c>
      <c r="F103" s="189">
        <v>2.5299999999999998</v>
      </c>
      <c r="G103" s="189">
        <v>136.94999999999999</v>
      </c>
      <c r="H103" s="189">
        <v>69.61</v>
      </c>
      <c r="I103" s="189">
        <v>12.67</v>
      </c>
      <c r="J103" s="189">
        <v>0.11</v>
      </c>
      <c r="K103" s="189">
        <v>216.83</v>
      </c>
      <c r="L103" s="189">
        <v>14.69</v>
      </c>
      <c r="M103" s="189">
        <v>87.65</v>
      </c>
      <c r="N103" s="189">
        <v>0</v>
      </c>
      <c r="O103" s="189">
        <v>0</v>
      </c>
      <c r="P103" s="189">
        <v>1.21</v>
      </c>
      <c r="Q103" s="189">
        <v>4.99</v>
      </c>
    </row>
    <row r="104" spans="1:22" customFormat="1">
      <c r="A104" s="6" t="s">
        <v>1582</v>
      </c>
      <c r="B104" s="189">
        <v>7.37</v>
      </c>
      <c r="C104" s="189">
        <v>30.02</v>
      </c>
      <c r="D104" s="189">
        <v>22.95</v>
      </c>
      <c r="E104" s="189">
        <v>6.78</v>
      </c>
      <c r="F104" s="189">
        <v>2.61</v>
      </c>
      <c r="G104" s="189">
        <v>136.59</v>
      </c>
      <c r="H104" s="189">
        <v>69.61</v>
      </c>
      <c r="I104" s="189">
        <v>12.74</v>
      </c>
      <c r="J104" s="189">
        <v>0.13</v>
      </c>
      <c r="K104" s="189">
        <v>250.22</v>
      </c>
      <c r="L104" s="189">
        <v>14.5</v>
      </c>
      <c r="M104" s="189">
        <v>88.23</v>
      </c>
      <c r="N104" s="189">
        <v>0</v>
      </c>
      <c r="O104" s="189">
        <v>0</v>
      </c>
      <c r="P104" s="189">
        <v>1.21</v>
      </c>
      <c r="Q104" s="189">
        <v>4.9800000000000004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4.63</v>
      </c>
      <c r="C106" s="183">
        <f>MIN(C9:C104)</f>
        <v>22.94</v>
      </c>
      <c r="D106" s="183">
        <f t="shared" ref="D106:Q106" si="0">MIN(D9:D104)</f>
        <v>17.3</v>
      </c>
      <c r="E106" s="183">
        <f t="shared" si="0"/>
        <v>4.5599999999999996</v>
      </c>
      <c r="F106" s="183">
        <f t="shared" si="0"/>
        <v>2.35</v>
      </c>
      <c r="G106" s="183">
        <f t="shared" si="0"/>
        <v>78.56</v>
      </c>
      <c r="H106" s="183">
        <f t="shared" si="0"/>
        <v>36.76</v>
      </c>
      <c r="I106" s="183">
        <f t="shared" si="0"/>
        <v>8.3800000000000008</v>
      </c>
      <c r="J106" s="183">
        <f t="shared" si="0"/>
        <v>0.05</v>
      </c>
      <c r="K106" s="183">
        <f t="shared" si="0"/>
        <v>8.64</v>
      </c>
      <c r="L106" s="183">
        <f t="shared" si="0"/>
        <v>11.25</v>
      </c>
      <c r="M106" s="183">
        <f t="shared" si="0"/>
        <v>29.09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4.8600000000000003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40.630000000000003</v>
      </c>
      <c r="C107" s="184">
        <f t="shared" ref="C107:Q107" si="1">MAX(C9:C104)</f>
        <v>36.369999999999997</v>
      </c>
      <c r="D107" s="184">
        <f t="shared" si="1"/>
        <v>50.75</v>
      </c>
      <c r="E107" s="184">
        <f t="shared" si="1"/>
        <v>7.49</v>
      </c>
      <c r="F107" s="184">
        <f t="shared" si="1"/>
        <v>6.73</v>
      </c>
      <c r="G107" s="184">
        <f t="shared" si="1"/>
        <v>157.68</v>
      </c>
      <c r="H107" s="184">
        <f t="shared" si="1"/>
        <v>69.61</v>
      </c>
      <c r="I107" s="184">
        <f t="shared" si="1"/>
        <v>15.53</v>
      </c>
      <c r="J107" s="184">
        <f t="shared" si="1"/>
        <v>0.6</v>
      </c>
      <c r="K107" s="184">
        <f t="shared" si="1"/>
        <v>344.8</v>
      </c>
      <c r="L107" s="184">
        <f t="shared" si="1"/>
        <v>26.99</v>
      </c>
      <c r="M107" s="184">
        <f t="shared" si="1"/>
        <v>92.33</v>
      </c>
      <c r="N107" s="184">
        <f t="shared" si="1"/>
        <v>509.4</v>
      </c>
      <c r="O107" s="184">
        <f t="shared" si="1"/>
        <v>0</v>
      </c>
      <c r="P107" s="184">
        <f t="shared" si="1"/>
        <v>1.37</v>
      </c>
      <c r="Q107" s="184">
        <f t="shared" si="1"/>
        <v>5.55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14.56718749999999</v>
      </c>
      <c r="C108" s="183">
        <f t="shared" ref="C108:Q108" si="2">AVERAGE(C9:C104)</f>
        <v>31.3084375</v>
      </c>
      <c r="D108" s="183">
        <f t="shared" si="2"/>
        <v>29.390416666666667</v>
      </c>
      <c r="E108" s="183">
        <f t="shared" si="2"/>
        <v>6.3315625000000031</v>
      </c>
      <c r="F108" s="183">
        <f t="shared" si="2"/>
        <v>3.2267708333333336</v>
      </c>
      <c r="G108" s="183">
        <f t="shared" si="2"/>
        <v>122.79500000000002</v>
      </c>
      <c r="H108" s="183">
        <f t="shared" si="2"/>
        <v>57.823333333333316</v>
      </c>
      <c r="I108" s="183">
        <f t="shared" si="2"/>
        <v>12.172500000000001</v>
      </c>
      <c r="J108" s="183">
        <f t="shared" si="2"/>
        <v>0.18989583333333337</v>
      </c>
      <c r="K108" s="183">
        <f t="shared" si="2"/>
        <v>161.83854166666666</v>
      </c>
      <c r="L108" s="183">
        <f t="shared" si="2"/>
        <v>18.080937500000005</v>
      </c>
      <c r="M108" s="183">
        <f t="shared" si="2"/>
        <v>65.233437499999994</v>
      </c>
      <c r="N108" s="183">
        <f t="shared" si="2"/>
        <v>96.759375000000034</v>
      </c>
      <c r="O108" s="183">
        <f t="shared" si="2"/>
        <v>0</v>
      </c>
      <c r="P108" s="183">
        <f t="shared" si="2"/>
        <v>1.0717708333333336</v>
      </c>
      <c r="Q108" s="183">
        <f t="shared" si="2"/>
        <v>5.1091666666666669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10.6123960986173</v>
      </c>
      <c r="C109" s="183">
        <f t="shared" ref="C109:Q109" si="3">STDEV(C9:C104)</f>
        <v>3.4522762370796256</v>
      </c>
      <c r="D109" s="183">
        <f t="shared" si="3"/>
        <v>9.3895619444557621</v>
      </c>
      <c r="E109" s="183">
        <f t="shared" si="3"/>
        <v>0.69151295322187856</v>
      </c>
      <c r="F109" s="183">
        <f t="shared" si="3"/>
        <v>1.1288070039616978</v>
      </c>
      <c r="G109" s="183">
        <f t="shared" si="3"/>
        <v>23.514061414619917</v>
      </c>
      <c r="H109" s="183">
        <f t="shared" si="3"/>
        <v>9.4976144003770191</v>
      </c>
      <c r="I109" s="183">
        <f t="shared" si="3"/>
        <v>2.393762508556001</v>
      </c>
      <c r="J109" s="183">
        <f t="shared" si="3"/>
        <v>0.10984673333586831</v>
      </c>
      <c r="K109" s="183">
        <f t="shared" si="3"/>
        <v>74.500271041247146</v>
      </c>
      <c r="L109" s="183">
        <f t="shared" si="3"/>
        <v>5.327817777452319</v>
      </c>
      <c r="M109" s="183">
        <f t="shared" si="3"/>
        <v>24.289699520497486</v>
      </c>
      <c r="N109" s="183">
        <f t="shared" si="3"/>
        <v>164.96133746594271</v>
      </c>
      <c r="O109" s="183">
        <f t="shared" si="3"/>
        <v>0</v>
      </c>
      <c r="P109" s="183">
        <f t="shared" si="3"/>
        <v>0.22064019193756579</v>
      </c>
      <c r="Q109" s="183">
        <f t="shared" si="3"/>
        <v>0.19672939826158206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1583</v>
      </c>
      <c r="B9" s="189">
        <v>6.85</v>
      </c>
      <c r="C9" s="189">
        <v>30.3</v>
      </c>
      <c r="D9" s="189">
        <v>22.67</v>
      </c>
      <c r="E9" s="189">
        <v>7.07</v>
      </c>
      <c r="F9" s="189">
        <v>2.69</v>
      </c>
      <c r="G9" s="189">
        <v>136.59</v>
      </c>
      <c r="H9" s="189">
        <v>69.61</v>
      </c>
      <c r="I9" s="189">
        <v>12.8</v>
      </c>
      <c r="J9" s="189">
        <v>0.11</v>
      </c>
      <c r="K9" s="189">
        <v>180.55</v>
      </c>
      <c r="L9" s="189">
        <v>14.52</v>
      </c>
      <c r="M9" s="189">
        <v>84.83</v>
      </c>
      <c r="N9" s="189">
        <v>0</v>
      </c>
      <c r="O9" s="189">
        <v>0</v>
      </c>
      <c r="P9" s="189">
        <v>1.21</v>
      </c>
      <c r="Q9" s="189">
        <v>4.9800000000000004</v>
      </c>
    </row>
    <row r="10" spans="1:21" customFormat="1">
      <c r="A10" s="6" t="s">
        <v>1584</v>
      </c>
      <c r="B10" s="189">
        <v>7.39</v>
      </c>
      <c r="C10" s="189">
        <v>30.41</v>
      </c>
      <c r="D10" s="189">
        <v>23.16</v>
      </c>
      <c r="E10" s="189">
        <v>6.89</v>
      </c>
      <c r="F10" s="189">
        <v>2.54</v>
      </c>
      <c r="G10" s="189">
        <v>136.59</v>
      </c>
      <c r="H10" s="189">
        <v>69.61</v>
      </c>
      <c r="I10" s="189">
        <v>12.83</v>
      </c>
      <c r="J10" s="189">
        <v>0.1</v>
      </c>
      <c r="K10" s="189">
        <v>197.86</v>
      </c>
      <c r="L10" s="189">
        <v>14.63</v>
      </c>
      <c r="M10" s="189">
        <v>83.44</v>
      </c>
      <c r="N10" s="189">
        <v>0</v>
      </c>
      <c r="O10" s="189">
        <v>0</v>
      </c>
      <c r="P10" s="189">
        <v>1.2</v>
      </c>
      <c r="Q10" s="189">
        <v>5</v>
      </c>
    </row>
    <row r="11" spans="1:21" customFormat="1">
      <c r="A11" s="6" t="s">
        <v>1585</v>
      </c>
      <c r="B11" s="189">
        <v>7.45</v>
      </c>
      <c r="C11" s="189">
        <v>30.26</v>
      </c>
      <c r="D11" s="189">
        <v>23.14</v>
      </c>
      <c r="E11" s="189">
        <v>7.06</v>
      </c>
      <c r="F11" s="189">
        <v>2.67</v>
      </c>
      <c r="G11" s="189">
        <v>138.09</v>
      </c>
      <c r="H11" s="189">
        <v>70</v>
      </c>
      <c r="I11" s="189">
        <v>12.8</v>
      </c>
      <c r="J11" s="189">
        <v>0.13</v>
      </c>
      <c r="K11" s="189">
        <v>170.39</v>
      </c>
      <c r="L11" s="189">
        <v>14.51</v>
      </c>
      <c r="M11" s="189">
        <v>87.45</v>
      </c>
      <c r="N11" s="189">
        <v>0</v>
      </c>
      <c r="O11" s="189">
        <v>0</v>
      </c>
      <c r="P11" s="189">
        <v>1.18</v>
      </c>
      <c r="Q11" s="189">
        <v>4.99</v>
      </c>
    </row>
    <row r="12" spans="1:21" customFormat="1">
      <c r="A12" s="6" t="s">
        <v>1586</v>
      </c>
      <c r="B12" s="189">
        <v>8.11</v>
      </c>
      <c r="C12" s="189">
        <v>30.44</v>
      </c>
      <c r="D12" s="189">
        <v>23.76</v>
      </c>
      <c r="E12" s="189">
        <v>6.85</v>
      </c>
      <c r="F12" s="189">
        <v>2.59</v>
      </c>
      <c r="G12" s="189">
        <v>138.30000000000001</v>
      </c>
      <c r="H12" s="189">
        <v>70</v>
      </c>
      <c r="I12" s="189">
        <v>12.69</v>
      </c>
      <c r="J12" s="189">
        <v>7.0000000000000007E-2</v>
      </c>
      <c r="K12" s="189">
        <v>194.41</v>
      </c>
      <c r="L12" s="189">
        <v>14.36</v>
      </c>
      <c r="M12" s="189">
        <v>86.52</v>
      </c>
      <c r="N12" s="189">
        <v>0</v>
      </c>
      <c r="O12" s="189">
        <v>0</v>
      </c>
      <c r="P12" s="189">
        <v>1.17</v>
      </c>
      <c r="Q12" s="189">
        <v>4.99</v>
      </c>
    </row>
    <row r="13" spans="1:21" customFormat="1">
      <c r="A13" s="6" t="s">
        <v>1587</v>
      </c>
      <c r="B13" s="189">
        <v>13.39</v>
      </c>
      <c r="C13" s="189">
        <v>31.06</v>
      </c>
      <c r="D13" s="189">
        <v>28.32</v>
      </c>
      <c r="E13" s="189">
        <v>6.49</v>
      </c>
      <c r="F13" s="189">
        <v>2.78</v>
      </c>
      <c r="G13" s="189">
        <v>138.30000000000001</v>
      </c>
      <c r="H13" s="189">
        <v>70</v>
      </c>
      <c r="I13" s="189">
        <v>12.54</v>
      </c>
      <c r="J13" s="189">
        <v>0.09</v>
      </c>
      <c r="K13" s="189">
        <v>204.09</v>
      </c>
      <c r="L13" s="189">
        <v>14.49</v>
      </c>
      <c r="M13" s="189">
        <v>83.72</v>
      </c>
      <c r="N13" s="189">
        <v>0</v>
      </c>
      <c r="O13" s="189">
        <v>0</v>
      </c>
      <c r="P13" s="189">
        <v>1.1599999999999999</v>
      </c>
      <c r="Q13" s="189">
        <v>5.05</v>
      </c>
    </row>
    <row r="14" spans="1:21" customFormat="1">
      <c r="A14" s="6" t="s">
        <v>1588</v>
      </c>
      <c r="B14" s="189">
        <v>19.41</v>
      </c>
      <c r="C14" s="189">
        <v>32.24</v>
      </c>
      <c r="D14" s="189">
        <v>33.76</v>
      </c>
      <c r="E14" s="189">
        <v>6.47</v>
      </c>
      <c r="F14" s="189">
        <v>2.58</v>
      </c>
      <c r="G14" s="189">
        <v>138.30000000000001</v>
      </c>
      <c r="H14" s="189">
        <v>70</v>
      </c>
      <c r="I14" s="189">
        <v>12.5</v>
      </c>
      <c r="J14" s="189">
        <v>0.12</v>
      </c>
      <c r="K14" s="189">
        <v>161.43</v>
      </c>
      <c r="L14" s="189">
        <v>14.57</v>
      </c>
      <c r="M14" s="189">
        <v>85.1</v>
      </c>
      <c r="N14" s="189">
        <v>0</v>
      </c>
      <c r="O14" s="189">
        <v>0</v>
      </c>
      <c r="P14" s="189">
        <v>1.1499999999999999</v>
      </c>
      <c r="Q14" s="189">
        <v>5.13</v>
      </c>
    </row>
    <row r="15" spans="1:21" customFormat="1">
      <c r="A15" s="6" t="s">
        <v>1589</v>
      </c>
      <c r="B15" s="189">
        <v>24.01</v>
      </c>
      <c r="C15" s="189">
        <v>34.090000000000003</v>
      </c>
      <c r="D15" s="189">
        <v>38.42</v>
      </c>
      <c r="E15" s="189">
        <v>6.75</v>
      </c>
      <c r="F15" s="189">
        <v>2.52</v>
      </c>
      <c r="G15" s="189">
        <v>141.07</v>
      </c>
      <c r="H15" s="189">
        <v>67.84</v>
      </c>
      <c r="I15" s="189">
        <v>12.48</v>
      </c>
      <c r="J15" s="189">
        <v>0.1</v>
      </c>
      <c r="K15" s="189">
        <v>197.42</v>
      </c>
      <c r="L15" s="189">
        <v>14.48</v>
      </c>
      <c r="M15" s="189">
        <v>87.88</v>
      </c>
      <c r="N15" s="189">
        <v>0</v>
      </c>
      <c r="O15" s="189">
        <v>0</v>
      </c>
      <c r="P15" s="189">
        <v>1.17</v>
      </c>
      <c r="Q15" s="189">
        <v>5.22</v>
      </c>
    </row>
    <row r="16" spans="1:21" customFormat="1">
      <c r="A16" s="6" t="s">
        <v>1590</v>
      </c>
      <c r="B16" s="189">
        <v>26.9</v>
      </c>
      <c r="C16" s="189">
        <v>35.04</v>
      </c>
      <c r="D16" s="189">
        <v>41.23</v>
      </c>
      <c r="E16" s="189">
        <v>6.43</v>
      </c>
      <c r="F16" s="189">
        <v>2.57</v>
      </c>
      <c r="G16" s="189">
        <v>141.46</v>
      </c>
      <c r="H16" s="189">
        <v>67.84</v>
      </c>
      <c r="I16" s="189">
        <v>12.49</v>
      </c>
      <c r="J16" s="189">
        <v>0.12</v>
      </c>
      <c r="K16" s="189">
        <v>197.4</v>
      </c>
      <c r="L16" s="189">
        <v>14.31</v>
      </c>
      <c r="M16" s="189">
        <v>91.75</v>
      </c>
      <c r="N16" s="189">
        <v>0</v>
      </c>
      <c r="O16" s="189">
        <v>0</v>
      </c>
      <c r="P16" s="189">
        <v>1.17</v>
      </c>
      <c r="Q16" s="189">
        <v>5.3</v>
      </c>
    </row>
    <row r="17" spans="1:17" customFormat="1">
      <c r="A17" s="6" t="s">
        <v>1591</v>
      </c>
      <c r="B17" s="189">
        <v>27.84</v>
      </c>
      <c r="C17" s="189">
        <v>35.14</v>
      </c>
      <c r="D17" s="189">
        <v>42.04</v>
      </c>
      <c r="E17" s="189">
        <v>5.49</v>
      </c>
      <c r="F17" s="189">
        <v>2.5499999999999998</v>
      </c>
      <c r="G17" s="189">
        <v>141.46</v>
      </c>
      <c r="H17" s="189">
        <v>67.84</v>
      </c>
      <c r="I17" s="189">
        <v>12.52</v>
      </c>
      <c r="J17" s="189">
        <v>0.04</v>
      </c>
      <c r="K17" s="189">
        <v>197.89</v>
      </c>
      <c r="L17" s="189">
        <v>14.08</v>
      </c>
      <c r="M17" s="189">
        <v>92.1</v>
      </c>
      <c r="N17" s="189">
        <v>0</v>
      </c>
      <c r="O17" s="189">
        <v>0</v>
      </c>
      <c r="P17" s="189">
        <v>1.1599999999999999</v>
      </c>
      <c r="Q17" s="189">
        <v>5.34</v>
      </c>
    </row>
    <row r="18" spans="1:17" customFormat="1">
      <c r="A18" s="6" t="s">
        <v>1592</v>
      </c>
      <c r="B18" s="189">
        <v>30.21</v>
      </c>
      <c r="C18" s="189">
        <v>35.270000000000003</v>
      </c>
      <c r="D18" s="189">
        <v>44</v>
      </c>
      <c r="E18" s="189">
        <v>6.73</v>
      </c>
      <c r="F18" s="189">
        <v>2.54</v>
      </c>
      <c r="G18" s="189">
        <v>141.46</v>
      </c>
      <c r="H18" s="189">
        <v>67.84</v>
      </c>
      <c r="I18" s="189">
        <v>12.49</v>
      </c>
      <c r="J18" s="189">
        <v>0.01</v>
      </c>
      <c r="K18" s="189">
        <v>347.74</v>
      </c>
      <c r="L18" s="189">
        <v>13.99</v>
      </c>
      <c r="M18" s="189">
        <v>89.89</v>
      </c>
      <c r="N18" s="189">
        <v>0</v>
      </c>
      <c r="O18" s="189">
        <v>0</v>
      </c>
      <c r="P18" s="189">
        <v>1.1599999999999999</v>
      </c>
      <c r="Q18" s="189">
        <v>5.35</v>
      </c>
    </row>
    <row r="19" spans="1:17" customFormat="1">
      <c r="A19" s="6" t="s">
        <v>1593</v>
      </c>
      <c r="B19" s="189">
        <v>34.69</v>
      </c>
      <c r="C19" s="189">
        <v>36.01</v>
      </c>
      <c r="D19" s="189">
        <v>47.98</v>
      </c>
      <c r="E19" s="189">
        <v>6.97</v>
      </c>
      <c r="F19" s="189">
        <v>2.6</v>
      </c>
      <c r="G19" s="189">
        <v>131.91999999999999</v>
      </c>
      <c r="H19" s="189">
        <v>65.459999999999994</v>
      </c>
      <c r="I19" s="189">
        <v>12.41</v>
      </c>
      <c r="J19" s="189">
        <v>0.33</v>
      </c>
      <c r="K19" s="189">
        <v>33.03</v>
      </c>
      <c r="L19" s="189">
        <v>14.09</v>
      </c>
      <c r="M19" s="189">
        <v>85.35</v>
      </c>
      <c r="N19" s="189">
        <v>0</v>
      </c>
      <c r="O19" s="189">
        <v>0</v>
      </c>
      <c r="P19" s="189">
        <v>1.1599999999999999</v>
      </c>
      <c r="Q19" s="189">
        <v>5.42</v>
      </c>
    </row>
    <row r="20" spans="1:17" customFormat="1">
      <c r="A20" s="6" t="s">
        <v>1594</v>
      </c>
      <c r="B20" s="189">
        <v>36.549999999999997</v>
      </c>
      <c r="C20" s="189">
        <v>36.26</v>
      </c>
      <c r="D20" s="189">
        <v>49.61</v>
      </c>
      <c r="E20" s="189">
        <v>7.2</v>
      </c>
      <c r="F20" s="189">
        <v>2.46</v>
      </c>
      <c r="G20" s="189">
        <v>130.59</v>
      </c>
      <c r="H20" s="189">
        <v>65.459999999999994</v>
      </c>
      <c r="I20" s="189">
        <v>12.4</v>
      </c>
      <c r="J20" s="189">
        <v>0.19</v>
      </c>
      <c r="K20" s="189">
        <v>45.07</v>
      </c>
      <c r="L20" s="189">
        <v>14.36</v>
      </c>
      <c r="M20" s="189">
        <v>81.2</v>
      </c>
      <c r="N20" s="189">
        <v>0</v>
      </c>
      <c r="O20" s="189">
        <v>0</v>
      </c>
      <c r="P20" s="189">
        <v>1.17</v>
      </c>
      <c r="Q20" s="189">
        <v>5.46</v>
      </c>
    </row>
    <row r="21" spans="1:17" customFormat="1">
      <c r="A21" s="6" t="s">
        <v>1595</v>
      </c>
      <c r="B21" s="189">
        <v>36.01</v>
      </c>
      <c r="C21" s="189">
        <v>36.700000000000003</v>
      </c>
      <c r="D21" s="189">
        <v>49.41</v>
      </c>
      <c r="E21" s="189">
        <v>7.33</v>
      </c>
      <c r="F21" s="189">
        <v>2.5</v>
      </c>
      <c r="G21" s="189">
        <v>130.59</v>
      </c>
      <c r="H21" s="189">
        <v>65.459999999999994</v>
      </c>
      <c r="I21" s="189">
        <v>12.48</v>
      </c>
      <c r="J21" s="189">
        <v>0.1</v>
      </c>
      <c r="K21" s="189">
        <v>122.6</v>
      </c>
      <c r="L21" s="189">
        <v>14.43</v>
      </c>
      <c r="M21" s="189">
        <v>80.8</v>
      </c>
      <c r="N21" s="189">
        <v>0</v>
      </c>
      <c r="O21" s="189">
        <v>0</v>
      </c>
      <c r="P21" s="189">
        <v>1.18</v>
      </c>
      <c r="Q21" s="189">
        <v>5.47</v>
      </c>
    </row>
    <row r="22" spans="1:17" customFormat="1">
      <c r="A22" s="6" t="s">
        <v>1596</v>
      </c>
      <c r="B22" s="189">
        <v>34.659999999999997</v>
      </c>
      <c r="C22" s="189">
        <v>36.68</v>
      </c>
      <c r="D22" s="189">
        <v>48.31</v>
      </c>
      <c r="E22" s="189">
        <v>7.25</v>
      </c>
      <c r="F22" s="189">
        <v>2.63</v>
      </c>
      <c r="G22" s="189">
        <v>130.59</v>
      </c>
      <c r="H22" s="189">
        <v>65.459999999999994</v>
      </c>
      <c r="I22" s="189">
        <v>12.62</v>
      </c>
      <c r="J22" s="189">
        <v>0.11</v>
      </c>
      <c r="K22" s="189">
        <v>161.69999999999999</v>
      </c>
      <c r="L22" s="189">
        <v>14.17</v>
      </c>
      <c r="M22" s="189">
        <v>83.66</v>
      </c>
      <c r="N22" s="189">
        <v>0</v>
      </c>
      <c r="O22" s="189">
        <v>0</v>
      </c>
      <c r="P22" s="189">
        <v>1.17</v>
      </c>
      <c r="Q22" s="189">
        <v>5.49</v>
      </c>
    </row>
    <row r="23" spans="1:17" customFormat="1">
      <c r="A23" s="6" t="s">
        <v>1597</v>
      </c>
      <c r="B23" s="189">
        <v>33.03</v>
      </c>
      <c r="C23" s="189">
        <v>36.42</v>
      </c>
      <c r="D23" s="189">
        <v>46.86</v>
      </c>
      <c r="E23" s="189">
        <v>7.06</v>
      </c>
      <c r="F23" s="189">
        <v>2.57</v>
      </c>
      <c r="G23" s="189">
        <v>137.58000000000001</v>
      </c>
      <c r="H23" s="189">
        <v>69.489999999999995</v>
      </c>
      <c r="I23" s="189">
        <v>12.77</v>
      </c>
      <c r="J23" s="189">
        <v>0.08</v>
      </c>
      <c r="K23" s="189">
        <v>184.77</v>
      </c>
      <c r="L23" s="189">
        <v>13.9</v>
      </c>
      <c r="M23" s="189">
        <v>85.3</v>
      </c>
      <c r="N23" s="189">
        <v>0</v>
      </c>
      <c r="O23" s="189">
        <v>0</v>
      </c>
      <c r="P23" s="189">
        <v>1.17</v>
      </c>
      <c r="Q23" s="189">
        <v>5.47</v>
      </c>
    </row>
    <row r="24" spans="1:17" customFormat="1">
      <c r="A24" s="6" t="s">
        <v>1598</v>
      </c>
      <c r="B24" s="189">
        <v>31.73</v>
      </c>
      <c r="C24" s="189">
        <v>36.15</v>
      </c>
      <c r="D24" s="189">
        <v>45.69</v>
      </c>
      <c r="E24" s="189">
        <v>6.91</v>
      </c>
      <c r="F24" s="189">
        <v>2.56</v>
      </c>
      <c r="G24" s="189">
        <v>138.56</v>
      </c>
      <c r="H24" s="189">
        <v>69.489999999999995</v>
      </c>
      <c r="I24" s="189">
        <v>12.88</v>
      </c>
      <c r="J24" s="189">
        <v>0.12</v>
      </c>
      <c r="K24" s="189">
        <v>176.21</v>
      </c>
      <c r="L24" s="189">
        <v>13.79</v>
      </c>
      <c r="M24" s="189">
        <v>88.82</v>
      </c>
      <c r="N24" s="189">
        <v>0</v>
      </c>
      <c r="O24" s="189">
        <v>0</v>
      </c>
      <c r="P24" s="189">
        <v>1.1599999999999999</v>
      </c>
      <c r="Q24" s="189">
        <v>5.45</v>
      </c>
    </row>
    <row r="25" spans="1:17" customFormat="1">
      <c r="A25" s="6" t="s">
        <v>1599</v>
      </c>
      <c r="B25" s="189">
        <v>29.93</v>
      </c>
      <c r="C25" s="189">
        <v>35.479999999999997</v>
      </c>
      <c r="D25" s="189">
        <v>43.89</v>
      </c>
      <c r="E25" s="189">
        <v>6.39</v>
      </c>
      <c r="F25" s="189">
        <v>2.64</v>
      </c>
      <c r="G25" s="189">
        <v>138.56</v>
      </c>
      <c r="H25" s="189">
        <v>69.489999999999995</v>
      </c>
      <c r="I25" s="189">
        <v>12.94</v>
      </c>
      <c r="J25" s="189">
        <v>0.1</v>
      </c>
      <c r="K25" s="189">
        <v>162.5</v>
      </c>
      <c r="L25" s="189">
        <v>13.57</v>
      </c>
      <c r="M25" s="189">
        <v>90.1</v>
      </c>
      <c r="N25" s="189">
        <v>0</v>
      </c>
      <c r="O25" s="189">
        <v>0</v>
      </c>
      <c r="P25" s="189">
        <v>1.1399999999999999</v>
      </c>
      <c r="Q25" s="189">
        <v>5.41</v>
      </c>
    </row>
    <row r="26" spans="1:17" customFormat="1">
      <c r="A26" s="6" t="s">
        <v>1600</v>
      </c>
      <c r="B26" s="189">
        <v>28.61</v>
      </c>
      <c r="C26" s="189">
        <v>34.86</v>
      </c>
      <c r="D26" s="189">
        <v>42.51</v>
      </c>
      <c r="E26" s="189">
        <v>7.25</v>
      </c>
      <c r="F26" s="189">
        <v>2.65</v>
      </c>
      <c r="G26" s="189">
        <v>138.56</v>
      </c>
      <c r="H26" s="189">
        <v>69.489999999999995</v>
      </c>
      <c r="I26" s="189">
        <v>13</v>
      </c>
      <c r="J26" s="189">
        <v>0.1</v>
      </c>
      <c r="K26" s="189">
        <v>98.53</v>
      </c>
      <c r="L26" s="189">
        <v>13.39</v>
      </c>
      <c r="M26" s="189">
        <v>89.14</v>
      </c>
      <c r="N26" s="189">
        <v>0</v>
      </c>
      <c r="O26" s="189">
        <v>0</v>
      </c>
      <c r="P26" s="189">
        <v>1.1299999999999999</v>
      </c>
      <c r="Q26" s="189">
        <v>5.37</v>
      </c>
    </row>
    <row r="27" spans="1:17" customFormat="1">
      <c r="A27" s="6" t="s">
        <v>1601</v>
      </c>
      <c r="B27" s="189">
        <v>29.46</v>
      </c>
      <c r="C27" s="189">
        <v>35.65</v>
      </c>
      <c r="D27" s="189">
        <v>43.6</v>
      </c>
      <c r="E27" s="189">
        <v>6.73</v>
      </c>
      <c r="F27" s="189">
        <v>2.57</v>
      </c>
      <c r="G27" s="189">
        <v>132.97999999999999</v>
      </c>
      <c r="H27" s="189">
        <v>71.63</v>
      </c>
      <c r="I27" s="189">
        <v>13.07</v>
      </c>
      <c r="J27" s="189">
        <v>0.2</v>
      </c>
      <c r="K27" s="189">
        <v>152.82</v>
      </c>
      <c r="L27" s="189">
        <v>13.82</v>
      </c>
      <c r="M27" s="189">
        <v>85.43</v>
      </c>
      <c r="N27" s="189">
        <v>0</v>
      </c>
      <c r="O27" s="189">
        <v>0</v>
      </c>
      <c r="P27" s="189">
        <v>1.1299999999999999</v>
      </c>
      <c r="Q27" s="189">
        <v>5.38</v>
      </c>
    </row>
    <row r="28" spans="1:17" customFormat="1">
      <c r="A28" s="6" t="s">
        <v>1602</v>
      </c>
      <c r="B28" s="189">
        <v>29.89</v>
      </c>
      <c r="C28" s="189">
        <v>35.47</v>
      </c>
      <c r="D28" s="189">
        <v>43.85</v>
      </c>
      <c r="E28" s="189">
        <v>6.85</v>
      </c>
      <c r="F28" s="189">
        <v>2.63</v>
      </c>
      <c r="G28" s="189">
        <v>132.21</v>
      </c>
      <c r="H28" s="189">
        <v>71.63</v>
      </c>
      <c r="I28" s="189">
        <v>13.11</v>
      </c>
      <c r="J28" s="189">
        <v>0.1</v>
      </c>
      <c r="K28" s="189">
        <v>141.38999999999999</v>
      </c>
      <c r="L28" s="189">
        <v>14.1</v>
      </c>
      <c r="M28" s="189">
        <v>84.04</v>
      </c>
      <c r="N28" s="189">
        <v>0</v>
      </c>
      <c r="O28" s="189">
        <v>0</v>
      </c>
      <c r="P28" s="189">
        <v>1.1200000000000001</v>
      </c>
      <c r="Q28" s="189">
        <v>5.39</v>
      </c>
    </row>
    <row r="29" spans="1:17" customFormat="1">
      <c r="A29" s="6" t="s">
        <v>1603</v>
      </c>
      <c r="B29" s="189">
        <v>29.42</v>
      </c>
      <c r="C29" s="189">
        <v>35.22</v>
      </c>
      <c r="D29" s="189">
        <v>43.35</v>
      </c>
      <c r="E29" s="189">
        <v>6.57</v>
      </c>
      <c r="F29" s="189">
        <v>2.59</v>
      </c>
      <c r="G29" s="189">
        <v>132.21</v>
      </c>
      <c r="H29" s="189">
        <v>71.63</v>
      </c>
      <c r="I29" s="189">
        <v>13.1</v>
      </c>
      <c r="J29" s="189">
        <v>0.08</v>
      </c>
      <c r="K29" s="189">
        <v>55.9</v>
      </c>
      <c r="L29" s="189">
        <v>14.17</v>
      </c>
      <c r="M29" s="189">
        <v>85.08</v>
      </c>
      <c r="N29" s="189">
        <v>0</v>
      </c>
      <c r="O29" s="189">
        <v>0</v>
      </c>
      <c r="P29" s="189">
        <v>1.1100000000000001</v>
      </c>
      <c r="Q29" s="189">
        <v>5.39</v>
      </c>
    </row>
    <row r="30" spans="1:17" customFormat="1">
      <c r="A30" s="6" t="s">
        <v>1604</v>
      </c>
      <c r="B30" s="189">
        <v>29.4</v>
      </c>
      <c r="C30" s="189">
        <v>35.11</v>
      </c>
      <c r="D30" s="189">
        <v>43.27</v>
      </c>
      <c r="E30" s="189">
        <v>6.84</v>
      </c>
      <c r="F30" s="189">
        <v>2.58</v>
      </c>
      <c r="G30" s="189">
        <v>132.21</v>
      </c>
      <c r="H30" s="189">
        <v>71.63</v>
      </c>
      <c r="I30" s="189">
        <v>13.04</v>
      </c>
      <c r="J30" s="189">
        <v>0.18</v>
      </c>
      <c r="K30" s="189">
        <v>64.27</v>
      </c>
      <c r="L30" s="189">
        <v>14.4</v>
      </c>
      <c r="M30" s="189">
        <v>81.64</v>
      </c>
      <c r="N30" s="189">
        <v>0</v>
      </c>
      <c r="O30" s="189">
        <v>0</v>
      </c>
      <c r="P30" s="189">
        <v>1.1000000000000001</v>
      </c>
      <c r="Q30" s="189">
        <v>5.36</v>
      </c>
    </row>
    <row r="31" spans="1:17" customFormat="1">
      <c r="A31" s="6" t="s">
        <v>1605</v>
      </c>
      <c r="B31" s="189">
        <v>29.42</v>
      </c>
      <c r="C31" s="189">
        <v>35.270000000000003</v>
      </c>
      <c r="D31" s="189">
        <v>43.37</v>
      </c>
      <c r="E31" s="189">
        <v>7.31</v>
      </c>
      <c r="F31" s="189">
        <v>2.57</v>
      </c>
      <c r="G31" s="189">
        <v>134.78</v>
      </c>
      <c r="H31" s="189">
        <v>69.97</v>
      </c>
      <c r="I31" s="189">
        <v>12.98</v>
      </c>
      <c r="J31" s="189">
        <v>0.17</v>
      </c>
      <c r="K31" s="189">
        <v>35.520000000000003</v>
      </c>
      <c r="L31" s="189">
        <v>14.66</v>
      </c>
      <c r="M31" s="189">
        <v>79.459999999999994</v>
      </c>
      <c r="N31" s="189">
        <v>0</v>
      </c>
      <c r="O31" s="189">
        <v>0</v>
      </c>
      <c r="P31" s="189">
        <v>1.1000000000000001</v>
      </c>
      <c r="Q31" s="189">
        <v>5.38</v>
      </c>
    </row>
    <row r="32" spans="1:17" customFormat="1">
      <c r="A32" s="6" t="s">
        <v>1606</v>
      </c>
      <c r="B32" s="189">
        <v>29.28</v>
      </c>
      <c r="C32" s="189">
        <v>35.49</v>
      </c>
      <c r="D32" s="189">
        <v>43.37</v>
      </c>
      <c r="E32" s="189">
        <v>6.93</v>
      </c>
      <c r="F32" s="189">
        <v>2.69</v>
      </c>
      <c r="G32" s="189">
        <v>135.13999999999999</v>
      </c>
      <c r="H32" s="189">
        <v>69.97</v>
      </c>
      <c r="I32" s="189">
        <v>12.94</v>
      </c>
      <c r="J32" s="189">
        <v>0.08</v>
      </c>
      <c r="K32" s="189">
        <v>13.82</v>
      </c>
      <c r="L32" s="189">
        <v>14.79</v>
      </c>
      <c r="M32" s="189">
        <v>79.5</v>
      </c>
      <c r="N32" s="189">
        <v>0</v>
      </c>
      <c r="O32" s="189">
        <v>0</v>
      </c>
      <c r="P32" s="189">
        <v>1.0900000000000001</v>
      </c>
      <c r="Q32" s="189">
        <v>5.38</v>
      </c>
    </row>
    <row r="33" spans="1:17" customFormat="1">
      <c r="A33" s="6" t="s">
        <v>1607</v>
      </c>
      <c r="B33" s="189">
        <v>29.9</v>
      </c>
      <c r="C33" s="189">
        <v>36.44</v>
      </c>
      <c r="D33" s="189">
        <v>44.37</v>
      </c>
      <c r="E33" s="189">
        <v>7.06</v>
      </c>
      <c r="F33" s="189">
        <v>2.75</v>
      </c>
      <c r="G33" s="189">
        <v>135.13999999999999</v>
      </c>
      <c r="H33" s="189">
        <v>69.97</v>
      </c>
      <c r="I33" s="189">
        <v>12.97</v>
      </c>
      <c r="J33" s="189">
        <v>0.17</v>
      </c>
      <c r="K33" s="189">
        <v>122.09</v>
      </c>
      <c r="L33" s="189">
        <v>14.77</v>
      </c>
      <c r="M33" s="189">
        <v>79.44</v>
      </c>
      <c r="N33" s="189">
        <v>0</v>
      </c>
      <c r="O33" s="189">
        <v>0</v>
      </c>
      <c r="P33" s="189">
        <v>1.0900000000000001</v>
      </c>
      <c r="Q33" s="189">
        <v>5.39</v>
      </c>
    </row>
    <row r="34" spans="1:17" customFormat="1">
      <c r="A34" s="6" t="s">
        <v>1608</v>
      </c>
      <c r="B34" s="189">
        <v>29.39</v>
      </c>
      <c r="C34" s="189">
        <v>36.979999999999997</v>
      </c>
      <c r="D34" s="189">
        <v>44.24</v>
      </c>
      <c r="E34" s="189">
        <v>7.16</v>
      </c>
      <c r="F34" s="189">
        <v>2.63</v>
      </c>
      <c r="G34" s="189">
        <v>135.13999999999999</v>
      </c>
      <c r="H34" s="189">
        <v>69.97</v>
      </c>
      <c r="I34" s="189">
        <v>12.99</v>
      </c>
      <c r="J34" s="189">
        <v>0.17</v>
      </c>
      <c r="K34" s="189">
        <v>140.03</v>
      </c>
      <c r="L34" s="189">
        <v>15.04</v>
      </c>
      <c r="M34" s="189">
        <v>78.44</v>
      </c>
      <c r="N34" s="189">
        <v>0</v>
      </c>
      <c r="O34" s="189">
        <v>0</v>
      </c>
      <c r="P34" s="189">
        <v>1.0900000000000001</v>
      </c>
      <c r="Q34" s="189">
        <v>5.42</v>
      </c>
    </row>
    <row r="35" spans="1:17" customFormat="1">
      <c r="A35" s="6" t="s">
        <v>1609</v>
      </c>
      <c r="B35" s="189">
        <v>28.18</v>
      </c>
      <c r="C35" s="189">
        <v>37.159999999999997</v>
      </c>
      <c r="D35" s="189">
        <v>43.36</v>
      </c>
      <c r="E35" s="189">
        <v>7.28</v>
      </c>
      <c r="F35" s="189">
        <v>2.67</v>
      </c>
      <c r="G35" s="189">
        <v>137.31</v>
      </c>
      <c r="H35" s="189">
        <v>74.849999999999994</v>
      </c>
      <c r="I35" s="189">
        <v>12.99</v>
      </c>
      <c r="J35" s="189">
        <v>0.19</v>
      </c>
      <c r="K35" s="189">
        <v>50.7</v>
      </c>
      <c r="L35" s="189">
        <v>14.95</v>
      </c>
      <c r="M35" s="189">
        <v>78.12</v>
      </c>
      <c r="N35" s="189">
        <v>0</v>
      </c>
      <c r="O35" s="189">
        <v>0</v>
      </c>
      <c r="P35" s="189">
        <v>1.08</v>
      </c>
      <c r="Q35" s="189">
        <v>5.41</v>
      </c>
    </row>
    <row r="36" spans="1:17" customFormat="1">
      <c r="A36" s="6" t="s">
        <v>1610</v>
      </c>
      <c r="B36" s="189">
        <v>27.71</v>
      </c>
      <c r="C36" s="189">
        <v>37.69</v>
      </c>
      <c r="D36" s="189">
        <v>43.26</v>
      </c>
      <c r="E36" s="189">
        <v>6.74</v>
      </c>
      <c r="F36" s="189">
        <v>2.64</v>
      </c>
      <c r="G36" s="189">
        <v>137.61000000000001</v>
      </c>
      <c r="H36" s="189">
        <v>74.849999999999994</v>
      </c>
      <c r="I36" s="189">
        <v>12.95</v>
      </c>
      <c r="J36" s="189">
        <v>0.16</v>
      </c>
      <c r="K36" s="189">
        <v>60.29</v>
      </c>
      <c r="L36" s="189">
        <v>15.03</v>
      </c>
      <c r="M36" s="189">
        <v>78.2</v>
      </c>
      <c r="N36" s="189">
        <v>0.2</v>
      </c>
      <c r="O36" s="189">
        <v>0</v>
      </c>
      <c r="P36" s="189">
        <v>1.07</v>
      </c>
      <c r="Q36" s="189">
        <v>5.39</v>
      </c>
    </row>
    <row r="37" spans="1:17" customFormat="1">
      <c r="A37" s="6" t="s">
        <v>1611</v>
      </c>
      <c r="B37" s="189">
        <v>27.08</v>
      </c>
      <c r="C37" s="189">
        <v>37.86</v>
      </c>
      <c r="D37" s="189">
        <v>42.85</v>
      </c>
      <c r="E37" s="189">
        <v>7.47</v>
      </c>
      <c r="F37" s="189">
        <v>2.6</v>
      </c>
      <c r="G37" s="189">
        <v>137.61000000000001</v>
      </c>
      <c r="H37" s="189">
        <v>74.849999999999994</v>
      </c>
      <c r="I37" s="189">
        <v>12.98</v>
      </c>
      <c r="J37" s="189">
        <v>0.14000000000000001</v>
      </c>
      <c r="K37" s="189">
        <v>57.2</v>
      </c>
      <c r="L37" s="189">
        <v>14.98</v>
      </c>
      <c r="M37" s="189">
        <v>79.84</v>
      </c>
      <c r="N37" s="189">
        <v>4</v>
      </c>
      <c r="O37" s="189">
        <v>0</v>
      </c>
      <c r="P37" s="189">
        <v>1.07</v>
      </c>
      <c r="Q37" s="189">
        <v>5.35</v>
      </c>
    </row>
    <row r="38" spans="1:17" customFormat="1">
      <c r="A38" s="6" t="s">
        <v>1612</v>
      </c>
      <c r="B38" s="189">
        <v>27</v>
      </c>
      <c r="C38" s="189">
        <v>37.94</v>
      </c>
      <c r="D38" s="189">
        <v>42.83</v>
      </c>
      <c r="E38" s="189">
        <v>6.5</v>
      </c>
      <c r="F38" s="189">
        <v>2.57</v>
      </c>
      <c r="G38" s="189">
        <v>137.61000000000001</v>
      </c>
      <c r="H38" s="189">
        <v>74.849999999999994</v>
      </c>
      <c r="I38" s="189">
        <v>13.04</v>
      </c>
      <c r="J38" s="189">
        <v>0.15</v>
      </c>
      <c r="K38" s="189">
        <v>88.57</v>
      </c>
      <c r="L38" s="189">
        <v>15.19</v>
      </c>
      <c r="M38" s="189">
        <v>78.790000000000006</v>
      </c>
      <c r="N38" s="189">
        <v>10.8</v>
      </c>
      <c r="O38" s="189">
        <v>0</v>
      </c>
      <c r="P38" s="189">
        <v>1.08</v>
      </c>
      <c r="Q38" s="189">
        <v>5.37</v>
      </c>
    </row>
    <row r="39" spans="1:17" customFormat="1">
      <c r="A39" s="6" t="s">
        <v>1613</v>
      </c>
      <c r="B39" s="189">
        <v>26.18</v>
      </c>
      <c r="C39" s="189">
        <v>37.729999999999997</v>
      </c>
      <c r="D39" s="189">
        <v>42.06</v>
      </c>
      <c r="E39" s="189">
        <v>7.39</v>
      </c>
      <c r="F39" s="189">
        <v>2.5499999999999998</v>
      </c>
      <c r="G39" s="189">
        <v>139.08000000000001</v>
      </c>
      <c r="H39" s="189">
        <v>73.95</v>
      </c>
      <c r="I39" s="189">
        <v>13.14</v>
      </c>
      <c r="J39" s="189">
        <v>0.22</v>
      </c>
      <c r="K39" s="189">
        <v>68.13</v>
      </c>
      <c r="L39" s="189">
        <v>15.42</v>
      </c>
      <c r="M39" s="189">
        <v>76.27</v>
      </c>
      <c r="N39" s="189">
        <v>16.399999999999999</v>
      </c>
      <c r="O39" s="189">
        <v>0</v>
      </c>
      <c r="P39" s="189">
        <v>1.08</v>
      </c>
      <c r="Q39" s="189">
        <v>5.37</v>
      </c>
    </row>
    <row r="40" spans="1:17" customFormat="1">
      <c r="A40" s="6" t="s">
        <v>1614</v>
      </c>
      <c r="B40" s="189">
        <v>24.73</v>
      </c>
      <c r="C40" s="189">
        <v>37.659999999999997</v>
      </c>
      <c r="D40" s="189">
        <v>40.86</v>
      </c>
      <c r="E40" s="189">
        <v>6.97</v>
      </c>
      <c r="F40" s="189">
        <v>2.5499999999999998</v>
      </c>
      <c r="G40" s="189">
        <v>139.28</v>
      </c>
      <c r="H40" s="189">
        <v>73.95</v>
      </c>
      <c r="I40" s="189">
        <v>13.25</v>
      </c>
      <c r="J40" s="189">
        <v>0.2</v>
      </c>
      <c r="K40" s="189">
        <v>86.92</v>
      </c>
      <c r="L40" s="189">
        <v>15.74</v>
      </c>
      <c r="M40" s="189">
        <v>74.680000000000007</v>
      </c>
      <c r="N40" s="189">
        <v>23.2</v>
      </c>
      <c r="O40" s="189">
        <v>0</v>
      </c>
      <c r="P40" s="189">
        <v>1.08</v>
      </c>
      <c r="Q40" s="189">
        <v>5.34</v>
      </c>
    </row>
    <row r="41" spans="1:17" customFormat="1">
      <c r="A41" s="6" t="s">
        <v>1615</v>
      </c>
      <c r="B41" s="189">
        <v>23.41</v>
      </c>
      <c r="C41" s="189">
        <v>37.700000000000003</v>
      </c>
      <c r="D41" s="189">
        <v>39.82</v>
      </c>
      <c r="E41" s="189">
        <v>7.25</v>
      </c>
      <c r="F41" s="189">
        <v>2.76</v>
      </c>
      <c r="G41" s="189">
        <v>139.28</v>
      </c>
      <c r="H41" s="189">
        <v>73.95</v>
      </c>
      <c r="I41" s="189">
        <v>13.29</v>
      </c>
      <c r="J41" s="189">
        <v>0.26</v>
      </c>
      <c r="K41" s="189">
        <v>55.82</v>
      </c>
      <c r="L41" s="189">
        <v>15.89</v>
      </c>
      <c r="M41" s="189">
        <v>74.56</v>
      </c>
      <c r="N41" s="189">
        <v>33.200000000000003</v>
      </c>
      <c r="O41" s="189">
        <v>0</v>
      </c>
      <c r="P41" s="189">
        <v>1.06</v>
      </c>
      <c r="Q41" s="189">
        <v>5.31</v>
      </c>
    </row>
    <row r="42" spans="1:17" customFormat="1">
      <c r="A42" s="6" t="s">
        <v>1616</v>
      </c>
      <c r="B42" s="189">
        <v>21.98</v>
      </c>
      <c r="C42" s="189">
        <v>37.700000000000003</v>
      </c>
      <c r="D42" s="189">
        <v>38.67</v>
      </c>
      <c r="E42" s="189">
        <v>6.72</v>
      </c>
      <c r="F42" s="189">
        <v>2.72</v>
      </c>
      <c r="G42" s="189">
        <v>139.28</v>
      </c>
      <c r="H42" s="189">
        <v>73.95</v>
      </c>
      <c r="I42" s="189">
        <v>13.28</v>
      </c>
      <c r="J42" s="189">
        <v>0.26</v>
      </c>
      <c r="K42" s="189">
        <v>82.69</v>
      </c>
      <c r="L42" s="189">
        <v>16.190000000000001</v>
      </c>
      <c r="M42" s="189">
        <v>73.05</v>
      </c>
      <c r="N42" s="189">
        <v>53.4</v>
      </c>
      <c r="O42" s="189">
        <v>0</v>
      </c>
      <c r="P42" s="189">
        <v>1.06</v>
      </c>
      <c r="Q42" s="189">
        <v>5.3</v>
      </c>
    </row>
    <row r="43" spans="1:17" customFormat="1">
      <c r="A43" s="6" t="s">
        <v>1617</v>
      </c>
      <c r="B43" s="189">
        <v>20.09</v>
      </c>
      <c r="C43" s="189">
        <v>37.53</v>
      </c>
      <c r="D43" s="189">
        <v>37.07</v>
      </c>
      <c r="E43" s="189">
        <v>7.18</v>
      </c>
      <c r="F43" s="189">
        <v>2.77</v>
      </c>
      <c r="G43" s="189">
        <v>136.56</v>
      </c>
      <c r="H43" s="189">
        <v>72.72</v>
      </c>
      <c r="I43" s="189">
        <v>13.23</v>
      </c>
      <c r="J43" s="189">
        <v>0.18</v>
      </c>
      <c r="K43" s="189">
        <v>106.51</v>
      </c>
      <c r="L43" s="189">
        <v>16.61</v>
      </c>
      <c r="M43" s="189">
        <v>72.16</v>
      </c>
      <c r="N43" s="189">
        <v>62.5</v>
      </c>
      <c r="O43" s="189">
        <v>0</v>
      </c>
      <c r="P43" s="189">
        <v>1.05</v>
      </c>
      <c r="Q43" s="189">
        <v>5.26</v>
      </c>
    </row>
    <row r="44" spans="1:17" customFormat="1">
      <c r="A44" s="6" t="s">
        <v>1618</v>
      </c>
      <c r="B44" s="189">
        <v>18</v>
      </c>
      <c r="C44" s="189">
        <v>36.82</v>
      </c>
      <c r="D44" s="189">
        <v>35.020000000000003</v>
      </c>
      <c r="E44" s="189">
        <v>7.14</v>
      </c>
      <c r="F44" s="189">
        <v>2.78</v>
      </c>
      <c r="G44" s="189">
        <v>136.18</v>
      </c>
      <c r="H44" s="189">
        <v>72.72</v>
      </c>
      <c r="I44" s="189">
        <v>13.09</v>
      </c>
      <c r="J44" s="189">
        <v>0.14000000000000001</v>
      </c>
      <c r="K44" s="189">
        <v>192</v>
      </c>
      <c r="L44" s="189">
        <v>17.23</v>
      </c>
      <c r="M44" s="189">
        <v>71.05</v>
      </c>
      <c r="N44" s="189">
        <v>80.400000000000006</v>
      </c>
      <c r="O44" s="189">
        <v>0</v>
      </c>
      <c r="P44" s="189">
        <v>1.04</v>
      </c>
      <c r="Q44" s="189">
        <v>5.23</v>
      </c>
    </row>
    <row r="45" spans="1:17" customFormat="1">
      <c r="A45" s="6" t="s">
        <v>1619</v>
      </c>
      <c r="B45" s="189">
        <v>15.98</v>
      </c>
      <c r="C45" s="189">
        <v>36.130000000000003</v>
      </c>
      <c r="D45" s="189">
        <v>33.04</v>
      </c>
      <c r="E45" s="189">
        <v>6.95</v>
      </c>
      <c r="F45" s="189">
        <v>2.84</v>
      </c>
      <c r="G45" s="189">
        <v>136.18</v>
      </c>
      <c r="H45" s="189">
        <v>72.72</v>
      </c>
      <c r="I45" s="189">
        <v>12.92</v>
      </c>
      <c r="J45" s="189">
        <v>0.23</v>
      </c>
      <c r="K45" s="189">
        <v>162.5</v>
      </c>
      <c r="L45" s="189">
        <v>17.96</v>
      </c>
      <c r="M45" s="189">
        <v>68.239999999999995</v>
      </c>
      <c r="N45" s="189">
        <v>76</v>
      </c>
      <c r="O45" s="189">
        <v>0</v>
      </c>
      <c r="P45" s="189">
        <v>1.04</v>
      </c>
      <c r="Q45" s="189">
        <v>5.2</v>
      </c>
    </row>
    <row r="46" spans="1:17" customFormat="1">
      <c r="A46" s="6" t="s">
        <v>1620</v>
      </c>
      <c r="B46" s="189">
        <v>14.16</v>
      </c>
      <c r="C46" s="189">
        <v>35.61</v>
      </c>
      <c r="D46" s="189">
        <v>31.31</v>
      </c>
      <c r="E46" s="189">
        <v>7.05</v>
      </c>
      <c r="F46" s="189">
        <v>2.88</v>
      </c>
      <c r="G46" s="189">
        <v>136.18</v>
      </c>
      <c r="H46" s="189">
        <v>72.72</v>
      </c>
      <c r="I46" s="189">
        <v>13.06</v>
      </c>
      <c r="J46" s="189">
        <v>0.1</v>
      </c>
      <c r="K46" s="189">
        <v>155.65</v>
      </c>
      <c r="L46" s="189">
        <v>18.420000000000002</v>
      </c>
      <c r="M46" s="189">
        <v>65.64</v>
      </c>
      <c r="N46" s="189">
        <v>130.30000000000001</v>
      </c>
      <c r="O46" s="189">
        <v>0</v>
      </c>
      <c r="P46" s="189">
        <v>1.02</v>
      </c>
      <c r="Q46" s="189">
        <v>5.16</v>
      </c>
    </row>
    <row r="47" spans="1:17" customFormat="1">
      <c r="A47" s="6" t="s">
        <v>1621</v>
      </c>
      <c r="B47" s="189">
        <v>12.43</v>
      </c>
      <c r="C47" s="189">
        <v>35.159999999999997</v>
      </c>
      <c r="D47" s="189">
        <v>29.69</v>
      </c>
      <c r="E47" s="189">
        <v>7.16</v>
      </c>
      <c r="F47" s="189">
        <v>3.07</v>
      </c>
      <c r="G47" s="189">
        <v>128.76</v>
      </c>
      <c r="H47" s="189">
        <v>68.67</v>
      </c>
      <c r="I47" s="189">
        <v>13.29</v>
      </c>
      <c r="J47" s="189">
        <v>0.26</v>
      </c>
      <c r="K47" s="189">
        <v>79.11</v>
      </c>
      <c r="L47" s="189">
        <v>19.760000000000002</v>
      </c>
      <c r="M47" s="189">
        <v>60.65</v>
      </c>
      <c r="N47" s="189">
        <v>154.80000000000001</v>
      </c>
      <c r="O47" s="189">
        <v>0</v>
      </c>
      <c r="P47" s="189">
        <v>1.01</v>
      </c>
      <c r="Q47" s="189">
        <v>5.1100000000000003</v>
      </c>
    </row>
    <row r="48" spans="1:17" customFormat="1">
      <c r="A48" s="6" t="s">
        <v>1622</v>
      </c>
      <c r="B48" s="189">
        <v>10.92</v>
      </c>
      <c r="C48" s="189">
        <v>34.770000000000003</v>
      </c>
      <c r="D48" s="189">
        <v>28.27</v>
      </c>
      <c r="E48" s="189">
        <v>7.34</v>
      </c>
      <c r="F48" s="189">
        <v>2.97</v>
      </c>
      <c r="G48" s="189">
        <v>127.73</v>
      </c>
      <c r="H48" s="189">
        <v>68.67</v>
      </c>
      <c r="I48" s="189">
        <v>13.21</v>
      </c>
      <c r="J48" s="189">
        <v>0.27</v>
      </c>
      <c r="K48" s="189">
        <v>79.84</v>
      </c>
      <c r="L48" s="189">
        <v>20.239999999999998</v>
      </c>
      <c r="M48" s="189">
        <v>58.27</v>
      </c>
      <c r="N48" s="189">
        <v>135.1</v>
      </c>
      <c r="O48" s="189">
        <v>0</v>
      </c>
      <c r="P48" s="189">
        <v>1</v>
      </c>
      <c r="Q48" s="189">
        <v>5.0999999999999996</v>
      </c>
    </row>
    <row r="49" spans="1:17" customFormat="1">
      <c r="A49" s="6" t="s">
        <v>1623</v>
      </c>
      <c r="B49" s="189">
        <v>9.61</v>
      </c>
      <c r="C49" s="189">
        <v>34.82</v>
      </c>
      <c r="D49" s="189">
        <v>27.25</v>
      </c>
      <c r="E49" s="189">
        <v>4.57</v>
      </c>
      <c r="F49" s="189">
        <v>3.02</v>
      </c>
      <c r="G49" s="189">
        <v>127.73</v>
      </c>
      <c r="H49" s="189">
        <v>68.67</v>
      </c>
      <c r="I49" s="189">
        <v>13.03</v>
      </c>
      <c r="J49" s="189">
        <v>0.22</v>
      </c>
      <c r="K49" s="189">
        <v>90.12</v>
      </c>
      <c r="L49" s="189">
        <v>20.29</v>
      </c>
      <c r="M49" s="189">
        <v>57.02</v>
      </c>
      <c r="N49" s="189">
        <v>117.6</v>
      </c>
      <c r="O49" s="189">
        <v>0</v>
      </c>
      <c r="P49" s="189">
        <v>0.99</v>
      </c>
      <c r="Q49" s="189">
        <v>5.0599999999999996</v>
      </c>
    </row>
    <row r="50" spans="1:17" customFormat="1">
      <c r="A50" s="6" t="s">
        <v>1624</v>
      </c>
      <c r="B50" s="189">
        <v>8.34</v>
      </c>
      <c r="C50" s="189">
        <v>34.409999999999997</v>
      </c>
      <c r="D50" s="189">
        <v>26.02</v>
      </c>
      <c r="E50" s="189">
        <v>5.34</v>
      </c>
      <c r="F50" s="189">
        <v>3.28</v>
      </c>
      <c r="G50" s="189">
        <v>127.73</v>
      </c>
      <c r="H50" s="189">
        <v>68.67</v>
      </c>
      <c r="I50" s="189">
        <v>12.82</v>
      </c>
      <c r="J50" s="189">
        <v>0.16</v>
      </c>
      <c r="K50" s="189">
        <v>176.44</v>
      </c>
      <c r="L50" s="189">
        <v>20.55</v>
      </c>
      <c r="M50" s="189">
        <v>57.26</v>
      </c>
      <c r="N50" s="189">
        <v>133.30000000000001</v>
      </c>
      <c r="O50" s="189">
        <v>0</v>
      </c>
      <c r="P50" s="189">
        <v>0.97</v>
      </c>
      <c r="Q50" s="189">
        <v>5.04</v>
      </c>
    </row>
    <row r="51" spans="1:17" customFormat="1">
      <c r="A51" s="6" t="s">
        <v>1625</v>
      </c>
      <c r="B51" s="189">
        <v>7.27</v>
      </c>
      <c r="C51" s="189">
        <v>33.619999999999997</v>
      </c>
      <c r="D51" s="189">
        <v>24.75</v>
      </c>
      <c r="E51" s="189">
        <v>5.48</v>
      </c>
      <c r="F51" s="189">
        <v>3.23</v>
      </c>
      <c r="G51" s="189">
        <v>126.63</v>
      </c>
      <c r="H51" s="189">
        <v>66.95</v>
      </c>
      <c r="I51" s="189">
        <v>12.59</v>
      </c>
      <c r="J51" s="189">
        <v>0.17</v>
      </c>
      <c r="K51" s="189">
        <v>131.52000000000001</v>
      </c>
      <c r="L51" s="189">
        <v>21.46</v>
      </c>
      <c r="M51" s="189">
        <v>53.68</v>
      </c>
      <c r="N51" s="189">
        <v>295.2</v>
      </c>
      <c r="O51" s="189">
        <v>0</v>
      </c>
      <c r="P51" s="189">
        <v>0.96</v>
      </c>
      <c r="Q51" s="189">
        <v>5</v>
      </c>
    </row>
    <row r="52" spans="1:17" customFormat="1">
      <c r="A52" s="6" t="s">
        <v>1626</v>
      </c>
      <c r="B52" s="189">
        <v>6.47</v>
      </c>
      <c r="C52" s="189">
        <v>32.25</v>
      </c>
      <c r="D52" s="189">
        <v>23.39</v>
      </c>
      <c r="E52" s="189">
        <v>5.04</v>
      </c>
      <c r="F52" s="189">
        <v>3.35</v>
      </c>
      <c r="G52" s="189">
        <v>126.48</v>
      </c>
      <c r="H52" s="189">
        <v>66.95</v>
      </c>
      <c r="I52" s="189">
        <v>12.32</v>
      </c>
      <c r="J52" s="189">
        <v>0.26</v>
      </c>
      <c r="K52" s="189">
        <v>198.75</v>
      </c>
      <c r="L52" s="189">
        <v>22.42</v>
      </c>
      <c r="M52" s="189">
        <v>49.61</v>
      </c>
      <c r="N52" s="189">
        <v>462.3</v>
      </c>
      <c r="O52" s="189">
        <v>0</v>
      </c>
      <c r="P52" s="189">
        <v>0.94</v>
      </c>
      <c r="Q52" s="189">
        <v>4.96</v>
      </c>
    </row>
    <row r="53" spans="1:17" customFormat="1">
      <c r="A53" s="6" t="s">
        <v>1627</v>
      </c>
      <c r="B53" s="189">
        <v>6.05</v>
      </c>
      <c r="C53" s="189">
        <v>29.83</v>
      </c>
      <c r="D53" s="189">
        <v>21.79</v>
      </c>
      <c r="E53" s="189">
        <v>4.71</v>
      </c>
      <c r="F53" s="189">
        <v>3.47</v>
      </c>
      <c r="G53" s="189">
        <v>126.48</v>
      </c>
      <c r="H53" s="189">
        <v>66.95</v>
      </c>
      <c r="I53" s="189">
        <v>12.08</v>
      </c>
      <c r="J53" s="189">
        <v>0.25</v>
      </c>
      <c r="K53" s="189">
        <v>102.31</v>
      </c>
      <c r="L53" s="189">
        <v>23.09</v>
      </c>
      <c r="M53" s="189">
        <v>47.47</v>
      </c>
      <c r="N53" s="189">
        <v>352.8</v>
      </c>
      <c r="O53" s="189">
        <v>0</v>
      </c>
      <c r="P53" s="189">
        <v>0.91</v>
      </c>
      <c r="Q53" s="189">
        <v>4.96</v>
      </c>
    </row>
    <row r="54" spans="1:17" customFormat="1">
      <c r="A54" s="6" t="s">
        <v>1628</v>
      </c>
      <c r="B54" s="189">
        <v>5.74</v>
      </c>
      <c r="C54" s="189">
        <v>27.71</v>
      </c>
      <c r="D54" s="189">
        <v>20.43</v>
      </c>
      <c r="E54" s="189">
        <v>4.71</v>
      </c>
      <c r="F54" s="189">
        <v>3.5</v>
      </c>
      <c r="G54" s="189">
        <v>126.48</v>
      </c>
      <c r="H54" s="189">
        <v>66.95</v>
      </c>
      <c r="I54" s="189">
        <v>11.86</v>
      </c>
      <c r="J54" s="189">
        <v>0.3</v>
      </c>
      <c r="K54" s="189">
        <v>171.64</v>
      </c>
      <c r="L54" s="189">
        <v>23.21</v>
      </c>
      <c r="M54" s="189">
        <v>46.3</v>
      </c>
      <c r="N54" s="189">
        <v>289.39999999999998</v>
      </c>
      <c r="O54" s="189">
        <v>0</v>
      </c>
      <c r="P54" s="189">
        <v>0.88</v>
      </c>
      <c r="Q54" s="189">
        <v>4.9400000000000004</v>
      </c>
    </row>
    <row r="55" spans="1:17" customFormat="1">
      <c r="A55" s="6" t="s">
        <v>1629</v>
      </c>
      <c r="B55" s="189">
        <v>5.33</v>
      </c>
      <c r="C55" s="189">
        <v>27.05</v>
      </c>
      <c r="D55" s="189">
        <v>19.760000000000002</v>
      </c>
      <c r="E55" s="189">
        <v>4.79</v>
      </c>
      <c r="F55" s="189">
        <v>3.5</v>
      </c>
      <c r="G55" s="189">
        <v>106.2</v>
      </c>
      <c r="H55" s="189">
        <v>56.64</v>
      </c>
      <c r="I55" s="189">
        <v>11.65</v>
      </c>
      <c r="J55" s="189">
        <v>0.21</v>
      </c>
      <c r="K55" s="189">
        <v>155.1</v>
      </c>
      <c r="L55" s="189">
        <v>23.19</v>
      </c>
      <c r="M55" s="189">
        <v>46.28</v>
      </c>
      <c r="N55" s="189">
        <v>279.89999999999998</v>
      </c>
      <c r="O55" s="189">
        <v>0</v>
      </c>
      <c r="P55" s="189">
        <v>0.87</v>
      </c>
      <c r="Q55" s="189">
        <v>4.9400000000000004</v>
      </c>
    </row>
    <row r="56" spans="1:17" customFormat="1">
      <c r="A56" s="6" t="s">
        <v>1630</v>
      </c>
      <c r="B56" s="189">
        <v>5.1100000000000003</v>
      </c>
      <c r="C56" s="189">
        <v>26.42</v>
      </c>
      <c r="D56" s="189">
        <v>19.260000000000002</v>
      </c>
      <c r="E56" s="189">
        <v>4.83</v>
      </c>
      <c r="F56" s="189">
        <v>3.51</v>
      </c>
      <c r="G56" s="189">
        <v>103.38</v>
      </c>
      <c r="H56" s="189">
        <v>56.64</v>
      </c>
      <c r="I56" s="189">
        <v>11.46</v>
      </c>
      <c r="J56" s="189">
        <v>0.22</v>
      </c>
      <c r="K56" s="189">
        <v>186.22</v>
      </c>
      <c r="L56" s="189">
        <v>24.04</v>
      </c>
      <c r="M56" s="189">
        <v>44.54</v>
      </c>
      <c r="N56" s="189">
        <v>407.7</v>
      </c>
      <c r="O56" s="189">
        <v>0</v>
      </c>
      <c r="P56" s="189">
        <v>0.85</v>
      </c>
      <c r="Q56" s="189">
        <v>4.91</v>
      </c>
    </row>
    <row r="57" spans="1:17" customFormat="1">
      <c r="A57" s="6" t="s">
        <v>1631</v>
      </c>
      <c r="B57" s="189">
        <v>5</v>
      </c>
      <c r="C57" s="189">
        <v>26.26</v>
      </c>
      <c r="D57" s="189">
        <v>19.079999999999998</v>
      </c>
      <c r="E57" s="189">
        <v>5.1100000000000003</v>
      </c>
      <c r="F57" s="189">
        <v>3.43</v>
      </c>
      <c r="G57" s="189">
        <v>103.38</v>
      </c>
      <c r="H57" s="189">
        <v>56.64</v>
      </c>
      <c r="I57" s="189">
        <v>11.29</v>
      </c>
      <c r="J57" s="189">
        <v>0.33</v>
      </c>
      <c r="K57" s="189">
        <v>134.34</v>
      </c>
      <c r="L57" s="189">
        <v>24.66</v>
      </c>
      <c r="M57" s="189">
        <v>42.23</v>
      </c>
      <c r="N57" s="189">
        <v>493.1</v>
      </c>
      <c r="O57" s="189">
        <v>0</v>
      </c>
      <c r="P57" s="189">
        <v>0.84</v>
      </c>
      <c r="Q57" s="189">
        <v>4.9000000000000004</v>
      </c>
    </row>
    <row r="58" spans="1:17" customFormat="1">
      <c r="A58" s="6" t="s">
        <v>1632</v>
      </c>
      <c r="B58" s="189">
        <v>4.8499999999999996</v>
      </c>
      <c r="C58" s="189">
        <v>25.31</v>
      </c>
      <c r="D58" s="189">
        <v>18.46</v>
      </c>
      <c r="E58" s="189">
        <v>4.59</v>
      </c>
      <c r="F58" s="189">
        <v>3.62</v>
      </c>
      <c r="G58" s="189">
        <v>103.38</v>
      </c>
      <c r="H58" s="189">
        <v>56.64</v>
      </c>
      <c r="I58" s="189">
        <v>11.1</v>
      </c>
      <c r="J58" s="189">
        <v>0.16</v>
      </c>
      <c r="K58" s="189">
        <v>231.74</v>
      </c>
      <c r="L58" s="189">
        <v>24.79</v>
      </c>
      <c r="M58" s="189">
        <v>42.07</v>
      </c>
      <c r="N58" s="189">
        <v>498.7</v>
      </c>
      <c r="O58" s="189">
        <v>0</v>
      </c>
      <c r="P58" s="189">
        <v>0.83</v>
      </c>
      <c r="Q58" s="189">
        <v>4.91</v>
      </c>
    </row>
    <row r="59" spans="1:17" customFormat="1">
      <c r="A59" s="6" t="s">
        <v>1633</v>
      </c>
      <c r="B59" s="189">
        <v>4.6900000000000004</v>
      </c>
      <c r="C59" s="189">
        <v>24.75</v>
      </c>
      <c r="D59" s="189">
        <v>18.04</v>
      </c>
      <c r="E59" s="189">
        <v>4.97</v>
      </c>
      <c r="F59" s="189">
        <v>3.65</v>
      </c>
      <c r="G59" s="189">
        <v>90.98</v>
      </c>
      <c r="H59" s="189">
        <v>44.71</v>
      </c>
      <c r="I59" s="189">
        <v>10.91</v>
      </c>
      <c r="J59" s="189">
        <v>0.36</v>
      </c>
      <c r="K59" s="189">
        <v>82.19</v>
      </c>
      <c r="L59" s="189">
        <v>25.42</v>
      </c>
      <c r="M59" s="189">
        <v>38.94</v>
      </c>
      <c r="N59" s="189">
        <v>494</v>
      </c>
      <c r="O59" s="189">
        <v>0</v>
      </c>
      <c r="P59" s="189">
        <v>0.81</v>
      </c>
      <c r="Q59" s="189">
        <v>4.8899999999999997</v>
      </c>
    </row>
    <row r="60" spans="1:17" customFormat="1">
      <c r="A60" s="6" t="s">
        <v>1634</v>
      </c>
      <c r="B60" s="189">
        <v>4.6399999999999997</v>
      </c>
      <c r="C60" s="189">
        <v>24.26</v>
      </c>
      <c r="D60" s="189">
        <v>17.75</v>
      </c>
      <c r="E60" s="189">
        <v>5.45</v>
      </c>
      <c r="F60" s="189">
        <v>3.88</v>
      </c>
      <c r="G60" s="189">
        <v>89.25</v>
      </c>
      <c r="H60" s="189">
        <v>44.71</v>
      </c>
      <c r="I60" s="189">
        <v>10.71</v>
      </c>
      <c r="J60" s="189">
        <v>0.13</v>
      </c>
      <c r="K60" s="189">
        <v>130.93</v>
      </c>
      <c r="L60" s="189">
        <v>25.74</v>
      </c>
      <c r="M60" s="189">
        <v>37.53</v>
      </c>
      <c r="N60" s="189">
        <v>469.4</v>
      </c>
      <c r="O60" s="189">
        <v>0</v>
      </c>
      <c r="P60" s="189">
        <v>0.81</v>
      </c>
      <c r="Q60" s="189">
        <v>4.8899999999999997</v>
      </c>
    </row>
    <row r="61" spans="1:17" customFormat="1">
      <c r="A61" s="6" t="s">
        <v>1635</v>
      </c>
      <c r="B61" s="189">
        <v>4.53</v>
      </c>
      <c r="C61" s="189">
        <v>22.92</v>
      </c>
      <c r="D61" s="189">
        <v>16.96</v>
      </c>
      <c r="E61" s="189">
        <v>5.1100000000000003</v>
      </c>
      <c r="F61" s="189">
        <v>4.04</v>
      </c>
      <c r="G61" s="189">
        <v>89.25</v>
      </c>
      <c r="H61" s="189">
        <v>44.71</v>
      </c>
      <c r="I61" s="189">
        <v>10.51</v>
      </c>
      <c r="J61" s="189">
        <v>0.45</v>
      </c>
      <c r="K61" s="189">
        <v>174.17</v>
      </c>
      <c r="L61" s="189">
        <v>26.04</v>
      </c>
      <c r="M61" s="189">
        <v>36.54</v>
      </c>
      <c r="N61" s="189">
        <v>459.2</v>
      </c>
      <c r="O61" s="189">
        <v>0</v>
      </c>
      <c r="P61" s="189">
        <v>0.78</v>
      </c>
      <c r="Q61" s="189">
        <v>4.8899999999999997</v>
      </c>
    </row>
    <row r="62" spans="1:17" customFormat="1">
      <c r="A62" s="6" t="s">
        <v>1636</v>
      </c>
      <c r="B62" s="189">
        <v>4.43</v>
      </c>
      <c r="C62" s="189">
        <v>21.81</v>
      </c>
      <c r="D62" s="189">
        <v>16.3</v>
      </c>
      <c r="E62" s="189">
        <v>5.22</v>
      </c>
      <c r="F62" s="189">
        <v>4.13</v>
      </c>
      <c r="G62" s="189">
        <v>89.25</v>
      </c>
      <c r="H62" s="189">
        <v>44.71</v>
      </c>
      <c r="I62" s="189">
        <v>10.32</v>
      </c>
      <c r="J62" s="189">
        <v>0.14000000000000001</v>
      </c>
      <c r="K62" s="189">
        <v>141.85</v>
      </c>
      <c r="L62" s="189">
        <v>26.3</v>
      </c>
      <c r="M62" s="189">
        <v>35.46</v>
      </c>
      <c r="N62" s="189">
        <v>442</v>
      </c>
      <c r="O62" s="189">
        <v>0</v>
      </c>
      <c r="P62" s="189">
        <v>0.77</v>
      </c>
      <c r="Q62" s="189">
        <v>4.88</v>
      </c>
    </row>
    <row r="63" spans="1:17" customFormat="1">
      <c r="A63" s="6" t="s">
        <v>1637</v>
      </c>
      <c r="B63" s="189">
        <v>4.33</v>
      </c>
      <c r="C63" s="189">
        <v>21.77</v>
      </c>
      <c r="D63" s="189">
        <v>16.2</v>
      </c>
      <c r="E63" s="189">
        <v>5.46</v>
      </c>
      <c r="F63" s="189">
        <v>4</v>
      </c>
      <c r="G63" s="189">
        <v>82.03</v>
      </c>
      <c r="H63" s="189">
        <v>41.78</v>
      </c>
      <c r="I63" s="189">
        <v>10.130000000000001</v>
      </c>
      <c r="J63" s="189">
        <v>0.28000000000000003</v>
      </c>
      <c r="K63" s="189">
        <v>171.47</v>
      </c>
      <c r="L63" s="189">
        <v>26.34</v>
      </c>
      <c r="M63" s="189">
        <v>34.94</v>
      </c>
      <c r="N63" s="189">
        <v>430.5</v>
      </c>
      <c r="O63" s="189">
        <v>0</v>
      </c>
      <c r="P63" s="189">
        <v>0.76</v>
      </c>
      <c r="Q63" s="189">
        <v>4.88</v>
      </c>
    </row>
    <row r="64" spans="1:17" customFormat="1">
      <c r="A64" s="6" t="s">
        <v>1638</v>
      </c>
      <c r="B64" s="189">
        <v>4.28</v>
      </c>
      <c r="C64" s="189">
        <v>22.74</v>
      </c>
      <c r="D64" s="189">
        <v>16.66</v>
      </c>
      <c r="E64" s="189">
        <v>6.25</v>
      </c>
      <c r="F64" s="189">
        <v>3.98</v>
      </c>
      <c r="G64" s="189">
        <v>81.02</v>
      </c>
      <c r="H64" s="189">
        <v>41.78</v>
      </c>
      <c r="I64" s="189">
        <v>9.9600000000000009</v>
      </c>
      <c r="J64" s="189">
        <v>0.18</v>
      </c>
      <c r="K64" s="189">
        <v>150.41</v>
      </c>
      <c r="L64" s="189">
        <v>26.55</v>
      </c>
      <c r="M64" s="189">
        <v>35.65</v>
      </c>
      <c r="N64" s="189">
        <v>394.4</v>
      </c>
      <c r="O64" s="189">
        <v>0</v>
      </c>
      <c r="P64" s="189">
        <v>0.75</v>
      </c>
      <c r="Q64" s="189">
        <v>4.88</v>
      </c>
    </row>
    <row r="65" spans="1:17" customFormat="1">
      <c r="A65" s="6" t="s">
        <v>1639</v>
      </c>
      <c r="B65" s="189">
        <v>4.32</v>
      </c>
      <c r="C65" s="189">
        <v>21.65</v>
      </c>
      <c r="D65" s="189">
        <v>16.13</v>
      </c>
      <c r="E65" s="189">
        <v>5.77</v>
      </c>
      <c r="F65" s="189">
        <v>4.22</v>
      </c>
      <c r="G65" s="189">
        <v>81.02</v>
      </c>
      <c r="H65" s="189">
        <v>41.78</v>
      </c>
      <c r="I65" s="189">
        <v>9.83</v>
      </c>
      <c r="J65" s="189">
        <v>0.23</v>
      </c>
      <c r="K65" s="189">
        <v>163.03</v>
      </c>
      <c r="L65" s="189">
        <v>26.12</v>
      </c>
      <c r="M65" s="189">
        <v>36.89</v>
      </c>
      <c r="N65" s="189">
        <v>176.3</v>
      </c>
      <c r="O65" s="189">
        <v>0</v>
      </c>
      <c r="P65" s="189">
        <v>0.74</v>
      </c>
      <c r="Q65" s="189">
        <v>4.87</v>
      </c>
    </row>
    <row r="66" spans="1:17" customFormat="1">
      <c r="A66" s="6" t="s">
        <v>1640</v>
      </c>
      <c r="B66" s="189">
        <v>4.18</v>
      </c>
      <c r="C66" s="189">
        <v>20.69</v>
      </c>
      <c r="D66" s="189">
        <v>15.51</v>
      </c>
      <c r="E66" s="189">
        <v>5.69</v>
      </c>
      <c r="F66" s="189">
        <v>4.29</v>
      </c>
      <c r="G66" s="189">
        <v>81.02</v>
      </c>
      <c r="H66" s="189">
        <v>41.78</v>
      </c>
      <c r="I66" s="189">
        <v>9.7100000000000009</v>
      </c>
      <c r="J66" s="189">
        <v>0.19</v>
      </c>
      <c r="K66" s="189">
        <v>153</v>
      </c>
      <c r="L66" s="189">
        <v>25.7</v>
      </c>
      <c r="M66" s="189">
        <v>37.96</v>
      </c>
      <c r="N66" s="189">
        <v>171.9</v>
      </c>
      <c r="O66" s="189">
        <v>0</v>
      </c>
      <c r="P66" s="189">
        <v>0.78</v>
      </c>
      <c r="Q66" s="189">
        <v>4.87</v>
      </c>
    </row>
    <row r="67" spans="1:17" customFormat="1">
      <c r="A67" s="6" t="s">
        <v>1641</v>
      </c>
      <c r="B67" s="189">
        <v>4.21</v>
      </c>
      <c r="C67" s="189">
        <v>21.05</v>
      </c>
      <c r="D67" s="189">
        <v>15.72</v>
      </c>
      <c r="E67" s="189">
        <v>5.92</v>
      </c>
      <c r="F67" s="189">
        <v>4.12</v>
      </c>
      <c r="G67" s="189">
        <v>73.3</v>
      </c>
      <c r="H67" s="189">
        <v>38.18</v>
      </c>
      <c r="I67" s="189">
        <v>9.59</v>
      </c>
      <c r="J67" s="189">
        <v>0.24</v>
      </c>
      <c r="K67" s="189">
        <v>174.45</v>
      </c>
      <c r="L67" s="189">
        <v>25.53</v>
      </c>
      <c r="M67" s="189">
        <v>37.770000000000003</v>
      </c>
      <c r="N67" s="189">
        <v>106.9</v>
      </c>
      <c r="O67" s="189">
        <v>0</v>
      </c>
      <c r="P67" s="189">
        <v>0.78</v>
      </c>
      <c r="Q67" s="189">
        <v>4.88</v>
      </c>
    </row>
    <row r="68" spans="1:17" customFormat="1">
      <c r="A68" s="6" t="s">
        <v>1642</v>
      </c>
      <c r="B68" s="189">
        <v>4.3099999999999996</v>
      </c>
      <c r="C68" s="189">
        <v>21.21</v>
      </c>
      <c r="D68" s="189">
        <v>15.89</v>
      </c>
      <c r="E68" s="189">
        <v>5.86</v>
      </c>
      <c r="F68" s="189">
        <v>3.98</v>
      </c>
      <c r="G68" s="189">
        <v>72.22</v>
      </c>
      <c r="H68" s="189">
        <v>38.18</v>
      </c>
      <c r="I68" s="189">
        <v>9.4600000000000009</v>
      </c>
      <c r="J68" s="189">
        <v>0.32</v>
      </c>
      <c r="K68" s="189">
        <v>135.51</v>
      </c>
      <c r="L68" s="189">
        <v>25.48</v>
      </c>
      <c r="M68" s="189">
        <v>37.76</v>
      </c>
      <c r="N68" s="189">
        <v>87.5</v>
      </c>
      <c r="O68" s="189">
        <v>0</v>
      </c>
      <c r="P68" s="189">
        <v>0.77</v>
      </c>
      <c r="Q68" s="189">
        <v>4.87</v>
      </c>
    </row>
    <row r="69" spans="1:17" customFormat="1">
      <c r="A69" s="6" t="s">
        <v>1643</v>
      </c>
      <c r="B69" s="189">
        <v>4.3</v>
      </c>
      <c r="C69" s="189">
        <v>20.440000000000001</v>
      </c>
      <c r="D69" s="189">
        <v>15.48</v>
      </c>
      <c r="E69" s="189">
        <v>6.03</v>
      </c>
      <c r="F69" s="189">
        <v>4.17</v>
      </c>
      <c r="G69" s="189">
        <v>72.22</v>
      </c>
      <c r="H69" s="189">
        <v>38.18</v>
      </c>
      <c r="I69" s="189">
        <v>9.36</v>
      </c>
      <c r="J69" s="189">
        <v>0.26</v>
      </c>
      <c r="K69" s="189">
        <v>93.16</v>
      </c>
      <c r="L69" s="189">
        <v>25.35</v>
      </c>
      <c r="M69" s="189">
        <v>36.75</v>
      </c>
      <c r="N69" s="189">
        <v>89.6</v>
      </c>
      <c r="O69" s="189">
        <v>0</v>
      </c>
      <c r="P69" s="189">
        <v>0.77</v>
      </c>
      <c r="Q69" s="189">
        <v>4.8499999999999996</v>
      </c>
    </row>
    <row r="70" spans="1:17" customFormat="1">
      <c r="A70" s="6" t="s">
        <v>1644</v>
      </c>
      <c r="B70" s="189">
        <v>4.3499999999999996</v>
      </c>
      <c r="C70" s="189">
        <v>21.58</v>
      </c>
      <c r="D70" s="189">
        <v>16.12</v>
      </c>
      <c r="E70" s="189">
        <v>6.26</v>
      </c>
      <c r="F70" s="189">
        <v>4.2</v>
      </c>
      <c r="G70" s="189">
        <v>72.22</v>
      </c>
      <c r="H70" s="189">
        <v>38.18</v>
      </c>
      <c r="I70" s="189">
        <v>9.27</v>
      </c>
      <c r="J70" s="189">
        <v>0.21</v>
      </c>
      <c r="K70" s="189">
        <v>104.94</v>
      </c>
      <c r="L70" s="189">
        <v>25.37</v>
      </c>
      <c r="M70" s="189">
        <v>36.020000000000003</v>
      </c>
      <c r="N70" s="189">
        <v>66.400000000000006</v>
      </c>
      <c r="O70" s="189">
        <v>0</v>
      </c>
      <c r="P70" s="189">
        <v>0.76</v>
      </c>
      <c r="Q70" s="189">
        <v>4.8600000000000003</v>
      </c>
    </row>
    <row r="71" spans="1:17" customFormat="1">
      <c r="A71" s="6" t="s">
        <v>1645</v>
      </c>
      <c r="B71" s="189">
        <v>4.3</v>
      </c>
      <c r="C71" s="189">
        <v>22</v>
      </c>
      <c r="D71" s="189">
        <v>16.3</v>
      </c>
      <c r="E71" s="189">
        <v>7.12</v>
      </c>
      <c r="F71" s="189">
        <v>5.0199999999999996</v>
      </c>
      <c r="G71" s="189">
        <v>77.959999999999994</v>
      </c>
      <c r="H71" s="189">
        <v>39.01</v>
      </c>
      <c r="I71" s="189">
        <v>9.18</v>
      </c>
      <c r="J71" s="189">
        <v>0.28000000000000003</v>
      </c>
      <c r="K71" s="189">
        <v>137.37</v>
      </c>
      <c r="L71" s="189">
        <v>25.23</v>
      </c>
      <c r="M71" s="189">
        <v>38.08</v>
      </c>
      <c r="N71" s="189">
        <v>52.8</v>
      </c>
      <c r="O71" s="189">
        <v>0</v>
      </c>
      <c r="P71" s="189">
        <v>0.77</v>
      </c>
      <c r="Q71" s="189">
        <v>4.88</v>
      </c>
    </row>
    <row r="72" spans="1:17" customFormat="1">
      <c r="A72" s="6" t="s">
        <v>1646</v>
      </c>
      <c r="B72" s="189">
        <v>4.2300000000000004</v>
      </c>
      <c r="C72" s="189">
        <v>22.07</v>
      </c>
      <c r="D72" s="189">
        <v>16.28</v>
      </c>
      <c r="E72" s="189">
        <v>7.15</v>
      </c>
      <c r="F72" s="189">
        <v>5.97</v>
      </c>
      <c r="G72" s="189">
        <v>78.75</v>
      </c>
      <c r="H72" s="189">
        <v>39.01</v>
      </c>
      <c r="I72" s="189">
        <v>9.0500000000000007</v>
      </c>
      <c r="J72" s="189">
        <v>0.18</v>
      </c>
      <c r="K72" s="189">
        <v>149.56</v>
      </c>
      <c r="L72" s="189">
        <v>25</v>
      </c>
      <c r="M72" s="189">
        <v>39.69</v>
      </c>
      <c r="N72" s="189">
        <v>39.9</v>
      </c>
      <c r="O72" s="189">
        <v>0</v>
      </c>
      <c r="P72" s="189">
        <v>0.76</v>
      </c>
      <c r="Q72" s="189">
        <v>4.88</v>
      </c>
    </row>
    <row r="73" spans="1:17" customFormat="1">
      <c r="A73" s="6" t="s">
        <v>1647</v>
      </c>
      <c r="B73" s="189">
        <v>4.1500000000000004</v>
      </c>
      <c r="C73" s="189">
        <v>22.16</v>
      </c>
      <c r="D73" s="189">
        <v>16.260000000000002</v>
      </c>
      <c r="E73" s="189">
        <v>7.1</v>
      </c>
      <c r="F73" s="189">
        <v>6.24</v>
      </c>
      <c r="G73" s="189">
        <v>78.75</v>
      </c>
      <c r="H73" s="189">
        <v>39.01</v>
      </c>
      <c r="I73" s="189">
        <v>8.91</v>
      </c>
      <c r="J73" s="189">
        <v>0.19</v>
      </c>
      <c r="K73" s="189">
        <v>150.84</v>
      </c>
      <c r="L73" s="189">
        <v>24.32</v>
      </c>
      <c r="M73" s="189">
        <v>41.41</v>
      </c>
      <c r="N73" s="189">
        <v>30.6</v>
      </c>
      <c r="O73" s="189">
        <v>0</v>
      </c>
      <c r="P73" s="189">
        <v>0.76</v>
      </c>
      <c r="Q73" s="189">
        <v>4.88</v>
      </c>
    </row>
    <row r="74" spans="1:17" customFormat="1">
      <c r="A74" s="6" t="s">
        <v>1648</v>
      </c>
      <c r="B74" s="189">
        <v>4.25</v>
      </c>
      <c r="C74" s="189">
        <v>22.12</v>
      </c>
      <c r="D74" s="189">
        <v>16.309999999999999</v>
      </c>
      <c r="E74" s="189">
        <v>6.98</v>
      </c>
      <c r="F74" s="189">
        <v>6.2</v>
      </c>
      <c r="G74" s="189">
        <v>78.75</v>
      </c>
      <c r="H74" s="189">
        <v>39.01</v>
      </c>
      <c r="I74" s="189">
        <v>8.75</v>
      </c>
      <c r="J74" s="189">
        <v>0.13</v>
      </c>
      <c r="K74" s="189">
        <v>138.77000000000001</v>
      </c>
      <c r="L74" s="189">
        <v>23.94</v>
      </c>
      <c r="M74" s="189">
        <v>43.6</v>
      </c>
      <c r="N74" s="189">
        <v>32.700000000000003</v>
      </c>
      <c r="O74" s="189">
        <v>0</v>
      </c>
      <c r="P74" s="189">
        <v>0.76</v>
      </c>
      <c r="Q74" s="189">
        <v>4.8899999999999997</v>
      </c>
    </row>
    <row r="75" spans="1:17" customFormat="1">
      <c r="A75" s="6" t="s">
        <v>1649</v>
      </c>
      <c r="B75" s="189">
        <v>4.32</v>
      </c>
      <c r="C75" s="189">
        <v>22.48</v>
      </c>
      <c r="D75" s="189">
        <v>16.559999999999999</v>
      </c>
      <c r="E75" s="189">
        <v>6.28</v>
      </c>
      <c r="F75" s="189">
        <v>6.31</v>
      </c>
      <c r="G75" s="189">
        <v>79.319999999999993</v>
      </c>
      <c r="H75" s="189">
        <v>44.77</v>
      </c>
      <c r="I75" s="189">
        <v>8.61</v>
      </c>
      <c r="J75" s="189">
        <v>0.18</v>
      </c>
      <c r="K75" s="189">
        <v>143.05000000000001</v>
      </c>
      <c r="L75" s="189">
        <v>23.63</v>
      </c>
      <c r="M75" s="189">
        <v>45.38</v>
      </c>
      <c r="N75" s="189">
        <v>16.2</v>
      </c>
      <c r="O75" s="189">
        <v>0</v>
      </c>
      <c r="P75" s="189">
        <v>0.76</v>
      </c>
      <c r="Q75" s="189">
        <v>4.88</v>
      </c>
    </row>
    <row r="76" spans="1:17" customFormat="1">
      <c r="A76" s="6" t="s">
        <v>1650</v>
      </c>
      <c r="B76" s="189">
        <v>4.3600000000000003</v>
      </c>
      <c r="C76" s="189">
        <v>23.22</v>
      </c>
      <c r="D76" s="189">
        <v>16.98</v>
      </c>
      <c r="E76" s="189">
        <v>6.56</v>
      </c>
      <c r="F76" s="189">
        <v>5.08</v>
      </c>
      <c r="G76" s="189">
        <v>79.400000000000006</v>
      </c>
      <c r="H76" s="189">
        <v>44.77</v>
      </c>
      <c r="I76" s="189">
        <v>8.4700000000000006</v>
      </c>
      <c r="J76" s="189">
        <v>0.21</v>
      </c>
      <c r="K76" s="189">
        <v>145.34</v>
      </c>
      <c r="L76" s="189">
        <v>23.16</v>
      </c>
      <c r="M76" s="189">
        <v>48.05</v>
      </c>
      <c r="N76" s="189">
        <v>4.3</v>
      </c>
      <c r="O76" s="189">
        <v>0</v>
      </c>
      <c r="P76" s="189">
        <v>0.77</v>
      </c>
      <c r="Q76" s="189">
        <v>4.88</v>
      </c>
    </row>
    <row r="77" spans="1:17" customFormat="1">
      <c r="A77" s="6" t="s">
        <v>1651</v>
      </c>
      <c r="B77" s="189">
        <v>4.41</v>
      </c>
      <c r="C77" s="189">
        <v>24.41</v>
      </c>
      <c r="D77" s="189">
        <v>17.64</v>
      </c>
      <c r="E77" s="189">
        <v>6.18</v>
      </c>
      <c r="F77" s="189">
        <v>4.47</v>
      </c>
      <c r="G77" s="189">
        <v>79.400000000000006</v>
      </c>
      <c r="H77" s="189">
        <v>44.77</v>
      </c>
      <c r="I77" s="189">
        <v>8.4</v>
      </c>
      <c r="J77" s="189">
        <v>0.19</v>
      </c>
      <c r="K77" s="189">
        <v>141.26</v>
      </c>
      <c r="L77" s="189">
        <v>22.43</v>
      </c>
      <c r="M77" s="189">
        <v>50.76</v>
      </c>
      <c r="N77" s="189">
        <v>0</v>
      </c>
      <c r="O77" s="189">
        <v>0</v>
      </c>
      <c r="P77" s="189">
        <v>0.78</v>
      </c>
      <c r="Q77" s="189">
        <v>4.88</v>
      </c>
    </row>
    <row r="78" spans="1:17" customFormat="1">
      <c r="A78" s="6" t="s">
        <v>1652</v>
      </c>
      <c r="B78" s="189">
        <v>4.63</v>
      </c>
      <c r="C78" s="189">
        <v>25.55</v>
      </c>
      <c r="D78" s="189">
        <v>18.41</v>
      </c>
      <c r="E78" s="189">
        <v>6.54</v>
      </c>
      <c r="F78" s="189">
        <v>4.0999999999999996</v>
      </c>
      <c r="G78" s="189">
        <v>79.400000000000006</v>
      </c>
      <c r="H78" s="189">
        <v>44.77</v>
      </c>
      <c r="I78" s="189">
        <v>8.3699999999999992</v>
      </c>
      <c r="J78" s="189">
        <v>0.24</v>
      </c>
      <c r="K78" s="189">
        <v>163.91</v>
      </c>
      <c r="L78" s="189">
        <v>21.5</v>
      </c>
      <c r="M78" s="189">
        <v>55.83</v>
      </c>
      <c r="N78" s="189">
        <v>0</v>
      </c>
      <c r="O78" s="189">
        <v>0</v>
      </c>
      <c r="P78" s="189">
        <v>0.8</v>
      </c>
      <c r="Q78" s="189">
        <v>4.8899999999999997</v>
      </c>
    </row>
    <row r="79" spans="1:17" customFormat="1">
      <c r="A79" s="6" t="s">
        <v>1653</v>
      </c>
      <c r="B79" s="189">
        <v>4.66</v>
      </c>
      <c r="C79" s="189">
        <v>26.2</v>
      </c>
      <c r="D79" s="189">
        <v>18.78</v>
      </c>
      <c r="E79" s="189">
        <v>5.81</v>
      </c>
      <c r="F79" s="189">
        <v>4.62</v>
      </c>
      <c r="G79" s="189">
        <v>99.24</v>
      </c>
      <c r="H79" s="189">
        <v>55.61</v>
      </c>
      <c r="I79" s="189">
        <v>8.3800000000000008</v>
      </c>
      <c r="J79" s="189">
        <v>0.25</v>
      </c>
      <c r="K79" s="189">
        <v>169.45</v>
      </c>
      <c r="L79" s="189">
        <v>21.04</v>
      </c>
      <c r="M79" s="189">
        <v>56.01</v>
      </c>
      <c r="N79" s="189">
        <v>0</v>
      </c>
      <c r="O79" s="189">
        <v>0</v>
      </c>
      <c r="P79" s="189">
        <v>0.82</v>
      </c>
      <c r="Q79" s="189">
        <v>4.91</v>
      </c>
    </row>
    <row r="80" spans="1:17" customFormat="1">
      <c r="A80" s="6" t="s">
        <v>1654</v>
      </c>
      <c r="B80" s="189">
        <v>4.6900000000000004</v>
      </c>
      <c r="C80" s="189">
        <v>26.6</v>
      </c>
      <c r="D80" s="189">
        <v>19.010000000000002</v>
      </c>
      <c r="E80" s="189">
        <v>6.33</v>
      </c>
      <c r="F80" s="189">
        <v>4.58</v>
      </c>
      <c r="G80" s="189">
        <v>102</v>
      </c>
      <c r="H80" s="189">
        <v>55.61</v>
      </c>
      <c r="I80" s="189">
        <v>8.4600000000000009</v>
      </c>
      <c r="J80" s="189">
        <v>0.24</v>
      </c>
      <c r="K80" s="189">
        <v>173.24</v>
      </c>
      <c r="L80" s="189">
        <v>20.51</v>
      </c>
      <c r="M80" s="189">
        <v>58.94</v>
      </c>
      <c r="N80" s="189">
        <v>0</v>
      </c>
      <c r="O80" s="189">
        <v>0</v>
      </c>
      <c r="P80" s="189">
        <v>0.83</v>
      </c>
      <c r="Q80" s="189">
        <v>4.91</v>
      </c>
    </row>
    <row r="81" spans="1:17" customFormat="1">
      <c r="A81" s="6" t="s">
        <v>1655</v>
      </c>
      <c r="B81" s="189">
        <v>4.55</v>
      </c>
      <c r="C81" s="189">
        <v>26.9</v>
      </c>
      <c r="D81" s="189">
        <v>19.059999999999999</v>
      </c>
      <c r="E81" s="189">
        <v>5.79</v>
      </c>
      <c r="F81" s="189">
        <v>4.4000000000000004</v>
      </c>
      <c r="G81" s="189">
        <v>102</v>
      </c>
      <c r="H81" s="189">
        <v>55.61</v>
      </c>
      <c r="I81" s="189">
        <v>8.5</v>
      </c>
      <c r="J81" s="189">
        <v>0.19</v>
      </c>
      <c r="K81" s="189">
        <v>167.01</v>
      </c>
      <c r="L81" s="189">
        <v>20.059999999999999</v>
      </c>
      <c r="M81" s="189">
        <v>61.59</v>
      </c>
      <c r="N81" s="189">
        <v>0</v>
      </c>
      <c r="O81" s="189">
        <v>0</v>
      </c>
      <c r="P81" s="189">
        <v>0.84</v>
      </c>
      <c r="Q81" s="189">
        <v>4.92</v>
      </c>
    </row>
    <row r="82" spans="1:17" customFormat="1">
      <c r="A82" s="6" t="s">
        <v>1656</v>
      </c>
      <c r="B82" s="189">
        <v>4.5999999999999996</v>
      </c>
      <c r="C82" s="189">
        <v>26.75</v>
      </c>
      <c r="D82" s="189">
        <v>19.02</v>
      </c>
      <c r="E82" s="189">
        <v>6.34</v>
      </c>
      <c r="F82" s="189">
        <v>4.3099999999999996</v>
      </c>
      <c r="G82" s="189">
        <v>102</v>
      </c>
      <c r="H82" s="189">
        <v>55.61</v>
      </c>
      <c r="I82" s="189">
        <v>8.5500000000000007</v>
      </c>
      <c r="J82" s="189">
        <v>0.18</v>
      </c>
      <c r="K82" s="189">
        <v>184.08</v>
      </c>
      <c r="L82" s="189">
        <v>19.72</v>
      </c>
      <c r="M82" s="189">
        <v>64.27</v>
      </c>
      <c r="N82" s="189">
        <v>0</v>
      </c>
      <c r="O82" s="189">
        <v>0</v>
      </c>
      <c r="P82" s="189">
        <v>0.85</v>
      </c>
      <c r="Q82" s="189">
        <v>4.9000000000000004</v>
      </c>
    </row>
    <row r="83" spans="1:17" customFormat="1">
      <c r="A83" s="6" t="s">
        <v>1657</v>
      </c>
      <c r="B83" s="189">
        <v>4.66</v>
      </c>
      <c r="C83" s="189">
        <v>26.32</v>
      </c>
      <c r="D83" s="189">
        <v>18.84</v>
      </c>
      <c r="E83" s="189">
        <v>5.84</v>
      </c>
      <c r="F83" s="189">
        <v>4.2699999999999996</v>
      </c>
      <c r="G83" s="189">
        <v>110.59</v>
      </c>
      <c r="H83" s="189">
        <v>59.07</v>
      </c>
      <c r="I83" s="189">
        <v>8.65</v>
      </c>
      <c r="J83" s="189">
        <v>0.15</v>
      </c>
      <c r="K83" s="189">
        <v>179.04</v>
      </c>
      <c r="L83" s="189">
        <v>19.07</v>
      </c>
      <c r="M83" s="189">
        <v>68.010000000000005</v>
      </c>
      <c r="N83" s="189">
        <v>0</v>
      </c>
      <c r="O83" s="189">
        <v>0</v>
      </c>
      <c r="P83" s="189">
        <v>0.87</v>
      </c>
      <c r="Q83" s="189">
        <v>4.9000000000000004</v>
      </c>
    </row>
    <row r="84" spans="1:17" customFormat="1">
      <c r="A84" s="6" t="s">
        <v>1658</v>
      </c>
      <c r="B84" s="189">
        <v>4.5999999999999996</v>
      </c>
      <c r="C84" s="189">
        <v>26.35</v>
      </c>
      <c r="D84" s="189">
        <v>18.8</v>
      </c>
      <c r="E84" s="189">
        <v>5.86</v>
      </c>
      <c r="F84" s="189">
        <v>4.25</v>
      </c>
      <c r="G84" s="189">
        <v>111.78</v>
      </c>
      <c r="H84" s="189">
        <v>59.07</v>
      </c>
      <c r="I84" s="189">
        <v>8.73</v>
      </c>
      <c r="J84" s="189">
        <v>0.12</v>
      </c>
      <c r="K84" s="189">
        <v>162.52000000000001</v>
      </c>
      <c r="L84" s="189">
        <v>18.739999999999998</v>
      </c>
      <c r="M84" s="189">
        <v>65.45</v>
      </c>
      <c r="N84" s="189">
        <v>0</v>
      </c>
      <c r="O84" s="189">
        <v>0</v>
      </c>
      <c r="P84" s="189">
        <v>0.87</v>
      </c>
      <c r="Q84" s="189">
        <v>4.92</v>
      </c>
    </row>
    <row r="85" spans="1:17" customFormat="1">
      <c r="A85" s="6" t="s">
        <v>1659</v>
      </c>
      <c r="B85" s="189">
        <v>4.5999999999999996</v>
      </c>
      <c r="C85" s="189">
        <v>26.19</v>
      </c>
      <c r="D85" s="189">
        <v>18.72</v>
      </c>
      <c r="E85" s="189">
        <v>6.22</v>
      </c>
      <c r="F85" s="189">
        <v>4.1900000000000004</v>
      </c>
      <c r="G85" s="189">
        <v>111.78</v>
      </c>
      <c r="H85" s="189">
        <v>59.07</v>
      </c>
      <c r="I85" s="189">
        <v>8.83</v>
      </c>
      <c r="J85" s="189">
        <v>0.11</v>
      </c>
      <c r="K85" s="189">
        <v>170.85</v>
      </c>
      <c r="L85" s="189">
        <v>18.510000000000002</v>
      </c>
      <c r="M85" s="189">
        <v>66.540000000000006</v>
      </c>
      <c r="N85" s="189">
        <v>0</v>
      </c>
      <c r="O85" s="189">
        <v>0</v>
      </c>
      <c r="P85" s="189">
        <v>0.89</v>
      </c>
      <c r="Q85" s="189">
        <v>4.91</v>
      </c>
    </row>
    <row r="86" spans="1:17" customFormat="1">
      <c r="A86" s="6" t="s">
        <v>1660</v>
      </c>
      <c r="B86" s="189">
        <v>4.54</v>
      </c>
      <c r="C86" s="189">
        <v>26.27</v>
      </c>
      <c r="D86" s="189">
        <v>18.71</v>
      </c>
      <c r="E86" s="189">
        <v>5.71</v>
      </c>
      <c r="F86" s="189">
        <v>4.01</v>
      </c>
      <c r="G86" s="189">
        <v>111.78</v>
      </c>
      <c r="H86" s="189">
        <v>59.07</v>
      </c>
      <c r="I86" s="189">
        <v>8.94</v>
      </c>
      <c r="J86" s="189">
        <v>0.08</v>
      </c>
      <c r="K86" s="189">
        <v>159.78</v>
      </c>
      <c r="L86" s="189">
        <v>18.170000000000002</v>
      </c>
      <c r="M86" s="189">
        <v>68.81</v>
      </c>
      <c r="N86" s="189">
        <v>0</v>
      </c>
      <c r="O86" s="189">
        <v>0</v>
      </c>
      <c r="P86" s="189">
        <v>0.89</v>
      </c>
      <c r="Q86" s="189">
        <v>4.9000000000000004</v>
      </c>
    </row>
    <row r="87" spans="1:17" customFormat="1">
      <c r="A87" s="6" t="s">
        <v>1661</v>
      </c>
      <c r="B87" s="189">
        <v>4.5599999999999996</v>
      </c>
      <c r="C87" s="189">
        <v>26.34</v>
      </c>
      <c r="D87" s="189">
        <v>18.77</v>
      </c>
      <c r="E87" s="189">
        <v>5.91</v>
      </c>
      <c r="F87" s="189">
        <v>3.97</v>
      </c>
      <c r="G87" s="189">
        <v>128.5</v>
      </c>
      <c r="H87" s="189">
        <v>68.61</v>
      </c>
      <c r="I87" s="189">
        <v>9.01</v>
      </c>
      <c r="J87" s="189">
        <v>0.09</v>
      </c>
      <c r="K87" s="189">
        <v>184.38</v>
      </c>
      <c r="L87" s="189">
        <v>17.98</v>
      </c>
      <c r="M87" s="189">
        <v>70.63</v>
      </c>
      <c r="N87" s="189">
        <v>0</v>
      </c>
      <c r="O87" s="189">
        <v>0</v>
      </c>
      <c r="P87" s="189">
        <v>0.9</v>
      </c>
      <c r="Q87" s="189">
        <v>4.88</v>
      </c>
    </row>
    <row r="88" spans="1:17" customFormat="1">
      <c r="A88" s="6" t="s">
        <v>1662</v>
      </c>
      <c r="B88" s="189">
        <v>4.6399999999999997</v>
      </c>
      <c r="C88" s="189">
        <v>25.88</v>
      </c>
      <c r="D88" s="189">
        <v>18.59</v>
      </c>
      <c r="E88" s="189">
        <v>5.97</v>
      </c>
      <c r="F88" s="189">
        <v>4.17</v>
      </c>
      <c r="G88" s="189">
        <v>130.83000000000001</v>
      </c>
      <c r="H88" s="189">
        <v>68.61</v>
      </c>
      <c r="I88" s="189">
        <v>9.0399999999999991</v>
      </c>
      <c r="J88" s="189">
        <v>0.25</v>
      </c>
      <c r="K88" s="189">
        <v>161.36000000000001</v>
      </c>
      <c r="L88" s="189">
        <v>17.95</v>
      </c>
      <c r="M88" s="189">
        <v>68.91</v>
      </c>
      <c r="N88" s="189">
        <v>0</v>
      </c>
      <c r="O88" s="189">
        <v>0</v>
      </c>
      <c r="P88" s="189">
        <v>0.91</v>
      </c>
      <c r="Q88" s="189">
        <v>4.9000000000000004</v>
      </c>
    </row>
    <row r="89" spans="1:17" customFormat="1">
      <c r="A89" s="6" t="s">
        <v>1663</v>
      </c>
      <c r="B89" s="189">
        <v>4.5599999999999996</v>
      </c>
      <c r="C89" s="189">
        <v>25.52</v>
      </c>
      <c r="D89" s="189">
        <v>18.34</v>
      </c>
      <c r="E89" s="189">
        <v>6.16</v>
      </c>
      <c r="F89" s="189">
        <v>4.45</v>
      </c>
      <c r="G89" s="189">
        <v>130.83000000000001</v>
      </c>
      <c r="H89" s="189">
        <v>68.61</v>
      </c>
      <c r="I89" s="189">
        <v>9.06</v>
      </c>
      <c r="J89" s="189">
        <v>0.13</v>
      </c>
      <c r="K89" s="189">
        <v>144.07</v>
      </c>
      <c r="L89" s="189">
        <v>17.850000000000001</v>
      </c>
      <c r="M89" s="189">
        <v>68.63</v>
      </c>
      <c r="N89" s="189">
        <v>0</v>
      </c>
      <c r="O89" s="189">
        <v>0</v>
      </c>
      <c r="P89" s="189">
        <v>0.91</v>
      </c>
      <c r="Q89" s="189">
        <v>4.9000000000000004</v>
      </c>
    </row>
    <row r="90" spans="1:17" customFormat="1">
      <c r="A90" s="6" t="s">
        <v>1664</v>
      </c>
      <c r="B90" s="189">
        <v>4.38</v>
      </c>
      <c r="C90" s="189">
        <v>25.57</v>
      </c>
      <c r="D90" s="189">
        <v>18.22</v>
      </c>
      <c r="E90" s="189">
        <v>6.09</v>
      </c>
      <c r="F90" s="189">
        <v>4.3099999999999996</v>
      </c>
      <c r="G90" s="189">
        <v>130.83000000000001</v>
      </c>
      <c r="H90" s="189">
        <v>68.61</v>
      </c>
      <c r="I90" s="189">
        <v>9.08</v>
      </c>
      <c r="J90" s="189">
        <v>7.0000000000000007E-2</v>
      </c>
      <c r="K90" s="189">
        <v>141.72</v>
      </c>
      <c r="L90" s="189">
        <v>17.45</v>
      </c>
      <c r="M90" s="189">
        <v>71.03</v>
      </c>
      <c r="N90" s="189">
        <v>0</v>
      </c>
      <c r="O90" s="189">
        <v>0</v>
      </c>
      <c r="P90" s="189">
        <v>0.92</v>
      </c>
      <c r="Q90" s="189">
        <v>4.9000000000000004</v>
      </c>
    </row>
    <row r="91" spans="1:17" customFormat="1">
      <c r="A91" s="6" t="s">
        <v>1665</v>
      </c>
      <c r="B91" s="189">
        <v>4.3600000000000003</v>
      </c>
      <c r="C91" s="189">
        <v>25.53</v>
      </c>
      <c r="D91" s="189">
        <v>18.18</v>
      </c>
      <c r="E91" s="189">
        <v>6.32</v>
      </c>
      <c r="F91" s="189">
        <v>4.05</v>
      </c>
      <c r="G91" s="189">
        <v>131.86000000000001</v>
      </c>
      <c r="H91" s="189">
        <v>70.040000000000006</v>
      </c>
      <c r="I91" s="189">
        <v>9.1</v>
      </c>
      <c r="J91" s="189">
        <v>0.06</v>
      </c>
      <c r="K91" s="189">
        <v>126.78</v>
      </c>
      <c r="L91" s="189">
        <v>17.2</v>
      </c>
      <c r="M91" s="189">
        <v>72.739999999999995</v>
      </c>
      <c r="N91" s="189">
        <v>0</v>
      </c>
      <c r="O91" s="189">
        <v>0</v>
      </c>
      <c r="P91" s="189">
        <v>0.93</v>
      </c>
      <c r="Q91" s="189">
        <v>4.88</v>
      </c>
    </row>
    <row r="92" spans="1:17" customFormat="1">
      <c r="A92" s="6" t="s">
        <v>1666</v>
      </c>
      <c r="B92" s="189">
        <v>4.34</v>
      </c>
      <c r="C92" s="189">
        <v>23.91</v>
      </c>
      <c r="D92" s="189">
        <v>17.329999999999998</v>
      </c>
      <c r="E92" s="189">
        <v>5.38</v>
      </c>
      <c r="F92" s="189">
        <v>3.71</v>
      </c>
      <c r="G92" s="189">
        <v>132.01</v>
      </c>
      <c r="H92" s="189">
        <v>70.040000000000006</v>
      </c>
      <c r="I92" s="189">
        <v>9.16</v>
      </c>
      <c r="J92" s="189">
        <v>0.06</v>
      </c>
      <c r="K92" s="189">
        <v>190.24</v>
      </c>
      <c r="L92" s="189">
        <v>16.98</v>
      </c>
      <c r="M92" s="189">
        <v>74.75</v>
      </c>
      <c r="N92" s="189">
        <v>0</v>
      </c>
      <c r="O92" s="189">
        <v>0</v>
      </c>
      <c r="P92" s="189">
        <v>0.93</v>
      </c>
      <c r="Q92" s="189">
        <v>4.88</v>
      </c>
    </row>
    <row r="93" spans="1:17" customFormat="1">
      <c r="A93" s="6" t="s">
        <v>1667</v>
      </c>
      <c r="B93" s="189">
        <v>4.47</v>
      </c>
      <c r="C93" s="189">
        <v>22.91</v>
      </c>
      <c r="D93" s="189">
        <v>16.899999999999999</v>
      </c>
      <c r="E93" s="189">
        <v>5.72</v>
      </c>
      <c r="F93" s="189">
        <v>3.5</v>
      </c>
      <c r="G93" s="189">
        <v>132.01</v>
      </c>
      <c r="H93" s="189">
        <v>70.040000000000006</v>
      </c>
      <c r="I93" s="189">
        <v>9.24</v>
      </c>
      <c r="J93" s="189">
        <v>0.06</v>
      </c>
      <c r="K93" s="189">
        <v>104.29</v>
      </c>
      <c r="L93" s="189">
        <v>16.649999999999999</v>
      </c>
      <c r="M93" s="189">
        <v>76.489999999999995</v>
      </c>
      <c r="N93" s="189">
        <v>0</v>
      </c>
      <c r="O93" s="189">
        <v>0</v>
      </c>
      <c r="P93" s="189">
        <v>0.93</v>
      </c>
      <c r="Q93" s="189">
        <v>4.88</v>
      </c>
    </row>
    <row r="94" spans="1:17" customFormat="1">
      <c r="A94" s="6" t="s">
        <v>1668</v>
      </c>
      <c r="B94" s="189">
        <v>4.54</v>
      </c>
      <c r="C94" s="189">
        <v>23.12</v>
      </c>
      <c r="D94" s="189">
        <v>17.079999999999998</v>
      </c>
      <c r="E94" s="189">
        <v>5.51</v>
      </c>
      <c r="F94" s="189">
        <v>3.47</v>
      </c>
      <c r="G94" s="189">
        <v>132.01</v>
      </c>
      <c r="H94" s="189">
        <v>70.040000000000006</v>
      </c>
      <c r="I94" s="189">
        <v>9.33</v>
      </c>
      <c r="J94" s="189">
        <v>0.13</v>
      </c>
      <c r="K94" s="189">
        <v>152.62</v>
      </c>
      <c r="L94" s="189">
        <v>16.73</v>
      </c>
      <c r="M94" s="189">
        <v>75.5</v>
      </c>
      <c r="N94" s="189">
        <v>0</v>
      </c>
      <c r="O94" s="189">
        <v>0</v>
      </c>
      <c r="P94" s="189">
        <v>0.93</v>
      </c>
      <c r="Q94" s="189">
        <v>4.88</v>
      </c>
    </row>
    <row r="95" spans="1:17" customFormat="1">
      <c r="A95" s="6" t="s">
        <v>1669</v>
      </c>
      <c r="B95" s="189">
        <v>4.57</v>
      </c>
      <c r="C95" s="189">
        <v>23.72</v>
      </c>
      <c r="D95" s="189">
        <v>17.399999999999999</v>
      </c>
      <c r="E95" s="189">
        <v>5.36</v>
      </c>
      <c r="F95" s="189">
        <v>3.45</v>
      </c>
      <c r="G95" s="189">
        <v>126.67</v>
      </c>
      <c r="H95" s="189">
        <v>72.47</v>
      </c>
      <c r="I95" s="189">
        <v>9.44</v>
      </c>
      <c r="J95" s="189">
        <v>0.11</v>
      </c>
      <c r="K95" s="189">
        <v>143.19999999999999</v>
      </c>
      <c r="L95" s="189">
        <v>16.559999999999999</v>
      </c>
      <c r="M95" s="189">
        <v>76.91</v>
      </c>
      <c r="N95" s="189">
        <v>0</v>
      </c>
      <c r="O95" s="189">
        <v>0</v>
      </c>
      <c r="P95" s="189">
        <v>0.94</v>
      </c>
      <c r="Q95" s="189">
        <v>4.88</v>
      </c>
    </row>
    <row r="96" spans="1:17" customFormat="1">
      <c r="A96" s="6" t="s">
        <v>1670</v>
      </c>
      <c r="B96" s="189">
        <v>4.5599999999999996</v>
      </c>
      <c r="C96" s="189">
        <v>23.77</v>
      </c>
      <c r="D96" s="189">
        <v>17.43</v>
      </c>
      <c r="E96" s="189">
        <v>5.8</v>
      </c>
      <c r="F96" s="189">
        <v>3.47</v>
      </c>
      <c r="G96" s="189">
        <v>125.93</v>
      </c>
      <c r="H96" s="189">
        <v>72.47</v>
      </c>
      <c r="I96" s="189">
        <v>9.5299999999999994</v>
      </c>
      <c r="J96" s="189">
        <v>0.08</v>
      </c>
      <c r="K96" s="189">
        <v>159.22</v>
      </c>
      <c r="L96" s="189">
        <v>16.46</v>
      </c>
      <c r="M96" s="189">
        <v>78.67</v>
      </c>
      <c r="N96" s="189">
        <v>0</v>
      </c>
      <c r="O96" s="189">
        <v>0</v>
      </c>
      <c r="P96" s="189">
        <v>0.95</v>
      </c>
      <c r="Q96" s="189">
        <v>4.88</v>
      </c>
    </row>
    <row r="97" spans="1:22" customFormat="1">
      <c r="A97" s="6" t="s">
        <v>1671</v>
      </c>
      <c r="B97" s="189">
        <v>4.5</v>
      </c>
      <c r="C97" s="189">
        <v>24.14</v>
      </c>
      <c r="D97" s="189">
        <v>17.579999999999998</v>
      </c>
      <c r="E97" s="189">
        <v>6.07</v>
      </c>
      <c r="F97" s="189">
        <v>3.31</v>
      </c>
      <c r="G97" s="189">
        <v>125.93</v>
      </c>
      <c r="H97" s="189">
        <v>72.47</v>
      </c>
      <c r="I97" s="189">
        <v>9.6300000000000008</v>
      </c>
      <c r="J97" s="189">
        <v>0.05</v>
      </c>
      <c r="K97" s="189">
        <v>192.4</v>
      </c>
      <c r="L97" s="189">
        <v>16.149999999999999</v>
      </c>
      <c r="M97" s="189">
        <v>80.56</v>
      </c>
      <c r="N97" s="189">
        <v>0</v>
      </c>
      <c r="O97" s="189">
        <v>0</v>
      </c>
      <c r="P97" s="189">
        <v>0.95</v>
      </c>
      <c r="Q97" s="189">
        <v>4.88</v>
      </c>
    </row>
    <row r="98" spans="1:22" customFormat="1">
      <c r="A98" s="6" t="s">
        <v>1672</v>
      </c>
      <c r="B98" s="189">
        <v>4.5599999999999996</v>
      </c>
      <c r="C98" s="189">
        <v>24.43</v>
      </c>
      <c r="D98" s="189">
        <v>17.77</v>
      </c>
      <c r="E98" s="189">
        <v>5.73</v>
      </c>
      <c r="F98" s="189">
        <v>3.22</v>
      </c>
      <c r="G98" s="189">
        <v>125.93</v>
      </c>
      <c r="H98" s="189">
        <v>72.47</v>
      </c>
      <c r="I98" s="189">
        <v>9.7100000000000009</v>
      </c>
      <c r="J98" s="189">
        <v>0.05</v>
      </c>
      <c r="K98" s="189">
        <v>176.3</v>
      </c>
      <c r="L98" s="189">
        <v>15.93</v>
      </c>
      <c r="M98" s="189">
        <v>82.23</v>
      </c>
      <c r="N98" s="189">
        <v>0</v>
      </c>
      <c r="O98" s="189">
        <v>0</v>
      </c>
      <c r="P98" s="189">
        <v>0.95</v>
      </c>
      <c r="Q98" s="189">
        <v>4.87</v>
      </c>
    </row>
    <row r="99" spans="1:22" customFormat="1">
      <c r="A99" s="6" t="s">
        <v>1673</v>
      </c>
      <c r="B99" s="189">
        <v>4.72</v>
      </c>
      <c r="C99" s="189">
        <v>24.39</v>
      </c>
      <c r="D99" s="189">
        <v>17.88</v>
      </c>
      <c r="E99" s="189">
        <v>5.44</v>
      </c>
      <c r="F99" s="189">
        <v>3.13</v>
      </c>
      <c r="G99" s="189">
        <v>128.38999999999999</v>
      </c>
      <c r="H99" s="189">
        <v>73.569999999999993</v>
      </c>
      <c r="I99" s="189">
        <v>9.7799999999999994</v>
      </c>
      <c r="J99" s="189">
        <v>7.0000000000000007E-2</v>
      </c>
      <c r="K99" s="189">
        <v>250.47</v>
      </c>
      <c r="L99" s="189">
        <v>15.76</v>
      </c>
      <c r="M99" s="189">
        <v>84.38</v>
      </c>
      <c r="N99" s="189">
        <v>0</v>
      </c>
      <c r="O99" s="189">
        <v>0</v>
      </c>
      <c r="P99" s="189">
        <v>0.96</v>
      </c>
      <c r="Q99" s="189">
        <v>4.87</v>
      </c>
    </row>
    <row r="100" spans="1:22" customFormat="1">
      <c r="A100" s="6" t="s">
        <v>1674</v>
      </c>
      <c r="B100" s="189">
        <v>4.79</v>
      </c>
      <c r="C100" s="189">
        <v>24.63</v>
      </c>
      <c r="D100" s="189">
        <v>18.059999999999999</v>
      </c>
      <c r="E100" s="189">
        <v>5.61</v>
      </c>
      <c r="F100" s="189">
        <v>3.03</v>
      </c>
      <c r="G100" s="189">
        <v>128.72999999999999</v>
      </c>
      <c r="H100" s="189">
        <v>73.569999999999993</v>
      </c>
      <c r="I100" s="189">
        <v>9.83</v>
      </c>
      <c r="J100" s="189">
        <v>0.08</v>
      </c>
      <c r="K100" s="189">
        <v>192.02</v>
      </c>
      <c r="L100" s="189">
        <v>15.53</v>
      </c>
      <c r="M100" s="189">
        <v>85.64</v>
      </c>
      <c r="N100" s="189">
        <v>0</v>
      </c>
      <c r="O100" s="189">
        <v>0</v>
      </c>
      <c r="P100" s="189">
        <v>0.97</v>
      </c>
      <c r="Q100" s="189">
        <v>4.88</v>
      </c>
    </row>
    <row r="101" spans="1:22" customFormat="1">
      <c r="A101" s="6" t="s">
        <v>1675</v>
      </c>
      <c r="B101" s="189">
        <v>4.79</v>
      </c>
      <c r="C101" s="189">
        <v>24.79</v>
      </c>
      <c r="D101" s="189">
        <v>18.14</v>
      </c>
      <c r="E101" s="189">
        <v>5.68</v>
      </c>
      <c r="F101" s="189">
        <v>2.99</v>
      </c>
      <c r="G101" s="189">
        <v>128.72999999999999</v>
      </c>
      <c r="H101" s="189">
        <v>73.569999999999993</v>
      </c>
      <c r="I101" s="189">
        <v>9.86</v>
      </c>
      <c r="J101" s="189">
        <v>0.11</v>
      </c>
      <c r="K101" s="189">
        <v>241.08</v>
      </c>
      <c r="L101" s="189">
        <v>15.41</v>
      </c>
      <c r="M101" s="189">
        <v>87.74</v>
      </c>
      <c r="N101" s="189">
        <v>0</v>
      </c>
      <c r="O101" s="189">
        <v>0</v>
      </c>
      <c r="P101" s="189">
        <v>0.97</v>
      </c>
      <c r="Q101" s="189">
        <v>4.87</v>
      </c>
    </row>
    <row r="102" spans="1:22" customFormat="1">
      <c r="A102" s="6" t="s">
        <v>1676</v>
      </c>
      <c r="B102" s="189">
        <v>4.92</v>
      </c>
      <c r="C102" s="189">
        <v>24.68</v>
      </c>
      <c r="D102" s="189">
        <v>18.190000000000001</v>
      </c>
      <c r="E102" s="189">
        <v>6.13</v>
      </c>
      <c r="F102" s="189">
        <v>2.9</v>
      </c>
      <c r="G102" s="189">
        <v>128.72999999999999</v>
      </c>
      <c r="H102" s="189">
        <v>73.569999999999993</v>
      </c>
      <c r="I102" s="189">
        <v>9.8800000000000008</v>
      </c>
      <c r="J102" s="189">
        <v>0.17</v>
      </c>
      <c r="K102" s="189">
        <v>263.44</v>
      </c>
      <c r="L102" s="189">
        <v>15.23</v>
      </c>
      <c r="M102" s="189">
        <v>88.08</v>
      </c>
      <c r="N102" s="189">
        <v>0</v>
      </c>
      <c r="O102" s="189">
        <v>0</v>
      </c>
      <c r="P102" s="189">
        <v>0.97</v>
      </c>
      <c r="Q102" s="189">
        <v>4.87</v>
      </c>
    </row>
    <row r="103" spans="1:22" customFormat="1">
      <c r="A103" s="6" t="s">
        <v>1677</v>
      </c>
      <c r="B103" s="189">
        <v>4.9800000000000004</v>
      </c>
      <c r="C103" s="189">
        <v>24.98</v>
      </c>
      <c r="D103" s="189">
        <v>18.39</v>
      </c>
      <c r="E103" s="189">
        <v>6.08</v>
      </c>
      <c r="F103" s="189">
        <v>2.74</v>
      </c>
      <c r="G103" s="189">
        <v>122.51</v>
      </c>
      <c r="H103" s="189">
        <v>74.48</v>
      </c>
      <c r="I103" s="189">
        <v>9.89</v>
      </c>
      <c r="J103" s="189">
        <v>0.13</v>
      </c>
      <c r="K103" s="189">
        <v>263.63</v>
      </c>
      <c r="L103" s="189">
        <v>14.85</v>
      </c>
      <c r="M103" s="189">
        <v>88.51</v>
      </c>
      <c r="N103" s="189">
        <v>0</v>
      </c>
      <c r="O103" s="189">
        <v>0</v>
      </c>
      <c r="P103" s="189">
        <v>0.98</v>
      </c>
      <c r="Q103" s="189">
        <v>4.9000000000000004</v>
      </c>
    </row>
    <row r="104" spans="1:22" customFormat="1">
      <c r="A104" s="6" t="s">
        <v>1678</v>
      </c>
      <c r="B104" s="189">
        <v>5.08</v>
      </c>
      <c r="C104" s="189">
        <v>24.96</v>
      </c>
      <c r="D104" s="189">
        <v>18.47</v>
      </c>
      <c r="E104" s="189">
        <v>5.87</v>
      </c>
      <c r="F104" s="189">
        <v>2.87</v>
      </c>
      <c r="G104" s="189">
        <v>121.64</v>
      </c>
      <c r="H104" s="189">
        <v>74.48</v>
      </c>
      <c r="I104" s="189">
        <v>9.8800000000000008</v>
      </c>
      <c r="J104" s="189">
        <v>7.0000000000000007E-2</v>
      </c>
      <c r="K104" s="189">
        <v>227.96</v>
      </c>
      <c r="L104" s="189">
        <v>14.72</v>
      </c>
      <c r="M104" s="189">
        <v>89.32</v>
      </c>
      <c r="N104" s="189">
        <v>0</v>
      </c>
      <c r="O104" s="189">
        <v>0</v>
      </c>
      <c r="P104" s="189">
        <v>0.98</v>
      </c>
      <c r="Q104" s="189">
        <v>4.88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4.1500000000000004</v>
      </c>
      <c r="C106" s="183">
        <f>MIN(C9:C104)</f>
        <v>20.440000000000001</v>
      </c>
      <c r="D106" s="183">
        <f t="shared" ref="D106:Q106" si="0">MIN(D9:D104)</f>
        <v>15.48</v>
      </c>
      <c r="E106" s="183">
        <f t="shared" si="0"/>
        <v>4.57</v>
      </c>
      <c r="F106" s="183">
        <f t="shared" si="0"/>
        <v>2.46</v>
      </c>
      <c r="G106" s="183">
        <f t="shared" si="0"/>
        <v>72.22</v>
      </c>
      <c r="H106" s="183">
        <f t="shared" si="0"/>
        <v>38.18</v>
      </c>
      <c r="I106" s="183">
        <f t="shared" si="0"/>
        <v>8.3699999999999992</v>
      </c>
      <c r="J106" s="183">
        <f t="shared" si="0"/>
        <v>0.01</v>
      </c>
      <c r="K106" s="183">
        <f t="shared" si="0"/>
        <v>13.82</v>
      </c>
      <c r="L106" s="183">
        <f t="shared" si="0"/>
        <v>13.39</v>
      </c>
      <c r="M106" s="183">
        <f t="shared" si="0"/>
        <v>34.94</v>
      </c>
      <c r="N106" s="183">
        <f t="shared" si="0"/>
        <v>0</v>
      </c>
      <c r="O106" s="183">
        <f t="shared" si="0"/>
        <v>0</v>
      </c>
      <c r="P106" s="183">
        <f t="shared" si="0"/>
        <v>0.74</v>
      </c>
      <c r="Q106" s="183">
        <f t="shared" si="0"/>
        <v>4.8499999999999996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36.549999999999997</v>
      </c>
      <c r="C107" s="184">
        <f t="shared" ref="C107:Q107" si="1">MAX(C9:C104)</f>
        <v>37.94</v>
      </c>
      <c r="D107" s="184">
        <f t="shared" si="1"/>
        <v>49.61</v>
      </c>
      <c r="E107" s="184">
        <f t="shared" si="1"/>
        <v>7.47</v>
      </c>
      <c r="F107" s="184">
        <f t="shared" si="1"/>
        <v>6.31</v>
      </c>
      <c r="G107" s="184">
        <f t="shared" si="1"/>
        <v>141.46</v>
      </c>
      <c r="H107" s="184">
        <f t="shared" si="1"/>
        <v>74.849999999999994</v>
      </c>
      <c r="I107" s="184">
        <f t="shared" si="1"/>
        <v>13.29</v>
      </c>
      <c r="J107" s="184">
        <f t="shared" si="1"/>
        <v>0.45</v>
      </c>
      <c r="K107" s="184">
        <f t="shared" si="1"/>
        <v>347.74</v>
      </c>
      <c r="L107" s="184">
        <f t="shared" si="1"/>
        <v>26.55</v>
      </c>
      <c r="M107" s="184">
        <f t="shared" si="1"/>
        <v>92.1</v>
      </c>
      <c r="N107" s="184">
        <f t="shared" si="1"/>
        <v>498.7</v>
      </c>
      <c r="O107" s="184">
        <f t="shared" si="1"/>
        <v>0</v>
      </c>
      <c r="P107" s="184">
        <f t="shared" si="1"/>
        <v>1.21</v>
      </c>
      <c r="Q107" s="184">
        <f t="shared" si="1"/>
        <v>5.49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12.937395833333326</v>
      </c>
      <c r="C108" s="183">
        <f t="shared" ref="C108:Q108" si="2">AVERAGE(C9:C104)</f>
        <v>29.34697916666666</v>
      </c>
      <c r="D108" s="183">
        <f t="shared" si="2"/>
        <v>27.058749999999989</v>
      </c>
      <c r="E108" s="183">
        <f t="shared" si="2"/>
        <v>6.2602083333333347</v>
      </c>
      <c r="F108" s="183">
        <f t="shared" si="2"/>
        <v>3.4307291666666671</v>
      </c>
      <c r="G108" s="183">
        <f t="shared" si="2"/>
        <v>118.68385416666668</v>
      </c>
      <c r="H108" s="183">
        <f t="shared" si="2"/>
        <v>62.834791666666625</v>
      </c>
      <c r="I108" s="183">
        <f t="shared" si="2"/>
        <v>11.091145833333341</v>
      </c>
      <c r="J108" s="183">
        <f t="shared" si="2"/>
        <v>0.16552083333333337</v>
      </c>
      <c r="K108" s="183">
        <f t="shared" si="2"/>
        <v>147.81145833333338</v>
      </c>
      <c r="L108" s="183">
        <f t="shared" si="2"/>
        <v>18.573541666666667</v>
      </c>
      <c r="M108" s="183">
        <f t="shared" si="2"/>
        <v>67.098020833333337</v>
      </c>
      <c r="N108" s="183">
        <f t="shared" si="2"/>
        <v>79.946874999999991</v>
      </c>
      <c r="O108" s="183">
        <f t="shared" si="2"/>
        <v>0</v>
      </c>
      <c r="P108" s="183">
        <f t="shared" si="2"/>
        <v>0.96770833333333395</v>
      </c>
      <c r="Q108" s="183">
        <f t="shared" si="2"/>
        <v>5.0647916666666646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11.095815071201324</v>
      </c>
      <c r="C109" s="183">
        <f t="shared" ref="C109:Q109" si="3">STDEV(C9:C104)</f>
        <v>5.8532591226987867</v>
      </c>
      <c r="D109" s="183">
        <f t="shared" si="3"/>
        <v>11.643768810194732</v>
      </c>
      <c r="E109" s="183">
        <f t="shared" si="3"/>
        <v>0.77658493847526988</v>
      </c>
      <c r="F109" s="183">
        <f t="shared" si="3"/>
        <v>0.91074896280238138</v>
      </c>
      <c r="G109" s="183">
        <f t="shared" si="3"/>
        <v>22.343862332559983</v>
      </c>
      <c r="H109" s="183">
        <f t="shared" si="3"/>
        <v>12.026182137247442</v>
      </c>
      <c r="I109" s="183">
        <f t="shared" si="3"/>
        <v>1.7963447505195693</v>
      </c>
      <c r="J109" s="183">
        <f t="shared" si="3"/>
        <v>8.0836023648483885E-2</v>
      </c>
      <c r="K109" s="183">
        <f t="shared" si="3"/>
        <v>55.868632324864201</v>
      </c>
      <c r="L109" s="183">
        <f t="shared" si="3"/>
        <v>4.2789391157318759</v>
      </c>
      <c r="M109" s="183">
        <f t="shared" si="3"/>
        <v>18.350880123438845</v>
      </c>
      <c r="N109" s="183">
        <f t="shared" si="3"/>
        <v>147.04263825100452</v>
      </c>
      <c r="O109" s="183">
        <f t="shared" si="3"/>
        <v>0</v>
      </c>
      <c r="P109" s="183">
        <f t="shared" si="3"/>
        <v>0.14327360036448877</v>
      </c>
      <c r="Q109" s="183">
        <f t="shared" si="3"/>
        <v>0.22125469565845235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1679</v>
      </c>
      <c r="B9" s="189">
        <v>4.92</v>
      </c>
      <c r="C9" s="189">
        <v>23.66</v>
      </c>
      <c r="D9" s="189">
        <v>17.66</v>
      </c>
      <c r="E9" s="189">
        <v>6.01</v>
      </c>
      <c r="F9" s="189">
        <v>3.06</v>
      </c>
      <c r="G9" s="189">
        <v>121.64</v>
      </c>
      <c r="H9" s="189">
        <v>74.48</v>
      </c>
      <c r="I9" s="189">
        <v>9.86</v>
      </c>
      <c r="J9" s="189">
        <v>0.05</v>
      </c>
      <c r="K9" s="189">
        <v>223.71</v>
      </c>
      <c r="L9" s="189">
        <v>14.68</v>
      </c>
      <c r="M9" s="189">
        <v>89.46</v>
      </c>
      <c r="N9" s="189">
        <v>0</v>
      </c>
      <c r="O9" s="189">
        <v>0</v>
      </c>
      <c r="P9" s="189">
        <v>0.97</v>
      </c>
      <c r="Q9" s="189">
        <v>4.88</v>
      </c>
    </row>
    <row r="10" spans="1:21" customFormat="1">
      <c r="A10" s="6" t="s">
        <v>1680</v>
      </c>
      <c r="B10" s="189">
        <v>5.01</v>
      </c>
      <c r="C10" s="189">
        <v>24.1</v>
      </c>
      <c r="D10" s="189">
        <v>17.96</v>
      </c>
      <c r="E10" s="189">
        <v>6.03</v>
      </c>
      <c r="F10" s="189">
        <v>2.97</v>
      </c>
      <c r="G10" s="189">
        <v>121.64</v>
      </c>
      <c r="H10" s="189">
        <v>74.48</v>
      </c>
      <c r="I10" s="189">
        <v>9.84</v>
      </c>
      <c r="J10" s="189">
        <v>0.08</v>
      </c>
      <c r="K10" s="189">
        <v>246.08</v>
      </c>
      <c r="L10" s="189">
        <v>14.63</v>
      </c>
      <c r="M10" s="189">
        <v>89.44</v>
      </c>
      <c r="N10" s="189">
        <v>0</v>
      </c>
      <c r="O10" s="189">
        <v>0</v>
      </c>
      <c r="P10" s="189">
        <v>0.97</v>
      </c>
      <c r="Q10" s="189">
        <v>4.88</v>
      </c>
    </row>
    <row r="11" spans="1:21" customFormat="1">
      <c r="A11" s="6" t="s">
        <v>1681</v>
      </c>
      <c r="B11" s="189">
        <v>5.0199999999999996</v>
      </c>
      <c r="C11" s="189">
        <v>24.56</v>
      </c>
      <c r="D11" s="189">
        <v>18.21</v>
      </c>
      <c r="E11" s="189">
        <v>5.67</v>
      </c>
      <c r="F11" s="189">
        <v>2.98</v>
      </c>
      <c r="G11" s="189">
        <v>115.64</v>
      </c>
      <c r="H11" s="189">
        <v>73.3</v>
      </c>
      <c r="I11" s="189">
        <v>9.81</v>
      </c>
      <c r="J11" s="189">
        <v>0.13</v>
      </c>
      <c r="K11" s="189">
        <v>254.87</v>
      </c>
      <c r="L11" s="189">
        <v>14.5</v>
      </c>
      <c r="M11" s="189">
        <v>91.18</v>
      </c>
      <c r="N11" s="189">
        <v>0</v>
      </c>
      <c r="O11" s="189">
        <v>0</v>
      </c>
      <c r="P11" s="189">
        <v>0.97</v>
      </c>
      <c r="Q11" s="189">
        <v>4.87</v>
      </c>
    </row>
    <row r="12" spans="1:21" customFormat="1">
      <c r="A12" s="6" t="s">
        <v>1682</v>
      </c>
      <c r="B12" s="189">
        <v>5.12</v>
      </c>
      <c r="C12" s="189">
        <v>23.79</v>
      </c>
      <c r="D12" s="189">
        <v>17.89</v>
      </c>
      <c r="E12" s="189">
        <v>5.77</v>
      </c>
      <c r="F12" s="189">
        <v>3.04</v>
      </c>
      <c r="G12" s="189">
        <v>114.81</v>
      </c>
      <c r="H12" s="189">
        <v>73.3</v>
      </c>
      <c r="I12" s="189">
        <v>9.75</v>
      </c>
      <c r="J12" s="189">
        <v>7.0000000000000007E-2</v>
      </c>
      <c r="K12" s="189">
        <v>183.07</v>
      </c>
      <c r="L12" s="189">
        <v>14.38</v>
      </c>
      <c r="M12" s="189">
        <v>91.92</v>
      </c>
      <c r="N12" s="189">
        <v>0</v>
      </c>
      <c r="O12" s="189">
        <v>0</v>
      </c>
      <c r="P12" s="189">
        <v>0.97</v>
      </c>
      <c r="Q12" s="189">
        <v>4.8899999999999997</v>
      </c>
    </row>
    <row r="13" spans="1:21" customFormat="1">
      <c r="A13" s="6" t="s">
        <v>1683</v>
      </c>
      <c r="B13" s="189">
        <v>5.15</v>
      </c>
      <c r="C13" s="189">
        <v>23.55</v>
      </c>
      <c r="D13" s="189">
        <v>17.78</v>
      </c>
      <c r="E13" s="189">
        <v>5.46</v>
      </c>
      <c r="F13" s="189">
        <v>3</v>
      </c>
      <c r="G13" s="189">
        <v>114.81</v>
      </c>
      <c r="H13" s="189">
        <v>73.3</v>
      </c>
      <c r="I13" s="189">
        <v>9.66</v>
      </c>
      <c r="J13" s="189">
        <v>0.1</v>
      </c>
      <c r="K13" s="189">
        <v>236.25</v>
      </c>
      <c r="L13" s="189">
        <v>14.36</v>
      </c>
      <c r="M13" s="189">
        <v>91.9</v>
      </c>
      <c r="N13" s="189">
        <v>0</v>
      </c>
      <c r="O13" s="189">
        <v>0</v>
      </c>
      <c r="P13" s="189">
        <v>0.95</v>
      </c>
      <c r="Q13" s="189">
        <v>4.8899999999999997</v>
      </c>
    </row>
    <row r="14" spans="1:21" customFormat="1">
      <c r="A14" s="6" t="s">
        <v>1684</v>
      </c>
      <c r="B14" s="189">
        <v>5.17</v>
      </c>
      <c r="C14" s="189">
        <v>24.23</v>
      </c>
      <c r="D14" s="189">
        <v>18.16</v>
      </c>
      <c r="E14" s="189">
        <v>5.69</v>
      </c>
      <c r="F14" s="189">
        <v>2.98</v>
      </c>
      <c r="G14" s="189">
        <v>114.81</v>
      </c>
      <c r="H14" s="189">
        <v>73.3</v>
      </c>
      <c r="I14" s="189">
        <v>9.6</v>
      </c>
      <c r="J14" s="189">
        <v>0.15</v>
      </c>
      <c r="K14" s="189">
        <v>155.38999999999999</v>
      </c>
      <c r="L14" s="189">
        <v>14.42</v>
      </c>
      <c r="M14" s="189">
        <v>91.02</v>
      </c>
      <c r="N14" s="189">
        <v>0</v>
      </c>
      <c r="O14" s="189">
        <v>0</v>
      </c>
      <c r="P14" s="189">
        <v>0.97</v>
      </c>
      <c r="Q14" s="189">
        <v>4.91</v>
      </c>
    </row>
    <row r="15" spans="1:21" customFormat="1">
      <c r="A15" s="6" t="s">
        <v>1685</v>
      </c>
      <c r="B15" s="189">
        <v>5.12</v>
      </c>
      <c r="C15" s="189">
        <v>24.34</v>
      </c>
      <c r="D15" s="189">
        <v>18.170000000000002</v>
      </c>
      <c r="E15" s="189">
        <v>6.27</v>
      </c>
      <c r="F15" s="189">
        <v>2.97</v>
      </c>
      <c r="G15" s="189">
        <v>106.38</v>
      </c>
      <c r="H15" s="189">
        <v>69.400000000000006</v>
      </c>
      <c r="I15" s="189">
        <v>9.51</v>
      </c>
      <c r="J15" s="189">
        <v>0.04</v>
      </c>
      <c r="K15" s="189">
        <v>179.2</v>
      </c>
      <c r="L15" s="189">
        <v>14.36</v>
      </c>
      <c r="M15" s="189">
        <v>91.45</v>
      </c>
      <c r="N15" s="189">
        <v>0</v>
      </c>
      <c r="O15" s="189">
        <v>0</v>
      </c>
      <c r="P15" s="189">
        <v>0.97</v>
      </c>
      <c r="Q15" s="189">
        <v>4.8899999999999997</v>
      </c>
    </row>
    <row r="16" spans="1:21" customFormat="1">
      <c r="A16" s="6" t="s">
        <v>1686</v>
      </c>
      <c r="B16" s="189">
        <v>4.97</v>
      </c>
      <c r="C16" s="189">
        <v>24.29</v>
      </c>
      <c r="D16" s="189">
        <v>18.03</v>
      </c>
      <c r="E16" s="189">
        <v>6.47</v>
      </c>
      <c r="F16" s="189">
        <v>2.99</v>
      </c>
      <c r="G16" s="189">
        <v>105.09</v>
      </c>
      <c r="H16" s="189">
        <v>69.400000000000006</v>
      </c>
      <c r="I16" s="189">
        <v>9.39</v>
      </c>
      <c r="J16" s="189">
        <v>0.08</v>
      </c>
      <c r="K16" s="189">
        <v>154.21</v>
      </c>
      <c r="L16" s="189">
        <v>14.28</v>
      </c>
      <c r="M16" s="189">
        <v>92.04</v>
      </c>
      <c r="N16" s="189">
        <v>0</v>
      </c>
      <c r="O16" s="189">
        <v>0</v>
      </c>
      <c r="P16" s="189">
        <v>0.96</v>
      </c>
      <c r="Q16" s="189">
        <v>4.9000000000000004</v>
      </c>
    </row>
    <row r="17" spans="1:17" customFormat="1">
      <c r="A17" s="6" t="s">
        <v>1687</v>
      </c>
      <c r="B17" s="189">
        <v>5.13</v>
      </c>
      <c r="C17" s="189">
        <v>23.92</v>
      </c>
      <c r="D17" s="189">
        <v>17.96</v>
      </c>
      <c r="E17" s="189">
        <v>5.13</v>
      </c>
      <c r="F17" s="189">
        <v>3.13</v>
      </c>
      <c r="G17" s="189">
        <v>105.09</v>
      </c>
      <c r="H17" s="189">
        <v>69.400000000000006</v>
      </c>
      <c r="I17" s="189">
        <v>9.31</v>
      </c>
      <c r="J17" s="189">
        <v>0.14000000000000001</v>
      </c>
      <c r="K17" s="189">
        <v>213.98</v>
      </c>
      <c r="L17" s="189">
        <v>14.28</v>
      </c>
      <c r="M17" s="189">
        <v>91.8</v>
      </c>
      <c r="N17" s="189">
        <v>0</v>
      </c>
      <c r="O17" s="189">
        <v>0</v>
      </c>
      <c r="P17" s="189">
        <v>0.96</v>
      </c>
      <c r="Q17" s="189">
        <v>4.9000000000000004</v>
      </c>
    </row>
    <row r="18" spans="1:17" customFormat="1">
      <c r="A18" s="6" t="s">
        <v>1688</v>
      </c>
      <c r="B18" s="189">
        <v>5.12</v>
      </c>
      <c r="C18" s="189">
        <v>23.59</v>
      </c>
      <c r="D18" s="189">
        <v>17.78</v>
      </c>
      <c r="E18" s="189">
        <v>5.46</v>
      </c>
      <c r="F18" s="189">
        <v>3.07</v>
      </c>
      <c r="G18" s="189">
        <v>105.09</v>
      </c>
      <c r="H18" s="189">
        <v>69.400000000000006</v>
      </c>
      <c r="I18" s="189">
        <v>9.24</v>
      </c>
      <c r="J18" s="189">
        <v>0.09</v>
      </c>
      <c r="K18" s="189">
        <v>253.58</v>
      </c>
      <c r="L18" s="189">
        <v>13.93</v>
      </c>
      <c r="M18" s="189">
        <v>93.15</v>
      </c>
      <c r="N18" s="189">
        <v>0</v>
      </c>
      <c r="O18" s="189">
        <v>0</v>
      </c>
      <c r="P18" s="189">
        <v>0.95</v>
      </c>
      <c r="Q18" s="189">
        <v>4.91</v>
      </c>
    </row>
    <row r="19" spans="1:17" customFormat="1">
      <c r="A19" s="6" t="s">
        <v>1689</v>
      </c>
      <c r="B19" s="189">
        <v>5.1100000000000003</v>
      </c>
      <c r="C19" s="189">
        <v>23.75</v>
      </c>
      <c r="D19" s="189">
        <v>17.86</v>
      </c>
      <c r="E19" s="189">
        <v>5.5</v>
      </c>
      <c r="F19" s="189">
        <v>2.97</v>
      </c>
      <c r="G19" s="189">
        <v>96.82</v>
      </c>
      <c r="H19" s="189">
        <v>64.86</v>
      </c>
      <c r="I19" s="189">
        <v>9.15</v>
      </c>
      <c r="J19" s="189">
        <v>7.0000000000000007E-2</v>
      </c>
      <c r="K19" s="189">
        <v>162.22</v>
      </c>
      <c r="L19" s="189">
        <v>13.86</v>
      </c>
      <c r="M19" s="189">
        <v>93.22</v>
      </c>
      <c r="N19" s="189">
        <v>0</v>
      </c>
      <c r="O19" s="189">
        <v>0</v>
      </c>
      <c r="P19" s="189">
        <v>0.95</v>
      </c>
      <c r="Q19" s="189">
        <v>4.91</v>
      </c>
    </row>
    <row r="20" spans="1:17" customFormat="1">
      <c r="A20" s="6" t="s">
        <v>1690</v>
      </c>
      <c r="B20" s="189">
        <v>5.84</v>
      </c>
      <c r="C20" s="189">
        <v>24.4</v>
      </c>
      <c r="D20" s="189">
        <v>18.79</v>
      </c>
      <c r="E20" s="189">
        <v>5.57</v>
      </c>
      <c r="F20" s="189">
        <v>2.78</v>
      </c>
      <c r="G20" s="189">
        <v>95.67</v>
      </c>
      <c r="H20" s="189">
        <v>64.86</v>
      </c>
      <c r="I20" s="189">
        <v>9.0299999999999994</v>
      </c>
      <c r="J20" s="189">
        <v>0.12</v>
      </c>
      <c r="K20" s="189">
        <v>164.67</v>
      </c>
      <c r="L20" s="189">
        <v>13.82</v>
      </c>
      <c r="M20" s="189">
        <v>93.07</v>
      </c>
      <c r="N20" s="189">
        <v>0</v>
      </c>
      <c r="O20" s="189">
        <v>0</v>
      </c>
      <c r="P20" s="189">
        <v>0.94</v>
      </c>
      <c r="Q20" s="189">
        <v>4.92</v>
      </c>
    </row>
    <row r="21" spans="1:17" customFormat="1">
      <c r="A21" s="6" t="s">
        <v>1691</v>
      </c>
      <c r="B21" s="189">
        <v>6.32</v>
      </c>
      <c r="C21" s="189">
        <v>24.65</v>
      </c>
      <c r="D21" s="189">
        <v>19.3</v>
      </c>
      <c r="E21" s="189">
        <v>5.58</v>
      </c>
      <c r="F21" s="189">
        <v>2.78</v>
      </c>
      <c r="G21" s="189">
        <v>95.67</v>
      </c>
      <c r="H21" s="189">
        <v>64.86</v>
      </c>
      <c r="I21" s="189">
        <v>8.9499999999999993</v>
      </c>
      <c r="J21" s="189">
        <v>0.18</v>
      </c>
      <c r="K21" s="189">
        <v>146.08000000000001</v>
      </c>
      <c r="L21" s="189">
        <v>14.07</v>
      </c>
      <c r="M21" s="189">
        <v>92.62</v>
      </c>
      <c r="N21" s="189">
        <v>0</v>
      </c>
      <c r="O21" s="189">
        <v>0</v>
      </c>
      <c r="P21" s="189">
        <v>0.94</v>
      </c>
      <c r="Q21" s="189">
        <v>4.92</v>
      </c>
    </row>
    <row r="22" spans="1:17" customFormat="1">
      <c r="A22" s="6" t="s">
        <v>1692</v>
      </c>
      <c r="B22" s="189">
        <v>6.22</v>
      </c>
      <c r="C22" s="189">
        <v>24.78</v>
      </c>
      <c r="D22" s="189">
        <v>19.29</v>
      </c>
      <c r="E22" s="189">
        <v>5.13</v>
      </c>
      <c r="F22" s="189">
        <v>2.79</v>
      </c>
      <c r="G22" s="189">
        <v>95.67</v>
      </c>
      <c r="H22" s="189">
        <v>64.86</v>
      </c>
      <c r="I22" s="189">
        <v>8.89</v>
      </c>
      <c r="J22" s="189">
        <v>0.14000000000000001</v>
      </c>
      <c r="K22" s="189">
        <v>157.26</v>
      </c>
      <c r="L22" s="189">
        <v>14.01</v>
      </c>
      <c r="M22" s="189">
        <v>92.64</v>
      </c>
      <c r="N22" s="189">
        <v>0</v>
      </c>
      <c r="O22" s="189">
        <v>0</v>
      </c>
      <c r="P22" s="189">
        <v>0.93</v>
      </c>
      <c r="Q22" s="189">
        <v>4.93</v>
      </c>
    </row>
    <row r="23" spans="1:17" customFormat="1">
      <c r="A23" s="6" t="s">
        <v>1693</v>
      </c>
      <c r="B23" s="189">
        <v>6.2</v>
      </c>
      <c r="C23" s="189">
        <v>24.35</v>
      </c>
      <c r="D23" s="189">
        <v>19.05</v>
      </c>
      <c r="E23" s="189">
        <v>5.4</v>
      </c>
      <c r="F23" s="189">
        <v>2.84</v>
      </c>
      <c r="G23" s="189">
        <v>97.85</v>
      </c>
      <c r="H23" s="189">
        <v>62.66</v>
      </c>
      <c r="I23" s="189">
        <v>8.8000000000000007</v>
      </c>
      <c r="J23" s="189">
        <v>0.04</v>
      </c>
      <c r="K23" s="189">
        <v>308</v>
      </c>
      <c r="L23" s="189">
        <v>13.7</v>
      </c>
      <c r="M23" s="189">
        <v>93.77</v>
      </c>
      <c r="N23" s="189">
        <v>0</v>
      </c>
      <c r="O23" s="189">
        <v>0</v>
      </c>
      <c r="P23" s="189">
        <v>0.92</v>
      </c>
      <c r="Q23" s="189">
        <v>4.92</v>
      </c>
    </row>
    <row r="24" spans="1:17" customFormat="1">
      <c r="A24" s="6" t="s">
        <v>1694</v>
      </c>
      <c r="B24" s="189">
        <v>6.74</v>
      </c>
      <c r="C24" s="189">
        <v>24.74</v>
      </c>
      <c r="D24" s="189">
        <v>19.68</v>
      </c>
      <c r="E24" s="189">
        <v>5.4</v>
      </c>
      <c r="F24" s="189">
        <v>2.59</v>
      </c>
      <c r="G24" s="189">
        <v>98.15</v>
      </c>
      <c r="H24" s="189">
        <v>62.66</v>
      </c>
      <c r="I24" s="189">
        <v>8.67</v>
      </c>
      <c r="J24" s="189">
        <v>0.2</v>
      </c>
      <c r="K24" s="189">
        <v>15.18</v>
      </c>
      <c r="L24" s="189">
        <v>13.53</v>
      </c>
      <c r="M24" s="189">
        <v>94.03</v>
      </c>
      <c r="N24" s="189">
        <v>0</v>
      </c>
      <c r="O24" s="189">
        <v>0</v>
      </c>
      <c r="P24" s="189">
        <v>0.92</v>
      </c>
      <c r="Q24" s="189">
        <v>4.9000000000000004</v>
      </c>
    </row>
    <row r="25" spans="1:17" customFormat="1">
      <c r="A25" s="6" t="s">
        <v>1695</v>
      </c>
      <c r="B25" s="189">
        <v>8.35</v>
      </c>
      <c r="C25" s="189">
        <v>25.77</v>
      </c>
      <c r="D25" s="189">
        <v>21.51</v>
      </c>
      <c r="E25" s="189">
        <v>5.37</v>
      </c>
      <c r="F25" s="189">
        <v>2.44</v>
      </c>
      <c r="G25" s="189">
        <v>98.15</v>
      </c>
      <c r="H25" s="189">
        <v>62.66</v>
      </c>
      <c r="I25" s="189">
        <v>8.58</v>
      </c>
      <c r="J25" s="189">
        <v>0.16</v>
      </c>
      <c r="K25" s="189">
        <v>37.729999999999997</v>
      </c>
      <c r="L25" s="189">
        <v>13.56</v>
      </c>
      <c r="M25" s="189">
        <v>94.36</v>
      </c>
      <c r="N25" s="189">
        <v>0</v>
      </c>
      <c r="O25" s="189">
        <v>0</v>
      </c>
      <c r="P25" s="189">
        <v>0.93</v>
      </c>
      <c r="Q25" s="189">
        <v>4.9400000000000004</v>
      </c>
    </row>
    <row r="26" spans="1:17" customFormat="1">
      <c r="A26" s="6" t="s">
        <v>1696</v>
      </c>
      <c r="B26" s="189">
        <v>9.6999999999999993</v>
      </c>
      <c r="C26" s="189">
        <v>26.93</v>
      </c>
      <c r="D26" s="189">
        <v>23.2</v>
      </c>
      <c r="E26" s="189">
        <v>5.4</v>
      </c>
      <c r="F26" s="189">
        <v>2.56</v>
      </c>
      <c r="G26" s="189">
        <v>98.15</v>
      </c>
      <c r="H26" s="189">
        <v>62.66</v>
      </c>
      <c r="I26" s="189">
        <v>8.5299999999999994</v>
      </c>
      <c r="J26" s="189">
        <v>0.14000000000000001</v>
      </c>
      <c r="K26" s="189">
        <v>39.18</v>
      </c>
      <c r="L26" s="189">
        <v>13.72</v>
      </c>
      <c r="M26" s="189">
        <v>93.21</v>
      </c>
      <c r="N26" s="189">
        <v>0</v>
      </c>
      <c r="O26" s="189">
        <v>0</v>
      </c>
      <c r="P26" s="189">
        <v>0.92</v>
      </c>
      <c r="Q26" s="189">
        <v>4.96</v>
      </c>
    </row>
    <row r="27" spans="1:17" customFormat="1">
      <c r="A27" s="6" t="s">
        <v>1697</v>
      </c>
      <c r="B27" s="189">
        <v>11.59</v>
      </c>
      <c r="C27" s="189">
        <v>27.98</v>
      </c>
      <c r="D27" s="189">
        <v>25.27</v>
      </c>
      <c r="E27" s="189">
        <v>5.59</v>
      </c>
      <c r="F27" s="189">
        <v>2.65</v>
      </c>
      <c r="G27" s="189">
        <v>100.53</v>
      </c>
      <c r="H27" s="189">
        <v>63.3</v>
      </c>
      <c r="I27" s="189">
        <v>8.56</v>
      </c>
      <c r="J27" s="189">
        <v>0.06</v>
      </c>
      <c r="K27" s="189">
        <v>48.32</v>
      </c>
      <c r="L27" s="189">
        <v>13.73</v>
      </c>
      <c r="M27" s="189">
        <v>92.77</v>
      </c>
      <c r="N27" s="189">
        <v>0</v>
      </c>
      <c r="O27" s="189">
        <v>0</v>
      </c>
      <c r="P27" s="189">
        <v>0.94</v>
      </c>
      <c r="Q27" s="189">
        <v>5.01</v>
      </c>
    </row>
    <row r="28" spans="1:17" customFormat="1">
      <c r="A28" s="6" t="s">
        <v>1698</v>
      </c>
      <c r="B28" s="189">
        <v>13.53</v>
      </c>
      <c r="C28" s="189">
        <v>29.03</v>
      </c>
      <c r="D28" s="189">
        <v>27.37</v>
      </c>
      <c r="E28" s="189">
        <v>5.28</v>
      </c>
      <c r="F28" s="189">
        <v>2.54</v>
      </c>
      <c r="G28" s="189">
        <v>100.86</v>
      </c>
      <c r="H28" s="189">
        <v>63.3</v>
      </c>
      <c r="I28" s="189">
        <v>8.66</v>
      </c>
      <c r="J28" s="189">
        <v>0.08</v>
      </c>
      <c r="K28" s="189">
        <v>74.209999999999994</v>
      </c>
      <c r="L28" s="189">
        <v>13.75</v>
      </c>
      <c r="M28" s="189">
        <v>92.81</v>
      </c>
      <c r="N28" s="189">
        <v>0</v>
      </c>
      <c r="O28" s="189">
        <v>0</v>
      </c>
      <c r="P28" s="189">
        <v>0.96</v>
      </c>
      <c r="Q28" s="189">
        <v>5.03</v>
      </c>
    </row>
    <row r="29" spans="1:17" customFormat="1">
      <c r="A29" s="6" t="s">
        <v>1699</v>
      </c>
      <c r="B29" s="189">
        <v>14.95</v>
      </c>
      <c r="C29" s="189">
        <v>30.01</v>
      </c>
      <c r="D29" s="189">
        <v>29.02</v>
      </c>
      <c r="E29" s="189">
        <v>5.79</v>
      </c>
      <c r="F29" s="189">
        <v>2.58</v>
      </c>
      <c r="G29" s="189">
        <v>100.86</v>
      </c>
      <c r="H29" s="189">
        <v>63.3</v>
      </c>
      <c r="I29" s="189">
        <v>8.91</v>
      </c>
      <c r="J29" s="189">
        <v>0.09</v>
      </c>
      <c r="K29" s="189">
        <v>36.19</v>
      </c>
      <c r="L29" s="189">
        <v>13.77</v>
      </c>
      <c r="M29" s="189">
        <v>92.63</v>
      </c>
      <c r="N29" s="189">
        <v>0</v>
      </c>
      <c r="O29" s="189">
        <v>0</v>
      </c>
      <c r="P29" s="189">
        <v>1</v>
      </c>
      <c r="Q29" s="189">
        <v>5.07</v>
      </c>
    </row>
    <row r="30" spans="1:17" customFormat="1">
      <c r="A30" s="6" t="s">
        <v>1700</v>
      </c>
      <c r="B30" s="189">
        <v>16.59</v>
      </c>
      <c r="C30" s="189">
        <v>30.84</v>
      </c>
      <c r="D30" s="189">
        <v>30.76</v>
      </c>
      <c r="E30" s="189">
        <v>5.83</v>
      </c>
      <c r="F30" s="189">
        <v>2.68</v>
      </c>
      <c r="G30" s="189">
        <v>100.86</v>
      </c>
      <c r="H30" s="189">
        <v>63.3</v>
      </c>
      <c r="I30" s="189">
        <v>9.32</v>
      </c>
      <c r="J30" s="189">
        <v>0.08</v>
      </c>
      <c r="K30" s="189">
        <v>131.74</v>
      </c>
      <c r="L30" s="189">
        <v>13.72</v>
      </c>
      <c r="M30" s="189">
        <v>92.88</v>
      </c>
      <c r="N30" s="189">
        <v>0</v>
      </c>
      <c r="O30" s="189">
        <v>0</v>
      </c>
      <c r="P30" s="189">
        <v>1.03</v>
      </c>
      <c r="Q30" s="189">
        <v>5.0999999999999996</v>
      </c>
    </row>
    <row r="31" spans="1:17" customFormat="1">
      <c r="A31" s="6" t="s">
        <v>1701</v>
      </c>
      <c r="B31" s="189">
        <v>18.11</v>
      </c>
      <c r="C31" s="189">
        <v>31.6</v>
      </c>
      <c r="D31" s="189">
        <v>32.39</v>
      </c>
      <c r="E31" s="189">
        <v>5.79</v>
      </c>
      <c r="F31" s="189">
        <v>2.73</v>
      </c>
      <c r="G31" s="189">
        <v>181.66</v>
      </c>
      <c r="H31" s="189">
        <v>78.72</v>
      </c>
      <c r="I31" s="189">
        <v>9.7100000000000009</v>
      </c>
      <c r="J31" s="189">
        <v>0.13</v>
      </c>
      <c r="K31" s="189">
        <v>165.76</v>
      </c>
      <c r="L31" s="189">
        <v>13.57</v>
      </c>
      <c r="M31" s="189">
        <v>93.45</v>
      </c>
      <c r="N31" s="189">
        <v>0</v>
      </c>
      <c r="O31" s="189">
        <v>0</v>
      </c>
      <c r="P31" s="189">
        <v>1.06</v>
      </c>
      <c r="Q31" s="189">
        <v>5.13</v>
      </c>
    </row>
    <row r="32" spans="1:17" customFormat="1">
      <c r="A32" s="6" t="s">
        <v>1702</v>
      </c>
      <c r="B32" s="189">
        <v>19.34</v>
      </c>
      <c r="C32" s="189">
        <v>32.03</v>
      </c>
      <c r="D32" s="189">
        <v>33.590000000000003</v>
      </c>
      <c r="E32" s="189">
        <v>5.58</v>
      </c>
      <c r="F32" s="189">
        <v>2.65</v>
      </c>
      <c r="G32" s="189">
        <v>192.91</v>
      </c>
      <c r="H32" s="189">
        <v>78.72</v>
      </c>
      <c r="I32" s="189">
        <v>10.02</v>
      </c>
      <c r="J32" s="189">
        <v>0.11</v>
      </c>
      <c r="K32" s="189">
        <v>151.21</v>
      </c>
      <c r="L32" s="189">
        <v>13.44</v>
      </c>
      <c r="M32" s="189">
        <v>94.14</v>
      </c>
      <c r="N32" s="189">
        <v>0</v>
      </c>
      <c r="O32" s="189">
        <v>0</v>
      </c>
      <c r="P32" s="189">
        <v>1.08</v>
      </c>
      <c r="Q32" s="189">
        <v>5.15</v>
      </c>
    </row>
    <row r="33" spans="1:17" customFormat="1">
      <c r="A33" s="6" t="s">
        <v>1703</v>
      </c>
      <c r="B33" s="189">
        <v>21.23</v>
      </c>
      <c r="C33" s="189">
        <v>32.43</v>
      </c>
      <c r="D33" s="189">
        <v>35.31</v>
      </c>
      <c r="E33" s="189">
        <v>5.76</v>
      </c>
      <c r="F33" s="189">
        <v>2.56</v>
      </c>
      <c r="G33" s="189">
        <v>192.91</v>
      </c>
      <c r="H33" s="189">
        <v>78.72</v>
      </c>
      <c r="I33" s="189">
        <v>10.32</v>
      </c>
      <c r="J33" s="189">
        <v>0.02</v>
      </c>
      <c r="K33" s="189">
        <v>235.21</v>
      </c>
      <c r="L33" s="189">
        <v>13.36</v>
      </c>
      <c r="M33" s="189">
        <v>94.23</v>
      </c>
      <c r="N33" s="189">
        <v>0</v>
      </c>
      <c r="O33" s="189">
        <v>0</v>
      </c>
      <c r="P33" s="189">
        <v>1.1100000000000001</v>
      </c>
      <c r="Q33" s="189">
        <v>5.22</v>
      </c>
    </row>
    <row r="34" spans="1:17" customFormat="1">
      <c r="A34" s="6" t="s">
        <v>1704</v>
      </c>
      <c r="B34" s="189">
        <v>23.54</v>
      </c>
      <c r="C34" s="189">
        <v>32.85</v>
      </c>
      <c r="D34" s="189">
        <v>37.4</v>
      </c>
      <c r="E34" s="189">
        <v>5.84</v>
      </c>
      <c r="F34" s="189">
        <v>2.58</v>
      </c>
      <c r="G34" s="189">
        <v>192.91</v>
      </c>
      <c r="H34" s="189">
        <v>78.72</v>
      </c>
      <c r="I34" s="189">
        <v>10.61</v>
      </c>
      <c r="J34" s="189">
        <v>0.11</v>
      </c>
      <c r="K34" s="189">
        <v>139.52000000000001</v>
      </c>
      <c r="L34" s="189">
        <v>13.21</v>
      </c>
      <c r="M34" s="189">
        <v>95.01</v>
      </c>
      <c r="N34" s="189">
        <v>0</v>
      </c>
      <c r="O34" s="189">
        <v>0</v>
      </c>
      <c r="P34" s="189">
        <v>1.1399999999999999</v>
      </c>
      <c r="Q34" s="189">
        <v>5.24</v>
      </c>
    </row>
    <row r="35" spans="1:17" customFormat="1">
      <c r="A35" s="6" t="s">
        <v>1705</v>
      </c>
      <c r="B35" s="189">
        <v>25.64</v>
      </c>
      <c r="C35" s="189">
        <v>32.22</v>
      </c>
      <c r="D35" s="189">
        <v>38.75</v>
      </c>
      <c r="E35" s="189">
        <v>5.73</v>
      </c>
      <c r="F35" s="189">
        <v>2.63</v>
      </c>
      <c r="G35" s="189">
        <v>192.65</v>
      </c>
      <c r="H35" s="189">
        <v>89.61</v>
      </c>
      <c r="I35" s="189">
        <v>10.88</v>
      </c>
      <c r="J35" s="189">
        <v>0.1</v>
      </c>
      <c r="K35" s="189">
        <v>97.76</v>
      </c>
      <c r="L35" s="189">
        <v>13.27</v>
      </c>
      <c r="M35" s="189">
        <v>95.76</v>
      </c>
      <c r="N35" s="189">
        <v>1</v>
      </c>
      <c r="O35" s="189">
        <v>0</v>
      </c>
      <c r="P35" s="189">
        <v>1.1499999999999999</v>
      </c>
      <c r="Q35" s="189">
        <v>5.24</v>
      </c>
    </row>
    <row r="36" spans="1:17" customFormat="1">
      <c r="A36" s="6" t="s">
        <v>1706</v>
      </c>
      <c r="B36" s="189">
        <v>28.07</v>
      </c>
      <c r="C36" s="189">
        <v>31.67</v>
      </c>
      <c r="D36" s="189">
        <v>40.409999999999997</v>
      </c>
      <c r="E36" s="189">
        <v>5.59</v>
      </c>
      <c r="F36" s="189">
        <v>2.7</v>
      </c>
      <c r="G36" s="189">
        <v>192.62</v>
      </c>
      <c r="H36" s="189">
        <v>89.61</v>
      </c>
      <c r="I36" s="189">
        <v>11.11</v>
      </c>
      <c r="J36" s="189">
        <v>0.19</v>
      </c>
      <c r="K36" s="189">
        <v>58.9</v>
      </c>
      <c r="L36" s="189">
        <v>13.55</v>
      </c>
      <c r="M36" s="189">
        <v>95.36</v>
      </c>
      <c r="N36" s="189">
        <v>10.3</v>
      </c>
      <c r="O36" s="189">
        <v>0</v>
      </c>
      <c r="P36" s="189">
        <v>1.1499999999999999</v>
      </c>
      <c r="Q36" s="189">
        <v>5.26</v>
      </c>
    </row>
    <row r="37" spans="1:17" customFormat="1">
      <c r="A37" s="6" t="s">
        <v>1707</v>
      </c>
      <c r="B37" s="189">
        <v>29.56</v>
      </c>
      <c r="C37" s="189">
        <v>32.770000000000003</v>
      </c>
      <c r="D37" s="189">
        <v>42.18</v>
      </c>
      <c r="E37" s="189">
        <v>6.27</v>
      </c>
      <c r="F37" s="189">
        <v>2.63</v>
      </c>
      <c r="G37" s="189">
        <v>192.62</v>
      </c>
      <c r="H37" s="189">
        <v>89.61</v>
      </c>
      <c r="I37" s="189">
        <v>11.28</v>
      </c>
      <c r="J37" s="189">
        <v>0.23</v>
      </c>
      <c r="K37" s="189">
        <v>49.02</v>
      </c>
      <c r="L37" s="189">
        <v>13.9</v>
      </c>
      <c r="M37" s="189">
        <v>94.35</v>
      </c>
      <c r="N37" s="189">
        <v>16.8</v>
      </c>
      <c r="O37" s="189">
        <v>0</v>
      </c>
      <c r="P37" s="189">
        <v>1.17</v>
      </c>
      <c r="Q37" s="189">
        <v>5.29</v>
      </c>
    </row>
    <row r="38" spans="1:17" customFormat="1">
      <c r="A38" s="6" t="s">
        <v>1708</v>
      </c>
      <c r="B38" s="189">
        <v>30.52</v>
      </c>
      <c r="C38" s="189">
        <v>33.409999999999997</v>
      </c>
      <c r="D38" s="189">
        <v>43.28</v>
      </c>
      <c r="E38" s="189">
        <v>5.86</v>
      </c>
      <c r="F38" s="189">
        <v>2.6</v>
      </c>
      <c r="G38" s="189">
        <v>192.62</v>
      </c>
      <c r="H38" s="189">
        <v>89.61</v>
      </c>
      <c r="I38" s="189">
        <v>11.41</v>
      </c>
      <c r="J38" s="189">
        <v>0.17</v>
      </c>
      <c r="K38" s="189">
        <v>90.23</v>
      </c>
      <c r="L38" s="189">
        <v>14.22</v>
      </c>
      <c r="M38" s="189">
        <v>92.88</v>
      </c>
      <c r="N38" s="189">
        <v>28.5</v>
      </c>
      <c r="O38" s="189">
        <v>0</v>
      </c>
      <c r="P38" s="189">
        <v>1.18</v>
      </c>
      <c r="Q38" s="189">
        <v>5.31</v>
      </c>
    </row>
    <row r="39" spans="1:17" customFormat="1">
      <c r="A39" s="6" t="s">
        <v>1709</v>
      </c>
      <c r="B39" s="189">
        <v>30.6</v>
      </c>
      <c r="C39" s="189">
        <v>34.39</v>
      </c>
      <c r="D39" s="189">
        <v>43.86</v>
      </c>
      <c r="E39" s="189">
        <v>5.88</v>
      </c>
      <c r="F39" s="189">
        <v>2.48</v>
      </c>
      <c r="G39" s="189">
        <v>172.76</v>
      </c>
      <c r="H39" s="189">
        <v>91.19</v>
      </c>
      <c r="I39" s="189">
        <v>11.55</v>
      </c>
      <c r="J39" s="189">
        <v>0.2</v>
      </c>
      <c r="K39" s="189">
        <v>67.12</v>
      </c>
      <c r="L39" s="189">
        <v>14.68</v>
      </c>
      <c r="M39" s="189">
        <v>90.8</v>
      </c>
      <c r="N39" s="189">
        <v>41.7</v>
      </c>
      <c r="O39" s="189">
        <v>0</v>
      </c>
      <c r="P39" s="189">
        <v>1.2</v>
      </c>
      <c r="Q39" s="189">
        <v>5.33</v>
      </c>
    </row>
    <row r="40" spans="1:17" customFormat="1">
      <c r="A40" s="6" t="s">
        <v>1710</v>
      </c>
      <c r="B40" s="189">
        <v>30.47</v>
      </c>
      <c r="C40" s="189">
        <v>35.369999999999997</v>
      </c>
      <c r="D40" s="189">
        <v>44.26</v>
      </c>
      <c r="E40" s="189">
        <v>6.1</v>
      </c>
      <c r="F40" s="189">
        <v>2.48</v>
      </c>
      <c r="G40" s="189">
        <v>169.99</v>
      </c>
      <c r="H40" s="189">
        <v>91.19</v>
      </c>
      <c r="I40" s="189">
        <v>11.74</v>
      </c>
      <c r="J40" s="189">
        <v>0.37</v>
      </c>
      <c r="K40" s="189">
        <v>53.18</v>
      </c>
      <c r="L40" s="189">
        <v>15.13</v>
      </c>
      <c r="M40" s="189">
        <v>88.72</v>
      </c>
      <c r="N40" s="189">
        <v>60.3</v>
      </c>
      <c r="O40" s="189">
        <v>0</v>
      </c>
      <c r="P40" s="189">
        <v>1.22</v>
      </c>
      <c r="Q40" s="189">
        <v>5.35</v>
      </c>
    </row>
    <row r="41" spans="1:17" customFormat="1">
      <c r="A41" s="6" t="s">
        <v>1711</v>
      </c>
      <c r="B41" s="189">
        <v>30.19</v>
      </c>
      <c r="C41" s="189">
        <v>36.450000000000003</v>
      </c>
      <c r="D41" s="189">
        <v>44.61</v>
      </c>
      <c r="E41" s="189">
        <v>6.21</v>
      </c>
      <c r="F41" s="189">
        <v>2.52</v>
      </c>
      <c r="G41" s="189">
        <v>169.99</v>
      </c>
      <c r="H41" s="189">
        <v>91.19</v>
      </c>
      <c r="I41" s="189">
        <v>11.93</v>
      </c>
      <c r="J41" s="189">
        <v>0.46</v>
      </c>
      <c r="K41" s="189">
        <v>39.89</v>
      </c>
      <c r="L41" s="189">
        <v>15.67</v>
      </c>
      <c r="M41" s="189">
        <v>86.6</v>
      </c>
      <c r="N41" s="189">
        <v>122.6</v>
      </c>
      <c r="O41" s="189">
        <v>0</v>
      </c>
      <c r="P41" s="189">
        <v>1.23</v>
      </c>
      <c r="Q41" s="189">
        <v>5.33</v>
      </c>
    </row>
    <row r="42" spans="1:17" customFormat="1">
      <c r="A42" s="6" t="s">
        <v>1712</v>
      </c>
      <c r="B42" s="189">
        <v>29.51</v>
      </c>
      <c r="C42" s="189">
        <v>35.58</v>
      </c>
      <c r="D42" s="189">
        <v>43.6</v>
      </c>
      <c r="E42" s="189">
        <v>6.32</v>
      </c>
      <c r="F42" s="189">
        <v>2.59</v>
      </c>
      <c r="G42" s="189">
        <v>169.99</v>
      </c>
      <c r="H42" s="189">
        <v>91.19</v>
      </c>
      <c r="I42" s="189">
        <v>12.08</v>
      </c>
      <c r="J42" s="189">
        <v>0.42</v>
      </c>
      <c r="K42" s="189">
        <v>45.59</v>
      </c>
      <c r="L42" s="189">
        <v>16.23</v>
      </c>
      <c r="M42" s="189">
        <v>84.82</v>
      </c>
      <c r="N42" s="189">
        <v>147.5</v>
      </c>
      <c r="O42" s="189">
        <v>0</v>
      </c>
      <c r="P42" s="189">
        <v>1.23</v>
      </c>
      <c r="Q42" s="189">
        <v>5.32</v>
      </c>
    </row>
    <row r="43" spans="1:17" customFormat="1">
      <c r="A43" s="6" t="s">
        <v>1713</v>
      </c>
      <c r="B43" s="189">
        <v>28.63</v>
      </c>
      <c r="C43" s="189">
        <v>36.04</v>
      </c>
      <c r="D43" s="189">
        <v>43.14</v>
      </c>
      <c r="E43" s="189">
        <v>6.53</v>
      </c>
      <c r="F43" s="189">
        <v>2.5499999999999998</v>
      </c>
      <c r="G43" s="189">
        <v>165.46</v>
      </c>
      <c r="H43" s="189">
        <v>86.56</v>
      </c>
      <c r="I43" s="189">
        <v>12.24</v>
      </c>
      <c r="J43" s="189">
        <v>0.53</v>
      </c>
      <c r="K43" s="189">
        <v>40.5</v>
      </c>
      <c r="L43" s="189">
        <v>17.14</v>
      </c>
      <c r="M43" s="189">
        <v>81.239999999999995</v>
      </c>
      <c r="N43" s="189">
        <v>183.2</v>
      </c>
      <c r="O43" s="189">
        <v>0</v>
      </c>
      <c r="P43" s="189">
        <v>1.23</v>
      </c>
      <c r="Q43" s="189">
        <v>5.31</v>
      </c>
    </row>
    <row r="44" spans="1:17" customFormat="1">
      <c r="A44" s="6" t="s">
        <v>1714</v>
      </c>
      <c r="B44" s="189">
        <v>27.52</v>
      </c>
      <c r="C44" s="189">
        <v>35.43</v>
      </c>
      <c r="D44" s="189">
        <v>41.93</v>
      </c>
      <c r="E44" s="189">
        <v>6.28</v>
      </c>
      <c r="F44" s="189">
        <v>2.52</v>
      </c>
      <c r="G44" s="189">
        <v>164.83</v>
      </c>
      <c r="H44" s="189">
        <v>86.56</v>
      </c>
      <c r="I44" s="189">
        <v>12.34</v>
      </c>
      <c r="J44" s="189">
        <v>0.55000000000000004</v>
      </c>
      <c r="K44" s="189">
        <v>47.11</v>
      </c>
      <c r="L44" s="189">
        <v>18.04</v>
      </c>
      <c r="M44" s="189">
        <v>76.52</v>
      </c>
      <c r="N44" s="189">
        <v>183.8</v>
      </c>
      <c r="O44" s="189">
        <v>0</v>
      </c>
      <c r="P44" s="189">
        <v>1.23</v>
      </c>
      <c r="Q44" s="189">
        <v>5.29</v>
      </c>
    </row>
    <row r="45" spans="1:17" customFormat="1">
      <c r="A45" s="6" t="s">
        <v>1715</v>
      </c>
      <c r="B45" s="189">
        <v>26.14</v>
      </c>
      <c r="C45" s="189">
        <v>35.1</v>
      </c>
      <c r="D45" s="189">
        <v>40.65</v>
      </c>
      <c r="E45" s="189">
        <v>6.21</v>
      </c>
      <c r="F45" s="189">
        <v>2.5299999999999998</v>
      </c>
      <c r="G45" s="189">
        <v>164.83</v>
      </c>
      <c r="H45" s="189">
        <v>86.56</v>
      </c>
      <c r="I45" s="189">
        <v>12.37</v>
      </c>
      <c r="J45" s="189">
        <v>0.28000000000000003</v>
      </c>
      <c r="K45" s="189">
        <v>95.44</v>
      </c>
      <c r="L45" s="189">
        <v>18.829999999999998</v>
      </c>
      <c r="M45" s="189">
        <v>73.34</v>
      </c>
      <c r="N45" s="189">
        <v>118.7</v>
      </c>
      <c r="O45" s="189">
        <v>0</v>
      </c>
      <c r="P45" s="189">
        <v>1.21</v>
      </c>
      <c r="Q45" s="189">
        <v>5.29</v>
      </c>
    </row>
    <row r="46" spans="1:17" customFormat="1">
      <c r="A46" s="6" t="s">
        <v>1716</v>
      </c>
      <c r="B46" s="189">
        <v>24.23</v>
      </c>
      <c r="C46" s="189">
        <v>34.72</v>
      </c>
      <c r="D46" s="189">
        <v>38.92</v>
      </c>
      <c r="E46" s="189">
        <v>5.92</v>
      </c>
      <c r="F46" s="189">
        <v>2.68</v>
      </c>
      <c r="G46" s="189">
        <v>164.83</v>
      </c>
      <c r="H46" s="189">
        <v>86.56</v>
      </c>
      <c r="I46" s="189">
        <v>12.29</v>
      </c>
      <c r="J46" s="189">
        <v>0.28000000000000003</v>
      </c>
      <c r="K46" s="189">
        <v>65.099999999999994</v>
      </c>
      <c r="L46" s="189">
        <v>19.93</v>
      </c>
      <c r="M46" s="189">
        <v>67.53</v>
      </c>
      <c r="N46" s="189">
        <v>113.9</v>
      </c>
      <c r="O46" s="189">
        <v>0</v>
      </c>
      <c r="P46" s="189">
        <v>1.2</v>
      </c>
      <c r="Q46" s="189">
        <v>5.27</v>
      </c>
    </row>
    <row r="47" spans="1:17" customFormat="1">
      <c r="A47" s="6" t="s">
        <v>1717</v>
      </c>
      <c r="B47" s="189">
        <v>22.49</v>
      </c>
      <c r="C47" s="189">
        <v>33.74</v>
      </c>
      <c r="D47" s="189">
        <v>37.020000000000003</v>
      </c>
      <c r="E47" s="189">
        <v>6.11</v>
      </c>
      <c r="F47" s="189">
        <v>2.87</v>
      </c>
      <c r="G47" s="189">
        <v>128.02000000000001</v>
      </c>
      <c r="H47" s="189">
        <v>81.14</v>
      </c>
      <c r="I47" s="189">
        <v>12.14</v>
      </c>
      <c r="J47" s="189">
        <v>0.28999999999999998</v>
      </c>
      <c r="K47" s="189">
        <v>92.32</v>
      </c>
      <c r="L47" s="189">
        <v>20.74</v>
      </c>
      <c r="M47" s="189">
        <v>64.19</v>
      </c>
      <c r="N47" s="189">
        <v>131</v>
      </c>
      <c r="O47" s="189">
        <v>0</v>
      </c>
      <c r="P47" s="189">
        <v>1.18</v>
      </c>
      <c r="Q47" s="189">
        <v>5.25</v>
      </c>
    </row>
    <row r="48" spans="1:17" customFormat="1">
      <c r="A48" s="6" t="s">
        <v>1718</v>
      </c>
      <c r="B48" s="189">
        <v>20.74</v>
      </c>
      <c r="C48" s="189">
        <v>33.74</v>
      </c>
      <c r="D48" s="189">
        <v>35.61</v>
      </c>
      <c r="E48" s="189">
        <v>5.92</v>
      </c>
      <c r="F48" s="189">
        <v>2.84</v>
      </c>
      <c r="G48" s="189">
        <v>122.9</v>
      </c>
      <c r="H48" s="189">
        <v>81.14</v>
      </c>
      <c r="I48" s="189">
        <v>11.99</v>
      </c>
      <c r="J48" s="189">
        <v>0.31</v>
      </c>
      <c r="K48" s="189">
        <v>95.68</v>
      </c>
      <c r="L48" s="189">
        <v>21.5</v>
      </c>
      <c r="M48" s="189">
        <v>60.94</v>
      </c>
      <c r="N48" s="189">
        <v>184.4</v>
      </c>
      <c r="O48" s="189">
        <v>0</v>
      </c>
      <c r="P48" s="189">
        <v>1.17</v>
      </c>
      <c r="Q48" s="189">
        <v>5.22</v>
      </c>
    </row>
    <row r="49" spans="1:17" customFormat="1">
      <c r="A49" s="6" t="s">
        <v>1719</v>
      </c>
      <c r="B49" s="189">
        <v>18.989999999999998</v>
      </c>
      <c r="C49" s="189">
        <v>31.99</v>
      </c>
      <c r="D49" s="189">
        <v>33.29</v>
      </c>
      <c r="E49" s="189">
        <v>6.52</v>
      </c>
      <c r="F49" s="189">
        <v>3.04</v>
      </c>
      <c r="G49" s="189">
        <v>122.9</v>
      </c>
      <c r="H49" s="189">
        <v>81.14</v>
      </c>
      <c r="I49" s="189">
        <v>11.95</v>
      </c>
      <c r="J49" s="189">
        <v>0.39</v>
      </c>
      <c r="K49" s="189">
        <v>83.67</v>
      </c>
      <c r="L49" s="189">
        <v>22.02</v>
      </c>
      <c r="M49" s="189">
        <v>57.98</v>
      </c>
      <c r="N49" s="189">
        <v>353.7</v>
      </c>
      <c r="O49" s="189">
        <v>0</v>
      </c>
      <c r="P49" s="189">
        <v>1.1499999999999999</v>
      </c>
      <c r="Q49" s="189">
        <v>5.19</v>
      </c>
    </row>
    <row r="50" spans="1:17" customFormat="1">
      <c r="A50" s="6" t="s">
        <v>1720</v>
      </c>
      <c r="B50" s="189">
        <v>17.34</v>
      </c>
      <c r="C50" s="189">
        <v>30.95</v>
      </c>
      <c r="D50" s="189">
        <v>31.43</v>
      </c>
      <c r="E50" s="189">
        <v>7.19</v>
      </c>
      <c r="F50" s="189">
        <v>2.9</v>
      </c>
      <c r="G50" s="189">
        <v>122.9</v>
      </c>
      <c r="H50" s="189">
        <v>81.14</v>
      </c>
      <c r="I50" s="189">
        <v>11.98</v>
      </c>
      <c r="J50" s="189">
        <v>0.53</v>
      </c>
      <c r="K50" s="189">
        <v>49.79</v>
      </c>
      <c r="L50" s="189">
        <v>22.48</v>
      </c>
      <c r="M50" s="189">
        <v>56.58</v>
      </c>
      <c r="N50" s="189">
        <v>392.2</v>
      </c>
      <c r="O50" s="189">
        <v>0</v>
      </c>
      <c r="P50" s="189">
        <v>1.1299999999999999</v>
      </c>
      <c r="Q50" s="189">
        <v>5.16</v>
      </c>
    </row>
    <row r="51" spans="1:17" customFormat="1">
      <c r="A51" s="6" t="s">
        <v>1721</v>
      </c>
      <c r="B51" s="189">
        <v>16.14</v>
      </c>
      <c r="C51" s="189">
        <v>30.94</v>
      </c>
      <c r="D51" s="189">
        <v>30.46</v>
      </c>
      <c r="E51" s="189">
        <v>7.47</v>
      </c>
      <c r="F51" s="189">
        <v>2.84</v>
      </c>
      <c r="G51" s="189">
        <v>110.16</v>
      </c>
      <c r="H51" s="189">
        <v>72.38</v>
      </c>
      <c r="I51" s="189">
        <v>11.9</v>
      </c>
      <c r="J51" s="189">
        <v>0.65</v>
      </c>
      <c r="K51" s="189">
        <v>44.96</v>
      </c>
      <c r="L51" s="189">
        <v>22.76</v>
      </c>
      <c r="M51" s="189">
        <v>53.92</v>
      </c>
      <c r="N51" s="189">
        <v>406</v>
      </c>
      <c r="O51" s="189">
        <v>0</v>
      </c>
      <c r="P51" s="189">
        <v>1.1200000000000001</v>
      </c>
      <c r="Q51" s="189">
        <v>5.12</v>
      </c>
    </row>
    <row r="52" spans="1:17" customFormat="1">
      <c r="A52" s="6" t="s">
        <v>1722</v>
      </c>
      <c r="B52" s="189">
        <v>15.11</v>
      </c>
      <c r="C52" s="189">
        <v>31.46</v>
      </c>
      <c r="D52" s="189">
        <v>29.91</v>
      </c>
      <c r="E52" s="189">
        <v>7.15</v>
      </c>
      <c r="F52" s="189">
        <v>2.87</v>
      </c>
      <c r="G52" s="189">
        <v>108.39</v>
      </c>
      <c r="H52" s="189">
        <v>72.38</v>
      </c>
      <c r="I52" s="189">
        <v>11.77</v>
      </c>
      <c r="J52" s="189">
        <v>0.69</v>
      </c>
      <c r="K52" s="189">
        <v>38.22</v>
      </c>
      <c r="L52" s="189">
        <v>23.1</v>
      </c>
      <c r="M52" s="189">
        <v>51.98</v>
      </c>
      <c r="N52" s="189">
        <v>431.3</v>
      </c>
      <c r="O52" s="189">
        <v>0</v>
      </c>
      <c r="P52" s="189">
        <v>1.1100000000000001</v>
      </c>
      <c r="Q52" s="189">
        <v>5.09</v>
      </c>
    </row>
    <row r="53" spans="1:17" customFormat="1">
      <c r="A53" s="6" t="s">
        <v>1723</v>
      </c>
      <c r="B53" s="189">
        <v>14</v>
      </c>
      <c r="C53" s="189">
        <v>31.62</v>
      </c>
      <c r="D53" s="189">
        <v>29.1</v>
      </c>
      <c r="E53" s="189">
        <v>7.33</v>
      </c>
      <c r="F53" s="189">
        <v>2.97</v>
      </c>
      <c r="G53" s="189">
        <v>108.39</v>
      </c>
      <c r="H53" s="189">
        <v>72.38</v>
      </c>
      <c r="I53" s="189">
        <v>11.63</v>
      </c>
      <c r="J53" s="189">
        <v>0.56000000000000005</v>
      </c>
      <c r="K53" s="189">
        <v>45.37</v>
      </c>
      <c r="L53" s="189">
        <v>23.55</v>
      </c>
      <c r="M53" s="189">
        <v>51.46</v>
      </c>
      <c r="N53" s="189">
        <v>419.7</v>
      </c>
      <c r="O53" s="189">
        <v>0</v>
      </c>
      <c r="P53" s="189">
        <v>1.1100000000000001</v>
      </c>
      <c r="Q53" s="189">
        <v>5.08</v>
      </c>
    </row>
    <row r="54" spans="1:17" customFormat="1">
      <c r="A54" s="6" t="s">
        <v>1724</v>
      </c>
      <c r="B54" s="189">
        <v>12.14</v>
      </c>
      <c r="C54" s="189">
        <v>31.41</v>
      </c>
      <c r="D54" s="189">
        <v>27.5</v>
      </c>
      <c r="E54" s="189">
        <v>7.54</v>
      </c>
      <c r="F54" s="189">
        <v>3.7</v>
      </c>
      <c r="G54" s="189">
        <v>108.39</v>
      </c>
      <c r="H54" s="189">
        <v>72.38</v>
      </c>
      <c r="I54" s="189">
        <v>11.45</v>
      </c>
      <c r="J54" s="189">
        <v>0.35</v>
      </c>
      <c r="K54" s="189">
        <v>79.27</v>
      </c>
      <c r="L54" s="189">
        <v>24.27</v>
      </c>
      <c r="M54" s="189">
        <v>49.59</v>
      </c>
      <c r="N54" s="189">
        <v>454.3</v>
      </c>
      <c r="O54" s="189">
        <v>0</v>
      </c>
      <c r="P54" s="189">
        <v>1.0900000000000001</v>
      </c>
      <c r="Q54" s="189">
        <v>5.04</v>
      </c>
    </row>
    <row r="55" spans="1:17" customFormat="1">
      <c r="A55" s="6" t="s">
        <v>1725</v>
      </c>
      <c r="B55" s="189">
        <v>10.130000000000001</v>
      </c>
      <c r="C55" s="189">
        <v>31.64</v>
      </c>
      <c r="D55" s="189">
        <v>26</v>
      </c>
      <c r="E55" s="189">
        <v>7.31</v>
      </c>
      <c r="F55" s="189">
        <v>3.54</v>
      </c>
      <c r="G55" s="189">
        <v>92.83</v>
      </c>
      <c r="H55" s="189">
        <v>57.18</v>
      </c>
      <c r="I55" s="189">
        <v>11.25</v>
      </c>
      <c r="J55" s="189">
        <v>0.14000000000000001</v>
      </c>
      <c r="K55" s="189">
        <v>102.65</v>
      </c>
      <c r="L55" s="189">
        <v>24.92</v>
      </c>
      <c r="M55" s="189">
        <v>47.31</v>
      </c>
      <c r="N55" s="189">
        <v>463.6</v>
      </c>
      <c r="O55" s="189">
        <v>0</v>
      </c>
      <c r="P55" s="189">
        <v>1.08</v>
      </c>
      <c r="Q55" s="189">
        <v>5.0199999999999996</v>
      </c>
    </row>
    <row r="56" spans="1:17" customFormat="1">
      <c r="A56" s="6" t="s">
        <v>1726</v>
      </c>
      <c r="B56" s="189">
        <v>8.31</v>
      </c>
      <c r="C56" s="189">
        <v>31.72</v>
      </c>
      <c r="D56" s="189">
        <v>24.59</v>
      </c>
      <c r="E56" s="189">
        <v>7.97</v>
      </c>
      <c r="F56" s="189">
        <v>3.58</v>
      </c>
      <c r="G56" s="189">
        <v>90.67</v>
      </c>
      <c r="H56" s="189">
        <v>57.18</v>
      </c>
      <c r="I56" s="189">
        <v>11.01</v>
      </c>
      <c r="J56" s="189">
        <v>0.46</v>
      </c>
      <c r="K56" s="189">
        <v>32.82</v>
      </c>
      <c r="L56" s="189">
        <v>25.05</v>
      </c>
      <c r="M56" s="189">
        <v>46.4</v>
      </c>
      <c r="N56" s="189">
        <v>463.3</v>
      </c>
      <c r="O56" s="189">
        <v>0</v>
      </c>
      <c r="P56" s="189">
        <v>1.06</v>
      </c>
      <c r="Q56" s="189">
        <v>5.03</v>
      </c>
    </row>
    <row r="57" spans="1:17" customFormat="1">
      <c r="A57" s="6" t="s">
        <v>1727</v>
      </c>
      <c r="B57" s="189">
        <v>7.06</v>
      </c>
      <c r="C57" s="189">
        <v>31.29</v>
      </c>
      <c r="D57" s="189">
        <v>23.36</v>
      </c>
      <c r="E57" s="189">
        <v>7.71</v>
      </c>
      <c r="F57" s="189">
        <v>4.1500000000000004</v>
      </c>
      <c r="G57" s="189">
        <v>90.67</v>
      </c>
      <c r="H57" s="189">
        <v>57.18</v>
      </c>
      <c r="I57" s="189">
        <v>10.73</v>
      </c>
      <c r="J57" s="189">
        <v>0.42</v>
      </c>
      <c r="K57" s="189">
        <v>35.72</v>
      </c>
      <c r="L57" s="189">
        <v>25.24</v>
      </c>
      <c r="M57" s="189">
        <v>46.08</v>
      </c>
      <c r="N57" s="189">
        <v>453.2</v>
      </c>
      <c r="O57" s="189">
        <v>0</v>
      </c>
      <c r="P57" s="189">
        <v>1.04</v>
      </c>
      <c r="Q57" s="189">
        <v>5</v>
      </c>
    </row>
    <row r="58" spans="1:17" customFormat="1">
      <c r="A58" s="6" t="s">
        <v>1728</v>
      </c>
      <c r="B58" s="189">
        <v>6.07</v>
      </c>
      <c r="C58" s="189">
        <v>31</v>
      </c>
      <c r="D58" s="189">
        <v>22.41</v>
      </c>
      <c r="E58" s="189">
        <v>8.0399999999999991</v>
      </c>
      <c r="F58" s="189">
        <v>5.31</v>
      </c>
      <c r="G58" s="189">
        <v>90.67</v>
      </c>
      <c r="H58" s="189">
        <v>57.18</v>
      </c>
      <c r="I58" s="189">
        <v>10.49</v>
      </c>
      <c r="J58" s="189">
        <v>0.62</v>
      </c>
      <c r="K58" s="189">
        <v>42.41</v>
      </c>
      <c r="L58" s="189">
        <v>25.19</v>
      </c>
      <c r="M58" s="189">
        <v>45.16</v>
      </c>
      <c r="N58" s="189">
        <v>451</v>
      </c>
      <c r="O58" s="189">
        <v>0</v>
      </c>
      <c r="P58" s="189">
        <v>1.02</v>
      </c>
      <c r="Q58" s="189">
        <v>4.9800000000000004</v>
      </c>
    </row>
    <row r="59" spans="1:17" customFormat="1">
      <c r="A59" s="6" t="s">
        <v>1729</v>
      </c>
      <c r="B59" s="189">
        <v>5.4</v>
      </c>
      <c r="C59" s="189">
        <v>30.55</v>
      </c>
      <c r="D59" s="189">
        <v>21.64</v>
      </c>
      <c r="E59" s="189">
        <v>8.5500000000000007</v>
      </c>
      <c r="F59" s="189">
        <v>5.13</v>
      </c>
      <c r="G59" s="189">
        <v>80.98</v>
      </c>
      <c r="H59" s="189">
        <v>51.08</v>
      </c>
      <c r="I59" s="189">
        <v>10.24</v>
      </c>
      <c r="J59" s="189">
        <v>0.63</v>
      </c>
      <c r="K59" s="189">
        <v>33.79</v>
      </c>
      <c r="L59" s="189">
        <v>25.67</v>
      </c>
      <c r="M59" s="189">
        <v>43.9</v>
      </c>
      <c r="N59" s="189">
        <v>441.2</v>
      </c>
      <c r="O59" s="189">
        <v>0</v>
      </c>
      <c r="P59" s="189">
        <v>1.01</v>
      </c>
      <c r="Q59" s="189">
        <v>4.96</v>
      </c>
    </row>
    <row r="60" spans="1:17" customFormat="1">
      <c r="A60" s="6" t="s">
        <v>1730</v>
      </c>
      <c r="B60" s="189">
        <v>5.04</v>
      </c>
      <c r="C60" s="189">
        <v>30.14</v>
      </c>
      <c r="D60" s="189">
        <v>21.14</v>
      </c>
      <c r="E60" s="189">
        <v>8.1300000000000008</v>
      </c>
      <c r="F60" s="189">
        <v>5</v>
      </c>
      <c r="G60" s="189">
        <v>79.63</v>
      </c>
      <c r="H60" s="189">
        <v>51.08</v>
      </c>
      <c r="I60" s="189">
        <v>9.98</v>
      </c>
      <c r="J60" s="189">
        <v>0.49</v>
      </c>
      <c r="K60" s="189">
        <v>50.66</v>
      </c>
      <c r="L60" s="189">
        <v>25.88</v>
      </c>
      <c r="M60" s="189">
        <v>42.8</v>
      </c>
      <c r="N60" s="189">
        <v>429.7</v>
      </c>
      <c r="O60" s="189">
        <v>0</v>
      </c>
      <c r="P60" s="189">
        <v>0.99</v>
      </c>
      <c r="Q60" s="189">
        <v>4.93</v>
      </c>
    </row>
    <row r="61" spans="1:17" customFormat="1">
      <c r="A61" s="6" t="s">
        <v>1731</v>
      </c>
      <c r="B61" s="189">
        <v>4.9000000000000004</v>
      </c>
      <c r="C61" s="189">
        <v>29.57</v>
      </c>
      <c r="D61" s="189">
        <v>20.73</v>
      </c>
      <c r="E61" s="189">
        <v>8.68</v>
      </c>
      <c r="F61" s="189">
        <v>5.08</v>
      </c>
      <c r="G61" s="189">
        <v>79.63</v>
      </c>
      <c r="H61" s="189">
        <v>51.08</v>
      </c>
      <c r="I61" s="189">
        <v>9.81</v>
      </c>
      <c r="J61" s="189">
        <v>0.46</v>
      </c>
      <c r="K61" s="189">
        <v>41.99</v>
      </c>
      <c r="L61" s="189">
        <v>26.11</v>
      </c>
      <c r="M61" s="189">
        <v>42.17</v>
      </c>
      <c r="N61" s="189">
        <v>409.1</v>
      </c>
      <c r="O61" s="189">
        <v>0</v>
      </c>
      <c r="P61" s="189">
        <v>0.98</v>
      </c>
      <c r="Q61" s="189">
        <v>4.9400000000000004</v>
      </c>
    </row>
    <row r="62" spans="1:17" customFormat="1">
      <c r="A62" s="6" t="s">
        <v>1732</v>
      </c>
      <c r="B62" s="189">
        <v>4.7300000000000004</v>
      </c>
      <c r="C62" s="189">
        <v>29.12</v>
      </c>
      <c r="D62" s="189">
        <v>20.36</v>
      </c>
      <c r="E62" s="189">
        <v>8.32</v>
      </c>
      <c r="F62" s="189">
        <v>5.26</v>
      </c>
      <c r="G62" s="189">
        <v>79.63</v>
      </c>
      <c r="H62" s="189">
        <v>51.08</v>
      </c>
      <c r="I62" s="189">
        <v>9.61</v>
      </c>
      <c r="J62" s="189">
        <v>0.24</v>
      </c>
      <c r="K62" s="189">
        <v>104.37</v>
      </c>
      <c r="L62" s="189">
        <v>26.67</v>
      </c>
      <c r="M62" s="189">
        <v>41.08</v>
      </c>
      <c r="N62" s="189">
        <v>405.3</v>
      </c>
      <c r="O62" s="189">
        <v>0</v>
      </c>
      <c r="P62" s="189">
        <v>0.97</v>
      </c>
      <c r="Q62" s="189">
        <v>4.92</v>
      </c>
    </row>
    <row r="63" spans="1:17" customFormat="1">
      <c r="A63" s="6" t="s">
        <v>1733</v>
      </c>
      <c r="B63" s="189">
        <v>4.66</v>
      </c>
      <c r="C63" s="189">
        <v>28.5</v>
      </c>
      <c r="D63" s="189">
        <v>19.98</v>
      </c>
      <c r="E63" s="189">
        <v>8.81</v>
      </c>
      <c r="F63" s="189">
        <v>6.25</v>
      </c>
      <c r="G63" s="189">
        <v>80.67</v>
      </c>
      <c r="H63" s="189">
        <v>50.21</v>
      </c>
      <c r="I63" s="189">
        <v>9.42</v>
      </c>
      <c r="J63" s="189">
        <v>0.43</v>
      </c>
      <c r="K63" s="189">
        <v>43</v>
      </c>
      <c r="L63" s="189">
        <v>26.67</v>
      </c>
      <c r="M63" s="189">
        <v>41.49</v>
      </c>
      <c r="N63" s="189">
        <v>390.5</v>
      </c>
      <c r="O63" s="189">
        <v>0</v>
      </c>
      <c r="P63" s="189">
        <v>0.94</v>
      </c>
      <c r="Q63" s="189">
        <v>4.9000000000000004</v>
      </c>
    </row>
    <row r="64" spans="1:17" customFormat="1">
      <c r="A64" s="6" t="s">
        <v>1734</v>
      </c>
      <c r="B64" s="189">
        <v>4.55</v>
      </c>
      <c r="C64" s="189">
        <v>28.17</v>
      </c>
      <c r="D64" s="189">
        <v>19.72</v>
      </c>
      <c r="E64" s="189">
        <v>8.84</v>
      </c>
      <c r="F64" s="189">
        <v>5.78</v>
      </c>
      <c r="G64" s="189">
        <v>80.81</v>
      </c>
      <c r="H64" s="189">
        <v>50.21</v>
      </c>
      <c r="I64" s="189">
        <v>9.2100000000000009</v>
      </c>
      <c r="J64" s="189">
        <v>0.27</v>
      </c>
      <c r="K64" s="189">
        <v>73.58</v>
      </c>
      <c r="L64" s="189">
        <v>26.64</v>
      </c>
      <c r="M64" s="189">
        <v>40.950000000000003</v>
      </c>
      <c r="N64" s="189">
        <v>354</v>
      </c>
      <c r="O64" s="189">
        <v>0</v>
      </c>
      <c r="P64" s="189">
        <v>0.93</v>
      </c>
      <c r="Q64" s="189">
        <v>4.8899999999999997</v>
      </c>
    </row>
    <row r="65" spans="1:17" customFormat="1">
      <c r="A65" s="6" t="s">
        <v>1735</v>
      </c>
      <c r="B65" s="189">
        <v>4.57</v>
      </c>
      <c r="C65" s="189">
        <v>28.03</v>
      </c>
      <c r="D65" s="189">
        <v>19.66</v>
      </c>
      <c r="E65" s="189">
        <v>8.42</v>
      </c>
      <c r="F65" s="189">
        <v>5.6</v>
      </c>
      <c r="G65" s="189">
        <v>80.81</v>
      </c>
      <c r="H65" s="189">
        <v>50.21</v>
      </c>
      <c r="I65" s="189">
        <v>9.0500000000000007</v>
      </c>
      <c r="J65" s="189">
        <v>0.28999999999999998</v>
      </c>
      <c r="K65" s="189">
        <v>49.38</v>
      </c>
      <c r="L65" s="189">
        <v>26.55</v>
      </c>
      <c r="M65" s="189">
        <v>40.89</v>
      </c>
      <c r="N65" s="189">
        <v>178.1</v>
      </c>
      <c r="O65" s="189">
        <v>0</v>
      </c>
      <c r="P65" s="189">
        <v>0.81</v>
      </c>
      <c r="Q65" s="189">
        <v>4.9000000000000004</v>
      </c>
    </row>
    <row r="66" spans="1:17" customFormat="1">
      <c r="A66" s="6" t="s">
        <v>1736</v>
      </c>
      <c r="B66" s="189">
        <v>4.5599999999999996</v>
      </c>
      <c r="C66" s="189">
        <v>27.57</v>
      </c>
      <c r="D66" s="189">
        <v>19.41</v>
      </c>
      <c r="E66" s="189">
        <v>8.36</v>
      </c>
      <c r="F66" s="189">
        <v>5.47</v>
      </c>
      <c r="G66" s="189">
        <v>80.81</v>
      </c>
      <c r="H66" s="189">
        <v>50.21</v>
      </c>
      <c r="I66" s="189">
        <v>8.94</v>
      </c>
      <c r="J66" s="189">
        <v>0.24</v>
      </c>
      <c r="K66" s="189">
        <v>80.86</v>
      </c>
      <c r="L66" s="189">
        <v>26.49</v>
      </c>
      <c r="M66" s="189">
        <v>41.07</v>
      </c>
      <c r="N66" s="189">
        <v>163.6</v>
      </c>
      <c r="O66" s="189">
        <v>0</v>
      </c>
      <c r="P66" s="189">
        <v>0.85</v>
      </c>
      <c r="Q66" s="189">
        <v>4.9000000000000004</v>
      </c>
    </row>
    <row r="67" spans="1:17" customFormat="1">
      <c r="A67" s="6" t="s">
        <v>1737</v>
      </c>
      <c r="B67" s="189">
        <v>4.58</v>
      </c>
      <c r="C67" s="189">
        <v>27.04</v>
      </c>
      <c r="D67" s="189">
        <v>19.149999999999999</v>
      </c>
      <c r="E67" s="189">
        <v>8.35</v>
      </c>
      <c r="F67" s="189">
        <v>5.63</v>
      </c>
      <c r="G67" s="189">
        <v>83.64</v>
      </c>
      <c r="H67" s="189">
        <v>49.5</v>
      </c>
      <c r="I67" s="189">
        <v>8.7899999999999991</v>
      </c>
      <c r="J67" s="189">
        <v>0.31</v>
      </c>
      <c r="K67" s="189">
        <v>37.96</v>
      </c>
      <c r="L67" s="189">
        <v>26.23</v>
      </c>
      <c r="M67" s="189">
        <v>40.83</v>
      </c>
      <c r="N67" s="189">
        <v>106.8</v>
      </c>
      <c r="O67" s="189">
        <v>0</v>
      </c>
      <c r="P67" s="189">
        <v>0.84</v>
      </c>
      <c r="Q67" s="189">
        <v>4.8899999999999997</v>
      </c>
    </row>
    <row r="68" spans="1:17" customFormat="1">
      <c r="A68" s="6" t="s">
        <v>1738</v>
      </c>
      <c r="B68" s="189">
        <v>4.59</v>
      </c>
      <c r="C68" s="189">
        <v>26.68</v>
      </c>
      <c r="D68" s="189">
        <v>18.97</v>
      </c>
      <c r="E68" s="189">
        <v>8.57</v>
      </c>
      <c r="F68" s="189">
        <v>6.04</v>
      </c>
      <c r="G68" s="189">
        <v>84.04</v>
      </c>
      <c r="H68" s="189">
        <v>49.5</v>
      </c>
      <c r="I68" s="189">
        <v>8.6300000000000008</v>
      </c>
      <c r="J68" s="189">
        <v>0.22</v>
      </c>
      <c r="K68" s="189">
        <v>74.13</v>
      </c>
      <c r="L68" s="189">
        <v>26.29</v>
      </c>
      <c r="M68" s="189">
        <v>41.15</v>
      </c>
      <c r="N68" s="189">
        <v>79.099999999999994</v>
      </c>
      <c r="O68" s="189">
        <v>0</v>
      </c>
      <c r="P68" s="189">
        <v>0.83</v>
      </c>
      <c r="Q68" s="189">
        <v>4.9000000000000004</v>
      </c>
    </row>
    <row r="69" spans="1:17" customFormat="1">
      <c r="A69" s="6" t="s">
        <v>1739</v>
      </c>
      <c r="B69" s="189">
        <v>4.62</v>
      </c>
      <c r="C69" s="189">
        <v>26.06</v>
      </c>
      <c r="D69" s="189">
        <v>18.670000000000002</v>
      </c>
      <c r="E69" s="189">
        <v>8.16</v>
      </c>
      <c r="F69" s="189">
        <v>6.07</v>
      </c>
      <c r="G69" s="189">
        <v>84.04</v>
      </c>
      <c r="H69" s="189">
        <v>49.5</v>
      </c>
      <c r="I69" s="189">
        <v>8.49</v>
      </c>
      <c r="J69" s="189">
        <v>0.27</v>
      </c>
      <c r="K69" s="189">
        <v>170.15</v>
      </c>
      <c r="L69" s="189">
        <v>26.21</v>
      </c>
      <c r="M69" s="189">
        <v>41.42</v>
      </c>
      <c r="N69" s="189">
        <v>71.5</v>
      </c>
      <c r="O69" s="189">
        <v>0</v>
      </c>
      <c r="P69" s="189">
        <v>0.81</v>
      </c>
      <c r="Q69" s="189">
        <v>4.87</v>
      </c>
    </row>
    <row r="70" spans="1:17" customFormat="1">
      <c r="A70" s="6" t="s">
        <v>1740</v>
      </c>
      <c r="B70" s="189">
        <v>4.51</v>
      </c>
      <c r="C70" s="189">
        <v>25.79</v>
      </c>
      <c r="D70" s="189">
        <v>18.440000000000001</v>
      </c>
      <c r="E70" s="189">
        <v>8.16</v>
      </c>
      <c r="F70" s="189">
        <v>6.43</v>
      </c>
      <c r="G70" s="189">
        <v>84.04</v>
      </c>
      <c r="H70" s="189">
        <v>49.5</v>
      </c>
      <c r="I70" s="189">
        <v>8.3699999999999992</v>
      </c>
      <c r="J70" s="189">
        <v>0.13</v>
      </c>
      <c r="K70" s="189">
        <v>3</v>
      </c>
      <c r="L70" s="189">
        <v>26.02</v>
      </c>
      <c r="M70" s="189">
        <v>41.52</v>
      </c>
      <c r="N70" s="189">
        <v>61.4</v>
      </c>
      <c r="O70" s="189">
        <v>0</v>
      </c>
      <c r="P70" s="189">
        <v>0.8</v>
      </c>
      <c r="Q70" s="189">
        <v>4.87</v>
      </c>
    </row>
    <row r="71" spans="1:17" customFormat="1">
      <c r="A71" s="6" t="s">
        <v>1741</v>
      </c>
      <c r="B71" s="189">
        <v>4.54</v>
      </c>
      <c r="C71" s="189">
        <v>25.8</v>
      </c>
      <c r="D71" s="189">
        <v>18.47</v>
      </c>
      <c r="E71" s="189">
        <v>8.01</v>
      </c>
      <c r="F71" s="189">
        <v>5.71</v>
      </c>
      <c r="G71" s="189">
        <v>87.28</v>
      </c>
      <c r="H71" s="189">
        <v>46.92</v>
      </c>
      <c r="I71" s="189">
        <v>8.3000000000000007</v>
      </c>
      <c r="J71" s="189">
        <v>0.19</v>
      </c>
      <c r="K71" s="189">
        <v>149.19999999999999</v>
      </c>
      <c r="L71" s="189">
        <v>25.91</v>
      </c>
      <c r="M71" s="189">
        <v>43.5</v>
      </c>
      <c r="N71" s="189">
        <v>52.9</v>
      </c>
      <c r="O71" s="189">
        <v>0</v>
      </c>
      <c r="P71" s="189">
        <v>0.79</v>
      </c>
      <c r="Q71" s="189">
        <v>4.88</v>
      </c>
    </row>
    <row r="72" spans="1:17" customFormat="1">
      <c r="A72" s="6" t="s">
        <v>1742</v>
      </c>
      <c r="B72" s="189">
        <v>4.4800000000000004</v>
      </c>
      <c r="C72" s="189">
        <v>25.3</v>
      </c>
      <c r="D72" s="189">
        <v>18.16</v>
      </c>
      <c r="E72" s="189">
        <v>8.4600000000000009</v>
      </c>
      <c r="F72" s="189">
        <v>5.75</v>
      </c>
      <c r="G72" s="189">
        <v>87.73</v>
      </c>
      <c r="H72" s="189">
        <v>46.92</v>
      </c>
      <c r="I72" s="189">
        <v>8.1999999999999993</v>
      </c>
      <c r="J72" s="189">
        <v>0.23</v>
      </c>
      <c r="K72" s="189">
        <v>100.98</v>
      </c>
      <c r="L72" s="189">
        <v>25.65</v>
      </c>
      <c r="M72" s="189">
        <v>42.44</v>
      </c>
      <c r="N72" s="189">
        <v>38.4</v>
      </c>
      <c r="O72" s="189">
        <v>0</v>
      </c>
      <c r="P72" s="189">
        <v>0.78</v>
      </c>
      <c r="Q72" s="189">
        <v>4.88</v>
      </c>
    </row>
    <row r="73" spans="1:17" customFormat="1">
      <c r="A73" s="6" t="s">
        <v>1743</v>
      </c>
      <c r="B73" s="189">
        <v>4.54</v>
      </c>
      <c r="C73" s="189">
        <v>25.32</v>
      </c>
      <c r="D73" s="189">
        <v>18.22</v>
      </c>
      <c r="E73" s="189">
        <v>8.41</v>
      </c>
      <c r="F73" s="189">
        <v>5.64</v>
      </c>
      <c r="G73" s="189">
        <v>87.73</v>
      </c>
      <c r="H73" s="189">
        <v>46.92</v>
      </c>
      <c r="I73" s="189">
        <v>8.07</v>
      </c>
      <c r="J73" s="189">
        <v>0.16</v>
      </c>
      <c r="K73" s="189">
        <v>90.1</v>
      </c>
      <c r="L73" s="189">
        <v>25.44</v>
      </c>
      <c r="M73" s="189">
        <v>44.21</v>
      </c>
      <c r="N73" s="189">
        <v>33.799999999999997</v>
      </c>
      <c r="O73" s="189">
        <v>0</v>
      </c>
      <c r="P73" s="189">
        <v>0.77</v>
      </c>
      <c r="Q73" s="189">
        <v>4.87</v>
      </c>
    </row>
    <row r="74" spans="1:17" customFormat="1">
      <c r="A74" s="6" t="s">
        <v>1744</v>
      </c>
      <c r="B74" s="189">
        <v>4.63</v>
      </c>
      <c r="C74" s="189">
        <v>25.53</v>
      </c>
      <c r="D74" s="189">
        <v>18.399999999999999</v>
      </c>
      <c r="E74" s="189">
        <v>7.61</v>
      </c>
      <c r="F74" s="189">
        <v>4.88</v>
      </c>
      <c r="G74" s="189">
        <v>87.73</v>
      </c>
      <c r="H74" s="189">
        <v>46.92</v>
      </c>
      <c r="I74" s="189">
        <v>7.96</v>
      </c>
      <c r="J74" s="189">
        <v>0.18</v>
      </c>
      <c r="K74" s="189">
        <v>141</v>
      </c>
      <c r="L74" s="189">
        <v>24.91</v>
      </c>
      <c r="M74" s="189">
        <v>47.5</v>
      </c>
      <c r="N74" s="189">
        <v>23.8</v>
      </c>
      <c r="O74" s="189">
        <v>0</v>
      </c>
      <c r="P74" s="189">
        <v>0.76</v>
      </c>
      <c r="Q74" s="189">
        <v>4.87</v>
      </c>
    </row>
    <row r="75" spans="1:17" customFormat="1">
      <c r="A75" s="6" t="s">
        <v>1745</v>
      </c>
      <c r="B75" s="189">
        <v>4.88</v>
      </c>
      <c r="C75" s="189">
        <v>23.88</v>
      </c>
      <c r="D75" s="189">
        <v>17.739999999999998</v>
      </c>
      <c r="E75" s="189">
        <v>7.02</v>
      </c>
      <c r="F75" s="189">
        <v>4.0599999999999996</v>
      </c>
      <c r="G75" s="189">
        <v>89.01</v>
      </c>
      <c r="H75" s="189">
        <v>46.07</v>
      </c>
      <c r="I75" s="189">
        <v>7.89</v>
      </c>
      <c r="J75" s="189">
        <v>0.24</v>
      </c>
      <c r="K75" s="189">
        <v>167.1</v>
      </c>
      <c r="L75" s="189">
        <v>24.09</v>
      </c>
      <c r="M75" s="189">
        <v>50.64</v>
      </c>
      <c r="N75" s="189">
        <v>13.5</v>
      </c>
      <c r="O75" s="189">
        <v>0</v>
      </c>
      <c r="P75" s="189">
        <v>0.76</v>
      </c>
      <c r="Q75" s="189">
        <v>4.8600000000000003</v>
      </c>
    </row>
    <row r="76" spans="1:17" customFormat="1">
      <c r="A76" s="6" t="s">
        <v>1746</v>
      </c>
      <c r="B76" s="189">
        <v>5.03</v>
      </c>
      <c r="C76" s="189">
        <v>22.46</v>
      </c>
      <c r="D76" s="189">
        <v>17.12</v>
      </c>
      <c r="E76" s="189">
        <v>7.08</v>
      </c>
      <c r="F76" s="189">
        <v>3.69</v>
      </c>
      <c r="G76" s="189">
        <v>89.19</v>
      </c>
      <c r="H76" s="189">
        <v>46.07</v>
      </c>
      <c r="I76" s="189">
        <v>7.82</v>
      </c>
      <c r="J76" s="189">
        <v>0.23</v>
      </c>
      <c r="K76" s="189">
        <v>165.43</v>
      </c>
      <c r="L76" s="189">
        <v>23.39</v>
      </c>
      <c r="M76" s="189">
        <v>53.67</v>
      </c>
      <c r="N76" s="189">
        <v>3.6</v>
      </c>
      <c r="O76" s="189">
        <v>0</v>
      </c>
      <c r="P76" s="189">
        <v>0.75</v>
      </c>
      <c r="Q76" s="189">
        <v>4.8499999999999996</v>
      </c>
    </row>
    <row r="77" spans="1:17" customFormat="1">
      <c r="A77" s="6" t="s">
        <v>1747</v>
      </c>
      <c r="B77" s="189">
        <v>5.03</v>
      </c>
      <c r="C77" s="189">
        <v>22.26</v>
      </c>
      <c r="D77" s="189">
        <v>17.02</v>
      </c>
      <c r="E77" s="189">
        <v>6.89</v>
      </c>
      <c r="F77" s="189">
        <v>3.46</v>
      </c>
      <c r="G77" s="189">
        <v>89.19</v>
      </c>
      <c r="H77" s="189">
        <v>46.07</v>
      </c>
      <c r="I77" s="189">
        <v>7.79</v>
      </c>
      <c r="J77" s="189">
        <v>0.25</v>
      </c>
      <c r="K77" s="189">
        <v>171.01</v>
      </c>
      <c r="L77" s="189">
        <v>22.57</v>
      </c>
      <c r="M77" s="189">
        <v>58.1</v>
      </c>
      <c r="N77" s="189">
        <v>0</v>
      </c>
      <c r="O77" s="189">
        <v>0</v>
      </c>
      <c r="P77" s="189">
        <v>0.76</v>
      </c>
      <c r="Q77" s="189">
        <v>4.8499999999999996</v>
      </c>
    </row>
    <row r="78" spans="1:17" customFormat="1">
      <c r="A78" s="6" t="s">
        <v>1748</v>
      </c>
      <c r="B78" s="189">
        <v>5.17</v>
      </c>
      <c r="C78" s="189">
        <v>23.44</v>
      </c>
      <c r="D78" s="189">
        <v>17.739999999999998</v>
      </c>
      <c r="E78" s="189">
        <v>7.56</v>
      </c>
      <c r="F78" s="189">
        <v>3.06</v>
      </c>
      <c r="G78" s="189">
        <v>89.19</v>
      </c>
      <c r="H78" s="189">
        <v>46.07</v>
      </c>
      <c r="I78" s="189">
        <v>7.8</v>
      </c>
      <c r="J78" s="189">
        <v>0.24</v>
      </c>
      <c r="K78" s="189">
        <v>174.79</v>
      </c>
      <c r="L78" s="189">
        <v>21.8</v>
      </c>
      <c r="M78" s="189">
        <v>64.53</v>
      </c>
      <c r="N78" s="189">
        <v>0</v>
      </c>
      <c r="O78" s="189">
        <v>0</v>
      </c>
      <c r="P78" s="189">
        <v>0.76</v>
      </c>
      <c r="Q78" s="189">
        <v>4.8499999999999996</v>
      </c>
    </row>
    <row r="79" spans="1:17" customFormat="1">
      <c r="A79" s="6" t="s">
        <v>1749</v>
      </c>
      <c r="B79" s="189">
        <v>5.42</v>
      </c>
      <c r="C79" s="189">
        <v>24.88</v>
      </c>
      <c r="D79" s="189">
        <v>18.7</v>
      </c>
      <c r="E79" s="189">
        <v>7.47</v>
      </c>
      <c r="F79" s="189">
        <v>2.95</v>
      </c>
      <c r="G79" s="189">
        <v>108.66</v>
      </c>
      <c r="H79" s="189">
        <v>48.71</v>
      </c>
      <c r="I79" s="189">
        <v>7.81</v>
      </c>
      <c r="J79" s="189">
        <v>0.16</v>
      </c>
      <c r="K79" s="189">
        <v>165.81</v>
      </c>
      <c r="L79" s="189">
        <v>20.96</v>
      </c>
      <c r="M79" s="189">
        <v>75.63</v>
      </c>
      <c r="N79" s="189">
        <v>0</v>
      </c>
      <c r="O79" s="189">
        <v>0</v>
      </c>
      <c r="P79" s="189">
        <v>0.77</v>
      </c>
      <c r="Q79" s="189">
        <v>4.87</v>
      </c>
    </row>
    <row r="80" spans="1:17" customFormat="1">
      <c r="A80" s="6" t="s">
        <v>1750</v>
      </c>
      <c r="B80" s="189">
        <v>5.56</v>
      </c>
      <c r="C80" s="189">
        <v>25.78</v>
      </c>
      <c r="D80" s="189">
        <v>19.28</v>
      </c>
      <c r="E80" s="189">
        <v>7.53</v>
      </c>
      <c r="F80" s="189">
        <v>2.98</v>
      </c>
      <c r="G80" s="189">
        <v>111.37</v>
      </c>
      <c r="H80" s="189">
        <v>48.71</v>
      </c>
      <c r="I80" s="189">
        <v>7.82</v>
      </c>
      <c r="J80" s="189">
        <v>0.21</v>
      </c>
      <c r="K80" s="189">
        <v>168.73</v>
      </c>
      <c r="L80" s="189">
        <v>20.37</v>
      </c>
      <c r="M80" s="189">
        <v>77.56</v>
      </c>
      <c r="N80" s="189">
        <v>0</v>
      </c>
      <c r="O80" s="189">
        <v>0</v>
      </c>
      <c r="P80" s="189">
        <v>0.78</v>
      </c>
      <c r="Q80" s="189">
        <v>4.88</v>
      </c>
    </row>
    <row r="81" spans="1:17" customFormat="1">
      <c r="A81" s="6" t="s">
        <v>1751</v>
      </c>
      <c r="B81" s="189">
        <v>5.71</v>
      </c>
      <c r="C81" s="189">
        <v>25.72</v>
      </c>
      <c r="D81" s="189">
        <v>19.37</v>
      </c>
      <c r="E81" s="189">
        <v>4.79</v>
      </c>
      <c r="F81" s="189">
        <v>2.99</v>
      </c>
      <c r="G81" s="189">
        <v>111.37</v>
      </c>
      <c r="H81" s="189">
        <v>48.71</v>
      </c>
      <c r="I81" s="189">
        <v>7.84</v>
      </c>
      <c r="J81" s="189">
        <v>0.15</v>
      </c>
      <c r="K81" s="189">
        <v>165.75</v>
      </c>
      <c r="L81" s="189">
        <v>19.809999999999999</v>
      </c>
      <c r="M81" s="189">
        <v>77.739999999999995</v>
      </c>
      <c r="N81" s="189">
        <v>0</v>
      </c>
      <c r="O81" s="189">
        <v>0</v>
      </c>
      <c r="P81" s="189">
        <v>0.79</v>
      </c>
      <c r="Q81" s="189">
        <v>4.8899999999999997</v>
      </c>
    </row>
    <row r="82" spans="1:17" customFormat="1">
      <c r="A82" s="6" t="s">
        <v>1752</v>
      </c>
      <c r="B82" s="189">
        <v>5.74</v>
      </c>
      <c r="C82" s="189">
        <v>24.09</v>
      </c>
      <c r="D82" s="189">
        <v>18.54</v>
      </c>
      <c r="E82" s="189">
        <v>4.6900000000000004</v>
      </c>
      <c r="F82" s="189">
        <v>3.21</v>
      </c>
      <c r="G82" s="189">
        <v>111.37</v>
      </c>
      <c r="H82" s="189">
        <v>48.71</v>
      </c>
      <c r="I82" s="189">
        <v>7.88</v>
      </c>
      <c r="J82" s="189">
        <v>0.13</v>
      </c>
      <c r="K82" s="189">
        <v>170.29</v>
      </c>
      <c r="L82" s="189">
        <v>19.440000000000001</v>
      </c>
      <c r="M82" s="189">
        <v>76.650000000000006</v>
      </c>
      <c r="N82" s="189">
        <v>0</v>
      </c>
      <c r="O82" s="189">
        <v>0</v>
      </c>
      <c r="P82" s="189">
        <v>0.79</v>
      </c>
      <c r="Q82" s="189">
        <v>4.9000000000000004</v>
      </c>
    </row>
    <row r="83" spans="1:17" customFormat="1">
      <c r="A83" s="6" t="s">
        <v>1753</v>
      </c>
      <c r="B83" s="189">
        <v>5.83</v>
      </c>
      <c r="C83" s="189">
        <v>23.47</v>
      </c>
      <c r="D83" s="189">
        <v>18.29</v>
      </c>
      <c r="E83" s="189">
        <v>5.08</v>
      </c>
      <c r="F83" s="189">
        <v>3.06</v>
      </c>
      <c r="G83" s="189">
        <v>100.17</v>
      </c>
      <c r="H83" s="189">
        <v>46.19</v>
      </c>
      <c r="I83" s="189">
        <v>7.94</v>
      </c>
      <c r="J83" s="189">
        <v>0.18</v>
      </c>
      <c r="K83" s="189">
        <v>161.53</v>
      </c>
      <c r="L83" s="189">
        <v>19.23</v>
      </c>
      <c r="M83" s="189">
        <v>78.33</v>
      </c>
      <c r="N83" s="189">
        <v>0</v>
      </c>
      <c r="O83" s="189">
        <v>0</v>
      </c>
      <c r="P83" s="189">
        <v>0.79</v>
      </c>
      <c r="Q83" s="189">
        <v>4.8899999999999997</v>
      </c>
    </row>
    <row r="84" spans="1:17" customFormat="1">
      <c r="A84" s="6" t="s">
        <v>1754</v>
      </c>
      <c r="B84" s="189">
        <v>5.81</v>
      </c>
      <c r="C84" s="189">
        <v>23.97</v>
      </c>
      <c r="D84" s="189">
        <v>18.53</v>
      </c>
      <c r="E84" s="189">
        <v>5.14</v>
      </c>
      <c r="F84" s="189">
        <v>3.02</v>
      </c>
      <c r="G84" s="189">
        <v>98.61</v>
      </c>
      <c r="H84" s="189">
        <v>46.19</v>
      </c>
      <c r="I84" s="189">
        <v>7.97</v>
      </c>
      <c r="J84" s="189">
        <v>0.19</v>
      </c>
      <c r="K84" s="189">
        <v>165.84</v>
      </c>
      <c r="L84" s="189">
        <v>18.93</v>
      </c>
      <c r="M84" s="189">
        <v>80.760000000000005</v>
      </c>
      <c r="N84" s="189">
        <v>0</v>
      </c>
      <c r="O84" s="189">
        <v>0</v>
      </c>
      <c r="P84" s="189">
        <v>0.79</v>
      </c>
      <c r="Q84" s="189">
        <v>4.88</v>
      </c>
    </row>
    <row r="85" spans="1:17" customFormat="1">
      <c r="A85" s="6" t="s">
        <v>1755</v>
      </c>
      <c r="B85" s="189">
        <v>5.78</v>
      </c>
      <c r="C85" s="189">
        <v>24.55</v>
      </c>
      <c r="D85" s="189">
        <v>18.82</v>
      </c>
      <c r="E85" s="189">
        <v>4.96</v>
      </c>
      <c r="F85" s="189">
        <v>2.83</v>
      </c>
      <c r="G85" s="189">
        <v>98.61</v>
      </c>
      <c r="H85" s="189">
        <v>46.19</v>
      </c>
      <c r="I85" s="189">
        <v>8.0399999999999991</v>
      </c>
      <c r="J85" s="189">
        <v>0.14000000000000001</v>
      </c>
      <c r="K85" s="189">
        <v>166.19</v>
      </c>
      <c r="L85" s="189">
        <v>18.59</v>
      </c>
      <c r="M85" s="189">
        <v>84.24</v>
      </c>
      <c r="N85" s="189">
        <v>0</v>
      </c>
      <c r="O85" s="189">
        <v>0</v>
      </c>
      <c r="P85" s="189">
        <v>0.8</v>
      </c>
      <c r="Q85" s="189">
        <v>4.9000000000000004</v>
      </c>
    </row>
    <row r="86" spans="1:17" customFormat="1">
      <c r="A86" s="6" t="s">
        <v>1756</v>
      </c>
      <c r="B86" s="189">
        <v>5.89</v>
      </c>
      <c r="C86" s="189">
        <v>23.84</v>
      </c>
      <c r="D86" s="189">
        <v>18.53</v>
      </c>
      <c r="E86" s="189">
        <v>4.5599999999999996</v>
      </c>
      <c r="F86" s="189">
        <v>2.91</v>
      </c>
      <c r="G86" s="189">
        <v>98.61</v>
      </c>
      <c r="H86" s="189">
        <v>46.19</v>
      </c>
      <c r="I86" s="189">
        <v>8.08</v>
      </c>
      <c r="J86" s="189">
        <v>0.11</v>
      </c>
      <c r="K86" s="189">
        <v>159.49</v>
      </c>
      <c r="L86" s="189">
        <v>18.23</v>
      </c>
      <c r="M86" s="189">
        <v>85</v>
      </c>
      <c r="N86" s="189">
        <v>0</v>
      </c>
      <c r="O86" s="189">
        <v>0</v>
      </c>
      <c r="P86" s="189">
        <v>0.79</v>
      </c>
      <c r="Q86" s="189">
        <v>4.9000000000000004</v>
      </c>
    </row>
    <row r="87" spans="1:17" customFormat="1">
      <c r="A87" s="6" t="s">
        <v>1757</v>
      </c>
      <c r="B87" s="189">
        <v>6.04</v>
      </c>
      <c r="C87" s="189">
        <v>25.05</v>
      </c>
      <c r="D87" s="189">
        <v>19.28</v>
      </c>
      <c r="E87" s="189">
        <v>5.0199999999999996</v>
      </c>
      <c r="F87" s="189">
        <v>2.66</v>
      </c>
      <c r="G87" s="189">
        <v>89.01</v>
      </c>
      <c r="H87" s="189">
        <v>46.37</v>
      </c>
      <c r="I87" s="189">
        <v>8.1300000000000008</v>
      </c>
      <c r="J87" s="189">
        <v>0.12</v>
      </c>
      <c r="K87" s="189">
        <v>166.05</v>
      </c>
      <c r="L87" s="189">
        <v>17.920000000000002</v>
      </c>
      <c r="M87" s="189">
        <v>84.63</v>
      </c>
      <c r="N87" s="189">
        <v>0</v>
      </c>
      <c r="O87" s="189">
        <v>0</v>
      </c>
      <c r="P87" s="189">
        <v>0.8</v>
      </c>
      <c r="Q87" s="189">
        <v>4.91</v>
      </c>
    </row>
    <row r="88" spans="1:17" customFormat="1">
      <c r="A88" s="6" t="s">
        <v>1758</v>
      </c>
      <c r="B88" s="189">
        <v>6.11</v>
      </c>
      <c r="C88" s="189">
        <v>25.18</v>
      </c>
      <c r="D88" s="189">
        <v>19.399999999999999</v>
      </c>
      <c r="E88" s="189">
        <v>5.2</v>
      </c>
      <c r="F88" s="189">
        <v>2.66</v>
      </c>
      <c r="G88" s="189">
        <v>87.67</v>
      </c>
      <c r="H88" s="189">
        <v>46.37</v>
      </c>
      <c r="I88" s="189">
        <v>8.1999999999999993</v>
      </c>
      <c r="J88" s="189">
        <v>0.17</v>
      </c>
      <c r="K88" s="189">
        <v>169.1</v>
      </c>
      <c r="L88" s="189">
        <v>17.829999999999998</v>
      </c>
      <c r="M88" s="189">
        <v>85.78</v>
      </c>
      <c r="N88" s="189">
        <v>0</v>
      </c>
      <c r="O88" s="189">
        <v>0</v>
      </c>
      <c r="P88" s="189">
        <v>0.8</v>
      </c>
      <c r="Q88" s="189">
        <v>4.92</v>
      </c>
    </row>
    <row r="89" spans="1:17" customFormat="1">
      <c r="A89" s="6" t="s">
        <v>1759</v>
      </c>
      <c r="B89" s="189">
        <v>6.16</v>
      </c>
      <c r="C89" s="189">
        <v>24.31</v>
      </c>
      <c r="D89" s="189">
        <v>18.989999999999998</v>
      </c>
      <c r="E89" s="189">
        <v>5.24</v>
      </c>
      <c r="F89" s="189">
        <v>2.77</v>
      </c>
      <c r="G89" s="189">
        <v>87.67</v>
      </c>
      <c r="H89" s="189">
        <v>46.37</v>
      </c>
      <c r="I89" s="189">
        <v>8.27</v>
      </c>
      <c r="J89" s="189">
        <v>0.18</v>
      </c>
      <c r="K89" s="189">
        <v>162.19</v>
      </c>
      <c r="L89" s="189">
        <v>17.63</v>
      </c>
      <c r="M89" s="189">
        <v>84.36</v>
      </c>
      <c r="N89" s="189">
        <v>0</v>
      </c>
      <c r="O89" s="189">
        <v>0</v>
      </c>
      <c r="P89" s="189">
        <v>0.81</v>
      </c>
      <c r="Q89" s="189">
        <v>4.88</v>
      </c>
    </row>
    <row r="90" spans="1:17" customFormat="1">
      <c r="A90" s="6" t="s">
        <v>1760</v>
      </c>
      <c r="B90" s="189">
        <v>6.18</v>
      </c>
      <c r="C90" s="189">
        <v>24.79</v>
      </c>
      <c r="D90" s="189">
        <v>19.260000000000002</v>
      </c>
      <c r="E90" s="189">
        <v>5.13</v>
      </c>
      <c r="F90" s="189">
        <v>2.7</v>
      </c>
      <c r="G90" s="189">
        <v>87.67</v>
      </c>
      <c r="H90" s="189">
        <v>46.37</v>
      </c>
      <c r="I90" s="189">
        <v>8.34</v>
      </c>
      <c r="J90" s="189">
        <v>0.11</v>
      </c>
      <c r="K90" s="189">
        <v>149.29</v>
      </c>
      <c r="L90" s="189">
        <v>17.510000000000002</v>
      </c>
      <c r="M90" s="189">
        <v>84.05</v>
      </c>
      <c r="N90" s="189">
        <v>0</v>
      </c>
      <c r="O90" s="189">
        <v>0</v>
      </c>
      <c r="P90" s="189">
        <v>0.82</v>
      </c>
      <c r="Q90" s="189">
        <v>4.9000000000000004</v>
      </c>
    </row>
    <row r="91" spans="1:17" customFormat="1">
      <c r="A91" s="6" t="s">
        <v>1761</v>
      </c>
      <c r="B91" s="189">
        <v>6.26</v>
      </c>
      <c r="C91" s="189">
        <v>25.34</v>
      </c>
      <c r="D91" s="189">
        <v>19.62</v>
      </c>
      <c r="E91" s="189">
        <v>5.21</v>
      </c>
      <c r="F91" s="189">
        <v>2.69</v>
      </c>
      <c r="G91" s="189">
        <v>84.2</v>
      </c>
      <c r="H91" s="189">
        <v>46.25</v>
      </c>
      <c r="I91" s="189">
        <v>8.36</v>
      </c>
      <c r="J91" s="189">
        <v>0.16</v>
      </c>
      <c r="K91" s="189">
        <v>161.59</v>
      </c>
      <c r="L91" s="189">
        <v>17.350000000000001</v>
      </c>
      <c r="M91" s="189">
        <v>84.5</v>
      </c>
      <c r="N91" s="189">
        <v>0</v>
      </c>
      <c r="O91" s="189">
        <v>0</v>
      </c>
      <c r="P91" s="189">
        <v>0.82</v>
      </c>
      <c r="Q91" s="189">
        <v>4.8899999999999997</v>
      </c>
    </row>
    <row r="92" spans="1:17" customFormat="1">
      <c r="A92" s="6" t="s">
        <v>1762</v>
      </c>
      <c r="B92" s="189">
        <v>6.39</v>
      </c>
      <c r="C92" s="189">
        <v>25.76</v>
      </c>
      <c r="D92" s="189">
        <v>19.93</v>
      </c>
      <c r="E92" s="189">
        <v>5.63</v>
      </c>
      <c r="F92" s="189">
        <v>2.66</v>
      </c>
      <c r="G92" s="189">
        <v>83.72</v>
      </c>
      <c r="H92" s="189">
        <v>46.25</v>
      </c>
      <c r="I92" s="189">
        <v>8.39</v>
      </c>
      <c r="J92" s="189">
        <v>0.16</v>
      </c>
      <c r="K92" s="189">
        <v>176.18</v>
      </c>
      <c r="L92" s="189">
        <v>17.25</v>
      </c>
      <c r="M92" s="189">
        <v>85.1</v>
      </c>
      <c r="N92" s="189">
        <v>0</v>
      </c>
      <c r="O92" s="189">
        <v>0</v>
      </c>
      <c r="P92" s="189">
        <v>0.82</v>
      </c>
      <c r="Q92" s="189">
        <v>4.8899999999999997</v>
      </c>
    </row>
    <row r="93" spans="1:17" customFormat="1">
      <c r="A93" s="6" t="s">
        <v>1763</v>
      </c>
      <c r="B93" s="189">
        <v>6.45</v>
      </c>
      <c r="C93" s="189">
        <v>25.41</v>
      </c>
      <c r="D93" s="189">
        <v>19.8</v>
      </c>
      <c r="E93" s="189">
        <v>5.65</v>
      </c>
      <c r="F93" s="189">
        <v>2.7</v>
      </c>
      <c r="G93" s="189">
        <v>83.72</v>
      </c>
      <c r="H93" s="189">
        <v>46.25</v>
      </c>
      <c r="I93" s="189">
        <v>8.4499999999999993</v>
      </c>
      <c r="J93" s="189">
        <v>0.17</v>
      </c>
      <c r="K93" s="189">
        <v>166.92</v>
      </c>
      <c r="L93" s="189">
        <v>17.149999999999999</v>
      </c>
      <c r="M93" s="189">
        <v>87.73</v>
      </c>
      <c r="N93" s="189">
        <v>0</v>
      </c>
      <c r="O93" s="189">
        <v>0</v>
      </c>
      <c r="P93" s="189">
        <v>0.83</v>
      </c>
      <c r="Q93" s="189">
        <v>4.9000000000000004</v>
      </c>
    </row>
    <row r="94" spans="1:17" customFormat="1">
      <c r="A94" s="6" t="s">
        <v>1764</v>
      </c>
      <c r="B94" s="189">
        <v>6.91</v>
      </c>
      <c r="C94" s="189">
        <v>25.4</v>
      </c>
      <c r="D94" s="189">
        <v>20.170000000000002</v>
      </c>
      <c r="E94" s="189">
        <v>5.33</v>
      </c>
      <c r="F94" s="189">
        <v>2.72</v>
      </c>
      <c r="G94" s="189">
        <v>83.72</v>
      </c>
      <c r="H94" s="189">
        <v>46.25</v>
      </c>
      <c r="I94" s="189">
        <v>8.49</v>
      </c>
      <c r="J94" s="189">
        <v>0.12</v>
      </c>
      <c r="K94" s="189">
        <v>158.69</v>
      </c>
      <c r="L94" s="189">
        <v>17</v>
      </c>
      <c r="M94" s="189">
        <v>86.5</v>
      </c>
      <c r="N94" s="189">
        <v>0</v>
      </c>
      <c r="O94" s="189">
        <v>0</v>
      </c>
      <c r="P94" s="189">
        <v>0.85</v>
      </c>
      <c r="Q94" s="189">
        <v>4.92</v>
      </c>
    </row>
    <row r="95" spans="1:17" customFormat="1">
      <c r="A95" s="6" t="s">
        <v>1765</v>
      </c>
      <c r="B95" s="189">
        <v>9.19</v>
      </c>
      <c r="C95" s="189">
        <v>27.19</v>
      </c>
      <c r="D95" s="189">
        <v>22.93</v>
      </c>
      <c r="E95" s="189">
        <v>5.32</v>
      </c>
      <c r="F95" s="189">
        <v>2.7</v>
      </c>
      <c r="G95" s="189">
        <v>91.29</v>
      </c>
      <c r="H95" s="189">
        <v>49.64</v>
      </c>
      <c r="I95" s="189">
        <v>8.56</v>
      </c>
      <c r="J95" s="189">
        <v>0.22</v>
      </c>
      <c r="K95" s="189">
        <v>161.97</v>
      </c>
      <c r="L95" s="189">
        <v>17.14</v>
      </c>
      <c r="M95" s="189">
        <v>85.41</v>
      </c>
      <c r="N95" s="189">
        <v>0</v>
      </c>
      <c r="O95" s="189">
        <v>0</v>
      </c>
      <c r="P95" s="189">
        <v>0.9</v>
      </c>
      <c r="Q95" s="189">
        <v>4.95</v>
      </c>
    </row>
    <row r="96" spans="1:17" customFormat="1">
      <c r="A96" s="6" t="s">
        <v>1766</v>
      </c>
      <c r="B96" s="189">
        <v>12.67</v>
      </c>
      <c r="C96" s="189">
        <v>29.7</v>
      </c>
      <c r="D96" s="189">
        <v>27.03</v>
      </c>
      <c r="E96" s="189">
        <v>5.45</v>
      </c>
      <c r="F96" s="189">
        <v>2.5499999999999998</v>
      </c>
      <c r="G96" s="189">
        <v>92.35</v>
      </c>
      <c r="H96" s="189">
        <v>49.64</v>
      </c>
      <c r="I96" s="189">
        <v>8.7200000000000006</v>
      </c>
      <c r="J96" s="189">
        <v>0.16</v>
      </c>
      <c r="K96" s="189">
        <v>180.01</v>
      </c>
      <c r="L96" s="189">
        <v>16.989999999999998</v>
      </c>
      <c r="M96" s="189">
        <v>87.44</v>
      </c>
      <c r="N96" s="189">
        <v>0</v>
      </c>
      <c r="O96" s="189">
        <v>0</v>
      </c>
      <c r="P96" s="189">
        <v>0.94</v>
      </c>
      <c r="Q96" s="189">
        <v>4.99</v>
      </c>
    </row>
    <row r="97" spans="1:22" customFormat="1">
      <c r="A97" s="6" t="s">
        <v>1767</v>
      </c>
      <c r="B97" s="189">
        <v>15.82</v>
      </c>
      <c r="C97" s="189">
        <v>31.5</v>
      </c>
      <c r="D97" s="189">
        <v>30.5</v>
      </c>
      <c r="E97" s="189">
        <v>5.4</v>
      </c>
      <c r="F97" s="189">
        <v>2.5099999999999998</v>
      </c>
      <c r="G97" s="189">
        <v>92.35</v>
      </c>
      <c r="H97" s="189">
        <v>49.64</v>
      </c>
      <c r="I97" s="189">
        <v>8.94</v>
      </c>
      <c r="J97" s="189">
        <v>0.2</v>
      </c>
      <c r="K97" s="189">
        <v>167.57</v>
      </c>
      <c r="L97" s="189">
        <v>16.82</v>
      </c>
      <c r="M97" s="189">
        <v>89.63</v>
      </c>
      <c r="N97" s="189">
        <v>0</v>
      </c>
      <c r="O97" s="189">
        <v>0</v>
      </c>
      <c r="P97" s="189">
        <v>0.99</v>
      </c>
      <c r="Q97" s="189">
        <v>5.07</v>
      </c>
    </row>
    <row r="98" spans="1:22" customFormat="1">
      <c r="A98" s="6" t="s">
        <v>1768</v>
      </c>
      <c r="B98" s="189">
        <v>18.84</v>
      </c>
      <c r="C98" s="189">
        <v>32.74</v>
      </c>
      <c r="D98" s="189">
        <v>33.57</v>
      </c>
      <c r="E98" s="189">
        <v>5.43</v>
      </c>
      <c r="F98" s="189">
        <v>2.5299999999999998</v>
      </c>
      <c r="G98" s="189">
        <v>92.35</v>
      </c>
      <c r="H98" s="189">
        <v>49.64</v>
      </c>
      <c r="I98" s="189">
        <v>9.2100000000000009</v>
      </c>
      <c r="J98" s="189">
        <v>0.16</v>
      </c>
      <c r="K98" s="189">
        <v>171.82</v>
      </c>
      <c r="L98" s="189">
        <v>16.649999999999999</v>
      </c>
      <c r="M98" s="189">
        <v>89.43</v>
      </c>
      <c r="N98" s="189">
        <v>0</v>
      </c>
      <c r="O98" s="189">
        <v>0</v>
      </c>
      <c r="P98" s="189">
        <v>1.04</v>
      </c>
      <c r="Q98" s="189">
        <v>5.1100000000000003</v>
      </c>
    </row>
    <row r="99" spans="1:22" customFormat="1">
      <c r="A99" s="6" t="s">
        <v>1769</v>
      </c>
      <c r="B99" s="189">
        <v>23.12</v>
      </c>
      <c r="C99" s="189">
        <v>33.99</v>
      </c>
      <c r="D99" s="189">
        <v>37.65</v>
      </c>
      <c r="E99" s="189">
        <v>5.56</v>
      </c>
      <c r="F99" s="189">
        <v>2.63</v>
      </c>
      <c r="G99" s="189">
        <v>134.41999999999999</v>
      </c>
      <c r="H99" s="189">
        <v>57.04</v>
      </c>
      <c r="I99" s="189">
        <v>9.5</v>
      </c>
      <c r="J99" s="189">
        <v>0.16</v>
      </c>
      <c r="K99" s="189">
        <v>156.15</v>
      </c>
      <c r="L99" s="189">
        <v>16.690000000000001</v>
      </c>
      <c r="M99" s="189">
        <v>89.35</v>
      </c>
      <c r="N99" s="189">
        <v>0</v>
      </c>
      <c r="O99" s="189">
        <v>0</v>
      </c>
      <c r="P99" s="189">
        <v>1.1000000000000001</v>
      </c>
      <c r="Q99" s="189">
        <v>5.18</v>
      </c>
    </row>
    <row r="100" spans="1:22" customFormat="1">
      <c r="A100" s="6" t="s">
        <v>1770</v>
      </c>
      <c r="B100" s="189">
        <v>28.9</v>
      </c>
      <c r="C100" s="189">
        <v>35.21</v>
      </c>
      <c r="D100" s="189">
        <v>42.93</v>
      </c>
      <c r="E100" s="189">
        <v>5.57</v>
      </c>
      <c r="F100" s="189">
        <v>2.56</v>
      </c>
      <c r="G100" s="189">
        <v>140.27000000000001</v>
      </c>
      <c r="H100" s="189">
        <v>57.04</v>
      </c>
      <c r="I100" s="189">
        <v>9.8699999999999992</v>
      </c>
      <c r="J100" s="189">
        <v>0.14000000000000001</v>
      </c>
      <c r="K100" s="189">
        <v>171.5</v>
      </c>
      <c r="L100" s="189">
        <v>16.52</v>
      </c>
      <c r="M100" s="189">
        <v>89.79</v>
      </c>
      <c r="N100" s="189">
        <v>0</v>
      </c>
      <c r="O100" s="189">
        <v>0</v>
      </c>
      <c r="P100" s="189">
        <v>1.19</v>
      </c>
      <c r="Q100" s="189">
        <v>5.28</v>
      </c>
    </row>
    <row r="101" spans="1:22" customFormat="1">
      <c r="A101" s="6" t="s">
        <v>1771</v>
      </c>
      <c r="B101" s="189">
        <v>34.72</v>
      </c>
      <c r="C101" s="189">
        <v>36.15</v>
      </c>
      <c r="D101" s="189">
        <v>48.08</v>
      </c>
      <c r="E101" s="189">
        <v>5.53</v>
      </c>
      <c r="F101" s="189">
        <v>2.5099999999999998</v>
      </c>
      <c r="G101" s="189">
        <v>140.27000000000001</v>
      </c>
      <c r="H101" s="189">
        <v>57.04</v>
      </c>
      <c r="I101" s="189">
        <v>10.36</v>
      </c>
      <c r="J101" s="189">
        <v>0.12</v>
      </c>
      <c r="K101" s="189">
        <v>212.49</v>
      </c>
      <c r="L101" s="189">
        <v>16.32</v>
      </c>
      <c r="M101" s="189">
        <v>91.88</v>
      </c>
      <c r="N101" s="189">
        <v>0</v>
      </c>
      <c r="O101" s="189">
        <v>0</v>
      </c>
      <c r="P101" s="189">
        <v>1.26</v>
      </c>
      <c r="Q101" s="189">
        <v>5.35</v>
      </c>
    </row>
    <row r="102" spans="1:22" customFormat="1">
      <c r="A102" s="6" t="s">
        <v>1772</v>
      </c>
      <c r="B102" s="189">
        <v>39.99</v>
      </c>
      <c r="C102" s="189">
        <v>36.950000000000003</v>
      </c>
      <c r="D102" s="189">
        <v>52.72</v>
      </c>
      <c r="E102" s="189">
        <v>5.59</v>
      </c>
      <c r="F102" s="189">
        <v>2.5299999999999998</v>
      </c>
      <c r="G102" s="189">
        <v>140.27000000000001</v>
      </c>
      <c r="H102" s="189">
        <v>57.04</v>
      </c>
      <c r="I102" s="189">
        <v>10.95</v>
      </c>
      <c r="J102" s="189">
        <v>0.08</v>
      </c>
      <c r="K102" s="189">
        <v>138.26</v>
      </c>
      <c r="L102" s="189">
        <v>16.11</v>
      </c>
      <c r="M102" s="189">
        <v>92.23</v>
      </c>
      <c r="N102" s="189">
        <v>0</v>
      </c>
      <c r="O102" s="189">
        <v>0</v>
      </c>
      <c r="P102" s="189">
        <v>1.33</v>
      </c>
      <c r="Q102" s="189">
        <v>5.42</v>
      </c>
    </row>
    <row r="103" spans="1:22" customFormat="1">
      <c r="A103" s="6" t="s">
        <v>1773</v>
      </c>
      <c r="B103" s="189">
        <v>47.21</v>
      </c>
      <c r="C103" s="189">
        <v>37.450000000000003</v>
      </c>
      <c r="D103" s="189">
        <v>58.78</v>
      </c>
      <c r="E103" s="189">
        <v>6.07</v>
      </c>
      <c r="F103" s="189">
        <v>2.58</v>
      </c>
      <c r="G103" s="189">
        <v>153.18</v>
      </c>
      <c r="H103" s="189">
        <v>68.25</v>
      </c>
      <c r="I103" s="189">
        <v>11.55</v>
      </c>
      <c r="J103" s="189">
        <v>0.18</v>
      </c>
      <c r="K103" s="189">
        <v>203.76</v>
      </c>
      <c r="L103" s="189">
        <v>16.16</v>
      </c>
      <c r="M103" s="189">
        <v>91.3</v>
      </c>
      <c r="N103" s="189">
        <v>0</v>
      </c>
      <c r="O103" s="189">
        <v>0</v>
      </c>
      <c r="P103" s="189">
        <v>1.41</v>
      </c>
      <c r="Q103" s="189">
        <v>5.5</v>
      </c>
    </row>
    <row r="104" spans="1:22" customFormat="1">
      <c r="A104" s="6" t="s">
        <v>1774</v>
      </c>
      <c r="B104" s="189">
        <v>53.69</v>
      </c>
      <c r="C104" s="189">
        <v>37.659999999999997</v>
      </c>
      <c r="D104" s="189">
        <v>64.09</v>
      </c>
      <c r="E104" s="189">
        <v>6.26</v>
      </c>
      <c r="F104" s="189">
        <v>2.48</v>
      </c>
      <c r="G104" s="189">
        <v>154.97</v>
      </c>
      <c r="H104" s="189">
        <v>68.25</v>
      </c>
      <c r="I104" s="189">
        <v>12.15</v>
      </c>
      <c r="J104" s="189">
        <v>0.06</v>
      </c>
      <c r="K104" s="189">
        <v>90.35</v>
      </c>
      <c r="L104" s="189">
        <v>15.8</v>
      </c>
      <c r="M104" s="189">
        <v>92.74</v>
      </c>
      <c r="N104" s="189">
        <v>0</v>
      </c>
      <c r="O104" s="189">
        <v>0</v>
      </c>
      <c r="P104" s="189">
        <v>1.46</v>
      </c>
      <c r="Q104" s="189">
        <v>5.59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4.4800000000000004</v>
      </c>
      <c r="C106" s="183">
        <f>MIN(C9:C104)</f>
        <v>22.26</v>
      </c>
      <c r="D106" s="183">
        <f t="shared" ref="D106:Q106" si="0">MIN(D9:D104)</f>
        <v>17.02</v>
      </c>
      <c r="E106" s="183">
        <f t="shared" si="0"/>
        <v>4.5599999999999996</v>
      </c>
      <c r="F106" s="183">
        <f t="shared" si="0"/>
        <v>2.44</v>
      </c>
      <c r="G106" s="183">
        <f t="shared" si="0"/>
        <v>79.63</v>
      </c>
      <c r="H106" s="183">
        <f t="shared" si="0"/>
        <v>46.07</v>
      </c>
      <c r="I106" s="183">
        <f t="shared" si="0"/>
        <v>7.79</v>
      </c>
      <c r="J106" s="183">
        <f t="shared" si="0"/>
        <v>0.02</v>
      </c>
      <c r="K106" s="183">
        <f t="shared" si="0"/>
        <v>3</v>
      </c>
      <c r="L106" s="183">
        <f t="shared" si="0"/>
        <v>13.21</v>
      </c>
      <c r="M106" s="183">
        <f t="shared" si="0"/>
        <v>40.83</v>
      </c>
      <c r="N106" s="183">
        <f t="shared" si="0"/>
        <v>0</v>
      </c>
      <c r="O106" s="183">
        <f t="shared" si="0"/>
        <v>0</v>
      </c>
      <c r="P106" s="183">
        <f t="shared" si="0"/>
        <v>0.75</v>
      </c>
      <c r="Q106" s="183">
        <f t="shared" si="0"/>
        <v>4.8499999999999996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53.69</v>
      </c>
      <c r="C107" s="184">
        <f t="shared" ref="C107:Q107" si="1">MAX(C9:C104)</f>
        <v>37.659999999999997</v>
      </c>
      <c r="D107" s="184">
        <f t="shared" si="1"/>
        <v>64.09</v>
      </c>
      <c r="E107" s="184">
        <f t="shared" si="1"/>
        <v>8.84</v>
      </c>
      <c r="F107" s="184">
        <f t="shared" si="1"/>
        <v>6.43</v>
      </c>
      <c r="G107" s="184">
        <f t="shared" si="1"/>
        <v>192.91</v>
      </c>
      <c r="H107" s="184">
        <f t="shared" si="1"/>
        <v>91.19</v>
      </c>
      <c r="I107" s="184">
        <f t="shared" si="1"/>
        <v>12.37</v>
      </c>
      <c r="J107" s="184">
        <f t="shared" si="1"/>
        <v>0.69</v>
      </c>
      <c r="K107" s="184">
        <f t="shared" si="1"/>
        <v>308</v>
      </c>
      <c r="L107" s="184">
        <f t="shared" si="1"/>
        <v>26.67</v>
      </c>
      <c r="M107" s="184">
        <f t="shared" si="1"/>
        <v>95.76</v>
      </c>
      <c r="N107" s="184">
        <f t="shared" si="1"/>
        <v>463.6</v>
      </c>
      <c r="O107" s="184">
        <f t="shared" si="1"/>
        <v>0</v>
      </c>
      <c r="P107" s="184">
        <f t="shared" si="1"/>
        <v>1.46</v>
      </c>
      <c r="Q107" s="184">
        <f t="shared" si="1"/>
        <v>5.59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12.80302083333333</v>
      </c>
      <c r="C108" s="183">
        <f t="shared" ref="C108:Q108" si="2">AVERAGE(C9:C104)</f>
        <v>28.626145833333325</v>
      </c>
      <c r="D108" s="183">
        <f t="shared" si="2"/>
        <v>26.57489583333334</v>
      </c>
      <c r="E108" s="183">
        <f t="shared" si="2"/>
        <v>6.365937500000002</v>
      </c>
      <c r="F108" s="183">
        <f t="shared" si="2"/>
        <v>3.3282291666666666</v>
      </c>
      <c r="G108" s="183">
        <f t="shared" si="2"/>
        <v>113.73291666666671</v>
      </c>
      <c r="H108" s="183">
        <f t="shared" si="2"/>
        <v>62.485208333333304</v>
      </c>
      <c r="I108" s="183">
        <f t="shared" si="2"/>
        <v>9.649791666666669</v>
      </c>
      <c r="J108" s="183">
        <f t="shared" si="2"/>
        <v>0.22385416666666669</v>
      </c>
      <c r="K108" s="183">
        <f t="shared" si="2"/>
        <v>123.07854166666669</v>
      </c>
      <c r="L108" s="183">
        <f t="shared" si="2"/>
        <v>18.787916666666668</v>
      </c>
      <c r="M108" s="183">
        <f t="shared" si="2"/>
        <v>74.888854166666661</v>
      </c>
      <c r="N108" s="183">
        <f t="shared" si="2"/>
        <v>92.586458333333326</v>
      </c>
      <c r="O108" s="183">
        <f t="shared" si="2"/>
        <v>0</v>
      </c>
      <c r="P108" s="183">
        <f t="shared" si="2"/>
        <v>0.98364583333333344</v>
      </c>
      <c r="Q108" s="183">
        <f t="shared" si="2"/>
        <v>5.0268749999999986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10.776879454578163</v>
      </c>
      <c r="C109" s="183">
        <f t="shared" ref="C109:Q109" si="3">STDEV(C9:C104)</f>
        <v>4.3199116389091534</v>
      </c>
      <c r="D109" s="183">
        <f t="shared" si="3"/>
        <v>10.669425377393646</v>
      </c>
      <c r="E109" s="183">
        <f t="shared" si="3"/>
        <v>1.1753015990307221</v>
      </c>
      <c r="F109" s="183">
        <f t="shared" si="3"/>
        <v>1.1160654525153284</v>
      </c>
      <c r="G109" s="183">
        <f t="shared" si="3"/>
        <v>34.048390947889821</v>
      </c>
      <c r="H109" s="183">
        <f t="shared" si="3"/>
        <v>14.89744675963445</v>
      </c>
      <c r="I109" s="183">
        <f t="shared" si="3"/>
        <v>1.4314276856684687</v>
      </c>
      <c r="J109" s="183">
        <f t="shared" si="3"/>
        <v>0.1534197530112569</v>
      </c>
      <c r="K109" s="183">
        <f t="shared" si="3"/>
        <v>66.291986004170838</v>
      </c>
      <c r="L109" s="183">
        <f t="shared" si="3"/>
        <v>4.6499892284350013</v>
      </c>
      <c r="M109" s="183">
        <f t="shared" si="3"/>
        <v>20.218278851719219</v>
      </c>
      <c r="N109" s="183">
        <f t="shared" si="3"/>
        <v>155.48304197245685</v>
      </c>
      <c r="O109" s="183">
        <f t="shared" si="3"/>
        <v>0</v>
      </c>
      <c r="P109" s="183">
        <f t="shared" si="3"/>
        <v>0.16561921952838887</v>
      </c>
      <c r="Q109" s="183">
        <f t="shared" si="3"/>
        <v>0.17825654191879786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1775</v>
      </c>
      <c r="B9" s="189">
        <v>62</v>
      </c>
      <c r="C9" s="189">
        <v>38.28</v>
      </c>
      <c r="D9" s="189">
        <v>71.069999999999993</v>
      </c>
      <c r="E9" s="189">
        <v>6.18</v>
      </c>
      <c r="F9" s="189">
        <v>2.62</v>
      </c>
      <c r="G9" s="189">
        <v>154.97</v>
      </c>
      <c r="H9" s="189">
        <v>68.25</v>
      </c>
      <c r="I9" s="189">
        <v>12.71</v>
      </c>
      <c r="J9" s="189">
        <v>0.33</v>
      </c>
      <c r="K9" s="189">
        <v>167.05</v>
      </c>
      <c r="L9" s="189">
        <v>15.71</v>
      </c>
      <c r="M9" s="189">
        <v>91.39</v>
      </c>
      <c r="N9" s="189">
        <v>0</v>
      </c>
      <c r="O9" s="189">
        <v>0</v>
      </c>
      <c r="P9" s="189">
        <v>1.52</v>
      </c>
      <c r="Q9" s="189">
        <v>5.68</v>
      </c>
    </row>
    <row r="10" spans="1:21" customFormat="1">
      <c r="A10" s="6" t="s">
        <v>1776</v>
      </c>
      <c r="B10" s="189">
        <v>64.069999999999993</v>
      </c>
      <c r="C10" s="189">
        <v>37.97</v>
      </c>
      <c r="D10" s="189">
        <v>72.569999999999993</v>
      </c>
      <c r="E10" s="189">
        <v>6.68</v>
      </c>
      <c r="F10" s="189">
        <v>2.62</v>
      </c>
      <c r="G10" s="189">
        <v>154.97</v>
      </c>
      <c r="H10" s="189">
        <v>68.25</v>
      </c>
      <c r="I10" s="189">
        <v>13.2</v>
      </c>
      <c r="J10" s="189">
        <v>0.02</v>
      </c>
      <c r="K10" s="189">
        <v>96.69</v>
      </c>
      <c r="L10" s="189">
        <v>15.39</v>
      </c>
      <c r="M10" s="189">
        <v>91.38</v>
      </c>
      <c r="N10" s="189">
        <v>0</v>
      </c>
      <c r="O10" s="189">
        <v>0</v>
      </c>
      <c r="P10" s="189">
        <v>1.55</v>
      </c>
      <c r="Q10" s="189">
        <v>5.75</v>
      </c>
    </row>
    <row r="11" spans="1:21" customFormat="1">
      <c r="A11" s="6" t="s">
        <v>1777</v>
      </c>
      <c r="B11" s="189">
        <v>67.09</v>
      </c>
      <c r="C11" s="189">
        <v>38.159999999999997</v>
      </c>
      <c r="D11" s="189">
        <v>75.09</v>
      </c>
      <c r="E11" s="189">
        <v>6.42</v>
      </c>
      <c r="F11" s="189">
        <v>2.4300000000000002</v>
      </c>
      <c r="G11" s="189">
        <v>168.3</v>
      </c>
      <c r="H11" s="189">
        <v>70.709999999999994</v>
      </c>
      <c r="I11" s="189">
        <v>13.62</v>
      </c>
      <c r="J11" s="189">
        <v>0.19</v>
      </c>
      <c r="K11" s="189">
        <v>187.52</v>
      </c>
      <c r="L11" s="189">
        <v>15.35</v>
      </c>
      <c r="M11" s="189">
        <v>90.86</v>
      </c>
      <c r="N11" s="189">
        <v>0</v>
      </c>
      <c r="O11" s="189">
        <v>0</v>
      </c>
      <c r="P11" s="189">
        <v>1.57</v>
      </c>
      <c r="Q11" s="189">
        <v>5.8</v>
      </c>
    </row>
    <row r="12" spans="1:21" customFormat="1">
      <c r="A12" s="6" t="s">
        <v>1778</v>
      </c>
      <c r="B12" s="189">
        <v>67.31</v>
      </c>
      <c r="C12" s="189">
        <v>37.659999999999997</v>
      </c>
      <c r="D12" s="189">
        <v>75.010000000000005</v>
      </c>
      <c r="E12" s="189">
        <v>6.62</v>
      </c>
      <c r="F12" s="189">
        <v>2.4900000000000002</v>
      </c>
      <c r="G12" s="189">
        <v>170.15</v>
      </c>
      <c r="H12" s="189">
        <v>70.709999999999994</v>
      </c>
      <c r="I12" s="189">
        <v>13.94</v>
      </c>
      <c r="J12" s="189">
        <v>0.26</v>
      </c>
      <c r="K12" s="189">
        <v>171.76</v>
      </c>
      <c r="L12" s="189">
        <v>15.23</v>
      </c>
      <c r="M12" s="189">
        <v>91.03</v>
      </c>
      <c r="N12" s="189">
        <v>0</v>
      </c>
      <c r="O12" s="189">
        <v>0</v>
      </c>
      <c r="P12" s="189">
        <v>1.56</v>
      </c>
      <c r="Q12" s="189">
        <v>5.82</v>
      </c>
    </row>
    <row r="13" spans="1:21" customFormat="1">
      <c r="A13" s="6" t="s">
        <v>1779</v>
      </c>
      <c r="B13" s="189">
        <v>65.39</v>
      </c>
      <c r="C13" s="189">
        <v>37.18</v>
      </c>
      <c r="D13" s="189">
        <v>73.22</v>
      </c>
      <c r="E13" s="189">
        <v>6.89</v>
      </c>
      <c r="F13" s="189">
        <v>2.56</v>
      </c>
      <c r="G13" s="189">
        <v>170.15</v>
      </c>
      <c r="H13" s="189">
        <v>70.709999999999994</v>
      </c>
      <c r="I13" s="189">
        <v>14.13</v>
      </c>
      <c r="J13" s="189">
        <v>0.22</v>
      </c>
      <c r="K13" s="189">
        <v>166.27</v>
      </c>
      <c r="L13" s="189">
        <v>15.08</v>
      </c>
      <c r="M13" s="189">
        <v>91.75</v>
      </c>
      <c r="N13" s="189">
        <v>0</v>
      </c>
      <c r="O13" s="189">
        <v>0</v>
      </c>
      <c r="P13" s="189">
        <v>1.57</v>
      </c>
      <c r="Q13" s="189">
        <v>5.82</v>
      </c>
    </row>
    <row r="14" spans="1:21" customFormat="1">
      <c r="A14" s="6" t="s">
        <v>1780</v>
      </c>
      <c r="B14" s="189">
        <v>63.04</v>
      </c>
      <c r="C14" s="189">
        <v>36.619999999999997</v>
      </c>
      <c r="D14" s="189">
        <v>71.040000000000006</v>
      </c>
      <c r="E14" s="189">
        <v>6.76</v>
      </c>
      <c r="F14" s="189">
        <v>2.4700000000000002</v>
      </c>
      <c r="G14" s="189">
        <v>170.15</v>
      </c>
      <c r="H14" s="189">
        <v>70.709999999999994</v>
      </c>
      <c r="I14" s="189">
        <v>14.27</v>
      </c>
      <c r="J14" s="189">
        <v>0.12</v>
      </c>
      <c r="K14" s="189">
        <v>177.83</v>
      </c>
      <c r="L14" s="189">
        <v>14.97</v>
      </c>
      <c r="M14" s="189">
        <v>92.7</v>
      </c>
      <c r="N14" s="189">
        <v>0</v>
      </c>
      <c r="O14" s="189">
        <v>0</v>
      </c>
      <c r="P14" s="189">
        <v>1.57</v>
      </c>
      <c r="Q14" s="189">
        <v>5.78</v>
      </c>
    </row>
    <row r="15" spans="1:21" customFormat="1">
      <c r="A15" s="6" t="s">
        <v>1781</v>
      </c>
      <c r="B15" s="189">
        <v>61.16</v>
      </c>
      <c r="C15" s="189">
        <v>36.32</v>
      </c>
      <c r="D15" s="189">
        <v>69.37</v>
      </c>
      <c r="E15" s="189">
        <v>6.42</v>
      </c>
      <c r="F15" s="189">
        <v>2.56</v>
      </c>
      <c r="G15" s="189">
        <v>140.52000000000001</v>
      </c>
      <c r="H15" s="189">
        <v>66.16</v>
      </c>
      <c r="I15" s="189">
        <v>14.33</v>
      </c>
      <c r="J15" s="189">
        <v>0.14000000000000001</v>
      </c>
      <c r="K15" s="189">
        <v>176.09</v>
      </c>
      <c r="L15" s="189">
        <v>15.09</v>
      </c>
      <c r="M15" s="189">
        <v>91.71</v>
      </c>
      <c r="N15" s="189">
        <v>0</v>
      </c>
      <c r="O15" s="189">
        <v>0</v>
      </c>
      <c r="P15" s="189">
        <v>1.57</v>
      </c>
      <c r="Q15" s="189">
        <v>5.75</v>
      </c>
    </row>
    <row r="16" spans="1:21" customFormat="1">
      <c r="A16" s="6" t="s">
        <v>1782</v>
      </c>
      <c r="B16" s="189">
        <v>59.26</v>
      </c>
      <c r="C16" s="189">
        <v>36.270000000000003</v>
      </c>
      <c r="D16" s="189">
        <v>67.819999999999993</v>
      </c>
      <c r="E16" s="189">
        <v>6.26</v>
      </c>
      <c r="F16" s="189">
        <v>2.46</v>
      </c>
      <c r="G16" s="189">
        <v>135.96</v>
      </c>
      <c r="H16" s="189">
        <v>66.16</v>
      </c>
      <c r="I16" s="189">
        <v>14.37</v>
      </c>
      <c r="J16" s="189">
        <v>0.17</v>
      </c>
      <c r="K16" s="189">
        <v>152.54</v>
      </c>
      <c r="L16" s="189">
        <v>14.7</v>
      </c>
      <c r="M16" s="189">
        <v>92.12</v>
      </c>
      <c r="N16" s="189">
        <v>0</v>
      </c>
      <c r="O16" s="189">
        <v>0</v>
      </c>
      <c r="P16" s="189">
        <v>1.57</v>
      </c>
      <c r="Q16" s="189">
        <v>5.74</v>
      </c>
    </row>
    <row r="17" spans="1:17" customFormat="1">
      <c r="A17" s="6" t="s">
        <v>1783</v>
      </c>
      <c r="B17" s="189">
        <v>57.59</v>
      </c>
      <c r="C17" s="189">
        <v>36.15</v>
      </c>
      <c r="D17" s="189">
        <v>66.42</v>
      </c>
      <c r="E17" s="189">
        <v>5.46</v>
      </c>
      <c r="F17" s="189">
        <v>2.4500000000000002</v>
      </c>
      <c r="G17" s="189">
        <v>135.96</v>
      </c>
      <c r="H17" s="189">
        <v>66.16</v>
      </c>
      <c r="I17" s="189">
        <v>14.47</v>
      </c>
      <c r="J17" s="189">
        <v>0.11</v>
      </c>
      <c r="K17" s="189">
        <v>159.87</v>
      </c>
      <c r="L17" s="189">
        <v>14.6</v>
      </c>
      <c r="M17" s="189">
        <v>92.4</v>
      </c>
      <c r="N17" s="189">
        <v>0</v>
      </c>
      <c r="O17" s="189">
        <v>0</v>
      </c>
      <c r="P17" s="189">
        <v>1.57</v>
      </c>
      <c r="Q17" s="189">
        <v>5.69</v>
      </c>
    </row>
    <row r="18" spans="1:17" customFormat="1">
      <c r="A18" s="6" t="s">
        <v>1784</v>
      </c>
      <c r="B18" s="189">
        <v>57.06</v>
      </c>
      <c r="C18" s="189">
        <v>35.92</v>
      </c>
      <c r="D18" s="189">
        <v>65.88</v>
      </c>
      <c r="E18" s="189">
        <v>6.7</v>
      </c>
      <c r="F18" s="189">
        <v>2.56</v>
      </c>
      <c r="G18" s="189">
        <v>135.96</v>
      </c>
      <c r="H18" s="189">
        <v>66.16</v>
      </c>
      <c r="I18" s="189">
        <v>14.6</v>
      </c>
      <c r="J18" s="189">
        <v>0.17</v>
      </c>
      <c r="K18" s="189">
        <v>165.62</v>
      </c>
      <c r="L18" s="189">
        <v>14.68</v>
      </c>
      <c r="M18" s="189">
        <v>92.46</v>
      </c>
      <c r="N18" s="189">
        <v>0</v>
      </c>
      <c r="O18" s="189">
        <v>0</v>
      </c>
      <c r="P18" s="189">
        <v>1.58</v>
      </c>
      <c r="Q18" s="189">
        <v>5.68</v>
      </c>
    </row>
    <row r="19" spans="1:17" customFormat="1">
      <c r="A19" s="6" t="s">
        <v>1785</v>
      </c>
      <c r="B19" s="189">
        <v>58.38</v>
      </c>
      <c r="C19" s="189">
        <v>33.33</v>
      </c>
      <c r="D19" s="189">
        <v>65.58</v>
      </c>
      <c r="E19" s="189">
        <v>6.22</v>
      </c>
      <c r="F19" s="189">
        <v>2.87</v>
      </c>
      <c r="G19" s="189">
        <v>133.22999999999999</v>
      </c>
      <c r="H19" s="189">
        <v>66.209999999999994</v>
      </c>
      <c r="I19" s="189">
        <v>14.7</v>
      </c>
      <c r="J19" s="189">
        <v>0.06</v>
      </c>
      <c r="K19" s="189">
        <v>221.88</v>
      </c>
      <c r="L19" s="189">
        <v>14.61</v>
      </c>
      <c r="M19" s="189">
        <v>93.21</v>
      </c>
      <c r="N19" s="189">
        <v>0</v>
      </c>
      <c r="O19" s="189">
        <v>0</v>
      </c>
      <c r="P19" s="189">
        <v>1.58</v>
      </c>
      <c r="Q19" s="189">
        <v>5.67</v>
      </c>
    </row>
    <row r="20" spans="1:17" customFormat="1">
      <c r="A20" s="6" t="s">
        <v>1786</v>
      </c>
      <c r="B20" s="189">
        <v>60.17</v>
      </c>
      <c r="C20" s="189">
        <v>34.08</v>
      </c>
      <c r="D20" s="189">
        <v>67.41</v>
      </c>
      <c r="E20" s="189">
        <v>6.41</v>
      </c>
      <c r="F20" s="189">
        <v>2.58</v>
      </c>
      <c r="G20" s="189">
        <v>132.81</v>
      </c>
      <c r="H20" s="189">
        <v>66.209999999999994</v>
      </c>
      <c r="I20" s="189">
        <v>14.79</v>
      </c>
      <c r="J20" s="189">
        <v>0.12</v>
      </c>
      <c r="K20" s="189">
        <v>142.87</v>
      </c>
      <c r="L20" s="189">
        <v>14.57</v>
      </c>
      <c r="M20" s="189">
        <v>93.42</v>
      </c>
      <c r="N20" s="189">
        <v>0</v>
      </c>
      <c r="O20" s="189">
        <v>0</v>
      </c>
      <c r="P20" s="189">
        <v>1.59</v>
      </c>
      <c r="Q20" s="189">
        <v>5.66</v>
      </c>
    </row>
    <row r="21" spans="1:17" customFormat="1">
      <c r="A21" s="6" t="s">
        <v>1787</v>
      </c>
      <c r="B21" s="189">
        <v>63.15</v>
      </c>
      <c r="C21" s="189">
        <v>34.299999999999997</v>
      </c>
      <c r="D21" s="189">
        <v>69.91</v>
      </c>
      <c r="E21" s="189">
        <v>6.04</v>
      </c>
      <c r="F21" s="189">
        <v>2.54</v>
      </c>
      <c r="G21" s="189">
        <v>132.81</v>
      </c>
      <c r="H21" s="189">
        <v>66.209999999999994</v>
      </c>
      <c r="I21" s="189">
        <v>14.88</v>
      </c>
      <c r="J21" s="189">
        <v>0.12</v>
      </c>
      <c r="K21" s="189">
        <v>200.67</v>
      </c>
      <c r="L21" s="189">
        <v>14.49</v>
      </c>
      <c r="M21" s="189">
        <v>93.54</v>
      </c>
      <c r="N21" s="189">
        <v>0</v>
      </c>
      <c r="O21" s="189">
        <v>0</v>
      </c>
      <c r="P21" s="189">
        <v>1.6</v>
      </c>
      <c r="Q21" s="189">
        <v>5.72</v>
      </c>
    </row>
    <row r="22" spans="1:17" customFormat="1">
      <c r="A22" s="6" t="s">
        <v>1788</v>
      </c>
      <c r="B22" s="189">
        <v>64.44</v>
      </c>
      <c r="C22" s="189">
        <v>34.090000000000003</v>
      </c>
      <c r="D22" s="189">
        <v>70.84</v>
      </c>
      <c r="E22" s="189">
        <v>6.69</v>
      </c>
      <c r="F22" s="189">
        <v>2.54</v>
      </c>
      <c r="G22" s="189">
        <v>132.81</v>
      </c>
      <c r="H22" s="189">
        <v>66.209999999999994</v>
      </c>
      <c r="I22" s="189">
        <v>14.96</v>
      </c>
      <c r="J22" s="189">
        <v>0.11</v>
      </c>
      <c r="K22" s="189">
        <v>168.17</v>
      </c>
      <c r="L22" s="189">
        <v>14.28</v>
      </c>
      <c r="M22" s="189">
        <v>94.98</v>
      </c>
      <c r="N22" s="189">
        <v>0</v>
      </c>
      <c r="O22" s="189">
        <v>0</v>
      </c>
      <c r="P22" s="189">
        <v>1.6</v>
      </c>
      <c r="Q22" s="189">
        <v>5.75</v>
      </c>
    </row>
    <row r="23" spans="1:17" customFormat="1">
      <c r="A23" s="6" t="s">
        <v>1789</v>
      </c>
      <c r="B23" s="189">
        <v>63.31</v>
      </c>
      <c r="C23" s="189">
        <v>33.94</v>
      </c>
      <c r="D23" s="189">
        <v>69.849999999999994</v>
      </c>
      <c r="E23" s="189">
        <v>6.57</v>
      </c>
      <c r="F23" s="189">
        <v>2.42</v>
      </c>
      <c r="G23" s="189">
        <v>124.19</v>
      </c>
      <c r="H23" s="189">
        <v>65.03</v>
      </c>
      <c r="I23" s="189">
        <v>15.05</v>
      </c>
      <c r="J23" s="189">
        <v>0.1</v>
      </c>
      <c r="K23" s="189">
        <v>152.05000000000001</v>
      </c>
      <c r="L23" s="189">
        <v>14.17</v>
      </c>
      <c r="M23" s="189">
        <v>95.2</v>
      </c>
      <c r="N23" s="189">
        <v>0</v>
      </c>
      <c r="O23" s="189">
        <v>0</v>
      </c>
      <c r="P23" s="189">
        <v>1.59</v>
      </c>
      <c r="Q23" s="189">
        <v>5.75</v>
      </c>
    </row>
    <row r="24" spans="1:17" customFormat="1">
      <c r="A24" s="6" t="s">
        <v>1790</v>
      </c>
      <c r="B24" s="189">
        <v>61.92</v>
      </c>
      <c r="C24" s="189">
        <v>33.130000000000003</v>
      </c>
      <c r="D24" s="189">
        <v>68.319999999999993</v>
      </c>
      <c r="E24" s="189">
        <v>6.36</v>
      </c>
      <c r="F24" s="189">
        <v>2.5</v>
      </c>
      <c r="G24" s="189">
        <v>123</v>
      </c>
      <c r="H24" s="189">
        <v>65.03</v>
      </c>
      <c r="I24" s="189">
        <v>15.08</v>
      </c>
      <c r="J24" s="189">
        <v>0.06</v>
      </c>
      <c r="K24" s="189">
        <v>206.37</v>
      </c>
      <c r="L24" s="189">
        <v>14.19</v>
      </c>
      <c r="M24" s="189">
        <v>95.28</v>
      </c>
      <c r="N24" s="189">
        <v>0</v>
      </c>
      <c r="O24" s="189">
        <v>0</v>
      </c>
      <c r="P24" s="189">
        <v>1.59</v>
      </c>
      <c r="Q24" s="189">
        <v>5.74</v>
      </c>
    </row>
    <row r="25" spans="1:17" customFormat="1">
      <c r="A25" s="6" t="s">
        <v>1791</v>
      </c>
      <c r="B25" s="189">
        <v>63.02</v>
      </c>
      <c r="C25" s="189">
        <v>33.47</v>
      </c>
      <c r="D25" s="189">
        <v>69.37</v>
      </c>
      <c r="E25" s="189">
        <v>6.58</v>
      </c>
      <c r="F25" s="189">
        <v>2.36</v>
      </c>
      <c r="G25" s="189">
        <v>123</v>
      </c>
      <c r="H25" s="189">
        <v>65.03</v>
      </c>
      <c r="I25" s="189">
        <v>15.06</v>
      </c>
      <c r="J25" s="189">
        <v>0.08</v>
      </c>
      <c r="K25" s="189">
        <v>116.92</v>
      </c>
      <c r="L25" s="189">
        <v>14.18</v>
      </c>
      <c r="M25" s="189">
        <v>94.89</v>
      </c>
      <c r="N25" s="189">
        <v>0</v>
      </c>
      <c r="O25" s="189">
        <v>0</v>
      </c>
      <c r="P25" s="189">
        <v>1.59</v>
      </c>
      <c r="Q25" s="189">
        <v>5.75</v>
      </c>
    </row>
    <row r="26" spans="1:17" customFormat="1">
      <c r="A26" s="6" t="s">
        <v>1792</v>
      </c>
      <c r="B26" s="189">
        <v>65.900000000000006</v>
      </c>
      <c r="C26" s="189">
        <v>33.64</v>
      </c>
      <c r="D26" s="189">
        <v>71.77</v>
      </c>
      <c r="E26" s="189">
        <v>6.81</v>
      </c>
      <c r="F26" s="189">
        <v>2.38</v>
      </c>
      <c r="G26" s="189">
        <v>123</v>
      </c>
      <c r="H26" s="189">
        <v>65.03</v>
      </c>
      <c r="I26" s="189">
        <v>15.03</v>
      </c>
      <c r="J26" s="189">
        <v>0.15</v>
      </c>
      <c r="K26" s="189">
        <v>221.32</v>
      </c>
      <c r="L26" s="189">
        <v>14.18</v>
      </c>
      <c r="M26" s="189">
        <v>95.28</v>
      </c>
      <c r="N26" s="189">
        <v>0</v>
      </c>
      <c r="O26" s="189">
        <v>0</v>
      </c>
      <c r="P26" s="189">
        <v>1.6</v>
      </c>
      <c r="Q26" s="189">
        <v>5.75</v>
      </c>
    </row>
    <row r="27" spans="1:17" customFormat="1">
      <c r="A27" s="6" t="s">
        <v>1793</v>
      </c>
      <c r="B27" s="189">
        <v>66.67</v>
      </c>
      <c r="C27" s="189">
        <v>33.770000000000003</v>
      </c>
      <c r="D27" s="189">
        <v>72.459999999999994</v>
      </c>
      <c r="E27" s="189">
        <v>6.6</v>
      </c>
      <c r="F27" s="189">
        <v>2.56</v>
      </c>
      <c r="G27" s="189">
        <v>120.68</v>
      </c>
      <c r="H27" s="189">
        <v>67.599999999999994</v>
      </c>
      <c r="I27" s="189">
        <v>15.06</v>
      </c>
      <c r="J27" s="189">
        <v>0.11</v>
      </c>
      <c r="K27" s="189">
        <v>247.21</v>
      </c>
      <c r="L27" s="189">
        <v>13.81</v>
      </c>
      <c r="M27" s="189">
        <v>95.9</v>
      </c>
      <c r="N27" s="189">
        <v>0</v>
      </c>
      <c r="O27" s="189">
        <v>0</v>
      </c>
      <c r="P27" s="189">
        <v>1.58</v>
      </c>
      <c r="Q27" s="189">
        <v>5.79</v>
      </c>
    </row>
    <row r="28" spans="1:17" customFormat="1">
      <c r="A28" s="6" t="s">
        <v>1794</v>
      </c>
      <c r="B28" s="189">
        <v>65.28</v>
      </c>
      <c r="C28" s="189">
        <v>33.130000000000003</v>
      </c>
      <c r="D28" s="189">
        <v>71.010000000000005</v>
      </c>
      <c r="E28" s="189">
        <v>6.49</v>
      </c>
      <c r="F28" s="189">
        <v>2.5</v>
      </c>
      <c r="G28" s="189">
        <v>120.35</v>
      </c>
      <c r="H28" s="189">
        <v>67.599999999999994</v>
      </c>
      <c r="I28" s="189">
        <v>15.07</v>
      </c>
      <c r="J28" s="189">
        <v>0.09</v>
      </c>
      <c r="K28" s="189">
        <v>168.11</v>
      </c>
      <c r="L28" s="189">
        <v>13.68</v>
      </c>
      <c r="M28" s="189">
        <v>96.08</v>
      </c>
      <c r="N28" s="189">
        <v>0</v>
      </c>
      <c r="O28" s="189">
        <v>0</v>
      </c>
      <c r="P28" s="189">
        <v>1.57</v>
      </c>
      <c r="Q28" s="189">
        <v>5.81</v>
      </c>
    </row>
    <row r="29" spans="1:17" customFormat="1">
      <c r="A29" s="6" t="s">
        <v>1795</v>
      </c>
      <c r="B29" s="189">
        <v>65.459999999999994</v>
      </c>
      <c r="C29" s="189">
        <v>32.99</v>
      </c>
      <c r="D29" s="189">
        <v>71.09</v>
      </c>
      <c r="E29" s="189">
        <v>6.26</v>
      </c>
      <c r="F29" s="189">
        <v>2.4900000000000002</v>
      </c>
      <c r="G29" s="189">
        <v>120.35</v>
      </c>
      <c r="H29" s="189">
        <v>67.599999999999994</v>
      </c>
      <c r="I29" s="189">
        <v>15.03</v>
      </c>
      <c r="J29" s="189">
        <v>0.1</v>
      </c>
      <c r="K29" s="189">
        <v>167.25</v>
      </c>
      <c r="L29" s="189">
        <v>13.91</v>
      </c>
      <c r="M29" s="189">
        <v>96.08</v>
      </c>
      <c r="N29" s="189">
        <v>0</v>
      </c>
      <c r="O29" s="189">
        <v>0</v>
      </c>
      <c r="P29" s="189">
        <v>1.56</v>
      </c>
      <c r="Q29" s="189">
        <v>5.81</v>
      </c>
    </row>
    <row r="30" spans="1:17" customFormat="1">
      <c r="A30" s="6" t="s">
        <v>1796</v>
      </c>
      <c r="B30" s="189">
        <v>67.400000000000006</v>
      </c>
      <c r="C30" s="189">
        <v>32.14</v>
      </c>
      <c r="D30" s="189">
        <v>72.19</v>
      </c>
      <c r="E30" s="189">
        <v>6.39</v>
      </c>
      <c r="F30" s="189">
        <v>2.5</v>
      </c>
      <c r="G30" s="189">
        <v>120.35</v>
      </c>
      <c r="H30" s="189">
        <v>67.599999999999994</v>
      </c>
      <c r="I30" s="189">
        <v>14.97</v>
      </c>
      <c r="J30" s="189">
        <v>0.13</v>
      </c>
      <c r="K30" s="189">
        <v>141.4</v>
      </c>
      <c r="L30" s="189">
        <v>13.81</v>
      </c>
      <c r="M30" s="189">
        <v>96.27</v>
      </c>
      <c r="N30" s="189">
        <v>0</v>
      </c>
      <c r="O30" s="189">
        <v>0</v>
      </c>
      <c r="P30" s="189">
        <v>1.54</v>
      </c>
      <c r="Q30" s="189">
        <v>5.79</v>
      </c>
    </row>
    <row r="31" spans="1:17" customFormat="1">
      <c r="A31" s="6" t="s">
        <v>1797</v>
      </c>
      <c r="B31" s="189">
        <v>66.099999999999994</v>
      </c>
      <c r="C31" s="189">
        <v>32.03</v>
      </c>
      <c r="D31" s="189">
        <v>71.099999999999994</v>
      </c>
      <c r="E31" s="189">
        <v>6.73</v>
      </c>
      <c r="F31" s="189">
        <v>2.52</v>
      </c>
      <c r="G31" s="189">
        <v>113.75</v>
      </c>
      <c r="H31" s="189">
        <v>64.8</v>
      </c>
      <c r="I31" s="189">
        <v>14.93</v>
      </c>
      <c r="J31" s="189">
        <v>0.09</v>
      </c>
      <c r="K31" s="189">
        <v>186.11</v>
      </c>
      <c r="L31" s="189">
        <v>13.77</v>
      </c>
      <c r="M31" s="189">
        <v>96.66</v>
      </c>
      <c r="N31" s="189">
        <v>0</v>
      </c>
      <c r="O31" s="189">
        <v>0</v>
      </c>
      <c r="P31" s="189">
        <v>1.53</v>
      </c>
      <c r="Q31" s="189">
        <v>5.78</v>
      </c>
    </row>
    <row r="32" spans="1:17" customFormat="1">
      <c r="A32" s="6" t="s">
        <v>1798</v>
      </c>
      <c r="B32" s="189">
        <v>64.02</v>
      </c>
      <c r="C32" s="189">
        <v>32.15</v>
      </c>
      <c r="D32" s="189">
        <v>69.489999999999995</v>
      </c>
      <c r="E32" s="189">
        <v>6.34</v>
      </c>
      <c r="F32" s="189">
        <v>2.37</v>
      </c>
      <c r="G32" s="189">
        <v>112.83</v>
      </c>
      <c r="H32" s="189">
        <v>64.8</v>
      </c>
      <c r="I32" s="189">
        <v>14.88</v>
      </c>
      <c r="J32" s="189">
        <v>0.13</v>
      </c>
      <c r="K32" s="189">
        <v>138.33000000000001</v>
      </c>
      <c r="L32" s="189">
        <v>13.6</v>
      </c>
      <c r="M32" s="189">
        <v>96.87</v>
      </c>
      <c r="N32" s="189">
        <v>0</v>
      </c>
      <c r="O32" s="189">
        <v>0</v>
      </c>
      <c r="P32" s="189">
        <v>1.51</v>
      </c>
      <c r="Q32" s="189">
        <v>5.78</v>
      </c>
    </row>
    <row r="33" spans="1:17" customFormat="1">
      <c r="A33" s="6" t="s">
        <v>1799</v>
      </c>
      <c r="B33" s="189">
        <v>62.44</v>
      </c>
      <c r="C33" s="189">
        <v>31.13</v>
      </c>
      <c r="D33" s="189">
        <v>67.680000000000007</v>
      </c>
      <c r="E33" s="189">
        <v>6.6</v>
      </c>
      <c r="F33" s="189">
        <v>2.54</v>
      </c>
      <c r="G33" s="189">
        <v>112.83</v>
      </c>
      <c r="H33" s="189">
        <v>64.8</v>
      </c>
      <c r="I33" s="189">
        <v>14.78</v>
      </c>
      <c r="J33" s="189">
        <v>0.11</v>
      </c>
      <c r="K33" s="189">
        <v>204.41</v>
      </c>
      <c r="L33" s="189">
        <v>13.61</v>
      </c>
      <c r="M33" s="189">
        <v>97.01</v>
      </c>
      <c r="N33" s="189">
        <v>0</v>
      </c>
      <c r="O33" s="189">
        <v>0</v>
      </c>
      <c r="P33" s="189">
        <v>1.49</v>
      </c>
      <c r="Q33" s="189">
        <v>5.75</v>
      </c>
    </row>
    <row r="34" spans="1:17" customFormat="1">
      <c r="A34" s="6" t="s">
        <v>1800</v>
      </c>
      <c r="B34" s="189">
        <v>61.89</v>
      </c>
      <c r="C34" s="189">
        <v>30.99</v>
      </c>
      <c r="D34" s="189">
        <v>67.180000000000007</v>
      </c>
      <c r="E34" s="189">
        <v>7.17</v>
      </c>
      <c r="F34" s="189">
        <v>2.67</v>
      </c>
      <c r="G34" s="189">
        <v>112.83</v>
      </c>
      <c r="H34" s="189">
        <v>64.8</v>
      </c>
      <c r="I34" s="189">
        <v>14.66</v>
      </c>
      <c r="J34" s="189">
        <v>7.0000000000000007E-2</v>
      </c>
      <c r="K34" s="189">
        <v>207.87</v>
      </c>
      <c r="L34" s="189">
        <v>13.51</v>
      </c>
      <c r="M34" s="189">
        <v>97.37</v>
      </c>
      <c r="N34" s="189">
        <v>0</v>
      </c>
      <c r="O34" s="189">
        <v>0</v>
      </c>
      <c r="P34" s="189">
        <v>1.47</v>
      </c>
      <c r="Q34" s="189">
        <v>5.73</v>
      </c>
    </row>
    <row r="35" spans="1:17" customFormat="1">
      <c r="A35" s="6" t="s">
        <v>1801</v>
      </c>
      <c r="B35" s="189">
        <v>60.37</v>
      </c>
      <c r="C35" s="189">
        <v>31.91</v>
      </c>
      <c r="D35" s="189">
        <v>66.44</v>
      </c>
      <c r="E35" s="189">
        <v>6.52</v>
      </c>
      <c r="F35" s="189">
        <v>2.6</v>
      </c>
      <c r="G35" s="189">
        <v>105.24</v>
      </c>
      <c r="H35" s="189">
        <v>62.8</v>
      </c>
      <c r="I35" s="189">
        <v>14.6</v>
      </c>
      <c r="J35" s="189">
        <v>0.14000000000000001</v>
      </c>
      <c r="K35" s="189">
        <v>160.4</v>
      </c>
      <c r="L35" s="189">
        <v>13.48</v>
      </c>
      <c r="M35" s="189">
        <v>97.91</v>
      </c>
      <c r="N35" s="189">
        <v>0</v>
      </c>
      <c r="O35" s="189">
        <v>0</v>
      </c>
      <c r="P35" s="189">
        <v>1.46</v>
      </c>
      <c r="Q35" s="189">
        <v>5.71</v>
      </c>
    </row>
    <row r="36" spans="1:17" customFormat="1">
      <c r="A36" s="6" t="s">
        <v>1802</v>
      </c>
      <c r="B36" s="189">
        <v>59.17</v>
      </c>
      <c r="C36" s="189">
        <v>30.73</v>
      </c>
      <c r="D36" s="189">
        <v>64.86</v>
      </c>
      <c r="E36" s="189">
        <v>6.53</v>
      </c>
      <c r="F36" s="189">
        <v>2.58</v>
      </c>
      <c r="G36" s="189">
        <v>104.19</v>
      </c>
      <c r="H36" s="189">
        <v>62.8</v>
      </c>
      <c r="I36" s="189">
        <v>14.53</v>
      </c>
      <c r="J36" s="189">
        <v>0.11</v>
      </c>
      <c r="K36" s="189">
        <v>158.63</v>
      </c>
      <c r="L36" s="189">
        <v>13.66</v>
      </c>
      <c r="M36" s="189">
        <v>98.06</v>
      </c>
      <c r="N36" s="189">
        <v>3.9</v>
      </c>
      <c r="O36" s="189">
        <v>0</v>
      </c>
      <c r="P36" s="189">
        <v>1.44</v>
      </c>
      <c r="Q36" s="189">
        <v>5.72</v>
      </c>
    </row>
    <row r="37" spans="1:17" customFormat="1">
      <c r="A37" s="6" t="s">
        <v>1803</v>
      </c>
      <c r="B37" s="189">
        <v>57.32</v>
      </c>
      <c r="C37" s="189">
        <v>31.17</v>
      </c>
      <c r="D37" s="189">
        <v>63.6</v>
      </c>
      <c r="E37" s="189">
        <v>7.35</v>
      </c>
      <c r="F37" s="189">
        <v>2.34</v>
      </c>
      <c r="G37" s="189">
        <v>104.19</v>
      </c>
      <c r="H37" s="189">
        <v>62.8</v>
      </c>
      <c r="I37" s="189">
        <v>14.44</v>
      </c>
      <c r="J37" s="189">
        <v>0.12</v>
      </c>
      <c r="K37" s="189">
        <v>221.89</v>
      </c>
      <c r="L37" s="189">
        <v>13.85</v>
      </c>
      <c r="M37" s="189">
        <v>98.2</v>
      </c>
      <c r="N37" s="189">
        <v>13.5</v>
      </c>
      <c r="O37" s="189">
        <v>0</v>
      </c>
      <c r="P37" s="189">
        <v>1.43</v>
      </c>
      <c r="Q37" s="189">
        <v>5.68</v>
      </c>
    </row>
    <row r="38" spans="1:17" customFormat="1">
      <c r="A38" s="6" t="s">
        <v>1804</v>
      </c>
      <c r="B38" s="189">
        <v>54.87</v>
      </c>
      <c r="C38" s="189">
        <v>31.09</v>
      </c>
      <c r="D38" s="189">
        <v>61.59</v>
      </c>
      <c r="E38" s="189">
        <v>6.93</v>
      </c>
      <c r="F38" s="189">
        <v>2.46</v>
      </c>
      <c r="G38" s="189">
        <v>104.19</v>
      </c>
      <c r="H38" s="189">
        <v>62.8</v>
      </c>
      <c r="I38" s="189">
        <v>14.39</v>
      </c>
      <c r="J38" s="189">
        <v>0.15</v>
      </c>
      <c r="K38" s="189">
        <v>194.63</v>
      </c>
      <c r="L38" s="189">
        <v>14.13</v>
      </c>
      <c r="M38" s="189">
        <v>98.04</v>
      </c>
      <c r="N38" s="189">
        <v>25.2</v>
      </c>
      <c r="O38" s="189">
        <v>0</v>
      </c>
      <c r="P38" s="189">
        <v>1.41</v>
      </c>
      <c r="Q38" s="189">
        <v>5.65</v>
      </c>
    </row>
    <row r="39" spans="1:17" customFormat="1">
      <c r="A39" s="6" t="s">
        <v>1805</v>
      </c>
      <c r="B39" s="189">
        <v>52.58</v>
      </c>
      <c r="C39" s="189">
        <v>31.86</v>
      </c>
      <c r="D39" s="189">
        <v>60.16</v>
      </c>
      <c r="E39" s="189">
        <v>6.9</v>
      </c>
      <c r="F39" s="189">
        <v>2.4</v>
      </c>
      <c r="G39" s="189">
        <v>105.47</v>
      </c>
      <c r="H39" s="189">
        <v>60.89</v>
      </c>
      <c r="I39" s="189">
        <v>14.3</v>
      </c>
      <c r="J39" s="189">
        <v>0.26</v>
      </c>
      <c r="K39" s="189">
        <v>272.95999999999998</v>
      </c>
      <c r="L39" s="189">
        <v>14.35</v>
      </c>
      <c r="M39" s="189">
        <v>95.79</v>
      </c>
      <c r="N39" s="189">
        <v>38.1</v>
      </c>
      <c r="O39" s="189">
        <v>0</v>
      </c>
      <c r="P39" s="189">
        <v>1.39</v>
      </c>
      <c r="Q39" s="189">
        <v>5.62</v>
      </c>
    </row>
    <row r="40" spans="1:17" customFormat="1">
      <c r="A40" s="6" t="s">
        <v>1806</v>
      </c>
      <c r="B40" s="189">
        <v>50.47</v>
      </c>
      <c r="C40" s="189">
        <v>31.81</v>
      </c>
      <c r="D40" s="189">
        <v>58.45</v>
      </c>
      <c r="E40" s="189">
        <v>6.55</v>
      </c>
      <c r="F40" s="189">
        <v>2.5</v>
      </c>
      <c r="G40" s="189">
        <v>105.65</v>
      </c>
      <c r="H40" s="189">
        <v>60.89</v>
      </c>
      <c r="I40" s="189">
        <v>14.15</v>
      </c>
      <c r="J40" s="189">
        <v>0.25</v>
      </c>
      <c r="K40" s="189">
        <v>167.26</v>
      </c>
      <c r="L40" s="189">
        <v>15.06</v>
      </c>
      <c r="M40" s="189">
        <v>93.59</v>
      </c>
      <c r="N40" s="189">
        <v>53</v>
      </c>
      <c r="O40" s="189">
        <v>0</v>
      </c>
      <c r="P40" s="189">
        <v>1.38</v>
      </c>
      <c r="Q40" s="189">
        <v>5.6</v>
      </c>
    </row>
    <row r="41" spans="1:17" customFormat="1">
      <c r="A41" s="6" t="s">
        <v>1807</v>
      </c>
      <c r="B41" s="189">
        <v>48.19</v>
      </c>
      <c r="C41" s="189">
        <v>32.71</v>
      </c>
      <c r="D41" s="189">
        <v>57.08</v>
      </c>
      <c r="E41" s="189">
        <v>6.8</v>
      </c>
      <c r="F41" s="189">
        <v>2.56</v>
      </c>
      <c r="G41" s="189">
        <v>105.65</v>
      </c>
      <c r="H41" s="189">
        <v>60.89</v>
      </c>
      <c r="I41" s="189">
        <v>14.05</v>
      </c>
      <c r="J41" s="189">
        <v>0.32</v>
      </c>
      <c r="K41" s="189">
        <v>160.55000000000001</v>
      </c>
      <c r="L41" s="189">
        <v>16.32</v>
      </c>
      <c r="M41" s="189">
        <v>88.12</v>
      </c>
      <c r="N41" s="189">
        <v>108.3</v>
      </c>
      <c r="O41" s="189">
        <v>0</v>
      </c>
      <c r="P41" s="189">
        <v>1.36</v>
      </c>
      <c r="Q41" s="189">
        <v>5.56</v>
      </c>
    </row>
    <row r="42" spans="1:17" customFormat="1">
      <c r="A42" s="6" t="s">
        <v>1808</v>
      </c>
      <c r="B42" s="189">
        <v>45.6</v>
      </c>
      <c r="C42" s="189">
        <v>33.72</v>
      </c>
      <c r="D42" s="189">
        <v>55.54</v>
      </c>
      <c r="E42" s="189">
        <v>6.84</v>
      </c>
      <c r="F42" s="189">
        <v>2.57</v>
      </c>
      <c r="G42" s="189">
        <v>105.65</v>
      </c>
      <c r="H42" s="189">
        <v>60.89</v>
      </c>
      <c r="I42" s="189">
        <v>14.01</v>
      </c>
      <c r="J42" s="189">
        <v>0.08</v>
      </c>
      <c r="K42" s="189">
        <v>190.85</v>
      </c>
      <c r="L42" s="189">
        <v>17.510000000000002</v>
      </c>
      <c r="M42" s="189">
        <v>84.3</v>
      </c>
      <c r="N42" s="189">
        <v>139.19999999999999</v>
      </c>
      <c r="O42" s="189">
        <v>0</v>
      </c>
      <c r="P42" s="189">
        <v>1.35</v>
      </c>
      <c r="Q42" s="189">
        <v>5.53</v>
      </c>
    </row>
    <row r="43" spans="1:17" customFormat="1">
      <c r="A43" s="6" t="s">
        <v>1809</v>
      </c>
      <c r="B43" s="189">
        <v>42.83</v>
      </c>
      <c r="C43" s="189">
        <v>34.93</v>
      </c>
      <c r="D43" s="189">
        <v>53.95</v>
      </c>
      <c r="E43" s="189">
        <v>6.89</v>
      </c>
      <c r="F43" s="189">
        <v>2.56</v>
      </c>
      <c r="G43" s="189">
        <v>105.53</v>
      </c>
      <c r="H43" s="189">
        <v>60.23</v>
      </c>
      <c r="I43" s="189">
        <v>13.98</v>
      </c>
      <c r="J43" s="189">
        <v>0.19</v>
      </c>
      <c r="K43" s="189">
        <v>287.75</v>
      </c>
      <c r="L43" s="189">
        <v>18.36</v>
      </c>
      <c r="M43" s="189">
        <v>82.75</v>
      </c>
      <c r="N43" s="189">
        <v>167.2</v>
      </c>
      <c r="O43" s="189">
        <v>0</v>
      </c>
      <c r="P43" s="189">
        <v>1.33</v>
      </c>
      <c r="Q43" s="189">
        <v>5.5</v>
      </c>
    </row>
    <row r="44" spans="1:17" customFormat="1">
      <c r="A44" s="6" t="s">
        <v>1810</v>
      </c>
      <c r="B44" s="189">
        <v>39.93</v>
      </c>
      <c r="C44" s="189">
        <v>35.090000000000003</v>
      </c>
      <c r="D44" s="189">
        <v>51.71</v>
      </c>
      <c r="E44" s="189">
        <v>6.78</v>
      </c>
      <c r="F44" s="189">
        <v>2.61</v>
      </c>
      <c r="G44" s="189">
        <v>105.52</v>
      </c>
      <c r="H44" s="189">
        <v>60.23</v>
      </c>
      <c r="I44" s="189">
        <v>13.93</v>
      </c>
      <c r="J44" s="189">
        <v>0.16</v>
      </c>
      <c r="K44" s="189">
        <v>174.96</v>
      </c>
      <c r="L44" s="189">
        <v>19.87</v>
      </c>
      <c r="M44" s="189">
        <v>76.400000000000006</v>
      </c>
      <c r="N44" s="189">
        <v>172.5</v>
      </c>
      <c r="O44" s="189">
        <v>0</v>
      </c>
      <c r="P44" s="189">
        <v>1.32</v>
      </c>
      <c r="Q44" s="189">
        <v>5.46</v>
      </c>
    </row>
    <row r="45" spans="1:17" customFormat="1">
      <c r="A45" s="6" t="s">
        <v>1811</v>
      </c>
      <c r="B45" s="189">
        <v>36.6</v>
      </c>
      <c r="C45" s="189">
        <v>35.049999999999997</v>
      </c>
      <c r="D45" s="189">
        <v>49.02</v>
      </c>
      <c r="E45" s="189">
        <v>6.6</v>
      </c>
      <c r="F45" s="189">
        <v>2.7</v>
      </c>
      <c r="G45" s="189">
        <v>105.52</v>
      </c>
      <c r="H45" s="189">
        <v>60.23</v>
      </c>
      <c r="I45" s="189">
        <v>13.88</v>
      </c>
      <c r="J45" s="189">
        <v>0.27</v>
      </c>
      <c r="K45" s="189">
        <v>147.75</v>
      </c>
      <c r="L45" s="189">
        <v>20.98</v>
      </c>
      <c r="M45" s="189">
        <v>71.099999999999994</v>
      </c>
      <c r="N45" s="189">
        <v>120</v>
      </c>
      <c r="O45" s="189">
        <v>0</v>
      </c>
      <c r="P45" s="189">
        <v>1.29</v>
      </c>
      <c r="Q45" s="189">
        <v>5.43</v>
      </c>
    </row>
    <row r="46" spans="1:17" customFormat="1">
      <c r="A46" s="6" t="s">
        <v>1812</v>
      </c>
      <c r="B46" s="189">
        <v>32.94</v>
      </c>
      <c r="C46" s="189">
        <v>34.979999999999997</v>
      </c>
      <c r="D46" s="189">
        <v>46.04</v>
      </c>
      <c r="E46" s="189">
        <v>6.96</v>
      </c>
      <c r="F46" s="189">
        <v>2.68</v>
      </c>
      <c r="G46" s="189">
        <v>105.52</v>
      </c>
      <c r="H46" s="189">
        <v>60.23</v>
      </c>
      <c r="I46" s="189">
        <v>13.75</v>
      </c>
      <c r="J46" s="189">
        <v>0.22</v>
      </c>
      <c r="K46" s="189">
        <v>145.51</v>
      </c>
      <c r="L46" s="189">
        <v>21.83</v>
      </c>
      <c r="M46" s="189">
        <v>66.760000000000005</v>
      </c>
      <c r="N46" s="189">
        <v>120.7</v>
      </c>
      <c r="O46" s="189">
        <v>0</v>
      </c>
      <c r="P46" s="189">
        <v>1.28</v>
      </c>
      <c r="Q46" s="189">
        <v>5.36</v>
      </c>
    </row>
    <row r="47" spans="1:17" customFormat="1">
      <c r="A47" s="6" t="s">
        <v>1813</v>
      </c>
      <c r="B47" s="189">
        <v>29.08</v>
      </c>
      <c r="C47" s="189">
        <v>35.36</v>
      </c>
      <c r="D47" s="189">
        <v>43.14</v>
      </c>
      <c r="E47" s="189">
        <v>7.24</v>
      </c>
      <c r="F47" s="189">
        <v>2.74</v>
      </c>
      <c r="G47" s="189">
        <v>101.43</v>
      </c>
      <c r="H47" s="189">
        <v>61.53</v>
      </c>
      <c r="I47" s="189">
        <v>13.58</v>
      </c>
      <c r="J47" s="189">
        <v>0.28000000000000003</v>
      </c>
      <c r="K47" s="189">
        <v>139.13999999999999</v>
      </c>
      <c r="L47" s="189">
        <v>22.41</v>
      </c>
      <c r="M47" s="189">
        <v>62.52</v>
      </c>
      <c r="N47" s="189">
        <v>134</v>
      </c>
      <c r="O47" s="189">
        <v>0</v>
      </c>
      <c r="P47" s="189">
        <v>1.24</v>
      </c>
      <c r="Q47" s="189">
        <v>5.3</v>
      </c>
    </row>
    <row r="48" spans="1:17" customFormat="1">
      <c r="A48" s="6" t="s">
        <v>1814</v>
      </c>
      <c r="B48" s="189">
        <v>25.1</v>
      </c>
      <c r="C48" s="189">
        <v>36.17</v>
      </c>
      <c r="D48" s="189">
        <v>40.369999999999997</v>
      </c>
      <c r="E48" s="189">
        <v>7.21</v>
      </c>
      <c r="F48" s="189">
        <v>2.76</v>
      </c>
      <c r="G48" s="189">
        <v>100.81</v>
      </c>
      <c r="H48" s="189">
        <v>61.53</v>
      </c>
      <c r="I48" s="189">
        <v>13.39</v>
      </c>
      <c r="J48" s="189">
        <v>0.28000000000000003</v>
      </c>
      <c r="K48" s="189">
        <v>142.75</v>
      </c>
      <c r="L48" s="189">
        <v>23.2</v>
      </c>
      <c r="M48" s="189">
        <v>59.44</v>
      </c>
      <c r="N48" s="189">
        <v>183.3</v>
      </c>
      <c r="O48" s="189">
        <v>0</v>
      </c>
      <c r="P48" s="189">
        <v>1.23</v>
      </c>
      <c r="Q48" s="189">
        <v>5.25</v>
      </c>
    </row>
    <row r="49" spans="1:17" customFormat="1">
      <c r="A49" s="6" t="s">
        <v>1815</v>
      </c>
      <c r="B49" s="189">
        <v>21.18</v>
      </c>
      <c r="C49" s="189">
        <v>36.72</v>
      </c>
      <c r="D49" s="189">
        <v>37.520000000000003</v>
      </c>
      <c r="E49" s="189">
        <v>5.74</v>
      </c>
      <c r="F49" s="189">
        <v>2.99</v>
      </c>
      <c r="G49" s="189">
        <v>100.81</v>
      </c>
      <c r="H49" s="189">
        <v>61.53</v>
      </c>
      <c r="I49" s="189">
        <v>13.22</v>
      </c>
      <c r="J49" s="189">
        <v>0.28999999999999998</v>
      </c>
      <c r="K49" s="189">
        <v>147.16</v>
      </c>
      <c r="L49" s="189">
        <v>23.81</v>
      </c>
      <c r="M49" s="189">
        <v>56.93</v>
      </c>
      <c r="N49" s="189">
        <v>343.3</v>
      </c>
      <c r="O49" s="189">
        <v>0</v>
      </c>
      <c r="P49" s="189">
        <v>1.21</v>
      </c>
      <c r="Q49" s="189">
        <v>5.21</v>
      </c>
    </row>
    <row r="50" spans="1:17" customFormat="1">
      <c r="A50" s="6" t="s">
        <v>1816</v>
      </c>
      <c r="B50" s="189">
        <v>17.420000000000002</v>
      </c>
      <c r="C50" s="189">
        <v>37.04</v>
      </c>
      <c r="D50" s="189">
        <v>34.67</v>
      </c>
      <c r="E50" s="189">
        <v>7.02</v>
      </c>
      <c r="F50" s="189">
        <v>3.35</v>
      </c>
      <c r="G50" s="189">
        <v>100.81</v>
      </c>
      <c r="H50" s="189">
        <v>61.53</v>
      </c>
      <c r="I50" s="189">
        <v>13.1</v>
      </c>
      <c r="J50" s="189">
        <v>0.32</v>
      </c>
      <c r="K50" s="189">
        <v>199.33</v>
      </c>
      <c r="L50" s="189">
        <v>24.31</v>
      </c>
      <c r="M50" s="189">
        <v>55.18</v>
      </c>
      <c r="N50" s="189">
        <v>369</v>
      </c>
      <c r="O50" s="189">
        <v>0</v>
      </c>
      <c r="P50" s="189">
        <v>1.18</v>
      </c>
      <c r="Q50" s="189">
        <v>5.16</v>
      </c>
    </row>
    <row r="51" spans="1:17" customFormat="1">
      <c r="A51" s="6" t="s">
        <v>1817</v>
      </c>
      <c r="B51" s="189">
        <v>13.97</v>
      </c>
      <c r="C51" s="189">
        <v>37.090000000000003</v>
      </c>
      <c r="D51" s="189">
        <v>31.94</v>
      </c>
      <c r="E51" s="189">
        <v>6.91</v>
      </c>
      <c r="F51" s="189">
        <v>3.43</v>
      </c>
      <c r="G51" s="189">
        <v>102.98</v>
      </c>
      <c r="H51" s="189">
        <v>61.9</v>
      </c>
      <c r="I51" s="189">
        <v>13</v>
      </c>
      <c r="J51" s="189">
        <v>0.14000000000000001</v>
      </c>
      <c r="K51" s="189">
        <v>118.94</v>
      </c>
      <c r="L51" s="189">
        <v>24.66</v>
      </c>
      <c r="M51" s="189">
        <v>54.28</v>
      </c>
      <c r="N51" s="189">
        <v>390.9</v>
      </c>
      <c r="O51" s="189">
        <v>0</v>
      </c>
      <c r="P51" s="189">
        <v>1.17</v>
      </c>
      <c r="Q51" s="189">
        <v>5.1100000000000003</v>
      </c>
    </row>
    <row r="52" spans="1:17" customFormat="1">
      <c r="A52" s="6" t="s">
        <v>1818</v>
      </c>
      <c r="B52" s="189">
        <v>11.17</v>
      </c>
      <c r="C52" s="189">
        <v>36.43</v>
      </c>
      <c r="D52" s="189">
        <v>29.34</v>
      </c>
      <c r="E52" s="189">
        <v>6.52</v>
      </c>
      <c r="F52" s="189">
        <v>3.48</v>
      </c>
      <c r="G52" s="189">
        <v>103.28</v>
      </c>
      <c r="H52" s="189">
        <v>61.9</v>
      </c>
      <c r="I52" s="189">
        <v>12.89</v>
      </c>
      <c r="J52" s="189">
        <v>0.18</v>
      </c>
      <c r="K52" s="189">
        <v>114.24</v>
      </c>
      <c r="L52" s="189">
        <v>25.37</v>
      </c>
      <c r="M52" s="189">
        <v>51.67</v>
      </c>
      <c r="N52" s="189">
        <v>401.2</v>
      </c>
      <c r="O52" s="189">
        <v>0</v>
      </c>
      <c r="P52" s="189">
        <v>1.1499999999999999</v>
      </c>
      <c r="Q52" s="189">
        <v>5.04</v>
      </c>
    </row>
    <row r="53" spans="1:17" customFormat="1">
      <c r="A53" s="6" t="s">
        <v>1819</v>
      </c>
      <c r="B53" s="189">
        <v>8.65</v>
      </c>
      <c r="C53" s="189">
        <v>35.909999999999997</v>
      </c>
      <c r="D53" s="189">
        <v>27.05</v>
      </c>
      <c r="E53" s="189">
        <v>6.72</v>
      </c>
      <c r="F53" s="189">
        <v>3.76</v>
      </c>
      <c r="G53" s="189">
        <v>103.28</v>
      </c>
      <c r="H53" s="189">
        <v>61.9</v>
      </c>
      <c r="I53" s="189">
        <v>12.75</v>
      </c>
      <c r="J53" s="189">
        <v>0.26</v>
      </c>
      <c r="K53" s="189">
        <v>75.489999999999995</v>
      </c>
      <c r="L53" s="189">
        <v>25.52</v>
      </c>
      <c r="M53" s="189">
        <v>49.31</v>
      </c>
      <c r="N53" s="189">
        <v>382.5</v>
      </c>
      <c r="O53" s="189">
        <v>0</v>
      </c>
      <c r="P53" s="189">
        <v>1.1399999999999999</v>
      </c>
      <c r="Q53" s="189">
        <v>5</v>
      </c>
    </row>
    <row r="54" spans="1:17" customFormat="1">
      <c r="A54" s="6" t="s">
        <v>1820</v>
      </c>
      <c r="B54" s="189">
        <v>6.72</v>
      </c>
      <c r="C54" s="189">
        <v>35.28</v>
      </c>
      <c r="D54" s="189">
        <v>25.18</v>
      </c>
      <c r="E54" s="189">
        <v>7.75</v>
      </c>
      <c r="F54" s="189">
        <v>4.13</v>
      </c>
      <c r="G54" s="189">
        <v>103.28</v>
      </c>
      <c r="H54" s="189">
        <v>61.9</v>
      </c>
      <c r="I54" s="189">
        <v>12.57</v>
      </c>
      <c r="J54" s="189">
        <v>0.11</v>
      </c>
      <c r="K54" s="189">
        <v>294.91000000000003</v>
      </c>
      <c r="L54" s="189">
        <v>26.03</v>
      </c>
      <c r="M54" s="189">
        <v>48.3</v>
      </c>
      <c r="N54" s="189">
        <v>421</v>
      </c>
      <c r="O54" s="189">
        <v>0</v>
      </c>
      <c r="P54" s="189">
        <v>1.1200000000000001</v>
      </c>
      <c r="Q54" s="189">
        <v>4.95</v>
      </c>
    </row>
    <row r="55" spans="1:17" customFormat="1">
      <c r="A55" s="6" t="s">
        <v>1821</v>
      </c>
      <c r="B55" s="189">
        <v>5.45</v>
      </c>
      <c r="C55" s="189">
        <v>34.1</v>
      </c>
      <c r="D55" s="189">
        <v>23.54</v>
      </c>
      <c r="E55" s="189">
        <v>7.64</v>
      </c>
      <c r="F55" s="189">
        <v>4.54</v>
      </c>
      <c r="G55" s="189">
        <v>107.04</v>
      </c>
      <c r="H55" s="189">
        <v>60.8</v>
      </c>
      <c r="I55" s="189">
        <v>12.35</v>
      </c>
      <c r="J55" s="189">
        <v>0.19</v>
      </c>
      <c r="K55" s="189">
        <v>144.63999999999999</v>
      </c>
      <c r="L55" s="189">
        <v>26.42</v>
      </c>
      <c r="M55" s="189">
        <v>47.9</v>
      </c>
      <c r="N55" s="189">
        <v>425.1</v>
      </c>
      <c r="O55" s="189">
        <v>0</v>
      </c>
      <c r="P55" s="189">
        <v>1.1000000000000001</v>
      </c>
      <c r="Q55" s="189">
        <v>4.92</v>
      </c>
    </row>
    <row r="56" spans="1:17" customFormat="1">
      <c r="A56" s="6" t="s">
        <v>1822</v>
      </c>
      <c r="B56" s="189">
        <v>4.67</v>
      </c>
      <c r="C56" s="189">
        <v>32.869999999999997</v>
      </c>
      <c r="D56" s="189">
        <v>22.27</v>
      </c>
      <c r="E56" s="189">
        <v>7.64</v>
      </c>
      <c r="F56" s="189">
        <v>5.05</v>
      </c>
      <c r="G56" s="189">
        <v>107.61</v>
      </c>
      <c r="H56" s="189">
        <v>60.8</v>
      </c>
      <c r="I56" s="189">
        <v>12.11</v>
      </c>
      <c r="J56" s="189">
        <v>0.3</v>
      </c>
      <c r="K56" s="189">
        <v>136.38999999999999</v>
      </c>
      <c r="L56" s="189">
        <v>27.03</v>
      </c>
      <c r="M56" s="189">
        <v>45.38</v>
      </c>
      <c r="N56" s="189">
        <v>433.3</v>
      </c>
      <c r="O56" s="189">
        <v>0</v>
      </c>
      <c r="P56" s="189">
        <v>1.0900000000000001</v>
      </c>
      <c r="Q56" s="189">
        <v>4.93</v>
      </c>
    </row>
    <row r="57" spans="1:17" customFormat="1">
      <c r="A57" s="6" t="s">
        <v>1823</v>
      </c>
      <c r="B57" s="189">
        <v>4.32</v>
      </c>
      <c r="C57" s="189">
        <v>31.25</v>
      </c>
      <c r="D57" s="189">
        <v>21.14</v>
      </c>
      <c r="E57" s="189">
        <v>7.65</v>
      </c>
      <c r="F57" s="189">
        <v>4.9800000000000004</v>
      </c>
      <c r="G57" s="189">
        <v>107.61</v>
      </c>
      <c r="H57" s="189">
        <v>60.8</v>
      </c>
      <c r="I57" s="189">
        <v>11.9</v>
      </c>
      <c r="J57" s="189">
        <v>0.12</v>
      </c>
      <c r="K57" s="189">
        <v>218.56</v>
      </c>
      <c r="L57" s="189">
        <v>27.11</v>
      </c>
      <c r="M57" s="189">
        <v>44.54</v>
      </c>
      <c r="N57" s="189">
        <v>429.1</v>
      </c>
      <c r="O57" s="189">
        <v>0</v>
      </c>
      <c r="P57" s="189">
        <v>1.07</v>
      </c>
      <c r="Q57" s="189">
        <v>4.8899999999999997</v>
      </c>
    </row>
    <row r="58" spans="1:17" customFormat="1">
      <c r="A58" s="6" t="s">
        <v>1824</v>
      </c>
      <c r="B58" s="189">
        <v>4.3099999999999996</v>
      </c>
      <c r="C58" s="189">
        <v>28.94</v>
      </c>
      <c r="D58" s="189">
        <v>19.920000000000002</v>
      </c>
      <c r="E58" s="189">
        <v>6.44</v>
      </c>
      <c r="F58" s="189">
        <v>4.47</v>
      </c>
      <c r="G58" s="189">
        <v>107.61</v>
      </c>
      <c r="H58" s="189">
        <v>60.8</v>
      </c>
      <c r="I58" s="189">
        <v>11.72</v>
      </c>
      <c r="J58" s="189">
        <v>0.26</v>
      </c>
      <c r="K58" s="189">
        <v>92.16</v>
      </c>
      <c r="L58" s="189">
        <v>27.1</v>
      </c>
      <c r="M58" s="189">
        <v>45.39</v>
      </c>
      <c r="N58" s="189">
        <v>416.5</v>
      </c>
      <c r="O58" s="189">
        <v>0</v>
      </c>
      <c r="P58" s="189">
        <v>1.05</v>
      </c>
      <c r="Q58" s="189">
        <v>4.84</v>
      </c>
    </row>
    <row r="59" spans="1:17" customFormat="1">
      <c r="A59" s="6" t="s">
        <v>1825</v>
      </c>
      <c r="B59" s="189">
        <v>4.2300000000000004</v>
      </c>
      <c r="C59" s="189">
        <v>26.94</v>
      </c>
      <c r="D59" s="189">
        <v>18.82</v>
      </c>
      <c r="E59" s="189">
        <v>6.49</v>
      </c>
      <c r="F59" s="189">
        <v>4.1900000000000004</v>
      </c>
      <c r="G59" s="189">
        <v>104.64</v>
      </c>
      <c r="H59" s="189">
        <v>59.08</v>
      </c>
      <c r="I59" s="189">
        <v>11.56</v>
      </c>
      <c r="J59" s="189">
        <v>0.24</v>
      </c>
      <c r="K59" s="189">
        <v>100.81</v>
      </c>
      <c r="L59" s="189">
        <v>27.57</v>
      </c>
      <c r="M59" s="189">
        <v>43.19</v>
      </c>
      <c r="N59" s="189">
        <v>420.3</v>
      </c>
      <c r="O59" s="189">
        <v>0</v>
      </c>
      <c r="P59" s="189">
        <v>1.04</v>
      </c>
      <c r="Q59" s="189">
        <v>4.84</v>
      </c>
    </row>
    <row r="60" spans="1:17" customFormat="1">
      <c r="A60" s="6" t="s">
        <v>1826</v>
      </c>
      <c r="B60" s="189">
        <v>4.22</v>
      </c>
      <c r="C60" s="189">
        <v>25.42</v>
      </c>
      <c r="D60" s="189">
        <v>18.02</v>
      </c>
      <c r="E60" s="189">
        <v>6.45</v>
      </c>
      <c r="F60" s="189">
        <v>4.07</v>
      </c>
      <c r="G60" s="189">
        <v>104.22</v>
      </c>
      <c r="H60" s="189">
        <v>59.08</v>
      </c>
      <c r="I60" s="189">
        <v>11.44</v>
      </c>
      <c r="J60" s="189">
        <v>0.41</v>
      </c>
      <c r="K60" s="189">
        <v>173.22</v>
      </c>
      <c r="L60" s="189">
        <v>27.66</v>
      </c>
      <c r="M60" s="189">
        <v>42.04</v>
      </c>
      <c r="N60" s="189">
        <v>411.8</v>
      </c>
      <c r="O60" s="189">
        <v>0</v>
      </c>
      <c r="P60" s="189">
        <v>1.01</v>
      </c>
      <c r="Q60" s="189">
        <v>4.87</v>
      </c>
    </row>
    <row r="61" spans="1:17" customFormat="1">
      <c r="A61" s="6" t="s">
        <v>1827</v>
      </c>
      <c r="B61" s="189">
        <v>4.17</v>
      </c>
      <c r="C61" s="189">
        <v>24.42</v>
      </c>
      <c r="D61" s="189">
        <v>17.45</v>
      </c>
      <c r="E61" s="189">
        <v>7</v>
      </c>
      <c r="F61" s="189">
        <v>4.1500000000000004</v>
      </c>
      <c r="G61" s="189">
        <v>104.22</v>
      </c>
      <c r="H61" s="189">
        <v>59.08</v>
      </c>
      <c r="I61" s="189">
        <v>11.34</v>
      </c>
      <c r="J61" s="189">
        <v>0.27</v>
      </c>
      <c r="K61" s="189">
        <v>274.81</v>
      </c>
      <c r="L61" s="189">
        <v>27.43</v>
      </c>
      <c r="M61" s="189">
        <v>43.19</v>
      </c>
      <c r="N61" s="189">
        <v>397.3</v>
      </c>
      <c r="O61" s="189">
        <v>0</v>
      </c>
      <c r="P61" s="189">
        <v>1</v>
      </c>
      <c r="Q61" s="189">
        <v>4.87</v>
      </c>
    </row>
    <row r="62" spans="1:17" customFormat="1">
      <c r="A62" s="6" t="s">
        <v>1828</v>
      </c>
      <c r="B62" s="189">
        <v>4.09</v>
      </c>
      <c r="C62" s="189">
        <v>23.37</v>
      </c>
      <c r="D62" s="189">
        <v>16.84</v>
      </c>
      <c r="E62" s="189">
        <v>6.19</v>
      </c>
      <c r="F62" s="189">
        <v>4.21</v>
      </c>
      <c r="G62" s="189">
        <v>104.22</v>
      </c>
      <c r="H62" s="189">
        <v>59.08</v>
      </c>
      <c r="I62" s="189">
        <v>11.23</v>
      </c>
      <c r="J62" s="189">
        <v>0.31</v>
      </c>
      <c r="K62" s="189">
        <v>166.33</v>
      </c>
      <c r="L62" s="189">
        <v>27.97</v>
      </c>
      <c r="M62" s="189">
        <v>40.79</v>
      </c>
      <c r="N62" s="189">
        <v>394.9</v>
      </c>
      <c r="O62" s="189">
        <v>0</v>
      </c>
      <c r="P62" s="189">
        <v>0.99</v>
      </c>
      <c r="Q62" s="189">
        <v>4.8600000000000003</v>
      </c>
    </row>
    <row r="63" spans="1:17" customFormat="1">
      <c r="A63" s="6" t="s">
        <v>1829</v>
      </c>
      <c r="B63" s="189">
        <v>4.0599999999999996</v>
      </c>
      <c r="C63" s="189">
        <v>22.47</v>
      </c>
      <c r="D63" s="189">
        <v>16.34</v>
      </c>
      <c r="E63" s="189">
        <v>6.27</v>
      </c>
      <c r="F63" s="189">
        <v>4.2300000000000004</v>
      </c>
      <c r="G63" s="189">
        <v>98.98</v>
      </c>
      <c r="H63" s="189">
        <v>55.42</v>
      </c>
      <c r="I63" s="189">
        <v>11.1</v>
      </c>
      <c r="J63" s="189">
        <v>0.32</v>
      </c>
      <c r="K63" s="189">
        <v>236.36</v>
      </c>
      <c r="L63" s="189">
        <v>27.76</v>
      </c>
      <c r="M63" s="189">
        <v>40.97</v>
      </c>
      <c r="N63" s="189">
        <v>391.7</v>
      </c>
      <c r="O63" s="189">
        <v>0</v>
      </c>
      <c r="P63" s="189">
        <v>0.99</v>
      </c>
      <c r="Q63" s="189">
        <v>4.8600000000000003</v>
      </c>
    </row>
    <row r="64" spans="1:17" customFormat="1">
      <c r="A64" s="6" t="s">
        <v>1830</v>
      </c>
      <c r="B64" s="189">
        <v>4.04</v>
      </c>
      <c r="C64" s="189">
        <v>21.94</v>
      </c>
      <c r="D64" s="189">
        <v>16.05</v>
      </c>
      <c r="E64" s="189">
        <v>6.57</v>
      </c>
      <c r="F64" s="189">
        <v>4.21</v>
      </c>
      <c r="G64" s="189">
        <v>98.26</v>
      </c>
      <c r="H64" s="189">
        <v>55.42</v>
      </c>
      <c r="I64" s="189">
        <v>10.97</v>
      </c>
      <c r="J64" s="189">
        <v>0.05</v>
      </c>
      <c r="K64" s="189">
        <v>247.25</v>
      </c>
      <c r="L64" s="189">
        <v>28.19</v>
      </c>
      <c r="M64" s="189">
        <v>40.64</v>
      </c>
      <c r="N64" s="189">
        <v>367.9</v>
      </c>
      <c r="O64" s="189">
        <v>0</v>
      </c>
      <c r="P64" s="189">
        <v>0.96</v>
      </c>
      <c r="Q64" s="189">
        <v>4.8499999999999996</v>
      </c>
    </row>
    <row r="65" spans="1:17" customFormat="1">
      <c r="A65" s="6" t="s">
        <v>1831</v>
      </c>
      <c r="B65" s="189">
        <v>4.08</v>
      </c>
      <c r="C65" s="189">
        <v>21.54</v>
      </c>
      <c r="D65" s="189">
        <v>15.87</v>
      </c>
      <c r="E65" s="189">
        <v>6.69</v>
      </c>
      <c r="F65" s="189">
        <v>4.16</v>
      </c>
      <c r="G65" s="189">
        <v>98.26</v>
      </c>
      <c r="H65" s="189">
        <v>55.42</v>
      </c>
      <c r="I65" s="189">
        <v>10.87</v>
      </c>
      <c r="J65" s="189">
        <v>0.3</v>
      </c>
      <c r="K65" s="189">
        <v>152.21</v>
      </c>
      <c r="L65" s="189">
        <v>27.99</v>
      </c>
      <c r="M65" s="189">
        <v>40.68</v>
      </c>
      <c r="N65" s="189">
        <v>193.2</v>
      </c>
      <c r="O65" s="189">
        <v>0</v>
      </c>
      <c r="P65" s="189">
        <v>0.93</v>
      </c>
      <c r="Q65" s="189">
        <v>4.84</v>
      </c>
    </row>
    <row r="66" spans="1:17" customFormat="1">
      <c r="A66" s="6" t="s">
        <v>1832</v>
      </c>
      <c r="B66" s="189">
        <v>4.0199999999999996</v>
      </c>
      <c r="C66" s="189">
        <v>20.88</v>
      </c>
      <c r="D66" s="189">
        <v>15.48</v>
      </c>
      <c r="E66" s="189">
        <v>6.56</v>
      </c>
      <c r="F66" s="189">
        <v>4.21</v>
      </c>
      <c r="G66" s="189">
        <v>98.26</v>
      </c>
      <c r="H66" s="189">
        <v>55.42</v>
      </c>
      <c r="I66" s="189">
        <v>10.74</v>
      </c>
      <c r="J66" s="189">
        <v>0.03</v>
      </c>
      <c r="K66" s="189">
        <v>275.27</v>
      </c>
      <c r="L66" s="189">
        <v>27.71</v>
      </c>
      <c r="M66" s="189">
        <v>41.04</v>
      </c>
      <c r="N66" s="189">
        <v>163.80000000000001</v>
      </c>
      <c r="O66" s="189">
        <v>0</v>
      </c>
      <c r="P66" s="189">
        <v>0.94</v>
      </c>
      <c r="Q66" s="189">
        <v>4.84</v>
      </c>
    </row>
    <row r="67" spans="1:17" customFormat="1">
      <c r="A67" s="6" t="s">
        <v>1833</v>
      </c>
      <c r="B67" s="189">
        <v>4.04</v>
      </c>
      <c r="C67" s="189">
        <v>20.02</v>
      </c>
      <c r="D67" s="189">
        <v>15.05</v>
      </c>
      <c r="E67" s="189">
        <v>6.94</v>
      </c>
      <c r="F67" s="189">
        <v>5.6</v>
      </c>
      <c r="G67" s="189">
        <v>93.76</v>
      </c>
      <c r="H67" s="189">
        <v>55.41</v>
      </c>
      <c r="I67" s="189">
        <v>10.61</v>
      </c>
      <c r="J67" s="189">
        <v>7.0000000000000007E-2</v>
      </c>
      <c r="K67" s="189">
        <v>279.95999999999998</v>
      </c>
      <c r="L67" s="189">
        <v>27.37</v>
      </c>
      <c r="M67" s="189">
        <v>41.22</v>
      </c>
      <c r="N67" s="189">
        <v>111.9</v>
      </c>
      <c r="O67" s="189">
        <v>0</v>
      </c>
      <c r="P67" s="189">
        <v>0.93</v>
      </c>
      <c r="Q67" s="189">
        <v>4.8499999999999996</v>
      </c>
    </row>
    <row r="68" spans="1:17" customFormat="1">
      <c r="A68" s="6" t="s">
        <v>1834</v>
      </c>
      <c r="B68" s="189">
        <v>4.1100000000000003</v>
      </c>
      <c r="C68" s="189">
        <v>19.71</v>
      </c>
      <c r="D68" s="189">
        <v>14.94</v>
      </c>
      <c r="E68" s="189">
        <v>6.77</v>
      </c>
      <c r="F68" s="189">
        <v>4.5999999999999996</v>
      </c>
      <c r="G68" s="189">
        <v>93.13</v>
      </c>
      <c r="H68" s="189">
        <v>55.41</v>
      </c>
      <c r="I68" s="189">
        <v>10.47</v>
      </c>
      <c r="J68" s="189">
        <v>0.23</v>
      </c>
      <c r="K68" s="189">
        <v>5.28</v>
      </c>
      <c r="L68" s="189">
        <v>27.45</v>
      </c>
      <c r="M68" s="189">
        <v>41.01</v>
      </c>
      <c r="N68" s="189">
        <v>85.2</v>
      </c>
      <c r="O68" s="189">
        <v>0</v>
      </c>
      <c r="P68" s="189">
        <v>0.92</v>
      </c>
      <c r="Q68" s="189">
        <v>4.8499999999999996</v>
      </c>
    </row>
    <row r="69" spans="1:17" customFormat="1">
      <c r="A69" s="6" t="s">
        <v>1835</v>
      </c>
      <c r="B69" s="189">
        <v>4.1500000000000004</v>
      </c>
      <c r="C69" s="189">
        <v>19.75</v>
      </c>
      <c r="D69" s="189">
        <v>15</v>
      </c>
      <c r="E69" s="189">
        <v>6.98</v>
      </c>
      <c r="F69" s="189">
        <v>4.6100000000000003</v>
      </c>
      <c r="G69" s="189">
        <v>93.13</v>
      </c>
      <c r="H69" s="189">
        <v>55.41</v>
      </c>
      <c r="I69" s="189">
        <v>10.35</v>
      </c>
      <c r="J69" s="189">
        <v>0.23</v>
      </c>
      <c r="K69" s="189">
        <v>54.68</v>
      </c>
      <c r="L69" s="189">
        <v>27.3</v>
      </c>
      <c r="M69" s="189">
        <v>40.93</v>
      </c>
      <c r="N69" s="189">
        <v>75.8</v>
      </c>
      <c r="O69" s="189">
        <v>0</v>
      </c>
      <c r="P69" s="189">
        <v>0.91</v>
      </c>
      <c r="Q69" s="189">
        <v>4.8600000000000003</v>
      </c>
    </row>
    <row r="70" spans="1:17" customFormat="1">
      <c r="A70" s="6" t="s">
        <v>1836</v>
      </c>
      <c r="B70" s="189">
        <v>4.03</v>
      </c>
      <c r="C70" s="189">
        <v>19.93</v>
      </c>
      <c r="D70" s="189">
        <v>15</v>
      </c>
      <c r="E70" s="189">
        <v>6.81</v>
      </c>
      <c r="F70" s="189">
        <v>4.5</v>
      </c>
      <c r="G70" s="189">
        <v>93.13</v>
      </c>
      <c r="H70" s="189">
        <v>55.41</v>
      </c>
      <c r="I70" s="189">
        <v>10.24</v>
      </c>
      <c r="J70" s="189">
        <v>0.11</v>
      </c>
      <c r="K70" s="189">
        <v>210.66</v>
      </c>
      <c r="L70" s="189">
        <v>27.02</v>
      </c>
      <c r="M70" s="189">
        <v>42.38</v>
      </c>
      <c r="N70" s="189">
        <v>68.099999999999994</v>
      </c>
      <c r="O70" s="189">
        <v>0</v>
      </c>
      <c r="P70" s="189">
        <v>0.89</v>
      </c>
      <c r="Q70" s="189">
        <v>4.87</v>
      </c>
    </row>
    <row r="71" spans="1:17" customFormat="1">
      <c r="A71" s="6" t="s">
        <v>1837</v>
      </c>
      <c r="B71" s="189">
        <v>4.07</v>
      </c>
      <c r="C71" s="189">
        <v>19.690000000000001</v>
      </c>
      <c r="D71" s="189">
        <v>14.91</v>
      </c>
      <c r="E71" s="189">
        <v>7.25</v>
      </c>
      <c r="F71" s="189">
        <v>6.52</v>
      </c>
      <c r="G71" s="189">
        <v>94.68</v>
      </c>
      <c r="H71" s="189">
        <v>52.69</v>
      </c>
      <c r="I71" s="189">
        <v>10.14</v>
      </c>
      <c r="J71" s="189">
        <v>0.24</v>
      </c>
      <c r="K71" s="189">
        <v>321.02</v>
      </c>
      <c r="L71" s="189">
        <v>26.82</v>
      </c>
      <c r="M71" s="189">
        <v>42.71</v>
      </c>
      <c r="N71" s="189">
        <v>56.8</v>
      </c>
      <c r="O71" s="189">
        <v>0</v>
      </c>
      <c r="P71" s="189">
        <v>0.89</v>
      </c>
      <c r="Q71" s="189">
        <v>4.88</v>
      </c>
    </row>
    <row r="72" spans="1:17" customFormat="1">
      <c r="A72" s="6" t="s">
        <v>1838</v>
      </c>
      <c r="B72" s="189">
        <v>4.01</v>
      </c>
      <c r="C72" s="189">
        <v>19.899999999999999</v>
      </c>
      <c r="D72" s="189">
        <v>14.96</v>
      </c>
      <c r="E72" s="189">
        <v>7.4</v>
      </c>
      <c r="F72" s="189">
        <v>4.6399999999999997</v>
      </c>
      <c r="G72" s="189">
        <v>94.9</v>
      </c>
      <c r="H72" s="189">
        <v>52.69</v>
      </c>
      <c r="I72" s="189">
        <v>10</v>
      </c>
      <c r="J72" s="189">
        <v>7.0000000000000007E-2</v>
      </c>
      <c r="K72" s="189">
        <v>337.67</v>
      </c>
      <c r="L72" s="189">
        <v>26.73</v>
      </c>
      <c r="M72" s="189">
        <v>43.96</v>
      </c>
      <c r="N72" s="189">
        <v>44.4</v>
      </c>
      <c r="O72" s="189">
        <v>0</v>
      </c>
      <c r="P72" s="189">
        <v>0.89</v>
      </c>
      <c r="Q72" s="189">
        <v>4.8899999999999997</v>
      </c>
    </row>
    <row r="73" spans="1:17" customFormat="1">
      <c r="A73" s="6" t="s">
        <v>1839</v>
      </c>
      <c r="B73" s="189">
        <v>4.05</v>
      </c>
      <c r="C73" s="189">
        <v>21.89</v>
      </c>
      <c r="D73" s="189">
        <v>16.03</v>
      </c>
      <c r="E73" s="189">
        <v>7</v>
      </c>
      <c r="F73" s="189">
        <v>3.84</v>
      </c>
      <c r="G73" s="189">
        <v>94.9</v>
      </c>
      <c r="H73" s="189">
        <v>52.69</v>
      </c>
      <c r="I73" s="189">
        <v>9.92</v>
      </c>
      <c r="J73" s="189">
        <v>0.02</v>
      </c>
      <c r="K73" s="189">
        <v>280.45999999999998</v>
      </c>
      <c r="L73" s="189">
        <v>26.36</v>
      </c>
      <c r="M73" s="189">
        <v>45.23</v>
      </c>
      <c r="N73" s="189">
        <v>34.1</v>
      </c>
      <c r="O73" s="189">
        <v>0</v>
      </c>
      <c r="P73" s="189">
        <v>0.89</v>
      </c>
      <c r="Q73" s="189">
        <v>4.8600000000000003</v>
      </c>
    </row>
    <row r="74" spans="1:17" customFormat="1">
      <c r="A74" s="6" t="s">
        <v>1840</v>
      </c>
      <c r="B74" s="189">
        <v>4.3099999999999996</v>
      </c>
      <c r="C74" s="189">
        <v>22.57</v>
      </c>
      <c r="D74" s="189">
        <v>16.600000000000001</v>
      </c>
      <c r="E74" s="189">
        <v>6.52</v>
      </c>
      <c r="F74" s="189">
        <v>3.55</v>
      </c>
      <c r="G74" s="189">
        <v>94.9</v>
      </c>
      <c r="H74" s="189">
        <v>52.69</v>
      </c>
      <c r="I74" s="189">
        <v>9.86</v>
      </c>
      <c r="J74" s="189">
        <v>0.12</v>
      </c>
      <c r="K74" s="189">
        <v>146.88999999999999</v>
      </c>
      <c r="L74" s="189">
        <v>25.77</v>
      </c>
      <c r="M74" s="189">
        <v>48.57</v>
      </c>
      <c r="N74" s="189">
        <v>22.7</v>
      </c>
      <c r="O74" s="189">
        <v>0</v>
      </c>
      <c r="P74" s="189">
        <v>0.9</v>
      </c>
      <c r="Q74" s="189">
        <v>4.84</v>
      </c>
    </row>
    <row r="75" spans="1:17" customFormat="1">
      <c r="A75" s="6" t="s">
        <v>1841</v>
      </c>
      <c r="B75" s="189">
        <v>4.45</v>
      </c>
      <c r="C75" s="189">
        <v>21.91</v>
      </c>
      <c r="D75" s="189">
        <v>16.37</v>
      </c>
      <c r="E75" s="189">
        <v>6</v>
      </c>
      <c r="F75" s="189">
        <v>3.33</v>
      </c>
      <c r="G75" s="189">
        <v>98.36</v>
      </c>
      <c r="H75" s="189">
        <v>54.14</v>
      </c>
      <c r="I75" s="189">
        <v>9.81</v>
      </c>
      <c r="J75" s="189">
        <v>0.27</v>
      </c>
      <c r="K75" s="189">
        <v>171.68</v>
      </c>
      <c r="L75" s="189">
        <v>25.03</v>
      </c>
      <c r="M75" s="189">
        <v>50.65</v>
      </c>
      <c r="N75" s="189">
        <v>13.1</v>
      </c>
      <c r="O75" s="189">
        <v>0</v>
      </c>
      <c r="P75" s="189">
        <v>0.9</v>
      </c>
      <c r="Q75" s="189">
        <v>4.88</v>
      </c>
    </row>
    <row r="76" spans="1:17" customFormat="1">
      <c r="A76" s="6" t="s">
        <v>1842</v>
      </c>
      <c r="B76" s="189">
        <v>4.5199999999999996</v>
      </c>
      <c r="C76" s="189">
        <v>22.54</v>
      </c>
      <c r="D76" s="189">
        <v>16.75</v>
      </c>
      <c r="E76" s="189">
        <v>6.77</v>
      </c>
      <c r="F76" s="189">
        <v>3.35</v>
      </c>
      <c r="G76" s="189">
        <v>98.84</v>
      </c>
      <c r="H76" s="189">
        <v>54.14</v>
      </c>
      <c r="I76" s="189">
        <v>9.76</v>
      </c>
      <c r="J76" s="189">
        <v>0.19</v>
      </c>
      <c r="K76" s="189">
        <v>170.66</v>
      </c>
      <c r="L76" s="189">
        <v>24.3</v>
      </c>
      <c r="M76" s="189">
        <v>53.87</v>
      </c>
      <c r="N76" s="189">
        <v>3.9</v>
      </c>
      <c r="O76" s="189">
        <v>0</v>
      </c>
      <c r="P76" s="189">
        <v>0.9</v>
      </c>
      <c r="Q76" s="189">
        <v>4.8899999999999997</v>
      </c>
    </row>
    <row r="77" spans="1:17" customFormat="1">
      <c r="A77" s="6" t="s">
        <v>1843</v>
      </c>
      <c r="B77" s="189">
        <v>4.55</v>
      </c>
      <c r="C77" s="189">
        <v>24.31</v>
      </c>
      <c r="D77" s="189">
        <v>17.7</v>
      </c>
      <c r="E77" s="189">
        <v>7.04</v>
      </c>
      <c r="F77" s="189">
        <v>3.64</v>
      </c>
      <c r="G77" s="189">
        <v>98.84</v>
      </c>
      <c r="H77" s="189">
        <v>54.14</v>
      </c>
      <c r="I77" s="189">
        <v>9.73</v>
      </c>
      <c r="J77" s="189">
        <v>0.31</v>
      </c>
      <c r="K77" s="189">
        <v>165.65</v>
      </c>
      <c r="L77" s="189">
        <v>23.7</v>
      </c>
      <c r="M77" s="189">
        <v>56.61</v>
      </c>
      <c r="N77" s="189">
        <v>0</v>
      </c>
      <c r="O77" s="189">
        <v>0</v>
      </c>
      <c r="P77" s="189">
        <v>0.92</v>
      </c>
      <c r="Q77" s="189">
        <v>4.8899999999999997</v>
      </c>
    </row>
    <row r="78" spans="1:17" customFormat="1">
      <c r="A78" s="6" t="s">
        <v>1844</v>
      </c>
      <c r="B78" s="189">
        <v>4.66</v>
      </c>
      <c r="C78" s="189">
        <v>26.09</v>
      </c>
      <c r="D78" s="189">
        <v>18.72</v>
      </c>
      <c r="E78" s="189">
        <v>6.99</v>
      </c>
      <c r="F78" s="189">
        <v>3.52</v>
      </c>
      <c r="G78" s="189">
        <v>98.84</v>
      </c>
      <c r="H78" s="189">
        <v>54.14</v>
      </c>
      <c r="I78" s="189">
        <v>9.69</v>
      </c>
      <c r="J78" s="189">
        <v>0.28000000000000003</v>
      </c>
      <c r="K78" s="189">
        <v>167.75</v>
      </c>
      <c r="L78" s="189">
        <v>22.87</v>
      </c>
      <c r="M78" s="189">
        <v>61.84</v>
      </c>
      <c r="N78" s="189">
        <v>0</v>
      </c>
      <c r="O78" s="189">
        <v>0</v>
      </c>
      <c r="P78" s="189">
        <v>0.95</v>
      </c>
      <c r="Q78" s="189">
        <v>4.91</v>
      </c>
    </row>
    <row r="79" spans="1:17" customFormat="1">
      <c r="A79" s="6" t="s">
        <v>1845</v>
      </c>
      <c r="B79" s="189">
        <v>4.84</v>
      </c>
      <c r="C79" s="189">
        <v>27.73</v>
      </c>
      <c r="D79" s="189">
        <v>19.72</v>
      </c>
      <c r="E79" s="189">
        <v>6.92</v>
      </c>
      <c r="F79" s="189">
        <v>3.3</v>
      </c>
      <c r="G79" s="189">
        <v>124.26</v>
      </c>
      <c r="H79" s="189">
        <v>59.17</v>
      </c>
      <c r="I79" s="189">
        <v>9.65</v>
      </c>
      <c r="J79" s="189">
        <v>0.28000000000000003</v>
      </c>
      <c r="K79" s="189">
        <v>163.08000000000001</v>
      </c>
      <c r="L79" s="189">
        <v>22.07</v>
      </c>
      <c r="M79" s="189">
        <v>71.45</v>
      </c>
      <c r="N79" s="189">
        <v>0</v>
      </c>
      <c r="O79" s="189">
        <v>0</v>
      </c>
      <c r="P79" s="189">
        <v>0.97</v>
      </c>
      <c r="Q79" s="189">
        <v>4.92</v>
      </c>
    </row>
    <row r="80" spans="1:17" customFormat="1">
      <c r="A80" s="6" t="s">
        <v>1846</v>
      </c>
      <c r="B80" s="189">
        <v>5.01</v>
      </c>
      <c r="C80" s="189">
        <v>28.66</v>
      </c>
      <c r="D80" s="189">
        <v>20.34</v>
      </c>
      <c r="E80" s="189">
        <v>6.56</v>
      </c>
      <c r="F80" s="189">
        <v>3.38</v>
      </c>
      <c r="G80" s="189">
        <v>127.8</v>
      </c>
      <c r="H80" s="189">
        <v>59.17</v>
      </c>
      <c r="I80" s="189">
        <v>9.6999999999999993</v>
      </c>
      <c r="J80" s="189">
        <v>0.28999999999999998</v>
      </c>
      <c r="K80" s="189">
        <v>165.16</v>
      </c>
      <c r="L80" s="189">
        <v>21.54</v>
      </c>
      <c r="M80" s="189">
        <v>70.13</v>
      </c>
      <c r="N80" s="189">
        <v>0</v>
      </c>
      <c r="O80" s="189">
        <v>0</v>
      </c>
      <c r="P80" s="189">
        <v>0.98</v>
      </c>
      <c r="Q80" s="189">
        <v>4.92</v>
      </c>
    </row>
    <row r="81" spans="1:17" customFormat="1">
      <c r="A81" s="6" t="s">
        <v>1847</v>
      </c>
      <c r="B81" s="189">
        <v>5.12</v>
      </c>
      <c r="C81" s="189">
        <v>29.74</v>
      </c>
      <c r="D81" s="189">
        <v>21</v>
      </c>
      <c r="E81" s="189">
        <v>6.61</v>
      </c>
      <c r="F81" s="189">
        <v>3.24</v>
      </c>
      <c r="G81" s="189">
        <v>127.8</v>
      </c>
      <c r="H81" s="189">
        <v>59.17</v>
      </c>
      <c r="I81" s="189">
        <v>9.77</v>
      </c>
      <c r="J81" s="189">
        <v>0.26</v>
      </c>
      <c r="K81" s="189">
        <v>166.88</v>
      </c>
      <c r="L81" s="189">
        <v>21.11</v>
      </c>
      <c r="M81" s="189">
        <v>70.7</v>
      </c>
      <c r="N81" s="189">
        <v>0</v>
      </c>
      <c r="O81" s="189">
        <v>0</v>
      </c>
      <c r="P81" s="189">
        <v>0.99</v>
      </c>
      <c r="Q81" s="189">
        <v>4.93</v>
      </c>
    </row>
    <row r="82" spans="1:17" customFormat="1">
      <c r="A82" s="6" t="s">
        <v>1848</v>
      </c>
      <c r="B82" s="189">
        <v>5.26</v>
      </c>
      <c r="C82" s="189">
        <v>31.02</v>
      </c>
      <c r="D82" s="189">
        <v>21.78</v>
      </c>
      <c r="E82" s="189">
        <v>7.35</v>
      </c>
      <c r="F82" s="189">
        <v>3</v>
      </c>
      <c r="G82" s="189">
        <v>127.8</v>
      </c>
      <c r="H82" s="189">
        <v>59.17</v>
      </c>
      <c r="I82" s="189">
        <v>9.81</v>
      </c>
      <c r="J82" s="189">
        <v>0.23</v>
      </c>
      <c r="K82" s="189">
        <v>163.16999999999999</v>
      </c>
      <c r="L82" s="189">
        <v>20.64</v>
      </c>
      <c r="M82" s="189">
        <v>77.290000000000006</v>
      </c>
      <c r="N82" s="189">
        <v>0</v>
      </c>
      <c r="O82" s="189">
        <v>0</v>
      </c>
      <c r="P82" s="189">
        <v>1.01</v>
      </c>
      <c r="Q82" s="189">
        <v>4.92</v>
      </c>
    </row>
    <row r="83" spans="1:17" customFormat="1">
      <c r="A83" s="6" t="s">
        <v>1849</v>
      </c>
      <c r="B83" s="189">
        <v>5.38</v>
      </c>
      <c r="C83" s="189">
        <v>31.84</v>
      </c>
      <c r="D83" s="189">
        <v>22.3</v>
      </c>
      <c r="E83" s="189">
        <v>7.35</v>
      </c>
      <c r="F83" s="189">
        <v>2.89</v>
      </c>
      <c r="G83" s="189">
        <v>144.91999999999999</v>
      </c>
      <c r="H83" s="189">
        <v>62.28</v>
      </c>
      <c r="I83" s="189">
        <v>9.85</v>
      </c>
      <c r="J83" s="189">
        <v>0.11</v>
      </c>
      <c r="K83" s="189">
        <v>188.84</v>
      </c>
      <c r="L83" s="189">
        <v>20.170000000000002</v>
      </c>
      <c r="M83" s="189">
        <v>77.959999999999994</v>
      </c>
      <c r="N83" s="189">
        <v>0</v>
      </c>
      <c r="O83" s="189">
        <v>0</v>
      </c>
      <c r="P83" s="189">
        <v>1.03</v>
      </c>
      <c r="Q83" s="189">
        <v>4.93</v>
      </c>
    </row>
    <row r="84" spans="1:17" customFormat="1">
      <c r="A84" s="6" t="s">
        <v>1850</v>
      </c>
      <c r="B84" s="189">
        <v>5.75</v>
      </c>
      <c r="C84" s="189">
        <v>32.1</v>
      </c>
      <c r="D84" s="189">
        <v>22.73</v>
      </c>
      <c r="E84" s="189">
        <v>7.52</v>
      </c>
      <c r="F84" s="189">
        <v>2.82</v>
      </c>
      <c r="G84" s="189">
        <v>147.30000000000001</v>
      </c>
      <c r="H84" s="189">
        <v>62.28</v>
      </c>
      <c r="I84" s="189">
        <v>9.91</v>
      </c>
      <c r="J84" s="189">
        <v>0.14000000000000001</v>
      </c>
      <c r="K84" s="189">
        <v>169.59</v>
      </c>
      <c r="L84" s="189">
        <v>19.98</v>
      </c>
      <c r="M84" s="189">
        <v>76.040000000000006</v>
      </c>
      <c r="N84" s="189">
        <v>0</v>
      </c>
      <c r="O84" s="189">
        <v>0</v>
      </c>
      <c r="P84" s="189">
        <v>1.04</v>
      </c>
      <c r="Q84" s="189">
        <v>4.9400000000000004</v>
      </c>
    </row>
    <row r="85" spans="1:17" customFormat="1">
      <c r="A85" s="6" t="s">
        <v>1851</v>
      </c>
      <c r="B85" s="189">
        <v>5.92</v>
      </c>
      <c r="C85" s="189">
        <v>33.049999999999997</v>
      </c>
      <c r="D85" s="189">
        <v>23.36</v>
      </c>
      <c r="E85" s="189">
        <v>7.51</v>
      </c>
      <c r="F85" s="189">
        <v>2.78</v>
      </c>
      <c r="G85" s="189">
        <v>147.30000000000001</v>
      </c>
      <c r="H85" s="189">
        <v>62.28</v>
      </c>
      <c r="I85" s="189">
        <v>10.029999999999999</v>
      </c>
      <c r="J85" s="189">
        <v>0.17</v>
      </c>
      <c r="K85" s="189">
        <v>162.68</v>
      </c>
      <c r="L85" s="189">
        <v>19.739999999999998</v>
      </c>
      <c r="M85" s="189">
        <v>79.37</v>
      </c>
      <c r="N85" s="189">
        <v>0</v>
      </c>
      <c r="O85" s="189">
        <v>0</v>
      </c>
      <c r="P85" s="189">
        <v>1.07</v>
      </c>
      <c r="Q85" s="189">
        <v>4.92</v>
      </c>
    </row>
    <row r="86" spans="1:17" customFormat="1">
      <c r="A86" s="6" t="s">
        <v>1852</v>
      </c>
      <c r="B86" s="189">
        <v>6.56</v>
      </c>
      <c r="C86" s="189">
        <v>34.26</v>
      </c>
      <c r="D86" s="189">
        <v>24.51</v>
      </c>
      <c r="E86" s="189">
        <v>7.69</v>
      </c>
      <c r="F86" s="189">
        <v>2.58</v>
      </c>
      <c r="G86" s="189">
        <v>147.30000000000001</v>
      </c>
      <c r="H86" s="189">
        <v>62.28</v>
      </c>
      <c r="I86" s="189">
        <v>10.18</v>
      </c>
      <c r="J86" s="189">
        <v>0.14000000000000001</v>
      </c>
      <c r="K86" s="189">
        <v>166.46</v>
      </c>
      <c r="L86" s="189">
        <v>19.48</v>
      </c>
      <c r="M86" s="189">
        <v>79.2</v>
      </c>
      <c r="N86" s="189">
        <v>0</v>
      </c>
      <c r="O86" s="189">
        <v>0</v>
      </c>
      <c r="P86" s="189">
        <v>1.1000000000000001</v>
      </c>
      <c r="Q86" s="189">
        <v>4.92</v>
      </c>
    </row>
    <row r="87" spans="1:17" customFormat="1">
      <c r="A87" s="6" t="s">
        <v>1853</v>
      </c>
      <c r="B87" s="189">
        <v>7.05</v>
      </c>
      <c r="C87" s="189">
        <v>35.270000000000003</v>
      </c>
      <c r="D87" s="189">
        <v>25.43</v>
      </c>
      <c r="E87" s="189">
        <v>7.36</v>
      </c>
      <c r="F87" s="189">
        <v>2.56</v>
      </c>
      <c r="G87" s="189">
        <v>152.97</v>
      </c>
      <c r="H87" s="189">
        <v>65.459999999999994</v>
      </c>
      <c r="I87" s="189">
        <v>10.37</v>
      </c>
      <c r="J87" s="189">
        <v>0.2</v>
      </c>
      <c r="K87" s="189">
        <v>174.91</v>
      </c>
      <c r="L87" s="189">
        <v>19.37</v>
      </c>
      <c r="M87" s="189">
        <v>80.72</v>
      </c>
      <c r="N87" s="189">
        <v>0</v>
      </c>
      <c r="O87" s="189">
        <v>0</v>
      </c>
      <c r="P87" s="189">
        <v>1.1200000000000001</v>
      </c>
      <c r="Q87" s="189">
        <v>4.9400000000000004</v>
      </c>
    </row>
    <row r="88" spans="1:17" customFormat="1">
      <c r="A88" s="6" t="s">
        <v>1854</v>
      </c>
      <c r="B88" s="189">
        <v>7.41</v>
      </c>
      <c r="C88" s="189">
        <v>35.5</v>
      </c>
      <c r="D88" s="189">
        <v>25.84</v>
      </c>
      <c r="E88" s="189">
        <v>7.47</v>
      </c>
      <c r="F88" s="189">
        <v>2.4300000000000002</v>
      </c>
      <c r="G88" s="189">
        <v>153.76</v>
      </c>
      <c r="H88" s="189">
        <v>65.459999999999994</v>
      </c>
      <c r="I88" s="189">
        <v>10.58</v>
      </c>
      <c r="J88" s="189">
        <v>0.17</v>
      </c>
      <c r="K88" s="189">
        <v>168.21</v>
      </c>
      <c r="L88" s="189">
        <v>19.16</v>
      </c>
      <c r="M88" s="189">
        <v>83.02</v>
      </c>
      <c r="N88" s="189">
        <v>0</v>
      </c>
      <c r="O88" s="189">
        <v>0</v>
      </c>
      <c r="P88" s="189">
        <v>1.1399999999999999</v>
      </c>
      <c r="Q88" s="189">
        <v>4.96</v>
      </c>
    </row>
    <row r="89" spans="1:17" customFormat="1">
      <c r="A89" s="6" t="s">
        <v>1855</v>
      </c>
      <c r="B89" s="189">
        <v>7.58</v>
      </c>
      <c r="C89" s="189">
        <v>35.799999999999997</v>
      </c>
      <c r="D89" s="189">
        <v>26.13</v>
      </c>
      <c r="E89" s="189">
        <v>7.31</v>
      </c>
      <c r="F89" s="189">
        <v>2.4700000000000002</v>
      </c>
      <c r="G89" s="189">
        <v>153.76</v>
      </c>
      <c r="H89" s="189">
        <v>65.459999999999994</v>
      </c>
      <c r="I89" s="189">
        <v>10.77</v>
      </c>
      <c r="J89" s="189">
        <v>0.14000000000000001</v>
      </c>
      <c r="K89" s="189">
        <v>160.75</v>
      </c>
      <c r="L89" s="189">
        <v>18.84</v>
      </c>
      <c r="M89" s="189">
        <v>84.33</v>
      </c>
      <c r="N89" s="189">
        <v>0</v>
      </c>
      <c r="O89" s="189">
        <v>0</v>
      </c>
      <c r="P89" s="189">
        <v>1.17</v>
      </c>
      <c r="Q89" s="189">
        <v>4.9400000000000004</v>
      </c>
    </row>
    <row r="90" spans="1:17" customFormat="1">
      <c r="A90" s="6" t="s">
        <v>1856</v>
      </c>
      <c r="B90" s="189">
        <v>7.75</v>
      </c>
      <c r="C90" s="189">
        <v>35.770000000000003</v>
      </c>
      <c r="D90" s="189">
        <v>26.25</v>
      </c>
      <c r="E90" s="189">
        <v>6.98</v>
      </c>
      <c r="F90" s="189">
        <v>2.4900000000000002</v>
      </c>
      <c r="G90" s="189">
        <v>153.76</v>
      </c>
      <c r="H90" s="189">
        <v>65.459999999999994</v>
      </c>
      <c r="I90" s="189">
        <v>10.95</v>
      </c>
      <c r="J90" s="189">
        <v>0.12</v>
      </c>
      <c r="K90" s="189">
        <v>161.94999999999999</v>
      </c>
      <c r="L90" s="189">
        <v>18.579999999999998</v>
      </c>
      <c r="M90" s="189">
        <v>83.56</v>
      </c>
      <c r="N90" s="189">
        <v>0</v>
      </c>
      <c r="O90" s="189">
        <v>0</v>
      </c>
      <c r="P90" s="189">
        <v>1.18</v>
      </c>
      <c r="Q90" s="189">
        <v>4.96</v>
      </c>
    </row>
    <row r="91" spans="1:17" customFormat="1">
      <c r="A91" s="6" t="s">
        <v>1857</v>
      </c>
      <c r="B91" s="189">
        <v>7.72</v>
      </c>
      <c r="C91" s="189">
        <v>35.92</v>
      </c>
      <c r="D91" s="189">
        <v>26.31</v>
      </c>
      <c r="E91" s="189">
        <v>7.42</v>
      </c>
      <c r="F91" s="189">
        <v>2.6</v>
      </c>
      <c r="G91" s="189">
        <v>157.15</v>
      </c>
      <c r="H91" s="189">
        <v>67.540000000000006</v>
      </c>
      <c r="I91" s="189">
        <v>11.06</v>
      </c>
      <c r="J91" s="189">
        <v>0.22</v>
      </c>
      <c r="K91" s="189">
        <v>164.15</v>
      </c>
      <c r="L91" s="189">
        <v>18.739999999999998</v>
      </c>
      <c r="M91" s="189">
        <v>82.25</v>
      </c>
      <c r="N91" s="189">
        <v>0</v>
      </c>
      <c r="O91" s="189">
        <v>0</v>
      </c>
      <c r="P91" s="189">
        <v>1.18</v>
      </c>
      <c r="Q91" s="189">
        <v>4.93</v>
      </c>
    </row>
    <row r="92" spans="1:17" customFormat="1">
      <c r="A92" s="6" t="s">
        <v>1858</v>
      </c>
      <c r="B92" s="189">
        <v>7.83</v>
      </c>
      <c r="C92" s="189">
        <v>35.630000000000003</v>
      </c>
      <c r="D92" s="189">
        <v>26.24</v>
      </c>
      <c r="E92" s="189">
        <v>7.26</v>
      </c>
      <c r="F92" s="189">
        <v>2.59</v>
      </c>
      <c r="G92" s="189">
        <v>157.63</v>
      </c>
      <c r="H92" s="189">
        <v>67.540000000000006</v>
      </c>
      <c r="I92" s="189">
        <v>11.17</v>
      </c>
      <c r="J92" s="189">
        <v>0.13</v>
      </c>
      <c r="K92" s="189">
        <v>170.75</v>
      </c>
      <c r="L92" s="189">
        <v>18.62</v>
      </c>
      <c r="M92" s="189">
        <v>83.36</v>
      </c>
      <c r="N92" s="189">
        <v>0</v>
      </c>
      <c r="O92" s="189">
        <v>0</v>
      </c>
      <c r="P92" s="189">
        <v>1.19</v>
      </c>
      <c r="Q92" s="189">
        <v>4.9400000000000004</v>
      </c>
    </row>
    <row r="93" spans="1:17" customFormat="1">
      <c r="A93" s="6" t="s">
        <v>1859</v>
      </c>
      <c r="B93" s="189">
        <v>8.01</v>
      </c>
      <c r="C93" s="189">
        <v>35.799999999999997</v>
      </c>
      <c r="D93" s="189">
        <v>26.48</v>
      </c>
      <c r="E93" s="189">
        <v>7.52</v>
      </c>
      <c r="F93" s="189">
        <v>2.52</v>
      </c>
      <c r="G93" s="189">
        <v>157.63</v>
      </c>
      <c r="H93" s="189">
        <v>67.540000000000006</v>
      </c>
      <c r="I93" s="189">
        <v>11.35</v>
      </c>
      <c r="J93" s="189">
        <v>0.16</v>
      </c>
      <c r="K93" s="189">
        <v>158.62</v>
      </c>
      <c r="L93" s="189">
        <v>18.48</v>
      </c>
      <c r="M93" s="189">
        <v>86.31</v>
      </c>
      <c r="N93" s="189">
        <v>0</v>
      </c>
      <c r="O93" s="189">
        <v>0</v>
      </c>
      <c r="P93" s="189">
        <v>1.2</v>
      </c>
      <c r="Q93" s="189">
        <v>4.95</v>
      </c>
    </row>
    <row r="94" spans="1:17" customFormat="1">
      <c r="A94" s="6" t="s">
        <v>1860</v>
      </c>
      <c r="B94" s="189">
        <v>8.65</v>
      </c>
      <c r="C94" s="189">
        <v>35.83</v>
      </c>
      <c r="D94" s="189">
        <v>27.01</v>
      </c>
      <c r="E94" s="189">
        <v>7.02</v>
      </c>
      <c r="F94" s="189">
        <v>2.42</v>
      </c>
      <c r="G94" s="189">
        <v>157.63</v>
      </c>
      <c r="H94" s="189">
        <v>67.540000000000006</v>
      </c>
      <c r="I94" s="189">
        <v>11.55</v>
      </c>
      <c r="J94" s="189">
        <v>0.16</v>
      </c>
      <c r="K94" s="189">
        <v>153.69999999999999</v>
      </c>
      <c r="L94" s="189">
        <v>18.07</v>
      </c>
      <c r="M94" s="189">
        <v>86.96</v>
      </c>
      <c r="N94" s="189">
        <v>0</v>
      </c>
      <c r="O94" s="189">
        <v>0</v>
      </c>
      <c r="P94" s="189">
        <v>1.22</v>
      </c>
      <c r="Q94" s="189">
        <v>4.95</v>
      </c>
    </row>
    <row r="95" spans="1:17" customFormat="1">
      <c r="A95" s="6" t="s">
        <v>1861</v>
      </c>
      <c r="B95" s="189">
        <v>11.01</v>
      </c>
      <c r="C95" s="189">
        <v>36.729999999999997</v>
      </c>
      <c r="D95" s="189">
        <v>29.37</v>
      </c>
      <c r="E95" s="189">
        <v>7.35</v>
      </c>
      <c r="F95" s="189">
        <v>2.44</v>
      </c>
      <c r="G95" s="189">
        <v>171.61</v>
      </c>
      <c r="H95" s="189">
        <v>70.45</v>
      </c>
      <c r="I95" s="189">
        <v>11.74</v>
      </c>
      <c r="J95" s="189">
        <v>0.16</v>
      </c>
      <c r="K95" s="189">
        <v>158.12</v>
      </c>
      <c r="L95" s="189">
        <v>18.11</v>
      </c>
      <c r="M95" s="189">
        <v>85.68</v>
      </c>
      <c r="N95" s="189">
        <v>0</v>
      </c>
      <c r="O95" s="189">
        <v>0</v>
      </c>
      <c r="P95" s="189">
        <v>1.24</v>
      </c>
      <c r="Q95" s="189">
        <v>4.96</v>
      </c>
    </row>
    <row r="96" spans="1:17" customFormat="1">
      <c r="A96" s="6" t="s">
        <v>1862</v>
      </c>
      <c r="B96" s="189">
        <v>14.14</v>
      </c>
      <c r="C96" s="189">
        <v>38.43</v>
      </c>
      <c r="D96" s="189">
        <v>32.770000000000003</v>
      </c>
      <c r="E96" s="189">
        <v>7.22</v>
      </c>
      <c r="F96" s="189">
        <v>2.4500000000000002</v>
      </c>
      <c r="G96" s="189">
        <v>173.56</v>
      </c>
      <c r="H96" s="189">
        <v>70.45</v>
      </c>
      <c r="I96" s="189">
        <v>11.98</v>
      </c>
      <c r="J96" s="189">
        <v>0.15</v>
      </c>
      <c r="K96" s="189">
        <v>178.65</v>
      </c>
      <c r="L96" s="189">
        <v>18.05</v>
      </c>
      <c r="M96" s="189">
        <v>88.41</v>
      </c>
      <c r="N96" s="189">
        <v>0</v>
      </c>
      <c r="O96" s="189">
        <v>0</v>
      </c>
      <c r="P96" s="189">
        <v>1.28</v>
      </c>
      <c r="Q96" s="189">
        <v>5</v>
      </c>
    </row>
    <row r="97" spans="1:22" customFormat="1">
      <c r="A97" s="6" t="s">
        <v>1863</v>
      </c>
      <c r="B97" s="189">
        <v>16.66</v>
      </c>
      <c r="C97" s="189">
        <v>39.770000000000003</v>
      </c>
      <c r="D97" s="189">
        <v>35.49</v>
      </c>
      <c r="E97" s="189">
        <v>7.5</v>
      </c>
      <c r="F97" s="189">
        <v>2.5</v>
      </c>
      <c r="G97" s="189">
        <v>173.56</v>
      </c>
      <c r="H97" s="189">
        <v>70.45</v>
      </c>
      <c r="I97" s="189">
        <v>12.27</v>
      </c>
      <c r="J97" s="189">
        <v>0.15</v>
      </c>
      <c r="K97" s="189">
        <v>169.1</v>
      </c>
      <c r="L97" s="189">
        <v>17.82</v>
      </c>
      <c r="M97" s="189">
        <v>88.99</v>
      </c>
      <c r="N97" s="189">
        <v>0</v>
      </c>
      <c r="O97" s="189">
        <v>0</v>
      </c>
      <c r="P97" s="189">
        <v>1.3</v>
      </c>
      <c r="Q97" s="189">
        <v>5.03</v>
      </c>
    </row>
    <row r="98" spans="1:22" customFormat="1">
      <c r="A98" s="6" t="s">
        <v>1864</v>
      </c>
      <c r="B98" s="189">
        <v>19.23</v>
      </c>
      <c r="C98" s="189">
        <v>37.15</v>
      </c>
      <c r="D98" s="189">
        <v>36.18</v>
      </c>
      <c r="E98" s="189">
        <v>7.33</v>
      </c>
      <c r="F98" s="189">
        <v>2.72</v>
      </c>
      <c r="G98" s="189">
        <v>173.56</v>
      </c>
      <c r="H98" s="189">
        <v>70.45</v>
      </c>
      <c r="I98" s="189">
        <v>12.56</v>
      </c>
      <c r="J98" s="189">
        <v>0.14000000000000001</v>
      </c>
      <c r="K98" s="189">
        <v>219.48</v>
      </c>
      <c r="L98" s="189">
        <v>17.57</v>
      </c>
      <c r="M98" s="189">
        <v>89.69</v>
      </c>
      <c r="N98" s="189">
        <v>0</v>
      </c>
      <c r="O98" s="189">
        <v>0</v>
      </c>
      <c r="P98" s="189">
        <v>1.31</v>
      </c>
      <c r="Q98" s="189">
        <v>5.0599999999999996</v>
      </c>
    </row>
    <row r="99" spans="1:22" customFormat="1">
      <c r="A99" s="6" t="s">
        <v>1865</v>
      </c>
      <c r="B99" s="189">
        <v>21.47</v>
      </c>
      <c r="C99" s="189">
        <v>35.520000000000003</v>
      </c>
      <c r="D99" s="189">
        <v>37.119999999999997</v>
      </c>
      <c r="E99" s="189">
        <v>6.67</v>
      </c>
      <c r="F99" s="189">
        <v>2.67</v>
      </c>
      <c r="G99" s="189">
        <v>179.28</v>
      </c>
      <c r="H99" s="189">
        <v>74.900000000000006</v>
      </c>
      <c r="I99" s="189">
        <v>12.83</v>
      </c>
      <c r="J99" s="189">
        <v>0.15</v>
      </c>
      <c r="K99" s="189">
        <v>238.39</v>
      </c>
      <c r="L99" s="189">
        <v>17.149999999999999</v>
      </c>
      <c r="M99" s="189">
        <v>90.96</v>
      </c>
      <c r="N99" s="189">
        <v>0</v>
      </c>
      <c r="O99" s="189">
        <v>0</v>
      </c>
      <c r="P99" s="189">
        <v>1.33</v>
      </c>
      <c r="Q99" s="189">
        <v>5.09</v>
      </c>
    </row>
    <row r="100" spans="1:22" customFormat="1">
      <c r="A100" s="6" t="s">
        <v>1866</v>
      </c>
      <c r="B100" s="189">
        <v>22.85</v>
      </c>
      <c r="C100" s="189">
        <v>35.32</v>
      </c>
      <c r="D100" s="189">
        <v>38.130000000000003</v>
      </c>
      <c r="E100" s="189">
        <v>7.29</v>
      </c>
      <c r="F100" s="189">
        <v>2.62</v>
      </c>
      <c r="G100" s="189">
        <v>180.08</v>
      </c>
      <c r="H100" s="189">
        <v>74.900000000000006</v>
      </c>
      <c r="I100" s="189">
        <v>13.04</v>
      </c>
      <c r="J100" s="189">
        <v>0.13</v>
      </c>
      <c r="K100" s="189">
        <v>223.96</v>
      </c>
      <c r="L100" s="189">
        <v>17.07</v>
      </c>
      <c r="M100" s="189">
        <v>91.58</v>
      </c>
      <c r="N100" s="189">
        <v>0</v>
      </c>
      <c r="O100" s="189">
        <v>0</v>
      </c>
      <c r="P100" s="189">
        <v>1.33</v>
      </c>
      <c r="Q100" s="189">
        <v>5.12</v>
      </c>
    </row>
    <row r="101" spans="1:22" customFormat="1">
      <c r="A101" s="6" t="s">
        <v>1867</v>
      </c>
      <c r="B101" s="189">
        <v>23.18</v>
      </c>
      <c r="C101" s="189">
        <v>35.42</v>
      </c>
      <c r="D101" s="189">
        <v>38.450000000000003</v>
      </c>
      <c r="E101" s="189">
        <v>7.34</v>
      </c>
      <c r="F101" s="189">
        <v>2.5</v>
      </c>
      <c r="G101" s="189">
        <v>180.08</v>
      </c>
      <c r="H101" s="189">
        <v>74.900000000000006</v>
      </c>
      <c r="I101" s="189">
        <v>13.22</v>
      </c>
      <c r="J101" s="189">
        <v>0.12</v>
      </c>
      <c r="K101" s="189">
        <v>173.03</v>
      </c>
      <c r="L101" s="189">
        <v>16.920000000000002</v>
      </c>
      <c r="M101" s="189">
        <v>92.2</v>
      </c>
      <c r="N101" s="189">
        <v>0</v>
      </c>
      <c r="O101" s="189">
        <v>0</v>
      </c>
      <c r="P101" s="189">
        <v>1.34</v>
      </c>
      <c r="Q101" s="189">
        <v>5.12</v>
      </c>
    </row>
    <row r="102" spans="1:22" customFormat="1">
      <c r="A102" s="6" t="s">
        <v>1868</v>
      </c>
      <c r="B102" s="189">
        <v>23.08</v>
      </c>
      <c r="C102" s="189">
        <v>33.68</v>
      </c>
      <c r="D102" s="189">
        <v>37.46</v>
      </c>
      <c r="E102" s="189">
        <v>7.06</v>
      </c>
      <c r="F102" s="189">
        <v>2.6</v>
      </c>
      <c r="G102" s="189">
        <v>180.08</v>
      </c>
      <c r="H102" s="189">
        <v>74.900000000000006</v>
      </c>
      <c r="I102" s="189">
        <v>13.29</v>
      </c>
      <c r="J102" s="189">
        <v>0.17</v>
      </c>
      <c r="K102" s="189">
        <v>145.24</v>
      </c>
      <c r="L102" s="189">
        <v>16.95</v>
      </c>
      <c r="M102" s="189">
        <v>92.22</v>
      </c>
      <c r="N102" s="189">
        <v>0</v>
      </c>
      <c r="O102" s="189">
        <v>0</v>
      </c>
      <c r="P102" s="189">
        <v>1.32</v>
      </c>
      <c r="Q102" s="189">
        <v>5.12</v>
      </c>
    </row>
    <row r="103" spans="1:22" customFormat="1">
      <c r="A103" s="6" t="s">
        <v>1869</v>
      </c>
      <c r="B103" s="189">
        <v>22.75</v>
      </c>
      <c r="C103" s="189">
        <v>33.5</v>
      </c>
      <c r="D103" s="189">
        <v>37.090000000000003</v>
      </c>
      <c r="E103" s="189">
        <v>7.32</v>
      </c>
      <c r="F103" s="189">
        <v>2.54</v>
      </c>
      <c r="G103" s="189">
        <v>176</v>
      </c>
      <c r="H103" s="189">
        <v>76.41</v>
      </c>
      <c r="I103" s="189">
        <v>13.29</v>
      </c>
      <c r="J103" s="189">
        <v>0.13</v>
      </c>
      <c r="K103" s="189">
        <v>175.82</v>
      </c>
      <c r="L103" s="189">
        <v>16.86</v>
      </c>
      <c r="M103" s="189">
        <v>92.19</v>
      </c>
      <c r="N103" s="189">
        <v>0</v>
      </c>
      <c r="O103" s="189">
        <v>0</v>
      </c>
      <c r="P103" s="189">
        <v>1.33</v>
      </c>
      <c r="Q103" s="189">
        <v>5.1100000000000003</v>
      </c>
    </row>
    <row r="104" spans="1:22" customFormat="1">
      <c r="A104" s="6" t="s">
        <v>1870</v>
      </c>
      <c r="B104" s="189">
        <v>22.38</v>
      </c>
      <c r="C104" s="189">
        <v>32.72</v>
      </c>
      <c r="D104" s="189">
        <v>36.4</v>
      </c>
      <c r="E104" s="189">
        <v>6.98</v>
      </c>
      <c r="F104" s="189">
        <v>2.66</v>
      </c>
      <c r="G104" s="189">
        <v>175.43</v>
      </c>
      <c r="H104" s="189">
        <v>76.41</v>
      </c>
      <c r="I104" s="189">
        <v>13.25</v>
      </c>
      <c r="J104" s="189">
        <v>0.12</v>
      </c>
      <c r="K104" s="189">
        <v>190.95</v>
      </c>
      <c r="L104" s="189">
        <v>16.690000000000001</v>
      </c>
      <c r="M104" s="189">
        <v>92.65</v>
      </c>
      <c r="N104" s="189">
        <v>0</v>
      </c>
      <c r="O104" s="189">
        <v>0</v>
      </c>
      <c r="P104" s="189">
        <v>1.32</v>
      </c>
      <c r="Q104" s="189">
        <v>5.13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4.01</v>
      </c>
      <c r="C106" s="183">
        <f>MIN(C9:C104)</f>
        <v>19.690000000000001</v>
      </c>
      <c r="D106" s="183">
        <f t="shared" ref="D106:Q106" si="0">MIN(D9:D104)</f>
        <v>14.91</v>
      </c>
      <c r="E106" s="183">
        <f t="shared" si="0"/>
        <v>5.46</v>
      </c>
      <c r="F106" s="183">
        <f t="shared" si="0"/>
        <v>2.34</v>
      </c>
      <c r="G106" s="183">
        <f t="shared" si="0"/>
        <v>93.13</v>
      </c>
      <c r="H106" s="183">
        <f t="shared" si="0"/>
        <v>52.69</v>
      </c>
      <c r="I106" s="183">
        <f t="shared" si="0"/>
        <v>9.65</v>
      </c>
      <c r="J106" s="183">
        <f t="shared" si="0"/>
        <v>0.02</v>
      </c>
      <c r="K106" s="183">
        <f t="shared" si="0"/>
        <v>5.28</v>
      </c>
      <c r="L106" s="183">
        <f t="shared" si="0"/>
        <v>13.48</v>
      </c>
      <c r="M106" s="183">
        <f t="shared" si="0"/>
        <v>40.64</v>
      </c>
      <c r="N106" s="183">
        <f t="shared" si="0"/>
        <v>0</v>
      </c>
      <c r="O106" s="183">
        <f t="shared" si="0"/>
        <v>0</v>
      </c>
      <c r="P106" s="183">
        <f t="shared" si="0"/>
        <v>0.89</v>
      </c>
      <c r="Q106" s="183">
        <f t="shared" si="0"/>
        <v>4.84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67.400000000000006</v>
      </c>
      <c r="C107" s="184">
        <f t="shared" ref="C107:Q107" si="1">MAX(C9:C104)</f>
        <v>39.770000000000003</v>
      </c>
      <c r="D107" s="184">
        <f t="shared" si="1"/>
        <v>75.09</v>
      </c>
      <c r="E107" s="184">
        <f t="shared" si="1"/>
        <v>7.75</v>
      </c>
      <c r="F107" s="184">
        <f t="shared" si="1"/>
        <v>6.52</v>
      </c>
      <c r="G107" s="184">
        <f t="shared" si="1"/>
        <v>180.08</v>
      </c>
      <c r="H107" s="184">
        <f t="shared" si="1"/>
        <v>76.41</v>
      </c>
      <c r="I107" s="184">
        <f t="shared" si="1"/>
        <v>15.08</v>
      </c>
      <c r="J107" s="184">
        <f t="shared" si="1"/>
        <v>0.41</v>
      </c>
      <c r="K107" s="184">
        <f t="shared" si="1"/>
        <v>337.67</v>
      </c>
      <c r="L107" s="184">
        <f t="shared" si="1"/>
        <v>28.19</v>
      </c>
      <c r="M107" s="184">
        <f t="shared" si="1"/>
        <v>98.2</v>
      </c>
      <c r="N107" s="184">
        <f t="shared" si="1"/>
        <v>433.3</v>
      </c>
      <c r="O107" s="184">
        <f t="shared" si="1"/>
        <v>0</v>
      </c>
      <c r="P107" s="184">
        <f t="shared" si="1"/>
        <v>1.6</v>
      </c>
      <c r="Q107" s="184">
        <f t="shared" si="1"/>
        <v>5.82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28.78</v>
      </c>
      <c r="C108" s="183">
        <f t="shared" ref="C108:Q108" si="2">AVERAGE(C9:C104)</f>
        <v>31.755208333333339</v>
      </c>
      <c r="D108" s="183">
        <f t="shared" si="2"/>
        <v>41.021354166666661</v>
      </c>
      <c r="E108" s="183">
        <f t="shared" si="2"/>
        <v>6.8477083333333333</v>
      </c>
      <c r="F108" s="183">
        <f t="shared" si="2"/>
        <v>3.0906250000000015</v>
      </c>
      <c r="G108" s="183">
        <f t="shared" si="2"/>
        <v>125.67979166666659</v>
      </c>
      <c r="H108" s="183">
        <f t="shared" si="2"/>
        <v>63.230416666666649</v>
      </c>
      <c r="I108" s="183">
        <f t="shared" si="2"/>
        <v>12.553749999999999</v>
      </c>
      <c r="J108" s="183">
        <f t="shared" si="2"/>
        <v>0.17468750000000002</v>
      </c>
      <c r="K108" s="183">
        <f t="shared" si="2"/>
        <v>178.01343749999998</v>
      </c>
      <c r="L108" s="183">
        <f t="shared" si="2"/>
        <v>19.774166666666655</v>
      </c>
      <c r="M108" s="183">
        <f t="shared" si="2"/>
        <v>74.962916666666658</v>
      </c>
      <c r="N108" s="183">
        <f t="shared" si="2"/>
        <v>89.03854166666666</v>
      </c>
      <c r="O108" s="183">
        <f t="shared" si="2"/>
        <v>0</v>
      </c>
      <c r="P108" s="183">
        <f t="shared" si="2"/>
        <v>1.252604166666667</v>
      </c>
      <c r="Q108" s="183">
        <f t="shared" si="2"/>
        <v>5.2496875000000003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25.438978297921185</v>
      </c>
      <c r="C109" s="183">
        <f t="shared" ref="C109:Q109" si="3">STDEV(C9:C104)</f>
        <v>5.4567894897171545</v>
      </c>
      <c r="D109" s="183">
        <f t="shared" si="3"/>
        <v>21.827237963019922</v>
      </c>
      <c r="E109" s="183">
        <f t="shared" si="3"/>
        <v>0.45656723530155069</v>
      </c>
      <c r="F109" s="183">
        <f t="shared" si="3"/>
        <v>0.85808454067612638</v>
      </c>
      <c r="G109" s="183">
        <f t="shared" si="3"/>
        <v>27.570455620356725</v>
      </c>
      <c r="H109" s="183">
        <f t="shared" si="3"/>
        <v>5.7500253393799117</v>
      </c>
      <c r="I109" s="183">
        <f t="shared" si="3"/>
        <v>1.8512296055950375</v>
      </c>
      <c r="J109" s="183">
        <f t="shared" si="3"/>
        <v>8.2487040449426216E-2</v>
      </c>
      <c r="K109" s="183">
        <f t="shared" si="3"/>
        <v>52.644936215289071</v>
      </c>
      <c r="L109" s="183">
        <f t="shared" si="3"/>
        <v>5.0616520429113843</v>
      </c>
      <c r="M109" s="183">
        <f t="shared" si="3"/>
        <v>20.916292864486845</v>
      </c>
      <c r="N109" s="183">
        <f t="shared" si="3"/>
        <v>148.00184022311964</v>
      </c>
      <c r="O109" s="183">
        <f t="shared" si="3"/>
        <v>0</v>
      </c>
      <c r="P109" s="183">
        <f t="shared" si="3"/>
        <v>0.23976850586244453</v>
      </c>
      <c r="Q109" s="183">
        <f t="shared" si="3"/>
        <v>0.37825764854686433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26/12/2023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1871</v>
      </c>
      <c r="B9" s="189">
        <v>21.52</v>
      </c>
      <c r="C9" s="189">
        <v>33.79</v>
      </c>
      <c r="D9" s="189">
        <v>36.270000000000003</v>
      </c>
      <c r="E9" s="189">
        <v>7.13</v>
      </c>
      <c r="F9" s="189">
        <v>2.38</v>
      </c>
      <c r="G9" s="189">
        <v>175.43</v>
      </c>
      <c r="H9" s="189">
        <v>76.41</v>
      </c>
      <c r="I9" s="189">
        <v>13.29</v>
      </c>
      <c r="J9" s="189">
        <v>0.2</v>
      </c>
      <c r="K9" s="189">
        <v>177.64</v>
      </c>
      <c r="L9" s="189">
        <v>16.61</v>
      </c>
      <c r="M9" s="189">
        <v>93.54</v>
      </c>
      <c r="N9" s="189">
        <v>0</v>
      </c>
      <c r="O9" s="189">
        <v>0</v>
      </c>
      <c r="P9" s="189">
        <v>1.32</v>
      </c>
      <c r="Q9" s="189">
        <v>5.13</v>
      </c>
    </row>
    <row r="10" spans="1:21" customFormat="1">
      <c r="A10" s="6" t="s">
        <v>1872</v>
      </c>
      <c r="B10" s="189">
        <v>21.32</v>
      </c>
      <c r="C10" s="189">
        <v>32.590000000000003</v>
      </c>
      <c r="D10" s="189">
        <v>35.47</v>
      </c>
      <c r="E10" s="189">
        <v>6.99</v>
      </c>
      <c r="F10" s="189">
        <v>2.46</v>
      </c>
      <c r="G10" s="189">
        <v>175.43</v>
      </c>
      <c r="H10" s="189">
        <v>76.41</v>
      </c>
      <c r="I10" s="189">
        <v>13.36</v>
      </c>
      <c r="J10" s="189">
        <v>0.08</v>
      </c>
      <c r="K10" s="189">
        <v>214.95</v>
      </c>
      <c r="L10" s="189">
        <v>16.48</v>
      </c>
      <c r="M10" s="189">
        <v>93.37</v>
      </c>
      <c r="N10" s="189">
        <v>0</v>
      </c>
      <c r="O10" s="189">
        <v>0</v>
      </c>
      <c r="P10" s="189">
        <v>1.32</v>
      </c>
      <c r="Q10" s="189">
        <v>5.13</v>
      </c>
    </row>
    <row r="11" spans="1:21" customFormat="1">
      <c r="A11" s="6" t="s">
        <v>1873</v>
      </c>
      <c r="B11" s="189">
        <v>20.91</v>
      </c>
      <c r="C11" s="189">
        <v>32.32</v>
      </c>
      <c r="D11" s="189">
        <v>35</v>
      </c>
      <c r="E11" s="189">
        <v>6.88</v>
      </c>
      <c r="F11" s="189">
        <v>2.4700000000000002</v>
      </c>
      <c r="G11" s="189">
        <v>172.27</v>
      </c>
      <c r="H11" s="189">
        <v>74.38</v>
      </c>
      <c r="I11" s="189">
        <v>13.41</v>
      </c>
      <c r="J11" s="189">
        <v>0.08</v>
      </c>
      <c r="K11" s="189">
        <v>169.98</v>
      </c>
      <c r="L11" s="189">
        <v>16.45</v>
      </c>
      <c r="M11" s="189">
        <v>92.87</v>
      </c>
      <c r="N11" s="189">
        <v>0</v>
      </c>
      <c r="O11" s="189">
        <v>0</v>
      </c>
      <c r="P11" s="189">
        <v>1.33</v>
      </c>
      <c r="Q11" s="189">
        <v>5.14</v>
      </c>
    </row>
    <row r="12" spans="1:21" customFormat="1">
      <c r="A12" s="6" t="s">
        <v>1874</v>
      </c>
      <c r="B12" s="189">
        <v>20.36</v>
      </c>
      <c r="C12" s="189">
        <v>31.48</v>
      </c>
      <c r="D12" s="189">
        <v>34.130000000000003</v>
      </c>
      <c r="E12" s="189">
        <v>7.06</v>
      </c>
      <c r="F12" s="189">
        <v>2.41</v>
      </c>
      <c r="G12" s="189">
        <v>171.83</v>
      </c>
      <c r="H12" s="189">
        <v>74.38</v>
      </c>
      <c r="I12" s="189">
        <v>13.46</v>
      </c>
      <c r="J12" s="189">
        <v>0.12</v>
      </c>
      <c r="K12" s="189">
        <v>143.83000000000001</v>
      </c>
      <c r="L12" s="189">
        <v>16.41</v>
      </c>
      <c r="M12" s="189">
        <v>92.59</v>
      </c>
      <c r="N12" s="189">
        <v>0</v>
      </c>
      <c r="O12" s="189">
        <v>0</v>
      </c>
      <c r="P12" s="189">
        <v>1.33</v>
      </c>
      <c r="Q12" s="189">
        <v>5.09</v>
      </c>
    </row>
    <row r="13" spans="1:21" customFormat="1">
      <c r="A13" s="6" t="s">
        <v>1875</v>
      </c>
      <c r="B13" s="189">
        <v>19.73</v>
      </c>
      <c r="C13" s="189">
        <v>30.5</v>
      </c>
      <c r="D13" s="189">
        <v>33.11</v>
      </c>
      <c r="E13" s="189">
        <v>7.09</v>
      </c>
      <c r="F13" s="189">
        <v>2.4900000000000002</v>
      </c>
      <c r="G13" s="189">
        <v>171.83</v>
      </c>
      <c r="H13" s="189">
        <v>74.38</v>
      </c>
      <c r="I13" s="189">
        <v>13.5</v>
      </c>
      <c r="J13" s="189">
        <v>0.15</v>
      </c>
      <c r="K13" s="189">
        <v>157.12</v>
      </c>
      <c r="L13" s="189">
        <v>16.489999999999998</v>
      </c>
      <c r="M13" s="189">
        <v>93.42</v>
      </c>
      <c r="N13" s="189">
        <v>0</v>
      </c>
      <c r="O13" s="189">
        <v>0</v>
      </c>
      <c r="P13" s="189">
        <v>1.32</v>
      </c>
      <c r="Q13" s="189">
        <v>5.08</v>
      </c>
    </row>
    <row r="14" spans="1:21" customFormat="1">
      <c r="A14" s="6" t="s">
        <v>1876</v>
      </c>
      <c r="B14" s="189">
        <v>19.09</v>
      </c>
      <c r="C14" s="189">
        <v>29.24</v>
      </c>
      <c r="D14" s="189">
        <v>31.94</v>
      </c>
      <c r="E14" s="189">
        <v>7.18</v>
      </c>
      <c r="F14" s="189">
        <v>2.68</v>
      </c>
      <c r="G14" s="189">
        <v>171.83</v>
      </c>
      <c r="H14" s="189">
        <v>74.38</v>
      </c>
      <c r="I14" s="189">
        <v>13.54</v>
      </c>
      <c r="J14" s="189">
        <v>0.1</v>
      </c>
      <c r="K14" s="189">
        <v>155.61000000000001</v>
      </c>
      <c r="L14" s="189">
        <v>16.29</v>
      </c>
      <c r="M14" s="189">
        <v>93.05</v>
      </c>
      <c r="N14" s="189">
        <v>0</v>
      </c>
      <c r="O14" s="189">
        <v>0</v>
      </c>
      <c r="P14" s="189">
        <v>1.32</v>
      </c>
      <c r="Q14" s="189">
        <v>5.07</v>
      </c>
    </row>
    <row r="15" spans="1:21" customFormat="1">
      <c r="A15" s="6" t="s">
        <v>1877</v>
      </c>
      <c r="B15" s="189">
        <v>18.32</v>
      </c>
      <c r="C15" s="189">
        <v>30.18</v>
      </c>
      <c r="D15" s="189">
        <v>31.81</v>
      </c>
      <c r="E15" s="189">
        <v>6.82</v>
      </c>
      <c r="F15" s="189">
        <v>2.4</v>
      </c>
      <c r="G15" s="189">
        <v>154.66</v>
      </c>
      <c r="H15" s="189">
        <v>72.760000000000005</v>
      </c>
      <c r="I15" s="189">
        <v>13.53</v>
      </c>
      <c r="J15" s="189">
        <v>0.09</v>
      </c>
      <c r="K15" s="189">
        <v>181.86</v>
      </c>
      <c r="L15" s="189">
        <v>16.25</v>
      </c>
      <c r="M15" s="189">
        <v>92.05</v>
      </c>
      <c r="N15" s="189">
        <v>0</v>
      </c>
      <c r="O15" s="189">
        <v>0</v>
      </c>
      <c r="P15" s="189">
        <v>1.31</v>
      </c>
      <c r="Q15" s="189">
        <v>5.0599999999999996</v>
      </c>
    </row>
    <row r="16" spans="1:21" customFormat="1">
      <c r="A16" s="6" t="s">
        <v>1878</v>
      </c>
      <c r="B16" s="189">
        <v>17.79</v>
      </c>
      <c r="C16" s="189">
        <v>29.84</v>
      </c>
      <c r="D16" s="189">
        <v>31.21</v>
      </c>
      <c r="E16" s="189">
        <v>7.04</v>
      </c>
      <c r="F16" s="189">
        <v>2.5499999999999998</v>
      </c>
      <c r="G16" s="189">
        <v>152.27000000000001</v>
      </c>
      <c r="H16" s="189">
        <v>72.760000000000005</v>
      </c>
      <c r="I16" s="189">
        <v>13.5</v>
      </c>
      <c r="J16" s="189">
        <v>0.09</v>
      </c>
      <c r="K16" s="189">
        <v>245.31</v>
      </c>
      <c r="L16" s="189">
        <v>16.02</v>
      </c>
      <c r="M16" s="189">
        <v>92.29</v>
      </c>
      <c r="N16" s="189">
        <v>0</v>
      </c>
      <c r="O16" s="189">
        <v>0</v>
      </c>
      <c r="P16" s="189">
        <v>1.3</v>
      </c>
      <c r="Q16" s="189">
        <v>5.07</v>
      </c>
    </row>
    <row r="17" spans="1:17" customFormat="1">
      <c r="A17" s="6" t="s">
        <v>1879</v>
      </c>
      <c r="B17" s="189">
        <v>17.12</v>
      </c>
      <c r="C17" s="189">
        <v>29.92</v>
      </c>
      <c r="D17" s="189">
        <v>30.71</v>
      </c>
      <c r="E17" s="189">
        <v>4.88</v>
      </c>
      <c r="F17" s="189">
        <v>2.54</v>
      </c>
      <c r="G17" s="189">
        <v>152.27000000000001</v>
      </c>
      <c r="H17" s="189">
        <v>72.760000000000005</v>
      </c>
      <c r="I17" s="189">
        <v>13.48</v>
      </c>
      <c r="J17" s="189">
        <v>0.11</v>
      </c>
      <c r="K17" s="189">
        <v>156.12</v>
      </c>
      <c r="L17" s="189">
        <v>15.96</v>
      </c>
      <c r="M17" s="189">
        <v>93.02</v>
      </c>
      <c r="N17" s="189">
        <v>0</v>
      </c>
      <c r="O17" s="189">
        <v>0</v>
      </c>
      <c r="P17" s="189">
        <v>1.29</v>
      </c>
      <c r="Q17" s="189">
        <v>5.04</v>
      </c>
    </row>
    <row r="18" spans="1:17" customFormat="1">
      <c r="A18" s="6" t="s">
        <v>1880</v>
      </c>
      <c r="B18" s="189">
        <v>16.53</v>
      </c>
      <c r="C18" s="189">
        <v>28.46</v>
      </c>
      <c r="D18" s="189">
        <v>29.48</v>
      </c>
      <c r="E18" s="189">
        <v>5.63</v>
      </c>
      <c r="F18" s="189">
        <v>2.5499999999999998</v>
      </c>
      <c r="G18" s="189">
        <v>152.27000000000001</v>
      </c>
      <c r="H18" s="189">
        <v>72.760000000000005</v>
      </c>
      <c r="I18" s="189">
        <v>13.41</v>
      </c>
      <c r="J18" s="189">
        <v>0.06</v>
      </c>
      <c r="K18" s="189">
        <v>207.02</v>
      </c>
      <c r="L18" s="189">
        <v>15.88</v>
      </c>
      <c r="M18" s="189">
        <v>93.5</v>
      </c>
      <c r="N18" s="189">
        <v>0</v>
      </c>
      <c r="O18" s="189">
        <v>0</v>
      </c>
      <c r="P18" s="189">
        <v>1.28</v>
      </c>
      <c r="Q18" s="189">
        <v>5.05</v>
      </c>
    </row>
    <row r="19" spans="1:17" customFormat="1">
      <c r="A19" s="6" t="s">
        <v>1881</v>
      </c>
      <c r="B19" s="189">
        <v>16.809999999999999</v>
      </c>
      <c r="C19" s="189">
        <v>29.75</v>
      </c>
      <c r="D19" s="189">
        <v>30.38</v>
      </c>
      <c r="E19" s="189">
        <v>5.26</v>
      </c>
      <c r="F19" s="189">
        <v>2.3199999999999998</v>
      </c>
      <c r="G19" s="189">
        <v>129.51</v>
      </c>
      <c r="H19" s="189">
        <v>70.040000000000006</v>
      </c>
      <c r="I19" s="189">
        <v>13.34</v>
      </c>
      <c r="J19" s="189">
        <v>0.06</v>
      </c>
      <c r="K19" s="189">
        <v>153.53</v>
      </c>
      <c r="L19" s="189">
        <v>15.88</v>
      </c>
      <c r="M19" s="189">
        <v>92.63</v>
      </c>
      <c r="N19" s="189">
        <v>0</v>
      </c>
      <c r="O19" s="189">
        <v>0</v>
      </c>
      <c r="P19" s="189">
        <v>1.27</v>
      </c>
      <c r="Q19" s="189">
        <v>5.04</v>
      </c>
    </row>
    <row r="20" spans="1:17" customFormat="1">
      <c r="A20" s="6" t="s">
        <v>1882</v>
      </c>
      <c r="B20" s="189">
        <v>19.95</v>
      </c>
      <c r="C20" s="189">
        <v>30.5</v>
      </c>
      <c r="D20" s="189">
        <v>33.29</v>
      </c>
      <c r="E20" s="189">
        <v>5.61</v>
      </c>
      <c r="F20" s="189">
        <v>2.44</v>
      </c>
      <c r="G20" s="189">
        <v>126.34</v>
      </c>
      <c r="H20" s="189">
        <v>70.040000000000006</v>
      </c>
      <c r="I20" s="189">
        <v>13.27</v>
      </c>
      <c r="J20" s="189">
        <v>0.13</v>
      </c>
      <c r="K20" s="189">
        <v>158.29</v>
      </c>
      <c r="L20" s="189">
        <v>15.86</v>
      </c>
      <c r="M20" s="189">
        <v>91.77</v>
      </c>
      <c r="N20" s="189">
        <v>0</v>
      </c>
      <c r="O20" s="189">
        <v>0</v>
      </c>
      <c r="P20" s="189">
        <v>1.29</v>
      </c>
      <c r="Q20" s="189">
        <v>5.1100000000000003</v>
      </c>
    </row>
    <row r="21" spans="1:17" customFormat="1">
      <c r="A21" s="6" t="s">
        <v>1883</v>
      </c>
      <c r="B21" s="189">
        <v>22.21</v>
      </c>
      <c r="C21" s="189">
        <v>31.37</v>
      </c>
      <c r="D21" s="189">
        <v>35.549999999999997</v>
      </c>
      <c r="E21" s="189">
        <v>5.39</v>
      </c>
      <c r="F21" s="189">
        <v>2.54</v>
      </c>
      <c r="G21" s="189">
        <v>126.34</v>
      </c>
      <c r="H21" s="189">
        <v>70.040000000000006</v>
      </c>
      <c r="I21" s="189">
        <v>13.24</v>
      </c>
      <c r="J21" s="189">
        <v>0.15</v>
      </c>
      <c r="K21" s="189">
        <v>132.66</v>
      </c>
      <c r="L21" s="189">
        <v>15.82</v>
      </c>
      <c r="M21" s="189">
        <v>92.16</v>
      </c>
      <c r="N21" s="189">
        <v>0</v>
      </c>
      <c r="O21" s="189">
        <v>0</v>
      </c>
      <c r="P21" s="189">
        <v>1.28</v>
      </c>
      <c r="Q21" s="189">
        <v>5.15</v>
      </c>
    </row>
    <row r="22" spans="1:17" customFormat="1">
      <c r="A22" s="6" t="s">
        <v>1884</v>
      </c>
      <c r="B22" s="189">
        <v>23.13</v>
      </c>
      <c r="C22" s="189">
        <v>31.94</v>
      </c>
      <c r="D22" s="189">
        <v>36.590000000000003</v>
      </c>
      <c r="E22" s="189">
        <v>5.15</v>
      </c>
      <c r="F22" s="189">
        <v>2.67</v>
      </c>
      <c r="G22" s="189">
        <v>126.34</v>
      </c>
      <c r="H22" s="189">
        <v>70.040000000000006</v>
      </c>
      <c r="I22" s="189">
        <v>13.22</v>
      </c>
      <c r="J22" s="189">
        <v>0.14000000000000001</v>
      </c>
      <c r="K22" s="189">
        <v>116.87</v>
      </c>
      <c r="L22" s="189">
        <v>15.81</v>
      </c>
      <c r="M22" s="189">
        <v>90.92</v>
      </c>
      <c r="N22" s="189">
        <v>0</v>
      </c>
      <c r="O22" s="189">
        <v>0</v>
      </c>
      <c r="P22" s="189">
        <v>1.27</v>
      </c>
      <c r="Q22" s="189">
        <v>5.17</v>
      </c>
    </row>
    <row r="23" spans="1:17" customFormat="1">
      <c r="A23" s="6" t="s">
        <v>1885</v>
      </c>
      <c r="B23" s="189">
        <v>25.23</v>
      </c>
      <c r="C23" s="189">
        <v>32.65</v>
      </c>
      <c r="D23" s="189">
        <v>38.64</v>
      </c>
      <c r="E23" s="189">
        <v>5.5</v>
      </c>
      <c r="F23" s="189">
        <v>2.65</v>
      </c>
      <c r="G23" s="189">
        <v>125.43</v>
      </c>
      <c r="H23" s="189">
        <v>72.7</v>
      </c>
      <c r="I23" s="189">
        <v>13.17</v>
      </c>
      <c r="J23" s="189">
        <v>0.14000000000000001</v>
      </c>
      <c r="K23" s="189">
        <v>139.24</v>
      </c>
      <c r="L23" s="189">
        <v>15.84</v>
      </c>
      <c r="M23" s="189">
        <v>90.63</v>
      </c>
      <c r="N23" s="189">
        <v>0</v>
      </c>
      <c r="O23" s="189">
        <v>0</v>
      </c>
      <c r="P23" s="189">
        <v>1.27</v>
      </c>
      <c r="Q23" s="189">
        <v>5.2</v>
      </c>
    </row>
    <row r="24" spans="1:17" customFormat="1">
      <c r="A24" s="6" t="s">
        <v>1886</v>
      </c>
      <c r="B24" s="189">
        <v>28.75</v>
      </c>
      <c r="C24" s="189">
        <v>33.450000000000003</v>
      </c>
      <c r="D24" s="189">
        <v>41.89</v>
      </c>
      <c r="E24" s="189">
        <v>5.68</v>
      </c>
      <c r="F24" s="189">
        <v>2.5</v>
      </c>
      <c r="G24" s="189">
        <v>125.3</v>
      </c>
      <c r="H24" s="189">
        <v>72.7</v>
      </c>
      <c r="I24" s="189">
        <v>13.05</v>
      </c>
      <c r="J24" s="189">
        <v>0.1</v>
      </c>
      <c r="K24" s="189">
        <v>170.07</v>
      </c>
      <c r="L24" s="189">
        <v>15.82</v>
      </c>
      <c r="M24" s="189">
        <v>90.45</v>
      </c>
      <c r="N24" s="189">
        <v>0</v>
      </c>
      <c r="O24" s="189">
        <v>0</v>
      </c>
      <c r="P24" s="189">
        <v>1.26</v>
      </c>
      <c r="Q24" s="189">
        <v>5.25</v>
      </c>
    </row>
    <row r="25" spans="1:17" customFormat="1">
      <c r="A25" s="6" t="s">
        <v>1887</v>
      </c>
      <c r="B25" s="189">
        <v>31.49</v>
      </c>
      <c r="C25" s="189">
        <v>34.11</v>
      </c>
      <c r="D25" s="189">
        <v>44.43</v>
      </c>
      <c r="E25" s="189">
        <v>5.69</v>
      </c>
      <c r="F25" s="189">
        <v>2.5099999999999998</v>
      </c>
      <c r="G25" s="189">
        <v>125.3</v>
      </c>
      <c r="H25" s="189">
        <v>72.7</v>
      </c>
      <c r="I25" s="189">
        <v>12.94</v>
      </c>
      <c r="J25" s="189">
        <v>0.1</v>
      </c>
      <c r="K25" s="189">
        <v>182.64</v>
      </c>
      <c r="L25" s="189">
        <v>15.53</v>
      </c>
      <c r="M25" s="189">
        <v>92.94</v>
      </c>
      <c r="N25" s="189">
        <v>0</v>
      </c>
      <c r="O25" s="189">
        <v>0</v>
      </c>
      <c r="P25" s="189">
        <v>1.26</v>
      </c>
      <c r="Q25" s="189">
        <v>5.3</v>
      </c>
    </row>
    <row r="26" spans="1:17" customFormat="1">
      <c r="A26" s="6" t="s">
        <v>1888</v>
      </c>
      <c r="B26" s="189">
        <v>33.69</v>
      </c>
      <c r="C26" s="189">
        <v>34.479999999999997</v>
      </c>
      <c r="D26" s="189">
        <v>46.38</v>
      </c>
      <c r="E26" s="189">
        <v>5.83</v>
      </c>
      <c r="F26" s="189">
        <v>2.48</v>
      </c>
      <c r="G26" s="189">
        <v>125.3</v>
      </c>
      <c r="H26" s="189">
        <v>72.7</v>
      </c>
      <c r="I26" s="189">
        <v>12.9</v>
      </c>
      <c r="J26" s="189">
        <v>7.0000000000000007E-2</v>
      </c>
      <c r="K26" s="189">
        <v>180.71</v>
      </c>
      <c r="L26" s="189">
        <v>15.31</v>
      </c>
      <c r="M26" s="189">
        <v>94.5</v>
      </c>
      <c r="N26" s="189">
        <v>0</v>
      </c>
      <c r="O26" s="189">
        <v>0</v>
      </c>
      <c r="P26" s="189">
        <v>1.26</v>
      </c>
      <c r="Q26" s="189">
        <v>5.31</v>
      </c>
    </row>
    <row r="27" spans="1:17" customFormat="1">
      <c r="A27" s="6" t="s">
        <v>1889</v>
      </c>
      <c r="B27" s="189">
        <v>35.5</v>
      </c>
      <c r="C27" s="189">
        <v>34.909999999999997</v>
      </c>
      <c r="D27" s="189">
        <v>48.06</v>
      </c>
      <c r="E27" s="189">
        <v>5.89</v>
      </c>
      <c r="F27" s="189">
        <v>2.42</v>
      </c>
      <c r="G27" s="189">
        <v>126.24</v>
      </c>
      <c r="H27" s="189">
        <v>70.319999999999993</v>
      </c>
      <c r="I27" s="189">
        <v>12.93</v>
      </c>
      <c r="J27" s="189">
        <v>7.0000000000000007E-2</v>
      </c>
      <c r="K27" s="189">
        <v>127.49</v>
      </c>
      <c r="L27" s="189">
        <v>15.21</v>
      </c>
      <c r="M27" s="189">
        <v>94.9</v>
      </c>
      <c r="N27" s="189">
        <v>0</v>
      </c>
      <c r="O27" s="189">
        <v>0</v>
      </c>
      <c r="P27" s="189">
        <v>1.26</v>
      </c>
      <c r="Q27" s="189">
        <v>5.33</v>
      </c>
    </row>
    <row r="28" spans="1:17" customFormat="1">
      <c r="A28" s="6" t="s">
        <v>1890</v>
      </c>
      <c r="B28" s="189">
        <v>37.54</v>
      </c>
      <c r="C28" s="189">
        <v>35.270000000000003</v>
      </c>
      <c r="D28" s="189">
        <v>49.89</v>
      </c>
      <c r="E28" s="189">
        <v>5.5</v>
      </c>
      <c r="F28" s="189">
        <v>2.58</v>
      </c>
      <c r="G28" s="189">
        <v>126.38</v>
      </c>
      <c r="H28" s="189">
        <v>70.319999999999993</v>
      </c>
      <c r="I28" s="189">
        <v>12.99</v>
      </c>
      <c r="J28" s="189">
        <v>0.21</v>
      </c>
      <c r="K28" s="189">
        <v>50.46</v>
      </c>
      <c r="L28" s="189">
        <v>15.33</v>
      </c>
      <c r="M28" s="189">
        <v>93.86</v>
      </c>
      <c r="N28" s="189">
        <v>0</v>
      </c>
      <c r="O28" s="189">
        <v>0</v>
      </c>
      <c r="P28" s="189">
        <v>1.25</v>
      </c>
      <c r="Q28" s="189">
        <v>5.36</v>
      </c>
    </row>
    <row r="29" spans="1:17" customFormat="1">
      <c r="A29" s="6" t="s">
        <v>1891</v>
      </c>
      <c r="B29" s="189">
        <v>38.5</v>
      </c>
      <c r="C29" s="189">
        <v>35.64</v>
      </c>
      <c r="D29" s="189">
        <v>50.84</v>
      </c>
      <c r="E29" s="189">
        <v>5.92</v>
      </c>
      <c r="F29" s="189">
        <v>2.54</v>
      </c>
      <c r="G29" s="189">
        <v>126.38</v>
      </c>
      <c r="H29" s="189">
        <v>70.319999999999993</v>
      </c>
      <c r="I29" s="189">
        <v>13.09</v>
      </c>
      <c r="J29" s="189">
        <v>0.15</v>
      </c>
      <c r="K29" s="189">
        <v>63.31</v>
      </c>
      <c r="L29" s="189">
        <v>15.4</v>
      </c>
      <c r="M29" s="189">
        <v>93.45</v>
      </c>
      <c r="N29" s="189">
        <v>0</v>
      </c>
      <c r="O29" s="189">
        <v>0</v>
      </c>
      <c r="P29" s="189">
        <v>1.25</v>
      </c>
      <c r="Q29" s="189">
        <v>5.41</v>
      </c>
    </row>
    <row r="30" spans="1:17" customFormat="1">
      <c r="A30" s="6" t="s">
        <v>1892</v>
      </c>
      <c r="B30" s="189">
        <v>38.39</v>
      </c>
      <c r="C30" s="189">
        <v>36.11</v>
      </c>
      <c r="D30" s="189">
        <v>51</v>
      </c>
      <c r="E30" s="189">
        <v>5.61</v>
      </c>
      <c r="F30" s="189">
        <v>2.48</v>
      </c>
      <c r="G30" s="189">
        <v>126.38</v>
      </c>
      <c r="H30" s="189">
        <v>70.319999999999993</v>
      </c>
      <c r="I30" s="189">
        <v>13.16</v>
      </c>
      <c r="J30" s="189">
        <v>0.12</v>
      </c>
      <c r="K30" s="189">
        <v>128.71</v>
      </c>
      <c r="L30" s="189">
        <v>15.48</v>
      </c>
      <c r="M30" s="189">
        <v>93.39</v>
      </c>
      <c r="N30" s="189">
        <v>0</v>
      </c>
      <c r="O30" s="189">
        <v>0</v>
      </c>
      <c r="P30" s="189">
        <v>1.24</v>
      </c>
      <c r="Q30" s="189">
        <v>5.43</v>
      </c>
    </row>
    <row r="31" spans="1:17" customFormat="1">
      <c r="A31" s="6" t="s">
        <v>1893</v>
      </c>
      <c r="B31" s="189">
        <v>37.090000000000003</v>
      </c>
      <c r="C31" s="189">
        <v>36.21</v>
      </c>
      <c r="D31" s="189">
        <v>50.01</v>
      </c>
      <c r="E31" s="189">
        <v>5.73</v>
      </c>
      <c r="F31" s="189">
        <v>2.42</v>
      </c>
      <c r="G31" s="189">
        <v>127.8</v>
      </c>
      <c r="H31" s="189">
        <v>74.3</v>
      </c>
      <c r="I31" s="189">
        <v>13.15</v>
      </c>
      <c r="J31" s="189">
        <v>0.14000000000000001</v>
      </c>
      <c r="K31" s="189">
        <v>186.05</v>
      </c>
      <c r="L31" s="189">
        <v>15.34</v>
      </c>
      <c r="M31" s="189">
        <v>94.25</v>
      </c>
      <c r="N31" s="189">
        <v>0</v>
      </c>
      <c r="O31" s="189">
        <v>0</v>
      </c>
      <c r="P31" s="189">
        <v>1.23</v>
      </c>
      <c r="Q31" s="189">
        <v>5.4</v>
      </c>
    </row>
    <row r="32" spans="1:17" customFormat="1">
      <c r="A32" s="6" t="s">
        <v>1894</v>
      </c>
      <c r="B32" s="189">
        <v>35.15</v>
      </c>
      <c r="C32" s="189">
        <v>35.71</v>
      </c>
      <c r="D32" s="189">
        <v>48.2</v>
      </c>
      <c r="E32" s="189">
        <v>6.11</v>
      </c>
      <c r="F32" s="189">
        <v>2.42</v>
      </c>
      <c r="G32" s="189">
        <v>128</v>
      </c>
      <c r="H32" s="189">
        <v>74.3</v>
      </c>
      <c r="I32" s="189">
        <v>13.09</v>
      </c>
      <c r="J32" s="189">
        <v>0.14000000000000001</v>
      </c>
      <c r="K32" s="189">
        <v>217.5</v>
      </c>
      <c r="L32" s="189">
        <v>15.05</v>
      </c>
      <c r="M32" s="189">
        <v>95.4</v>
      </c>
      <c r="N32" s="189">
        <v>0</v>
      </c>
      <c r="O32" s="189">
        <v>0</v>
      </c>
      <c r="P32" s="189">
        <v>1.21</v>
      </c>
      <c r="Q32" s="189">
        <v>5.38</v>
      </c>
    </row>
    <row r="33" spans="1:17" customFormat="1">
      <c r="A33" s="6" t="s">
        <v>1895</v>
      </c>
      <c r="B33" s="189">
        <v>33.159999999999997</v>
      </c>
      <c r="C33" s="189">
        <v>35.07</v>
      </c>
      <c r="D33" s="189">
        <v>46.27</v>
      </c>
      <c r="E33" s="189">
        <v>6</v>
      </c>
      <c r="F33" s="189">
        <v>2.5</v>
      </c>
      <c r="G33" s="189">
        <v>128</v>
      </c>
      <c r="H33" s="189">
        <v>74.3</v>
      </c>
      <c r="I33" s="189">
        <v>13.04</v>
      </c>
      <c r="J33" s="189">
        <v>0.12</v>
      </c>
      <c r="K33" s="189">
        <v>244.97</v>
      </c>
      <c r="L33" s="189">
        <v>14.68</v>
      </c>
      <c r="M33" s="189">
        <v>96.16</v>
      </c>
      <c r="N33" s="189">
        <v>0</v>
      </c>
      <c r="O33" s="189">
        <v>0</v>
      </c>
      <c r="P33" s="189">
        <v>1.21</v>
      </c>
      <c r="Q33" s="189">
        <v>5.34</v>
      </c>
    </row>
    <row r="34" spans="1:17" customFormat="1">
      <c r="A34" s="6" t="s">
        <v>1896</v>
      </c>
      <c r="B34" s="189">
        <v>31.15</v>
      </c>
      <c r="C34" s="189">
        <v>34.6</v>
      </c>
      <c r="D34" s="189">
        <v>44.41</v>
      </c>
      <c r="E34" s="189">
        <v>5.55</v>
      </c>
      <c r="F34" s="189">
        <v>2.61</v>
      </c>
      <c r="G34" s="189">
        <v>128</v>
      </c>
      <c r="H34" s="189">
        <v>74.3</v>
      </c>
      <c r="I34" s="189">
        <v>13.02</v>
      </c>
      <c r="J34" s="189">
        <v>0.16</v>
      </c>
      <c r="K34" s="189">
        <v>271.39999999999998</v>
      </c>
      <c r="L34" s="189">
        <v>14.37</v>
      </c>
      <c r="M34" s="189">
        <v>96.51</v>
      </c>
      <c r="N34" s="189">
        <v>0</v>
      </c>
      <c r="O34" s="189">
        <v>0</v>
      </c>
      <c r="P34" s="189">
        <v>1.2</v>
      </c>
      <c r="Q34" s="189">
        <v>5.29</v>
      </c>
    </row>
    <row r="35" spans="1:17" customFormat="1">
      <c r="A35" s="6" t="s">
        <v>1897</v>
      </c>
      <c r="B35" s="189">
        <v>29.37</v>
      </c>
      <c r="C35" s="189">
        <v>34.1</v>
      </c>
      <c r="D35" s="189">
        <v>42.72</v>
      </c>
      <c r="E35" s="189">
        <v>5.45</v>
      </c>
      <c r="F35" s="189">
        <v>2.58</v>
      </c>
      <c r="G35" s="189">
        <v>124.46</v>
      </c>
      <c r="H35" s="189">
        <v>70.39</v>
      </c>
      <c r="I35" s="189">
        <v>12.96</v>
      </c>
      <c r="J35" s="189">
        <v>0.12</v>
      </c>
      <c r="K35" s="189">
        <v>273.41000000000003</v>
      </c>
      <c r="L35" s="189">
        <v>14.21</v>
      </c>
      <c r="M35" s="189">
        <v>96.68</v>
      </c>
      <c r="N35" s="189">
        <v>0</v>
      </c>
      <c r="O35" s="189">
        <v>0</v>
      </c>
      <c r="P35" s="189">
        <v>1.19</v>
      </c>
      <c r="Q35" s="189">
        <v>5.27</v>
      </c>
    </row>
    <row r="36" spans="1:17" customFormat="1">
      <c r="A36" s="6" t="s">
        <v>1898</v>
      </c>
      <c r="B36" s="189">
        <v>27.89</v>
      </c>
      <c r="C36" s="189">
        <v>33.119999999999997</v>
      </c>
      <c r="D36" s="189">
        <v>41.02</v>
      </c>
      <c r="E36" s="189">
        <v>6.04</v>
      </c>
      <c r="F36" s="189">
        <v>2.57</v>
      </c>
      <c r="G36" s="189">
        <v>123.97</v>
      </c>
      <c r="H36" s="189">
        <v>70.39</v>
      </c>
      <c r="I36" s="189">
        <v>12.91</v>
      </c>
      <c r="J36" s="189">
        <v>0.11</v>
      </c>
      <c r="K36" s="189">
        <v>127.92</v>
      </c>
      <c r="L36" s="189">
        <v>14.42</v>
      </c>
      <c r="M36" s="189">
        <v>97.04</v>
      </c>
      <c r="N36" s="189">
        <v>3.5</v>
      </c>
      <c r="O36" s="189">
        <v>0</v>
      </c>
      <c r="P36" s="189">
        <v>1.18</v>
      </c>
      <c r="Q36" s="189">
        <v>5.26</v>
      </c>
    </row>
    <row r="37" spans="1:17" customFormat="1">
      <c r="A37" s="6" t="s">
        <v>1899</v>
      </c>
      <c r="B37" s="189">
        <v>26.52</v>
      </c>
      <c r="C37" s="189">
        <v>32.53</v>
      </c>
      <c r="D37" s="189">
        <v>39.619999999999997</v>
      </c>
      <c r="E37" s="189">
        <v>5.78</v>
      </c>
      <c r="F37" s="189">
        <v>2.5299999999999998</v>
      </c>
      <c r="G37" s="189">
        <v>123.97</v>
      </c>
      <c r="H37" s="189">
        <v>70.39</v>
      </c>
      <c r="I37" s="189">
        <v>12.9</v>
      </c>
      <c r="J37" s="189">
        <v>0.08</v>
      </c>
      <c r="K37" s="189">
        <v>246.41</v>
      </c>
      <c r="L37" s="189">
        <v>14.79</v>
      </c>
      <c r="M37" s="189">
        <v>96.8</v>
      </c>
      <c r="N37" s="189">
        <v>13.3</v>
      </c>
      <c r="O37" s="189">
        <v>0</v>
      </c>
      <c r="P37" s="189">
        <v>1.19</v>
      </c>
      <c r="Q37" s="189">
        <v>5.21</v>
      </c>
    </row>
    <row r="38" spans="1:17" customFormat="1">
      <c r="A38" s="6" t="s">
        <v>1900</v>
      </c>
      <c r="B38" s="189">
        <v>25.29</v>
      </c>
      <c r="C38" s="189">
        <v>32.130000000000003</v>
      </c>
      <c r="D38" s="189">
        <v>38.42</v>
      </c>
      <c r="E38" s="189">
        <v>5.59</v>
      </c>
      <c r="F38" s="189">
        <v>2.5499999999999998</v>
      </c>
      <c r="G38" s="189">
        <v>123.97</v>
      </c>
      <c r="H38" s="189">
        <v>70.39</v>
      </c>
      <c r="I38" s="189">
        <v>12.92</v>
      </c>
      <c r="J38" s="189">
        <v>0.06</v>
      </c>
      <c r="K38" s="189">
        <v>254.79</v>
      </c>
      <c r="L38" s="189">
        <v>15.04</v>
      </c>
      <c r="M38" s="189">
        <v>96.78</v>
      </c>
      <c r="N38" s="189">
        <v>24.9</v>
      </c>
      <c r="O38" s="189">
        <v>0</v>
      </c>
      <c r="P38" s="189">
        <v>1.18</v>
      </c>
      <c r="Q38" s="189">
        <v>5.22</v>
      </c>
    </row>
    <row r="39" spans="1:17" customFormat="1">
      <c r="A39" s="6" t="s">
        <v>1901</v>
      </c>
      <c r="B39" s="189">
        <v>24.33</v>
      </c>
      <c r="C39" s="189">
        <v>32.46</v>
      </c>
      <c r="D39" s="189">
        <v>37.82</v>
      </c>
      <c r="E39" s="189">
        <v>5.64</v>
      </c>
      <c r="F39" s="189">
        <v>2.5</v>
      </c>
      <c r="G39" s="189">
        <v>122.39</v>
      </c>
      <c r="H39" s="189">
        <v>70.33</v>
      </c>
      <c r="I39" s="189">
        <v>12.97</v>
      </c>
      <c r="J39" s="189">
        <v>0.06</v>
      </c>
      <c r="K39" s="189">
        <v>207.88</v>
      </c>
      <c r="L39" s="189">
        <v>15.53</v>
      </c>
      <c r="M39" s="189">
        <v>95.96</v>
      </c>
      <c r="N39" s="189">
        <v>37.700000000000003</v>
      </c>
      <c r="O39" s="189">
        <v>0</v>
      </c>
      <c r="P39" s="189">
        <v>1.18</v>
      </c>
      <c r="Q39" s="189">
        <v>5.19</v>
      </c>
    </row>
    <row r="40" spans="1:17" customFormat="1">
      <c r="A40" s="6" t="s">
        <v>1902</v>
      </c>
      <c r="B40" s="189">
        <v>23.82</v>
      </c>
      <c r="C40" s="189">
        <v>32.590000000000003</v>
      </c>
      <c r="D40" s="189">
        <v>37.479999999999997</v>
      </c>
      <c r="E40" s="189">
        <v>5.91</v>
      </c>
      <c r="F40" s="189">
        <v>2.4700000000000002</v>
      </c>
      <c r="G40" s="189">
        <v>122.17</v>
      </c>
      <c r="H40" s="189">
        <v>70.33</v>
      </c>
      <c r="I40" s="189">
        <v>12.99</v>
      </c>
      <c r="J40" s="189">
        <v>0.16</v>
      </c>
      <c r="K40" s="189">
        <v>171.57</v>
      </c>
      <c r="L40" s="189">
        <v>16.36</v>
      </c>
      <c r="M40" s="189">
        <v>93.61</v>
      </c>
      <c r="N40" s="189">
        <v>52</v>
      </c>
      <c r="O40" s="189">
        <v>0</v>
      </c>
      <c r="P40" s="189">
        <v>1.18</v>
      </c>
      <c r="Q40" s="189">
        <v>5.17</v>
      </c>
    </row>
    <row r="41" spans="1:17" customFormat="1">
      <c r="A41" s="6" t="s">
        <v>1903</v>
      </c>
      <c r="B41" s="189">
        <v>24.39</v>
      </c>
      <c r="C41" s="189">
        <v>32.880000000000003</v>
      </c>
      <c r="D41" s="189">
        <v>38.090000000000003</v>
      </c>
      <c r="E41" s="189">
        <v>5.67</v>
      </c>
      <c r="F41" s="189">
        <v>2.63</v>
      </c>
      <c r="G41" s="189">
        <v>122.17</v>
      </c>
      <c r="H41" s="189">
        <v>70.33</v>
      </c>
      <c r="I41" s="189">
        <v>13.03</v>
      </c>
      <c r="J41" s="189">
        <v>0.13</v>
      </c>
      <c r="K41" s="189">
        <v>188.46</v>
      </c>
      <c r="L41" s="189">
        <v>17.25</v>
      </c>
      <c r="M41" s="189">
        <v>89.15</v>
      </c>
      <c r="N41" s="189">
        <v>104.4</v>
      </c>
      <c r="O41" s="189">
        <v>0</v>
      </c>
      <c r="P41" s="189">
        <v>1.19</v>
      </c>
      <c r="Q41" s="189">
        <v>5.17</v>
      </c>
    </row>
    <row r="42" spans="1:17" customFormat="1">
      <c r="A42" s="6" t="s">
        <v>1904</v>
      </c>
      <c r="B42" s="189">
        <v>24.65</v>
      </c>
      <c r="C42" s="189">
        <v>32.299999999999997</v>
      </c>
      <c r="D42" s="189">
        <v>37.99</v>
      </c>
      <c r="E42" s="189">
        <v>5.04</v>
      </c>
      <c r="F42" s="189">
        <v>2.77</v>
      </c>
      <c r="G42" s="189">
        <v>122.17</v>
      </c>
      <c r="H42" s="189">
        <v>70.33</v>
      </c>
      <c r="I42" s="189">
        <v>13.11</v>
      </c>
      <c r="J42" s="189">
        <v>0.24</v>
      </c>
      <c r="K42" s="189">
        <v>160.06</v>
      </c>
      <c r="L42" s="189">
        <v>18.43</v>
      </c>
      <c r="M42" s="189">
        <v>82.65</v>
      </c>
      <c r="N42" s="189">
        <v>135.80000000000001</v>
      </c>
      <c r="O42" s="189">
        <v>0</v>
      </c>
      <c r="P42" s="189">
        <v>1.18</v>
      </c>
      <c r="Q42" s="189">
        <v>5.16</v>
      </c>
    </row>
    <row r="43" spans="1:17" customFormat="1">
      <c r="A43" s="6" t="s">
        <v>1905</v>
      </c>
      <c r="B43" s="189">
        <v>23.95</v>
      </c>
      <c r="C43" s="189">
        <v>32.01</v>
      </c>
      <c r="D43" s="189">
        <v>37.28</v>
      </c>
      <c r="E43" s="189">
        <v>5.25</v>
      </c>
      <c r="F43" s="189">
        <v>2.5099999999999998</v>
      </c>
      <c r="G43" s="189">
        <v>131.22</v>
      </c>
      <c r="H43" s="189">
        <v>72.48</v>
      </c>
      <c r="I43" s="189">
        <v>13.22</v>
      </c>
      <c r="J43" s="189">
        <v>7.0000000000000007E-2</v>
      </c>
      <c r="K43" s="189">
        <v>164.24</v>
      </c>
      <c r="L43" s="189">
        <v>19.329999999999998</v>
      </c>
      <c r="M43" s="189">
        <v>77.3</v>
      </c>
      <c r="N43" s="189">
        <v>164.4</v>
      </c>
      <c r="O43" s="189">
        <v>0</v>
      </c>
      <c r="P43" s="189">
        <v>1.19</v>
      </c>
      <c r="Q43" s="189">
        <v>5.16</v>
      </c>
    </row>
    <row r="44" spans="1:17" customFormat="1">
      <c r="A44" s="6" t="s">
        <v>1906</v>
      </c>
      <c r="B44" s="189">
        <v>22.65</v>
      </c>
      <c r="C44" s="189">
        <v>30.4</v>
      </c>
      <c r="D44" s="189">
        <v>35.4</v>
      </c>
      <c r="E44" s="189">
        <v>5.3</v>
      </c>
      <c r="F44" s="189">
        <v>2.71</v>
      </c>
      <c r="G44" s="189">
        <v>132.47999999999999</v>
      </c>
      <c r="H44" s="189">
        <v>72.48</v>
      </c>
      <c r="I44" s="189">
        <v>13.29</v>
      </c>
      <c r="J44" s="189">
        <v>0.28000000000000003</v>
      </c>
      <c r="K44" s="189">
        <v>161.34</v>
      </c>
      <c r="L44" s="189">
        <v>20.34</v>
      </c>
      <c r="M44" s="189">
        <v>72.930000000000007</v>
      </c>
      <c r="N44" s="189">
        <v>171.4</v>
      </c>
      <c r="O44" s="189">
        <v>0</v>
      </c>
      <c r="P44" s="189">
        <v>1.17</v>
      </c>
      <c r="Q44" s="189">
        <v>5.14</v>
      </c>
    </row>
    <row r="45" spans="1:17" customFormat="1">
      <c r="A45" s="6" t="s">
        <v>1907</v>
      </c>
      <c r="B45" s="189">
        <v>20.87</v>
      </c>
      <c r="C45" s="189">
        <v>30.77</v>
      </c>
      <c r="D45" s="189">
        <v>34.17</v>
      </c>
      <c r="E45" s="189">
        <v>5.75</v>
      </c>
      <c r="F45" s="189">
        <v>2.75</v>
      </c>
      <c r="G45" s="189">
        <v>132.47999999999999</v>
      </c>
      <c r="H45" s="189">
        <v>72.48</v>
      </c>
      <c r="I45" s="189">
        <v>13.28</v>
      </c>
      <c r="J45" s="189">
        <v>0.43</v>
      </c>
      <c r="K45" s="189">
        <v>160.30000000000001</v>
      </c>
      <c r="L45" s="189">
        <v>21.14</v>
      </c>
      <c r="M45" s="189">
        <v>69.77</v>
      </c>
      <c r="N45" s="189">
        <v>124.7</v>
      </c>
      <c r="O45" s="189">
        <v>0</v>
      </c>
      <c r="P45" s="189">
        <v>1.17</v>
      </c>
      <c r="Q45" s="189">
        <v>5.14</v>
      </c>
    </row>
    <row r="46" spans="1:17" customFormat="1">
      <c r="A46" s="6" t="s">
        <v>1908</v>
      </c>
      <c r="B46" s="189">
        <v>19.170000000000002</v>
      </c>
      <c r="C46" s="189">
        <v>29.79</v>
      </c>
      <c r="D46" s="189">
        <v>32.29</v>
      </c>
      <c r="E46" s="189">
        <v>5.03</v>
      </c>
      <c r="F46" s="189">
        <v>2.68</v>
      </c>
      <c r="G46" s="189">
        <v>132.47999999999999</v>
      </c>
      <c r="H46" s="189">
        <v>72.48</v>
      </c>
      <c r="I46" s="189">
        <v>13.17</v>
      </c>
      <c r="J46" s="189">
        <v>0.26</v>
      </c>
      <c r="K46" s="189">
        <v>141</v>
      </c>
      <c r="L46" s="189">
        <v>21.84</v>
      </c>
      <c r="M46" s="189">
        <v>67.73</v>
      </c>
      <c r="N46" s="189">
        <v>125.3</v>
      </c>
      <c r="O46" s="189">
        <v>0</v>
      </c>
      <c r="P46" s="189">
        <v>1.1499999999999999</v>
      </c>
      <c r="Q46" s="189">
        <v>5.13</v>
      </c>
    </row>
    <row r="47" spans="1:17" customFormat="1">
      <c r="A47" s="6" t="s">
        <v>1909</v>
      </c>
      <c r="B47" s="189">
        <v>17.63</v>
      </c>
      <c r="C47" s="189">
        <v>29.8</v>
      </c>
      <c r="D47" s="189">
        <v>31.06</v>
      </c>
      <c r="E47" s="189">
        <v>5.12</v>
      </c>
      <c r="F47" s="189">
        <v>2.66</v>
      </c>
      <c r="G47" s="189">
        <v>118.73</v>
      </c>
      <c r="H47" s="189">
        <v>71.92</v>
      </c>
      <c r="I47" s="189">
        <v>13.11</v>
      </c>
      <c r="J47" s="189">
        <v>0.31</v>
      </c>
      <c r="K47" s="189">
        <v>172.72</v>
      </c>
      <c r="L47" s="189">
        <v>22.33</v>
      </c>
      <c r="M47" s="189">
        <v>65.13</v>
      </c>
      <c r="N47" s="189">
        <v>139</v>
      </c>
      <c r="O47" s="189">
        <v>0</v>
      </c>
      <c r="P47" s="189">
        <v>1.1399999999999999</v>
      </c>
      <c r="Q47" s="189">
        <v>5.0999999999999996</v>
      </c>
    </row>
    <row r="48" spans="1:17" customFormat="1">
      <c r="A48" s="6" t="s">
        <v>1910</v>
      </c>
      <c r="B48" s="189">
        <v>16.350000000000001</v>
      </c>
      <c r="C48" s="189">
        <v>30.1</v>
      </c>
      <c r="D48" s="189">
        <v>30.19</v>
      </c>
      <c r="E48" s="189">
        <v>5.73</v>
      </c>
      <c r="F48" s="189">
        <v>2.69</v>
      </c>
      <c r="G48" s="189">
        <v>116.82</v>
      </c>
      <c r="H48" s="189">
        <v>71.92</v>
      </c>
      <c r="I48" s="189">
        <v>13.07</v>
      </c>
      <c r="J48" s="189">
        <v>0.22</v>
      </c>
      <c r="K48" s="189">
        <v>38.770000000000003</v>
      </c>
      <c r="L48" s="189">
        <v>22.95</v>
      </c>
      <c r="M48" s="189">
        <v>62.75</v>
      </c>
      <c r="N48" s="189">
        <v>183.6</v>
      </c>
      <c r="O48" s="189">
        <v>0</v>
      </c>
      <c r="P48" s="189">
        <v>1.1399999999999999</v>
      </c>
      <c r="Q48" s="189">
        <v>5.09</v>
      </c>
    </row>
    <row r="49" spans="1:17" customFormat="1">
      <c r="A49" s="6" t="s">
        <v>1911</v>
      </c>
      <c r="B49" s="189">
        <v>15.35</v>
      </c>
      <c r="C49" s="189">
        <v>28.46</v>
      </c>
      <c r="D49" s="189">
        <v>28.53</v>
      </c>
      <c r="E49" s="189">
        <v>6.88</v>
      </c>
      <c r="F49" s="189">
        <v>2.91</v>
      </c>
      <c r="G49" s="189">
        <v>116.82</v>
      </c>
      <c r="H49" s="189">
        <v>71.92</v>
      </c>
      <c r="I49" s="189">
        <v>13.08</v>
      </c>
      <c r="J49" s="189">
        <v>0.24</v>
      </c>
      <c r="K49" s="189">
        <v>10.199999999999999</v>
      </c>
      <c r="L49" s="189">
        <v>23.57</v>
      </c>
      <c r="M49" s="189">
        <v>60.28</v>
      </c>
      <c r="N49" s="189">
        <v>324.5</v>
      </c>
      <c r="O49" s="189">
        <v>0</v>
      </c>
      <c r="P49" s="189">
        <v>1.1299999999999999</v>
      </c>
      <c r="Q49" s="189">
        <v>5.07</v>
      </c>
    </row>
    <row r="50" spans="1:17" customFormat="1">
      <c r="A50" s="6" t="s">
        <v>1912</v>
      </c>
      <c r="B50" s="189">
        <v>14.09</v>
      </c>
      <c r="C50" s="189">
        <v>29.89</v>
      </c>
      <c r="D50" s="189">
        <v>28.27</v>
      </c>
      <c r="E50" s="189">
        <v>7.63</v>
      </c>
      <c r="F50" s="189">
        <v>2.77</v>
      </c>
      <c r="G50" s="189">
        <v>116.82</v>
      </c>
      <c r="H50" s="189">
        <v>71.92</v>
      </c>
      <c r="I50" s="189">
        <v>13.04</v>
      </c>
      <c r="J50" s="189">
        <v>0.11</v>
      </c>
      <c r="K50" s="189">
        <v>113.65</v>
      </c>
      <c r="L50" s="189">
        <v>24.3</v>
      </c>
      <c r="M50" s="189">
        <v>58.22</v>
      </c>
      <c r="N50" s="189">
        <v>353.8</v>
      </c>
      <c r="O50" s="189">
        <v>0</v>
      </c>
      <c r="P50" s="189">
        <v>1.1200000000000001</v>
      </c>
      <c r="Q50" s="189">
        <v>5.0599999999999996</v>
      </c>
    </row>
    <row r="51" spans="1:17" customFormat="1">
      <c r="A51" s="6" t="s">
        <v>1913</v>
      </c>
      <c r="B51" s="189">
        <v>12.9</v>
      </c>
      <c r="C51" s="189">
        <v>29.49</v>
      </c>
      <c r="D51" s="189">
        <v>27.1</v>
      </c>
      <c r="E51" s="189">
        <v>8.3000000000000007</v>
      </c>
      <c r="F51" s="189">
        <v>2.89</v>
      </c>
      <c r="G51" s="189">
        <v>121.09</v>
      </c>
      <c r="H51" s="189">
        <v>68.67</v>
      </c>
      <c r="I51" s="189">
        <v>12.95</v>
      </c>
      <c r="J51" s="189">
        <v>0.18</v>
      </c>
      <c r="K51" s="189">
        <v>69.14</v>
      </c>
      <c r="L51" s="189">
        <v>24.95</v>
      </c>
      <c r="M51" s="189">
        <v>55.82</v>
      </c>
      <c r="N51" s="189">
        <v>371</v>
      </c>
      <c r="O51" s="189">
        <v>0</v>
      </c>
      <c r="P51" s="189">
        <v>1.1200000000000001</v>
      </c>
      <c r="Q51" s="189">
        <v>5.0599999999999996</v>
      </c>
    </row>
    <row r="52" spans="1:17" customFormat="1">
      <c r="A52" s="6" t="s">
        <v>1914</v>
      </c>
      <c r="B52" s="189">
        <v>9.42</v>
      </c>
      <c r="C52" s="189">
        <v>28.28</v>
      </c>
      <c r="D52" s="189">
        <v>23.68</v>
      </c>
      <c r="E52" s="189">
        <v>9.6</v>
      </c>
      <c r="F52" s="189">
        <v>4.59</v>
      </c>
      <c r="G52" s="189">
        <v>121.68</v>
      </c>
      <c r="H52" s="189">
        <v>68.67</v>
      </c>
      <c r="I52" s="189">
        <v>12.87</v>
      </c>
      <c r="J52" s="189">
        <v>0.28000000000000003</v>
      </c>
      <c r="K52" s="189">
        <v>102.33</v>
      </c>
      <c r="L52" s="189">
        <v>25.31</v>
      </c>
      <c r="M52" s="189">
        <v>55.21</v>
      </c>
      <c r="N52" s="189">
        <v>385.9</v>
      </c>
      <c r="O52" s="189">
        <v>0</v>
      </c>
      <c r="P52" s="189">
        <v>1.07</v>
      </c>
      <c r="Q52" s="189">
        <v>5.03</v>
      </c>
    </row>
    <row r="53" spans="1:17" customFormat="1">
      <c r="A53" s="6" t="s">
        <v>1915</v>
      </c>
      <c r="B53" s="189">
        <v>5.0199999999999996</v>
      </c>
      <c r="C53" s="189">
        <v>27.06</v>
      </c>
      <c r="D53" s="189">
        <v>19.510000000000002</v>
      </c>
      <c r="E53" s="189">
        <v>10.19</v>
      </c>
      <c r="F53" s="189">
        <v>8.15</v>
      </c>
      <c r="G53" s="189">
        <v>121.68</v>
      </c>
      <c r="H53" s="189">
        <v>68.67</v>
      </c>
      <c r="I53" s="189">
        <v>12.63</v>
      </c>
      <c r="J53" s="189">
        <v>0.1</v>
      </c>
      <c r="K53" s="189">
        <v>249.04</v>
      </c>
      <c r="L53" s="189">
        <v>25.69</v>
      </c>
      <c r="M53" s="189">
        <v>52.91</v>
      </c>
      <c r="N53" s="189">
        <v>379.1</v>
      </c>
      <c r="O53" s="189">
        <v>0</v>
      </c>
      <c r="P53" s="189">
        <v>1.02</v>
      </c>
      <c r="Q53" s="189">
        <v>4.95</v>
      </c>
    </row>
    <row r="54" spans="1:17" customFormat="1">
      <c r="A54" s="6" t="s">
        <v>1916</v>
      </c>
      <c r="B54" s="189">
        <v>2.77</v>
      </c>
      <c r="C54" s="189">
        <v>25.07</v>
      </c>
      <c r="D54" s="189">
        <v>16.670000000000002</v>
      </c>
      <c r="E54" s="189">
        <v>9.92</v>
      </c>
      <c r="F54" s="189">
        <v>10.25</v>
      </c>
      <c r="G54" s="189">
        <v>121.68</v>
      </c>
      <c r="H54" s="189">
        <v>68.67</v>
      </c>
      <c r="I54" s="189">
        <v>12.08</v>
      </c>
      <c r="J54" s="189">
        <v>0.17</v>
      </c>
      <c r="K54" s="189">
        <v>249.52</v>
      </c>
      <c r="L54" s="189">
        <v>26.15</v>
      </c>
      <c r="M54" s="189">
        <v>52.45</v>
      </c>
      <c r="N54" s="189">
        <v>413.9</v>
      </c>
      <c r="O54" s="189">
        <v>0</v>
      </c>
      <c r="P54" s="189">
        <v>0.96</v>
      </c>
      <c r="Q54" s="189">
        <v>4.92</v>
      </c>
    </row>
    <row r="55" spans="1:17" customFormat="1">
      <c r="A55" s="6" t="s">
        <v>1917</v>
      </c>
      <c r="B55" s="189">
        <v>2.17</v>
      </c>
      <c r="C55" s="189">
        <v>23.74</v>
      </c>
      <c r="D55" s="189">
        <v>15.49</v>
      </c>
      <c r="E55" s="189">
        <v>9.33</v>
      </c>
      <c r="F55" s="189">
        <v>10.46</v>
      </c>
      <c r="G55" s="189">
        <v>113.79</v>
      </c>
      <c r="H55" s="189">
        <v>64.86</v>
      </c>
      <c r="I55" s="189">
        <v>11.26</v>
      </c>
      <c r="J55" s="189">
        <v>0.16</v>
      </c>
      <c r="K55" s="189">
        <v>180.91</v>
      </c>
      <c r="L55" s="189">
        <v>26.76</v>
      </c>
      <c r="M55" s="189">
        <v>50.21</v>
      </c>
      <c r="N55" s="189">
        <v>417.4</v>
      </c>
      <c r="O55" s="189">
        <v>0</v>
      </c>
      <c r="P55" s="189">
        <v>0.92</v>
      </c>
      <c r="Q55" s="189">
        <v>4.8899999999999997</v>
      </c>
    </row>
    <row r="56" spans="1:17" customFormat="1">
      <c r="A56" s="6" t="s">
        <v>1918</v>
      </c>
      <c r="B56" s="189">
        <v>2.13</v>
      </c>
      <c r="C56" s="189">
        <v>23.02</v>
      </c>
      <c r="D56" s="189">
        <v>15.09</v>
      </c>
      <c r="E56" s="189">
        <v>8</v>
      </c>
      <c r="F56" s="189">
        <v>7.08</v>
      </c>
      <c r="G56" s="189">
        <v>112.7</v>
      </c>
      <c r="H56" s="189">
        <v>64.86</v>
      </c>
      <c r="I56" s="189">
        <v>10.43</v>
      </c>
      <c r="J56" s="189">
        <v>0.25</v>
      </c>
      <c r="K56" s="189">
        <v>172.3</v>
      </c>
      <c r="L56" s="189">
        <v>27</v>
      </c>
      <c r="M56" s="189">
        <v>48.2</v>
      </c>
      <c r="N56" s="189">
        <v>428.7</v>
      </c>
      <c r="O56" s="189">
        <v>0</v>
      </c>
      <c r="P56" s="189">
        <v>0.91</v>
      </c>
      <c r="Q56" s="189">
        <v>4.88</v>
      </c>
    </row>
    <row r="57" spans="1:17" customFormat="1">
      <c r="A57" s="6" t="s">
        <v>1919</v>
      </c>
      <c r="B57" s="189">
        <v>2.34</v>
      </c>
      <c r="C57" s="189">
        <v>21.72</v>
      </c>
      <c r="D57" s="189">
        <v>14.57</v>
      </c>
      <c r="E57" s="189">
        <v>7.02</v>
      </c>
      <c r="F57" s="189">
        <v>5.12</v>
      </c>
      <c r="G57" s="189">
        <v>112.7</v>
      </c>
      <c r="H57" s="189">
        <v>64.86</v>
      </c>
      <c r="I57" s="189">
        <v>9.9</v>
      </c>
      <c r="J57" s="189">
        <v>0.25</v>
      </c>
      <c r="K57" s="189">
        <v>190.38</v>
      </c>
      <c r="L57" s="189">
        <v>27.48</v>
      </c>
      <c r="M57" s="189">
        <v>47.41</v>
      </c>
      <c r="N57" s="189">
        <v>430.5</v>
      </c>
      <c r="O57" s="189">
        <v>0</v>
      </c>
      <c r="P57" s="189">
        <v>0.9</v>
      </c>
      <c r="Q57" s="189">
        <v>4.87</v>
      </c>
    </row>
    <row r="58" spans="1:17" customFormat="1">
      <c r="A58" s="6" t="s">
        <v>1920</v>
      </c>
      <c r="B58" s="189">
        <v>2.5099999999999998</v>
      </c>
      <c r="C58" s="189">
        <v>20.87</v>
      </c>
      <c r="D58" s="189">
        <v>14.27</v>
      </c>
      <c r="E58" s="189">
        <v>7.46</v>
      </c>
      <c r="F58" s="189">
        <v>4.55</v>
      </c>
      <c r="G58" s="189">
        <v>112.7</v>
      </c>
      <c r="H58" s="189">
        <v>64.86</v>
      </c>
      <c r="I58" s="189">
        <v>9.7200000000000006</v>
      </c>
      <c r="J58" s="189">
        <v>0.24</v>
      </c>
      <c r="K58" s="189">
        <v>328.65</v>
      </c>
      <c r="L58" s="189">
        <v>27.57</v>
      </c>
      <c r="M58" s="189">
        <v>46.91</v>
      </c>
      <c r="N58" s="189">
        <v>432.3</v>
      </c>
      <c r="O58" s="189">
        <v>0</v>
      </c>
      <c r="P58" s="189">
        <v>0.88</v>
      </c>
      <c r="Q58" s="189">
        <v>4.8499999999999996</v>
      </c>
    </row>
    <row r="59" spans="1:17" customFormat="1">
      <c r="A59" s="6" t="s">
        <v>1921</v>
      </c>
      <c r="B59" s="189">
        <v>2.65</v>
      </c>
      <c r="C59" s="189">
        <v>20.49</v>
      </c>
      <c r="D59" s="189">
        <v>14.18</v>
      </c>
      <c r="E59" s="189">
        <v>8.16</v>
      </c>
      <c r="F59" s="189">
        <v>5.53</v>
      </c>
      <c r="G59" s="189">
        <v>99.6</v>
      </c>
      <c r="H59" s="189">
        <v>61.81</v>
      </c>
      <c r="I59" s="189">
        <v>9.6300000000000008</v>
      </c>
      <c r="J59" s="189">
        <v>0.11</v>
      </c>
      <c r="K59" s="189">
        <v>266.42</v>
      </c>
      <c r="L59" s="189">
        <v>27.65</v>
      </c>
      <c r="M59" s="189">
        <v>47.13</v>
      </c>
      <c r="N59" s="189">
        <v>418.4</v>
      </c>
      <c r="O59" s="189">
        <v>0</v>
      </c>
      <c r="P59" s="189">
        <v>0.87</v>
      </c>
      <c r="Q59" s="189">
        <v>4.84</v>
      </c>
    </row>
    <row r="60" spans="1:17" customFormat="1">
      <c r="A60" s="6" t="s">
        <v>1922</v>
      </c>
      <c r="B60" s="189">
        <v>2.7</v>
      </c>
      <c r="C60" s="189">
        <v>21.07</v>
      </c>
      <c r="D60" s="189">
        <v>14.52</v>
      </c>
      <c r="E60" s="189">
        <v>8.5399999999999991</v>
      </c>
      <c r="F60" s="189">
        <v>6.97</v>
      </c>
      <c r="G60" s="189">
        <v>97.78</v>
      </c>
      <c r="H60" s="189">
        <v>61.81</v>
      </c>
      <c r="I60" s="189">
        <v>9.5399999999999991</v>
      </c>
      <c r="J60" s="189">
        <v>0.2</v>
      </c>
      <c r="K60" s="189">
        <v>8.07</v>
      </c>
      <c r="L60" s="189">
        <v>28.01</v>
      </c>
      <c r="M60" s="189">
        <v>45.61</v>
      </c>
      <c r="N60" s="189">
        <v>419.6</v>
      </c>
      <c r="O60" s="189">
        <v>0</v>
      </c>
      <c r="P60" s="189">
        <v>0.87</v>
      </c>
      <c r="Q60" s="189">
        <v>4.84</v>
      </c>
    </row>
    <row r="61" spans="1:17" customFormat="1">
      <c r="A61" s="6" t="s">
        <v>1923</v>
      </c>
      <c r="B61" s="189">
        <v>2.72</v>
      </c>
      <c r="C61" s="189">
        <v>22.11</v>
      </c>
      <c r="D61" s="189">
        <v>15.08</v>
      </c>
      <c r="E61" s="189">
        <v>8.23</v>
      </c>
      <c r="F61" s="189">
        <v>6.71</v>
      </c>
      <c r="G61" s="189">
        <v>97.78</v>
      </c>
      <c r="H61" s="189">
        <v>61.81</v>
      </c>
      <c r="I61" s="189">
        <v>9.41</v>
      </c>
      <c r="J61" s="189">
        <v>0.28000000000000003</v>
      </c>
      <c r="K61" s="189">
        <v>306.44</v>
      </c>
      <c r="L61" s="189">
        <v>28.06</v>
      </c>
      <c r="M61" s="189">
        <v>44.69</v>
      </c>
      <c r="N61" s="189">
        <v>396.2</v>
      </c>
      <c r="O61" s="189">
        <v>0</v>
      </c>
      <c r="P61" s="189">
        <v>0.87</v>
      </c>
      <c r="Q61" s="189">
        <v>4.8600000000000003</v>
      </c>
    </row>
    <row r="62" spans="1:17" customFormat="1">
      <c r="A62" s="6" t="s">
        <v>1924</v>
      </c>
      <c r="B62" s="189">
        <v>2.78</v>
      </c>
      <c r="C62" s="189">
        <v>22.7</v>
      </c>
      <c r="D62" s="189">
        <v>15.44</v>
      </c>
      <c r="E62" s="189">
        <v>8.5399999999999991</v>
      </c>
      <c r="F62" s="189">
        <v>7.41</v>
      </c>
      <c r="G62" s="189">
        <v>97.78</v>
      </c>
      <c r="H62" s="189">
        <v>61.81</v>
      </c>
      <c r="I62" s="189">
        <v>9.26</v>
      </c>
      <c r="J62" s="189">
        <v>0.57999999999999996</v>
      </c>
      <c r="K62" s="189">
        <v>315.95</v>
      </c>
      <c r="L62" s="189">
        <v>27.99</v>
      </c>
      <c r="M62" s="189">
        <v>43.58</v>
      </c>
      <c r="N62" s="189">
        <v>388.8</v>
      </c>
      <c r="O62" s="189">
        <v>0</v>
      </c>
      <c r="P62" s="189">
        <v>0.86</v>
      </c>
      <c r="Q62" s="189">
        <v>4.87</v>
      </c>
    </row>
    <row r="63" spans="1:17" customFormat="1">
      <c r="A63" s="6" t="s">
        <v>1925</v>
      </c>
      <c r="B63" s="189">
        <v>2.89</v>
      </c>
      <c r="C63" s="189">
        <v>23.01</v>
      </c>
      <c r="D63" s="189">
        <v>15.69</v>
      </c>
      <c r="E63" s="189">
        <v>9.07</v>
      </c>
      <c r="F63" s="189">
        <v>8.06</v>
      </c>
      <c r="G63" s="189">
        <v>97.49</v>
      </c>
      <c r="H63" s="189">
        <v>54.87</v>
      </c>
      <c r="I63" s="189">
        <v>9.14</v>
      </c>
      <c r="J63" s="189">
        <v>0.42</v>
      </c>
      <c r="K63" s="189">
        <v>293.61</v>
      </c>
      <c r="L63" s="189">
        <v>27.99</v>
      </c>
      <c r="M63" s="189">
        <v>42.86</v>
      </c>
      <c r="N63" s="189">
        <v>395.4</v>
      </c>
      <c r="O63" s="189">
        <v>0</v>
      </c>
      <c r="P63" s="189">
        <v>0.85</v>
      </c>
      <c r="Q63" s="189">
        <v>4.8600000000000003</v>
      </c>
    </row>
    <row r="64" spans="1:17" customFormat="1">
      <c r="A64" s="6" t="s">
        <v>1926</v>
      </c>
      <c r="B64" s="189">
        <v>2.92</v>
      </c>
      <c r="C64" s="189">
        <v>23.14</v>
      </c>
      <c r="D64" s="189">
        <v>15.79</v>
      </c>
      <c r="E64" s="189">
        <v>8.98</v>
      </c>
      <c r="F64" s="189">
        <v>7.93</v>
      </c>
      <c r="G64" s="189">
        <v>97.45</v>
      </c>
      <c r="H64" s="189">
        <v>54.87</v>
      </c>
      <c r="I64" s="189">
        <v>8.9600000000000009</v>
      </c>
      <c r="J64" s="189">
        <v>0.4</v>
      </c>
      <c r="K64" s="189">
        <v>321.95999999999998</v>
      </c>
      <c r="L64" s="189">
        <v>28.14</v>
      </c>
      <c r="M64" s="189">
        <v>42.25</v>
      </c>
      <c r="N64" s="189">
        <v>349.4</v>
      </c>
      <c r="O64" s="189">
        <v>0</v>
      </c>
      <c r="P64" s="189">
        <v>0.85</v>
      </c>
      <c r="Q64" s="189">
        <v>4.88</v>
      </c>
    </row>
    <row r="65" spans="1:17" customFormat="1">
      <c r="A65" s="6" t="s">
        <v>1927</v>
      </c>
      <c r="B65" s="189">
        <v>3.09</v>
      </c>
      <c r="C65" s="189">
        <v>23.23</v>
      </c>
      <c r="D65" s="189">
        <v>15.97</v>
      </c>
      <c r="E65" s="189">
        <v>9.14</v>
      </c>
      <c r="F65" s="189">
        <v>7.8</v>
      </c>
      <c r="G65" s="189">
        <v>97.45</v>
      </c>
      <c r="H65" s="189">
        <v>54.87</v>
      </c>
      <c r="I65" s="189">
        <v>8.85</v>
      </c>
      <c r="J65" s="189">
        <v>0.34</v>
      </c>
      <c r="K65" s="189">
        <v>333.39</v>
      </c>
      <c r="L65" s="189">
        <v>27.97</v>
      </c>
      <c r="M65" s="189">
        <v>40.96</v>
      </c>
      <c r="N65" s="189">
        <v>199.9</v>
      </c>
      <c r="O65" s="189">
        <v>0</v>
      </c>
      <c r="P65" s="189">
        <v>0.71</v>
      </c>
      <c r="Q65" s="189">
        <v>4.8600000000000003</v>
      </c>
    </row>
    <row r="66" spans="1:17" customFormat="1">
      <c r="A66" s="6" t="s">
        <v>1928</v>
      </c>
      <c r="B66" s="189">
        <v>3.08</v>
      </c>
      <c r="C66" s="189">
        <v>23.8</v>
      </c>
      <c r="D66" s="189">
        <v>16.260000000000002</v>
      </c>
      <c r="E66" s="189">
        <v>9.1999999999999993</v>
      </c>
      <c r="F66" s="189">
        <v>7.93</v>
      </c>
      <c r="G66" s="189">
        <v>97.45</v>
      </c>
      <c r="H66" s="189">
        <v>54.87</v>
      </c>
      <c r="I66" s="189">
        <v>8.77</v>
      </c>
      <c r="J66" s="189">
        <v>0.26</v>
      </c>
      <c r="K66" s="189">
        <v>339.87</v>
      </c>
      <c r="L66" s="189">
        <v>27.88</v>
      </c>
      <c r="M66" s="189">
        <v>40.65</v>
      </c>
      <c r="N66" s="189">
        <v>155</v>
      </c>
      <c r="O66" s="189">
        <v>0</v>
      </c>
      <c r="P66" s="189">
        <v>0.75</v>
      </c>
      <c r="Q66" s="189">
        <v>4.87</v>
      </c>
    </row>
    <row r="67" spans="1:17" customFormat="1">
      <c r="A67" s="6" t="s">
        <v>1929</v>
      </c>
      <c r="B67" s="189">
        <v>3.13</v>
      </c>
      <c r="C67" s="189">
        <v>24.13</v>
      </c>
      <c r="D67" s="189">
        <v>16.47</v>
      </c>
      <c r="E67" s="189">
        <v>8.94</v>
      </c>
      <c r="F67" s="189">
        <v>7.26</v>
      </c>
      <c r="G67" s="189">
        <v>97.78</v>
      </c>
      <c r="H67" s="189">
        <v>53.13</v>
      </c>
      <c r="I67" s="189">
        <v>8.67</v>
      </c>
      <c r="J67" s="189">
        <v>0.4</v>
      </c>
      <c r="K67" s="189">
        <v>264.5</v>
      </c>
      <c r="L67" s="189">
        <v>27.52</v>
      </c>
      <c r="M67" s="189">
        <v>42.72</v>
      </c>
      <c r="N67" s="189">
        <v>115.6</v>
      </c>
      <c r="O67" s="189">
        <v>0</v>
      </c>
      <c r="P67" s="189">
        <v>0.74</v>
      </c>
      <c r="Q67" s="189">
        <v>4.8499999999999996</v>
      </c>
    </row>
    <row r="68" spans="1:17" customFormat="1">
      <c r="A68" s="6" t="s">
        <v>1930</v>
      </c>
      <c r="B68" s="189">
        <v>3.29</v>
      </c>
      <c r="C68" s="189">
        <v>24.31</v>
      </c>
      <c r="D68" s="189">
        <v>16.690000000000001</v>
      </c>
      <c r="E68" s="189">
        <v>9.16</v>
      </c>
      <c r="F68" s="189">
        <v>7.28</v>
      </c>
      <c r="G68" s="189">
        <v>97.82</v>
      </c>
      <c r="H68" s="189">
        <v>53.13</v>
      </c>
      <c r="I68" s="189">
        <v>8.6</v>
      </c>
      <c r="J68" s="189">
        <v>0.21</v>
      </c>
      <c r="K68" s="189">
        <v>320.14</v>
      </c>
      <c r="L68" s="189">
        <v>27.43</v>
      </c>
      <c r="M68" s="189">
        <v>42.56</v>
      </c>
      <c r="N68" s="189">
        <v>89.9</v>
      </c>
      <c r="O68" s="189">
        <v>0</v>
      </c>
      <c r="P68" s="189">
        <v>0.74</v>
      </c>
      <c r="Q68" s="189">
        <v>4.84</v>
      </c>
    </row>
    <row r="69" spans="1:17" customFormat="1">
      <c r="A69" s="6" t="s">
        <v>1931</v>
      </c>
      <c r="B69" s="189">
        <v>3.34</v>
      </c>
      <c r="C69" s="189">
        <v>24.84</v>
      </c>
      <c r="D69" s="189">
        <v>17.010000000000002</v>
      </c>
      <c r="E69" s="189">
        <v>9.5299999999999994</v>
      </c>
      <c r="F69" s="189">
        <v>7.88</v>
      </c>
      <c r="G69" s="189">
        <v>97.82</v>
      </c>
      <c r="H69" s="189">
        <v>53.13</v>
      </c>
      <c r="I69" s="189">
        <v>8.5500000000000007</v>
      </c>
      <c r="J69" s="189">
        <v>0.25</v>
      </c>
      <c r="K69" s="189">
        <v>332.76</v>
      </c>
      <c r="L69" s="189">
        <v>27.44</v>
      </c>
      <c r="M69" s="189">
        <v>42.74</v>
      </c>
      <c r="N69" s="189">
        <v>76.099999999999994</v>
      </c>
      <c r="O69" s="189">
        <v>0</v>
      </c>
      <c r="P69" s="189">
        <v>0.75</v>
      </c>
      <c r="Q69" s="189">
        <v>4.87</v>
      </c>
    </row>
    <row r="70" spans="1:17" customFormat="1">
      <c r="A70" s="6" t="s">
        <v>1932</v>
      </c>
      <c r="B70" s="189">
        <v>3.24</v>
      </c>
      <c r="C70" s="189">
        <v>25.58</v>
      </c>
      <c r="D70" s="189">
        <v>17.32</v>
      </c>
      <c r="E70" s="189">
        <v>9.64</v>
      </c>
      <c r="F70" s="189">
        <v>7.54</v>
      </c>
      <c r="G70" s="189">
        <v>97.82</v>
      </c>
      <c r="H70" s="189">
        <v>53.13</v>
      </c>
      <c r="I70" s="189">
        <v>8.5399999999999991</v>
      </c>
      <c r="J70" s="189">
        <v>0.12</v>
      </c>
      <c r="K70" s="189">
        <v>132.19999999999999</v>
      </c>
      <c r="L70" s="189">
        <v>27.34</v>
      </c>
      <c r="M70" s="189">
        <v>44.36</v>
      </c>
      <c r="N70" s="189">
        <v>64.599999999999994</v>
      </c>
      <c r="O70" s="189">
        <v>0</v>
      </c>
      <c r="P70" s="189">
        <v>0.75</v>
      </c>
      <c r="Q70" s="189">
        <v>4.87</v>
      </c>
    </row>
    <row r="71" spans="1:17" customFormat="1">
      <c r="A71" s="6" t="s">
        <v>1933</v>
      </c>
      <c r="B71" s="189">
        <v>3.36</v>
      </c>
      <c r="C71" s="189">
        <v>25.62</v>
      </c>
      <c r="D71" s="189">
        <v>17.440000000000001</v>
      </c>
      <c r="E71" s="189">
        <v>9.39</v>
      </c>
      <c r="F71" s="189">
        <v>7.17</v>
      </c>
      <c r="G71" s="189">
        <v>109.03</v>
      </c>
      <c r="H71" s="189">
        <v>58.67</v>
      </c>
      <c r="I71" s="189">
        <v>8.56</v>
      </c>
      <c r="J71" s="189">
        <v>0.1</v>
      </c>
      <c r="K71" s="189">
        <v>180.21</v>
      </c>
      <c r="L71" s="189">
        <v>26.96</v>
      </c>
      <c r="M71" s="189">
        <v>47.86</v>
      </c>
      <c r="N71" s="189">
        <v>53</v>
      </c>
      <c r="O71" s="189">
        <v>0</v>
      </c>
      <c r="P71" s="189">
        <v>0.75</v>
      </c>
      <c r="Q71" s="189">
        <v>4.87</v>
      </c>
    </row>
    <row r="72" spans="1:17" customFormat="1">
      <c r="A72" s="6" t="s">
        <v>1934</v>
      </c>
      <c r="B72" s="189">
        <v>3.48</v>
      </c>
      <c r="C72" s="189">
        <v>25.75</v>
      </c>
      <c r="D72" s="189">
        <v>17.59</v>
      </c>
      <c r="E72" s="189">
        <v>9.06</v>
      </c>
      <c r="F72" s="189">
        <v>7.13</v>
      </c>
      <c r="G72" s="189">
        <v>110.59</v>
      </c>
      <c r="H72" s="189">
        <v>58.67</v>
      </c>
      <c r="I72" s="189">
        <v>8.57</v>
      </c>
      <c r="J72" s="189">
        <v>0.15</v>
      </c>
      <c r="K72" s="189">
        <v>197.02</v>
      </c>
      <c r="L72" s="189">
        <v>26.69</v>
      </c>
      <c r="M72" s="189">
        <v>49.27</v>
      </c>
      <c r="N72" s="189">
        <v>43.5</v>
      </c>
      <c r="O72" s="189">
        <v>0</v>
      </c>
      <c r="P72" s="189">
        <v>0.75</v>
      </c>
      <c r="Q72" s="189">
        <v>4.84</v>
      </c>
    </row>
    <row r="73" spans="1:17" customFormat="1">
      <c r="A73" s="6" t="s">
        <v>1935</v>
      </c>
      <c r="B73" s="189">
        <v>3.51</v>
      </c>
      <c r="C73" s="189">
        <v>26.05</v>
      </c>
      <c r="D73" s="189">
        <v>17.77</v>
      </c>
      <c r="E73" s="189">
        <v>9.41</v>
      </c>
      <c r="F73" s="189">
        <v>6.62</v>
      </c>
      <c r="G73" s="189">
        <v>110.59</v>
      </c>
      <c r="H73" s="189">
        <v>58.67</v>
      </c>
      <c r="I73" s="189">
        <v>8.5500000000000007</v>
      </c>
      <c r="J73" s="189">
        <v>0.21</v>
      </c>
      <c r="K73" s="189">
        <v>59.12</v>
      </c>
      <c r="L73" s="189">
        <v>26.46</v>
      </c>
      <c r="M73" s="189">
        <v>48.89</v>
      </c>
      <c r="N73" s="189">
        <v>32.200000000000003</v>
      </c>
      <c r="O73" s="189">
        <v>0</v>
      </c>
      <c r="P73" s="189">
        <v>0.76</v>
      </c>
      <c r="Q73" s="189">
        <v>4.8499999999999996</v>
      </c>
    </row>
    <row r="74" spans="1:17" customFormat="1">
      <c r="A74" s="6" t="s">
        <v>1936</v>
      </c>
      <c r="B74" s="189">
        <v>3.59</v>
      </c>
      <c r="C74" s="189">
        <v>27.17</v>
      </c>
      <c r="D74" s="189">
        <v>18.43</v>
      </c>
      <c r="E74" s="189">
        <v>9.76</v>
      </c>
      <c r="F74" s="189">
        <v>5.73</v>
      </c>
      <c r="G74" s="189">
        <v>110.59</v>
      </c>
      <c r="H74" s="189">
        <v>58.67</v>
      </c>
      <c r="I74" s="189">
        <v>8.5299999999999994</v>
      </c>
      <c r="J74" s="189">
        <v>0.3</v>
      </c>
      <c r="K74" s="189">
        <v>44.52</v>
      </c>
      <c r="L74" s="189">
        <v>26.13</v>
      </c>
      <c r="M74" s="189">
        <v>47.1</v>
      </c>
      <c r="N74" s="189">
        <v>20.9</v>
      </c>
      <c r="O74" s="189">
        <v>0</v>
      </c>
      <c r="P74" s="189">
        <v>0.78</v>
      </c>
      <c r="Q74" s="189">
        <v>4.84</v>
      </c>
    </row>
    <row r="75" spans="1:17" customFormat="1">
      <c r="A75" s="6" t="s">
        <v>1937</v>
      </c>
      <c r="B75" s="189">
        <v>3.77</v>
      </c>
      <c r="C75" s="189">
        <v>28.95</v>
      </c>
      <c r="D75" s="189">
        <v>19.5</v>
      </c>
      <c r="E75" s="189">
        <v>9.43</v>
      </c>
      <c r="F75" s="189">
        <v>4.7300000000000004</v>
      </c>
      <c r="G75" s="189">
        <v>120.61</v>
      </c>
      <c r="H75" s="189">
        <v>61.48</v>
      </c>
      <c r="I75" s="189">
        <v>8.5299999999999994</v>
      </c>
      <c r="J75" s="189">
        <v>0.18</v>
      </c>
      <c r="K75" s="189">
        <v>57.96</v>
      </c>
      <c r="L75" s="189">
        <v>25.65</v>
      </c>
      <c r="M75" s="189">
        <v>48.72</v>
      </c>
      <c r="N75" s="189">
        <v>11.3</v>
      </c>
      <c r="O75" s="189">
        <v>0</v>
      </c>
      <c r="P75" s="189">
        <v>0.8</v>
      </c>
      <c r="Q75" s="189">
        <v>4.8499999999999996</v>
      </c>
    </row>
    <row r="76" spans="1:17" customFormat="1">
      <c r="A76" s="6" t="s">
        <v>1938</v>
      </c>
      <c r="B76" s="189">
        <v>4.0199999999999996</v>
      </c>
      <c r="C76" s="189">
        <v>30.56</v>
      </c>
      <c r="D76" s="189">
        <v>20.54</v>
      </c>
      <c r="E76" s="189">
        <v>9.32</v>
      </c>
      <c r="F76" s="189">
        <v>3.97</v>
      </c>
      <c r="G76" s="189">
        <v>122.01</v>
      </c>
      <c r="H76" s="189">
        <v>61.48</v>
      </c>
      <c r="I76" s="189">
        <v>8.57</v>
      </c>
      <c r="J76" s="189">
        <v>0.27</v>
      </c>
      <c r="K76" s="189">
        <v>52.81</v>
      </c>
      <c r="L76" s="189">
        <v>25.21</v>
      </c>
      <c r="M76" s="189">
        <v>49</v>
      </c>
      <c r="N76" s="189">
        <v>2.7</v>
      </c>
      <c r="O76" s="189">
        <v>0</v>
      </c>
      <c r="P76" s="189">
        <v>0.81</v>
      </c>
      <c r="Q76" s="189">
        <v>4.8499999999999996</v>
      </c>
    </row>
    <row r="77" spans="1:17" customFormat="1">
      <c r="A77" s="6" t="s">
        <v>1939</v>
      </c>
      <c r="B77" s="189">
        <v>4.28</v>
      </c>
      <c r="C77" s="189">
        <v>32.200000000000003</v>
      </c>
      <c r="D77" s="189">
        <v>21.61</v>
      </c>
      <c r="E77" s="189">
        <v>9.34</v>
      </c>
      <c r="F77" s="189">
        <v>3.57</v>
      </c>
      <c r="G77" s="189">
        <v>122.01</v>
      </c>
      <c r="H77" s="189">
        <v>61.48</v>
      </c>
      <c r="I77" s="189">
        <v>8.67</v>
      </c>
      <c r="J77" s="189">
        <v>0.17</v>
      </c>
      <c r="K77" s="189">
        <v>73.069999999999993</v>
      </c>
      <c r="L77" s="189">
        <v>24.63</v>
      </c>
      <c r="M77" s="189">
        <v>52.69</v>
      </c>
      <c r="N77" s="189">
        <v>0</v>
      </c>
      <c r="O77" s="189">
        <v>0</v>
      </c>
      <c r="P77" s="189">
        <v>0.83</v>
      </c>
      <c r="Q77" s="189">
        <v>4.8600000000000003</v>
      </c>
    </row>
    <row r="78" spans="1:17" customFormat="1">
      <c r="A78" s="6" t="s">
        <v>1940</v>
      </c>
      <c r="B78" s="189">
        <v>4.28</v>
      </c>
      <c r="C78" s="189">
        <v>33.950000000000003</v>
      </c>
      <c r="D78" s="189">
        <v>22.52</v>
      </c>
      <c r="E78" s="189">
        <v>9.18</v>
      </c>
      <c r="F78" s="189">
        <v>3.59</v>
      </c>
      <c r="G78" s="189">
        <v>122.01</v>
      </c>
      <c r="H78" s="189">
        <v>61.48</v>
      </c>
      <c r="I78" s="189">
        <v>8.7799999999999994</v>
      </c>
      <c r="J78" s="189">
        <v>0.15</v>
      </c>
      <c r="K78" s="189">
        <v>69.08</v>
      </c>
      <c r="L78" s="189">
        <v>23.97</v>
      </c>
      <c r="M78" s="189">
        <v>55.89</v>
      </c>
      <c r="N78" s="189">
        <v>0</v>
      </c>
      <c r="O78" s="189">
        <v>0</v>
      </c>
      <c r="P78" s="189">
        <v>0.87</v>
      </c>
      <c r="Q78" s="189">
        <v>4.8899999999999997</v>
      </c>
    </row>
    <row r="79" spans="1:17" customFormat="1">
      <c r="A79" s="6" t="s">
        <v>1941</v>
      </c>
      <c r="B79" s="189">
        <v>4.13</v>
      </c>
      <c r="C79" s="189">
        <v>36.25</v>
      </c>
      <c r="D79" s="189">
        <v>23.61</v>
      </c>
      <c r="E79" s="189">
        <v>9.17</v>
      </c>
      <c r="F79" s="189">
        <v>3.58</v>
      </c>
      <c r="G79" s="189">
        <v>203.41</v>
      </c>
      <c r="H79" s="189">
        <v>69.180000000000007</v>
      </c>
      <c r="I79" s="189">
        <v>8.9</v>
      </c>
      <c r="J79" s="189">
        <v>0.23</v>
      </c>
      <c r="K79" s="189">
        <v>145.46</v>
      </c>
      <c r="L79" s="189">
        <v>23.11</v>
      </c>
      <c r="M79" s="189">
        <v>61.18</v>
      </c>
      <c r="N79" s="189">
        <v>0</v>
      </c>
      <c r="O79" s="189">
        <v>0</v>
      </c>
      <c r="P79" s="189">
        <v>0.91</v>
      </c>
      <c r="Q79" s="189">
        <v>4.88</v>
      </c>
    </row>
    <row r="80" spans="1:17" customFormat="1">
      <c r="A80" s="6" t="s">
        <v>1942</v>
      </c>
      <c r="B80" s="189">
        <v>4.0599999999999996</v>
      </c>
      <c r="C80" s="189">
        <v>38.799999999999997</v>
      </c>
      <c r="D80" s="189">
        <v>24.88</v>
      </c>
      <c r="E80" s="189">
        <v>8.5</v>
      </c>
      <c r="F80" s="189">
        <v>3.14</v>
      </c>
      <c r="G80" s="189">
        <v>214.75</v>
      </c>
      <c r="H80" s="189">
        <v>69.180000000000007</v>
      </c>
      <c r="I80" s="189">
        <v>9.1300000000000008</v>
      </c>
      <c r="J80" s="189">
        <v>0.25</v>
      </c>
      <c r="K80" s="189">
        <v>157.82</v>
      </c>
      <c r="L80" s="189">
        <v>22.21</v>
      </c>
      <c r="M80" s="189">
        <v>64.94</v>
      </c>
      <c r="N80" s="189">
        <v>0</v>
      </c>
      <c r="O80" s="189">
        <v>0</v>
      </c>
      <c r="P80" s="189">
        <v>0.93</v>
      </c>
      <c r="Q80" s="189">
        <v>4.8499999999999996</v>
      </c>
    </row>
    <row r="81" spans="1:17" customFormat="1">
      <c r="A81" s="6" t="s">
        <v>1943</v>
      </c>
      <c r="B81" s="189">
        <v>4.32</v>
      </c>
      <c r="C81" s="189">
        <v>36.42</v>
      </c>
      <c r="D81" s="189">
        <v>23.84</v>
      </c>
      <c r="E81" s="189">
        <v>4.58</v>
      </c>
      <c r="F81" s="189">
        <v>3.11</v>
      </c>
      <c r="G81" s="189">
        <v>214.75</v>
      </c>
      <c r="H81" s="189">
        <v>69.180000000000007</v>
      </c>
      <c r="I81" s="189">
        <v>9.4</v>
      </c>
      <c r="J81" s="189">
        <v>0.22</v>
      </c>
      <c r="K81" s="189">
        <v>165</v>
      </c>
      <c r="L81" s="189">
        <v>21.72</v>
      </c>
      <c r="M81" s="189">
        <v>66.66</v>
      </c>
      <c r="N81" s="189">
        <v>0</v>
      </c>
      <c r="O81" s="189">
        <v>0</v>
      </c>
      <c r="P81" s="189">
        <v>0.93</v>
      </c>
      <c r="Q81" s="189">
        <v>4.8499999999999996</v>
      </c>
    </row>
    <row r="82" spans="1:17" customFormat="1">
      <c r="A82" s="6" t="s">
        <v>1944</v>
      </c>
      <c r="B82" s="189">
        <v>4.45</v>
      </c>
      <c r="C82" s="189">
        <v>33.53</v>
      </c>
      <c r="D82" s="189">
        <v>22.44</v>
      </c>
      <c r="E82" s="189">
        <v>4.8</v>
      </c>
      <c r="F82" s="189">
        <v>2.95</v>
      </c>
      <c r="G82" s="189">
        <v>214.75</v>
      </c>
      <c r="H82" s="189">
        <v>69.180000000000007</v>
      </c>
      <c r="I82" s="189">
        <v>9.67</v>
      </c>
      <c r="J82" s="189">
        <v>0.18</v>
      </c>
      <c r="K82" s="189">
        <v>175.45</v>
      </c>
      <c r="L82" s="189">
        <v>21.2</v>
      </c>
      <c r="M82" s="189">
        <v>66.58</v>
      </c>
      <c r="N82" s="189">
        <v>0</v>
      </c>
      <c r="O82" s="189">
        <v>0</v>
      </c>
      <c r="P82" s="189">
        <v>0.95</v>
      </c>
      <c r="Q82" s="189">
        <v>4.84</v>
      </c>
    </row>
    <row r="83" spans="1:17" customFormat="1">
      <c r="A83" s="6" t="s">
        <v>1945</v>
      </c>
      <c r="B83" s="189">
        <v>4.7699999999999996</v>
      </c>
      <c r="C83" s="189">
        <v>31.64</v>
      </c>
      <c r="D83" s="189">
        <v>21.71</v>
      </c>
      <c r="E83" s="189">
        <v>4.59</v>
      </c>
      <c r="F83" s="189">
        <v>2.85</v>
      </c>
      <c r="G83" s="189">
        <v>189.01</v>
      </c>
      <c r="H83" s="189">
        <v>73.83</v>
      </c>
      <c r="I83" s="189">
        <v>9.9600000000000009</v>
      </c>
      <c r="J83" s="189">
        <v>0.15</v>
      </c>
      <c r="K83" s="189">
        <v>154.03</v>
      </c>
      <c r="L83" s="189">
        <v>20.73</v>
      </c>
      <c r="M83" s="189">
        <v>68.47</v>
      </c>
      <c r="N83" s="189">
        <v>0</v>
      </c>
      <c r="O83" s="189">
        <v>0</v>
      </c>
      <c r="P83" s="189">
        <v>0.95</v>
      </c>
      <c r="Q83" s="189">
        <v>4.87</v>
      </c>
    </row>
    <row r="84" spans="1:17" customFormat="1">
      <c r="A84" s="6" t="s">
        <v>1946</v>
      </c>
      <c r="B84" s="189">
        <v>5.04</v>
      </c>
      <c r="C84" s="189">
        <v>31.55</v>
      </c>
      <c r="D84" s="189">
        <v>21.88</v>
      </c>
      <c r="E84" s="189">
        <v>5.04</v>
      </c>
      <c r="F84" s="189">
        <v>2.69</v>
      </c>
      <c r="G84" s="189">
        <v>185.43</v>
      </c>
      <c r="H84" s="189">
        <v>73.83</v>
      </c>
      <c r="I84" s="189">
        <v>10.18</v>
      </c>
      <c r="J84" s="189">
        <v>0.25</v>
      </c>
      <c r="K84" s="189">
        <v>170.7</v>
      </c>
      <c r="L84" s="189">
        <v>20.239999999999998</v>
      </c>
      <c r="M84" s="189">
        <v>76.39</v>
      </c>
      <c r="N84" s="189">
        <v>0</v>
      </c>
      <c r="O84" s="189">
        <v>0</v>
      </c>
      <c r="P84" s="189">
        <v>0.96</v>
      </c>
      <c r="Q84" s="189">
        <v>4.8600000000000003</v>
      </c>
    </row>
    <row r="85" spans="1:17" customFormat="1">
      <c r="A85" s="6" t="s">
        <v>1947</v>
      </c>
      <c r="B85" s="189">
        <v>5.22</v>
      </c>
      <c r="C85" s="189">
        <v>33.01</v>
      </c>
      <c r="D85" s="189">
        <v>22.79</v>
      </c>
      <c r="E85" s="189">
        <v>4.41</v>
      </c>
      <c r="F85" s="189">
        <v>2.48</v>
      </c>
      <c r="G85" s="189">
        <v>185.43</v>
      </c>
      <c r="H85" s="189">
        <v>73.83</v>
      </c>
      <c r="I85" s="189">
        <v>10.34</v>
      </c>
      <c r="J85" s="189">
        <v>0.12</v>
      </c>
      <c r="K85" s="189">
        <v>187.73</v>
      </c>
      <c r="L85" s="189">
        <v>19.829999999999998</v>
      </c>
      <c r="M85" s="189">
        <v>80.97</v>
      </c>
      <c r="N85" s="189">
        <v>0</v>
      </c>
      <c r="O85" s="189">
        <v>0</v>
      </c>
      <c r="P85" s="189">
        <v>0.99</v>
      </c>
      <c r="Q85" s="189">
        <v>4.8899999999999997</v>
      </c>
    </row>
    <row r="86" spans="1:17" customFormat="1">
      <c r="A86" s="6" t="s">
        <v>1948</v>
      </c>
      <c r="B86" s="189">
        <v>5.43</v>
      </c>
      <c r="C86" s="189">
        <v>34.04</v>
      </c>
      <c r="D86" s="189">
        <v>23.49</v>
      </c>
      <c r="E86" s="189">
        <v>5.15</v>
      </c>
      <c r="F86" s="189">
        <v>2.63</v>
      </c>
      <c r="G86" s="189">
        <v>185.43</v>
      </c>
      <c r="H86" s="189">
        <v>73.83</v>
      </c>
      <c r="I86" s="189">
        <v>10.5</v>
      </c>
      <c r="J86" s="189">
        <v>0.15</v>
      </c>
      <c r="K86" s="189">
        <v>174.76</v>
      </c>
      <c r="L86" s="189">
        <v>19.3</v>
      </c>
      <c r="M86" s="189">
        <v>78.41</v>
      </c>
      <c r="N86" s="189">
        <v>0</v>
      </c>
      <c r="O86" s="189">
        <v>0</v>
      </c>
      <c r="P86" s="189">
        <v>1.03</v>
      </c>
      <c r="Q86" s="189">
        <v>4.91</v>
      </c>
    </row>
    <row r="87" spans="1:17" customFormat="1">
      <c r="A87" s="6" t="s">
        <v>1949</v>
      </c>
      <c r="B87" s="189">
        <v>5.68</v>
      </c>
      <c r="C87" s="189">
        <v>34.07</v>
      </c>
      <c r="D87" s="189">
        <v>23.71</v>
      </c>
      <c r="E87" s="189">
        <v>5.22</v>
      </c>
      <c r="F87" s="189">
        <v>2.56</v>
      </c>
      <c r="G87" s="189">
        <v>171.46</v>
      </c>
      <c r="H87" s="189">
        <v>76.569999999999993</v>
      </c>
      <c r="I87" s="189">
        <v>10.7</v>
      </c>
      <c r="J87" s="189">
        <v>0.12</v>
      </c>
      <c r="K87" s="189">
        <v>199.28</v>
      </c>
      <c r="L87" s="189">
        <v>18.89</v>
      </c>
      <c r="M87" s="189">
        <v>81.510000000000005</v>
      </c>
      <c r="N87" s="189">
        <v>0</v>
      </c>
      <c r="O87" s="189">
        <v>0</v>
      </c>
      <c r="P87" s="189">
        <v>1.05</v>
      </c>
      <c r="Q87" s="189">
        <v>4.9400000000000004</v>
      </c>
    </row>
    <row r="88" spans="1:17" customFormat="1">
      <c r="A88" s="6" t="s">
        <v>1950</v>
      </c>
      <c r="B88" s="189">
        <v>5.88</v>
      </c>
      <c r="C88" s="189">
        <v>33.42</v>
      </c>
      <c r="D88" s="189">
        <v>23.53</v>
      </c>
      <c r="E88" s="189">
        <v>4.79</v>
      </c>
      <c r="F88" s="189">
        <v>2.6</v>
      </c>
      <c r="G88" s="189">
        <v>169.52</v>
      </c>
      <c r="H88" s="189">
        <v>76.569999999999993</v>
      </c>
      <c r="I88" s="189">
        <v>10.93</v>
      </c>
      <c r="J88" s="189">
        <v>0.16</v>
      </c>
      <c r="K88" s="189">
        <v>167.86</v>
      </c>
      <c r="L88" s="189">
        <v>18.68</v>
      </c>
      <c r="M88" s="189">
        <v>82.39</v>
      </c>
      <c r="N88" s="189">
        <v>0</v>
      </c>
      <c r="O88" s="189">
        <v>0</v>
      </c>
      <c r="P88" s="189">
        <v>1.08</v>
      </c>
      <c r="Q88" s="189">
        <v>4.95</v>
      </c>
    </row>
    <row r="89" spans="1:17" customFormat="1">
      <c r="A89" s="6" t="s">
        <v>1951</v>
      </c>
      <c r="B89" s="189">
        <v>6.02</v>
      </c>
      <c r="C89" s="189">
        <v>32.479999999999997</v>
      </c>
      <c r="D89" s="189">
        <v>23.15</v>
      </c>
      <c r="E89" s="189">
        <v>4.47</v>
      </c>
      <c r="F89" s="189">
        <v>2.67</v>
      </c>
      <c r="G89" s="189">
        <v>169.52</v>
      </c>
      <c r="H89" s="189">
        <v>76.569999999999993</v>
      </c>
      <c r="I89" s="189">
        <v>11.12</v>
      </c>
      <c r="J89" s="189">
        <v>0.11</v>
      </c>
      <c r="K89" s="189">
        <v>188.84</v>
      </c>
      <c r="L89" s="189">
        <v>18.399999999999999</v>
      </c>
      <c r="M89" s="189">
        <v>83.73</v>
      </c>
      <c r="N89" s="189">
        <v>0</v>
      </c>
      <c r="O89" s="189">
        <v>0</v>
      </c>
      <c r="P89" s="189">
        <v>1.0900000000000001</v>
      </c>
      <c r="Q89" s="189">
        <v>4.9400000000000004</v>
      </c>
    </row>
    <row r="90" spans="1:17" customFormat="1">
      <c r="A90" s="6" t="s">
        <v>1952</v>
      </c>
      <c r="B90" s="189">
        <v>6.09</v>
      </c>
      <c r="C90" s="189">
        <v>30.08</v>
      </c>
      <c r="D90" s="189">
        <v>21.95</v>
      </c>
      <c r="E90" s="189">
        <v>4.96</v>
      </c>
      <c r="F90" s="189">
        <v>2.87</v>
      </c>
      <c r="G90" s="189">
        <v>169.52</v>
      </c>
      <c r="H90" s="189">
        <v>76.569999999999993</v>
      </c>
      <c r="I90" s="189">
        <v>11.3</v>
      </c>
      <c r="J90" s="189">
        <v>0.13</v>
      </c>
      <c r="K90" s="189">
        <v>163.59</v>
      </c>
      <c r="L90" s="189">
        <v>18.22</v>
      </c>
      <c r="M90" s="189">
        <v>85.41</v>
      </c>
      <c r="N90" s="189">
        <v>0</v>
      </c>
      <c r="O90" s="189">
        <v>0</v>
      </c>
      <c r="P90" s="189">
        <v>1.1000000000000001</v>
      </c>
      <c r="Q90" s="189">
        <v>4.95</v>
      </c>
    </row>
    <row r="91" spans="1:17" customFormat="1">
      <c r="A91" s="6" t="s">
        <v>1953</v>
      </c>
      <c r="B91" s="189">
        <v>6.01</v>
      </c>
      <c r="C91" s="189">
        <v>28.47</v>
      </c>
      <c r="D91" s="189">
        <v>21.04</v>
      </c>
      <c r="E91" s="189">
        <v>4.37</v>
      </c>
      <c r="F91" s="189">
        <v>2.94</v>
      </c>
      <c r="G91" s="189">
        <v>144.06</v>
      </c>
      <c r="H91" s="189">
        <v>76.67</v>
      </c>
      <c r="I91" s="189">
        <v>11.49</v>
      </c>
      <c r="J91" s="189">
        <v>0.18</v>
      </c>
      <c r="K91" s="189">
        <v>166.72</v>
      </c>
      <c r="L91" s="189">
        <v>18.09</v>
      </c>
      <c r="M91" s="189">
        <v>81.680000000000007</v>
      </c>
      <c r="N91" s="189">
        <v>0</v>
      </c>
      <c r="O91" s="189">
        <v>0</v>
      </c>
      <c r="P91" s="189">
        <v>1.1000000000000001</v>
      </c>
      <c r="Q91" s="189">
        <v>4.9400000000000004</v>
      </c>
    </row>
    <row r="92" spans="1:17" customFormat="1">
      <c r="A92" s="6" t="s">
        <v>1954</v>
      </c>
      <c r="B92" s="189">
        <v>6.06</v>
      </c>
      <c r="C92" s="189">
        <v>29.83</v>
      </c>
      <c r="D92" s="189">
        <v>21.8</v>
      </c>
      <c r="E92" s="189">
        <v>4.4800000000000004</v>
      </c>
      <c r="F92" s="189">
        <v>2.74</v>
      </c>
      <c r="G92" s="189">
        <v>140.51</v>
      </c>
      <c r="H92" s="189">
        <v>76.67</v>
      </c>
      <c r="I92" s="189">
        <v>11.64</v>
      </c>
      <c r="J92" s="189">
        <v>0.17</v>
      </c>
      <c r="K92" s="189">
        <v>159.22999999999999</v>
      </c>
      <c r="L92" s="189">
        <v>18.09</v>
      </c>
      <c r="M92" s="189">
        <v>83.58</v>
      </c>
      <c r="N92" s="189">
        <v>0</v>
      </c>
      <c r="O92" s="189">
        <v>0</v>
      </c>
      <c r="P92" s="189">
        <v>1.1100000000000001</v>
      </c>
      <c r="Q92" s="189">
        <v>4.91</v>
      </c>
    </row>
    <row r="93" spans="1:17" customFormat="1">
      <c r="A93" s="6" t="s">
        <v>1955</v>
      </c>
      <c r="B93" s="189">
        <v>6.18</v>
      </c>
      <c r="C93" s="189">
        <v>29.74</v>
      </c>
      <c r="D93" s="189">
        <v>21.85</v>
      </c>
      <c r="E93" s="189">
        <v>4.96</v>
      </c>
      <c r="F93" s="189">
        <v>2.6</v>
      </c>
      <c r="G93" s="189">
        <v>140.51</v>
      </c>
      <c r="H93" s="189">
        <v>76.67</v>
      </c>
      <c r="I93" s="189">
        <v>11.74</v>
      </c>
      <c r="J93" s="189">
        <v>0.2</v>
      </c>
      <c r="K93" s="189">
        <v>164.48</v>
      </c>
      <c r="L93" s="189">
        <v>18.100000000000001</v>
      </c>
      <c r="M93" s="189">
        <v>85.45</v>
      </c>
      <c r="N93" s="189">
        <v>0</v>
      </c>
      <c r="O93" s="189">
        <v>0</v>
      </c>
      <c r="P93" s="189">
        <v>1.1200000000000001</v>
      </c>
      <c r="Q93" s="189">
        <v>4.91</v>
      </c>
    </row>
    <row r="94" spans="1:17" customFormat="1">
      <c r="A94" s="6" t="s">
        <v>1956</v>
      </c>
      <c r="B94" s="189">
        <v>6.35</v>
      </c>
      <c r="C94" s="189">
        <v>28.68</v>
      </c>
      <c r="D94" s="189">
        <v>21.43</v>
      </c>
      <c r="E94" s="189">
        <v>4.68</v>
      </c>
      <c r="F94" s="189">
        <v>2.59</v>
      </c>
      <c r="G94" s="189">
        <v>140.51</v>
      </c>
      <c r="H94" s="189">
        <v>76.67</v>
      </c>
      <c r="I94" s="189">
        <v>11.78</v>
      </c>
      <c r="J94" s="189">
        <v>0.14000000000000001</v>
      </c>
      <c r="K94" s="189">
        <v>161.49</v>
      </c>
      <c r="L94" s="189">
        <v>17.79</v>
      </c>
      <c r="M94" s="189">
        <v>87.32</v>
      </c>
      <c r="N94" s="189">
        <v>0</v>
      </c>
      <c r="O94" s="189">
        <v>0</v>
      </c>
      <c r="P94" s="189">
        <v>1.1200000000000001</v>
      </c>
      <c r="Q94" s="189">
        <v>4.93</v>
      </c>
    </row>
    <row r="95" spans="1:17" customFormat="1">
      <c r="A95" s="6" t="s">
        <v>1957</v>
      </c>
      <c r="B95" s="189">
        <v>7.02</v>
      </c>
      <c r="C95" s="189">
        <v>28.59</v>
      </c>
      <c r="D95" s="189">
        <v>21.92</v>
      </c>
      <c r="E95" s="189">
        <v>4.95</v>
      </c>
      <c r="F95" s="189">
        <v>2.56</v>
      </c>
      <c r="G95" s="189">
        <v>140.59</v>
      </c>
      <c r="H95" s="189">
        <v>77.099999999999994</v>
      </c>
      <c r="I95" s="189">
        <v>11.85</v>
      </c>
      <c r="J95" s="189">
        <v>0.11</v>
      </c>
      <c r="K95" s="189">
        <v>207.89</v>
      </c>
      <c r="L95" s="189">
        <v>17.66</v>
      </c>
      <c r="M95" s="189">
        <v>86.21</v>
      </c>
      <c r="N95" s="189">
        <v>0</v>
      </c>
      <c r="O95" s="189">
        <v>0</v>
      </c>
      <c r="P95" s="189">
        <v>1.1299999999999999</v>
      </c>
      <c r="Q95" s="189">
        <v>4.9400000000000004</v>
      </c>
    </row>
    <row r="96" spans="1:17" customFormat="1">
      <c r="A96" s="6" t="s">
        <v>1958</v>
      </c>
      <c r="B96" s="189">
        <v>8.09</v>
      </c>
      <c r="C96" s="189">
        <v>30.25</v>
      </c>
      <c r="D96" s="189">
        <v>23.65</v>
      </c>
      <c r="E96" s="189">
        <v>4.6900000000000004</v>
      </c>
      <c r="F96" s="189">
        <v>2.5099999999999998</v>
      </c>
      <c r="G96" s="189">
        <v>140.6</v>
      </c>
      <c r="H96" s="189">
        <v>77.099999999999994</v>
      </c>
      <c r="I96" s="189">
        <v>11.89</v>
      </c>
      <c r="J96" s="189">
        <v>0.14000000000000001</v>
      </c>
      <c r="K96" s="189">
        <v>201.69</v>
      </c>
      <c r="L96" s="189">
        <v>17.37</v>
      </c>
      <c r="M96" s="189">
        <v>88.84</v>
      </c>
      <c r="N96" s="189">
        <v>0</v>
      </c>
      <c r="O96" s="189">
        <v>0</v>
      </c>
      <c r="P96" s="189">
        <v>1.1499999999999999</v>
      </c>
      <c r="Q96" s="189">
        <v>4.9400000000000004</v>
      </c>
    </row>
    <row r="97" spans="1:22" customFormat="1">
      <c r="A97" s="6" t="s">
        <v>1959</v>
      </c>
      <c r="B97" s="189">
        <v>8.4499999999999993</v>
      </c>
      <c r="C97" s="189">
        <v>28.16</v>
      </c>
      <c r="D97" s="189">
        <v>22.84</v>
      </c>
      <c r="E97" s="189">
        <v>4.58</v>
      </c>
      <c r="F97" s="189">
        <v>2.71</v>
      </c>
      <c r="G97" s="189">
        <v>140.6</v>
      </c>
      <c r="H97" s="189">
        <v>77.099999999999994</v>
      </c>
      <c r="I97" s="189">
        <v>11.97</v>
      </c>
      <c r="J97" s="189">
        <v>0.17</v>
      </c>
      <c r="K97" s="189">
        <v>168.28</v>
      </c>
      <c r="L97" s="189">
        <v>17.170000000000002</v>
      </c>
      <c r="M97" s="189">
        <v>89.4</v>
      </c>
      <c r="N97" s="189">
        <v>0</v>
      </c>
      <c r="O97" s="189">
        <v>0</v>
      </c>
      <c r="P97" s="189">
        <v>1.1399999999999999</v>
      </c>
      <c r="Q97" s="189">
        <v>4.96</v>
      </c>
    </row>
    <row r="98" spans="1:22" customFormat="1">
      <c r="A98" s="6" t="s">
        <v>1960</v>
      </c>
      <c r="B98" s="189">
        <v>8.4499999999999993</v>
      </c>
      <c r="C98" s="189">
        <v>29.69</v>
      </c>
      <c r="D98" s="189">
        <v>23.64</v>
      </c>
      <c r="E98" s="189">
        <v>4.59</v>
      </c>
      <c r="F98" s="189">
        <v>2.4700000000000002</v>
      </c>
      <c r="G98" s="189">
        <v>140.6</v>
      </c>
      <c r="H98" s="189">
        <v>77.099999999999994</v>
      </c>
      <c r="I98" s="189">
        <v>12.05</v>
      </c>
      <c r="J98" s="189">
        <v>0.15</v>
      </c>
      <c r="K98" s="189">
        <v>203.37</v>
      </c>
      <c r="L98" s="189">
        <v>17</v>
      </c>
      <c r="M98" s="189">
        <v>90.25</v>
      </c>
      <c r="N98" s="189">
        <v>0</v>
      </c>
      <c r="O98" s="189">
        <v>0</v>
      </c>
      <c r="P98" s="189">
        <v>1.1499999999999999</v>
      </c>
      <c r="Q98" s="189">
        <v>4.9400000000000004</v>
      </c>
    </row>
    <row r="99" spans="1:22" customFormat="1">
      <c r="A99" s="6" t="s">
        <v>1961</v>
      </c>
      <c r="B99" s="189">
        <v>8.31</v>
      </c>
      <c r="C99" s="189">
        <v>29.1</v>
      </c>
      <c r="D99" s="189">
        <v>23.22</v>
      </c>
      <c r="E99" s="189">
        <v>4.4400000000000004</v>
      </c>
      <c r="F99" s="189">
        <v>2.61</v>
      </c>
      <c r="G99" s="189">
        <v>141.15</v>
      </c>
      <c r="H99" s="189">
        <v>76.27</v>
      </c>
      <c r="I99" s="189">
        <v>12.06</v>
      </c>
      <c r="J99" s="189">
        <v>0.11</v>
      </c>
      <c r="K99" s="189">
        <v>164.65</v>
      </c>
      <c r="L99" s="189">
        <v>16.87</v>
      </c>
      <c r="M99" s="189">
        <v>89.38</v>
      </c>
      <c r="N99" s="189">
        <v>0</v>
      </c>
      <c r="O99" s="189">
        <v>0</v>
      </c>
      <c r="P99" s="189">
        <v>1.1599999999999999</v>
      </c>
      <c r="Q99" s="189">
        <v>4.96</v>
      </c>
    </row>
    <row r="100" spans="1:22" customFormat="1">
      <c r="A100" s="6" t="s">
        <v>1962</v>
      </c>
      <c r="B100" s="189">
        <v>8.23</v>
      </c>
      <c r="C100" s="189">
        <v>28.8</v>
      </c>
      <c r="D100" s="189">
        <v>23</v>
      </c>
      <c r="E100" s="189">
        <v>4.9000000000000004</v>
      </c>
      <c r="F100" s="189">
        <v>2.67</v>
      </c>
      <c r="G100" s="189">
        <v>141.22999999999999</v>
      </c>
      <c r="H100" s="189">
        <v>76.27</v>
      </c>
      <c r="I100" s="189">
        <v>12.05</v>
      </c>
      <c r="J100" s="189">
        <v>0.17</v>
      </c>
      <c r="K100" s="189">
        <v>163</v>
      </c>
      <c r="L100" s="189">
        <v>17.059999999999999</v>
      </c>
      <c r="M100" s="189">
        <v>87.68</v>
      </c>
      <c r="N100" s="189">
        <v>0</v>
      </c>
      <c r="O100" s="189">
        <v>0</v>
      </c>
      <c r="P100" s="189">
        <v>1.1499999999999999</v>
      </c>
      <c r="Q100" s="189">
        <v>4.96</v>
      </c>
    </row>
    <row r="101" spans="1:22" customFormat="1">
      <c r="A101" s="6" t="s">
        <v>1963</v>
      </c>
      <c r="B101" s="189">
        <v>8.07</v>
      </c>
      <c r="C101" s="189">
        <v>29.09</v>
      </c>
      <c r="D101" s="189">
        <v>23.02</v>
      </c>
      <c r="E101" s="189">
        <v>4.5999999999999996</v>
      </c>
      <c r="F101" s="189">
        <v>2.64</v>
      </c>
      <c r="G101" s="189">
        <v>141.22999999999999</v>
      </c>
      <c r="H101" s="189">
        <v>76.27</v>
      </c>
      <c r="I101" s="189">
        <v>12.07</v>
      </c>
      <c r="J101" s="189">
        <v>0.12</v>
      </c>
      <c r="K101" s="189">
        <v>212.49</v>
      </c>
      <c r="L101" s="189">
        <v>16.96</v>
      </c>
      <c r="M101" s="189">
        <v>88.68</v>
      </c>
      <c r="N101" s="189">
        <v>0</v>
      </c>
      <c r="O101" s="189">
        <v>0</v>
      </c>
      <c r="P101" s="189">
        <v>1.1599999999999999</v>
      </c>
      <c r="Q101" s="189">
        <v>4.9400000000000004</v>
      </c>
    </row>
    <row r="102" spans="1:22" customFormat="1">
      <c r="A102" s="6" t="s">
        <v>1964</v>
      </c>
      <c r="B102" s="189">
        <v>7.87</v>
      </c>
      <c r="C102" s="189">
        <v>29.2</v>
      </c>
      <c r="D102" s="189">
        <v>22.92</v>
      </c>
      <c r="E102" s="189">
        <v>5.16</v>
      </c>
      <c r="F102" s="189">
        <v>2.78</v>
      </c>
      <c r="G102" s="189">
        <v>141.22999999999999</v>
      </c>
      <c r="H102" s="189">
        <v>76.27</v>
      </c>
      <c r="I102" s="189">
        <v>12.11</v>
      </c>
      <c r="J102" s="189">
        <v>0.18</v>
      </c>
      <c r="K102" s="189">
        <v>162.96</v>
      </c>
      <c r="L102" s="189">
        <v>17.04</v>
      </c>
      <c r="M102" s="189">
        <v>89.13</v>
      </c>
      <c r="N102" s="189">
        <v>0</v>
      </c>
      <c r="O102" s="189">
        <v>0</v>
      </c>
      <c r="P102" s="189">
        <v>1.1599999999999999</v>
      </c>
      <c r="Q102" s="189">
        <v>4.9400000000000004</v>
      </c>
    </row>
    <row r="103" spans="1:22" customFormat="1">
      <c r="A103" s="6" t="s">
        <v>1965</v>
      </c>
      <c r="B103" s="189">
        <v>7.69</v>
      </c>
      <c r="C103" s="189">
        <v>29.57</v>
      </c>
      <c r="D103" s="189">
        <v>22.97</v>
      </c>
      <c r="E103" s="189">
        <v>4.96</v>
      </c>
      <c r="F103" s="189">
        <v>2.77</v>
      </c>
      <c r="G103" s="189">
        <v>125.41</v>
      </c>
      <c r="H103" s="189">
        <v>74.47</v>
      </c>
      <c r="I103" s="189">
        <v>12.08</v>
      </c>
      <c r="J103" s="189">
        <v>0.15</v>
      </c>
      <c r="K103" s="189">
        <v>245.48</v>
      </c>
      <c r="L103" s="189">
        <v>16.87</v>
      </c>
      <c r="M103" s="189">
        <v>90.21</v>
      </c>
      <c r="N103" s="189">
        <v>0</v>
      </c>
      <c r="O103" s="189">
        <v>0</v>
      </c>
      <c r="P103" s="189">
        <v>1.1599999999999999</v>
      </c>
      <c r="Q103" s="189">
        <v>4.96</v>
      </c>
    </row>
    <row r="104" spans="1:22" customFormat="1">
      <c r="A104" s="6" t="s">
        <v>1966</v>
      </c>
      <c r="B104" s="189">
        <v>7.68</v>
      </c>
      <c r="C104" s="189">
        <v>29.66</v>
      </c>
      <c r="D104" s="189">
        <v>23.01</v>
      </c>
      <c r="E104" s="189">
        <v>4.72</v>
      </c>
      <c r="F104" s="189">
        <v>2.61</v>
      </c>
      <c r="G104" s="189">
        <v>123.2</v>
      </c>
      <c r="H104" s="189">
        <v>74.47</v>
      </c>
      <c r="I104" s="189">
        <v>12.02</v>
      </c>
      <c r="J104" s="189">
        <v>0.13</v>
      </c>
      <c r="K104" s="189">
        <v>223.57</v>
      </c>
      <c r="L104" s="189">
        <v>16.52</v>
      </c>
      <c r="M104" s="189">
        <v>90.65</v>
      </c>
      <c r="N104" s="189">
        <v>0</v>
      </c>
      <c r="O104" s="189">
        <v>0</v>
      </c>
      <c r="P104" s="189">
        <v>1.1499999999999999</v>
      </c>
      <c r="Q104" s="189">
        <v>4.95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2.13</v>
      </c>
      <c r="C106" s="183">
        <f>MIN(C9:C104)</f>
        <v>20.49</v>
      </c>
      <c r="D106" s="183">
        <f t="shared" ref="D106:Q106" si="0">MIN(D9:D104)</f>
        <v>14.18</v>
      </c>
      <c r="E106" s="183">
        <f t="shared" si="0"/>
        <v>4.37</v>
      </c>
      <c r="F106" s="183">
        <f t="shared" si="0"/>
        <v>2.3199999999999998</v>
      </c>
      <c r="G106" s="183">
        <f t="shared" si="0"/>
        <v>97.45</v>
      </c>
      <c r="H106" s="183">
        <f t="shared" si="0"/>
        <v>53.13</v>
      </c>
      <c r="I106" s="183">
        <f t="shared" si="0"/>
        <v>8.5299999999999994</v>
      </c>
      <c r="J106" s="183">
        <f t="shared" si="0"/>
        <v>0.06</v>
      </c>
      <c r="K106" s="183">
        <f t="shared" si="0"/>
        <v>8.07</v>
      </c>
      <c r="L106" s="183">
        <f t="shared" si="0"/>
        <v>14.21</v>
      </c>
      <c r="M106" s="183">
        <f t="shared" si="0"/>
        <v>40.65</v>
      </c>
      <c r="N106" s="183">
        <f t="shared" si="0"/>
        <v>0</v>
      </c>
      <c r="O106" s="183">
        <f t="shared" si="0"/>
        <v>0</v>
      </c>
      <c r="P106" s="183">
        <f t="shared" si="0"/>
        <v>0.71</v>
      </c>
      <c r="Q106" s="183">
        <f t="shared" si="0"/>
        <v>4.84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38.5</v>
      </c>
      <c r="C107" s="184">
        <f t="shared" ref="C107:Q107" si="1">MAX(C9:C104)</f>
        <v>38.799999999999997</v>
      </c>
      <c r="D107" s="184">
        <f t="shared" si="1"/>
        <v>51</v>
      </c>
      <c r="E107" s="184">
        <f t="shared" si="1"/>
        <v>10.19</v>
      </c>
      <c r="F107" s="184">
        <f t="shared" si="1"/>
        <v>10.46</v>
      </c>
      <c r="G107" s="184">
        <f t="shared" si="1"/>
        <v>214.75</v>
      </c>
      <c r="H107" s="184">
        <f t="shared" si="1"/>
        <v>77.099999999999994</v>
      </c>
      <c r="I107" s="184">
        <f t="shared" si="1"/>
        <v>13.54</v>
      </c>
      <c r="J107" s="184">
        <f t="shared" si="1"/>
        <v>0.57999999999999996</v>
      </c>
      <c r="K107" s="184">
        <f t="shared" si="1"/>
        <v>339.87</v>
      </c>
      <c r="L107" s="184">
        <f t="shared" si="1"/>
        <v>28.14</v>
      </c>
      <c r="M107" s="184">
        <f t="shared" si="1"/>
        <v>97.04</v>
      </c>
      <c r="N107" s="184">
        <f t="shared" si="1"/>
        <v>432.3</v>
      </c>
      <c r="O107" s="184">
        <f t="shared" si="1"/>
        <v>0</v>
      </c>
      <c r="P107" s="184">
        <f t="shared" si="1"/>
        <v>1.33</v>
      </c>
      <c r="Q107" s="184">
        <f t="shared" si="1"/>
        <v>5.43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13.621666666666668</v>
      </c>
      <c r="C108" s="183">
        <f t="shared" ref="C108:Q108" si="2">AVERAGE(C9:C104)</f>
        <v>29.952604166666664</v>
      </c>
      <c r="D108" s="183">
        <f t="shared" si="2"/>
        <v>27.925000000000001</v>
      </c>
      <c r="E108" s="183">
        <f t="shared" si="2"/>
        <v>6.5888541666666702</v>
      </c>
      <c r="F108" s="183">
        <f t="shared" si="2"/>
        <v>3.776250000000001</v>
      </c>
      <c r="G108" s="183">
        <f t="shared" si="2"/>
        <v>134.52229166666666</v>
      </c>
      <c r="H108" s="183">
        <f t="shared" si="2"/>
        <v>69.507083333333355</v>
      </c>
      <c r="I108" s="183">
        <f t="shared" si="2"/>
        <v>11.568541666666659</v>
      </c>
      <c r="J108" s="183">
        <f t="shared" si="2"/>
        <v>0.17583333333333337</v>
      </c>
      <c r="K108" s="183">
        <f t="shared" si="2"/>
        <v>178.0546875</v>
      </c>
      <c r="L108" s="183">
        <f t="shared" si="2"/>
        <v>20.276562500000004</v>
      </c>
      <c r="M108" s="183">
        <f t="shared" si="2"/>
        <v>74.584895833333334</v>
      </c>
      <c r="N108" s="183">
        <f t="shared" si="2"/>
        <v>88.016666666666666</v>
      </c>
      <c r="O108" s="183">
        <f t="shared" si="2"/>
        <v>0</v>
      </c>
      <c r="P108" s="183">
        <f t="shared" si="2"/>
        <v>1.0779166666666666</v>
      </c>
      <c r="Q108" s="183">
        <f t="shared" si="2"/>
        <v>5.024895833333332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10.96471466657014</v>
      </c>
      <c r="C109" s="183">
        <f t="shared" ref="C109:Q109" si="3">STDEV(C9:C104)</f>
        <v>4.0912109247923771</v>
      </c>
      <c r="D109" s="183">
        <f t="shared" si="3"/>
        <v>10.281991820142323</v>
      </c>
      <c r="E109" s="183">
        <f t="shared" si="3"/>
        <v>1.8007208321532877</v>
      </c>
      <c r="F109" s="183">
        <f t="shared" si="3"/>
        <v>2.0730898627284238</v>
      </c>
      <c r="G109" s="183">
        <f t="shared" si="3"/>
        <v>28.256187267632434</v>
      </c>
      <c r="H109" s="183">
        <f t="shared" si="3"/>
        <v>6.7743876657311715</v>
      </c>
      <c r="I109" s="183">
        <f t="shared" si="3"/>
        <v>1.7948165009075612</v>
      </c>
      <c r="J109" s="183">
        <f t="shared" si="3"/>
        <v>9.1360093403338213E-2</v>
      </c>
      <c r="K109" s="183">
        <f t="shared" si="3"/>
        <v>72.949022142042864</v>
      </c>
      <c r="L109" s="183">
        <f t="shared" si="3"/>
        <v>4.7463758646659961</v>
      </c>
      <c r="M109" s="183">
        <f t="shared" si="3"/>
        <v>19.846195445808835</v>
      </c>
      <c r="N109" s="183">
        <f t="shared" si="3"/>
        <v>146.28481711817611</v>
      </c>
      <c r="O109" s="183">
        <f t="shared" si="3"/>
        <v>0</v>
      </c>
      <c r="P109" s="183">
        <f t="shared" si="3"/>
        <v>0.18160637982456362</v>
      </c>
      <c r="Q109" s="183">
        <f t="shared" si="3"/>
        <v>0.16632874734389552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27/12/2023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1967</v>
      </c>
      <c r="B9" s="189">
        <v>8.4600000000000009</v>
      </c>
      <c r="C9" s="189">
        <v>27.04</v>
      </c>
      <c r="D9" s="189">
        <v>22.26</v>
      </c>
      <c r="E9" s="189">
        <v>4.8600000000000003</v>
      </c>
      <c r="F9" s="189">
        <v>2.65</v>
      </c>
      <c r="G9" s="189">
        <v>123.2</v>
      </c>
      <c r="H9" s="189">
        <v>74.47</v>
      </c>
      <c r="I9" s="189">
        <v>11.97</v>
      </c>
      <c r="J9" s="189">
        <v>7.0000000000000007E-2</v>
      </c>
      <c r="K9" s="189">
        <v>234.4</v>
      </c>
      <c r="L9" s="189">
        <v>16.32</v>
      </c>
      <c r="M9" s="189">
        <v>91.9</v>
      </c>
      <c r="N9" s="189">
        <v>0</v>
      </c>
      <c r="O9" s="189">
        <v>0</v>
      </c>
      <c r="P9" s="189">
        <v>1.1399999999999999</v>
      </c>
      <c r="Q9" s="189">
        <v>4.95</v>
      </c>
    </row>
    <row r="10" spans="1:21" customFormat="1">
      <c r="A10" s="6" t="s">
        <v>1968</v>
      </c>
      <c r="B10" s="189">
        <v>8.1</v>
      </c>
      <c r="C10" s="189">
        <v>28.64</v>
      </c>
      <c r="D10" s="189">
        <v>22.81</v>
      </c>
      <c r="E10" s="189">
        <v>4.79</v>
      </c>
      <c r="F10" s="189">
        <v>2.56</v>
      </c>
      <c r="G10" s="189">
        <v>123.2</v>
      </c>
      <c r="H10" s="189">
        <v>74.47</v>
      </c>
      <c r="I10" s="189">
        <v>11.95</v>
      </c>
      <c r="J10" s="189">
        <v>0.14000000000000001</v>
      </c>
      <c r="K10" s="189">
        <v>164.35</v>
      </c>
      <c r="L10" s="189">
        <v>16.329999999999998</v>
      </c>
      <c r="M10" s="189">
        <v>91.33</v>
      </c>
      <c r="N10" s="189">
        <v>0</v>
      </c>
      <c r="O10" s="189">
        <v>0</v>
      </c>
      <c r="P10" s="189">
        <v>1.1399999999999999</v>
      </c>
      <c r="Q10" s="189">
        <v>4.95</v>
      </c>
    </row>
    <row r="11" spans="1:21" customFormat="1">
      <c r="A11" s="6" t="s">
        <v>1969</v>
      </c>
      <c r="B11" s="189">
        <v>7.91</v>
      </c>
      <c r="C11" s="189">
        <v>29.16</v>
      </c>
      <c r="D11" s="189">
        <v>22.93</v>
      </c>
      <c r="E11" s="189">
        <v>4.8</v>
      </c>
      <c r="F11" s="189">
        <v>2.5299999999999998</v>
      </c>
      <c r="G11" s="189">
        <v>125.51</v>
      </c>
      <c r="H11" s="189">
        <v>71.95</v>
      </c>
      <c r="I11" s="189">
        <v>11.9</v>
      </c>
      <c r="J11" s="189">
        <v>0.09</v>
      </c>
      <c r="K11" s="189">
        <v>189.28</v>
      </c>
      <c r="L11" s="189">
        <v>16.260000000000002</v>
      </c>
      <c r="M11" s="189">
        <v>92.21</v>
      </c>
      <c r="N11" s="189">
        <v>0</v>
      </c>
      <c r="O11" s="189">
        <v>0</v>
      </c>
      <c r="P11" s="189">
        <v>1.1299999999999999</v>
      </c>
      <c r="Q11" s="189">
        <v>4.93</v>
      </c>
    </row>
    <row r="12" spans="1:21" customFormat="1">
      <c r="A12" s="6" t="s">
        <v>1970</v>
      </c>
      <c r="B12" s="189">
        <v>8.01</v>
      </c>
      <c r="C12" s="189">
        <v>28.57</v>
      </c>
      <c r="D12" s="189">
        <v>22.7</v>
      </c>
      <c r="E12" s="189">
        <v>5.09</v>
      </c>
      <c r="F12" s="189">
        <v>2.5</v>
      </c>
      <c r="G12" s="189">
        <v>125.83</v>
      </c>
      <c r="H12" s="189">
        <v>71.95</v>
      </c>
      <c r="I12" s="189">
        <v>11.83</v>
      </c>
      <c r="J12" s="189">
        <v>0.14000000000000001</v>
      </c>
      <c r="K12" s="189">
        <v>157.15</v>
      </c>
      <c r="L12" s="189">
        <v>16.190000000000001</v>
      </c>
      <c r="M12" s="189">
        <v>92.56</v>
      </c>
      <c r="N12" s="189">
        <v>0</v>
      </c>
      <c r="O12" s="189">
        <v>0</v>
      </c>
      <c r="P12" s="189">
        <v>1.1200000000000001</v>
      </c>
      <c r="Q12" s="189">
        <v>4.93</v>
      </c>
    </row>
    <row r="13" spans="1:21" customFormat="1">
      <c r="A13" s="6" t="s">
        <v>1971</v>
      </c>
      <c r="B13" s="189">
        <v>7.79</v>
      </c>
      <c r="C13" s="189">
        <v>28.03</v>
      </c>
      <c r="D13" s="189">
        <v>22.24</v>
      </c>
      <c r="E13" s="189">
        <v>4.72</v>
      </c>
      <c r="F13" s="189">
        <v>2.56</v>
      </c>
      <c r="G13" s="189">
        <v>125.83</v>
      </c>
      <c r="H13" s="189">
        <v>71.95</v>
      </c>
      <c r="I13" s="189">
        <v>11.8</v>
      </c>
      <c r="J13" s="189">
        <v>0.09</v>
      </c>
      <c r="K13" s="189">
        <v>189.45</v>
      </c>
      <c r="L13" s="189">
        <v>16.13</v>
      </c>
      <c r="M13" s="189">
        <v>92.61</v>
      </c>
      <c r="N13" s="189">
        <v>0</v>
      </c>
      <c r="O13" s="189">
        <v>0</v>
      </c>
      <c r="P13" s="189">
        <v>1.1100000000000001</v>
      </c>
      <c r="Q13" s="189">
        <v>4.91</v>
      </c>
    </row>
    <row r="14" spans="1:21" customFormat="1">
      <c r="A14" s="6" t="s">
        <v>1972</v>
      </c>
      <c r="B14" s="189">
        <v>7.63</v>
      </c>
      <c r="C14" s="189">
        <v>27.87</v>
      </c>
      <c r="D14" s="189">
        <v>22.03</v>
      </c>
      <c r="E14" s="189">
        <v>4.8099999999999996</v>
      </c>
      <c r="F14" s="189">
        <v>2.54</v>
      </c>
      <c r="G14" s="189">
        <v>125.83</v>
      </c>
      <c r="H14" s="189">
        <v>71.95</v>
      </c>
      <c r="I14" s="189">
        <v>11.8</v>
      </c>
      <c r="J14" s="189">
        <v>0.11</v>
      </c>
      <c r="K14" s="189">
        <v>155.49</v>
      </c>
      <c r="L14" s="189">
        <v>16.07</v>
      </c>
      <c r="M14" s="189">
        <v>93.17</v>
      </c>
      <c r="N14" s="189">
        <v>0</v>
      </c>
      <c r="O14" s="189">
        <v>0</v>
      </c>
      <c r="P14" s="189">
        <v>1.1100000000000001</v>
      </c>
      <c r="Q14" s="189">
        <v>4.9000000000000004</v>
      </c>
    </row>
    <row r="15" spans="1:21" customFormat="1">
      <c r="A15" s="6" t="s">
        <v>1973</v>
      </c>
      <c r="B15" s="189">
        <v>7.84</v>
      </c>
      <c r="C15" s="189">
        <v>27.94</v>
      </c>
      <c r="D15" s="189">
        <v>22.24</v>
      </c>
      <c r="E15" s="189">
        <v>4.79</v>
      </c>
      <c r="F15" s="189">
        <v>2.61</v>
      </c>
      <c r="G15" s="189">
        <v>125.23</v>
      </c>
      <c r="H15" s="189">
        <v>66.87</v>
      </c>
      <c r="I15" s="189">
        <v>11.76</v>
      </c>
      <c r="J15" s="189">
        <v>0.08</v>
      </c>
      <c r="K15" s="189">
        <v>157.78</v>
      </c>
      <c r="L15" s="189">
        <v>15.92</v>
      </c>
      <c r="M15" s="189">
        <v>92.79</v>
      </c>
      <c r="N15" s="189">
        <v>0</v>
      </c>
      <c r="O15" s="189">
        <v>0</v>
      </c>
      <c r="P15" s="189">
        <v>1.1000000000000001</v>
      </c>
      <c r="Q15" s="189">
        <v>4.88</v>
      </c>
    </row>
    <row r="16" spans="1:21" customFormat="1">
      <c r="A16" s="6" t="s">
        <v>1974</v>
      </c>
      <c r="B16" s="189">
        <v>10.32</v>
      </c>
      <c r="C16" s="189">
        <v>29.13</v>
      </c>
      <c r="D16" s="189">
        <v>24.84</v>
      </c>
      <c r="E16" s="189">
        <v>5.15</v>
      </c>
      <c r="F16" s="189">
        <v>2.5</v>
      </c>
      <c r="G16" s="189">
        <v>125.14</v>
      </c>
      <c r="H16" s="189">
        <v>66.87</v>
      </c>
      <c r="I16" s="189">
        <v>11.68</v>
      </c>
      <c r="J16" s="189">
        <v>0.09</v>
      </c>
      <c r="K16" s="189">
        <v>209.4</v>
      </c>
      <c r="L16" s="189">
        <v>16</v>
      </c>
      <c r="M16" s="189">
        <v>91.41</v>
      </c>
      <c r="N16" s="189">
        <v>0</v>
      </c>
      <c r="O16" s="189">
        <v>0</v>
      </c>
      <c r="P16" s="189">
        <v>1.0900000000000001</v>
      </c>
      <c r="Q16" s="189">
        <v>4.91</v>
      </c>
    </row>
    <row r="17" spans="1:17" customFormat="1">
      <c r="A17" s="6" t="s">
        <v>1975</v>
      </c>
      <c r="B17" s="189">
        <v>14.09</v>
      </c>
      <c r="C17" s="189">
        <v>30.78</v>
      </c>
      <c r="D17" s="189">
        <v>28.73</v>
      </c>
      <c r="E17" s="189">
        <v>6.34</v>
      </c>
      <c r="F17" s="189">
        <v>2.52</v>
      </c>
      <c r="G17" s="189">
        <v>125.14</v>
      </c>
      <c r="H17" s="189">
        <v>66.87</v>
      </c>
      <c r="I17" s="189">
        <v>11.62</v>
      </c>
      <c r="J17" s="189">
        <v>0.01</v>
      </c>
      <c r="K17" s="189">
        <v>75.61</v>
      </c>
      <c r="L17" s="189">
        <v>15.81</v>
      </c>
      <c r="M17" s="189">
        <v>92.14</v>
      </c>
      <c r="N17" s="189">
        <v>0</v>
      </c>
      <c r="O17" s="189">
        <v>0</v>
      </c>
      <c r="P17" s="189">
        <v>1.08</v>
      </c>
      <c r="Q17" s="189">
        <v>4.9800000000000004</v>
      </c>
    </row>
    <row r="18" spans="1:17" customFormat="1">
      <c r="A18" s="6" t="s">
        <v>1976</v>
      </c>
      <c r="B18" s="189">
        <v>18.22</v>
      </c>
      <c r="C18" s="189">
        <v>32.21</v>
      </c>
      <c r="D18" s="189">
        <v>32.79</v>
      </c>
      <c r="E18" s="189">
        <v>6.46</v>
      </c>
      <c r="F18" s="189">
        <v>2.54</v>
      </c>
      <c r="G18" s="189">
        <v>125.14</v>
      </c>
      <c r="H18" s="189">
        <v>66.87</v>
      </c>
      <c r="I18" s="189">
        <v>11.54</v>
      </c>
      <c r="J18" s="189">
        <v>7.0000000000000007E-2</v>
      </c>
      <c r="K18" s="189">
        <v>72.48</v>
      </c>
      <c r="L18" s="189">
        <v>15.88</v>
      </c>
      <c r="M18" s="189">
        <v>91.46</v>
      </c>
      <c r="N18" s="189">
        <v>0</v>
      </c>
      <c r="O18" s="189">
        <v>0</v>
      </c>
      <c r="P18" s="189">
        <v>1.0900000000000001</v>
      </c>
      <c r="Q18" s="189">
        <v>5.04</v>
      </c>
    </row>
    <row r="19" spans="1:17" customFormat="1">
      <c r="A19" s="6" t="s">
        <v>1977</v>
      </c>
      <c r="B19" s="189">
        <v>21.29</v>
      </c>
      <c r="C19" s="189">
        <v>33.54</v>
      </c>
      <c r="D19" s="189">
        <v>35.950000000000003</v>
      </c>
      <c r="E19" s="189">
        <v>6.95</v>
      </c>
      <c r="F19" s="189">
        <v>2.4900000000000002</v>
      </c>
      <c r="G19" s="189">
        <v>112.8</v>
      </c>
      <c r="H19" s="189">
        <v>67.53</v>
      </c>
      <c r="I19" s="189">
        <v>11.5</v>
      </c>
      <c r="J19" s="189">
        <v>0.06</v>
      </c>
      <c r="K19" s="189">
        <v>90.38</v>
      </c>
      <c r="L19" s="189">
        <v>15.9</v>
      </c>
      <c r="M19" s="189">
        <v>90.64</v>
      </c>
      <c r="N19" s="189">
        <v>0</v>
      </c>
      <c r="O19" s="189">
        <v>0</v>
      </c>
      <c r="P19" s="189">
        <v>1.08</v>
      </c>
      <c r="Q19" s="189">
        <v>5.07</v>
      </c>
    </row>
    <row r="20" spans="1:17" customFormat="1">
      <c r="A20" s="6" t="s">
        <v>1978</v>
      </c>
      <c r="B20" s="189">
        <v>22.59</v>
      </c>
      <c r="C20" s="189">
        <v>34.33</v>
      </c>
      <c r="D20" s="189">
        <v>37.4</v>
      </c>
      <c r="E20" s="189">
        <v>6.5</v>
      </c>
      <c r="F20" s="189">
        <v>2.56</v>
      </c>
      <c r="G20" s="189">
        <v>111.08</v>
      </c>
      <c r="H20" s="189">
        <v>67.53</v>
      </c>
      <c r="I20" s="189">
        <v>11.53</v>
      </c>
      <c r="J20" s="189">
        <v>0.15</v>
      </c>
      <c r="K20" s="189">
        <v>56.99</v>
      </c>
      <c r="L20" s="189">
        <v>15.94</v>
      </c>
      <c r="M20" s="189">
        <v>90.06</v>
      </c>
      <c r="N20" s="189">
        <v>0</v>
      </c>
      <c r="O20" s="189">
        <v>0</v>
      </c>
      <c r="P20" s="189">
        <v>1.08</v>
      </c>
      <c r="Q20" s="189">
        <v>5.1100000000000003</v>
      </c>
    </row>
    <row r="21" spans="1:17" customFormat="1">
      <c r="A21" s="6" t="s">
        <v>1979</v>
      </c>
      <c r="B21" s="189">
        <v>23.06</v>
      </c>
      <c r="C21" s="189">
        <v>34.69</v>
      </c>
      <c r="D21" s="189">
        <v>37.97</v>
      </c>
      <c r="E21" s="189">
        <v>6.82</v>
      </c>
      <c r="F21" s="189">
        <v>2.62</v>
      </c>
      <c r="G21" s="189">
        <v>111.08</v>
      </c>
      <c r="H21" s="189">
        <v>67.53</v>
      </c>
      <c r="I21" s="189">
        <v>11.6</v>
      </c>
      <c r="J21" s="189">
        <v>0.25</v>
      </c>
      <c r="K21" s="189">
        <v>43.69</v>
      </c>
      <c r="L21" s="189">
        <v>16.04</v>
      </c>
      <c r="M21" s="189">
        <v>89.29</v>
      </c>
      <c r="N21" s="189">
        <v>0</v>
      </c>
      <c r="O21" s="189">
        <v>0</v>
      </c>
      <c r="P21" s="189">
        <v>1.07</v>
      </c>
      <c r="Q21" s="189">
        <v>5.13</v>
      </c>
    </row>
    <row r="22" spans="1:17" customFormat="1">
      <c r="A22" s="6" t="s">
        <v>1980</v>
      </c>
      <c r="B22" s="189">
        <v>22.89</v>
      </c>
      <c r="C22" s="189">
        <v>34.71</v>
      </c>
      <c r="D22" s="189">
        <v>37.840000000000003</v>
      </c>
      <c r="E22" s="189">
        <v>7.11</v>
      </c>
      <c r="F22" s="189">
        <v>2.62</v>
      </c>
      <c r="G22" s="189">
        <v>111.08</v>
      </c>
      <c r="H22" s="189">
        <v>67.53</v>
      </c>
      <c r="I22" s="189">
        <v>11.68</v>
      </c>
      <c r="J22" s="189">
        <v>0.16</v>
      </c>
      <c r="K22" s="189">
        <v>54.14</v>
      </c>
      <c r="L22" s="189">
        <v>16.079999999999998</v>
      </c>
      <c r="M22" s="189">
        <v>88.61</v>
      </c>
      <c r="N22" s="189">
        <v>0</v>
      </c>
      <c r="O22" s="189">
        <v>0</v>
      </c>
      <c r="P22" s="189">
        <v>1.08</v>
      </c>
      <c r="Q22" s="189">
        <v>5.13</v>
      </c>
    </row>
    <row r="23" spans="1:17" customFormat="1">
      <c r="A23" s="6" t="s">
        <v>1981</v>
      </c>
      <c r="B23" s="189">
        <v>22.64</v>
      </c>
      <c r="C23" s="189">
        <v>35.47</v>
      </c>
      <c r="D23" s="189">
        <v>38.04</v>
      </c>
      <c r="E23" s="189">
        <v>6.97</v>
      </c>
      <c r="F23" s="189">
        <v>2.48</v>
      </c>
      <c r="G23" s="189">
        <v>133.34</v>
      </c>
      <c r="H23" s="189">
        <v>69.59</v>
      </c>
      <c r="I23" s="189">
        <v>11.78</v>
      </c>
      <c r="J23" s="189">
        <v>0.19</v>
      </c>
      <c r="K23" s="189">
        <v>55.44</v>
      </c>
      <c r="L23" s="189">
        <v>15.99</v>
      </c>
      <c r="M23" s="189">
        <v>89.07</v>
      </c>
      <c r="N23" s="189">
        <v>0</v>
      </c>
      <c r="O23" s="189">
        <v>0</v>
      </c>
      <c r="P23" s="189">
        <v>1.07</v>
      </c>
      <c r="Q23" s="189">
        <v>5.12</v>
      </c>
    </row>
    <row r="24" spans="1:17" customFormat="1">
      <c r="A24" s="6" t="s">
        <v>1982</v>
      </c>
      <c r="B24" s="189">
        <v>22.23</v>
      </c>
      <c r="C24" s="189">
        <v>34.229999999999997</v>
      </c>
      <c r="D24" s="189">
        <v>37.06</v>
      </c>
      <c r="E24" s="189">
        <v>6.89</v>
      </c>
      <c r="F24" s="189">
        <v>2.7</v>
      </c>
      <c r="G24" s="189">
        <v>136.44</v>
      </c>
      <c r="H24" s="189">
        <v>69.59</v>
      </c>
      <c r="I24" s="189">
        <v>11.94</v>
      </c>
      <c r="J24" s="189">
        <v>0.12</v>
      </c>
      <c r="K24" s="189">
        <v>93.87</v>
      </c>
      <c r="L24" s="189">
        <v>15.96</v>
      </c>
      <c r="M24" s="189">
        <v>89.31</v>
      </c>
      <c r="N24" s="189">
        <v>0</v>
      </c>
      <c r="O24" s="189">
        <v>0</v>
      </c>
      <c r="P24" s="189">
        <v>1.08</v>
      </c>
      <c r="Q24" s="189">
        <v>5.08</v>
      </c>
    </row>
    <row r="25" spans="1:17" customFormat="1">
      <c r="A25" s="6" t="s">
        <v>1983</v>
      </c>
      <c r="B25" s="189">
        <v>21.75</v>
      </c>
      <c r="C25" s="189">
        <v>31.06</v>
      </c>
      <c r="D25" s="189">
        <v>35.020000000000003</v>
      </c>
      <c r="E25" s="189">
        <v>6.34</v>
      </c>
      <c r="F25" s="189">
        <v>2.91</v>
      </c>
      <c r="G25" s="189">
        <v>136.44</v>
      </c>
      <c r="H25" s="189">
        <v>69.59</v>
      </c>
      <c r="I25" s="189">
        <v>12.02</v>
      </c>
      <c r="J25" s="189">
        <v>0.05</v>
      </c>
      <c r="K25" s="189">
        <v>134.79</v>
      </c>
      <c r="L25" s="189">
        <v>15.85</v>
      </c>
      <c r="M25" s="189">
        <v>90.13</v>
      </c>
      <c r="N25" s="189">
        <v>0</v>
      </c>
      <c r="O25" s="189">
        <v>0</v>
      </c>
      <c r="P25" s="189">
        <v>1.06</v>
      </c>
      <c r="Q25" s="189">
        <v>5.09</v>
      </c>
    </row>
    <row r="26" spans="1:17" customFormat="1">
      <c r="A26" s="6" t="s">
        <v>1984</v>
      </c>
      <c r="B26" s="189">
        <v>21.14</v>
      </c>
      <c r="C26" s="189">
        <v>31.52</v>
      </c>
      <c r="D26" s="189">
        <v>34.770000000000003</v>
      </c>
      <c r="E26" s="189">
        <v>5.88</v>
      </c>
      <c r="F26" s="189">
        <v>2.4900000000000002</v>
      </c>
      <c r="G26" s="189">
        <v>136.44</v>
      </c>
      <c r="H26" s="189">
        <v>69.59</v>
      </c>
      <c r="I26" s="189">
        <v>12.04</v>
      </c>
      <c r="J26" s="189">
        <v>7.0000000000000007E-2</v>
      </c>
      <c r="K26" s="189">
        <v>116.71</v>
      </c>
      <c r="L26" s="189">
        <v>15.69</v>
      </c>
      <c r="M26" s="189">
        <v>90.85</v>
      </c>
      <c r="N26" s="189">
        <v>0</v>
      </c>
      <c r="O26" s="189">
        <v>0</v>
      </c>
      <c r="P26" s="189">
        <v>1.06</v>
      </c>
      <c r="Q26" s="189">
        <v>5.09</v>
      </c>
    </row>
    <row r="27" spans="1:17" customFormat="1">
      <c r="A27" s="6" t="s">
        <v>1985</v>
      </c>
      <c r="B27" s="189">
        <v>21.03</v>
      </c>
      <c r="C27" s="189">
        <v>31.44</v>
      </c>
      <c r="D27" s="189">
        <v>34.64</v>
      </c>
      <c r="E27" s="189">
        <v>6.23</v>
      </c>
      <c r="F27" s="189">
        <v>2.4700000000000002</v>
      </c>
      <c r="G27" s="189">
        <v>136.08000000000001</v>
      </c>
      <c r="H27" s="189">
        <v>73.19</v>
      </c>
      <c r="I27" s="189">
        <v>12.09</v>
      </c>
      <c r="J27" s="189">
        <v>0.15</v>
      </c>
      <c r="K27" s="189">
        <v>157.41</v>
      </c>
      <c r="L27" s="189">
        <v>15.5</v>
      </c>
      <c r="M27" s="189">
        <v>91.17</v>
      </c>
      <c r="N27" s="189">
        <v>0</v>
      </c>
      <c r="O27" s="189">
        <v>0</v>
      </c>
      <c r="P27" s="189">
        <v>1.04</v>
      </c>
      <c r="Q27" s="189">
        <v>5.1100000000000003</v>
      </c>
    </row>
    <row r="28" spans="1:17" customFormat="1">
      <c r="A28" s="6" t="s">
        <v>1986</v>
      </c>
      <c r="B28" s="189">
        <v>20.63</v>
      </c>
      <c r="C28" s="189">
        <v>31.24</v>
      </c>
      <c r="D28" s="189">
        <v>34.22</v>
      </c>
      <c r="E28" s="189">
        <v>5.92</v>
      </c>
      <c r="F28" s="189">
        <v>2.56</v>
      </c>
      <c r="G28" s="189">
        <v>136.03</v>
      </c>
      <c r="H28" s="189">
        <v>73.19</v>
      </c>
      <c r="I28" s="189">
        <v>12.13</v>
      </c>
      <c r="J28" s="189">
        <v>0.14000000000000001</v>
      </c>
      <c r="K28" s="189">
        <v>206.79</v>
      </c>
      <c r="L28" s="189">
        <v>15.21</v>
      </c>
      <c r="M28" s="189">
        <v>92.97</v>
      </c>
      <c r="N28" s="189">
        <v>0</v>
      </c>
      <c r="O28" s="189">
        <v>0</v>
      </c>
      <c r="P28" s="189">
        <v>1.03</v>
      </c>
      <c r="Q28" s="189">
        <v>5.1100000000000003</v>
      </c>
    </row>
    <row r="29" spans="1:17" customFormat="1">
      <c r="A29" s="6" t="s">
        <v>1987</v>
      </c>
      <c r="B29" s="189">
        <v>19.690000000000001</v>
      </c>
      <c r="C29" s="189">
        <v>30.61</v>
      </c>
      <c r="D29" s="189">
        <v>33.130000000000003</v>
      </c>
      <c r="E29" s="189">
        <v>6.14</v>
      </c>
      <c r="F29" s="189">
        <v>2.48</v>
      </c>
      <c r="G29" s="189">
        <v>136.03</v>
      </c>
      <c r="H29" s="189">
        <v>73.19</v>
      </c>
      <c r="I29" s="189">
        <v>12.15</v>
      </c>
      <c r="J29" s="189">
        <v>0.12</v>
      </c>
      <c r="K29" s="189">
        <v>251.24</v>
      </c>
      <c r="L29" s="189">
        <v>14.79</v>
      </c>
      <c r="M29" s="189">
        <v>94.57</v>
      </c>
      <c r="N29" s="189">
        <v>0</v>
      </c>
      <c r="O29" s="189">
        <v>0</v>
      </c>
      <c r="P29" s="189">
        <v>1.03</v>
      </c>
      <c r="Q29" s="189">
        <v>5.1100000000000003</v>
      </c>
    </row>
    <row r="30" spans="1:17" customFormat="1">
      <c r="A30" s="6" t="s">
        <v>1988</v>
      </c>
      <c r="B30" s="189">
        <v>18.72</v>
      </c>
      <c r="C30" s="189">
        <v>29.99</v>
      </c>
      <c r="D30" s="189">
        <v>32.03</v>
      </c>
      <c r="E30" s="189">
        <v>6.05</v>
      </c>
      <c r="F30" s="189">
        <v>2.6</v>
      </c>
      <c r="G30" s="189">
        <v>136.03</v>
      </c>
      <c r="H30" s="189">
        <v>73.19</v>
      </c>
      <c r="I30" s="189">
        <v>12.13</v>
      </c>
      <c r="J30" s="189">
        <v>0.11</v>
      </c>
      <c r="K30" s="189">
        <v>254.45</v>
      </c>
      <c r="L30" s="189">
        <v>14.51</v>
      </c>
      <c r="M30" s="189">
        <v>95.13</v>
      </c>
      <c r="N30" s="189">
        <v>0</v>
      </c>
      <c r="O30" s="189">
        <v>0</v>
      </c>
      <c r="P30" s="189">
        <v>1.02</v>
      </c>
      <c r="Q30" s="189">
        <v>5.09</v>
      </c>
    </row>
    <row r="31" spans="1:17" customFormat="1">
      <c r="A31" s="6" t="s">
        <v>1989</v>
      </c>
      <c r="B31" s="189">
        <v>17.899999999999999</v>
      </c>
      <c r="C31" s="189">
        <v>29.73</v>
      </c>
      <c r="D31" s="189">
        <v>31.24</v>
      </c>
      <c r="E31" s="189">
        <v>6.42</v>
      </c>
      <c r="F31" s="189">
        <v>2.5299999999999998</v>
      </c>
      <c r="G31" s="189">
        <v>129.18</v>
      </c>
      <c r="H31" s="189">
        <v>73.25</v>
      </c>
      <c r="I31" s="189">
        <v>12.09</v>
      </c>
      <c r="J31" s="189">
        <v>0.09</v>
      </c>
      <c r="K31" s="189">
        <v>207.66</v>
      </c>
      <c r="L31" s="189">
        <v>14.46</v>
      </c>
      <c r="M31" s="189">
        <v>95.43</v>
      </c>
      <c r="N31" s="189">
        <v>0</v>
      </c>
      <c r="O31" s="189">
        <v>0</v>
      </c>
      <c r="P31" s="189">
        <v>1.01</v>
      </c>
      <c r="Q31" s="189">
        <v>5.0999999999999996</v>
      </c>
    </row>
    <row r="32" spans="1:17" customFormat="1">
      <c r="A32" s="6" t="s">
        <v>1990</v>
      </c>
      <c r="B32" s="189">
        <v>17.079999999999998</v>
      </c>
      <c r="C32" s="189">
        <v>28.96</v>
      </c>
      <c r="D32" s="189">
        <v>30.18</v>
      </c>
      <c r="E32" s="189">
        <v>6.41</v>
      </c>
      <c r="F32" s="189">
        <v>2.54</v>
      </c>
      <c r="G32" s="189">
        <v>128.22</v>
      </c>
      <c r="H32" s="189">
        <v>73.25</v>
      </c>
      <c r="I32" s="189">
        <v>12.03</v>
      </c>
      <c r="J32" s="189">
        <v>0.09</v>
      </c>
      <c r="K32" s="189">
        <v>202.82</v>
      </c>
      <c r="L32" s="189">
        <v>14.43</v>
      </c>
      <c r="M32" s="189">
        <v>96.28</v>
      </c>
      <c r="N32" s="189">
        <v>0</v>
      </c>
      <c r="O32" s="189">
        <v>0</v>
      </c>
      <c r="P32" s="189">
        <v>1</v>
      </c>
      <c r="Q32" s="189">
        <v>5.09</v>
      </c>
    </row>
    <row r="33" spans="1:17" customFormat="1">
      <c r="A33" s="6" t="s">
        <v>1991</v>
      </c>
      <c r="B33" s="189">
        <v>16.28</v>
      </c>
      <c r="C33" s="189">
        <v>27.99</v>
      </c>
      <c r="D33" s="189">
        <v>29.03</v>
      </c>
      <c r="E33" s="189">
        <v>6.54</v>
      </c>
      <c r="F33" s="189">
        <v>2.5299999999999998</v>
      </c>
      <c r="G33" s="189">
        <v>128.22</v>
      </c>
      <c r="H33" s="189">
        <v>73.25</v>
      </c>
      <c r="I33" s="189">
        <v>11.98</v>
      </c>
      <c r="J33" s="189">
        <v>0.14000000000000001</v>
      </c>
      <c r="K33" s="189">
        <v>254.43</v>
      </c>
      <c r="L33" s="189">
        <v>14.37</v>
      </c>
      <c r="M33" s="189">
        <v>96.54</v>
      </c>
      <c r="N33" s="189">
        <v>0</v>
      </c>
      <c r="O33" s="189">
        <v>0</v>
      </c>
      <c r="P33" s="189">
        <v>0.98</v>
      </c>
      <c r="Q33" s="189">
        <v>5.07</v>
      </c>
    </row>
    <row r="34" spans="1:17" customFormat="1">
      <c r="A34" s="6" t="s">
        <v>1992</v>
      </c>
      <c r="B34" s="189">
        <v>15.67</v>
      </c>
      <c r="C34" s="189">
        <v>26.69</v>
      </c>
      <c r="D34" s="189">
        <v>27.86</v>
      </c>
      <c r="E34" s="189">
        <v>6.07</v>
      </c>
      <c r="F34" s="189">
        <v>2.58</v>
      </c>
      <c r="G34" s="189">
        <v>128.22</v>
      </c>
      <c r="H34" s="189">
        <v>73.25</v>
      </c>
      <c r="I34" s="189">
        <v>11.9</v>
      </c>
      <c r="J34" s="189">
        <v>0.12</v>
      </c>
      <c r="K34" s="189">
        <v>268.76</v>
      </c>
      <c r="L34" s="189">
        <v>14.18</v>
      </c>
      <c r="M34" s="189">
        <v>96.46</v>
      </c>
      <c r="N34" s="189">
        <v>0</v>
      </c>
      <c r="O34" s="189">
        <v>0</v>
      </c>
      <c r="P34" s="189">
        <v>0.97</v>
      </c>
      <c r="Q34" s="189">
        <v>5.04</v>
      </c>
    </row>
    <row r="35" spans="1:17" customFormat="1">
      <c r="A35" s="6" t="s">
        <v>1993</v>
      </c>
      <c r="B35" s="189">
        <v>15.92</v>
      </c>
      <c r="C35" s="189">
        <v>27.07</v>
      </c>
      <c r="D35" s="189">
        <v>28.26</v>
      </c>
      <c r="E35" s="189">
        <v>6.49</v>
      </c>
      <c r="F35" s="189">
        <v>2.4700000000000002</v>
      </c>
      <c r="G35" s="189">
        <v>113.43</v>
      </c>
      <c r="H35" s="189">
        <v>68.78</v>
      </c>
      <c r="I35" s="189">
        <v>11.83</v>
      </c>
      <c r="J35" s="189">
        <v>0.08</v>
      </c>
      <c r="K35" s="189">
        <v>264.2</v>
      </c>
      <c r="L35" s="189">
        <v>14.16</v>
      </c>
      <c r="M35" s="189">
        <v>96.27</v>
      </c>
      <c r="N35" s="189">
        <v>0</v>
      </c>
      <c r="O35" s="189">
        <v>0</v>
      </c>
      <c r="P35" s="189">
        <v>0.96</v>
      </c>
      <c r="Q35" s="189">
        <v>5.04</v>
      </c>
    </row>
    <row r="36" spans="1:17" customFormat="1">
      <c r="A36" s="6" t="s">
        <v>1994</v>
      </c>
      <c r="B36" s="189">
        <v>19.510000000000002</v>
      </c>
      <c r="C36" s="189">
        <v>27.94</v>
      </c>
      <c r="D36" s="189">
        <v>31.59</v>
      </c>
      <c r="E36" s="189">
        <v>6.04</v>
      </c>
      <c r="F36" s="189">
        <v>2.58</v>
      </c>
      <c r="G36" s="189">
        <v>111.37</v>
      </c>
      <c r="H36" s="189">
        <v>68.78</v>
      </c>
      <c r="I36" s="189">
        <v>11.72</v>
      </c>
      <c r="J36" s="189">
        <v>0.04</v>
      </c>
      <c r="K36" s="189">
        <v>176.6</v>
      </c>
      <c r="L36" s="189">
        <v>14.39</v>
      </c>
      <c r="M36" s="189">
        <v>96.07</v>
      </c>
      <c r="N36" s="189">
        <v>3.6</v>
      </c>
      <c r="O36" s="189">
        <v>0</v>
      </c>
      <c r="P36" s="189">
        <v>0.97</v>
      </c>
      <c r="Q36" s="189">
        <v>5.09</v>
      </c>
    </row>
    <row r="37" spans="1:17" customFormat="1">
      <c r="A37" s="6" t="s">
        <v>1995</v>
      </c>
      <c r="B37" s="189">
        <v>22.6</v>
      </c>
      <c r="C37" s="189">
        <v>29.36</v>
      </c>
      <c r="D37" s="189">
        <v>34.82</v>
      </c>
      <c r="E37" s="189">
        <v>6.12</v>
      </c>
      <c r="F37" s="189">
        <v>2.48</v>
      </c>
      <c r="G37" s="189">
        <v>111.37</v>
      </c>
      <c r="H37" s="189">
        <v>68.78</v>
      </c>
      <c r="I37" s="189">
        <v>11.7</v>
      </c>
      <c r="J37" s="189">
        <v>0.1</v>
      </c>
      <c r="K37" s="189">
        <v>47.79</v>
      </c>
      <c r="L37" s="189">
        <v>14.81</v>
      </c>
      <c r="M37" s="189">
        <v>94.76</v>
      </c>
      <c r="N37" s="189">
        <v>13.3</v>
      </c>
      <c r="O37" s="189">
        <v>0</v>
      </c>
      <c r="P37" s="189">
        <v>0.98</v>
      </c>
      <c r="Q37" s="189">
        <v>5.1100000000000003</v>
      </c>
    </row>
    <row r="38" spans="1:17" customFormat="1">
      <c r="A38" s="6" t="s">
        <v>1996</v>
      </c>
      <c r="B38" s="189">
        <v>24.77</v>
      </c>
      <c r="C38" s="189">
        <v>29.55</v>
      </c>
      <c r="D38" s="189">
        <v>36.659999999999997</v>
      </c>
      <c r="E38" s="189">
        <v>6.1</v>
      </c>
      <c r="F38" s="189">
        <v>2.5499999999999998</v>
      </c>
      <c r="G38" s="189">
        <v>111.37</v>
      </c>
      <c r="H38" s="189">
        <v>68.78</v>
      </c>
      <c r="I38" s="189">
        <v>11.76</v>
      </c>
      <c r="J38" s="189">
        <v>0.05</v>
      </c>
      <c r="K38" s="189">
        <v>32.54</v>
      </c>
      <c r="L38" s="189">
        <v>15.29</v>
      </c>
      <c r="M38" s="189">
        <v>92.11</v>
      </c>
      <c r="N38" s="189">
        <v>24.4</v>
      </c>
      <c r="O38" s="189">
        <v>0</v>
      </c>
      <c r="P38" s="189">
        <v>0.98</v>
      </c>
      <c r="Q38" s="189">
        <v>5.16</v>
      </c>
    </row>
    <row r="39" spans="1:17" customFormat="1">
      <c r="A39" s="6" t="s">
        <v>1997</v>
      </c>
      <c r="B39" s="189">
        <v>26.24</v>
      </c>
      <c r="C39" s="189">
        <v>30.39</v>
      </c>
      <c r="D39" s="189">
        <v>38.270000000000003</v>
      </c>
      <c r="E39" s="189">
        <v>6.48</v>
      </c>
      <c r="F39" s="189">
        <v>2.38</v>
      </c>
      <c r="G39" s="189">
        <v>123.96</v>
      </c>
      <c r="H39" s="189">
        <v>68.72</v>
      </c>
      <c r="I39" s="189">
        <v>11.83</v>
      </c>
      <c r="J39" s="189">
        <v>0.21</v>
      </c>
      <c r="K39" s="189">
        <v>58.68</v>
      </c>
      <c r="L39" s="189">
        <v>15.83</v>
      </c>
      <c r="M39" s="189">
        <v>87.8</v>
      </c>
      <c r="N39" s="189">
        <v>36.299999999999997</v>
      </c>
      <c r="O39" s="189">
        <v>0</v>
      </c>
      <c r="P39" s="189">
        <v>0.99</v>
      </c>
      <c r="Q39" s="189">
        <v>5.17</v>
      </c>
    </row>
    <row r="40" spans="1:17" customFormat="1">
      <c r="A40" s="6" t="s">
        <v>1998</v>
      </c>
      <c r="B40" s="189">
        <v>26.39</v>
      </c>
      <c r="C40" s="189">
        <v>32.08</v>
      </c>
      <c r="D40" s="189">
        <v>39.28</v>
      </c>
      <c r="E40" s="189">
        <v>6.28</v>
      </c>
      <c r="F40" s="189">
        <v>2.4900000000000002</v>
      </c>
      <c r="G40" s="189">
        <v>125.71</v>
      </c>
      <c r="H40" s="189">
        <v>68.72</v>
      </c>
      <c r="I40" s="189">
        <v>11.96</v>
      </c>
      <c r="J40" s="189">
        <v>0.32</v>
      </c>
      <c r="K40" s="189">
        <v>49.04</v>
      </c>
      <c r="L40" s="189">
        <v>16.41</v>
      </c>
      <c r="M40" s="189">
        <v>84.73</v>
      </c>
      <c r="N40" s="189">
        <v>51</v>
      </c>
      <c r="O40" s="189">
        <v>0</v>
      </c>
      <c r="P40" s="189">
        <v>1</v>
      </c>
      <c r="Q40" s="189">
        <v>5.2</v>
      </c>
    </row>
    <row r="41" spans="1:17" customFormat="1">
      <c r="A41" s="6" t="s">
        <v>1999</v>
      </c>
      <c r="B41" s="189">
        <v>26.35</v>
      </c>
      <c r="C41" s="189">
        <v>31.66</v>
      </c>
      <c r="D41" s="189">
        <v>39.020000000000003</v>
      </c>
      <c r="E41" s="189">
        <v>6.12</v>
      </c>
      <c r="F41" s="189">
        <v>2.69</v>
      </c>
      <c r="G41" s="189">
        <v>125.71</v>
      </c>
      <c r="H41" s="189">
        <v>68.72</v>
      </c>
      <c r="I41" s="189">
        <v>12.08</v>
      </c>
      <c r="J41" s="189">
        <v>0.38</v>
      </c>
      <c r="K41" s="189">
        <v>48.88</v>
      </c>
      <c r="L41" s="189">
        <v>16.940000000000001</v>
      </c>
      <c r="M41" s="189">
        <v>83.17</v>
      </c>
      <c r="N41" s="189">
        <v>104.9</v>
      </c>
      <c r="O41" s="189">
        <v>0</v>
      </c>
      <c r="P41" s="189">
        <v>1</v>
      </c>
      <c r="Q41" s="189">
        <v>5.2</v>
      </c>
    </row>
    <row r="42" spans="1:17" customFormat="1">
      <c r="A42" s="6" t="s">
        <v>2000</v>
      </c>
      <c r="B42" s="189">
        <v>25.82</v>
      </c>
      <c r="C42" s="189">
        <v>34.58</v>
      </c>
      <c r="D42" s="189">
        <v>40.119999999999997</v>
      </c>
      <c r="E42" s="189">
        <v>6.92</v>
      </c>
      <c r="F42" s="189">
        <v>2.46</v>
      </c>
      <c r="G42" s="189">
        <v>125.71</v>
      </c>
      <c r="H42" s="189">
        <v>68.72</v>
      </c>
      <c r="I42" s="189">
        <v>12.21</v>
      </c>
      <c r="J42" s="189">
        <v>0.37</v>
      </c>
      <c r="K42" s="189">
        <v>38.79</v>
      </c>
      <c r="L42" s="189">
        <v>17.53</v>
      </c>
      <c r="M42" s="189">
        <v>80.58</v>
      </c>
      <c r="N42" s="189">
        <v>132.9</v>
      </c>
      <c r="O42" s="189">
        <v>0</v>
      </c>
      <c r="P42" s="189">
        <v>1.02</v>
      </c>
      <c r="Q42" s="189">
        <v>5.2</v>
      </c>
    </row>
    <row r="43" spans="1:17" customFormat="1">
      <c r="A43" s="6" t="s">
        <v>2001</v>
      </c>
      <c r="B43" s="189">
        <v>25.36</v>
      </c>
      <c r="C43" s="189">
        <v>36.590000000000003</v>
      </c>
      <c r="D43" s="189">
        <v>40.81</v>
      </c>
      <c r="E43" s="189">
        <v>6.83</v>
      </c>
      <c r="F43" s="189">
        <v>2.4500000000000002</v>
      </c>
      <c r="G43" s="189">
        <v>145.5</v>
      </c>
      <c r="H43" s="189">
        <v>69.790000000000006</v>
      </c>
      <c r="I43" s="189">
        <v>12.3</v>
      </c>
      <c r="J43" s="189">
        <v>0.43</v>
      </c>
      <c r="K43" s="189">
        <v>58.26</v>
      </c>
      <c r="L43" s="189">
        <v>18.25</v>
      </c>
      <c r="M43" s="189">
        <v>77.58</v>
      </c>
      <c r="N43" s="189">
        <v>159</v>
      </c>
      <c r="O43" s="189">
        <v>0</v>
      </c>
      <c r="P43" s="189">
        <v>1.03</v>
      </c>
      <c r="Q43" s="189">
        <v>5.23</v>
      </c>
    </row>
    <row r="44" spans="1:17" customFormat="1">
      <c r="A44" s="6" t="s">
        <v>2002</v>
      </c>
      <c r="B44" s="189">
        <v>24.51</v>
      </c>
      <c r="C44" s="189">
        <v>35.619999999999997</v>
      </c>
      <c r="D44" s="189">
        <v>39.619999999999997</v>
      </c>
      <c r="E44" s="189">
        <v>6.71</v>
      </c>
      <c r="F44" s="189">
        <v>2.67</v>
      </c>
      <c r="G44" s="189">
        <v>148.25</v>
      </c>
      <c r="H44" s="189">
        <v>69.790000000000006</v>
      </c>
      <c r="I44" s="189">
        <v>12.37</v>
      </c>
      <c r="J44" s="189">
        <v>0.46</v>
      </c>
      <c r="K44" s="189">
        <v>59.12</v>
      </c>
      <c r="L44" s="189">
        <v>19.02</v>
      </c>
      <c r="M44" s="189">
        <v>72.41</v>
      </c>
      <c r="N44" s="189">
        <v>174.8</v>
      </c>
      <c r="O44" s="189">
        <v>0</v>
      </c>
      <c r="P44" s="189">
        <v>1.04</v>
      </c>
      <c r="Q44" s="189">
        <v>5.2</v>
      </c>
    </row>
    <row r="45" spans="1:17" customFormat="1">
      <c r="A45" s="6" t="s">
        <v>2003</v>
      </c>
      <c r="B45" s="189">
        <v>23.51</v>
      </c>
      <c r="C45" s="189">
        <v>34.81</v>
      </c>
      <c r="D45" s="189">
        <v>38.39</v>
      </c>
      <c r="E45" s="189">
        <v>6.83</v>
      </c>
      <c r="F45" s="189">
        <v>2.71</v>
      </c>
      <c r="G45" s="189">
        <v>148.25</v>
      </c>
      <c r="H45" s="189">
        <v>69.790000000000006</v>
      </c>
      <c r="I45" s="189">
        <v>12.43</v>
      </c>
      <c r="J45" s="189">
        <v>0.45</v>
      </c>
      <c r="K45" s="189">
        <v>50.7</v>
      </c>
      <c r="L45" s="189">
        <v>19.66</v>
      </c>
      <c r="M45" s="189">
        <v>70.319999999999993</v>
      </c>
      <c r="N45" s="189">
        <v>126.8</v>
      </c>
      <c r="O45" s="189">
        <v>0</v>
      </c>
      <c r="P45" s="189">
        <v>1.03</v>
      </c>
      <c r="Q45" s="189">
        <v>5.2</v>
      </c>
    </row>
    <row r="46" spans="1:17" customFormat="1">
      <c r="A46" s="6" t="s">
        <v>2004</v>
      </c>
      <c r="B46" s="189">
        <v>22.53</v>
      </c>
      <c r="C46" s="189">
        <v>34.53</v>
      </c>
      <c r="D46" s="189">
        <v>37.46</v>
      </c>
      <c r="E46" s="189">
        <v>6.9</v>
      </c>
      <c r="F46" s="189">
        <v>2.73</v>
      </c>
      <c r="G46" s="189">
        <v>148.25</v>
      </c>
      <c r="H46" s="189">
        <v>69.790000000000006</v>
      </c>
      <c r="I46" s="189">
        <v>12.4</v>
      </c>
      <c r="J46" s="189">
        <v>0.43</v>
      </c>
      <c r="K46" s="189">
        <v>53.38</v>
      </c>
      <c r="L46" s="189">
        <v>20.149999999999999</v>
      </c>
      <c r="M46" s="189">
        <v>68.78</v>
      </c>
      <c r="N46" s="189">
        <v>124.7</v>
      </c>
      <c r="O46" s="189">
        <v>0</v>
      </c>
      <c r="P46" s="189">
        <v>1.03</v>
      </c>
      <c r="Q46" s="189">
        <v>5.16</v>
      </c>
    </row>
    <row r="47" spans="1:17" customFormat="1">
      <c r="A47" s="6" t="s">
        <v>2005</v>
      </c>
      <c r="B47" s="189">
        <v>21.38</v>
      </c>
      <c r="C47" s="189">
        <v>34.32</v>
      </c>
      <c r="D47" s="189">
        <v>36.43</v>
      </c>
      <c r="E47" s="189">
        <v>7.24</v>
      </c>
      <c r="F47" s="189">
        <v>2.77</v>
      </c>
      <c r="G47" s="189">
        <v>130.01</v>
      </c>
      <c r="H47" s="189">
        <v>70.540000000000006</v>
      </c>
      <c r="I47" s="189">
        <v>12.35</v>
      </c>
      <c r="J47" s="189">
        <v>0.4</v>
      </c>
      <c r="K47" s="189">
        <v>47.88</v>
      </c>
      <c r="L47" s="189">
        <v>20.95</v>
      </c>
      <c r="M47" s="189">
        <v>66.41</v>
      </c>
      <c r="N47" s="189">
        <v>138.5</v>
      </c>
      <c r="O47" s="189">
        <v>0</v>
      </c>
      <c r="P47" s="189">
        <v>1.02</v>
      </c>
      <c r="Q47" s="189">
        <v>5.16</v>
      </c>
    </row>
    <row r="48" spans="1:17" customFormat="1">
      <c r="A48" s="6" t="s">
        <v>2006</v>
      </c>
      <c r="B48" s="189">
        <v>20.43</v>
      </c>
      <c r="C48" s="189">
        <v>34.49</v>
      </c>
      <c r="D48" s="189">
        <v>35.76</v>
      </c>
      <c r="E48" s="189">
        <v>7.11</v>
      </c>
      <c r="F48" s="189">
        <v>2.75</v>
      </c>
      <c r="G48" s="189">
        <v>127.47</v>
      </c>
      <c r="H48" s="189">
        <v>70.540000000000006</v>
      </c>
      <c r="I48" s="189">
        <v>12.28</v>
      </c>
      <c r="J48" s="189">
        <v>0.45</v>
      </c>
      <c r="K48" s="189">
        <v>56.15</v>
      </c>
      <c r="L48" s="189">
        <v>21.75</v>
      </c>
      <c r="M48" s="189">
        <v>63.75</v>
      </c>
      <c r="N48" s="189">
        <v>182.6</v>
      </c>
      <c r="O48" s="189">
        <v>0</v>
      </c>
      <c r="P48" s="189">
        <v>1.02</v>
      </c>
      <c r="Q48" s="189">
        <v>5.14</v>
      </c>
    </row>
    <row r="49" spans="1:17" customFormat="1">
      <c r="A49" s="6" t="s">
        <v>2007</v>
      </c>
      <c r="B49" s="189">
        <v>18.91</v>
      </c>
      <c r="C49" s="189">
        <v>34.75</v>
      </c>
      <c r="D49" s="189">
        <v>34.67</v>
      </c>
      <c r="E49" s="189">
        <v>5.4</v>
      </c>
      <c r="F49" s="189">
        <v>2.89</v>
      </c>
      <c r="G49" s="189">
        <v>127.47</v>
      </c>
      <c r="H49" s="189">
        <v>70.540000000000006</v>
      </c>
      <c r="I49" s="189">
        <v>12.26</v>
      </c>
      <c r="J49" s="189">
        <v>0.3</v>
      </c>
      <c r="K49" s="189">
        <v>149.04</v>
      </c>
      <c r="L49" s="189">
        <v>22.8</v>
      </c>
      <c r="M49" s="189">
        <v>60.14</v>
      </c>
      <c r="N49" s="189">
        <v>326.2</v>
      </c>
      <c r="O49" s="189">
        <v>0</v>
      </c>
      <c r="P49" s="189">
        <v>1.01</v>
      </c>
      <c r="Q49" s="189">
        <v>5.12</v>
      </c>
    </row>
    <row r="50" spans="1:17" customFormat="1">
      <c r="A50" s="6" t="s">
        <v>2008</v>
      </c>
      <c r="B50" s="189">
        <v>16.91</v>
      </c>
      <c r="C50" s="189">
        <v>34.68</v>
      </c>
      <c r="D50" s="189">
        <v>33.03</v>
      </c>
      <c r="E50" s="189">
        <v>6.47</v>
      </c>
      <c r="F50" s="189">
        <v>3</v>
      </c>
      <c r="G50" s="189">
        <v>127.47</v>
      </c>
      <c r="H50" s="189">
        <v>70.540000000000006</v>
      </c>
      <c r="I50" s="189">
        <v>12.19</v>
      </c>
      <c r="J50" s="189">
        <v>0.13</v>
      </c>
      <c r="K50" s="189">
        <v>117.02</v>
      </c>
      <c r="L50" s="189">
        <v>23.49</v>
      </c>
      <c r="M50" s="189">
        <v>57.26</v>
      </c>
      <c r="N50" s="189">
        <v>361.2</v>
      </c>
      <c r="O50" s="189">
        <v>0</v>
      </c>
      <c r="P50" s="189">
        <v>1</v>
      </c>
      <c r="Q50" s="189">
        <v>5.08</v>
      </c>
    </row>
    <row r="51" spans="1:17" customFormat="1">
      <c r="A51" s="6" t="s">
        <v>2009</v>
      </c>
      <c r="B51" s="189">
        <v>14.74</v>
      </c>
      <c r="C51" s="189">
        <v>34.590000000000003</v>
      </c>
      <c r="D51" s="189">
        <v>31.24</v>
      </c>
      <c r="E51" s="189">
        <v>6.53</v>
      </c>
      <c r="F51" s="189">
        <v>2.95</v>
      </c>
      <c r="G51" s="189">
        <v>129.69</v>
      </c>
      <c r="H51" s="189">
        <v>67.319999999999993</v>
      </c>
      <c r="I51" s="189">
        <v>12.09</v>
      </c>
      <c r="J51" s="189">
        <v>0.26</v>
      </c>
      <c r="K51" s="189">
        <v>276.64</v>
      </c>
      <c r="L51" s="189">
        <v>23.88</v>
      </c>
      <c r="M51" s="189">
        <v>56.3</v>
      </c>
      <c r="N51" s="189">
        <v>375.7</v>
      </c>
      <c r="O51" s="189">
        <v>0</v>
      </c>
      <c r="P51" s="189">
        <v>0.98</v>
      </c>
      <c r="Q51" s="189">
        <v>5.05</v>
      </c>
    </row>
    <row r="52" spans="1:17" customFormat="1">
      <c r="A52" s="6" t="s">
        <v>2010</v>
      </c>
      <c r="B52" s="189">
        <v>12.76</v>
      </c>
      <c r="C52" s="189">
        <v>34.33</v>
      </c>
      <c r="D52" s="189">
        <v>29.52</v>
      </c>
      <c r="E52" s="189">
        <v>7</v>
      </c>
      <c r="F52" s="189">
        <v>3.13</v>
      </c>
      <c r="G52" s="189">
        <v>130</v>
      </c>
      <c r="H52" s="189">
        <v>67.319999999999993</v>
      </c>
      <c r="I52" s="189">
        <v>11.99</v>
      </c>
      <c r="J52" s="189">
        <v>0.45</v>
      </c>
      <c r="K52" s="189">
        <v>27.53</v>
      </c>
      <c r="L52" s="189">
        <v>24.52</v>
      </c>
      <c r="M52" s="189">
        <v>54.37</v>
      </c>
      <c r="N52" s="189">
        <v>392</v>
      </c>
      <c r="O52" s="189">
        <v>0</v>
      </c>
      <c r="P52" s="189">
        <v>0.97</v>
      </c>
      <c r="Q52" s="189">
        <v>5.01</v>
      </c>
    </row>
    <row r="53" spans="1:17" customFormat="1">
      <c r="A53" s="6" t="s">
        <v>2011</v>
      </c>
      <c r="B53" s="189">
        <v>11.15</v>
      </c>
      <c r="C53" s="189">
        <v>34.53</v>
      </c>
      <c r="D53" s="189">
        <v>28.34</v>
      </c>
      <c r="E53" s="189">
        <v>6.38</v>
      </c>
      <c r="F53" s="189">
        <v>3.11</v>
      </c>
      <c r="G53" s="189">
        <v>130</v>
      </c>
      <c r="H53" s="189">
        <v>67.319999999999993</v>
      </c>
      <c r="I53" s="189">
        <v>11.84</v>
      </c>
      <c r="J53" s="189">
        <v>0.12</v>
      </c>
      <c r="K53" s="189">
        <v>56.61</v>
      </c>
      <c r="L53" s="189">
        <v>25.49</v>
      </c>
      <c r="M53" s="189">
        <v>51.67</v>
      </c>
      <c r="N53" s="189">
        <v>383.8</v>
      </c>
      <c r="O53" s="189">
        <v>0</v>
      </c>
      <c r="P53" s="189">
        <v>0.95</v>
      </c>
      <c r="Q53" s="189">
        <v>5</v>
      </c>
    </row>
    <row r="54" spans="1:17" customFormat="1">
      <c r="A54" s="6" t="s">
        <v>2012</v>
      </c>
      <c r="B54" s="189">
        <v>9.48</v>
      </c>
      <c r="C54" s="189">
        <v>34.11</v>
      </c>
      <c r="D54" s="189">
        <v>26.78</v>
      </c>
      <c r="E54" s="189">
        <v>6.75</v>
      </c>
      <c r="F54" s="189">
        <v>3.35</v>
      </c>
      <c r="G54" s="189">
        <v>130</v>
      </c>
      <c r="H54" s="189">
        <v>67.319999999999993</v>
      </c>
      <c r="I54" s="189">
        <v>11.66</v>
      </c>
      <c r="J54" s="189">
        <v>0.18</v>
      </c>
      <c r="K54" s="189">
        <v>283.33999999999997</v>
      </c>
      <c r="L54" s="189">
        <v>26.04</v>
      </c>
      <c r="M54" s="189">
        <v>50.78</v>
      </c>
      <c r="N54" s="189">
        <v>410.4</v>
      </c>
      <c r="O54" s="189">
        <v>0</v>
      </c>
      <c r="P54" s="189">
        <v>0.94</v>
      </c>
      <c r="Q54" s="189">
        <v>4.9800000000000004</v>
      </c>
    </row>
    <row r="55" spans="1:17" customFormat="1">
      <c r="A55" s="6" t="s">
        <v>2013</v>
      </c>
      <c r="B55" s="189">
        <v>8.06</v>
      </c>
      <c r="C55" s="189">
        <v>33.39</v>
      </c>
      <c r="D55" s="189">
        <v>25.26</v>
      </c>
      <c r="E55" s="189">
        <v>6.69</v>
      </c>
      <c r="F55" s="189">
        <v>3.62</v>
      </c>
      <c r="G55" s="189">
        <v>115.58</v>
      </c>
      <c r="H55" s="189">
        <v>64.099999999999994</v>
      </c>
      <c r="I55" s="189">
        <v>11.49</v>
      </c>
      <c r="J55" s="189">
        <v>0.28999999999999998</v>
      </c>
      <c r="K55" s="189">
        <v>286.70999999999998</v>
      </c>
      <c r="L55" s="189">
        <v>26.04</v>
      </c>
      <c r="M55" s="189">
        <v>49.91</v>
      </c>
      <c r="N55" s="189">
        <v>421.7</v>
      </c>
      <c r="O55" s="189">
        <v>0</v>
      </c>
      <c r="P55" s="189">
        <v>0.93</v>
      </c>
      <c r="Q55" s="189">
        <v>4.93</v>
      </c>
    </row>
    <row r="56" spans="1:17" customFormat="1">
      <c r="A56" s="6" t="s">
        <v>2014</v>
      </c>
      <c r="B56" s="189">
        <v>6.7</v>
      </c>
      <c r="C56" s="189">
        <v>32.659999999999997</v>
      </c>
      <c r="D56" s="189">
        <v>23.79</v>
      </c>
      <c r="E56" s="189">
        <v>7.33</v>
      </c>
      <c r="F56" s="189">
        <v>4.0199999999999996</v>
      </c>
      <c r="G56" s="189">
        <v>113.57</v>
      </c>
      <c r="H56" s="189">
        <v>64.099999999999994</v>
      </c>
      <c r="I56" s="189">
        <v>11.35</v>
      </c>
      <c r="J56" s="189">
        <v>7.0000000000000007E-2</v>
      </c>
      <c r="K56" s="189">
        <v>286.64999999999998</v>
      </c>
      <c r="L56" s="189">
        <v>26.77</v>
      </c>
      <c r="M56" s="189">
        <v>47.28</v>
      </c>
      <c r="N56" s="189">
        <v>423.9</v>
      </c>
      <c r="O56" s="189">
        <v>0</v>
      </c>
      <c r="P56" s="189">
        <v>0.91</v>
      </c>
      <c r="Q56" s="189">
        <v>4.91</v>
      </c>
    </row>
    <row r="57" spans="1:17" customFormat="1">
      <c r="A57" s="6" t="s">
        <v>2015</v>
      </c>
      <c r="B57" s="189">
        <v>5.56</v>
      </c>
      <c r="C57" s="189">
        <v>31.86</v>
      </c>
      <c r="D57" s="189">
        <v>22.45</v>
      </c>
      <c r="E57" s="189">
        <v>6.7</v>
      </c>
      <c r="F57" s="189">
        <v>4.4400000000000004</v>
      </c>
      <c r="G57" s="189">
        <v>113.57</v>
      </c>
      <c r="H57" s="189">
        <v>64.099999999999994</v>
      </c>
      <c r="I57" s="189">
        <v>11.21</v>
      </c>
      <c r="J57" s="189">
        <v>0.21</v>
      </c>
      <c r="K57" s="189">
        <v>200.21</v>
      </c>
      <c r="L57" s="189">
        <v>27.21</v>
      </c>
      <c r="M57" s="189">
        <v>45.36</v>
      </c>
      <c r="N57" s="189">
        <v>417.7</v>
      </c>
      <c r="O57" s="189">
        <v>0</v>
      </c>
      <c r="P57" s="189">
        <v>0.9</v>
      </c>
      <c r="Q57" s="189">
        <v>4.88</v>
      </c>
    </row>
    <row r="58" spans="1:17" customFormat="1">
      <c r="A58" s="6" t="s">
        <v>2016</v>
      </c>
      <c r="B58" s="189">
        <v>4.8099999999999996</v>
      </c>
      <c r="C58" s="189">
        <v>30.71</v>
      </c>
      <c r="D58" s="189">
        <v>21.25</v>
      </c>
      <c r="E58" s="189">
        <v>7.11</v>
      </c>
      <c r="F58" s="189">
        <v>4.78</v>
      </c>
      <c r="G58" s="189">
        <v>113.57</v>
      </c>
      <c r="H58" s="189">
        <v>64.099999999999994</v>
      </c>
      <c r="I58" s="189">
        <v>11.02</v>
      </c>
      <c r="J58" s="189">
        <v>0.1</v>
      </c>
      <c r="K58" s="189">
        <v>236.24</v>
      </c>
      <c r="L58" s="189">
        <v>27.37</v>
      </c>
      <c r="M58" s="189">
        <v>44.28</v>
      </c>
      <c r="N58" s="189">
        <v>419.4</v>
      </c>
      <c r="O58" s="189">
        <v>0</v>
      </c>
      <c r="P58" s="189">
        <v>0.88</v>
      </c>
      <c r="Q58" s="189">
        <v>4.87</v>
      </c>
    </row>
    <row r="59" spans="1:17" customFormat="1">
      <c r="A59" s="6" t="s">
        <v>2017</v>
      </c>
      <c r="B59" s="189">
        <v>4.2300000000000004</v>
      </c>
      <c r="C59" s="189">
        <v>29.95</v>
      </c>
      <c r="D59" s="189">
        <v>20.39</v>
      </c>
      <c r="E59" s="189">
        <v>6.59</v>
      </c>
      <c r="F59" s="189">
        <v>5.29</v>
      </c>
      <c r="G59" s="189">
        <v>98.16</v>
      </c>
      <c r="H59" s="189">
        <v>57.22</v>
      </c>
      <c r="I59" s="189">
        <v>10.84</v>
      </c>
      <c r="J59" s="189">
        <v>0.1</v>
      </c>
      <c r="K59" s="189">
        <v>184.71</v>
      </c>
      <c r="L59" s="189">
        <v>27.46</v>
      </c>
      <c r="M59" s="189">
        <v>42.46</v>
      </c>
      <c r="N59" s="189">
        <v>410.3</v>
      </c>
      <c r="O59" s="189">
        <v>0</v>
      </c>
      <c r="P59" s="189">
        <v>0.86</v>
      </c>
      <c r="Q59" s="189">
        <v>4.84</v>
      </c>
    </row>
    <row r="60" spans="1:17" customFormat="1">
      <c r="A60" s="6" t="s">
        <v>2018</v>
      </c>
      <c r="B60" s="189">
        <v>4.03</v>
      </c>
      <c r="C60" s="189">
        <v>28.74</v>
      </c>
      <c r="D60" s="189">
        <v>19.600000000000001</v>
      </c>
      <c r="E60" s="189">
        <v>6.66</v>
      </c>
      <c r="F60" s="189">
        <v>5.52</v>
      </c>
      <c r="G60" s="189">
        <v>96.02</v>
      </c>
      <c r="H60" s="189">
        <v>57.22</v>
      </c>
      <c r="I60" s="189">
        <v>10.65</v>
      </c>
      <c r="J60" s="189">
        <v>0.25</v>
      </c>
      <c r="K60" s="189">
        <v>258.36</v>
      </c>
      <c r="L60" s="189">
        <v>27.5</v>
      </c>
      <c r="M60" s="189">
        <v>42.95</v>
      </c>
      <c r="N60" s="189">
        <v>401.1</v>
      </c>
      <c r="O60" s="189">
        <v>0</v>
      </c>
      <c r="P60" s="189">
        <v>0.84</v>
      </c>
      <c r="Q60" s="189">
        <v>4.82</v>
      </c>
    </row>
    <row r="61" spans="1:17" customFormat="1">
      <c r="A61" s="6" t="s">
        <v>2019</v>
      </c>
      <c r="B61" s="189">
        <v>3.81</v>
      </c>
      <c r="C61" s="189">
        <v>27.78</v>
      </c>
      <c r="D61" s="189">
        <v>18.920000000000002</v>
      </c>
      <c r="E61" s="189">
        <v>6.35</v>
      </c>
      <c r="F61" s="189">
        <v>5.77</v>
      </c>
      <c r="G61" s="189">
        <v>96.02</v>
      </c>
      <c r="H61" s="189">
        <v>57.22</v>
      </c>
      <c r="I61" s="189">
        <v>10.45</v>
      </c>
      <c r="J61" s="189">
        <v>0.27</v>
      </c>
      <c r="K61" s="189">
        <v>242.65</v>
      </c>
      <c r="L61" s="189">
        <v>28.04</v>
      </c>
      <c r="M61" s="189">
        <v>41.77</v>
      </c>
      <c r="N61" s="189">
        <v>369.1</v>
      </c>
      <c r="O61" s="189">
        <v>0</v>
      </c>
      <c r="P61" s="189">
        <v>0.82</v>
      </c>
      <c r="Q61" s="189">
        <v>4.82</v>
      </c>
    </row>
    <row r="62" spans="1:17" customFormat="1">
      <c r="A62" s="6" t="s">
        <v>2020</v>
      </c>
      <c r="B62" s="189">
        <v>3.8</v>
      </c>
      <c r="C62" s="189">
        <v>26.96</v>
      </c>
      <c r="D62" s="189">
        <v>18.48</v>
      </c>
      <c r="E62" s="189">
        <v>6.9</v>
      </c>
      <c r="F62" s="189">
        <v>6.01</v>
      </c>
      <c r="G62" s="189">
        <v>96.02</v>
      </c>
      <c r="H62" s="189">
        <v>57.22</v>
      </c>
      <c r="I62" s="189">
        <v>10.23</v>
      </c>
      <c r="J62" s="189">
        <v>0.09</v>
      </c>
      <c r="K62" s="189">
        <v>50.63</v>
      </c>
      <c r="L62" s="189">
        <v>27.95</v>
      </c>
      <c r="M62" s="189">
        <v>41.22</v>
      </c>
      <c r="N62" s="189">
        <v>357.4</v>
      </c>
      <c r="O62" s="189">
        <v>0</v>
      </c>
      <c r="P62" s="189">
        <v>0.8</v>
      </c>
      <c r="Q62" s="189">
        <v>4.79</v>
      </c>
    </row>
    <row r="63" spans="1:17" customFormat="1">
      <c r="A63" s="6" t="s">
        <v>2021</v>
      </c>
      <c r="B63" s="189">
        <v>3.86</v>
      </c>
      <c r="C63" s="189">
        <v>26.23</v>
      </c>
      <c r="D63" s="189">
        <v>18.149999999999999</v>
      </c>
      <c r="E63" s="189">
        <v>7</v>
      </c>
      <c r="F63" s="189">
        <v>5.38</v>
      </c>
      <c r="G63" s="189">
        <v>83.27</v>
      </c>
      <c r="H63" s="189">
        <v>52.44</v>
      </c>
      <c r="I63" s="189">
        <v>10.01</v>
      </c>
      <c r="J63" s="189">
        <v>0.22</v>
      </c>
      <c r="K63" s="189">
        <v>30.26</v>
      </c>
      <c r="L63" s="189">
        <v>27.64</v>
      </c>
      <c r="M63" s="189">
        <v>40.270000000000003</v>
      </c>
      <c r="N63" s="189">
        <v>355.9</v>
      </c>
      <c r="O63" s="189">
        <v>0</v>
      </c>
      <c r="P63" s="189">
        <v>0.8</v>
      </c>
      <c r="Q63" s="189">
        <v>4.76</v>
      </c>
    </row>
    <row r="64" spans="1:17" customFormat="1">
      <c r="A64" s="6" t="s">
        <v>2022</v>
      </c>
      <c r="B64" s="189">
        <v>4.08</v>
      </c>
      <c r="C64" s="189">
        <v>23.81</v>
      </c>
      <c r="D64" s="189">
        <v>17.059999999999999</v>
      </c>
      <c r="E64" s="189">
        <v>5.95</v>
      </c>
      <c r="F64" s="189">
        <v>4.96</v>
      </c>
      <c r="G64" s="189">
        <v>81.489999999999995</v>
      </c>
      <c r="H64" s="189">
        <v>52.44</v>
      </c>
      <c r="I64" s="189">
        <v>9.85</v>
      </c>
      <c r="J64" s="189">
        <v>0.22</v>
      </c>
      <c r="K64" s="189">
        <v>355.46</v>
      </c>
      <c r="L64" s="189">
        <v>28.07</v>
      </c>
      <c r="M64" s="189">
        <v>39.4</v>
      </c>
      <c r="N64" s="189">
        <v>350</v>
      </c>
      <c r="O64" s="189">
        <v>0</v>
      </c>
      <c r="P64" s="189">
        <v>0.79</v>
      </c>
      <c r="Q64" s="189">
        <v>4.79</v>
      </c>
    </row>
    <row r="65" spans="1:17" customFormat="1">
      <c r="A65" s="6" t="s">
        <v>2023</v>
      </c>
      <c r="B65" s="189">
        <v>4.12</v>
      </c>
      <c r="C65" s="189">
        <v>22.05</v>
      </c>
      <c r="D65" s="189">
        <v>16.170000000000002</v>
      </c>
      <c r="E65" s="189">
        <v>5.5</v>
      </c>
      <c r="F65" s="189">
        <v>4.63</v>
      </c>
      <c r="G65" s="189">
        <v>81.489999999999995</v>
      </c>
      <c r="H65" s="189">
        <v>52.44</v>
      </c>
      <c r="I65" s="189">
        <v>9.75</v>
      </c>
      <c r="J65" s="189">
        <v>0.52</v>
      </c>
      <c r="K65" s="189">
        <v>288.47000000000003</v>
      </c>
      <c r="L65" s="189">
        <v>27.59</v>
      </c>
      <c r="M65" s="189">
        <v>38.07</v>
      </c>
      <c r="N65" s="189">
        <v>203.5</v>
      </c>
      <c r="O65" s="189">
        <v>0</v>
      </c>
      <c r="P65" s="189">
        <v>0.75</v>
      </c>
      <c r="Q65" s="189">
        <v>4.78</v>
      </c>
    </row>
    <row r="66" spans="1:17" customFormat="1">
      <c r="A66" s="6" t="s">
        <v>2024</v>
      </c>
      <c r="B66" s="189">
        <v>3.98</v>
      </c>
      <c r="C66" s="189">
        <v>20.98</v>
      </c>
      <c r="D66" s="189">
        <v>15.5</v>
      </c>
      <c r="E66" s="189">
        <v>6.47</v>
      </c>
      <c r="F66" s="189">
        <v>4.5199999999999996</v>
      </c>
      <c r="G66" s="189">
        <v>81.489999999999995</v>
      </c>
      <c r="H66" s="189">
        <v>52.44</v>
      </c>
      <c r="I66" s="189">
        <v>9.65</v>
      </c>
      <c r="J66" s="189">
        <v>0.12</v>
      </c>
      <c r="K66" s="189">
        <v>68.83</v>
      </c>
      <c r="L66" s="189">
        <v>27.32</v>
      </c>
      <c r="M66" s="189">
        <v>38.520000000000003</v>
      </c>
      <c r="N66" s="189">
        <v>163.1</v>
      </c>
      <c r="O66" s="189">
        <v>0</v>
      </c>
      <c r="P66" s="189">
        <v>0.76</v>
      </c>
      <c r="Q66" s="189">
        <v>4.79</v>
      </c>
    </row>
    <row r="67" spans="1:17" customFormat="1">
      <c r="A67" s="6" t="s">
        <v>2025</v>
      </c>
      <c r="B67" s="189">
        <v>3.9</v>
      </c>
      <c r="C67" s="189">
        <v>20.43</v>
      </c>
      <c r="D67" s="189">
        <v>15.16</v>
      </c>
      <c r="E67" s="189">
        <v>6.28</v>
      </c>
      <c r="F67" s="189">
        <v>4.53</v>
      </c>
      <c r="G67" s="189">
        <v>80.400000000000006</v>
      </c>
      <c r="H67" s="189">
        <v>51.09</v>
      </c>
      <c r="I67" s="189">
        <v>9.5399999999999991</v>
      </c>
      <c r="J67" s="189">
        <v>0.27</v>
      </c>
      <c r="K67" s="189">
        <v>9.5399999999999991</v>
      </c>
      <c r="L67" s="189">
        <v>27.51</v>
      </c>
      <c r="M67" s="189">
        <v>38.36</v>
      </c>
      <c r="N67" s="189">
        <v>118.9</v>
      </c>
      <c r="O67" s="189">
        <v>0</v>
      </c>
      <c r="P67" s="189">
        <v>0.75</v>
      </c>
      <c r="Q67" s="189">
        <v>4.8099999999999996</v>
      </c>
    </row>
    <row r="68" spans="1:17" customFormat="1">
      <c r="A68" s="6" t="s">
        <v>2026</v>
      </c>
      <c r="B68" s="189">
        <v>3.9</v>
      </c>
      <c r="C68" s="189">
        <v>20.46</v>
      </c>
      <c r="D68" s="189">
        <v>15.17</v>
      </c>
      <c r="E68" s="189">
        <v>6.25</v>
      </c>
      <c r="F68" s="189">
        <v>4.38</v>
      </c>
      <c r="G68" s="189">
        <v>80.25</v>
      </c>
      <c r="H68" s="189">
        <v>51.09</v>
      </c>
      <c r="I68" s="189">
        <v>9.4499999999999993</v>
      </c>
      <c r="J68" s="189">
        <v>0.11</v>
      </c>
      <c r="K68" s="189">
        <v>132.38999999999999</v>
      </c>
      <c r="L68" s="189">
        <v>27.32</v>
      </c>
      <c r="M68" s="189">
        <v>39.68</v>
      </c>
      <c r="N68" s="189">
        <v>95.3</v>
      </c>
      <c r="O68" s="189">
        <v>0</v>
      </c>
      <c r="P68" s="189">
        <v>0.75</v>
      </c>
      <c r="Q68" s="189">
        <v>4.8499999999999996</v>
      </c>
    </row>
    <row r="69" spans="1:17" customFormat="1">
      <c r="A69" s="6" t="s">
        <v>2027</v>
      </c>
      <c r="B69" s="189">
        <v>4.01</v>
      </c>
      <c r="C69" s="189">
        <v>20.260000000000002</v>
      </c>
      <c r="D69" s="189">
        <v>15.15</v>
      </c>
      <c r="E69" s="189">
        <v>5.87</v>
      </c>
      <c r="F69" s="189">
        <v>4.24</v>
      </c>
      <c r="G69" s="189">
        <v>80.25</v>
      </c>
      <c r="H69" s="189">
        <v>51.09</v>
      </c>
      <c r="I69" s="189">
        <v>9.35</v>
      </c>
      <c r="J69" s="189">
        <v>0.26</v>
      </c>
      <c r="K69" s="189">
        <v>322.31</v>
      </c>
      <c r="L69" s="189">
        <v>27.27</v>
      </c>
      <c r="M69" s="189">
        <v>39.630000000000003</v>
      </c>
      <c r="N69" s="189">
        <v>82.2</v>
      </c>
      <c r="O69" s="189">
        <v>0</v>
      </c>
      <c r="P69" s="189">
        <v>0.75</v>
      </c>
      <c r="Q69" s="189">
        <v>4.88</v>
      </c>
    </row>
    <row r="70" spans="1:17" customFormat="1">
      <c r="A70" s="6" t="s">
        <v>2028</v>
      </c>
      <c r="B70" s="189">
        <v>4.04</v>
      </c>
      <c r="C70" s="189">
        <v>20.09</v>
      </c>
      <c r="D70" s="189">
        <v>15.09</v>
      </c>
      <c r="E70" s="189">
        <v>6.01</v>
      </c>
      <c r="F70" s="189">
        <v>4.3600000000000003</v>
      </c>
      <c r="G70" s="189">
        <v>80.25</v>
      </c>
      <c r="H70" s="189">
        <v>51.09</v>
      </c>
      <c r="I70" s="189">
        <v>9.3000000000000007</v>
      </c>
      <c r="J70" s="189">
        <v>0.19</v>
      </c>
      <c r="K70" s="189">
        <v>276.89</v>
      </c>
      <c r="L70" s="189">
        <v>27.02</v>
      </c>
      <c r="M70" s="189">
        <v>41.31</v>
      </c>
      <c r="N70" s="189">
        <v>71.8</v>
      </c>
      <c r="O70" s="189">
        <v>0</v>
      </c>
      <c r="P70" s="189">
        <v>0.75</v>
      </c>
      <c r="Q70" s="189">
        <v>4.91</v>
      </c>
    </row>
    <row r="71" spans="1:17" customFormat="1">
      <c r="A71" s="6" t="s">
        <v>2029</v>
      </c>
      <c r="B71" s="189">
        <v>3.97</v>
      </c>
      <c r="C71" s="189">
        <v>19.989999999999998</v>
      </c>
      <c r="D71" s="189">
        <v>14.98</v>
      </c>
      <c r="E71" s="189">
        <v>5.75</v>
      </c>
      <c r="F71" s="189">
        <v>4.38</v>
      </c>
      <c r="G71" s="189">
        <v>100.62</v>
      </c>
      <c r="H71" s="189">
        <v>55.18</v>
      </c>
      <c r="I71" s="189">
        <v>9.25</v>
      </c>
      <c r="J71" s="189">
        <v>0.02</v>
      </c>
      <c r="K71" s="189">
        <v>80.790000000000006</v>
      </c>
      <c r="L71" s="189">
        <v>26.85</v>
      </c>
      <c r="M71" s="189">
        <v>41.88</v>
      </c>
      <c r="N71" s="189">
        <v>59.2</v>
      </c>
      <c r="O71" s="189">
        <v>0</v>
      </c>
      <c r="P71" s="189">
        <v>0.74</v>
      </c>
      <c r="Q71" s="189">
        <v>4.91</v>
      </c>
    </row>
    <row r="72" spans="1:17" customFormat="1">
      <c r="A72" s="6" t="s">
        <v>2030</v>
      </c>
      <c r="B72" s="189">
        <v>3.94</v>
      </c>
      <c r="C72" s="189">
        <v>19.79</v>
      </c>
      <c r="D72" s="189">
        <v>14.85</v>
      </c>
      <c r="E72" s="189">
        <v>6.04</v>
      </c>
      <c r="F72" s="189">
        <v>4.4400000000000004</v>
      </c>
      <c r="G72" s="189">
        <v>103.45</v>
      </c>
      <c r="H72" s="189">
        <v>55.18</v>
      </c>
      <c r="I72" s="189">
        <v>9.1999999999999993</v>
      </c>
      <c r="J72" s="189">
        <v>0.32</v>
      </c>
      <c r="K72" s="189">
        <v>61.93</v>
      </c>
      <c r="L72" s="189">
        <v>26.68</v>
      </c>
      <c r="M72" s="189">
        <v>42.6</v>
      </c>
      <c r="N72" s="189">
        <v>46</v>
      </c>
      <c r="O72" s="189">
        <v>0</v>
      </c>
      <c r="P72" s="189">
        <v>0.75</v>
      </c>
      <c r="Q72" s="189">
        <v>4.9400000000000004</v>
      </c>
    </row>
    <row r="73" spans="1:17" customFormat="1">
      <c r="A73" s="6" t="s">
        <v>2031</v>
      </c>
      <c r="B73" s="189">
        <v>3.97</v>
      </c>
      <c r="C73" s="189">
        <v>20.010000000000002</v>
      </c>
      <c r="D73" s="189">
        <v>14.99</v>
      </c>
      <c r="E73" s="189">
        <v>5.88</v>
      </c>
      <c r="F73" s="189">
        <v>3.88</v>
      </c>
      <c r="G73" s="189">
        <v>103.45</v>
      </c>
      <c r="H73" s="189">
        <v>55.18</v>
      </c>
      <c r="I73" s="189">
        <v>9.16</v>
      </c>
      <c r="J73" s="189">
        <v>0.15</v>
      </c>
      <c r="K73" s="189">
        <v>84.42</v>
      </c>
      <c r="L73" s="189">
        <v>26.28</v>
      </c>
      <c r="M73" s="189">
        <v>45.94</v>
      </c>
      <c r="N73" s="189">
        <v>33.200000000000003</v>
      </c>
      <c r="O73" s="189">
        <v>0</v>
      </c>
      <c r="P73" s="189">
        <v>0.74</v>
      </c>
      <c r="Q73" s="189">
        <v>4.96</v>
      </c>
    </row>
    <row r="74" spans="1:17" customFormat="1">
      <c r="A74" s="6" t="s">
        <v>2032</v>
      </c>
      <c r="B74" s="189">
        <v>4.13</v>
      </c>
      <c r="C74" s="189">
        <v>19.95</v>
      </c>
      <c r="D74" s="189">
        <v>15.09</v>
      </c>
      <c r="E74" s="189">
        <v>6.03</v>
      </c>
      <c r="F74" s="189">
        <v>3.64</v>
      </c>
      <c r="G74" s="189">
        <v>103.45</v>
      </c>
      <c r="H74" s="189">
        <v>55.18</v>
      </c>
      <c r="I74" s="189">
        <v>9.14</v>
      </c>
      <c r="J74" s="189">
        <v>0.17</v>
      </c>
      <c r="K74" s="189">
        <v>76.45</v>
      </c>
      <c r="L74" s="189">
        <v>25.9</v>
      </c>
      <c r="M74" s="189">
        <v>48.19</v>
      </c>
      <c r="N74" s="189">
        <v>22.2</v>
      </c>
      <c r="O74" s="189">
        <v>0</v>
      </c>
      <c r="P74" s="189">
        <v>0.75</v>
      </c>
      <c r="Q74" s="189">
        <v>4.97</v>
      </c>
    </row>
    <row r="75" spans="1:17" customFormat="1">
      <c r="A75" s="6" t="s">
        <v>2033</v>
      </c>
      <c r="B75" s="189">
        <v>4.0999999999999996</v>
      </c>
      <c r="C75" s="189">
        <v>20.46</v>
      </c>
      <c r="D75" s="189">
        <v>15.33</v>
      </c>
      <c r="E75" s="189">
        <v>5.6</v>
      </c>
      <c r="F75" s="189">
        <v>3.45</v>
      </c>
      <c r="G75" s="189">
        <v>132.74</v>
      </c>
      <c r="H75" s="189">
        <v>58.43</v>
      </c>
      <c r="I75" s="189">
        <v>9.14</v>
      </c>
      <c r="J75" s="189">
        <v>0.2</v>
      </c>
      <c r="K75" s="189">
        <v>163.52000000000001</v>
      </c>
      <c r="L75" s="189">
        <v>25.14</v>
      </c>
      <c r="M75" s="189">
        <v>52.61</v>
      </c>
      <c r="N75" s="189">
        <v>12.1</v>
      </c>
      <c r="O75" s="189">
        <v>0</v>
      </c>
      <c r="P75" s="189">
        <v>0.75</v>
      </c>
      <c r="Q75" s="189">
        <v>4.95</v>
      </c>
    </row>
    <row r="76" spans="1:17" customFormat="1">
      <c r="A76" s="6" t="s">
        <v>2034</v>
      </c>
      <c r="B76" s="189">
        <v>4.1900000000000004</v>
      </c>
      <c r="C76" s="189">
        <v>23.07</v>
      </c>
      <c r="D76" s="189">
        <v>16.760000000000002</v>
      </c>
      <c r="E76" s="189">
        <v>6.07</v>
      </c>
      <c r="F76" s="189">
        <v>3.34</v>
      </c>
      <c r="G76" s="189">
        <v>136.82</v>
      </c>
      <c r="H76" s="189">
        <v>58.43</v>
      </c>
      <c r="I76" s="189">
        <v>9.15</v>
      </c>
      <c r="J76" s="189">
        <v>0.27</v>
      </c>
      <c r="K76" s="189">
        <v>168.57</v>
      </c>
      <c r="L76" s="189">
        <v>24.33</v>
      </c>
      <c r="M76" s="189">
        <v>56.82</v>
      </c>
      <c r="N76" s="189">
        <v>3.5</v>
      </c>
      <c r="O76" s="189">
        <v>0</v>
      </c>
      <c r="P76" s="189">
        <v>0.77</v>
      </c>
      <c r="Q76" s="189">
        <v>4.91</v>
      </c>
    </row>
    <row r="77" spans="1:17" customFormat="1">
      <c r="A77" s="6" t="s">
        <v>2035</v>
      </c>
      <c r="B77" s="189">
        <v>4.5</v>
      </c>
      <c r="C77" s="189">
        <v>23.03</v>
      </c>
      <c r="D77" s="189">
        <v>16.989999999999998</v>
      </c>
      <c r="E77" s="189">
        <v>6.26</v>
      </c>
      <c r="F77" s="189">
        <v>3.3</v>
      </c>
      <c r="G77" s="189">
        <v>136.82</v>
      </c>
      <c r="H77" s="189">
        <v>58.43</v>
      </c>
      <c r="I77" s="189">
        <v>9.14</v>
      </c>
      <c r="J77" s="189">
        <v>0.21</v>
      </c>
      <c r="K77" s="189">
        <v>165.53</v>
      </c>
      <c r="L77" s="189">
        <v>23.65</v>
      </c>
      <c r="M77" s="189">
        <v>59.48</v>
      </c>
      <c r="N77" s="189">
        <v>0</v>
      </c>
      <c r="O77" s="189">
        <v>0</v>
      </c>
      <c r="P77" s="189">
        <v>0.78</v>
      </c>
      <c r="Q77" s="189">
        <v>4.95</v>
      </c>
    </row>
    <row r="78" spans="1:17" customFormat="1">
      <c r="A78" s="6" t="s">
        <v>2036</v>
      </c>
      <c r="B78" s="189">
        <v>4.6500000000000004</v>
      </c>
      <c r="C78" s="189">
        <v>22.55</v>
      </c>
      <c r="D78" s="189">
        <v>16.86</v>
      </c>
      <c r="E78" s="189">
        <v>6.12</v>
      </c>
      <c r="F78" s="189">
        <v>3.25</v>
      </c>
      <c r="G78" s="189">
        <v>136.82</v>
      </c>
      <c r="H78" s="189">
        <v>58.43</v>
      </c>
      <c r="I78" s="189">
        <v>9.16</v>
      </c>
      <c r="J78" s="189">
        <v>0.16</v>
      </c>
      <c r="K78" s="189">
        <v>169.17</v>
      </c>
      <c r="L78" s="189">
        <v>23.1</v>
      </c>
      <c r="M78" s="189">
        <v>61.22</v>
      </c>
      <c r="N78" s="189">
        <v>0</v>
      </c>
      <c r="O78" s="189">
        <v>0</v>
      </c>
      <c r="P78" s="189">
        <v>0.79</v>
      </c>
      <c r="Q78" s="189">
        <v>4.95</v>
      </c>
    </row>
    <row r="79" spans="1:17" customFormat="1">
      <c r="A79" s="6" t="s">
        <v>2037</v>
      </c>
      <c r="B79" s="189">
        <v>4.6900000000000004</v>
      </c>
      <c r="C79" s="189">
        <v>23.81</v>
      </c>
      <c r="D79" s="189">
        <v>17.55</v>
      </c>
      <c r="E79" s="189">
        <v>5.93</v>
      </c>
      <c r="F79" s="189">
        <v>2.86</v>
      </c>
      <c r="G79" s="189">
        <v>152.04</v>
      </c>
      <c r="H79" s="189">
        <v>62.99</v>
      </c>
      <c r="I79" s="189">
        <v>9.2200000000000006</v>
      </c>
      <c r="J79" s="189">
        <v>0.24</v>
      </c>
      <c r="K79" s="189">
        <v>172.86</v>
      </c>
      <c r="L79" s="189">
        <v>22.46</v>
      </c>
      <c r="M79" s="189">
        <v>64.739999999999995</v>
      </c>
      <c r="N79" s="189">
        <v>0</v>
      </c>
      <c r="O79" s="189">
        <v>0</v>
      </c>
      <c r="P79" s="189">
        <v>0.81</v>
      </c>
      <c r="Q79" s="189">
        <v>4.93</v>
      </c>
    </row>
    <row r="80" spans="1:17" customFormat="1">
      <c r="A80" s="6" t="s">
        <v>2038</v>
      </c>
      <c r="B80" s="189">
        <v>4.9000000000000004</v>
      </c>
      <c r="C80" s="189">
        <v>24.98</v>
      </c>
      <c r="D80" s="189">
        <v>18.329999999999998</v>
      </c>
      <c r="E80" s="189">
        <v>5.84</v>
      </c>
      <c r="F80" s="189">
        <v>2.86</v>
      </c>
      <c r="G80" s="189">
        <v>154.16</v>
      </c>
      <c r="H80" s="189">
        <v>62.99</v>
      </c>
      <c r="I80" s="189">
        <v>9.31</v>
      </c>
      <c r="J80" s="189">
        <v>0.15</v>
      </c>
      <c r="K80" s="189">
        <v>182.7</v>
      </c>
      <c r="L80" s="189">
        <v>21.64</v>
      </c>
      <c r="M80" s="189">
        <v>73.36</v>
      </c>
      <c r="N80" s="189">
        <v>0</v>
      </c>
      <c r="O80" s="189">
        <v>0</v>
      </c>
      <c r="P80" s="189">
        <v>0.83</v>
      </c>
      <c r="Q80" s="189">
        <v>4.9400000000000004</v>
      </c>
    </row>
    <row r="81" spans="1:17" customFormat="1">
      <c r="A81" s="6" t="s">
        <v>2039</v>
      </c>
      <c r="B81" s="189">
        <v>4.9800000000000004</v>
      </c>
      <c r="C81" s="189">
        <v>26.11</v>
      </c>
      <c r="D81" s="189">
        <v>18.989999999999998</v>
      </c>
      <c r="E81" s="189">
        <v>7.89</v>
      </c>
      <c r="F81" s="189">
        <v>2.77</v>
      </c>
      <c r="G81" s="189">
        <v>154.16</v>
      </c>
      <c r="H81" s="189">
        <v>62.99</v>
      </c>
      <c r="I81" s="189">
        <v>9.43</v>
      </c>
      <c r="J81" s="189">
        <v>0.14000000000000001</v>
      </c>
      <c r="K81" s="189">
        <v>171.98</v>
      </c>
      <c r="L81" s="189">
        <v>20.96</v>
      </c>
      <c r="M81" s="189">
        <v>76.17</v>
      </c>
      <c r="N81" s="189">
        <v>0</v>
      </c>
      <c r="O81" s="189">
        <v>0</v>
      </c>
      <c r="P81" s="189">
        <v>0.86</v>
      </c>
      <c r="Q81" s="189">
        <v>4.96</v>
      </c>
    </row>
    <row r="82" spans="1:17" customFormat="1">
      <c r="A82" s="6" t="s">
        <v>2040</v>
      </c>
      <c r="B82" s="189">
        <v>5.01</v>
      </c>
      <c r="C82" s="189">
        <v>26.83</v>
      </c>
      <c r="D82" s="189">
        <v>19.39</v>
      </c>
      <c r="E82" s="189">
        <v>8.61</v>
      </c>
      <c r="F82" s="189">
        <v>2.74</v>
      </c>
      <c r="G82" s="189">
        <v>154.16</v>
      </c>
      <c r="H82" s="189">
        <v>62.99</v>
      </c>
      <c r="I82" s="189">
        <v>9.5399999999999991</v>
      </c>
      <c r="J82" s="189">
        <v>0.18</v>
      </c>
      <c r="K82" s="189">
        <v>161.71</v>
      </c>
      <c r="L82" s="189">
        <v>20.61</v>
      </c>
      <c r="M82" s="189">
        <v>77.94</v>
      </c>
      <c r="N82" s="189">
        <v>0</v>
      </c>
      <c r="O82" s="189">
        <v>0</v>
      </c>
      <c r="P82" s="189">
        <v>0.89</v>
      </c>
      <c r="Q82" s="189">
        <v>4.9800000000000004</v>
      </c>
    </row>
    <row r="83" spans="1:17" customFormat="1">
      <c r="A83" s="6" t="s">
        <v>2041</v>
      </c>
      <c r="B83" s="189">
        <v>5</v>
      </c>
      <c r="C83" s="189">
        <v>27.02</v>
      </c>
      <c r="D83" s="189">
        <v>19.48</v>
      </c>
      <c r="E83" s="189">
        <v>8.52</v>
      </c>
      <c r="F83" s="189">
        <v>2.92</v>
      </c>
      <c r="G83" s="189">
        <v>161.28</v>
      </c>
      <c r="H83" s="189">
        <v>65.72</v>
      </c>
      <c r="I83" s="189">
        <v>9.67</v>
      </c>
      <c r="J83" s="189">
        <v>0.21</v>
      </c>
      <c r="K83" s="189">
        <v>163.1</v>
      </c>
      <c r="L83" s="189">
        <v>20.37</v>
      </c>
      <c r="M83" s="189">
        <v>79.41</v>
      </c>
      <c r="N83" s="189">
        <v>0</v>
      </c>
      <c r="O83" s="189">
        <v>0</v>
      </c>
      <c r="P83" s="189">
        <v>0.91</v>
      </c>
      <c r="Q83" s="189">
        <v>4.99</v>
      </c>
    </row>
    <row r="84" spans="1:17" customFormat="1">
      <c r="A84" s="6" t="s">
        <v>2042</v>
      </c>
      <c r="B84" s="189">
        <v>5.01</v>
      </c>
      <c r="C84" s="189">
        <v>27.48</v>
      </c>
      <c r="D84" s="189">
        <v>19.72</v>
      </c>
      <c r="E84" s="189">
        <v>8.83</v>
      </c>
      <c r="F84" s="189">
        <v>3.27</v>
      </c>
      <c r="G84" s="189">
        <v>162.27000000000001</v>
      </c>
      <c r="H84" s="189">
        <v>65.72</v>
      </c>
      <c r="I84" s="189">
        <v>9.82</v>
      </c>
      <c r="J84" s="189">
        <v>0.18</v>
      </c>
      <c r="K84" s="189">
        <v>164.46</v>
      </c>
      <c r="L84" s="189">
        <v>19.89</v>
      </c>
      <c r="M84" s="189">
        <v>80.64</v>
      </c>
      <c r="N84" s="189">
        <v>0</v>
      </c>
      <c r="O84" s="189">
        <v>0</v>
      </c>
      <c r="P84" s="189">
        <v>0.94</v>
      </c>
      <c r="Q84" s="189">
        <v>4.97</v>
      </c>
    </row>
    <row r="85" spans="1:17" customFormat="1">
      <c r="A85" s="6" t="s">
        <v>2043</v>
      </c>
      <c r="B85" s="189">
        <v>5.01</v>
      </c>
      <c r="C85" s="189">
        <v>27.74</v>
      </c>
      <c r="D85" s="189">
        <v>19.87</v>
      </c>
      <c r="E85" s="189">
        <v>8.59</v>
      </c>
      <c r="F85" s="189">
        <v>3.11</v>
      </c>
      <c r="G85" s="189">
        <v>162.27000000000001</v>
      </c>
      <c r="H85" s="189">
        <v>65.72</v>
      </c>
      <c r="I85" s="189">
        <v>9.93</v>
      </c>
      <c r="J85" s="189">
        <v>0.18</v>
      </c>
      <c r="K85" s="189">
        <v>163.89</v>
      </c>
      <c r="L85" s="189">
        <v>19.61</v>
      </c>
      <c r="M85" s="189">
        <v>81.96</v>
      </c>
      <c r="N85" s="189">
        <v>0</v>
      </c>
      <c r="O85" s="189">
        <v>0</v>
      </c>
      <c r="P85" s="189">
        <v>0.95</v>
      </c>
      <c r="Q85" s="189">
        <v>4.96</v>
      </c>
    </row>
    <row r="86" spans="1:17" customFormat="1">
      <c r="A86" s="6" t="s">
        <v>2044</v>
      </c>
      <c r="B86" s="189">
        <v>5.04</v>
      </c>
      <c r="C86" s="189">
        <v>27.81</v>
      </c>
      <c r="D86" s="189">
        <v>19.93</v>
      </c>
      <c r="E86" s="189">
        <v>8.3000000000000007</v>
      </c>
      <c r="F86" s="189">
        <v>2.93</v>
      </c>
      <c r="G86" s="189">
        <v>162.27000000000001</v>
      </c>
      <c r="H86" s="189">
        <v>65.72</v>
      </c>
      <c r="I86" s="189">
        <v>10.050000000000001</v>
      </c>
      <c r="J86" s="189">
        <v>0.1</v>
      </c>
      <c r="K86" s="189">
        <v>199.66</v>
      </c>
      <c r="L86" s="189">
        <v>19.239999999999998</v>
      </c>
      <c r="M86" s="189">
        <v>84.79</v>
      </c>
      <c r="N86" s="189">
        <v>0</v>
      </c>
      <c r="O86" s="189">
        <v>0</v>
      </c>
      <c r="P86" s="189">
        <v>0.98</v>
      </c>
      <c r="Q86" s="189">
        <v>4.97</v>
      </c>
    </row>
    <row r="87" spans="1:17" customFormat="1">
      <c r="A87" s="6" t="s">
        <v>2045</v>
      </c>
      <c r="B87" s="189">
        <v>5</v>
      </c>
      <c r="C87" s="189">
        <v>28.26</v>
      </c>
      <c r="D87" s="189">
        <v>20.12</v>
      </c>
      <c r="E87" s="189">
        <v>8.86</v>
      </c>
      <c r="F87" s="189">
        <v>2.84</v>
      </c>
      <c r="G87" s="189">
        <v>150.99</v>
      </c>
      <c r="H87" s="189">
        <v>69.180000000000007</v>
      </c>
      <c r="I87" s="189">
        <v>10.17</v>
      </c>
      <c r="J87" s="189">
        <v>0.12</v>
      </c>
      <c r="K87" s="189">
        <v>179.68</v>
      </c>
      <c r="L87" s="189">
        <v>19.010000000000002</v>
      </c>
      <c r="M87" s="189">
        <v>83.36</v>
      </c>
      <c r="N87" s="189">
        <v>0</v>
      </c>
      <c r="O87" s="189">
        <v>0</v>
      </c>
      <c r="P87" s="189">
        <v>0.99</v>
      </c>
      <c r="Q87" s="189">
        <v>4.95</v>
      </c>
    </row>
    <row r="88" spans="1:17" customFormat="1">
      <c r="A88" s="6" t="s">
        <v>2046</v>
      </c>
      <c r="B88" s="189">
        <v>5.31</v>
      </c>
      <c r="C88" s="189">
        <v>28.57</v>
      </c>
      <c r="D88" s="189">
        <v>20.54</v>
      </c>
      <c r="E88" s="189">
        <v>8.7899999999999991</v>
      </c>
      <c r="F88" s="189">
        <v>2.7</v>
      </c>
      <c r="G88" s="189">
        <v>149.41999999999999</v>
      </c>
      <c r="H88" s="189">
        <v>69.180000000000007</v>
      </c>
      <c r="I88" s="189">
        <v>10.31</v>
      </c>
      <c r="J88" s="189">
        <v>0.13</v>
      </c>
      <c r="K88" s="189">
        <v>174.22</v>
      </c>
      <c r="L88" s="189">
        <v>18.809999999999999</v>
      </c>
      <c r="M88" s="189">
        <v>83.76</v>
      </c>
      <c r="N88" s="189">
        <v>0</v>
      </c>
      <c r="O88" s="189">
        <v>0</v>
      </c>
      <c r="P88" s="189">
        <v>1</v>
      </c>
      <c r="Q88" s="189">
        <v>4.93</v>
      </c>
    </row>
    <row r="89" spans="1:17" customFormat="1">
      <c r="A89" s="6" t="s">
        <v>2047</v>
      </c>
      <c r="B89" s="189">
        <v>6.49</v>
      </c>
      <c r="C89" s="189">
        <v>29.7</v>
      </c>
      <c r="D89" s="189">
        <v>22.07</v>
      </c>
      <c r="E89" s="189">
        <v>9.01</v>
      </c>
      <c r="F89" s="189">
        <v>2.56</v>
      </c>
      <c r="G89" s="189">
        <v>149.41999999999999</v>
      </c>
      <c r="H89" s="189">
        <v>69.180000000000007</v>
      </c>
      <c r="I89" s="189">
        <v>10.43</v>
      </c>
      <c r="J89" s="189">
        <v>0.12</v>
      </c>
      <c r="K89" s="189">
        <v>190.06</v>
      </c>
      <c r="L89" s="189">
        <v>18.86</v>
      </c>
      <c r="M89" s="189">
        <v>84.07</v>
      </c>
      <c r="N89" s="189">
        <v>0</v>
      </c>
      <c r="O89" s="189">
        <v>0</v>
      </c>
      <c r="P89" s="189">
        <v>1.04</v>
      </c>
      <c r="Q89" s="189">
        <v>4.96</v>
      </c>
    </row>
    <row r="90" spans="1:17" customFormat="1">
      <c r="A90" s="6" t="s">
        <v>2048</v>
      </c>
      <c r="B90" s="189">
        <v>8.19</v>
      </c>
      <c r="C90" s="189">
        <v>31.66</v>
      </c>
      <c r="D90" s="189">
        <v>24.46</v>
      </c>
      <c r="E90" s="189">
        <v>9.1199999999999992</v>
      </c>
      <c r="F90" s="189">
        <v>2.52</v>
      </c>
      <c r="G90" s="189">
        <v>149.41999999999999</v>
      </c>
      <c r="H90" s="189">
        <v>69.180000000000007</v>
      </c>
      <c r="I90" s="189">
        <v>10.55</v>
      </c>
      <c r="J90" s="189">
        <v>0.14000000000000001</v>
      </c>
      <c r="K90" s="189">
        <v>217.32</v>
      </c>
      <c r="L90" s="189">
        <v>18.61</v>
      </c>
      <c r="M90" s="189">
        <v>84.51</v>
      </c>
      <c r="N90" s="189">
        <v>0</v>
      </c>
      <c r="O90" s="189">
        <v>0</v>
      </c>
      <c r="P90" s="189">
        <v>1.07</v>
      </c>
      <c r="Q90" s="189">
        <v>4.95</v>
      </c>
    </row>
    <row r="91" spans="1:17" customFormat="1">
      <c r="A91" s="6" t="s">
        <v>2049</v>
      </c>
      <c r="B91" s="189">
        <v>9.25</v>
      </c>
      <c r="C91" s="189">
        <v>32.92</v>
      </c>
      <c r="D91" s="189">
        <v>25.97</v>
      </c>
      <c r="E91" s="189">
        <v>8.98</v>
      </c>
      <c r="F91" s="189">
        <v>2.57</v>
      </c>
      <c r="G91" s="189">
        <v>161.85</v>
      </c>
      <c r="H91" s="189">
        <v>69.39</v>
      </c>
      <c r="I91" s="189">
        <v>10.72</v>
      </c>
      <c r="J91" s="189">
        <v>0.13</v>
      </c>
      <c r="K91" s="189">
        <v>186.03</v>
      </c>
      <c r="L91" s="189">
        <v>18.25</v>
      </c>
      <c r="M91" s="189">
        <v>86.43</v>
      </c>
      <c r="N91" s="189">
        <v>0</v>
      </c>
      <c r="O91" s="189">
        <v>0</v>
      </c>
      <c r="P91" s="189">
        <v>1.08</v>
      </c>
      <c r="Q91" s="189">
        <v>4.9800000000000004</v>
      </c>
    </row>
    <row r="92" spans="1:17" customFormat="1">
      <c r="A92" s="6" t="s">
        <v>2050</v>
      </c>
      <c r="B92" s="189">
        <v>9.3000000000000007</v>
      </c>
      <c r="C92" s="189">
        <v>33.25</v>
      </c>
      <c r="D92" s="189">
        <v>26.18</v>
      </c>
      <c r="E92" s="189">
        <v>9.09</v>
      </c>
      <c r="F92" s="189">
        <v>2.65</v>
      </c>
      <c r="G92" s="189">
        <v>163.58000000000001</v>
      </c>
      <c r="H92" s="189">
        <v>69.39</v>
      </c>
      <c r="I92" s="189">
        <v>10.89</v>
      </c>
      <c r="J92" s="189">
        <v>0.14000000000000001</v>
      </c>
      <c r="K92" s="189">
        <v>160.54</v>
      </c>
      <c r="L92" s="189">
        <v>18.079999999999998</v>
      </c>
      <c r="M92" s="189">
        <v>85.51</v>
      </c>
      <c r="N92" s="189">
        <v>0</v>
      </c>
      <c r="O92" s="189">
        <v>0</v>
      </c>
      <c r="P92" s="189">
        <v>1.0900000000000001</v>
      </c>
      <c r="Q92" s="189">
        <v>4.97</v>
      </c>
    </row>
    <row r="93" spans="1:17" customFormat="1">
      <c r="A93" s="6" t="s">
        <v>2051</v>
      </c>
      <c r="B93" s="189">
        <v>9.18</v>
      </c>
      <c r="C93" s="189">
        <v>33.54</v>
      </c>
      <c r="D93" s="189">
        <v>26.24</v>
      </c>
      <c r="E93" s="189">
        <v>8.39</v>
      </c>
      <c r="F93" s="189">
        <v>2.59</v>
      </c>
      <c r="G93" s="189">
        <v>163.58000000000001</v>
      </c>
      <c r="H93" s="189">
        <v>69.39</v>
      </c>
      <c r="I93" s="189">
        <v>11.01</v>
      </c>
      <c r="J93" s="189">
        <v>0.16</v>
      </c>
      <c r="K93" s="189">
        <v>164.24</v>
      </c>
      <c r="L93" s="189">
        <v>18.03</v>
      </c>
      <c r="M93" s="189">
        <v>84.66</v>
      </c>
      <c r="N93" s="189">
        <v>0</v>
      </c>
      <c r="O93" s="189">
        <v>0</v>
      </c>
      <c r="P93" s="189">
        <v>1.0900000000000001</v>
      </c>
      <c r="Q93" s="189">
        <v>4.95</v>
      </c>
    </row>
    <row r="94" spans="1:17" customFormat="1">
      <c r="A94" s="6" t="s">
        <v>2052</v>
      </c>
      <c r="B94" s="189">
        <v>9.4600000000000009</v>
      </c>
      <c r="C94" s="189">
        <v>33.69</v>
      </c>
      <c r="D94" s="189">
        <v>26.54</v>
      </c>
      <c r="E94" s="189">
        <v>8.84</v>
      </c>
      <c r="F94" s="189">
        <v>2.6</v>
      </c>
      <c r="G94" s="189">
        <v>163.58000000000001</v>
      </c>
      <c r="H94" s="189">
        <v>69.39</v>
      </c>
      <c r="I94" s="189">
        <v>11.09</v>
      </c>
      <c r="J94" s="189">
        <v>0.17</v>
      </c>
      <c r="K94" s="189">
        <v>164.51</v>
      </c>
      <c r="L94" s="189">
        <v>18.079999999999998</v>
      </c>
      <c r="M94" s="189">
        <v>84.11</v>
      </c>
      <c r="N94" s="189">
        <v>0</v>
      </c>
      <c r="O94" s="189">
        <v>0</v>
      </c>
      <c r="P94" s="189">
        <v>1.1000000000000001</v>
      </c>
      <c r="Q94" s="189">
        <v>4.97</v>
      </c>
    </row>
    <row r="95" spans="1:17" customFormat="1">
      <c r="A95" s="6" t="s">
        <v>2053</v>
      </c>
      <c r="B95" s="189">
        <v>10.19</v>
      </c>
      <c r="C95" s="189">
        <v>34.42</v>
      </c>
      <c r="D95" s="189">
        <v>27.51</v>
      </c>
      <c r="E95" s="189">
        <v>8.91</v>
      </c>
      <c r="F95" s="189">
        <v>2.56</v>
      </c>
      <c r="G95" s="189">
        <v>160.72999999999999</v>
      </c>
      <c r="H95" s="189">
        <v>72.7</v>
      </c>
      <c r="I95" s="189">
        <v>11.18</v>
      </c>
      <c r="J95" s="189">
        <v>0.14000000000000001</v>
      </c>
      <c r="K95" s="189">
        <v>168.37</v>
      </c>
      <c r="L95" s="189">
        <v>18</v>
      </c>
      <c r="M95" s="189">
        <v>85.31</v>
      </c>
      <c r="N95" s="189">
        <v>0</v>
      </c>
      <c r="O95" s="189">
        <v>0</v>
      </c>
      <c r="P95" s="189">
        <v>1.1200000000000001</v>
      </c>
      <c r="Q95" s="189">
        <v>4.95</v>
      </c>
    </row>
    <row r="96" spans="1:17" customFormat="1">
      <c r="A96" s="6" t="s">
        <v>2054</v>
      </c>
      <c r="B96" s="189">
        <v>11.39</v>
      </c>
      <c r="C96" s="189">
        <v>34.97</v>
      </c>
      <c r="D96" s="189">
        <v>28.76</v>
      </c>
      <c r="E96" s="189">
        <v>8.58</v>
      </c>
      <c r="F96" s="189">
        <v>2.46</v>
      </c>
      <c r="G96" s="189">
        <v>160.33000000000001</v>
      </c>
      <c r="H96" s="189">
        <v>72.7</v>
      </c>
      <c r="I96" s="189">
        <v>11.28</v>
      </c>
      <c r="J96" s="189">
        <v>0.1</v>
      </c>
      <c r="K96" s="189">
        <v>209.56</v>
      </c>
      <c r="L96" s="189">
        <v>17.739999999999998</v>
      </c>
      <c r="M96" s="189">
        <v>88.86</v>
      </c>
      <c r="N96" s="189">
        <v>0</v>
      </c>
      <c r="O96" s="189">
        <v>0</v>
      </c>
      <c r="P96" s="189">
        <v>1.1299999999999999</v>
      </c>
      <c r="Q96" s="189">
        <v>4.96</v>
      </c>
    </row>
    <row r="97" spans="1:22" customFormat="1">
      <c r="A97" s="6" t="s">
        <v>2055</v>
      </c>
      <c r="B97" s="189">
        <v>11.62</v>
      </c>
      <c r="C97" s="189">
        <v>35.049999999999997</v>
      </c>
      <c r="D97" s="189">
        <v>28.99</v>
      </c>
      <c r="E97" s="189">
        <v>9.0399999999999991</v>
      </c>
      <c r="F97" s="189">
        <v>2.46</v>
      </c>
      <c r="G97" s="189">
        <v>160.33000000000001</v>
      </c>
      <c r="H97" s="189">
        <v>72.7</v>
      </c>
      <c r="I97" s="189">
        <v>11.4</v>
      </c>
      <c r="J97" s="189">
        <v>0.15</v>
      </c>
      <c r="K97" s="189">
        <v>161.97</v>
      </c>
      <c r="L97" s="189">
        <v>17.600000000000001</v>
      </c>
      <c r="M97" s="189">
        <v>88.65</v>
      </c>
      <c r="N97" s="189">
        <v>0</v>
      </c>
      <c r="O97" s="189">
        <v>0</v>
      </c>
      <c r="P97" s="189">
        <v>1.1399999999999999</v>
      </c>
      <c r="Q97" s="189">
        <v>4.93</v>
      </c>
    </row>
    <row r="98" spans="1:22" customFormat="1">
      <c r="A98" s="6" t="s">
        <v>2056</v>
      </c>
      <c r="B98" s="189">
        <v>12</v>
      </c>
      <c r="C98" s="189">
        <v>34.770000000000003</v>
      </c>
      <c r="D98" s="189">
        <v>29.14</v>
      </c>
      <c r="E98" s="189">
        <v>9.02</v>
      </c>
      <c r="F98" s="189">
        <v>2.58</v>
      </c>
      <c r="G98" s="189">
        <v>160.33000000000001</v>
      </c>
      <c r="H98" s="189">
        <v>72.7</v>
      </c>
      <c r="I98" s="189">
        <v>11.53</v>
      </c>
      <c r="J98" s="189">
        <v>0.2</v>
      </c>
      <c r="K98" s="189">
        <v>164.62</v>
      </c>
      <c r="L98" s="189">
        <v>17.47</v>
      </c>
      <c r="M98" s="189">
        <v>88.67</v>
      </c>
      <c r="N98" s="189">
        <v>0</v>
      </c>
      <c r="O98" s="189">
        <v>0</v>
      </c>
      <c r="P98" s="189">
        <v>1.1499999999999999</v>
      </c>
      <c r="Q98" s="189">
        <v>4.96</v>
      </c>
    </row>
    <row r="99" spans="1:22" customFormat="1">
      <c r="A99" s="6" t="s">
        <v>2057</v>
      </c>
      <c r="B99" s="189">
        <v>14.05</v>
      </c>
      <c r="C99" s="189">
        <v>35.299999999999997</v>
      </c>
      <c r="D99" s="189">
        <v>31.06</v>
      </c>
      <c r="E99" s="189">
        <v>8.52</v>
      </c>
      <c r="F99" s="189">
        <v>2.52</v>
      </c>
      <c r="G99" s="189">
        <v>159.36000000000001</v>
      </c>
      <c r="H99" s="189">
        <v>72.13</v>
      </c>
      <c r="I99" s="189">
        <v>11.61</v>
      </c>
      <c r="J99" s="189">
        <v>0.19</v>
      </c>
      <c r="K99" s="189">
        <v>160.71</v>
      </c>
      <c r="L99" s="189">
        <v>17.5</v>
      </c>
      <c r="M99" s="189">
        <v>89.33</v>
      </c>
      <c r="N99" s="189">
        <v>0</v>
      </c>
      <c r="O99" s="189">
        <v>0</v>
      </c>
      <c r="P99" s="189">
        <v>1.1599999999999999</v>
      </c>
      <c r="Q99" s="189">
        <v>4.9800000000000004</v>
      </c>
    </row>
    <row r="100" spans="1:22" customFormat="1">
      <c r="A100" s="6" t="s">
        <v>2058</v>
      </c>
      <c r="B100" s="189">
        <v>16.829999999999998</v>
      </c>
      <c r="C100" s="189">
        <v>36.07</v>
      </c>
      <c r="D100" s="189">
        <v>33.69</v>
      </c>
      <c r="E100" s="189">
        <v>8.73</v>
      </c>
      <c r="F100" s="189">
        <v>2.6</v>
      </c>
      <c r="G100" s="189">
        <v>159.22999999999999</v>
      </c>
      <c r="H100" s="189">
        <v>72.13</v>
      </c>
      <c r="I100" s="189">
        <v>11.69</v>
      </c>
      <c r="J100" s="189">
        <v>0.17</v>
      </c>
      <c r="K100" s="189">
        <v>162.5</v>
      </c>
      <c r="L100" s="189">
        <v>17.22</v>
      </c>
      <c r="M100" s="189">
        <v>92.03</v>
      </c>
      <c r="N100" s="189">
        <v>0</v>
      </c>
      <c r="O100" s="189">
        <v>0</v>
      </c>
      <c r="P100" s="189">
        <v>1.18</v>
      </c>
      <c r="Q100" s="189">
        <v>5.0199999999999996</v>
      </c>
    </row>
    <row r="101" spans="1:22" customFormat="1">
      <c r="A101" s="6" t="s">
        <v>2059</v>
      </c>
      <c r="B101" s="189">
        <v>19.57</v>
      </c>
      <c r="C101" s="189">
        <v>36.43</v>
      </c>
      <c r="D101" s="189">
        <v>36.08</v>
      </c>
      <c r="E101" s="189">
        <v>8.93</v>
      </c>
      <c r="F101" s="189">
        <v>2.5299999999999998</v>
      </c>
      <c r="G101" s="189">
        <v>159.22999999999999</v>
      </c>
      <c r="H101" s="189">
        <v>72.13</v>
      </c>
      <c r="I101" s="189">
        <v>11.83</v>
      </c>
      <c r="J101" s="189">
        <v>0.18</v>
      </c>
      <c r="K101" s="189">
        <v>159.19</v>
      </c>
      <c r="L101" s="189">
        <v>17.34</v>
      </c>
      <c r="M101" s="189">
        <v>90.38</v>
      </c>
      <c r="N101" s="189">
        <v>0</v>
      </c>
      <c r="O101" s="189">
        <v>0</v>
      </c>
      <c r="P101" s="189">
        <v>1.2</v>
      </c>
      <c r="Q101" s="189">
        <v>5.0599999999999996</v>
      </c>
    </row>
    <row r="102" spans="1:22" customFormat="1">
      <c r="A102" s="6" t="s">
        <v>2060</v>
      </c>
      <c r="B102" s="189">
        <v>22.67</v>
      </c>
      <c r="C102" s="189">
        <v>37.200000000000003</v>
      </c>
      <c r="D102" s="189">
        <v>38.97</v>
      </c>
      <c r="E102" s="189">
        <v>8.6999999999999993</v>
      </c>
      <c r="F102" s="189">
        <v>2.5099999999999998</v>
      </c>
      <c r="G102" s="189">
        <v>159.22999999999999</v>
      </c>
      <c r="H102" s="189">
        <v>72.13</v>
      </c>
      <c r="I102" s="189">
        <v>12</v>
      </c>
      <c r="J102" s="189">
        <v>0.21</v>
      </c>
      <c r="K102" s="189">
        <v>163.77000000000001</v>
      </c>
      <c r="L102" s="189">
        <v>17.27</v>
      </c>
      <c r="M102" s="189">
        <v>90.63</v>
      </c>
      <c r="N102" s="189">
        <v>0</v>
      </c>
      <c r="O102" s="189">
        <v>0</v>
      </c>
      <c r="P102" s="189">
        <v>1.21</v>
      </c>
      <c r="Q102" s="189">
        <v>5.08</v>
      </c>
    </row>
    <row r="103" spans="1:22" customFormat="1">
      <c r="A103" s="6" t="s">
        <v>2061</v>
      </c>
      <c r="B103" s="189">
        <v>26.21</v>
      </c>
      <c r="C103" s="189">
        <v>36.020000000000003</v>
      </c>
      <c r="D103" s="189">
        <v>41.19</v>
      </c>
      <c r="E103" s="189">
        <v>8.65</v>
      </c>
      <c r="F103" s="189">
        <v>2.72</v>
      </c>
      <c r="G103" s="189">
        <v>157.94999999999999</v>
      </c>
      <c r="H103" s="189">
        <v>75.33</v>
      </c>
      <c r="I103" s="189">
        <v>12.19</v>
      </c>
      <c r="J103" s="189">
        <v>0.14000000000000001</v>
      </c>
      <c r="K103" s="189">
        <v>165.35</v>
      </c>
      <c r="L103" s="189">
        <v>17.170000000000002</v>
      </c>
      <c r="M103" s="189">
        <v>90.4</v>
      </c>
      <c r="N103" s="189">
        <v>0</v>
      </c>
      <c r="O103" s="189">
        <v>0</v>
      </c>
      <c r="P103" s="189">
        <v>1.23</v>
      </c>
      <c r="Q103" s="189">
        <v>5.1100000000000003</v>
      </c>
    </row>
    <row r="104" spans="1:22" customFormat="1">
      <c r="A104" s="6" t="s">
        <v>2062</v>
      </c>
      <c r="B104" s="189">
        <v>28.81</v>
      </c>
      <c r="C104" s="189">
        <v>32.869999999999997</v>
      </c>
      <c r="D104" s="189">
        <v>41.63</v>
      </c>
      <c r="E104" s="189">
        <v>8.4499999999999993</v>
      </c>
      <c r="F104" s="189">
        <v>2.82</v>
      </c>
      <c r="G104" s="189">
        <v>157.78</v>
      </c>
      <c r="H104" s="189">
        <v>75.33</v>
      </c>
      <c r="I104" s="189">
        <v>12.35</v>
      </c>
      <c r="J104" s="189">
        <v>0.15</v>
      </c>
      <c r="K104" s="189">
        <v>233.08</v>
      </c>
      <c r="L104" s="189">
        <v>16.760000000000002</v>
      </c>
      <c r="M104" s="189">
        <v>92.29</v>
      </c>
      <c r="N104" s="189">
        <v>0</v>
      </c>
      <c r="O104" s="189">
        <v>0</v>
      </c>
      <c r="P104" s="189">
        <v>1.24</v>
      </c>
      <c r="Q104" s="189">
        <v>5.15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</v>
      </c>
      <c r="C106" s="183">
        <f>MIN(C9:C104)</f>
        <v>19.79</v>
      </c>
      <c r="D106" s="183">
        <f t="shared" ref="D106:Q106" si="0">MIN(D9:D104)</f>
        <v>14.85</v>
      </c>
      <c r="E106" s="183">
        <f t="shared" si="0"/>
        <v>4.72</v>
      </c>
      <c r="F106" s="183">
        <f t="shared" si="0"/>
        <v>2.38</v>
      </c>
      <c r="G106" s="183">
        <f t="shared" si="0"/>
        <v>80.25</v>
      </c>
      <c r="H106" s="183">
        <f t="shared" si="0"/>
        <v>51.09</v>
      </c>
      <c r="I106" s="183">
        <f t="shared" si="0"/>
        <v>9.14</v>
      </c>
      <c r="J106" s="183">
        <f t="shared" si="0"/>
        <v>0.01</v>
      </c>
      <c r="K106" s="183">
        <f t="shared" si="0"/>
        <v>9.5399999999999991</v>
      </c>
      <c r="L106" s="183">
        <f t="shared" si="0"/>
        <v>14.16</v>
      </c>
      <c r="M106" s="183">
        <f t="shared" si="0"/>
        <v>38.07</v>
      </c>
      <c r="N106" s="183">
        <f t="shared" si="0"/>
        <v>0</v>
      </c>
      <c r="O106" s="183">
        <f t="shared" si="0"/>
        <v>0</v>
      </c>
      <c r="P106" s="183">
        <f t="shared" si="0"/>
        <v>0.74</v>
      </c>
      <c r="Q106" s="183">
        <f t="shared" si="0"/>
        <v>4.76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28.81</v>
      </c>
      <c r="C107" s="184">
        <f t="shared" ref="C107:Q107" si="1">MAX(C9:C104)</f>
        <v>37.200000000000003</v>
      </c>
      <c r="D107" s="184">
        <f t="shared" si="1"/>
        <v>41.63</v>
      </c>
      <c r="E107" s="184">
        <f t="shared" si="1"/>
        <v>9.1199999999999992</v>
      </c>
      <c r="F107" s="184">
        <f t="shared" si="1"/>
        <v>6.01</v>
      </c>
      <c r="G107" s="184">
        <f t="shared" si="1"/>
        <v>163.58000000000001</v>
      </c>
      <c r="H107" s="184">
        <f t="shared" si="1"/>
        <v>75.33</v>
      </c>
      <c r="I107" s="184">
        <f t="shared" si="1"/>
        <v>12.43</v>
      </c>
      <c r="J107" s="184">
        <f t="shared" si="1"/>
        <v>0.52</v>
      </c>
      <c r="K107" s="184">
        <f t="shared" si="1"/>
        <v>355.46</v>
      </c>
      <c r="L107" s="184">
        <f t="shared" si="1"/>
        <v>28.07</v>
      </c>
      <c r="M107" s="184">
        <f t="shared" si="1"/>
        <v>96.54</v>
      </c>
      <c r="N107" s="184">
        <f t="shared" si="1"/>
        <v>423.9</v>
      </c>
      <c r="O107" s="184">
        <f t="shared" si="1"/>
        <v>0</v>
      </c>
      <c r="P107" s="184">
        <f t="shared" si="1"/>
        <v>1.24</v>
      </c>
      <c r="Q107" s="184">
        <f t="shared" si="1"/>
        <v>5.23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12.643020833333331</v>
      </c>
      <c r="C108" s="183">
        <f t="shared" ref="C108:Q108" si="2">AVERAGE(C9:C104)</f>
        <v>29.762812499999995</v>
      </c>
      <c r="D108" s="183">
        <f t="shared" si="2"/>
        <v>27.040208333333325</v>
      </c>
      <c r="E108" s="183">
        <f t="shared" si="2"/>
        <v>6.8570833333333328</v>
      </c>
      <c r="F108" s="183">
        <f t="shared" si="2"/>
        <v>3.1006249999999995</v>
      </c>
      <c r="G108" s="183">
        <f t="shared" si="2"/>
        <v>129.39864583333335</v>
      </c>
      <c r="H108" s="183">
        <f t="shared" si="2"/>
        <v>66.375000000000043</v>
      </c>
      <c r="I108" s="183">
        <f t="shared" si="2"/>
        <v>11.108020833333327</v>
      </c>
      <c r="J108" s="183">
        <f t="shared" si="2"/>
        <v>0.1814583333333333</v>
      </c>
      <c r="K108" s="183">
        <f t="shared" si="2"/>
        <v>153.89500000000001</v>
      </c>
      <c r="L108" s="183">
        <f t="shared" si="2"/>
        <v>20.039166666666656</v>
      </c>
      <c r="M108" s="183">
        <f t="shared" si="2"/>
        <v>74.318020833333335</v>
      </c>
      <c r="N108" s="183">
        <f t="shared" si="2"/>
        <v>87.079166666666694</v>
      </c>
      <c r="O108" s="183">
        <f t="shared" si="2"/>
        <v>0</v>
      </c>
      <c r="P108" s="183">
        <f t="shared" si="2"/>
        <v>0.98114583333333349</v>
      </c>
      <c r="Q108" s="183">
        <f t="shared" si="2"/>
        <v>4.9994791666666663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7.9060271638384192</v>
      </c>
      <c r="C109" s="183">
        <f t="shared" ref="C109:Q109" si="3">STDEV(C9:C104)</f>
        <v>4.8297882056920587</v>
      </c>
      <c r="D109" s="183">
        <f t="shared" si="3"/>
        <v>8.2476815216433135</v>
      </c>
      <c r="E109" s="183">
        <f t="shared" si="3"/>
        <v>1.2258392756901597</v>
      </c>
      <c r="F109" s="183">
        <f t="shared" si="3"/>
        <v>0.87696583681884233</v>
      </c>
      <c r="G109" s="183">
        <f t="shared" si="3"/>
        <v>23.684638842386573</v>
      </c>
      <c r="H109" s="183">
        <f t="shared" si="3"/>
        <v>6.6743155769749194</v>
      </c>
      <c r="I109" s="183">
        <f t="shared" si="3"/>
        <v>1.0820979815464222</v>
      </c>
      <c r="J109" s="183">
        <f t="shared" si="3"/>
        <v>0.10891792338769468</v>
      </c>
      <c r="K109" s="183">
        <f t="shared" si="3"/>
        <v>79.179813044008995</v>
      </c>
      <c r="L109" s="183">
        <f t="shared" si="3"/>
        <v>4.6022423977578404</v>
      </c>
      <c r="M109" s="183">
        <f t="shared" si="3"/>
        <v>20.096703977978834</v>
      </c>
      <c r="N109" s="183">
        <f t="shared" si="3"/>
        <v>143.40236797330394</v>
      </c>
      <c r="O109" s="183">
        <f t="shared" si="3"/>
        <v>0</v>
      </c>
      <c r="P109" s="183">
        <f t="shared" si="3"/>
        <v>0.13421012426840254</v>
      </c>
      <c r="Q109" s="183">
        <f t="shared" si="3"/>
        <v>0.11276776127268162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28/12/2023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2063</v>
      </c>
      <c r="B9" s="189">
        <v>31.74</v>
      </c>
      <c r="C9" s="189">
        <v>30.84</v>
      </c>
      <c r="D9" s="189">
        <v>42.92</v>
      </c>
      <c r="E9" s="189">
        <v>8.41</v>
      </c>
      <c r="F9" s="189">
        <v>2.8</v>
      </c>
      <c r="G9" s="189">
        <v>157.78</v>
      </c>
      <c r="H9" s="189">
        <v>75.33</v>
      </c>
      <c r="I9" s="189">
        <v>12.5</v>
      </c>
      <c r="J9" s="189">
        <v>0.11</v>
      </c>
      <c r="K9" s="189">
        <v>194.49</v>
      </c>
      <c r="L9" s="189">
        <v>16.559999999999999</v>
      </c>
      <c r="M9" s="189">
        <v>92.93</v>
      </c>
      <c r="N9" s="189">
        <v>0</v>
      </c>
      <c r="O9" s="189">
        <v>0</v>
      </c>
      <c r="P9" s="189">
        <v>1.24</v>
      </c>
      <c r="Q9" s="189">
        <v>5.18</v>
      </c>
    </row>
    <row r="10" spans="1:21" customFormat="1">
      <c r="A10" s="6" t="s">
        <v>2064</v>
      </c>
      <c r="B10" s="189">
        <v>32.99</v>
      </c>
      <c r="C10" s="189">
        <v>32.83</v>
      </c>
      <c r="D10" s="189">
        <v>44.96</v>
      </c>
      <c r="E10" s="189">
        <v>8.65</v>
      </c>
      <c r="F10" s="189">
        <v>2.5099999999999998</v>
      </c>
      <c r="G10" s="189">
        <v>157.78</v>
      </c>
      <c r="H10" s="189">
        <v>75.33</v>
      </c>
      <c r="I10" s="189">
        <v>12.68</v>
      </c>
      <c r="J10" s="189">
        <v>0.19</v>
      </c>
      <c r="K10" s="189">
        <v>186.84</v>
      </c>
      <c r="L10" s="189">
        <v>16.45</v>
      </c>
      <c r="M10" s="189">
        <v>93.64</v>
      </c>
      <c r="N10" s="189">
        <v>0</v>
      </c>
      <c r="O10" s="189">
        <v>0</v>
      </c>
      <c r="P10" s="189">
        <v>1.25</v>
      </c>
      <c r="Q10" s="189">
        <v>5.22</v>
      </c>
    </row>
    <row r="11" spans="1:21" customFormat="1">
      <c r="A11" s="6" t="s">
        <v>2065</v>
      </c>
      <c r="B11" s="189">
        <v>33.71</v>
      </c>
      <c r="C11" s="189">
        <v>32.17</v>
      </c>
      <c r="D11" s="189">
        <v>45.2</v>
      </c>
      <c r="E11" s="189">
        <v>8.5500000000000007</v>
      </c>
      <c r="F11" s="189">
        <v>2.5099999999999998</v>
      </c>
      <c r="G11" s="189">
        <v>155.51</v>
      </c>
      <c r="H11" s="189">
        <v>76.42</v>
      </c>
      <c r="I11" s="189">
        <v>12.82</v>
      </c>
      <c r="J11" s="189">
        <v>0.16</v>
      </c>
      <c r="K11" s="189">
        <v>202.97</v>
      </c>
      <c r="L11" s="189">
        <v>15.98</v>
      </c>
      <c r="M11" s="189">
        <v>93.73</v>
      </c>
      <c r="N11" s="189">
        <v>0</v>
      </c>
      <c r="O11" s="189">
        <v>0</v>
      </c>
      <c r="P11" s="189">
        <v>1.25</v>
      </c>
      <c r="Q11" s="189">
        <v>5.24</v>
      </c>
    </row>
    <row r="12" spans="1:21" customFormat="1">
      <c r="A12" s="6" t="s">
        <v>2066</v>
      </c>
      <c r="B12" s="189">
        <v>33.35</v>
      </c>
      <c r="C12" s="189">
        <v>32.46</v>
      </c>
      <c r="D12" s="189">
        <v>45.06</v>
      </c>
      <c r="E12" s="189">
        <v>8.44</v>
      </c>
      <c r="F12" s="189">
        <v>2.42</v>
      </c>
      <c r="G12" s="189">
        <v>155.19</v>
      </c>
      <c r="H12" s="189">
        <v>76.42</v>
      </c>
      <c r="I12" s="189">
        <v>12.89</v>
      </c>
      <c r="J12" s="189">
        <v>0.12</v>
      </c>
      <c r="K12" s="189">
        <v>247.82</v>
      </c>
      <c r="L12" s="189">
        <v>15.84</v>
      </c>
      <c r="M12" s="189">
        <v>93.93</v>
      </c>
      <c r="N12" s="189">
        <v>0</v>
      </c>
      <c r="O12" s="189">
        <v>0</v>
      </c>
      <c r="P12" s="189">
        <v>1.25</v>
      </c>
      <c r="Q12" s="189">
        <v>5.25</v>
      </c>
    </row>
    <row r="13" spans="1:21" customFormat="1">
      <c r="A13" s="6" t="s">
        <v>2067</v>
      </c>
      <c r="B13" s="189">
        <v>32.46</v>
      </c>
      <c r="C13" s="189">
        <v>31.09</v>
      </c>
      <c r="D13" s="189">
        <v>43.62</v>
      </c>
      <c r="E13" s="189">
        <v>8.82</v>
      </c>
      <c r="F13" s="189">
        <v>2.59</v>
      </c>
      <c r="G13" s="189">
        <v>155.19</v>
      </c>
      <c r="H13" s="189">
        <v>76.42</v>
      </c>
      <c r="I13" s="189">
        <v>12.92</v>
      </c>
      <c r="J13" s="189">
        <v>0.19</v>
      </c>
      <c r="K13" s="189">
        <v>270.88</v>
      </c>
      <c r="L13" s="189">
        <v>15.69</v>
      </c>
      <c r="M13" s="189">
        <v>93.49</v>
      </c>
      <c r="N13" s="189">
        <v>0</v>
      </c>
      <c r="O13" s="189">
        <v>0</v>
      </c>
      <c r="P13" s="189">
        <v>1.24</v>
      </c>
      <c r="Q13" s="189">
        <v>5.24</v>
      </c>
    </row>
    <row r="14" spans="1:21" customFormat="1">
      <c r="A14" s="6" t="s">
        <v>2068</v>
      </c>
      <c r="B14" s="189">
        <v>31.36</v>
      </c>
      <c r="C14" s="189">
        <v>30.66</v>
      </c>
      <c r="D14" s="189">
        <v>42.52</v>
      </c>
      <c r="E14" s="189">
        <v>8.4499999999999993</v>
      </c>
      <c r="F14" s="189">
        <v>2.61</v>
      </c>
      <c r="G14" s="189">
        <v>155.19</v>
      </c>
      <c r="H14" s="189">
        <v>76.42</v>
      </c>
      <c r="I14" s="189">
        <v>12.93</v>
      </c>
      <c r="J14" s="189">
        <v>0.11</v>
      </c>
      <c r="K14" s="189">
        <v>159.01</v>
      </c>
      <c r="L14" s="189">
        <v>15.81</v>
      </c>
      <c r="M14" s="189">
        <v>92.8</v>
      </c>
      <c r="N14" s="189">
        <v>0</v>
      </c>
      <c r="O14" s="189">
        <v>0</v>
      </c>
      <c r="P14" s="189">
        <v>1.24</v>
      </c>
      <c r="Q14" s="189">
        <v>5.27</v>
      </c>
    </row>
    <row r="15" spans="1:21" customFormat="1">
      <c r="A15" s="6" t="s">
        <v>2069</v>
      </c>
      <c r="B15" s="189">
        <v>30.31</v>
      </c>
      <c r="C15" s="189">
        <v>30.21</v>
      </c>
      <c r="D15" s="189">
        <v>41.44</v>
      </c>
      <c r="E15" s="189">
        <v>8.82</v>
      </c>
      <c r="F15" s="189">
        <v>2.48</v>
      </c>
      <c r="G15" s="189">
        <v>145.88</v>
      </c>
      <c r="H15" s="189">
        <v>72.45</v>
      </c>
      <c r="I15" s="189">
        <v>12.93</v>
      </c>
      <c r="J15" s="189">
        <v>0.12</v>
      </c>
      <c r="K15" s="189">
        <v>154.47</v>
      </c>
      <c r="L15" s="189">
        <v>15.83</v>
      </c>
      <c r="M15" s="189">
        <v>92.8</v>
      </c>
      <c r="N15" s="189">
        <v>0</v>
      </c>
      <c r="O15" s="189">
        <v>0</v>
      </c>
      <c r="P15" s="189">
        <v>1.24</v>
      </c>
      <c r="Q15" s="189">
        <v>5.29</v>
      </c>
    </row>
    <row r="16" spans="1:21" customFormat="1">
      <c r="A16" s="6" t="s">
        <v>2070</v>
      </c>
      <c r="B16" s="189">
        <v>29.27</v>
      </c>
      <c r="C16" s="189">
        <v>30.98</v>
      </c>
      <c r="D16" s="189">
        <v>41.01</v>
      </c>
      <c r="E16" s="189">
        <v>8.2100000000000009</v>
      </c>
      <c r="F16" s="189">
        <v>2.42</v>
      </c>
      <c r="G16" s="189">
        <v>144.58000000000001</v>
      </c>
      <c r="H16" s="189">
        <v>72.45</v>
      </c>
      <c r="I16" s="189">
        <v>12.9</v>
      </c>
      <c r="J16" s="189">
        <v>0.13</v>
      </c>
      <c r="K16" s="189">
        <v>165.4</v>
      </c>
      <c r="L16" s="189">
        <v>15.84</v>
      </c>
      <c r="M16" s="189">
        <v>93.86</v>
      </c>
      <c r="N16" s="189">
        <v>0</v>
      </c>
      <c r="O16" s="189">
        <v>0</v>
      </c>
      <c r="P16" s="189">
        <v>1.25</v>
      </c>
      <c r="Q16" s="189">
        <v>5.24</v>
      </c>
    </row>
    <row r="17" spans="1:17" customFormat="1">
      <c r="A17" s="6" t="s">
        <v>2071</v>
      </c>
      <c r="B17" s="189">
        <v>28.47</v>
      </c>
      <c r="C17" s="189">
        <v>28.92</v>
      </c>
      <c r="D17" s="189">
        <v>39.299999999999997</v>
      </c>
      <c r="E17" s="189">
        <v>6.9</v>
      </c>
      <c r="F17" s="189">
        <v>2.85</v>
      </c>
      <c r="G17" s="189">
        <v>144.58000000000001</v>
      </c>
      <c r="H17" s="189">
        <v>72.45</v>
      </c>
      <c r="I17" s="189">
        <v>12.95</v>
      </c>
      <c r="J17" s="189">
        <v>0.16</v>
      </c>
      <c r="K17" s="189">
        <v>211.89</v>
      </c>
      <c r="L17" s="189">
        <v>15.72</v>
      </c>
      <c r="M17" s="189">
        <v>94.85</v>
      </c>
      <c r="N17" s="189">
        <v>0</v>
      </c>
      <c r="O17" s="189">
        <v>0</v>
      </c>
      <c r="P17" s="189">
        <v>1.23</v>
      </c>
      <c r="Q17" s="189">
        <v>5.23</v>
      </c>
    </row>
    <row r="18" spans="1:17" customFormat="1">
      <c r="A18" s="6" t="s">
        <v>2072</v>
      </c>
      <c r="B18" s="189">
        <v>27.36</v>
      </c>
      <c r="C18" s="189">
        <v>30.09</v>
      </c>
      <c r="D18" s="189">
        <v>39.01</v>
      </c>
      <c r="E18" s="189">
        <v>8</v>
      </c>
      <c r="F18" s="189">
        <v>2.6</v>
      </c>
      <c r="G18" s="189">
        <v>144.58000000000001</v>
      </c>
      <c r="H18" s="189">
        <v>72.45</v>
      </c>
      <c r="I18" s="189">
        <v>13.03</v>
      </c>
      <c r="J18" s="189">
        <v>0.11</v>
      </c>
      <c r="K18" s="189">
        <v>162.75</v>
      </c>
      <c r="L18" s="189">
        <v>15.6</v>
      </c>
      <c r="M18" s="189">
        <v>95.31</v>
      </c>
      <c r="N18" s="189">
        <v>0</v>
      </c>
      <c r="O18" s="189">
        <v>0</v>
      </c>
      <c r="P18" s="189">
        <v>1.24</v>
      </c>
      <c r="Q18" s="189">
        <v>5.22</v>
      </c>
    </row>
    <row r="19" spans="1:17" customFormat="1">
      <c r="A19" s="6" t="s">
        <v>2073</v>
      </c>
      <c r="B19" s="189">
        <v>26.3</v>
      </c>
      <c r="C19" s="189">
        <v>29.33</v>
      </c>
      <c r="D19" s="189">
        <v>37.76</v>
      </c>
      <c r="E19" s="189">
        <v>7.43</v>
      </c>
      <c r="F19" s="189">
        <v>2.5</v>
      </c>
      <c r="G19" s="189">
        <v>134.12</v>
      </c>
      <c r="H19" s="189">
        <v>72.55</v>
      </c>
      <c r="I19" s="189">
        <v>13.09</v>
      </c>
      <c r="J19" s="189">
        <v>0.13</v>
      </c>
      <c r="K19" s="189">
        <v>154.91999999999999</v>
      </c>
      <c r="L19" s="189">
        <v>15.53</v>
      </c>
      <c r="M19" s="189">
        <v>94.74</v>
      </c>
      <c r="N19" s="189">
        <v>0</v>
      </c>
      <c r="O19" s="189">
        <v>0</v>
      </c>
      <c r="P19" s="189">
        <v>1.24</v>
      </c>
      <c r="Q19" s="189">
        <v>5.21</v>
      </c>
    </row>
    <row r="20" spans="1:17" customFormat="1">
      <c r="A20" s="6" t="s">
        <v>2074</v>
      </c>
      <c r="B20" s="189">
        <v>25.25</v>
      </c>
      <c r="C20" s="189">
        <v>29.71</v>
      </c>
      <c r="D20" s="189">
        <v>37.130000000000003</v>
      </c>
      <c r="E20" s="189">
        <v>7.65</v>
      </c>
      <c r="F20" s="189">
        <v>2.57</v>
      </c>
      <c r="G20" s="189">
        <v>132.66</v>
      </c>
      <c r="H20" s="189">
        <v>72.55</v>
      </c>
      <c r="I20" s="189">
        <v>13.16</v>
      </c>
      <c r="J20" s="189">
        <v>0.1</v>
      </c>
      <c r="K20" s="189">
        <v>184.77</v>
      </c>
      <c r="L20" s="189">
        <v>15.5</v>
      </c>
      <c r="M20" s="189">
        <v>94.91</v>
      </c>
      <c r="N20" s="189">
        <v>0</v>
      </c>
      <c r="O20" s="189">
        <v>0</v>
      </c>
      <c r="P20" s="189">
        <v>1.24</v>
      </c>
      <c r="Q20" s="189">
        <v>5.19</v>
      </c>
    </row>
    <row r="21" spans="1:17" customFormat="1">
      <c r="A21" s="6" t="s">
        <v>2075</v>
      </c>
      <c r="B21" s="189">
        <v>24.31</v>
      </c>
      <c r="C21" s="189">
        <v>28.24</v>
      </c>
      <c r="D21" s="189">
        <v>35.6</v>
      </c>
      <c r="E21" s="189">
        <v>7.61</v>
      </c>
      <c r="F21" s="189">
        <v>2.7</v>
      </c>
      <c r="G21" s="189">
        <v>132.66</v>
      </c>
      <c r="H21" s="189">
        <v>72.55</v>
      </c>
      <c r="I21" s="189">
        <v>13.2</v>
      </c>
      <c r="J21" s="189">
        <v>0.13</v>
      </c>
      <c r="K21" s="189">
        <v>179.32</v>
      </c>
      <c r="L21" s="189">
        <v>15.42</v>
      </c>
      <c r="M21" s="189">
        <v>95.28</v>
      </c>
      <c r="N21" s="189">
        <v>0</v>
      </c>
      <c r="O21" s="189">
        <v>0</v>
      </c>
      <c r="P21" s="189">
        <v>1.23</v>
      </c>
      <c r="Q21" s="189">
        <v>5.18</v>
      </c>
    </row>
    <row r="22" spans="1:17" customFormat="1">
      <c r="A22" s="6" t="s">
        <v>2076</v>
      </c>
      <c r="B22" s="189">
        <v>23.15</v>
      </c>
      <c r="C22" s="189">
        <v>28.27</v>
      </c>
      <c r="D22" s="189">
        <v>34.69</v>
      </c>
      <c r="E22" s="189">
        <v>7.6</v>
      </c>
      <c r="F22" s="189">
        <v>2.42</v>
      </c>
      <c r="G22" s="189">
        <v>132.66</v>
      </c>
      <c r="H22" s="189">
        <v>72.55</v>
      </c>
      <c r="I22" s="189">
        <v>13.19</v>
      </c>
      <c r="J22" s="189">
        <v>7.0000000000000007E-2</v>
      </c>
      <c r="K22" s="189">
        <v>178.93</v>
      </c>
      <c r="L22" s="189">
        <v>15.3</v>
      </c>
      <c r="M22" s="189">
        <v>95.15</v>
      </c>
      <c r="N22" s="189">
        <v>0</v>
      </c>
      <c r="O22" s="189">
        <v>0</v>
      </c>
      <c r="P22" s="189">
        <v>1.21</v>
      </c>
      <c r="Q22" s="189">
        <v>5.16</v>
      </c>
    </row>
    <row r="23" spans="1:17" customFormat="1">
      <c r="A23" s="6" t="s">
        <v>2077</v>
      </c>
      <c r="B23" s="189">
        <v>22.15</v>
      </c>
      <c r="C23" s="189">
        <v>27.21</v>
      </c>
      <c r="D23" s="189">
        <v>33.33</v>
      </c>
      <c r="E23" s="189">
        <v>7.28</v>
      </c>
      <c r="F23" s="189">
        <v>2.5099999999999998</v>
      </c>
      <c r="G23" s="189">
        <v>125.8</v>
      </c>
      <c r="H23" s="189">
        <v>68.34</v>
      </c>
      <c r="I23" s="189">
        <v>13.16</v>
      </c>
      <c r="J23" s="189">
        <v>0.1</v>
      </c>
      <c r="K23" s="189">
        <v>148.08000000000001</v>
      </c>
      <c r="L23" s="189">
        <v>15.23</v>
      </c>
      <c r="M23" s="189">
        <v>94.43</v>
      </c>
      <c r="N23" s="189">
        <v>0</v>
      </c>
      <c r="O23" s="189">
        <v>0</v>
      </c>
      <c r="P23" s="189">
        <v>1.2</v>
      </c>
      <c r="Q23" s="189">
        <v>5.13</v>
      </c>
    </row>
    <row r="24" spans="1:17" customFormat="1">
      <c r="A24" s="6" t="s">
        <v>2078</v>
      </c>
      <c r="B24" s="189">
        <v>21.45</v>
      </c>
      <c r="C24" s="189">
        <v>27.65</v>
      </c>
      <c r="D24" s="189">
        <v>32.99</v>
      </c>
      <c r="E24" s="189">
        <v>7.69</v>
      </c>
      <c r="F24" s="189">
        <v>2.2200000000000002</v>
      </c>
      <c r="G24" s="189">
        <v>124.85</v>
      </c>
      <c r="H24" s="189">
        <v>68.34</v>
      </c>
      <c r="I24" s="189">
        <v>13.08</v>
      </c>
      <c r="J24" s="189">
        <v>0.15</v>
      </c>
      <c r="K24" s="189">
        <v>108.57</v>
      </c>
      <c r="L24" s="189">
        <v>15.17</v>
      </c>
      <c r="M24" s="189">
        <v>93.66</v>
      </c>
      <c r="N24" s="189">
        <v>0</v>
      </c>
      <c r="O24" s="189">
        <v>0</v>
      </c>
      <c r="P24" s="189">
        <v>1.19</v>
      </c>
      <c r="Q24" s="189">
        <v>5.12</v>
      </c>
    </row>
    <row r="25" spans="1:17" customFormat="1">
      <c r="A25" s="6" t="s">
        <v>2079</v>
      </c>
      <c r="B25" s="189">
        <v>22.83</v>
      </c>
      <c r="C25" s="189">
        <v>26.44</v>
      </c>
      <c r="D25" s="189">
        <v>33.47</v>
      </c>
      <c r="E25" s="189">
        <v>7.47</v>
      </c>
      <c r="F25" s="189">
        <v>2.64</v>
      </c>
      <c r="G25" s="189">
        <v>124.85</v>
      </c>
      <c r="H25" s="189">
        <v>68.34</v>
      </c>
      <c r="I25" s="189">
        <v>12.97</v>
      </c>
      <c r="J25" s="189">
        <v>0.06</v>
      </c>
      <c r="K25" s="189">
        <v>127.08</v>
      </c>
      <c r="L25" s="189">
        <v>15.32</v>
      </c>
      <c r="M25" s="189">
        <v>92.15</v>
      </c>
      <c r="N25" s="189">
        <v>0</v>
      </c>
      <c r="O25" s="189">
        <v>0</v>
      </c>
      <c r="P25" s="189">
        <v>1.17</v>
      </c>
      <c r="Q25" s="189">
        <v>5.14</v>
      </c>
    </row>
    <row r="26" spans="1:17" customFormat="1">
      <c r="A26" s="6" t="s">
        <v>2080</v>
      </c>
      <c r="B26" s="189">
        <v>25.94</v>
      </c>
      <c r="C26" s="189">
        <v>27.46</v>
      </c>
      <c r="D26" s="189">
        <v>36.5</v>
      </c>
      <c r="E26" s="189">
        <v>7.09</v>
      </c>
      <c r="F26" s="189">
        <v>2.48</v>
      </c>
      <c r="G26" s="189">
        <v>124.85</v>
      </c>
      <c r="H26" s="189">
        <v>68.34</v>
      </c>
      <c r="I26" s="189">
        <v>12.9</v>
      </c>
      <c r="J26" s="189">
        <v>0.12</v>
      </c>
      <c r="K26" s="189">
        <v>131.77000000000001</v>
      </c>
      <c r="L26" s="189">
        <v>15.3</v>
      </c>
      <c r="M26" s="189">
        <v>92.51</v>
      </c>
      <c r="N26" s="189">
        <v>0</v>
      </c>
      <c r="O26" s="189">
        <v>0</v>
      </c>
      <c r="P26" s="189">
        <v>1.17</v>
      </c>
      <c r="Q26" s="189">
        <v>5.16</v>
      </c>
    </row>
    <row r="27" spans="1:17" customFormat="1">
      <c r="A27" s="6" t="s">
        <v>2081</v>
      </c>
      <c r="B27" s="189">
        <v>29.03</v>
      </c>
      <c r="C27" s="189">
        <v>28.73</v>
      </c>
      <c r="D27" s="189">
        <v>39.64</v>
      </c>
      <c r="E27" s="189">
        <v>7.42</v>
      </c>
      <c r="F27" s="189">
        <v>2.63</v>
      </c>
      <c r="G27" s="189">
        <v>128.94999999999999</v>
      </c>
      <c r="H27" s="189">
        <v>71.33</v>
      </c>
      <c r="I27" s="189">
        <v>13.6</v>
      </c>
      <c r="J27" s="189">
        <v>0.11</v>
      </c>
      <c r="K27" s="189">
        <v>92.04</v>
      </c>
      <c r="L27" s="189">
        <v>15.39</v>
      </c>
      <c r="M27" s="189">
        <v>91.2</v>
      </c>
      <c r="N27" s="189">
        <v>0</v>
      </c>
      <c r="O27" s="189">
        <v>0</v>
      </c>
      <c r="P27" s="189">
        <v>1.17</v>
      </c>
      <c r="Q27" s="189">
        <v>5.19</v>
      </c>
    </row>
    <row r="28" spans="1:17" customFormat="1">
      <c r="A28" s="6" t="s">
        <v>2082</v>
      </c>
      <c r="B28" s="189">
        <v>30.91</v>
      </c>
      <c r="C28" s="189">
        <v>29.69</v>
      </c>
      <c r="D28" s="189">
        <v>41.65</v>
      </c>
      <c r="E28" s="189">
        <v>7.48</v>
      </c>
      <c r="F28" s="189">
        <v>2.79</v>
      </c>
      <c r="G28" s="189">
        <v>129.52000000000001</v>
      </c>
      <c r="H28" s="189">
        <v>71.33</v>
      </c>
      <c r="I28" s="189">
        <v>14.29</v>
      </c>
      <c r="J28" s="189">
        <v>0.06</v>
      </c>
      <c r="K28" s="189">
        <v>57.1</v>
      </c>
      <c r="L28" s="189">
        <v>15.27</v>
      </c>
      <c r="M28" s="189">
        <v>91.63</v>
      </c>
      <c r="N28" s="189">
        <v>0</v>
      </c>
      <c r="O28" s="189">
        <v>0</v>
      </c>
      <c r="P28" s="189">
        <v>1.1599999999999999</v>
      </c>
      <c r="Q28" s="189">
        <v>5.22</v>
      </c>
    </row>
    <row r="29" spans="1:17" customFormat="1">
      <c r="A29" s="6" t="s">
        <v>2083</v>
      </c>
      <c r="B29" s="189">
        <v>31.51</v>
      </c>
      <c r="C29" s="189">
        <v>30.54</v>
      </c>
      <c r="D29" s="189">
        <v>42.58</v>
      </c>
      <c r="E29" s="189">
        <v>7.09</v>
      </c>
      <c r="F29" s="189">
        <v>2.74</v>
      </c>
      <c r="G29" s="189">
        <v>129.52000000000001</v>
      </c>
      <c r="H29" s="189">
        <v>71.33</v>
      </c>
      <c r="I29" s="189">
        <v>14.42</v>
      </c>
      <c r="J29" s="189">
        <v>0.17</v>
      </c>
      <c r="K29" s="189">
        <v>166.86</v>
      </c>
      <c r="L29" s="189">
        <v>15.25</v>
      </c>
      <c r="M29" s="189">
        <v>92.59</v>
      </c>
      <c r="N29" s="189">
        <v>0</v>
      </c>
      <c r="O29" s="189">
        <v>0</v>
      </c>
      <c r="P29" s="189">
        <v>1.1499999999999999</v>
      </c>
      <c r="Q29" s="189">
        <v>5.24</v>
      </c>
    </row>
    <row r="30" spans="1:17" customFormat="1">
      <c r="A30" s="6" t="s">
        <v>2084</v>
      </c>
      <c r="B30" s="189">
        <v>31.39</v>
      </c>
      <c r="C30" s="189">
        <v>30.68</v>
      </c>
      <c r="D30" s="189">
        <v>42.55</v>
      </c>
      <c r="E30" s="189">
        <v>7.32</v>
      </c>
      <c r="F30" s="189">
        <v>2.5299999999999998</v>
      </c>
      <c r="G30" s="189">
        <v>129.52000000000001</v>
      </c>
      <c r="H30" s="189">
        <v>71.33</v>
      </c>
      <c r="I30" s="189">
        <v>14.34</v>
      </c>
      <c r="J30" s="189">
        <v>0.13</v>
      </c>
      <c r="K30" s="189">
        <v>89.64</v>
      </c>
      <c r="L30" s="189">
        <v>15</v>
      </c>
      <c r="M30" s="189">
        <v>93.67</v>
      </c>
      <c r="N30" s="189">
        <v>0</v>
      </c>
      <c r="O30" s="189">
        <v>0</v>
      </c>
      <c r="P30" s="189">
        <v>1.1499999999999999</v>
      </c>
      <c r="Q30" s="189">
        <v>5.24</v>
      </c>
    </row>
    <row r="31" spans="1:17" customFormat="1">
      <c r="A31" s="6" t="s">
        <v>2085</v>
      </c>
      <c r="B31" s="189">
        <v>31.65</v>
      </c>
      <c r="C31" s="189">
        <v>31.09</v>
      </c>
      <c r="D31" s="189">
        <v>42.98</v>
      </c>
      <c r="E31" s="189">
        <v>8.02</v>
      </c>
      <c r="F31" s="189">
        <v>2.5</v>
      </c>
      <c r="G31" s="189">
        <v>121.77</v>
      </c>
      <c r="H31" s="189">
        <v>70.61</v>
      </c>
      <c r="I31" s="189">
        <v>14.24</v>
      </c>
      <c r="J31" s="189">
        <v>0.18</v>
      </c>
      <c r="K31" s="189">
        <v>82.47</v>
      </c>
      <c r="L31" s="189">
        <v>15.08</v>
      </c>
      <c r="M31" s="189">
        <v>94.16</v>
      </c>
      <c r="N31" s="189">
        <v>0</v>
      </c>
      <c r="O31" s="189">
        <v>0</v>
      </c>
      <c r="P31" s="189">
        <v>1.1499999999999999</v>
      </c>
      <c r="Q31" s="189">
        <v>5.26</v>
      </c>
    </row>
    <row r="32" spans="1:17" customFormat="1">
      <c r="A32" s="6" t="s">
        <v>2086</v>
      </c>
      <c r="B32" s="189">
        <v>31.28</v>
      </c>
      <c r="C32" s="189">
        <v>31.6</v>
      </c>
      <c r="D32" s="189">
        <v>42.94</v>
      </c>
      <c r="E32" s="189">
        <v>7.89</v>
      </c>
      <c r="F32" s="189">
        <v>2.64</v>
      </c>
      <c r="G32" s="189">
        <v>120.69</v>
      </c>
      <c r="H32" s="189">
        <v>70.61</v>
      </c>
      <c r="I32" s="189">
        <v>14.17</v>
      </c>
      <c r="J32" s="189">
        <v>0.13</v>
      </c>
      <c r="K32" s="189">
        <v>148.29</v>
      </c>
      <c r="L32" s="189">
        <v>15.16</v>
      </c>
      <c r="M32" s="189">
        <v>93.75</v>
      </c>
      <c r="N32" s="189">
        <v>0</v>
      </c>
      <c r="O32" s="189">
        <v>0</v>
      </c>
      <c r="P32" s="189">
        <v>1.1499999999999999</v>
      </c>
      <c r="Q32" s="189">
        <v>5.27</v>
      </c>
    </row>
    <row r="33" spans="1:17" customFormat="1">
      <c r="A33" s="6" t="s">
        <v>2087</v>
      </c>
      <c r="B33" s="189">
        <v>30.42</v>
      </c>
      <c r="C33" s="189">
        <v>31.89</v>
      </c>
      <c r="D33" s="189">
        <v>42.41</v>
      </c>
      <c r="E33" s="189">
        <v>7.63</v>
      </c>
      <c r="F33" s="189">
        <v>2.71</v>
      </c>
      <c r="G33" s="189">
        <v>120.69</v>
      </c>
      <c r="H33" s="189">
        <v>70.61</v>
      </c>
      <c r="I33" s="189">
        <v>14.13</v>
      </c>
      <c r="J33" s="189">
        <v>0.09</v>
      </c>
      <c r="K33" s="189">
        <v>224.99</v>
      </c>
      <c r="L33" s="189">
        <v>14.84</v>
      </c>
      <c r="M33" s="189">
        <v>93.64</v>
      </c>
      <c r="N33" s="189">
        <v>0</v>
      </c>
      <c r="O33" s="189">
        <v>0</v>
      </c>
      <c r="P33" s="189">
        <v>1.1399999999999999</v>
      </c>
      <c r="Q33" s="189">
        <v>5.27</v>
      </c>
    </row>
    <row r="34" spans="1:17" customFormat="1">
      <c r="A34" s="6" t="s">
        <v>2088</v>
      </c>
      <c r="B34" s="189">
        <v>29.9</v>
      </c>
      <c r="C34" s="189">
        <v>31.84</v>
      </c>
      <c r="D34" s="189">
        <v>41.96</v>
      </c>
      <c r="E34" s="189">
        <v>7.63</v>
      </c>
      <c r="F34" s="189">
        <v>2.66</v>
      </c>
      <c r="G34" s="189">
        <v>120.69</v>
      </c>
      <c r="H34" s="189">
        <v>70.61</v>
      </c>
      <c r="I34" s="189">
        <v>14.07</v>
      </c>
      <c r="J34" s="189">
        <v>0.14000000000000001</v>
      </c>
      <c r="K34" s="189">
        <v>233.12</v>
      </c>
      <c r="L34" s="189">
        <v>14.47</v>
      </c>
      <c r="M34" s="189">
        <v>95</v>
      </c>
      <c r="N34" s="189">
        <v>0</v>
      </c>
      <c r="O34" s="189">
        <v>0</v>
      </c>
      <c r="P34" s="189">
        <v>1.1299999999999999</v>
      </c>
      <c r="Q34" s="189">
        <v>5.26</v>
      </c>
    </row>
    <row r="35" spans="1:17" customFormat="1">
      <c r="A35" s="6" t="s">
        <v>2089</v>
      </c>
      <c r="B35" s="189">
        <v>28.81</v>
      </c>
      <c r="C35" s="189">
        <v>31.51</v>
      </c>
      <c r="D35" s="189">
        <v>40.909999999999997</v>
      </c>
      <c r="E35" s="189">
        <v>7.39</v>
      </c>
      <c r="F35" s="189">
        <v>2.6</v>
      </c>
      <c r="G35" s="189">
        <v>119.86</v>
      </c>
      <c r="H35" s="189">
        <v>72.27</v>
      </c>
      <c r="I35" s="189">
        <v>14.02</v>
      </c>
      <c r="J35" s="189">
        <v>0.13</v>
      </c>
      <c r="K35" s="189">
        <v>179.37</v>
      </c>
      <c r="L35" s="189">
        <v>14.51</v>
      </c>
      <c r="M35" s="189">
        <v>96.28</v>
      </c>
      <c r="N35" s="189">
        <v>0.6</v>
      </c>
      <c r="O35" s="189">
        <v>0</v>
      </c>
      <c r="P35" s="189">
        <v>1.1200000000000001</v>
      </c>
      <c r="Q35" s="189">
        <v>5.22</v>
      </c>
    </row>
    <row r="36" spans="1:17" customFormat="1">
      <c r="A36" s="6" t="s">
        <v>2090</v>
      </c>
      <c r="B36" s="189">
        <v>27.57</v>
      </c>
      <c r="C36" s="189">
        <v>30.89</v>
      </c>
      <c r="D36" s="189">
        <v>39.6</v>
      </c>
      <c r="E36" s="189">
        <v>7.8</v>
      </c>
      <c r="F36" s="189">
        <v>2.62</v>
      </c>
      <c r="G36" s="189">
        <v>119.75</v>
      </c>
      <c r="H36" s="189">
        <v>72.27</v>
      </c>
      <c r="I36" s="189">
        <v>13.94</v>
      </c>
      <c r="J36" s="189">
        <v>0.11</v>
      </c>
      <c r="K36" s="189">
        <v>216.66</v>
      </c>
      <c r="L36" s="189">
        <v>14.55</v>
      </c>
      <c r="M36" s="189">
        <v>96.85</v>
      </c>
      <c r="N36" s="189">
        <v>9.5</v>
      </c>
      <c r="O36" s="189">
        <v>0</v>
      </c>
      <c r="P36" s="189">
        <v>1.1000000000000001</v>
      </c>
      <c r="Q36" s="189">
        <v>5.2</v>
      </c>
    </row>
    <row r="37" spans="1:17" customFormat="1">
      <c r="A37" s="6" t="s">
        <v>2091</v>
      </c>
      <c r="B37" s="189">
        <v>26.48</v>
      </c>
      <c r="C37" s="189">
        <v>30.32</v>
      </c>
      <c r="D37" s="189">
        <v>38.43</v>
      </c>
      <c r="E37" s="189">
        <v>7.49</v>
      </c>
      <c r="F37" s="189">
        <v>2.5099999999999998</v>
      </c>
      <c r="G37" s="189">
        <v>119.75</v>
      </c>
      <c r="H37" s="189">
        <v>72.27</v>
      </c>
      <c r="I37" s="189">
        <v>13.84</v>
      </c>
      <c r="J37" s="189">
        <v>0.08</v>
      </c>
      <c r="K37" s="189">
        <v>230.41</v>
      </c>
      <c r="L37" s="189">
        <v>14.78</v>
      </c>
      <c r="M37" s="189">
        <v>96.79</v>
      </c>
      <c r="N37" s="189">
        <v>18</v>
      </c>
      <c r="O37" s="189">
        <v>0</v>
      </c>
      <c r="P37" s="189">
        <v>1.1000000000000001</v>
      </c>
      <c r="Q37" s="189">
        <v>5.19</v>
      </c>
    </row>
    <row r="38" spans="1:17" customFormat="1">
      <c r="A38" s="6" t="s">
        <v>2092</v>
      </c>
      <c r="B38" s="189">
        <v>25.53</v>
      </c>
      <c r="C38" s="189">
        <v>30.19</v>
      </c>
      <c r="D38" s="189">
        <v>37.6</v>
      </c>
      <c r="E38" s="189">
        <v>7.78</v>
      </c>
      <c r="F38" s="189">
        <v>2.4900000000000002</v>
      </c>
      <c r="G38" s="189">
        <v>119.75</v>
      </c>
      <c r="H38" s="189">
        <v>72.27</v>
      </c>
      <c r="I38" s="189">
        <v>13.76</v>
      </c>
      <c r="J38" s="189">
        <v>0.16</v>
      </c>
      <c r="K38" s="189">
        <v>273.2</v>
      </c>
      <c r="L38" s="189">
        <v>15.04</v>
      </c>
      <c r="M38" s="189">
        <v>95.39</v>
      </c>
      <c r="N38" s="189">
        <v>28.2</v>
      </c>
      <c r="O38" s="189">
        <v>0</v>
      </c>
      <c r="P38" s="189">
        <v>1.1000000000000001</v>
      </c>
      <c r="Q38" s="189">
        <v>5.17</v>
      </c>
    </row>
    <row r="39" spans="1:17" customFormat="1">
      <c r="A39" s="6" t="s">
        <v>2093</v>
      </c>
      <c r="B39" s="189">
        <v>24.78</v>
      </c>
      <c r="C39" s="189">
        <v>30.46</v>
      </c>
      <c r="D39" s="189">
        <v>37.130000000000003</v>
      </c>
      <c r="E39" s="189">
        <v>7.98</v>
      </c>
      <c r="F39" s="189">
        <v>2.5</v>
      </c>
      <c r="G39" s="189">
        <v>118.04</v>
      </c>
      <c r="H39" s="189">
        <v>69.010000000000005</v>
      </c>
      <c r="I39" s="189">
        <v>13.73</v>
      </c>
      <c r="J39" s="189">
        <v>0.27</v>
      </c>
      <c r="K39" s="189">
        <v>271.58999999999997</v>
      </c>
      <c r="L39" s="189">
        <v>15.43</v>
      </c>
      <c r="M39" s="189">
        <v>93.62</v>
      </c>
      <c r="N39" s="189">
        <v>42.9</v>
      </c>
      <c r="O39" s="189">
        <v>0</v>
      </c>
      <c r="P39" s="189">
        <v>1.1000000000000001</v>
      </c>
      <c r="Q39" s="189">
        <v>5.14</v>
      </c>
    </row>
    <row r="40" spans="1:17" customFormat="1">
      <c r="A40" s="6" t="s">
        <v>2094</v>
      </c>
      <c r="B40" s="189">
        <v>24.15</v>
      </c>
      <c r="C40" s="189">
        <v>30.88</v>
      </c>
      <c r="D40" s="189">
        <v>36.85</v>
      </c>
      <c r="E40" s="189">
        <v>7.54</v>
      </c>
      <c r="F40" s="189">
        <v>2.48</v>
      </c>
      <c r="G40" s="189">
        <v>117.81</v>
      </c>
      <c r="H40" s="189">
        <v>69.010000000000005</v>
      </c>
      <c r="I40" s="189">
        <v>13.72</v>
      </c>
      <c r="J40" s="189">
        <v>0.11</v>
      </c>
      <c r="K40" s="189">
        <v>257.05</v>
      </c>
      <c r="L40" s="189">
        <v>16.14</v>
      </c>
      <c r="M40" s="189">
        <v>90.93</v>
      </c>
      <c r="N40" s="189">
        <v>58</v>
      </c>
      <c r="O40" s="189">
        <v>0</v>
      </c>
      <c r="P40" s="189">
        <v>1.1000000000000001</v>
      </c>
      <c r="Q40" s="189">
        <v>5.14</v>
      </c>
    </row>
    <row r="41" spans="1:17" customFormat="1">
      <c r="A41" s="6" t="s">
        <v>2095</v>
      </c>
      <c r="B41" s="189">
        <v>23.23</v>
      </c>
      <c r="C41" s="189">
        <v>31.8</v>
      </c>
      <c r="D41" s="189">
        <v>36.6</v>
      </c>
      <c r="E41" s="189">
        <v>7.79</v>
      </c>
      <c r="F41" s="189">
        <v>2.4700000000000002</v>
      </c>
      <c r="G41" s="189">
        <v>117.81</v>
      </c>
      <c r="H41" s="189">
        <v>69.010000000000005</v>
      </c>
      <c r="I41" s="189">
        <v>13.77</v>
      </c>
      <c r="J41" s="189">
        <v>0.26</v>
      </c>
      <c r="K41" s="189">
        <v>149.94</v>
      </c>
      <c r="L41" s="189">
        <v>17.52</v>
      </c>
      <c r="M41" s="189">
        <v>84.71</v>
      </c>
      <c r="N41" s="189">
        <v>100.6</v>
      </c>
      <c r="O41" s="189">
        <v>0</v>
      </c>
      <c r="P41" s="189">
        <v>1.0900000000000001</v>
      </c>
      <c r="Q41" s="189">
        <v>5.15</v>
      </c>
    </row>
    <row r="42" spans="1:17" customFormat="1">
      <c r="A42" s="6" t="s">
        <v>2096</v>
      </c>
      <c r="B42" s="189">
        <v>22.02</v>
      </c>
      <c r="C42" s="189">
        <v>32.39</v>
      </c>
      <c r="D42" s="189">
        <v>35.93</v>
      </c>
      <c r="E42" s="189">
        <v>7.62</v>
      </c>
      <c r="F42" s="189">
        <v>2.61</v>
      </c>
      <c r="G42" s="189">
        <v>117.81</v>
      </c>
      <c r="H42" s="189">
        <v>69.010000000000005</v>
      </c>
      <c r="I42" s="189">
        <v>13.81</v>
      </c>
      <c r="J42" s="189">
        <v>0.12</v>
      </c>
      <c r="K42" s="189">
        <v>136.94999999999999</v>
      </c>
      <c r="L42" s="189">
        <v>18.489999999999998</v>
      </c>
      <c r="M42" s="189">
        <v>80.44</v>
      </c>
      <c r="N42" s="189">
        <v>117.8</v>
      </c>
      <c r="O42" s="189">
        <v>0</v>
      </c>
      <c r="P42" s="189">
        <v>1.0900000000000001</v>
      </c>
      <c r="Q42" s="189">
        <v>5.14</v>
      </c>
    </row>
    <row r="43" spans="1:17" customFormat="1">
      <c r="A43" s="6" t="s">
        <v>2097</v>
      </c>
      <c r="B43" s="189">
        <v>20.88</v>
      </c>
      <c r="C43" s="189">
        <v>32.729999999999997</v>
      </c>
      <c r="D43" s="189">
        <v>35.200000000000003</v>
      </c>
      <c r="E43" s="189">
        <v>7.72</v>
      </c>
      <c r="F43" s="189">
        <v>2.61</v>
      </c>
      <c r="G43" s="189">
        <v>128.07</v>
      </c>
      <c r="H43" s="189">
        <v>69.16</v>
      </c>
      <c r="I43" s="189">
        <v>13.78</v>
      </c>
      <c r="J43" s="189">
        <v>0.13</v>
      </c>
      <c r="K43" s="189">
        <v>125.87</v>
      </c>
      <c r="L43" s="189">
        <v>19.61</v>
      </c>
      <c r="M43" s="189">
        <v>75.66</v>
      </c>
      <c r="N43" s="189">
        <v>142.9</v>
      </c>
      <c r="O43" s="189">
        <v>0</v>
      </c>
      <c r="P43" s="189">
        <v>1.0900000000000001</v>
      </c>
      <c r="Q43" s="189">
        <v>5.0999999999999996</v>
      </c>
    </row>
    <row r="44" spans="1:17" customFormat="1">
      <c r="A44" s="6" t="s">
        <v>2098</v>
      </c>
      <c r="B44" s="189">
        <v>19.8</v>
      </c>
      <c r="C44" s="189">
        <v>32.159999999999997</v>
      </c>
      <c r="D44" s="189">
        <v>34.03</v>
      </c>
      <c r="E44" s="189">
        <v>7.95</v>
      </c>
      <c r="F44" s="189">
        <v>2.65</v>
      </c>
      <c r="G44" s="189">
        <v>129.5</v>
      </c>
      <c r="H44" s="189">
        <v>69.16</v>
      </c>
      <c r="I44" s="189">
        <v>13.68</v>
      </c>
      <c r="J44" s="189">
        <v>0.21</v>
      </c>
      <c r="K44" s="189">
        <v>144.44</v>
      </c>
      <c r="L44" s="189">
        <v>20.82</v>
      </c>
      <c r="M44" s="189">
        <v>70.31</v>
      </c>
      <c r="N44" s="189">
        <v>167.3</v>
      </c>
      <c r="O44" s="189">
        <v>0</v>
      </c>
      <c r="P44" s="189">
        <v>1.08</v>
      </c>
      <c r="Q44" s="189">
        <v>5.09</v>
      </c>
    </row>
    <row r="45" spans="1:17" customFormat="1">
      <c r="A45" s="6" t="s">
        <v>2099</v>
      </c>
      <c r="B45" s="189">
        <v>18.100000000000001</v>
      </c>
      <c r="C45" s="189">
        <v>32.47</v>
      </c>
      <c r="D45" s="189">
        <v>32.83</v>
      </c>
      <c r="E45" s="189">
        <v>7.9</v>
      </c>
      <c r="F45" s="189">
        <v>2.82</v>
      </c>
      <c r="G45" s="189">
        <v>129.5</v>
      </c>
      <c r="H45" s="189">
        <v>69.16</v>
      </c>
      <c r="I45" s="189">
        <v>13.52</v>
      </c>
      <c r="J45" s="189">
        <v>0.34</v>
      </c>
      <c r="K45" s="189">
        <v>161.94999999999999</v>
      </c>
      <c r="L45" s="189">
        <v>21.86</v>
      </c>
      <c r="M45" s="189">
        <v>65.709999999999994</v>
      </c>
      <c r="N45" s="189">
        <v>133.4</v>
      </c>
      <c r="O45" s="189">
        <v>0</v>
      </c>
      <c r="P45" s="189">
        <v>1.07</v>
      </c>
      <c r="Q45" s="189">
        <v>5.0599999999999996</v>
      </c>
    </row>
    <row r="46" spans="1:17" customFormat="1">
      <c r="A46" s="6" t="s">
        <v>2100</v>
      </c>
      <c r="B46" s="189">
        <v>16.34</v>
      </c>
      <c r="C46" s="189">
        <v>33.18</v>
      </c>
      <c r="D46" s="189">
        <v>31.79</v>
      </c>
      <c r="E46" s="189">
        <v>7.72</v>
      </c>
      <c r="F46" s="189">
        <v>2.96</v>
      </c>
      <c r="G46" s="189">
        <v>129.5</v>
      </c>
      <c r="H46" s="189">
        <v>69.16</v>
      </c>
      <c r="I46" s="189">
        <v>13.36</v>
      </c>
      <c r="J46" s="189">
        <v>0.09</v>
      </c>
      <c r="K46" s="189">
        <v>268.51</v>
      </c>
      <c r="L46" s="189">
        <v>21.91</v>
      </c>
      <c r="M46" s="189">
        <v>66.27</v>
      </c>
      <c r="N46" s="189">
        <v>130.80000000000001</v>
      </c>
      <c r="O46" s="189">
        <v>0</v>
      </c>
      <c r="P46" s="189">
        <v>1.07</v>
      </c>
      <c r="Q46" s="189">
        <v>5</v>
      </c>
    </row>
    <row r="47" spans="1:17" customFormat="1">
      <c r="A47" s="6" t="s">
        <v>2101</v>
      </c>
      <c r="B47" s="189">
        <v>15.25</v>
      </c>
      <c r="C47" s="189">
        <v>29.99</v>
      </c>
      <c r="D47" s="189">
        <v>29.25</v>
      </c>
      <c r="E47" s="189">
        <v>7.59</v>
      </c>
      <c r="F47" s="189">
        <v>2.96</v>
      </c>
      <c r="G47" s="189">
        <v>120.2</v>
      </c>
      <c r="H47" s="189">
        <v>70.819999999999993</v>
      </c>
      <c r="I47" s="189">
        <v>13.25</v>
      </c>
      <c r="J47" s="189">
        <v>0.08</v>
      </c>
      <c r="K47" s="189">
        <v>239.09</v>
      </c>
      <c r="L47" s="189">
        <v>22.35</v>
      </c>
      <c r="M47" s="189">
        <v>64.25</v>
      </c>
      <c r="N47" s="189">
        <v>135.6</v>
      </c>
      <c r="O47" s="189">
        <v>0</v>
      </c>
      <c r="P47" s="189">
        <v>1.05</v>
      </c>
      <c r="Q47" s="189">
        <v>4.96</v>
      </c>
    </row>
    <row r="48" spans="1:17" customFormat="1">
      <c r="A48" s="6" t="s">
        <v>2102</v>
      </c>
      <c r="B48" s="189">
        <v>14.52</v>
      </c>
      <c r="C48" s="189">
        <v>26.89</v>
      </c>
      <c r="D48" s="189">
        <v>27.04</v>
      </c>
      <c r="E48" s="189">
        <v>7.17</v>
      </c>
      <c r="F48" s="189">
        <v>3.02</v>
      </c>
      <c r="G48" s="189">
        <v>118.91</v>
      </c>
      <c r="H48" s="189">
        <v>70.819999999999993</v>
      </c>
      <c r="I48" s="189">
        <v>13.13</v>
      </c>
      <c r="J48" s="189">
        <v>0.05</v>
      </c>
      <c r="K48" s="189">
        <v>230.2</v>
      </c>
      <c r="L48" s="189">
        <v>23.03</v>
      </c>
      <c r="M48" s="189">
        <v>62.31</v>
      </c>
      <c r="N48" s="189">
        <v>161.9</v>
      </c>
      <c r="O48" s="189">
        <v>0</v>
      </c>
      <c r="P48" s="189">
        <v>1.02</v>
      </c>
      <c r="Q48" s="189">
        <v>4.97</v>
      </c>
    </row>
    <row r="49" spans="1:17" customFormat="1">
      <c r="A49" s="6" t="s">
        <v>2103</v>
      </c>
      <c r="B49" s="189">
        <v>13.76</v>
      </c>
      <c r="C49" s="189">
        <v>25.2</v>
      </c>
      <c r="D49" s="189">
        <v>25.55</v>
      </c>
      <c r="E49" s="189">
        <v>5.3</v>
      </c>
      <c r="F49" s="189">
        <v>2.98</v>
      </c>
      <c r="G49" s="189">
        <v>118.91</v>
      </c>
      <c r="H49" s="189">
        <v>70.819999999999993</v>
      </c>
      <c r="I49" s="189">
        <v>12.98</v>
      </c>
      <c r="J49" s="189">
        <v>0.15</v>
      </c>
      <c r="K49" s="189">
        <v>268.95</v>
      </c>
      <c r="L49" s="189">
        <v>23.55</v>
      </c>
      <c r="M49" s="189">
        <v>60.04</v>
      </c>
      <c r="N49" s="189">
        <v>285.10000000000002</v>
      </c>
      <c r="O49" s="189">
        <v>0</v>
      </c>
      <c r="P49" s="189">
        <v>1</v>
      </c>
      <c r="Q49" s="189">
        <v>4.96</v>
      </c>
    </row>
    <row r="50" spans="1:17" customFormat="1">
      <c r="A50" s="6" t="s">
        <v>2104</v>
      </c>
      <c r="B50" s="189">
        <v>12.95</v>
      </c>
      <c r="C50" s="189">
        <v>25.04</v>
      </c>
      <c r="D50" s="189">
        <v>24.82</v>
      </c>
      <c r="E50" s="189">
        <v>5.5</v>
      </c>
      <c r="F50" s="189">
        <v>2.87</v>
      </c>
      <c r="G50" s="189">
        <v>118.91</v>
      </c>
      <c r="H50" s="189">
        <v>70.819999999999993</v>
      </c>
      <c r="I50" s="189">
        <v>12.85</v>
      </c>
      <c r="J50" s="189">
        <v>0.26</v>
      </c>
      <c r="K50" s="189">
        <v>273.7</v>
      </c>
      <c r="L50" s="189">
        <v>24.2</v>
      </c>
      <c r="M50" s="189">
        <v>56.04</v>
      </c>
      <c r="N50" s="189">
        <v>336.1</v>
      </c>
      <c r="O50" s="189">
        <v>0</v>
      </c>
      <c r="P50" s="189">
        <v>0.98</v>
      </c>
      <c r="Q50" s="189">
        <v>4.95</v>
      </c>
    </row>
    <row r="51" spans="1:17" customFormat="1">
      <c r="A51" s="6" t="s">
        <v>2105</v>
      </c>
      <c r="B51" s="189">
        <v>12.17</v>
      </c>
      <c r="C51" s="189">
        <v>24.51</v>
      </c>
      <c r="D51" s="189">
        <v>23.92</v>
      </c>
      <c r="E51" s="189">
        <v>6.12</v>
      </c>
      <c r="F51" s="189">
        <v>2.91</v>
      </c>
      <c r="G51" s="189">
        <v>107.1</v>
      </c>
      <c r="H51" s="189">
        <v>66.099999999999994</v>
      </c>
      <c r="I51" s="189">
        <v>12.71</v>
      </c>
      <c r="J51" s="189">
        <v>0.33</v>
      </c>
      <c r="K51" s="189">
        <v>274.77</v>
      </c>
      <c r="L51" s="189">
        <v>24.59</v>
      </c>
      <c r="M51" s="189">
        <v>54</v>
      </c>
      <c r="N51" s="189">
        <v>372</v>
      </c>
      <c r="O51" s="189">
        <v>0</v>
      </c>
      <c r="P51" s="189">
        <v>0.97</v>
      </c>
      <c r="Q51" s="189">
        <v>4.96</v>
      </c>
    </row>
    <row r="52" spans="1:17" customFormat="1">
      <c r="A52" s="6" t="s">
        <v>2106</v>
      </c>
      <c r="B52" s="189">
        <v>11.19</v>
      </c>
      <c r="C52" s="189">
        <v>23.83</v>
      </c>
      <c r="D52" s="189">
        <v>22.78</v>
      </c>
      <c r="E52" s="189">
        <v>5.64</v>
      </c>
      <c r="F52" s="189">
        <v>2.93</v>
      </c>
      <c r="G52" s="189">
        <v>105.46</v>
      </c>
      <c r="H52" s="189">
        <v>66.099999999999994</v>
      </c>
      <c r="I52" s="189">
        <v>12.54</v>
      </c>
      <c r="J52" s="189">
        <v>0.3</v>
      </c>
      <c r="K52" s="189">
        <v>241.4</v>
      </c>
      <c r="L52" s="189">
        <v>25.19</v>
      </c>
      <c r="M52" s="189">
        <v>51.53</v>
      </c>
      <c r="N52" s="189">
        <v>390.2</v>
      </c>
      <c r="O52" s="189">
        <v>0</v>
      </c>
      <c r="P52" s="189">
        <v>0.95</v>
      </c>
      <c r="Q52" s="189">
        <v>4.96</v>
      </c>
    </row>
    <row r="53" spans="1:17" customFormat="1">
      <c r="A53" s="6" t="s">
        <v>2107</v>
      </c>
      <c r="B53" s="189">
        <v>10.29</v>
      </c>
      <c r="C53" s="189">
        <v>25.39</v>
      </c>
      <c r="D53" s="189">
        <v>22.87</v>
      </c>
      <c r="E53" s="189">
        <v>5.81</v>
      </c>
      <c r="F53" s="189">
        <v>2.95</v>
      </c>
      <c r="G53" s="189">
        <v>105.46</v>
      </c>
      <c r="H53" s="189">
        <v>66.099999999999994</v>
      </c>
      <c r="I53" s="189">
        <v>12.32</v>
      </c>
      <c r="J53" s="189">
        <v>7.0000000000000007E-2</v>
      </c>
      <c r="K53" s="189">
        <v>187.03</v>
      </c>
      <c r="L53" s="189">
        <v>25.94</v>
      </c>
      <c r="M53" s="189">
        <v>49.86</v>
      </c>
      <c r="N53" s="189">
        <v>374.8</v>
      </c>
      <c r="O53" s="189">
        <v>0</v>
      </c>
      <c r="P53" s="189">
        <v>0.94</v>
      </c>
      <c r="Q53" s="189">
        <v>4.96</v>
      </c>
    </row>
    <row r="54" spans="1:17" customFormat="1">
      <c r="A54" s="6" t="s">
        <v>2108</v>
      </c>
      <c r="B54" s="189">
        <v>9.42</v>
      </c>
      <c r="C54" s="189">
        <v>24.33</v>
      </c>
      <c r="D54" s="189">
        <v>21.62</v>
      </c>
      <c r="E54" s="189">
        <v>5.61</v>
      </c>
      <c r="F54" s="189">
        <v>3.18</v>
      </c>
      <c r="G54" s="189">
        <v>105.46</v>
      </c>
      <c r="H54" s="189">
        <v>66.099999999999994</v>
      </c>
      <c r="I54" s="189">
        <v>12.11</v>
      </c>
      <c r="J54" s="189">
        <v>0.34</v>
      </c>
      <c r="K54" s="189">
        <v>274.97000000000003</v>
      </c>
      <c r="L54" s="189">
        <v>26</v>
      </c>
      <c r="M54" s="189">
        <v>49.86</v>
      </c>
      <c r="N54" s="189">
        <v>407.1</v>
      </c>
      <c r="O54" s="189">
        <v>0</v>
      </c>
      <c r="P54" s="189">
        <v>0.92</v>
      </c>
      <c r="Q54" s="189">
        <v>4.93</v>
      </c>
    </row>
    <row r="55" spans="1:17" customFormat="1">
      <c r="A55" s="6" t="s">
        <v>2109</v>
      </c>
      <c r="B55" s="189">
        <v>8.61</v>
      </c>
      <c r="C55" s="189">
        <v>23.1</v>
      </c>
      <c r="D55" s="189">
        <v>20.329999999999998</v>
      </c>
      <c r="E55" s="189">
        <v>5.89</v>
      </c>
      <c r="F55" s="189">
        <v>3.21</v>
      </c>
      <c r="G55" s="189">
        <v>95.29</v>
      </c>
      <c r="H55" s="189">
        <v>60.76</v>
      </c>
      <c r="I55" s="189">
        <v>11.89</v>
      </c>
      <c r="J55" s="189">
        <v>0.17</v>
      </c>
      <c r="K55" s="189">
        <v>344.22</v>
      </c>
      <c r="L55" s="189">
        <v>26.64</v>
      </c>
      <c r="M55" s="189">
        <v>47.84</v>
      </c>
      <c r="N55" s="189">
        <v>418.8</v>
      </c>
      <c r="O55" s="189">
        <v>0</v>
      </c>
      <c r="P55" s="189">
        <v>0.91</v>
      </c>
      <c r="Q55" s="189">
        <v>4.92</v>
      </c>
    </row>
    <row r="56" spans="1:17" customFormat="1">
      <c r="A56" s="6" t="s">
        <v>2110</v>
      </c>
      <c r="B56" s="189">
        <v>7.74</v>
      </c>
      <c r="C56" s="189">
        <v>22.42</v>
      </c>
      <c r="D56" s="189">
        <v>19.27</v>
      </c>
      <c r="E56" s="189">
        <v>5.69</v>
      </c>
      <c r="F56" s="189">
        <v>3.4</v>
      </c>
      <c r="G56" s="189">
        <v>93.88</v>
      </c>
      <c r="H56" s="189">
        <v>60.76</v>
      </c>
      <c r="I56" s="189">
        <v>11.7</v>
      </c>
      <c r="J56" s="189">
        <v>0.15</v>
      </c>
      <c r="K56" s="189">
        <v>169.95</v>
      </c>
      <c r="L56" s="189">
        <v>26.9</v>
      </c>
      <c r="M56" s="189">
        <v>46.69</v>
      </c>
      <c r="N56" s="189">
        <v>408.6</v>
      </c>
      <c r="O56" s="189">
        <v>0</v>
      </c>
      <c r="P56" s="189">
        <v>0.89</v>
      </c>
      <c r="Q56" s="189">
        <v>4.91</v>
      </c>
    </row>
    <row r="57" spans="1:17" customFormat="1">
      <c r="A57" s="6" t="s">
        <v>2111</v>
      </c>
      <c r="B57" s="189">
        <v>6.99</v>
      </c>
      <c r="C57" s="189">
        <v>21.76</v>
      </c>
      <c r="D57" s="189">
        <v>18.32</v>
      </c>
      <c r="E57" s="189">
        <v>5.37</v>
      </c>
      <c r="F57" s="189">
        <v>3.32</v>
      </c>
      <c r="G57" s="189">
        <v>93.88</v>
      </c>
      <c r="H57" s="189">
        <v>60.76</v>
      </c>
      <c r="I57" s="189">
        <v>11.53</v>
      </c>
      <c r="J57" s="189">
        <v>0.2</v>
      </c>
      <c r="K57" s="189">
        <v>189.49</v>
      </c>
      <c r="L57" s="189">
        <v>27.24</v>
      </c>
      <c r="M57" s="189">
        <v>46.12</v>
      </c>
      <c r="N57" s="189">
        <v>404.7</v>
      </c>
      <c r="O57" s="189">
        <v>0</v>
      </c>
      <c r="P57" s="189">
        <v>0.87</v>
      </c>
      <c r="Q57" s="189">
        <v>4.9000000000000004</v>
      </c>
    </row>
    <row r="58" spans="1:17" customFormat="1">
      <c r="A58" s="6" t="s">
        <v>2112</v>
      </c>
      <c r="B58" s="189">
        <v>6.39</v>
      </c>
      <c r="C58" s="189">
        <v>21.28</v>
      </c>
      <c r="D58" s="189">
        <v>17.59</v>
      </c>
      <c r="E58" s="189">
        <v>5.49</v>
      </c>
      <c r="F58" s="189">
        <v>3.36</v>
      </c>
      <c r="G58" s="189">
        <v>93.88</v>
      </c>
      <c r="H58" s="189">
        <v>60.76</v>
      </c>
      <c r="I58" s="189">
        <v>11.32</v>
      </c>
      <c r="J58" s="189">
        <v>0.2</v>
      </c>
      <c r="K58" s="189">
        <v>93.48</v>
      </c>
      <c r="L58" s="189">
        <v>27.81</v>
      </c>
      <c r="M58" s="189">
        <v>43.4</v>
      </c>
      <c r="N58" s="189">
        <v>396.5</v>
      </c>
      <c r="O58" s="189">
        <v>0</v>
      </c>
      <c r="P58" s="189">
        <v>0.86</v>
      </c>
      <c r="Q58" s="189">
        <v>4.8899999999999997</v>
      </c>
    </row>
    <row r="59" spans="1:17" customFormat="1">
      <c r="A59" s="6" t="s">
        <v>2113</v>
      </c>
      <c r="B59" s="189">
        <v>5.99</v>
      </c>
      <c r="C59" s="189">
        <v>22.23</v>
      </c>
      <c r="D59" s="189">
        <v>17.77</v>
      </c>
      <c r="E59" s="189">
        <v>6.13</v>
      </c>
      <c r="F59" s="189">
        <v>3.04</v>
      </c>
      <c r="G59" s="189">
        <v>82.33</v>
      </c>
      <c r="H59" s="189">
        <v>54.4</v>
      </c>
      <c r="I59" s="189">
        <v>11.12</v>
      </c>
      <c r="J59" s="189">
        <v>0.16</v>
      </c>
      <c r="K59" s="189">
        <v>181.89</v>
      </c>
      <c r="L59" s="189">
        <v>27.92</v>
      </c>
      <c r="M59" s="189">
        <v>43.04</v>
      </c>
      <c r="N59" s="189">
        <v>348.8</v>
      </c>
      <c r="O59" s="189">
        <v>0</v>
      </c>
      <c r="P59" s="189">
        <v>0.85</v>
      </c>
      <c r="Q59" s="189">
        <v>4.8899999999999997</v>
      </c>
    </row>
    <row r="60" spans="1:17" customFormat="1">
      <c r="A60" s="6" t="s">
        <v>2114</v>
      </c>
      <c r="B60" s="189">
        <v>5.64</v>
      </c>
      <c r="C60" s="189">
        <v>22.33</v>
      </c>
      <c r="D60" s="189">
        <v>17.54</v>
      </c>
      <c r="E60" s="189">
        <v>6.11</v>
      </c>
      <c r="F60" s="189">
        <v>3.3</v>
      </c>
      <c r="G60" s="189">
        <v>80.72</v>
      </c>
      <c r="H60" s="189">
        <v>54.4</v>
      </c>
      <c r="I60" s="189">
        <v>10.92</v>
      </c>
      <c r="J60" s="189">
        <v>0.35</v>
      </c>
      <c r="K60" s="189">
        <v>169.19</v>
      </c>
      <c r="L60" s="189">
        <v>28.05</v>
      </c>
      <c r="M60" s="189">
        <v>40.229999999999997</v>
      </c>
      <c r="N60" s="189">
        <v>389.3</v>
      </c>
      <c r="O60" s="189">
        <v>0</v>
      </c>
      <c r="P60" s="189">
        <v>0.84</v>
      </c>
      <c r="Q60" s="189">
        <v>4.87</v>
      </c>
    </row>
    <row r="61" spans="1:17" customFormat="1">
      <c r="A61" s="6" t="s">
        <v>2115</v>
      </c>
      <c r="B61" s="189">
        <v>5.52</v>
      </c>
      <c r="C61" s="189">
        <v>20.77</v>
      </c>
      <c r="D61" s="189">
        <v>16.63</v>
      </c>
      <c r="E61" s="189">
        <v>5.63</v>
      </c>
      <c r="F61" s="189">
        <v>3.77</v>
      </c>
      <c r="G61" s="189">
        <v>80.72</v>
      </c>
      <c r="H61" s="189">
        <v>54.4</v>
      </c>
      <c r="I61" s="189">
        <v>10.77</v>
      </c>
      <c r="J61" s="189">
        <v>0.28000000000000003</v>
      </c>
      <c r="K61" s="189">
        <v>176.55</v>
      </c>
      <c r="L61" s="189">
        <v>28.04</v>
      </c>
      <c r="M61" s="189">
        <v>40.369999999999997</v>
      </c>
      <c r="N61" s="189">
        <v>357.9</v>
      </c>
      <c r="O61" s="189">
        <v>0</v>
      </c>
      <c r="P61" s="189">
        <v>0.82</v>
      </c>
      <c r="Q61" s="189">
        <v>4.84</v>
      </c>
    </row>
    <row r="62" spans="1:17" customFormat="1">
      <c r="A62" s="6" t="s">
        <v>2116</v>
      </c>
      <c r="B62" s="189">
        <v>5.32</v>
      </c>
      <c r="C62" s="189">
        <v>19.86</v>
      </c>
      <c r="D62" s="189">
        <v>16</v>
      </c>
      <c r="E62" s="189">
        <v>5.3</v>
      </c>
      <c r="F62" s="189">
        <v>3.79</v>
      </c>
      <c r="G62" s="189">
        <v>80.72</v>
      </c>
      <c r="H62" s="189">
        <v>54.4</v>
      </c>
      <c r="I62" s="189">
        <v>10.63</v>
      </c>
      <c r="J62" s="189">
        <v>0.23</v>
      </c>
      <c r="K62" s="189">
        <v>177.11</v>
      </c>
      <c r="L62" s="189">
        <v>27.93</v>
      </c>
      <c r="M62" s="189">
        <v>39.56</v>
      </c>
      <c r="N62" s="189">
        <v>354.8</v>
      </c>
      <c r="O62" s="189">
        <v>0</v>
      </c>
      <c r="P62" s="189">
        <v>0.81</v>
      </c>
      <c r="Q62" s="189">
        <v>4.83</v>
      </c>
    </row>
    <row r="63" spans="1:17" customFormat="1">
      <c r="A63" s="6" t="s">
        <v>2117</v>
      </c>
      <c r="B63" s="189">
        <v>5.17</v>
      </c>
      <c r="C63" s="189">
        <v>19.239999999999998</v>
      </c>
      <c r="D63" s="189">
        <v>15.55</v>
      </c>
      <c r="E63" s="189">
        <v>5.62</v>
      </c>
      <c r="F63" s="189">
        <v>3.68</v>
      </c>
      <c r="G63" s="189">
        <v>72.16</v>
      </c>
      <c r="H63" s="189">
        <v>45.13</v>
      </c>
      <c r="I63" s="189">
        <v>10.43</v>
      </c>
      <c r="J63" s="189">
        <v>0.35</v>
      </c>
      <c r="K63" s="189">
        <v>307.61</v>
      </c>
      <c r="L63" s="189">
        <v>27.94</v>
      </c>
      <c r="M63" s="189">
        <v>38.57</v>
      </c>
      <c r="N63" s="189">
        <v>348.2</v>
      </c>
      <c r="O63" s="189">
        <v>0</v>
      </c>
      <c r="P63" s="189">
        <v>0.8</v>
      </c>
      <c r="Q63" s="189">
        <v>4.87</v>
      </c>
    </row>
    <row r="64" spans="1:17" customFormat="1">
      <c r="A64" s="6" t="s">
        <v>2118</v>
      </c>
      <c r="B64" s="189">
        <v>4.95</v>
      </c>
      <c r="C64" s="189">
        <v>19.13</v>
      </c>
      <c r="D64" s="189">
        <v>15.31</v>
      </c>
      <c r="E64" s="189">
        <v>5.85</v>
      </c>
      <c r="F64" s="189">
        <v>4.09</v>
      </c>
      <c r="G64" s="189">
        <v>70.959999999999994</v>
      </c>
      <c r="H64" s="189">
        <v>45.13</v>
      </c>
      <c r="I64" s="189">
        <v>10.24</v>
      </c>
      <c r="J64" s="189">
        <v>0.41</v>
      </c>
      <c r="K64" s="189">
        <v>319.83</v>
      </c>
      <c r="L64" s="189">
        <v>27.74</v>
      </c>
      <c r="M64" s="189">
        <v>39.31</v>
      </c>
      <c r="N64" s="189">
        <v>304.8</v>
      </c>
      <c r="O64" s="189">
        <v>0</v>
      </c>
      <c r="P64" s="189">
        <v>0.77</v>
      </c>
      <c r="Q64" s="189">
        <v>4.8600000000000003</v>
      </c>
    </row>
    <row r="65" spans="1:17" customFormat="1">
      <c r="A65" s="6" t="s">
        <v>2119</v>
      </c>
      <c r="B65" s="189">
        <v>4.87</v>
      </c>
      <c r="C65" s="189">
        <v>19.5</v>
      </c>
      <c r="D65" s="189">
        <v>15.44</v>
      </c>
      <c r="E65" s="189">
        <v>6.13</v>
      </c>
      <c r="F65" s="189">
        <v>5.51</v>
      </c>
      <c r="G65" s="189">
        <v>70.959999999999994</v>
      </c>
      <c r="H65" s="189">
        <v>45.13</v>
      </c>
      <c r="I65" s="189">
        <v>10.09</v>
      </c>
      <c r="J65" s="189">
        <v>0.39</v>
      </c>
      <c r="K65" s="189">
        <v>359.49</v>
      </c>
      <c r="L65" s="189">
        <v>27.74</v>
      </c>
      <c r="M65" s="189">
        <v>40.36</v>
      </c>
      <c r="N65" s="189">
        <v>208.3</v>
      </c>
      <c r="O65" s="189">
        <v>0</v>
      </c>
      <c r="P65" s="189">
        <v>0.8</v>
      </c>
      <c r="Q65" s="189">
        <v>4.8499999999999996</v>
      </c>
    </row>
    <row r="66" spans="1:17" customFormat="1">
      <c r="A66" s="6" t="s">
        <v>2120</v>
      </c>
      <c r="B66" s="189">
        <v>4.66</v>
      </c>
      <c r="C66" s="189">
        <v>20.3</v>
      </c>
      <c r="D66" s="189">
        <v>15.69</v>
      </c>
      <c r="E66" s="189">
        <v>6.51</v>
      </c>
      <c r="F66" s="189">
        <v>6.55</v>
      </c>
      <c r="G66" s="189">
        <v>70.959999999999994</v>
      </c>
      <c r="H66" s="189">
        <v>45.13</v>
      </c>
      <c r="I66" s="189">
        <v>9.8800000000000008</v>
      </c>
      <c r="J66" s="189">
        <v>0.28999999999999998</v>
      </c>
      <c r="K66" s="189">
        <v>313.95999999999998</v>
      </c>
      <c r="L66" s="189">
        <v>27.52</v>
      </c>
      <c r="M66" s="189">
        <v>39.93</v>
      </c>
      <c r="N66" s="189">
        <v>171.9</v>
      </c>
      <c r="O66" s="189">
        <v>0</v>
      </c>
      <c r="P66" s="189">
        <v>0.85</v>
      </c>
      <c r="Q66" s="189">
        <v>4.8499999999999996</v>
      </c>
    </row>
    <row r="67" spans="1:17" customFormat="1">
      <c r="A67" s="6" t="s">
        <v>2121</v>
      </c>
      <c r="B67" s="189">
        <v>4.51</v>
      </c>
      <c r="C67" s="189">
        <v>21.07</v>
      </c>
      <c r="D67" s="189">
        <v>15.98</v>
      </c>
      <c r="E67" s="189">
        <v>6.54</v>
      </c>
      <c r="F67" s="189">
        <v>5.87</v>
      </c>
      <c r="G67" s="189">
        <v>71.59</v>
      </c>
      <c r="H67" s="189">
        <v>40.26</v>
      </c>
      <c r="I67" s="189">
        <v>9.67</v>
      </c>
      <c r="J67" s="189">
        <v>0.2</v>
      </c>
      <c r="K67" s="189">
        <v>13.34</v>
      </c>
      <c r="L67" s="189">
        <v>27.36</v>
      </c>
      <c r="M67" s="189">
        <v>40.729999999999997</v>
      </c>
      <c r="N67" s="189">
        <v>116.4</v>
      </c>
      <c r="O67" s="189">
        <v>0</v>
      </c>
      <c r="P67" s="189">
        <v>0.85</v>
      </c>
      <c r="Q67" s="189">
        <v>4.8499999999999996</v>
      </c>
    </row>
    <row r="68" spans="1:17" customFormat="1">
      <c r="A68" s="6" t="s">
        <v>2122</v>
      </c>
      <c r="B68" s="189">
        <v>4.45</v>
      </c>
      <c r="C68" s="189">
        <v>21.95</v>
      </c>
      <c r="D68" s="189">
        <v>16.39</v>
      </c>
      <c r="E68" s="189">
        <v>6.26</v>
      </c>
      <c r="F68" s="189">
        <v>5.99</v>
      </c>
      <c r="G68" s="189">
        <v>71.67</v>
      </c>
      <c r="H68" s="189">
        <v>40.26</v>
      </c>
      <c r="I68" s="189">
        <v>9.43</v>
      </c>
      <c r="J68" s="189">
        <v>0.2</v>
      </c>
      <c r="K68" s="189">
        <v>276.33999999999997</v>
      </c>
      <c r="L68" s="189">
        <v>27.29</v>
      </c>
      <c r="M68" s="189">
        <v>41.08</v>
      </c>
      <c r="N68" s="189">
        <v>90.2</v>
      </c>
      <c r="O68" s="189">
        <v>0</v>
      </c>
      <c r="P68" s="189">
        <v>0.84</v>
      </c>
      <c r="Q68" s="189">
        <v>4.84</v>
      </c>
    </row>
    <row r="69" spans="1:17" customFormat="1">
      <c r="A69" s="6" t="s">
        <v>2123</v>
      </c>
      <c r="B69" s="189">
        <v>4.37</v>
      </c>
      <c r="C69" s="189">
        <v>22.29</v>
      </c>
      <c r="D69" s="189">
        <v>16.5</v>
      </c>
      <c r="E69" s="189">
        <v>5.95</v>
      </c>
      <c r="F69" s="189">
        <v>5.79</v>
      </c>
      <c r="G69" s="189">
        <v>71.67</v>
      </c>
      <c r="H69" s="189">
        <v>40.26</v>
      </c>
      <c r="I69" s="189">
        <v>9.2100000000000009</v>
      </c>
      <c r="J69" s="189">
        <v>0.18</v>
      </c>
      <c r="K69" s="189">
        <v>12.29</v>
      </c>
      <c r="L69" s="189">
        <v>27.24</v>
      </c>
      <c r="M69" s="189">
        <v>40.65</v>
      </c>
      <c r="N69" s="189">
        <v>89.7</v>
      </c>
      <c r="O69" s="189">
        <v>0</v>
      </c>
      <c r="P69" s="189">
        <v>0.82</v>
      </c>
      <c r="Q69" s="189">
        <v>4.87</v>
      </c>
    </row>
    <row r="70" spans="1:17" customFormat="1">
      <c r="A70" s="6" t="s">
        <v>2124</v>
      </c>
      <c r="B70" s="189">
        <v>4.47</v>
      </c>
      <c r="C70" s="189">
        <v>22.6</v>
      </c>
      <c r="D70" s="189">
        <v>16.739999999999998</v>
      </c>
      <c r="E70" s="189">
        <v>5.74</v>
      </c>
      <c r="F70" s="189">
        <v>6.11</v>
      </c>
      <c r="G70" s="189">
        <v>71.67</v>
      </c>
      <c r="H70" s="189">
        <v>40.26</v>
      </c>
      <c r="I70" s="189">
        <v>9.0500000000000007</v>
      </c>
      <c r="J70" s="189">
        <v>0.03</v>
      </c>
      <c r="K70" s="189">
        <v>282.06</v>
      </c>
      <c r="L70" s="189">
        <v>27.1</v>
      </c>
      <c r="M70" s="189">
        <v>42.76</v>
      </c>
      <c r="N70" s="189">
        <v>72.7</v>
      </c>
      <c r="O70" s="189">
        <v>0</v>
      </c>
      <c r="P70" s="189">
        <v>0.81</v>
      </c>
      <c r="Q70" s="189">
        <v>4.8600000000000003</v>
      </c>
    </row>
    <row r="71" spans="1:17" customFormat="1">
      <c r="A71" s="6" t="s">
        <v>2125</v>
      </c>
      <c r="B71" s="189">
        <v>4.62</v>
      </c>
      <c r="C71" s="189">
        <v>22.92</v>
      </c>
      <c r="D71" s="189">
        <v>17.03</v>
      </c>
      <c r="E71" s="189">
        <v>6.02</v>
      </c>
      <c r="F71" s="189">
        <v>5.42</v>
      </c>
      <c r="G71" s="189">
        <v>79.13</v>
      </c>
      <c r="H71" s="189">
        <v>41.03</v>
      </c>
      <c r="I71" s="189">
        <v>8.86</v>
      </c>
      <c r="J71" s="189">
        <v>0.08</v>
      </c>
      <c r="K71" s="189">
        <v>308.85000000000002</v>
      </c>
      <c r="L71" s="189">
        <v>26.74</v>
      </c>
      <c r="M71" s="189">
        <v>43.03</v>
      </c>
      <c r="N71" s="189">
        <v>57.8</v>
      </c>
      <c r="O71" s="189">
        <v>0</v>
      </c>
      <c r="P71" s="189">
        <v>0.79</v>
      </c>
      <c r="Q71" s="189">
        <v>4.8499999999999996</v>
      </c>
    </row>
    <row r="72" spans="1:17" customFormat="1">
      <c r="A72" s="6" t="s">
        <v>2126</v>
      </c>
      <c r="B72" s="189">
        <v>4.72</v>
      </c>
      <c r="C72" s="189">
        <v>23.15</v>
      </c>
      <c r="D72" s="189">
        <v>17.23</v>
      </c>
      <c r="E72" s="189">
        <v>6.09</v>
      </c>
      <c r="F72" s="189">
        <v>4.8600000000000003</v>
      </c>
      <c r="G72" s="189">
        <v>80.16</v>
      </c>
      <c r="H72" s="189">
        <v>41.03</v>
      </c>
      <c r="I72" s="189">
        <v>8.65</v>
      </c>
      <c r="J72" s="189">
        <v>0.15</v>
      </c>
      <c r="K72" s="189">
        <v>86.83</v>
      </c>
      <c r="L72" s="189">
        <v>26.59</v>
      </c>
      <c r="M72" s="189">
        <v>43.42</v>
      </c>
      <c r="N72" s="189">
        <v>45.1</v>
      </c>
      <c r="O72" s="189">
        <v>0</v>
      </c>
      <c r="P72" s="189">
        <v>0.78</v>
      </c>
      <c r="Q72" s="189">
        <v>4.87</v>
      </c>
    </row>
    <row r="73" spans="1:17" customFormat="1">
      <c r="A73" s="6" t="s">
        <v>2127</v>
      </c>
      <c r="B73" s="189">
        <v>4.79</v>
      </c>
      <c r="C73" s="189">
        <v>23.6</v>
      </c>
      <c r="D73" s="189">
        <v>17.52</v>
      </c>
      <c r="E73" s="189">
        <v>5.79</v>
      </c>
      <c r="F73" s="189">
        <v>4.66</v>
      </c>
      <c r="G73" s="189">
        <v>80.16</v>
      </c>
      <c r="H73" s="189">
        <v>41.03</v>
      </c>
      <c r="I73" s="189">
        <v>8.4700000000000006</v>
      </c>
      <c r="J73" s="189">
        <v>0.13</v>
      </c>
      <c r="K73" s="189">
        <v>145.97999999999999</v>
      </c>
      <c r="L73" s="189">
        <v>26.1</v>
      </c>
      <c r="M73" s="189">
        <v>47.21</v>
      </c>
      <c r="N73" s="189">
        <v>30.6</v>
      </c>
      <c r="O73" s="189">
        <v>0</v>
      </c>
      <c r="P73" s="189">
        <v>0.78</v>
      </c>
      <c r="Q73" s="189">
        <v>4.8600000000000003</v>
      </c>
    </row>
    <row r="74" spans="1:17" customFormat="1">
      <c r="A74" s="6" t="s">
        <v>2128</v>
      </c>
      <c r="B74" s="189">
        <v>4.8</v>
      </c>
      <c r="C74" s="189">
        <v>23.93</v>
      </c>
      <c r="D74" s="189">
        <v>17.71</v>
      </c>
      <c r="E74" s="189">
        <v>5.94</v>
      </c>
      <c r="F74" s="189">
        <v>4.4800000000000004</v>
      </c>
      <c r="G74" s="189">
        <v>80.16</v>
      </c>
      <c r="H74" s="189">
        <v>41.03</v>
      </c>
      <c r="I74" s="189">
        <v>8.33</v>
      </c>
      <c r="J74" s="189">
        <v>0.17</v>
      </c>
      <c r="K74" s="189">
        <v>151.62</v>
      </c>
      <c r="L74" s="189">
        <v>25.65</v>
      </c>
      <c r="M74" s="189">
        <v>49.68</v>
      </c>
      <c r="N74" s="189">
        <v>23.6</v>
      </c>
      <c r="O74" s="189">
        <v>0</v>
      </c>
      <c r="P74" s="189">
        <v>0.78</v>
      </c>
      <c r="Q74" s="189">
        <v>4.8600000000000003</v>
      </c>
    </row>
    <row r="75" spans="1:17" customFormat="1">
      <c r="A75" s="6" t="s">
        <v>2129</v>
      </c>
      <c r="B75" s="189">
        <v>4.83</v>
      </c>
      <c r="C75" s="189">
        <v>24.65</v>
      </c>
      <c r="D75" s="189">
        <v>18.100000000000001</v>
      </c>
      <c r="E75" s="189">
        <v>6.27</v>
      </c>
      <c r="F75" s="189">
        <v>4.3899999999999997</v>
      </c>
      <c r="G75" s="189">
        <v>85.48</v>
      </c>
      <c r="H75" s="189">
        <v>42.83</v>
      </c>
      <c r="I75" s="189">
        <v>8.18</v>
      </c>
      <c r="J75" s="189">
        <v>0.26</v>
      </c>
      <c r="K75" s="189">
        <v>51.13</v>
      </c>
      <c r="L75" s="189">
        <v>25.26</v>
      </c>
      <c r="M75" s="189">
        <v>48.54</v>
      </c>
      <c r="N75" s="189">
        <v>13.5</v>
      </c>
      <c r="O75" s="189">
        <v>0</v>
      </c>
      <c r="P75" s="189">
        <v>0.77</v>
      </c>
      <c r="Q75" s="189">
        <v>4.8499999999999996</v>
      </c>
    </row>
    <row r="76" spans="1:17" customFormat="1">
      <c r="A76" s="6" t="s">
        <v>2130</v>
      </c>
      <c r="B76" s="189">
        <v>5.15</v>
      </c>
      <c r="C76" s="189">
        <v>26.06</v>
      </c>
      <c r="D76" s="189">
        <v>19.09</v>
      </c>
      <c r="E76" s="189">
        <v>6.5</v>
      </c>
      <c r="F76" s="189">
        <v>3.85</v>
      </c>
      <c r="G76" s="189">
        <v>86.22</v>
      </c>
      <c r="H76" s="189">
        <v>42.83</v>
      </c>
      <c r="I76" s="189">
        <v>8.0500000000000007</v>
      </c>
      <c r="J76" s="189">
        <v>0.36</v>
      </c>
      <c r="K76" s="189">
        <v>45.46</v>
      </c>
      <c r="L76" s="189">
        <v>24.91</v>
      </c>
      <c r="M76" s="189">
        <v>49</v>
      </c>
      <c r="N76" s="189">
        <v>6</v>
      </c>
      <c r="O76" s="189">
        <v>0</v>
      </c>
      <c r="P76" s="189">
        <v>0.78</v>
      </c>
      <c r="Q76" s="189">
        <v>4.8600000000000003</v>
      </c>
    </row>
    <row r="77" spans="1:17" customFormat="1">
      <c r="A77" s="6" t="s">
        <v>2131</v>
      </c>
      <c r="B77" s="189">
        <v>5.46</v>
      </c>
      <c r="C77" s="189">
        <v>27.72</v>
      </c>
      <c r="D77" s="189">
        <v>20.21</v>
      </c>
      <c r="E77" s="189">
        <v>6.2</v>
      </c>
      <c r="F77" s="189">
        <v>3.55</v>
      </c>
      <c r="G77" s="189">
        <v>86.22</v>
      </c>
      <c r="H77" s="189">
        <v>42.83</v>
      </c>
      <c r="I77" s="189">
        <v>7.96</v>
      </c>
      <c r="J77" s="189">
        <v>0.24</v>
      </c>
      <c r="K77" s="189">
        <v>48.1</v>
      </c>
      <c r="L77" s="189">
        <v>24.48</v>
      </c>
      <c r="M77" s="189">
        <v>50.55</v>
      </c>
      <c r="N77" s="189">
        <v>0</v>
      </c>
      <c r="O77" s="189">
        <v>0</v>
      </c>
      <c r="P77" s="189">
        <v>0.8</v>
      </c>
      <c r="Q77" s="189">
        <v>4.8899999999999997</v>
      </c>
    </row>
    <row r="78" spans="1:17" customFormat="1">
      <c r="A78" s="6" t="s">
        <v>2132</v>
      </c>
      <c r="B78" s="189">
        <v>5.76</v>
      </c>
      <c r="C78" s="189">
        <v>29.3</v>
      </c>
      <c r="D78" s="189">
        <v>21.28</v>
      </c>
      <c r="E78" s="189">
        <v>6.24</v>
      </c>
      <c r="F78" s="189">
        <v>3.26</v>
      </c>
      <c r="G78" s="189">
        <v>86.22</v>
      </c>
      <c r="H78" s="189">
        <v>42.83</v>
      </c>
      <c r="I78" s="189">
        <v>7.94</v>
      </c>
      <c r="J78" s="189">
        <v>0.19</v>
      </c>
      <c r="K78" s="189">
        <v>50.72</v>
      </c>
      <c r="L78" s="189">
        <v>23.94</v>
      </c>
      <c r="M78" s="189">
        <v>52.54</v>
      </c>
      <c r="N78" s="189">
        <v>0</v>
      </c>
      <c r="O78" s="189">
        <v>0</v>
      </c>
      <c r="P78" s="189">
        <v>0.83</v>
      </c>
      <c r="Q78" s="189">
        <v>4.8899999999999997</v>
      </c>
    </row>
    <row r="79" spans="1:17" customFormat="1">
      <c r="A79" s="6" t="s">
        <v>2133</v>
      </c>
      <c r="B79" s="189">
        <v>6.25</v>
      </c>
      <c r="C79" s="189">
        <v>30.52</v>
      </c>
      <c r="D79" s="189">
        <v>22.31</v>
      </c>
      <c r="E79" s="189">
        <v>6.56</v>
      </c>
      <c r="F79" s="189">
        <v>2.97</v>
      </c>
      <c r="G79" s="189">
        <v>119.36</v>
      </c>
      <c r="H79" s="189">
        <v>48.59</v>
      </c>
      <c r="I79" s="189">
        <v>8</v>
      </c>
      <c r="J79" s="189">
        <v>0.21</v>
      </c>
      <c r="K79" s="189">
        <v>150.76</v>
      </c>
      <c r="L79" s="189">
        <v>23.12</v>
      </c>
      <c r="M79" s="189">
        <v>59.62</v>
      </c>
      <c r="N79" s="189">
        <v>0</v>
      </c>
      <c r="O79" s="189">
        <v>0</v>
      </c>
      <c r="P79" s="189">
        <v>0.85</v>
      </c>
      <c r="Q79" s="189">
        <v>4.87</v>
      </c>
    </row>
    <row r="80" spans="1:17" customFormat="1">
      <c r="A80" s="6" t="s">
        <v>2134</v>
      </c>
      <c r="B80" s="189">
        <v>6.3</v>
      </c>
      <c r="C80" s="189">
        <v>31.47</v>
      </c>
      <c r="D80" s="189">
        <v>22.84</v>
      </c>
      <c r="E80" s="189">
        <v>5.87</v>
      </c>
      <c r="F80" s="189">
        <v>2.88</v>
      </c>
      <c r="G80" s="189">
        <v>123.98</v>
      </c>
      <c r="H80" s="189">
        <v>48.59</v>
      </c>
      <c r="I80" s="189">
        <v>8.09</v>
      </c>
      <c r="J80" s="189">
        <v>0.13</v>
      </c>
      <c r="K80" s="189">
        <v>118.33</v>
      </c>
      <c r="L80" s="189">
        <v>22.27</v>
      </c>
      <c r="M80" s="189">
        <v>62.65</v>
      </c>
      <c r="N80" s="189">
        <v>0</v>
      </c>
      <c r="O80" s="189">
        <v>0</v>
      </c>
      <c r="P80" s="189">
        <v>0.87</v>
      </c>
      <c r="Q80" s="189">
        <v>4.88</v>
      </c>
    </row>
    <row r="81" spans="1:17" customFormat="1">
      <c r="A81" s="6" t="s">
        <v>2135</v>
      </c>
      <c r="B81" s="189">
        <v>6.55</v>
      </c>
      <c r="C81" s="189">
        <v>32.049999999999997</v>
      </c>
      <c r="D81" s="189">
        <v>23.35</v>
      </c>
      <c r="E81" s="189">
        <v>5.96</v>
      </c>
      <c r="F81" s="189">
        <v>2.8</v>
      </c>
      <c r="G81" s="189">
        <v>123.98</v>
      </c>
      <c r="H81" s="189">
        <v>48.59</v>
      </c>
      <c r="I81" s="189">
        <v>8.26</v>
      </c>
      <c r="J81" s="189">
        <v>0.25</v>
      </c>
      <c r="K81" s="189">
        <v>151.30000000000001</v>
      </c>
      <c r="L81" s="189">
        <v>21.93</v>
      </c>
      <c r="M81" s="189">
        <v>64.05</v>
      </c>
      <c r="N81" s="189">
        <v>0</v>
      </c>
      <c r="O81" s="189">
        <v>0</v>
      </c>
      <c r="P81" s="189">
        <v>0.88</v>
      </c>
      <c r="Q81" s="189">
        <v>4.9000000000000004</v>
      </c>
    </row>
    <row r="82" spans="1:17" customFormat="1">
      <c r="A82" s="6" t="s">
        <v>2136</v>
      </c>
      <c r="B82" s="189">
        <v>6.77</v>
      </c>
      <c r="C82" s="189">
        <v>32.78</v>
      </c>
      <c r="D82" s="189">
        <v>23.91</v>
      </c>
      <c r="E82" s="189">
        <v>6.72</v>
      </c>
      <c r="F82" s="189">
        <v>2.71</v>
      </c>
      <c r="G82" s="189">
        <v>123.98</v>
      </c>
      <c r="H82" s="189">
        <v>48.59</v>
      </c>
      <c r="I82" s="189">
        <v>8.5</v>
      </c>
      <c r="J82" s="189">
        <v>0.16</v>
      </c>
      <c r="K82" s="189">
        <v>122.79</v>
      </c>
      <c r="L82" s="189">
        <v>21.66</v>
      </c>
      <c r="M82" s="189">
        <v>64.23</v>
      </c>
      <c r="N82" s="189">
        <v>0</v>
      </c>
      <c r="O82" s="189">
        <v>0</v>
      </c>
      <c r="P82" s="189">
        <v>0.92</v>
      </c>
      <c r="Q82" s="189">
        <v>4.9000000000000004</v>
      </c>
    </row>
    <row r="83" spans="1:17" customFormat="1">
      <c r="A83" s="6" t="s">
        <v>2137</v>
      </c>
      <c r="B83" s="189">
        <v>7.18</v>
      </c>
      <c r="C83" s="189">
        <v>33.909999999999997</v>
      </c>
      <c r="D83" s="189">
        <v>24.82</v>
      </c>
      <c r="E83" s="189">
        <v>6.74</v>
      </c>
      <c r="F83" s="189">
        <v>2.58</v>
      </c>
      <c r="G83" s="189">
        <v>147.06</v>
      </c>
      <c r="H83" s="189">
        <v>58.13</v>
      </c>
      <c r="I83" s="189">
        <v>8.75</v>
      </c>
      <c r="J83" s="189">
        <v>0.16</v>
      </c>
      <c r="K83" s="189">
        <v>151.82</v>
      </c>
      <c r="L83" s="189">
        <v>21.42</v>
      </c>
      <c r="M83" s="189">
        <v>64.87</v>
      </c>
      <c r="N83" s="189">
        <v>0</v>
      </c>
      <c r="O83" s="189">
        <v>0</v>
      </c>
      <c r="P83" s="189">
        <v>0.94</v>
      </c>
      <c r="Q83" s="189">
        <v>4.88</v>
      </c>
    </row>
    <row r="84" spans="1:17" customFormat="1">
      <c r="A84" s="6" t="s">
        <v>2138</v>
      </c>
      <c r="B84" s="189">
        <v>7.77</v>
      </c>
      <c r="C84" s="189">
        <v>34.29</v>
      </c>
      <c r="D84" s="189">
        <v>25.49</v>
      </c>
      <c r="E84" s="189">
        <v>6.35</v>
      </c>
      <c r="F84" s="189">
        <v>2.5299999999999998</v>
      </c>
      <c r="G84" s="189">
        <v>150.27000000000001</v>
      </c>
      <c r="H84" s="189">
        <v>58.13</v>
      </c>
      <c r="I84" s="189">
        <v>8.99</v>
      </c>
      <c r="J84" s="189">
        <v>0.16</v>
      </c>
      <c r="K84" s="189">
        <v>180.34</v>
      </c>
      <c r="L84" s="189">
        <v>20.91</v>
      </c>
      <c r="M84" s="189">
        <v>69.42</v>
      </c>
      <c r="N84" s="189">
        <v>0</v>
      </c>
      <c r="O84" s="189">
        <v>0</v>
      </c>
      <c r="P84" s="189">
        <v>0.96</v>
      </c>
      <c r="Q84" s="189">
        <v>4.88</v>
      </c>
    </row>
    <row r="85" spans="1:17" customFormat="1">
      <c r="A85" s="6" t="s">
        <v>2139</v>
      </c>
      <c r="B85" s="189">
        <v>7.98</v>
      </c>
      <c r="C85" s="189">
        <v>35.369999999999997</v>
      </c>
      <c r="D85" s="189">
        <v>26.23</v>
      </c>
      <c r="E85" s="189">
        <v>6.55</v>
      </c>
      <c r="F85" s="189">
        <v>2.65</v>
      </c>
      <c r="G85" s="189">
        <v>150.27000000000001</v>
      </c>
      <c r="H85" s="189">
        <v>58.13</v>
      </c>
      <c r="I85" s="189">
        <v>9.25</v>
      </c>
      <c r="J85" s="189">
        <v>0.14000000000000001</v>
      </c>
      <c r="K85" s="189">
        <v>178.88</v>
      </c>
      <c r="L85" s="189">
        <v>20.22</v>
      </c>
      <c r="M85" s="189">
        <v>77.430000000000007</v>
      </c>
      <c r="N85" s="189">
        <v>0</v>
      </c>
      <c r="O85" s="189">
        <v>0</v>
      </c>
      <c r="P85" s="189">
        <v>0.99</v>
      </c>
      <c r="Q85" s="189">
        <v>4.91</v>
      </c>
    </row>
    <row r="86" spans="1:17" customFormat="1">
      <c r="A86" s="6" t="s">
        <v>2140</v>
      </c>
      <c r="B86" s="189">
        <v>8.5</v>
      </c>
      <c r="C86" s="189">
        <v>35.090000000000003</v>
      </c>
      <c r="D86" s="189">
        <v>26.5</v>
      </c>
      <c r="E86" s="189">
        <v>6.49</v>
      </c>
      <c r="F86" s="189">
        <v>2.68</v>
      </c>
      <c r="G86" s="189">
        <v>150.27000000000001</v>
      </c>
      <c r="H86" s="189">
        <v>58.13</v>
      </c>
      <c r="I86" s="189">
        <v>9.56</v>
      </c>
      <c r="J86" s="189">
        <v>0.23</v>
      </c>
      <c r="K86" s="189">
        <v>172.85</v>
      </c>
      <c r="L86" s="189">
        <v>19.809999999999999</v>
      </c>
      <c r="M86" s="189">
        <v>76.760000000000005</v>
      </c>
      <c r="N86" s="189">
        <v>0</v>
      </c>
      <c r="O86" s="189">
        <v>0</v>
      </c>
      <c r="P86" s="189">
        <v>1.01</v>
      </c>
      <c r="Q86" s="189">
        <v>4.88</v>
      </c>
    </row>
    <row r="87" spans="1:17" customFormat="1">
      <c r="A87" s="6" t="s">
        <v>2141</v>
      </c>
      <c r="B87" s="189">
        <v>8.89</v>
      </c>
      <c r="C87" s="189">
        <v>31.93</v>
      </c>
      <c r="D87" s="189">
        <v>25.16</v>
      </c>
      <c r="E87" s="189">
        <v>5.64</v>
      </c>
      <c r="F87" s="189">
        <v>2.74</v>
      </c>
      <c r="G87" s="189">
        <v>156.27000000000001</v>
      </c>
      <c r="H87" s="189">
        <v>62.67</v>
      </c>
      <c r="I87" s="189">
        <v>9.83</v>
      </c>
      <c r="J87" s="189">
        <v>0.13</v>
      </c>
      <c r="K87" s="189">
        <v>193.07</v>
      </c>
      <c r="L87" s="189">
        <v>19.170000000000002</v>
      </c>
      <c r="M87" s="189">
        <v>79.400000000000006</v>
      </c>
      <c r="N87" s="189">
        <v>0</v>
      </c>
      <c r="O87" s="189">
        <v>0</v>
      </c>
      <c r="P87" s="189">
        <v>1.02</v>
      </c>
      <c r="Q87" s="189">
        <v>4.91</v>
      </c>
    </row>
    <row r="88" spans="1:17" customFormat="1">
      <c r="A88" s="6" t="s">
        <v>2142</v>
      </c>
      <c r="B88" s="189">
        <v>8.9700000000000006</v>
      </c>
      <c r="C88" s="189">
        <v>29.05</v>
      </c>
      <c r="D88" s="189">
        <v>23.72</v>
      </c>
      <c r="E88" s="189">
        <v>6.39</v>
      </c>
      <c r="F88" s="189">
        <v>2.86</v>
      </c>
      <c r="G88" s="189">
        <v>157.11000000000001</v>
      </c>
      <c r="H88" s="189">
        <v>62.67</v>
      </c>
      <c r="I88" s="189">
        <v>10.050000000000001</v>
      </c>
      <c r="J88" s="189">
        <v>0.1</v>
      </c>
      <c r="K88" s="189">
        <v>180.57</v>
      </c>
      <c r="L88" s="189">
        <v>18.89</v>
      </c>
      <c r="M88" s="189">
        <v>79.89</v>
      </c>
      <c r="N88" s="189">
        <v>0</v>
      </c>
      <c r="O88" s="189">
        <v>0</v>
      </c>
      <c r="P88" s="189">
        <v>1.01</v>
      </c>
      <c r="Q88" s="189">
        <v>4.92</v>
      </c>
    </row>
    <row r="89" spans="1:17" customFormat="1">
      <c r="A89" s="6" t="s">
        <v>2143</v>
      </c>
      <c r="B89" s="189">
        <v>8.93</v>
      </c>
      <c r="C89" s="189">
        <v>28.03</v>
      </c>
      <c r="D89" s="189">
        <v>23.16</v>
      </c>
      <c r="E89" s="189">
        <v>5.53</v>
      </c>
      <c r="F89" s="189">
        <v>2.69</v>
      </c>
      <c r="G89" s="189">
        <v>157.11000000000001</v>
      </c>
      <c r="H89" s="189">
        <v>62.67</v>
      </c>
      <c r="I89" s="189">
        <v>10.23</v>
      </c>
      <c r="J89" s="189">
        <v>0.19</v>
      </c>
      <c r="K89" s="189">
        <v>170.59</v>
      </c>
      <c r="L89" s="189">
        <v>18.88</v>
      </c>
      <c r="M89" s="189">
        <v>79.41</v>
      </c>
      <c r="N89" s="189">
        <v>0</v>
      </c>
      <c r="O89" s="189">
        <v>0</v>
      </c>
      <c r="P89" s="189">
        <v>1.01</v>
      </c>
      <c r="Q89" s="189">
        <v>4.93</v>
      </c>
    </row>
    <row r="90" spans="1:17" customFormat="1">
      <c r="A90" s="6" t="s">
        <v>2144</v>
      </c>
      <c r="B90" s="189">
        <v>9.18</v>
      </c>
      <c r="C90" s="189">
        <v>28.55</v>
      </c>
      <c r="D90" s="189">
        <v>23.63</v>
      </c>
      <c r="E90" s="189">
        <v>6.05</v>
      </c>
      <c r="F90" s="189">
        <v>2.4500000000000002</v>
      </c>
      <c r="G90" s="189">
        <v>157.11000000000001</v>
      </c>
      <c r="H90" s="189">
        <v>62.67</v>
      </c>
      <c r="I90" s="189">
        <v>10.35</v>
      </c>
      <c r="J90" s="189">
        <v>0.2</v>
      </c>
      <c r="K90" s="189">
        <v>169.02</v>
      </c>
      <c r="L90" s="189">
        <v>18.86</v>
      </c>
      <c r="M90" s="189">
        <v>80.13</v>
      </c>
      <c r="N90" s="189">
        <v>0</v>
      </c>
      <c r="O90" s="189">
        <v>0</v>
      </c>
      <c r="P90" s="189">
        <v>1.03</v>
      </c>
      <c r="Q90" s="189">
        <v>4.92</v>
      </c>
    </row>
    <row r="91" spans="1:17" customFormat="1">
      <c r="A91" s="6" t="s">
        <v>2145</v>
      </c>
      <c r="B91" s="189">
        <v>9.76</v>
      </c>
      <c r="C91" s="189">
        <v>29.38</v>
      </c>
      <c r="D91" s="189">
        <v>24.53</v>
      </c>
      <c r="E91" s="189">
        <v>6.3</v>
      </c>
      <c r="F91" s="189">
        <v>2.4500000000000002</v>
      </c>
      <c r="G91" s="189">
        <v>147.06</v>
      </c>
      <c r="H91" s="189">
        <v>63.09</v>
      </c>
      <c r="I91" s="189">
        <v>10.44</v>
      </c>
      <c r="J91" s="189">
        <v>0.2</v>
      </c>
      <c r="K91" s="189">
        <v>162.44999999999999</v>
      </c>
      <c r="L91" s="189">
        <v>18.690000000000001</v>
      </c>
      <c r="M91" s="189">
        <v>84.89</v>
      </c>
      <c r="N91" s="189">
        <v>0</v>
      </c>
      <c r="O91" s="189">
        <v>0</v>
      </c>
      <c r="P91" s="189">
        <v>1.05</v>
      </c>
      <c r="Q91" s="189">
        <v>4.9400000000000004</v>
      </c>
    </row>
    <row r="92" spans="1:17" customFormat="1">
      <c r="A92" s="6" t="s">
        <v>2146</v>
      </c>
      <c r="B92" s="189">
        <v>10.02</v>
      </c>
      <c r="C92" s="189">
        <v>29.65</v>
      </c>
      <c r="D92" s="189">
        <v>24.88</v>
      </c>
      <c r="E92" s="189">
        <v>6.1</v>
      </c>
      <c r="F92" s="189">
        <v>2.42</v>
      </c>
      <c r="G92" s="189">
        <v>145.66</v>
      </c>
      <c r="H92" s="189">
        <v>63.09</v>
      </c>
      <c r="I92" s="189">
        <v>10.52</v>
      </c>
      <c r="J92" s="189">
        <v>0.18</v>
      </c>
      <c r="K92" s="189">
        <v>169.54</v>
      </c>
      <c r="L92" s="189">
        <v>18.46</v>
      </c>
      <c r="M92" s="189">
        <v>86.2</v>
      </c>
      <c r="N92" s="189">
        <v>0</v>
      </c>
      <c r="O92" s="189">
        <v>0</v>
      </c>
      <c r="P92" s="189">
        <v>1.07</v>
      </c>
      <c r="Q92" s="189">
        <v>4.93</v>
      </c>
    </row>
    <row r="93" spans="1:17" customFormat="1">
      <c r="A93" s="6" t="s">
        <v>2147</v>
      </c>
      <c r="B93" s="189">
        <v>10.17</v>
      </c>
      <c r="C93" s="189">
        <v>29.59</v>
      </c>
      <c r="D93" s="189">
        <v>24.97</v>
      </c>
      <c r="E93" s="189">
        <v>5.89</v>
      </c>
      <c r="F93" s="189">
        <v>2.4900000000000002</v>
      </c>
      <c r="G93" s="189">
        <v>145.66</v>
      </c>
      <c r="H93" s="189">
        <v>63.09</v>
      </c>
      <c r="I93" s="189">
        <v>10.62</v>
      </c>
      <c r="J93" s="189">
        <v>0.14000000000000001</v>
      </c>
      <c r="K93" s="189">
        <v>167.25</v>
      </c>
      <c r="L93" s="189">
        <v>18.010000000000002</v>
      </c>
      <c r="M93" s="189">
        <v>87.47</v>
      </c>
      <c r="N93" s="189">
        <v>0</v>
      </c>
      <c r="O93" s="189">
        <v>0</v>
      </c>
      <c r="P93" s="189">
        <v>1.08</v>
      </c>
      <c r="Q93" s="189">
        <v>4.9400000000000004</v>
      </c>
    </row>
    <row r="94" spans="1:17" customFormat="1">
      <c r="A94" s="6" t="s">
        <v>2148</v>
      </c>
      <c r="B94" s="189">
        <v>10.199999999999999</v>
      </c>
      <c r="C94" s="189">
        <v>29.09</v>
      </c>
      <c r="D94" s="189">
        <v>24.73</v>
      </c>
      <c r="E94" s="189">
        <v>6.2</v>
      </c>
      <c r="F94" s="189">
        <v>2.6</v>
      </c>
      <c r="G94" s="189">
        <v>145.66</v>
      </c>
      <c r="H94" s="189">
        <v>63.09</v>
      </c>
      <c r="I94" s="189">
        <v>10.73</v>
      </c>
      <c r="J94" s="189">
        <v>0.17</v>
      </c>
      <c r="K94" s="189">
        <v>163.81</v>
      </c>
      <c r="L94" s="189">
        <v>17.89</v>
      </c>
      <c r="M94" s="189">
        <v>87.27</v>
      </c>
      <c r="N94" s="189">
        <v>0</v>
      </c>
      <c r="O94" s="189">
        <v>0</v>
      </c>
      <c r="P94" s="189">
        <v>1.0900000000000001</v>
      </c>
      <c r="Q94" s="189">
        <v>4.9400000000000004</v>
      </c>
    </row>
    <row r="95" spans="1:17" customFormat="1">
      <c r="A95" s="6" t="s">
        <v>2149</v>
      </c>
      <c r="B95" s="189">
        <v>10.33</v>
      </c>
      <c r="C95" s="189">
        <v>28.61</v>
      </c>
      <c r="D95" s="189">
        <v>24.59</v>
      </c>
      <c r="E95" s="189">
        <v>6.3</v>
      </c>
      <c r="F95" s="189">
        <v>2.59</v>
      </c>
      <c r="G95" s="189">
        <v>139.86000000000001</v>
      </c>
      <c r="H95" s="189">
        <v>63.01</v>
      </c>
      <c r="I95" s="189">
        <v>10.84</v>
      </c>
      <c r="J95" s="189">
        <v>0.11</v>
      </c>
      <c r="K95" s="189">
        <v>198.83</v>
      </c>
      <c r="L95" s="189">
        <v>17.87</v>
      </c>
      <c r="M95" s="189">
        <v>86.79</v>
      </c>
      <c r="N95" s="189">
        <v>0</v>
      </c>
      <c r="O95" s="189">
        <v>0</v>
      </c>
      <c r="P95" s="189">
        <v>1.0900000000000001</v>
      </c>
      <c r="Q95" s="189">
        <v>4.95</v>
      </c>
    </row>
    <row r="96" spans="1:17" customFormat="1">
      <c r="A96" s="6" t="s">
        <v>2150</v>
      </c>
      <c r="B96" s="189">
        <v>10.71</v>
      </c>
      <c r="C96" s="189">
        <v>28.33</v>
      </c>
      <c r="D96" s="189">
        <v>24.74</v>
      </c>
      <c r="E96" s="189">
        <v>6.18</v>
      </c>
      <c r="F96" s="189">
        <v>2.58</v>
      </c>
      <c r="G96" s="189">
        <v>139.06</v>
      </c>
      <c r="H96" s="189">
        <v>63.01</v>
      </c>
      <c r="I96" s="189">
        <v>10.93</v>
      </c>
      <c r="J96" s="189">
        <v>0.12</v>
      </c>
      <c r="K96" s="189">
        <v>170.75</v>
      </c>
      <c r="L96" s="189">
        <v>17.649999999999999</v>
      </c>
      <c r="M96" s="189">
        <v>86.69</v>
      </c>
      <c r="N96" s="189">
        <v>0</v>
      </c>
      <c r="O96" s="189">
        <v>0</v>
      </c>
      <c r="P96" s="189">
        <v>1.0900000000000001</v>
      </c>
      <c r="Q96" s="189">
        <v>4.9400000000000004</v>
      </c>
    </row>
    <row r="97" spans="1:22" customFormat="1">
      <c r="A97" s="6" t="s">
        <v>2151</v>
      </c>
      <c r="B97" s="189">
        <v>11.16</v>
      </c>
      <c r="C97" s="189">
        <v>26.66</v>
      </c>
      <c r="D97" s="189">
        <v>24.23</v>
      </c>
      <c r="E97" s="189">
        <v>6.23</v>
      </c>
      <c r="F97" s="189">
        <v>2.85</v>
      </c>
      <c r="G97" s="189">
        <v>139.06</v>
      </c>
      <c r="H97" s="189">
        <v>63.01</v>
      </c>
      <c r="I97" s="189">
        <v>10.96</v>
      </c>
      <c r="J97" s="189">
        <v>0.15</v>
      </c>
      <c r="K97" s="189">
        <v>196.57</v>
      </c>
      <c r="L97" s="189">
        <v>17.600000000000001</v>
      </c>
      <c r="M97" s="189">
        <v>89.5</v>
      </c>
      <c r="N97" s="189">
        <v>0</v>
      </c>
      <c r="O97" s="189">
        <v>0</v>
      </c>
      <c r="P97" s="189">
        <v>1.08</v>
      </c>
      <c r="Q97" s="189">
        <v>4.96</v>
      </c>
    </row>
    <row r="98" spans="1:22" customFormat="1">
      <c r="A98" s="6" t="s">
        <v>2152</v>
      </c>
      <c r="B98" s="189">
        <v>11.49</v>
      </c>
      <c r="C98" s="189">
        <v>25.37</v>
      </c>
      <c r="D98" s="189">
        <v>23.82</v>
      </c>
      <c r="E98" s="189">
        <v>5.68</v>
      </c>
      <c r="F98" s="189">
        <v>2.75</v>
      </c>
      <c r="G98" s="189">
        <v>139.06</v>
      </c>
      <c r="H98" s="189">
        <v>63.01</v>
      </c>
      <c r="I98" s="189">
        <v>10.93</v>
      </c>
      <c r="J98" s="189">
        <v>0.12</v>
      </c>
      <c r="K98" s="189">
        <v>213.74</v>
      </c>
      <c r="L98" s="189">
        <v>17.22</v>
      </c>
      <c r="M98" s="189">
        <v>92.31</v>
      </c>
      <c r="N98" s="189">
        <v>0</v>
      </c>
      <c r="O98" s="189">
        <v>0</v>
      </c>
      <c r="P98" s="189">
        <v>1.06</v>
      </c>
      <c r="Q98" s="189">
        <v>4.96</v>
      </c>
    </row>
    <row r="99" spans="1:22" customFormat="1">
      <c r="A99" s="6" t="s">
        <v>2153</v>
      </c>
      <c r="B99" s="189">
        <v>11.81</v>
      </c>
      <c r="C99" s="189">
        <v>26.52</v>
      </c>
      <c r="D99" s="189">
        <v>24.68</v>
      </c>
      <c r="E99" s="189">
        <v>5.66</v>
      </c>
      <c r="F99" s="189">
        <v>2.38</v>
      </c>
      <c r="G99" s="189">
        <v>140.58000000000001</v>
      </c>
      <c r="H99" s="189">
        <v>64.260000000000005</v>
      </c>
      <c r="I99" s="189">
        <v>10.88</v>
      </c>
      <c r="J99" s="189">
        <v>0.12</v>
      </c>
      <c r="K99" s="189">
        <v>194.39</v>
      </c>
      <c r="L99" s="189">
        <v>16.93</v>
      </c>
      <c r="M99" s="189">
        <v>93.23</v>
      </c>
      <c r="N99" s="189">
        <v>0</v>
      </c>
      <c r="O99" s="189">
        <v>0</v>
      </c>
      <c r="P99" s="189">
        <v>1.06</v>
      </c>
      <c r="Q99" s="189">
        <v>4.96</v>
      </c>
    </row>
    <row r="100" spans="1:22" customFormat="1">
      <c r="A100" s="6" t="s">
        <v>2154</v>
      </c>
      <c r="B100" s="189">
        <v>12.16</v>
      </c>
      <c r="C100" s="189">
        <v>25.62</v>
      </c>
      <c r="D100" s="189">
        <v>24.49</v>
      </c>
      <c r="E100" s="189">
        <v>5.94</v>
      </c>
      <c r="F100" s="189">
        <v>2.52</v>
      </c>
      <c r="G100" s="189">
        <v>140.80000000000001</v>
      </c>
      <c r="H100" s="189">
        <v>64.260000000000005</v>
      </c>
      <c r="I100" s="189">
        <v>10.83</v>
      </c>
      <c r="J100" s="189">
        <v>0.13</v>
      </c>
      <c r="K100" s="189">
        <v>214.15</v>
      </c>
      <c r="L100" s="189">
        <v>16.86</v>
      </c>
      <c r="M100" s="189">
        <v>91.9</v>
      </c>
      <c r="N100" s="189">
        <v>0</v>
      </c>
      <c r="O100" s="189">
        <v>0</v>
      </c>
      <c r="P100" s="189">
        <v>1.05</v>
      </c>
      <c r="Q100" s="189">
        <v>4.9400000000000004</v>
      </c>
    </row>
    <row r="101" spans="1:22" customFormat="1">
      <c r="A101" s="6" t="s">
        <v>2155</v>
      </c>
      <c r="B101" s="189">
        <v>12.4</v>
      </c>
      <c r="C101" s="189">
        <v>27.29</v>
      </c>
      <c r="D101" s="189">
        <v>25.55</v>
      </c>
      <c r="E101" s="189">
        <v>5.81</v>
      </c>
      <c r="F101" s="189">
        <v>2.4</v>
      </c>
      <c r="G101" s="189">
        <v>140.80000000000001</v>
      </c>
      <c r="H101" s="189">
        <v>64.260000000000005</v>
      </c>
      <c r="I101" s="189">
        <v>10.81</v>
      </c>
      <c r="J101" s="189">
        <v>0.13</v>
      </c>
      <c r="K101" s="189">
        <v>211.17</v>
      </c>
      <c r="L101" s="189">
        <v>16.72</v>
      </c>
      <c r="M101" s="189">
        <v>90.98</v>
      </c>
      <c r="N101" s="189">
        <v>0</v>
      </c>
      <c r="O101" s="189">
        <v>0</v>
      </c>
      <c r="P101" s="189">
        <v>1.06</v>
      </c>
      <c r="Q101" s="189">
        <v>4.96</v>
      </c>
    </row>
    <row r="102" spans="1:22" customFormat="1">
      <c r="A102" s="6" t="s">
        <v>2156</v>
      </c>
      <c r="B102" s="189">
        <v>12.59</v>
      </c>
      <c r="C102" s="189">
        <v>26.7</v>
      </c>
      <c r="D102" s="189">
        <v>25.4</v>
      </c>
      <c r="E102" s="189">
        <v>6.11</v>
      </c>
      <c r="F102" s="189">
        <v>2.65</v>
      </c>
      <c r="G102" s="189">
        <v>140.80000000000001</v>
      </c>
      <c r="H102" s="189">
        <v>64.260000000000005</v>
      </c>
      <c r="I102" s="189">
        <v>10.76</v>
      </c>
      <c r="J102" s="189">
        <v>0.11</v>
      </c>
      <c r="K102" s="189">
        <v>223.5</v>
      </c>
      <c r="L102" s="189">
        <v>16.510000000000002</v>
      </c>
      <c r="M102" s="189">
        <v>92.93</v>
      </c>
      <c r="N102" s="189">
        <v>0</v>
      </c>
      <c r="O102" s="189">
        <v>0</v>
      </c>
      <c r="P102" s="189">
        <v>1.05</v>
      </c>
      <c r="Q102" s="189">
        <v>4.9800000000000004</v>
      </c>
    </row>
    <row r="103" spans="1:22" customFormat="1">
      <c r="A103" s="6" t="s">
        <v>2157</v>
      </c>
      <c r="B103" s="189">
        <v>12.83</v>
      </c>
      <c r="C103" s="189">
        <v>26.69</v>
      </c>
      <c r="D103" s="189">
        <v>25.59</v>
      </c>
      <c r="E103" s="189">
        <v>6.2</v>
      </c>
      <c r="F103" s="189">
        <v>2.64</v>
      </c>
      <c r="G103" s="189">
        <v>144.36000000000001</v>
      </c>
      <c r="H103" s="189">
        <v>63.16</v>
      </c>
      <c r="I103" s="189">
        <v>10.71</v>
      </c>
      <c r="J103" s="189">
        <v>0.1</v>
      </c>
      <c r="K103" s="189">
        <v>237.17</v>
      </c>
      <c r="L103" s="189">
        <v>16.39</v>
      </c>
      <c r="M103" s="189">
        <v>92.72</v>
      </c>
      <c r="N103" s="189">
        <v>0</v>
      </c>
      <c r="O103" s="189">
        <v>0</v>
      </c>
      <c r="P103" s="189">
        <v>1.05</v>
      </c>
      <c r="Q103" s="189">
        <v>4.97</v>
      </c>
    </row>
    <row r="104" spans="1:22" customFormat="1">
      <c r="A104" s="6" t="s">
        <v>2158</v>
      </c>
      <c r="B104" s="189">
        <v>13.54</v>
      </c>
      <c r="C104" s="189">
        <v>26.8</v>
      </c>
      <c r="D104" s="189">
        <v>26.21</v>
      </c>
      <c r="E104" s="189">
        <v>5.93</v>
      </c>
      <c r="F104" s="189">
        <v>2.72</v>
      </c>
      <c r="G104" s="189">
        <v>144.86000000000001</v>
      </c>
      <c r="H104" s="189">
        <v>63.16</v>
      </c>
      <c r="I104" s="189">
        <v>10.71</v>
      </c>
      <c r="J104" s="189">
        <v>0.09</v>
      </c>
      <c r="K104" s="189">
        <v>212.14</v>
      </c>
      <c r="L104" s="189">
        <v>16.43</v>
      </c>
      <c r="M104" s="189">
        <v>90.9</v>
      </c>
      <c r="N104" s="189">
        <v>0</v>
      </c>
      <c r="O104" s="189">
        <v>0</v>
      </c>
      <c r="P104" s="189">
        <v>1.05</v>
      </c>
      <c r="Q104" s="189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4.37</v>
      </c>
      <c r="C106" s="183">
        <f>MIN(C9:C104)</f>
        <v>19.13</v>
      </c>
      <c r="D106" s="183">
        <f t="shared" ref="D106:Q106" si="0">MIN(D9:D104)</f>
        <v>15.31</v>
      </c>
      <c r="E106" s="183">
        <f t="shared" si="0"/>
        <v>5.3</v>
      </c>
      <c r="F106" s="183">
        <f t="shared" si="0"/>
        <v>2.2200000000000002</v>
      </c>
      <c r="G106" s="183">
        <f t="shared" si="0"/>
        <v>70.959999999999994</v>
      </c>
      <c r="H106" s="183">
        <f t="shared" si="0"/>
        <v>40.26</v>
      </c>
      <c r="I106" s="183">
        <f t="shared" si="0"/>
        <v>7.94</v>
      </c>
      <c r="J106" s="183">
        <f t="shared" si="0"/>
        <v>0.03</v>
      </c>
      <c r="K106" s="183">
        <f t="shared" si="0"/>
        <v>12.29</v>
      </c>
      <c r="L106" s="183">
        <f t="shared" si="0"/>
        <v>14.47</v>
      </c>
      <c r="M106" s="183">
        <f t="shared" si="0"/>
        <v>38.57</v>
      </c>
      <c r="N106" s="183">
        <f t="shared" si="0"/>
        <v>0</v>
      </c>
      <c r="O106" s="183">
        <f t="shared" si="0"/>
        <v>0</v>
      </c>
      <c r="P106" s="183">
        <f t="shared" si="0"/>
        <v>0.77</v>
      </c>
      <c r="Q106" s="183">
        <f t="shared" si="0"/>
        <v>4.83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33.71</v>
      </c>
      <c r="C107" s="184">
        <f t="shared" ref="C107:Q107" si="1">MAX(C9:C104)</f>
        <v>35.369999999999997</v>
      </c>
      <c r="D107" s="184">
        <f t="shared" si="1"/>
        <v>45.2</v>
      </c>
      <c r="E107" s="184">
        <f t="shared" si="1"/>
        <v>8.82</v>
      </c>
      <c r="F107" s="184">
        <f t="shared" si="1"/>
        <v>6.55</v>
      </c>
      <c r="G107" s="184">
        <f t="shared" si="1"/>
        <v>157.78</v>
      </c>
      <c r="H107" s="184">
        <f t="shared" si="1"/>
        <v>76.42</v>
      </c>
      <c r="I107" s="184">
        <f t="shared" si="1"/>
        <v>14.42</v>
      </c>
      <c r="J107" s="184">
        <f t="shared" si="1"/>
        <v>0.41</v>
      </c>
      <c r="K107" s="184">
        <f t="shared" si="1"/>
        <v>359.49</v>
      </c>
      <c r="L107" s="184">
        <f t="shared" si="1"/>
        <v>28.05</v>
      </c>
      <c r="M107" s="184">
        <f t="shared" si="1"/>
        <v>96.85</v>
      </c>
      <c r="N107" s="184">
        <f t="shared" si="1"/>
        <v>418.8</v>
      </c>
      <c r="O107" s="184">
        <f t="shared" si="1"/>
        <v>0</v>
      </c>
      <c r="P107" s="184">
        <f t="shared" si="1"/>
        <v>1.25</v>
      </c>
      <c r="Q107" s="184">
        <f t="shared" si="1"/>
        <v>5.29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15.707812500000001</v>
      </c>
      <c r="C108" s="183">
        <f t="shared" ref="C108:Q108" si="2">AVERAGE(C9:C104)</f>
        <v>27.867500000000007</v>
      </c>
      <c r="D108" s="183">
        <f t="shared" si="2"/>
        <v>28.507499999999993</v>
      </c>
      <c r="E108" s="183">
        <f t="shared" si="2"/>
        <v>6.7459374999999975</v>
      </c>
      <c r="F108" s="183">
        <f t="shared" si="2"/>
        <v>3.0831250000000003</v>
      </c>
      <c r="G108" s="183">
        <f t="shared" si="2"/>
        <v>120.46333333333335</v>
      </c>
      <c r="H108" s="183">
        <f t="shared" si="2"/>
        <v>62.186041666666711</v>
      </c>
      <c r="I108" s="183">
        <f t="shared" si="2"/>
        <v>11.544062500000003</v>
      </c>
      <c r="J108" s="183">
        <f t="shared" si="2"/>
        <v>0.16833333333333331</v>
      </c>
      <c r="K108" s="183">
        <f t="shared" si="2"/>
        <v>183.56031249999992</v>
      </c>
      <c r="L108" s="183">
        <f t="shared" si="2"/>
        <v>20.235000000000003</v>
      </c>
      <c r="M108" s="183">
        <f t="shared" si="2"/>
        <v>73.571979166666651</v>
      </c>
      <c r="N108" s="183">
        <f t="shared" si="2"/>
        <v>84.072916666666671</v>
      </c>
      <c r="O108" s="183">
        <f t="shared" si="2"/>
        <v>0</v>
      </c>
      <c r="P108" s="183">
        <f t="shared" si="2"/>
        <v>1.024375</v>
      </c>
      <c r="Q108" s="183">
        <f t="shared" si="2"/>
        <v>5.0189583333333339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9.9250916690052691</v>
      </c>
      <c r="C109" s="183">
        <f t="shared" ref="C109:Q109" si="3">STDEV(C9:C104)</f>
        <v>4.05258020473243</v>
      </c>
      <c r="D109" s="183">
        <f t="shared" si="3"/>
        <v>9.3285689092559654</v>
      </c>
      <c r="E109" s="183">
        <f t="shared" si="3"/>
        <v>0.96408732747610537</v>
      </c>
      <c r="F109" s="183">
        <f t="shared" si="3"/>
        <v>0.94509293611514011</v>
      </c>
      <c r="G109" s="183">
        <f t="shared" si="3"/>
        <v>26.615962549871277</v>
      </c>
      <c r="H109" s="183">
        <f t="shared" si="3"/>
        <v>10.945428603967784</v>
      </c>
      <c r="I109" s="183">
        <f t="shared" si="3"/>
        <v>1.9529360234892685</v>
      </c>
      <c r="J109" s="183">
        <f t="shared" si="3"/>
        <v>8.0061379961898785E-2</v>
      </c>
      <c r="K109" s="183">
        <f t="shared" si="3"/>
        <v>70.612849158047126</v>
      </c>
      <c r="L109" s="183">
        <f t="shared" si="3"/>
        <v>4.7533624663854646</v>
      </c>
      <c r="M109" s="183">
        <f t="shared" si="3"/>
        <v>21.085215255184405</v>
      </c>
      <c r="N109" s="183">
        <f t="shared" si="3"/>
        <v>137.28890895454674</v>
      </c>
      <c r="O109" s="183">
        <f t="shared" si="3"/>
        <v>0</v>
      </c>
      <c r="P109" s="183">
        <f t="shared" si="3"/>
        <v>0.14937633505239187</v>
      </c>
      <c r="Q109" s="183">
        <f t="shared" si="3"/>
        <v>0.1487313308348891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6" t="s">
        <v>2159</v>
      </c>
      <c r="B9" s="189">
        <v>14.52</v>
      </c>
      <c r="C9" s="189">
        <v>28.46</v>
      </c>
      <c r="D9" s="189">
        <v>27.87</v>
      </c>
      <c r="E9" s="189">
        <v>6.16</v>
      </c>
      <c r="F9" s="189">
        <v>2.42</v>
      </c>
      <c r="G9" s="189">
        <v>144.86000000000001</v>
      </c>
      <c r="H9" s="189">
        <v>63.16</v>
      </c>
      <c r="I9" s="189">
        <v>10.68</v>
      </c>
      <c r="J9" s="189">
        <v>0.13</v>
      </c>
      <c r="K9" s="189">
        <v>152.19999999999999</v>
      </c>
      <c r="L9" s="189">
        <v>16.600000000000001</v>
      </c>
      <c r="M9" s="189">
        <v>88.61</v>
      </c>
      <c r="N9" s="189">
        <v>0</v>
      </c>
      <c r="O9" s="189">
        <v>0</v>
      </c>
      <c r="P9" s="189">
        <v>1.07</v>
      </c>
      <c r="Q9" s="189">
        <v>5</v>
      </c>
    </row>
    <row r="10" spans="1:21">
      <c r="A10" s="6" t="s">
        <v>2160</v>
      </c>
      <c r="B10" s="189">
        <v>16.63</v>
      </c>
      <c r="C10" s="189">
        <v>29.4</v>
      </c>
      <c r="D10" s="189">
        <v>30.05</v>
      </c>
      <c r="E10" s="189">
        <v>5.82</v>
      </c>
      <c r="F10" s="189">
        <v>2.57</v>
      </c>
      <c r="G10" s="189">
        <v>144.86000000000001</v>
      </c>
      <c r="H10" s="189">
        <v>63.16</v>
      </c>
      <c r="I10" s="189">
        <v>10.7</v>
      </c>
      <c r="J10" s="189">
        <v>0.15</v>
      </c>
      <c r="K10" s="189">
        <v>161.16</v>
      </c>
      <c r="L10" s="189">
        <v>16.66</v>
      </c>
      <c r="M10" s="189">
        <v>87.86</v>
      </c>
      <c r="N10" s="189">
        <v>0</v>
      </c>
      <c r="O10" s="189">
        <v>0</v>
      </c>
      <c r="P10" s="189">
        <v>1.08</v>
      </c>
      <c r="Q10" s="189">
        <v>5.0599999999999996</v>
      </c>
    </row>
    <row r="11" spans="1:21">
      <c r="A11" s="6" t="s">
        <v>2161</v>
      </c>
      <c r="B11" s="189">
        <v>20.43</v>
      </c>
      <c r="C11" s="189">
        <v>30.61</v>
      </c>
      <c r="D11" s="189">
        <v>33.72</v>
      </c>
      <c r="E11" s="189">
        <v>6.5</v>
      </c>
      <c r="F11" s="189">
        <v>2.4700000000000002</v>
      </c>
      <c r="G11" s="189">
        <v>140.36000000000001</v>
      </c>
      <c r="H11" s="189">
        <v>62.07</v>
      </c>
      <c r="I11" s="189">
        <v>10.75</v>
      </c>
      <c r="J11" s="189">
        <v>0.17</v>
      </c>
      <c r="K11" s="189">
        <v>151.02000000000001</v>
      </c>
      <c r="L11" s="189">
        <v>16.600000000000001</v>
      </c>
      <c r="M11" s="189">
        <v>90.18</v>
      </c>
      <c r="N11" s="189">
        <v>0</v>
      </c>
      <c r="O11" s="189">
        <v>0</v>
      </c>
      <c r="P11" s="189">
        <v>1.08</v>
      </c>
      <c r="Q11" s="189">
        <v>5.0999999999999996</v>
      </c>
    </row>
    <row r="12" spans="1:21">
      <c r="A12" s="6" t="s">
        <v>2162</v>
      </c>
      <c r="B12" s="189">
        <v>21.84</v>
      </c>
      <c r="C12" s="189">
        <v>30.91</v>
      </c>
      <c r="D12" s="189">
        <v>35.020000000000003</v>
      </c>
      <c r="E12" s="189">
        <v>6.31</v>
      </c>
      <c r="F12" s="189">
        <v>2.57</v>
      </c>
      <c r="G12" s="189">
        <v>139.72999999999999</v>
      </c>
      <c r="H12" s="189">
        <v>62.07</v>
      </c>
      <c r="I12" s="189">
        <v>10.77</v>
      </c>
      <c r="J12" s="189">
        <v>0.12</v>
      </c>
      <c r="K12" s="189">
        <v>151.88999999999999</v>
      </c>
      <c r="L12" s="189">
        <v>16.7</v>
      </c>
      <c r="M12" s="189">
        <v>88.64</v>
      </c>
      <c r="N12" s="189">
        <v>0</v>
      </c>
      <c r="O12" s="189">
        <v>0</v>
      </c>
      <c r="P12" s="189">
        <v>1.08</v>
      </c>
      <c r="Q12" s="189">
        <v>5.13</v>
      </c>
    </row>
    <row r="13" spans="1:21">
      <c r="A13" s="6" t="s">
        <v>2163</v>
      </c>
      <c r="B13" s="189">
        <v>22.77</v>
      </c>
      <c r="C13" s="189">
        <v>31.28</v>
      </c>
      <c r="D13" s="189">
        <v>35.950000000000003</v>
      </c>
      <c r="E13" s="189">
        <v>6.36</v>
      </c>
      <c r="F13" s="189">
        <v>2.65</v>
      </c>
      <c r="G13" s="189">
        <v>139.72999999999999</v>
      </c>
      <c r="H13" s="189">
        <v>62.07</v>
      </c>
      <c r="I13" s="189">
        <v>10.76</v>
      </c>
      <c r="J13" s="189">
        <v>7.0000000000000007E-2</v>
      </c>
      <c r="K13" s="189">
        <v>162.93</v>
      </c>
      <c r="L13" s="189">
        <v>16.54</v>
      </c>
      <c r="M13" s="189">
        <v>87.67</v>
      </c>
      <c r="N13" s="189">
        <v>0</v>
      </c>
      <c r="O13" s="189">
        <v>0</v>
      </c>
      <c r="P13" s="189">
        <v>1.08</v>
      </c>
      <c r="Q13" s="189">
        <v>5.16</v>
      </c>
    </row>
    <row r="14" spans="1:21">
      <c r="A14" s="6" t="s">
        <v>2164</v>
      </c>
      <c r="B14" s="189">
        <v>26.19</v>
      </c>
      <c r="C14" s="189">
        <v>32.26</v>
      </c>
      <c r="D14" s="189">
        <v>39.21</v>
      </c>
      <c r="E14" s="189">
        <v>6.57</v>
      </c>
      <c r="F14" s="189">
        <v>2.59</v>
      </c>
      <c r="G14" s="189">
        <v>139.72999999999999</v>
      </c>
      <c r="H14" s="189">
        <v>62.07</v>
      </c>
      <c r="I14" s="189">
        <v>10.74</v>
      </c>
      <c r="J14" s="189">
        <v>0.12</v>
      </c>
      <c r="K14" s="189">
        <v>216.3</v>
      </c>
      <c r="L14" s="189">
        <v>16.5</v>
      </c>
      <c r="M14" s="189">
        <v>87.96</v>
      </c>
      <c r="N14" s="189">
        <v>0</v>
      </c>
      <c r="O14" s="189">
        <v>0</v>
      </c>
      <c r="P14" s="189">
        <v>1.07</v>
      </c>
      <c r="Q14" s="189">
        <v>5.21</v>
      </c>
    </row>
    <row r="15" spans="1:21">
      <c r="A15" s="6" t="s">
        <v>2165</v>
      </c>
      <c r="B15" s="189">
        <v>30.12</v>
      </c>
      <c r="C15" s="189">
        <v>33.28</v>
      </c>
      <c r="D15" s="189">
        <v>42.9</v>
      </c>
      <c r="E15" s="189">
        <v>6.56</v>
      </c>
      <c r="F15" s="189">
        <v>2.4300000000000002</v>
      </c>
      <c r="G15" s="189">
        <v>130.93</v>
      </c>
      <c r="H15" s="189">
        <v>63.44</v>
      </c>
      <c r="I15" s="189">
        <v>10.67</v>
      </c>
      <c r="J15" s="189">
        <v>0.16</v>
      </c>
      <c r="K15" s="189">
        <v>156.63</v>
      </c>
      <c r="L15" s="189">
        <v>16.38</v>
      </c>
      <c r="M15" s="189">
        <v>89.69</v>
      </c>
      <c r="N15" s="189">
        <v>0</v>
      </c>
      <c r="O15" s="189">
        <v>0</v>
      </c>
      <c r="P15" s="189">
        <v>1.07</v>
      </c>
      <c r="Q15" s="189">
        <v>5.24</v>
      </c>
    </row>
    <row r="16" spans="1:21">
      <c r="A16" s="6" t="s">
        <v>2166</v>
      </c>
      <c r="B16" s="189">
        <v>31.87</v>
      </c>
      <c r="C16" s="189">
        <v>33.18</v>
      </c>
      <c r="D16" s="189">
        <v>44.25</v>
      </c>
      <c r="E16" s="189">
        <v>6.77</v>
      </c>
      <c r="F16" s="189">
        <v>2.4700000000000002</v>
      </c>
      <c r="G16" s="189">
        <v>129.71</v>
      </c>
      <c r="H16" s="189">
        <v>63.44</v>
      </c>
      <c r="I16" s="189">
        <v>10.59</v>
      </c>
      <c r="J16" s="189">
        <v>0.16</v>
      </c>
      <c r="K16" s="189">
        <v>146.05000000000001</v>
      </c>
      <c r="L16" s="189">
        <v>16.34</v>
      </c>
      <c r="M16" s="189">
        <v>90.8</v>
      </c>
      <c r="N16" s="189">
        <v>0</v>
      </c>
      <c r="O16" s="189">
        <v>0</v>
      </c>
      <c r="P16" s="189">
        <v>1.06</v>
      </c>
      <c r="Q16" s="189">
        <v>5.26</v>
      </c>
    </row>
    <row r="17" spans="1:17">
      <c r="A17" s="6" t="s">
        <v>2167</v>
      </c>
      <c r="B17" s="189">
        <v>33.29</v>
      </c>
      <c r="C17" s="189">
        <v>33.119999999999997</v>
      </c>
      <c r="D17" s="189">
        <v>45.35</v>
      </c>
      <c r="E17" s="189">
        <v>4.09</v>
      </c>
      <c r="F17" s="189">
        <v>2.5</v>
      </c>
      <c r="G17" s="189">
        <v>129.71</v>
      </c>
      <c r="H17" s="189">
        <v>63.44</v>
      </c>
      <c r="I17" s="189">
        <v>10.54</v>
      </c>
      <c r="J17" s="189">
        <v>0.1</v>
      </c>
      <c r="K17" s="189">
        <v>135.24</v>
      </c>
      <c r="L17" s="189">
        <v>16.239999999999998</v>
      </c>
      <c r="M17" s="189">
        <v>89.14</v>
      </c>
      <c r="N17" s="189">
        <v>0</v>
      </c>
      <c r="O17" s="189">
        <v>0</v>
      </c>
      <c r="P17" s="189">
        <v>1.06</v>
      </c>
      <c r="Q17" s="189">
        <v>5.27</v>
      </c>
    </row>
    <row r="18" spans="1:17">
      <c r="A18" s="6" t="s">
        <v>2168</v>
      </c>
      <c r="B18" s="189">
        <v>36.6</v>
      </c>
      <c r="C18" s="189">
        <v>33.31</v>
      </c>
      <c r="D18" s="189">
        <v>48.1</v>
      </c>
      <c r="E18" s="189">
        <v>4.9000000000000004</v>
      </c>
      <c r="F18" s="189">
        <v>2.46</v>
      </c>
      <c r="G18" s="189">
        <v>129.71</v>
      </c>
      <c r="H18" s="189">
        <v>63.44</v>
      </c>
      <c r="I18" s="189">
        <v>10.48</v>
      </c>
      <c r="J18" s="189">
        <v>0.08</v>
      </c>
      <c r="K18" s="189">
        <v>92.03</v>
      </c>
      <c r="L18" s="189">
        <v>16.48</v>
      </c>
      <c r="M18" s="189">
        <v>87.54</v>
      </c>
      <c r="N18" s="189">
        <v>0</v>
      </c>
      <c r="O18" s="189">
        <v>0</v>
      </c>
      <c r="P18" s="189">
        <v>1.07</v>
      </c>
      <c r="Q18" s="189">
        <v>5.32</v>
      </c>
    </row>
    <row r="19" spans="1:17">
      <c r="A19" s="6" t="s">
        <v>2169</v>
      </c>
      <c r="B19" s="189">
        <v>39.33</v>
      </c>
      <c r="C19" s="189">
        <v>33.770000000000003</v>
      </c>
      <c r="D19" s="189">
        <v>50.54</v>
      </c>
      <c r="E19" s="189">
        <v>5.04</v>
      </c>
      <c r="F19" s="189">
        <v>2.5099999999999998</v>
      </c>
      <c r="G19" s="189">
        <v>117.47</v>
      </c>
      <c r="H19" s="189">
        <v>62.49</v>
      </c>
      <c r="I19" s="189">
        <v>10.48</v>
      </c>
      <c r="J19" s="189">
        <v>0.18</v>
      </c>
      <c r="K19" s="189">
        <v>61.04</v>
      </c>
      <c r="L19" s="189">
        <v>16.27</v>
      </c>
      <c r="M19" s="189">
        <v>90.06</v>
      </c>
      <c r="N19" s="189">
        <v>0</v>
      </c>
      <c r="O19" s="189">
        <v>0</v>
      </c>
      <c r="P19" s="189">
        <v>1.08</v>
      </c>
      <c r="Q19" s="189">
        <v>5.36</v>
      </c>
    </row>
    <row r="20" spans="1:17">
      <c r="A20" s="6" t="s">
        <v>2170</v>
      </c>
      <c r="B20" s="189">
        <v>40.78</v>
      </c>
      <c r="C20" s="189">
        <v>33.71</v>
      </c>
      <c r="D20" s="189">
        <v>51.66</v>
      </c>
      <c r="E20" s="189">
        <v>5.18</v>
      </c>
      <c r="F20" s="189">
        <v>2.5099999999999998</v>
      </c>
      <c r="G20" s="189">
        <v>115.77</v>
      </c>
      <c r="H20" s="189">
        <v>62.49</v>
      </c>
      <c r="I20" s="189">
        <v>10.56</v>
      </c>
      <c r="J20" s="189">
        <v>0.11</v>
      </c>
      <c r="K20" s="189">
        <v>75.25</v>
      </c>
      <c r="L20" s="189">
        <v>16.079999999999998</v>
      </c>
      <c r="M20" s="189">
        <v>91.16</v>
      </c>
      <c r="N20" s="189">
        <v>0</v>
      </c>
      <c r="O20" s="189">
        <v>0</v>
      </c>
      <c r="P20" s="189">
        <v>1.1000000000000001</v>
      </c>
      <c r="Q20" s="189">
        <v>5.36</v>
      </c>
    </row>
    <row r="21" spans="1:17">
      <c r="A21" s="6" t="s">
        <v>2171</v>
      </c>
      <c r="B21" s="189">
        <v>40.71</v>
      </c>
      <c r="C21" s="189">
        <v>33.72</v>
      </c>
      <c r="D21" s="189">
        <v>51.62</v>
      </c>
      <c r="E21" s="189">
        <v>4.8099999999999996</v>
      </c>
      <c r="F21" s="189">
        <v>2.52</v>
      </c>
      <c r="G21" s="189">
        <v>115.77</v>
      </c>
      <c r="H21" s="189">
        <v>62.49</v>
      </c>
      <c r="I21" s="189">
        <v>10.79</v>
      </c>
      <c r="J21" s="189">
        <v>0.11</v>
      </c>
      <c r="K21" s="189">
        <v>174.74</v>
      </c>
      <c r="L21" s="189">
        <v>16.170000000000002</v>
      </c>
      <c r="M21" s="189">
        <v>90.52</v>
      </c>
      <c r="N21" s="189">
        <v>0</v>
      </c>
      <c r="O21" s="189">
        <v>0</v>
      </c>
      <c r="P21" s="189">
        <v>1.1200000000000001</v>
      </c>
      <c r="Q21" s="189">
        <v>5.36</v>
      </c>
    </row>
    <row r="22" spans="1:17">
      <c r="A22" s="6" t="s">
        <v>2172</v>
      </c>
      <c r="B22" s="189">
        <v>40.06</v>
      </c>
      <c r="C22" s="189">
        <v>33.86</v>
      </c>
      <c r="D22" s="189">
        <v>51.17</v>
      </c>
      <c r="E22" s="189">
        <v>4.82</v>
      </c>
      <c r="F22" s="189">
        <v>2.48</v>
      </c>
      <c r="G22" s="189">
        <v>115.77</v>
      </c>
      <c r="H22" s="189">
        <v>62.49</v>
      </c>
      <c r="I22" s="189">
        <v>11.11</v>
      </c>
      <c r="J22" s="189">
        <v>0.14000000000000001</v>
      </c>
      <c r="K22" s="189">
        <v>186.85</v>
      </c>
      <c r="L22" s="189">
        <v>15.96</v>
      </c>
      <c r="M22" s="189">
        <v>92.75</v>
      </c>
      <c r="N22" s="189">
        <v>0</v>
      </c>
      <c r="O22" s="189">
        <v>0</v>
      </c>
      <c r="P22" s="189">
        <v>1.1200000000000001</v>
      </c>
      <c r="Q22" s="189">
        <v>5.36</v>
      </c>
    </row>
    <row r="23" spans="1:17">
      <c r="A23" s="6" t="s">
        <v>2173</v>
      </c>
      <c r="B23" s="189">
        <v>39.54</v>
      </c>
      <c r="C23" s="189">
        <v>33.5</v>
      </c>
      <c r="D23" s="189">
        <v>50.56</v>
      </c>
      <c r="E23" s="189">
        <v>4.7699999999999996</v>
      </c>
      <c r="F23" s="189">
        <v>2.61</v>
      </c>
      <c r="G23" s="189">
        <v>129.53</v>
      </c>
      <c r="H23" s="189">
        <v>64.69</v>
      </c>
      <c r="I23" s="189">
        <v>11.39</v>
      </c>
      <c r="J23" s="189">
        <v>0.11</v>
      </c>
      <c r="K23" s="189">
        <v>145.62</v>
      </c>
      <c r="L23" s="189">
        <v>15.57</v>
      </c>
      <c r="M23" s="189">
        <v>95.71</v>
      </c>
      <c r="N23" s="189">
        <v>0</v>
      </c>
      <c r="O23" s="189">
        <v>0</v>
      </c>
      <c r="P23" s="189">
        <v>1.1299999999999999</v>
      </c>
      <c r="Q23" s="189">
        <v>5.33</v>
      </c>
    </row>
    <row r="24" spans="1:17">
      <c r="A24" s="6" t="s">
        <v>2174</v>
      </c>
      <c r="B24" s="189">
        <v>39.39</v>
      </c>
      <c r="C24" s="189">
        <v>33.1</v>
      </c>
      <c r="D24" s="189">
        <v>50.24</v>
      </c>
      <c r="E24" s="189">
        <v>4.8600000000000003</v>
      </c>
      <c r="F24" s="189">
        <v>2.54</v>
      </c>
      <c r="G24" s="189">
        <v>131.44999999999999</v>
      </c>
      <c r="H24" s="189">
        <v>64.69</v>
      </c>
      <c r="I24" s="189">
        <v>11.59</v>
      </c>
      <c r="J24" s="189">
        <v>0.15</v>
      </c>
      <c r="K24" s="189">
        <v>218.7</v>
      </c>
      <c r="L24" s="189">
        <v>15.62</v>
      </c>
      <c r="M24" s="189">
        <v>94.35</v>
      </c>
      <c r="N24" s="189">
        <v>0</v>
      </c>
      <c r="O24" s="189">
        <v>0</v>
      </c>
      <c r="P24" s="189">
        <v>1.1299999999999999</v>
      </c>
      <c r="Q24" s="189">
        <v>5.35</v>
      </c>
    </row>
    <row r="25" spans="1:17">
      <c r="A25" s="6" t="s">
        <v>2175</v>
      </c>
      <c r="B25" s="189">
        <v>38.96</v>
      </c>
      <c r="C25" s="189">
        <v>32.590000000000003</v>
      </c>
      <c r="D25" s="189">
        <v>49.62</v>
      </c>
      <c r="E25" s="189">
        <v>5.13</v>
      </c>
      <c r="F25" s="189">
        <v>2.5499999999999998</v>
      </c>
      <c r="G25" s="189">
        <v>131.44999999999999</v>
      </c>
      <c r="H25" s="189">
        <v>64.69</v>
      </c>
      <c r="I25" s="189">
        <v>11.7</v>
      </c>
      <c r="J25" s="189">
        <v>0.08</v>
      </c>
      <c r="K25" s="189">
        <v>173.61</v>
      </c>
      <c r="L25" s="189">
        <v>15.32</v>
      </c>
      <c r="M25" s="189">
        <v>94.12</v>
      </c>
      <c r="N25" s="189">
        <v>0</v>
      </c>
      <c r="O25" s="189">
        <v>0</v>
      </c>
      <c r="P25" s="189">
        <v>1.1299999999999999</v>
      </c>
      <c r="Q25" s="189">
        <v>5.35</v>
      </c>
    </row>
    <row r="26" spans="1:17">
      <c r="A26" s="6" t="s">
        <v>2176</v>
      </c>
      <c r="B26" s="189">
        <v>38.04</v>
      </c>
      <c r="C26" s="189">
        <v>32</v>
      </c>
      <c r="D26" s="189">
        <v>48.57</v>
      </c>
      <c r="E26" s="189">
        <v>4.9400000000000004</v>
      </c>
      <c r="F26" s="189">
        <v>2.58</v>
      </c>
      <c r="G26" s="189">
        <v>131.44999999999999</v>
      </c>
      <c r="H26" s="189">
        <v>64.69</v>
      </c>
      <c r="I26" s="189">
        <v>11.78</v>
      </c>
      <c r="J26" s="189">
        <v>0.11</v>
      </c>
      <c r="K26" s="189">
        <v>143.94999999999999</v>
      </c>
      <c r="L26" s="189">
        <v>15.14</v>
      </c>
      <c r="M26" s="189">
        <v>94.53</v>
      </c>
      <c r="N26" s="189">
        <v>0</v>
      </c>
      <c r="O26" s="189">
        <v>0</v>
      </c>
      <c r="P26" s="189">
        <v>1.1200000000000001</v>
      </c>
      <c r="Q26" s="189">
        <v>5.31</v>
      </c>
    </row>
    <row r="27" spans="1:17">
      <c r="A27" s="6" t="s">
        <v>2177</v>
      </c>
      <c r="B27" s="189">
        <v>36.99</v>
      </c>
      <c r="C27" s="189">
        <v>31.63</v>
      </c>
      <c r="D27" s="189">
        <v>47.54</v>
      </c>
      <c r="E27" s="189">
        <v>4.8099999999999996</v>
      </c>
      <c r="F27" s="189">
        <v>2.56</v>
      </c>
      <c r="G27" s="189">
        <v>119.7</v>
      </c>
      <c r="H27" s="189">
        <v>64.78</v>
      </c>
      <c r="I27" s="189">
        <v>11.8</v>
      </c>
      <c r="J27" s="189">
        <v>0.05</v>
      </c>
      <c r="K27" s="189">
        <v>121.15</v>
      </c>
      <c r="L27" s="189">
        <v>15.08</v>
      </c>
      <c r="M27" s="189">
        <v>94.86</v>
      </c>
      <c r="N27" s="189">
        <v>0</v>
      </c>
      <c r="O27" s="189">
        <v>0</v>
      </c>
      <c r="P27" s="189">
        <v>1.1100000000000001</v>
      </c>
      <c r="Q27" s="189">
        <v>5.3</v>
      </c>
    </row>
    <row r="28" spans="1:17">
      <c r="A28" s="6" t="s">
        <v>2178</v>
      </c>
      <c r="B28" s="189">
        <v>37.229999999999997</v>
      </c>
      <c r="C28" s="189">
        <v>31.5</v>
      </c>
      <c r="D28" s="189">
        <v>47.67</v>
      </c>
      <c r="E28" s="189">
        <v>4.7699999999999996</v>
      </c>
      <c r="F28" s="189">
        <v>2.48</v>
      </c>
      <c r="G28" s="189">
        <v>117.9</v>
      </c>
      <c r="H28" s="189">
        <v>64.78</v>
      </c>
      <c r="I28" s="189">
        <v>11.79</v>
      </c>
      <c r="J28" s="189">
        <v>0.1</v>
      </c>
      <c r="K28" s="189">
        <v>203.06</v>
      </c>
      <c r="L28" s="189">
        <v>15.09</v>
      </c>
      <c r="M28" s="189">
        <v>94.72</v>
      </c>
      <c r="N28" s="189">
        <v>0</v>
      </c>
      <c r="O28" s="189">
        <v>0</v>
      </c>
      <c r="P28" s="189">
        <v>1.1100000000000001</v>
      </c>
      <c r="Q28" s="189">
        <v>5.29</v>
      </c>
    </row>
    <row r="29" spans="1:17">
      <c r="A29" s="6" t="s">
        <v>2179</v>
      </c>
      <c r="B29" s="189">
        <v>39.42</v>
      </c>
      <c r="C29" s="189">
        <v>31.98</v>
      </c>
      <c r="D29" s="189">
        <v>49.67</v>
      </c>
      <c r="E29" s="189">
        <v>4.7699999999999996</v>
      </c>
      <c r="F29" s="189">
        <v>2.4700000000000002</v>
      </c>
      <c r="G29" s="189">
        <v>117.9</v>
      </c>
      <c r="H29" s="189">
        <v>64.78</v>
      </c>
      <c r="I29" s="189">
        <v>11.75</v>
      </c>
      <c r="J29" s="189">
        <v>0.14000000000000001</v>
      </c>
      <c r="K29" s="189">
        <v>249.62</v>
      </c>
      <c r="L29" s="189">
        <v>14.87</v>
      </c>
      <c r="M29" s="189">
        <v>95.18</v>
      </c>
      <c r="N29" s="189">
        <v>0</v>
      </c>
      <c r="O29" s="189">
        <v>0</v>
      </c>
      <c r="P29" s="189">
        <v>1.1000000000000001</v>
      </c>
      <c r="Q29" s="189">
        <v>5.31</v>
      </c>
    </row>
    <row r="30" spans="1:17">
      <c r="A30" s="6" t="s">
        <v>2180</v>
      </c>
      <c r="B30" s="189">
        <v>40.72</v>
      </c>
      <c r="C30" s="189">
        <v>29.64</v>
      </c>
      <c r="D30" s="189">
        <v>49.49</v>
      </c>
      <c r="E30" s="189">
        <v>4.57</v>
      </c>
      <c r="F30" s="189">
        <v>2.71</v>
      </c>
      <c r="G30" s="189">
        <v>117.9</v>
      </c>
      <c r="H30" s="189">
        <v>64.78</v>
      </c>
      <c r="I30" s="189">
        <v>11.75</v>
      </c>
      <c r="J30" s="189">
        <v>0.06</v>
      </c>
      <c r="K30" s="189">
        <v>215.33</v>
      </c>
      <c r="L30" s="189">
        <v>14.7</v>
      </c>
      <c r="M30" s="189">
        <v>95.36</v>
      </c>
      <c r="N30" s="189">
        <v>0</v>
      </c>
      <c r="O30" s="189">
        <v>0</v>
      </c>
      <c r="P30" s="189">
        <v>1.0900000000000001</v>
      </c>
      <c r="Q30" s="189">
        <v>5.32</v>
      </c>
    </row>
    <row r="31" spans="1:17">
      <c r="A31" s="6" t="s">
        <v>2181</v>
      </c>
      <c r="B31" s="189">
        <v>43.06</v>
      </c>
      <c r="C31" s="189">
        <v>28.61</v>
      </c>
      <c r="D31" s="189">
        <v>50.83</v>
      </c>
      <c r="E31" s="189">
        <v>4.5</v>
      </c>
      <c r="F31" s="189">
        <v>2.78</v>
      </c>
      <c r="G31" s="189">
        <v>113.48</v>
      </c>
      <c r="H31" s="189">
        <v>63.16</v>
      </c>
      <c r="I31" s="189">
        <v>11.73</v>
      </c>
      <c r="J31" s="189">
        <v>0.1</v>
      </c>
      <c r="K31" s="189">
        <v>191.32</v>
      </c>
      <c r="L31" s="189">
        <v>14.72</v>
      </c>
      <c r="M31" s="189">
        <v>95.47</v>
      </c>
      <c r="N31" s="189">
        <v>0</v>
      </c>
      <c r="O31" s="189">
        <v>0</v>
      </c>
      <c r="P31" s="189">
        <v>1.07</v>
      </c>
      <c r="Q31" s="189">
        <v>5.35</v>
      </c>
    </row>
    <row r="32" spans="1:17">
      <c r="A32" s="6" t="s">
        <v>2182</v>
      </c>
      <c r="B32" s="189">
        <v>45.39</v>
      </c>
      <c r="C32" s="189">
        <v>28.85</v>
      </c>
      <c r="D32" s="189">
        <v>52.83</v>
      </c>
      <c r="E32" s="189">
        <v>4.6900000000000004</v>
      </c>
      <c r="F32" s="189">
        <v>2.5299999999999998</v>
      </c>
      <c r="G32" s="189">
        <v>112.86</v>
      </c>
      <c r="H32" s="189">
        <v>63.16</v>
      </c>
      <c r="I32" s="189">
        <v>11.65</v>
      </c>
      <c r="J32" s="189">
        <v>0.09</v>
      </c>
      <c r="K32" s="189">
        <v>218.24</v>
      </c>
      <c r="L32" s="189">
        <v>14.73</v>
      </c>
      <c r="M32" s="189">
        <v>96.09</v>
      </c>
      <c r="N32" s="189">
        <v>0</v>
      </c>
      <c r="O32" s="189">
        <v>0</v>
      </c>
      <c r="P32" s="189">
        <v>1.07</v>
      </c>
      <c r="Q32" s="189">
        <v>5.4</v>
      </c>
    </row>
    <row r="33" spans="1:17">
      <c r="A33" s="6" t="s">
        <v>2183</v>
      </c>
      <c r="B33" s="189">
        <v>46.29</v>
      </c>
      <c r="C33" s="189">
        <v>27.97</v>
      </c>
      <c r="D33" s="189">
        <v>53.09</v>
      </c>
      <c r="E33" s="189">
        <v>4.74</v>
      </c>
      <c r="F33" s="189">
        <v>2.58</v>
      </c>
      <c r="G33" s="189">
        <v>112.86</v>
      </c>
      <c r="H33" s="189">
        <v>63.16</v>
      </c>
      <c r="I33" s="189">
        <v>11.63</v>
      </c>
      <c r="J33" s="189">
        <v>0.12</v>
      </c>
      <c r="K33" s="189">
        <v>158.51</v>
      </c>
      <c r="L33" s="189">
        <v>14.71</v>
      </c>
      <c r="M33" s="189">
        <v>96.49</v>
      </c>
      <c r="N33" s="189">
        <v>0</v>
      </c>
      <c r="O33" s="189">
        <v>0</v>
      </c>
      <c r="P33" s="189">
        <v>1.05</v>
      </c>
      <c r="Q33" s="189">
        <v>5.43</v>
      </c>
    </row>
    <row r="34" spans="1:17">
      <c r="A34" s="6" t="s">
        <v>2184</v>
      </c>
      <c r="B34" s="189">
        <v>47.18</v>
      </c>
      <c r="C34" s="189">
        <v>28.27</v>
      </c>
      <c r="D34" s="189">
        <v>53.96</v>
      </c>
      <c r="E34" s="189">
        <v>4.67</v>
      </c>
      <c r="F34" s="189">
        <v>2.63</v>
      </c>
      <c r="G34" s="189">
        <v>112.86</v>
      </c>
      <c r="H34" s="189">
        <v>63.16</v>
      </c>
      <c r="I34" s="189">
        <v>11.6</v>
      </c>
      <c r="J34" s="189">
        <v>0.15</v>
      </c>
      <c r="K34" s="189">
        <v>157.07</v>
      </c>
      <c r="L34" s="189">
        <v>14.7</v>
      </c>
      <c r="M34" s="189">
        <v>96.55</v>
      </c>
      <c r="N34" s="189">
        <v>0</v>
      </c>
      <c r="O34" s="189">
        <v>0</v>
      </c>
      <c r="P34" s="189">
        <v>1.05</v>
      </c>
      <c r="Q34" s="189">
        <v>5.43</v>
      </c>
    </row>
    <row r="35" spans="1:17">
      <c r="A35" s="6" t="s">
        <v>2185</v>
      </c>
      <c r="B35" s="189">
        <v>49.27</v>
      </c>
      <c r="C35" s="189">
        <v>27.32</v>
      </c>
      <c r="D35" s="189">
        <v>55.14</v>
      </c>
      <c r="E35" s="189">
        <v>4.5199999999999996</v>
      </c>
      <c r="F35" s="189">
        <v>2.64</v>
      </c>
      <c r="G35" s="189">
        <v>105.6</v>
      </c>
      <c r="H35" s="189">
        <v>60.41</v>
      </c>
      <c r="I35" s="189">
        <v>11.56</v>
      </c>
      <c r="J35" s="189">
        <v>0.12</v>
      </c>
      <c r="K35" s="189">
        <v>117.81</v>
      </c>
      <c r="L35" s="189">
        <v>14.61</v>
      </c>
      <c r="M35" s="189">
        <v>96.53</v>
      </c>
      <c r="N35" s="189">
        <v>0</v>
      </c>
      <c r="O35" s="189">
        <v>0</v>
      </c>
      <c r="P35" s="189">
        <v>1.05</v>
      </c>
      <c r="Q35" s="189">
        <v>5.46</v>
      </c>
    </row>
    <row r="36" spans="1:17">
      <c r="A36" s="6" t="s">
        <v>2186</v>
      </c>
      <c r="B36" s="189">
        <v>52.41</v>
      </c>
      <c r="C36" s="189">
        <v>28.35</v>
      </c>
      <c r="D36" s="189">
        <v>58.19</v>
      </c>
      <c r="E36" s="189">
        <v>4.74</v>
      </c>
      <c r="F36" s="189">
        <v>2.4</v>
      </c>
      <c r="G36" s="189">
        <v>104.59</v>
      </c>
      <c r="H36" s="189">
        <v>60.41</v>
      </c>
      <c r="I36" s="189">
        <v>11.58</v>
      </c>
      <c r="J36" s="189">
        <v>0.08</v>
      </c>
      <c r="K36" s="189">
        <v>139.63</v>
      </c>
      <c r="L36" s="189">
        <v>14.81</v>
      </c>
      <c r="M36" s="189">
        <v>96.66</v>
      </c>
      <c r="N36" s="189">
        <v>4.5</v>
      </c>
      <c r="O36" s="189">
        <v>0</v>
      </c>
      <c r="P36" s="189">
        <v>1.06</v>
      </c>
      <c r="Q36" s="189">
        <v>5.49</v>
      </c>
    </row>
    <row r="37" spans="1:17">
      <c r="A37" s="6" t="s">
        <v>2187</v>
      </c>
      <c r="B37" s="189">
        <v>55.41</v>
      </c>
      <c r="C37" s="189">
        <v>28.4</v>
      </c>
      <c r="D37" s="189">
        <v>60.63</v>
      </c>
      <c r="E37" s="189">
        <v>4.9000000000000004</v>
      </c>
      <c r="F37" s="189">
        <v>2.2999999999999998</v>
      </c>
      <c r="G37" s="189">
        <v>104.59</v>
      </c>
      <c r="H37" s="189">
        <v>60.41</v>
      </c>
      <c r="I37" s="189">
        <v>11.65</v>
      </c>
      <c r="J37" s="189">
        <v>7.0000000000000007E-2</v>
      </c>
      <c r="K37" s="189">
        <v>175.87</v>
      </c>
      <c r="L37" s="189">
        <v>15.07</v>
      </c>
      <c r="M37" s="189">
        <v>96.41</v>
      </c>
      <c r="N37" s="189">
        <v>11.7</v>
      </c>
      <c r="O37" s="189">
        <v>0</v>
      </c>
      <c r="P37" s="189">
        <v>1.07</v>
      </c>
      <c r="Q37" s="189">
        <v>5.52</v>
      </c>
    </row>
    <row r="38" spans="1:17">
      <c r="A38" s="6" t="s">
        <v>2188</v>
      </c>
      <c r="B38" s="189">
        <v>57.33</v>
      </c>
      <c r="C38" s="189">
        <v>28.49</v>
      </c>
      <c r="D38" s="189">
        <v>62.21</v>
      </c>
      <c r="E38" s="189">
        <v>5.15</v>
      </c>
      <c r="F38" s="189">
        <v>2.56</v>
      </c>
      <c r="G38" s="189">
        <v>104.59</v>
      </c>
      <c r="H38" s="189">
        <v>60.41</v>
      </c>
      <c r="I38" s="189">
        <v>11.78</v>
      </c>
      <c r="J38" s="189">
        <v>0.13</v>
      </c>
      <c r="K38" s="189">
        <v>170.94</v>
      </c>
      <c r="L38" s="189">
        <v>15.43</v>
      </c>
      <c r="M38" s="189">
        <v>96.19</v>
      </c>
      <c r="N38" s="189">
        <v>24.3</v>
      </c>
      <c r="O38" s="189">
        <v>0</v>
      </c>
      <c r="P38" s="189">
        <v>1.0900000000000001</v>
      </c>
      <c r="Q38" s="189">
        <v>5.54</v>
      </c>
    </row>
    <row r="39" spans="1:17">
      <c r="A39" s="6" t="s">
        <v>2189</v>
      </c>
      <c r="B39" s="189">
        <v>57.62</v>
      </c>
      <c r="C39" s="189">
        <v>29.93</v>
      </c>
      <c r="D39" s="189">
        <v>63.2</v>
      </c>
      <c r="E39" s="189">
        <v>5.2</v>
      </c>
      <c r="F39" s="189">
        <v>2.4</v>
      </c>
      <c r="G39" s="189">
        <v>122.63</v>
      </c>
      <c r="H39" s="189">
        <v>62.71</v>
      </c>
      <c r="I39" s="189">
        <v>11.97</v>
      </c>
      <c r="J39" s="189">
        <v>0.14000000000000001</v>
      </c>
      <c r="K39" s="189">
        <v>145.83000000000001</v>
      </c>
      <c r="L39" s="189">
        <v>15.75</v>
      </c>
      <c r="M39" s="189">
        <v>95.94</v>
      </c>
      <c r="N39" s="189">
        <v>37.5</v>
      </c>
      <c r="O39" s="189">
        <v>0</v>
      </c>
      <c r="P39" s="189">
        <v>1.1000000000000001</v>
      </c>
      <c r="Q39" s="189">
        <v>5.58</v>
      </c>
    </row>
    <row r="40" spans="1:17">
      <c r="A40" s="6" t="s">
        <v>2190</v>
      </c>
      <c r="B40" s="189">
        <v>57.47</v>
      </c>
      <c r="C40" s="189">
        <v>30.12</v>
      </c>
      <c r="D40" s="189">
        <v>63.18</v>
      </c>
      <c r="E40" s="189">
        <v>5.15</v>
      </c>
      <c r="F40" s="189">
        <v>2.59</v>
      </c>
      <c r="G40" s="189">
        <v>125.35</v>
      </c>
      <c r="H40" s="189">
        <v>62.71</v>
      </c>
      <c r="I40" s="189">
        <v>12.13</v>
      </c>
      <c r="J40" s="189">
        <v>0.27</v>
      </c>
      <c r="K40" s="189">
        <v>161.62</v>
      </c>
      <c r="L40" s="189">
        <v>16.32</v>
      </c>
      <c r="M40" s="189">
        <v>92.42</v>
      </c>
      <c r="N40" s="189">
        <v>48.5</v>
      </c>
      <c r="O40" s="189">
        <v>0</v>
      </c>
      <c r="P40" s="189">
        <v>1.0900000000000001</v>
      </c>
      <c r="Q40" s="189">
        <v>5.57</v>
      </c>
    </row>
    <row r="41" spans="1:17">
      <c r="A41" s="6" t="s">
        <v>2191</v>
      </c>
      <c r="B41" s="189">
        <v>55.91</v>
      </c>
      <c r="C41" s="189">
        <v>30.83</v>
      </c>
      <c r="D41" s="189">
        <v>62.29</v>
      </c>
      <c r="E41" s="189">
        <v>4.78</v>
      </c>
      <c r="F41" s="189">
        <v>2.56</v>
      </c>
      <c r="G41" s="189">
        <v>125.35</v>
      </c>
      <c r="H41" s="189">
        <v>62.71</v>
      </c>
      <c r="I41" s="189">
        <v>12.25</v>
      </c>
      <c r="J41" s="189">
        <v>0.2</v>
      </c>
      <c r="K41" s="189">
        <v>155.55000000000001</v>
      </c>
      <c r="L41" s="189">
        <v>17.09</v>
      </c>
      <c r="M41" s="189">
        <v>86.86</v>
      </c>
      <c r="N41" s="189">
        <v>95.8</v>
      </c>
      <c r="O41" s="189">
        <v>0</v>
      </c>
      <c r="P41" s="189">
        <v>1.1000000000000001</v>
      </c>
      <c r="Q41" s="189">
        <v>5.55</v>
      </c>
    </row>
    <row r="42" spans="1:17">
      <c r="A42" s="6" t="s">
        <v>2192</v>
      </c>
      <c r="B42" s="189">
        <v>53.32</v>
      </c>
      <c r="C42" s="189">
        <v>30.41</v>
      </c>
      <c r="D42" s="189">
        <v>60</v>
      </c>
      <c r="E42" s="189">
        <v>5.35</v>
      </c>
      <c r="F42" s="189">
        <v>2.44</v>
      </c>
      <c r="G42" s="189">
        <v>125.35</v>
      </c>
      <c r="H42" s="189">
        <v>62.71</v>
      </c>
      <c r="I42" s="189">
        <v>12.34</v>
      </c>
      <c r="J42" s="189">
        <v>0.23</v>
      </c>
      <c r="K42" s="189">
        <v>162.27000000000001</v>
      </c>
      <c r="L42" s="189">
        <v>18.16</v>
      </c>
      <c r="M42" s="189">
        <v>82.18</v>
      </c>
      <c r="N42" s="189">
        <v>126</v>
      </c>
      <c r="O42" s="189">
        <v>0</v>
      </c>
      <c r="P42" s="189">
        <v>1.0900000000000001</v>
      </c>
      <c r="Q42" s="189">
        <v>5.54</v>
      </c>
    </row>
    <row r="43" spans="1:17">
      <c r="A43" s="6" t="s">
        <v>2193</v>
      </c>
      <c r="B43" s="189">
        <v>50.87</v>
      </c>
      <c r="C43" s="189">
        <v>29.83</v>
      </c>
      <c r="D43" s="189">
        <v>57.73</v>
      </c>
      <c r="E43" s="189">
        <v>4.49</v>
      </c>
      <c r="F43" s="189">
        <v>2.63</v>
      </c>
      <c r="G43" s="189">
        <v>118.04</v>
      </c>
      <c r="H43" s="189">
        <v>65.5</v>
      </c>
      <c r="I43" s="189">
        <v>12.37</v>
      </c>
      <c r="J43" s="189">
        <v>0.32</v>
      </c>
      <c r="K43" s="189">
        <v>131.4</v>
      </c>
      <c r="L43" s="189">
        <v>19.13</v>
      </c>
      <c r="M43" s="189">
        <v>78.48</v>
      </c>
      <c r="N43" s="189">
        <v>152.4</v>
      </c>
      <c r="O43" s="189">
        <v>0</v>
      </c>
      <c r="P43" s="189">
        <v>1.0900000000000001</v>
      </c>
      <c r="Q43" s="189">
        <v>5.51</v>
      </c>
    </row>
    <row r="44" spans="1:17">
      <c r="A44" s="6" t="s">
        <v>2194</v>
      </c>
      <c r="B44" s="189">
        <v>47.94</v>
      </c>
      <c r="C44" s="189">
        <v>30.57</v>
      </c>
      <c r="D44" s="189">
        <v>55.76</v>
      </c>
      <c r="E44" s="189">
        <v>4.58</v>
      </c>
      <c r="F44" s="189">
        <v>2.5</v>
      </c>
      <c r="G44" s="189">
        <v>117.02</v>
      </c>
      <c r="H44" s="189">
        <v>65.5</v>
      </c>
      <c r="I44" s="189">
        <v>12.31</v>
      </c>
      <c r="J44" s="189">
        <v>0.19</v>
      </c>
      <c r="K44" s="189">
        <v>163.19</v>
      </c>
      <c r="L44" s="189">
        <v>20.02</v>
      </c>
      <c r="M44" s="189">
        <v>75.78</v>
      </c>
      <c r="N44" s="189">
        <v>166.7</v>
      </c>
      <c r="O44" s="189">
        <v>0</v>
      </c>
      <c r="P44" s="189">
        <v>1.0900000000000001</v>
      </c>
      <c r="Q44" s="189">
        <v>5.47</v>
      </c>
    </row>
    <row r="45" spans="1:17">
      <c r="A45" s="6" t="s">
        <v>2195</v>
      </c>
      <c r="B45" s="189">
        <v>45.28</v>
      </c>
      <c r="C45" s="189">
        <v>28.33</v>
      </c>
      <c r="D45" s="189">
        <v>52.46</v>
      </c>
      <c r="E45" s="189">
        <v>4.79</v>
      </c>
      <c r="F45" s="189">
        <v>2.9</v>
      </c>
      <c r="G45" s="189">
        <v>117.02</v>
      </c>
      <c r="H45" s="189">
        <v>65.5</v>
      </c>
      <c r="I45" s="189">
        <v>12.53</v>
      </c>
      <c r="J45" s="189">
        <v>0.14000000000000001</v>
      </c>
      <c r="K45" s="189">
        <v>180.22</v>
      </c>
      <c r="L45" s="189">
        <v>20.79</v>
      </c>
      <c r="M45" s="189">
        <v>72.25</v>
      </c>
      <c r="N45" s="189">
        <v>129.19999999999999</v>
      </c>
      <c r="O45" s="189">
        <v>0</v>
      </c>
      <c r="P45" s="189">
        <v>1.06</v>
      </c>
      <c r="Q45" s="189">
        <v>5.43</v>
      </c>
    </row>
    <row r="46" spans="1:17">
      <c r="A46" s="6" t="s">
        <v>2196</v>
      </c>
      <c r="B46" s="189">
        <v>42.9</v>
      </c>
      <c r="C46" s="189">
        <v>29.53</v>
      </c>
      <c r="D46" s="189">
        <v>51.18</v>
      </c>
      <c r="E46" s="189">
        <v>4.66</v>
      </c>
      <c r="F46" s="189">
        <v>2.84</v>
      </c>
      <c r="G46" s="189">
        <v>117.02</v>
      </c>
      <c r="H46" s="189">
        <v>65.5</v>
      </c>
      <c r="I46" s="189">
        <v>12.89</v>
      </c>
      <c r="J46" s="189">
        <v>0.14000000000000001</v>
      </c>
      <c r="K46" s="189">
        <v>148.51</v>
      </c>
      <c r="L46" s="189">
        <v>21.56</v>
      </c>
      <c r="M46" s="189">
        <v>68.36</v>
      </c>
      <c r="N46" s="189">
        <v>125</v>
      </c>
      <c r="O46" s="189">
        <v>0</v>
      </c>
      <c r="P46" s="189">
        <v>1.06</v>
      </c>
      <c r="Q46" s="189">
        <v>5.39</v>
      </c>
    </row>
    <row r="47" spans="1:17">
      <c r="A47" s="6" t="s">
        <v>2197</v>
      </c>
      <c r="B47" s="189">
        <v>40.869999999999997</v>
      </c>
      <c r="C47" s="189">
        <v>27.73</v>
      </c>
      <c r="D47" s="189">
        <v>48.61</v>
      </c>
      <c r="E47" s="189">
        <v>5.2</v>
      </c>
      <c r="F47" s="189">
        <v>2.7</v>
      </c>
      <c r="G47" s="189">
        <v>105.68</v>
      </c>
      <c r="H47" s="189">
        <v>60.3</v>
      </c>
      <c r="I47" s="189">
        <v>12.9</v>
      </c>
      <c r="J47" s="189">
        <v>0.14000000000000001</v>
      </c>
      <c r="K47" s="189">
        <v>207.53</v>
      </c>
      <c r="L47" s="189">
        <v>22.37</v>
      </c>
      <c r="M47" s="189">
        <v>63.92</v>
      </c>
      <c r="N47" s="189">
        <v>139.1</v>
      </c>
      <c r="O47" s="189">
        <v>0</v>
      </c>
      <c r="P47" s="189">
        <v>1.04</v>
      </c>
      <c r="Q47" s="189">
        <v>5.37</v>
      </c>
    </row>
    <row r="48" spans="1:17">
      <c r="A48" s="6" t="s">
        <v>2198</v>
      </c>
      <c r="B48" s="189">
        <v>38.229999999999997</v>
      </c>
      <c r="C48" s="189">
        <v>26.94</v>
      </c>
      <c r="D48" s="189">
        <v>46.09</v>
      </c>
      <c r="E48" s="189">
        <v>4.68</v>
      </c>
      <c r="F48" s="189">
        <v>2.83</v>
      </c>
      <c r="G48" s="189">
        <v>103.94</v>
      </c>
      <c r="H48" s="189">
        <v>60.3</v>
      </c>
      <c r="I48" s="189">
        <v>12.71</v>
      </c>
      <c r="J48" s="189">
        <v>0.28999999999999998</v>
      </c>
      <c r="K48" s="189">
        <v>186.18</v>
      </c>
      <c r="L48" s="189">
        <v>22.99</v>
      </c>
      <c r="M48" s="189">
        <v>61.08</v>
      </c>
      <c r="N48" s="189">
        <v>178.1</v>
      </c>
      <c r="O48" s="189">
        <v>0</v>
      </c>
      <c r="P48" s="189">
        <v>1.02</v>
      </c>
      <c r="Q48" s="189">
        <v>5.33</v>
      </c>
    </row>
    <row r="49" spans="1:17">
      <c r="A49" s="6" t="s">
        <v>2199</v>
      </c>
      <c r="B49" s="189">
        <v>34.159999999999997</v>
      </c>
      <c r="C49" s="189">
        <v>28.08</v>
      </c>
      <c r="D49" s="189">
        <v>43.41</v>
      </c>
      <c r="E49" s="189">
        <v>5.48</v>
      </c>
      <c r="F49" s="189">
        <v>2.89</v>
      </c>
      <c r="G49" s="189">
        <v>103.94</v>
      </c>
      <c r="H49" s="189">
        <v>60.3</v>
      </c>
      <c r="I49" s="189">
        <v>12.49</v>
      </c>
      <c r="J49" s="189">
        <v>0.23</v>
      </c>
      <c r="K49" s="189">
        <v>105.98</v>
      </c>
      <c r="L49" s="189">
        <v>24.04</v>
      </c>
      <c r="M49" s="189">
        <v>57.79</v>
      </c>
      <c r="N49" s="189">
        <v>296</v>
      </c>
      <c r="O49" s="189">
        <v>0</v>
      </c>
      <c r="P49" s="189">
        <v>1.01</v>
      </c>
      <c r="Q49" s="189">
        <v>5.29</v>
      </c>
    </row>
    <row r="50" spans="1:17">
      <c r="A50" s="6" t="s">
        <v>2200</v>
      </c>
      <c r="B50" s="189">
        <v>29.84</v>
      </c>
      <c r="C50" s="189">
        <v>29.44</v>
      </c>
      <c r="D50" s="189">
        <v>40.67</v>
      </c>
      <c r="E50" s="189">
        <v>5.68</v>
      </c>
      <c r="F50" s="189">
        <v>2.97</v>
      </c>
      <c r="G50" s="189">
        <v>103.94</v>
      </c>
      <c r="H50" s="189">
        <v>60.3</v>
      </c>
      <c r="I50" s="189">
        <v>12.23</v>
      </c>
      <c r="J50" s="189">
        <v>0.33</v>
      </c>
      <c r="K50" s="189">
        <v>69.92</v>
      </c>
      <c r="L50" s="189">
        <v>24.37</v>
      </c>
      <c r="M50" s="189">
        <v>54.56</v>
      </c>
      <c r="N50" s="189">
        <v>328.9</v>
      </c>
      <c r="O50" s="189">
        <v>0</v>
      </c>
      <c r="P50" s="189">
        <v>1</v>
      </c>
      <c r="Q50" s="189">
        <v>5.28</v>
      </c>
    </row>
    <row r="51" spans="1:17">
      <c r="A51" s="6" t="s">
        <v>2201</v>
      </c>
      <c r="B51" s="189">
        <v>26.02</v>
      </c>
      <c r="C51" s="189">
        <v>30.97</v>
      </c>
      <c r="D51" s="189">
        <v>38.4</v>
      </c>
      <c r="E51" s="189">
        <v>5.96</v>
      </c>
      <c r="F51" s="189">
        <v>3</v>
      </c>
      <c r="G51" s="189">
        <v>93.2</v>
      </c>
      <c r="H51" s="189">
        <v>58.15</v>
      </c>
      <c r="I51" s="189">
        <v>11.92</v>
      </c>
      <c r="J51" s="189">
        <v>0.28999999999999998</v>
      </c>
      <c r="K51" s="189">
        <v>73.31</v>
      </c>
      <c r="L51" s="189">
        <v>24.78</v>
      </c>
      <c r="M51" s="189">
        <v>51.34</v>
      </c>
      <c r="N51" s="189">
        <v>353.3</v>
      </c>
      <c r="O51" s="189">
        <v>0</v>
      </c>
      <c r="P51" s="189">
        <v>0.98</v>
      </c>
      <c r="Q51" s="189">
        <v>5.22</v>
      </c>
    </row>
    <row r="52" spans="1:17">
      <c r="A52" s="6" t="s">
        <v>2202</v>
      </c>
      <c r="B52" s="189">
        <v>22.41</v>
      </c>
      <c r="C52" s="189">
        <v>32.01</v>
      </c>
      <c r="D52" s="189">
        <v>36.049999999999997</v>
      </c>
      <c r="E52" s="189">
        <v>6.34</v>
      </c>
      <c r="F52" s="189">
        <v>2.75</v>
      </c>
      <c r="G52" s="189">
        <v>91.71</v>
      </c>
      <c r="H52" s="189">
        <v>58.15</v>
      </c>
      <c r="I52" s="189">
        <v>11.57</v>
      </c>
      <c r="J52" s="189">
        <v>0.2</v>
      </c>
      <c r="K52" s="189">
        <v>42.49</v>
      </c>
      <c r="L52" s="189">
        <v>25.3</v>
      </c>
      <c r="M52" s="189">
        <v>49.97</v>
      </c>
      <c r="N52" s="189">
        <v>349.4</v>
      </c>
      <c r="O52" s="189">
        <v>0</v>
      </c>
      <c r="P52" s="189">
        <v>0.96</v>
      </c>
      <c r="Q52" s="189">
        <v>5.15</v>
      </c>
    </row>
    <row r="53" spans="1:17">
      <c r="A53" s="6" t="s">
        <v>2203</v>
      </c>
      <c r="B53" s="189">
        <v>19.350000000000001</v>
      </c>
      <c r="C53" s="189">
        <v>32.58</v>
      </c>
      <c r="D53" s="189">
        <v>33.89</v>
      </c>
      <c r="E53" s="189">
        <v>5.95</v>
      </c>
      <c r="F53" s="189">
        <v>3.05</v>
      </c>
      <c r="G53" s="189">
        <v>91.71</v>
      </c>
      <c r="H53" s="189">
        <v>58.15</v>
      </c>
      <c r="I53" s="189">
        <v>11.23</v>
      </c>
      <c r="J53" s="189">
        <v>0.3</v>
      </c>
      <c r="K53" s="189">
        <v>157.19999999999999</v>
      </c>
      <c r="L53" s="189">
        <v>25.83</v>
      </c>
      <c r="M53" s="189">
        <v>47.84</v>
      </c>
      <c r="N53" s="189">
        <v>362.3</v>
      </c>
      <c r="O53" s="189">
        <v>0</v>
      </c>
      <c r="P53" s="189">
        <v>0.95</v>
      </c>
      <c r="Q53" s="189">
        <v>5.12</v>
      </c>
    </row>
    <row r="54" spans="1:17">
      <c r="A54" s="6" t="s">
        <v>2204</v>
      </c>
      <c r="B54" s="189">
        <v>16.350000000000001</v>
      </c>
      <c r="C54" s="189">
        <v>32.9</v>
      </c>
      <c r="D54" s="189">
        <v>31.66</v>
      </c>
      <c r="E54" s="189">
        <v>5.45</v>
      </c>
      <c r="F54" s="189">
        <v>3.14</v>
      </c>
      <c r="G54" s="189">
        <v>91.71</v>
      </c>
      <c r="H54" s="189">
        <v>58.15</v>
      </c>
      <c r="I54" s="189">
        <v>10.94</v>
      </c>
      <c r="J54" s="189">
        <v>0.13</v>
      </c>
      <c r="K54" s="189">
        <v>116</v>
      </c>
      <c r="L54" s="189">
        <v>26.39</v>
      </c>
      <c r="M54" s="189">
        <v>45.91</v>
      </c>
      <c r="N54" s="189">
        <v>394</v>
      </c>
      <c r="O54" s="189">
        <v>0</v>
      </c>
      <c r="P54" s="189">
        <v>0.92</v>
      </c>
      <c r="Q54" s="189">
        <v>5.09</v>
      </c>
    </row>
    <row r="55" spans="1:17">
      <c r="A55" s="6" t="s">
        <v>2205</v>
      </c>
      <c r="B55" s="189">
        <v>14.01</v>
      </c>
      <c r="C55" s="189">
        <v>32.75</v>
      </c>
      <c r="D55" s="189">
        <v>29.7</v>
      </c>
      <c r="E55" s="189">
        <v>5.74</v>
      </c>
      <c r="F55" s="189">
        <v>3.39</v>
      </c>
      <c r="G55" s="189">
        <v>88.77</v>
      </c>
      <c r="H55" s="189">
        <v>53.12</v>
      </c>
      <c r="I55" s="189">
        <v>10.66</v>
      </c>
      <c r="J55" s="189">
        <v>0.43</v>
      </c>
      <c r="K55" s="189">
        <v>49.3</v>
      </c>
      <c r="L55" s="189">
        <v>26.38</v>
      </c>
      <c r="M55" s="189">
        <v>45.87</v>
      </c>
      <c r="N55" s="189">
        <v>400.2</v>
      </c>
      <c r="O55" s="189">
        <v>0</v>
      </c>
      <c r="P55" s="189">
        <v>0.9</v>
      </c>
      <c r="Q55" s="189">
        <v>5.05</v>
      </c>
    </row>
    <row r="56" spans="1:17">
      <c r="A56" s="6" t="s">
        <v>2206</v>
      </c>
      <c r="B56" s="189">
        <v>12.08</v>
      </c>
      <c r="C56" s="189">
        <v>32.880000000000003</v>
      </c>
      <c r="D56" s="189">
        <v>28.22</v>
      </c>
      <c r="E56" s="189">
        <v>5.64</v>
      </c>
      <c r="F56" s="189">
        <v>3.29</v>
      </c>
      <c r="G56" s="189">
        <v>88.36</v>
      </c>
      <c r="H56" s="189">
        <v>53.12</v>
      </c>
      <c r="I56" s="189">
        <v>10.35</v>
      </c>
      <c r="J56" s="189">
        <v>0.06</v>
      </c>
      <c r="K56" s="189">
        <v>293.19</v>
      </c>
      <c r="L56" s="189">
        <v>26.71</v>
      </c>
      <c r="M56" s="189">
        <v>46</v>
      </c>
      <c r="N56" s="189">
        <v>395.9</v>
      </c>
      <c r="O56" s="189">
        <v>0</v>
      </c>
      <c r="P56" s="189">
        <v>0.89</v>
      </c>
      <c r="Q56" s="189">
        <v>5.03</v>
      </c>
    </row>
    <row r="57" spans="1:17">
      <c r="A57" s="6" t="s">
        <v>2207</v>
      </c>
      <c r="B57" s="189">
        <v>10.29</v>
      </c>
      <c r="C57" s="189">
        <v>32.71</v>
      </c>
      <c r="D57" s="189">
        <v>26.7</v>
      </c>
      <c r="E57" s="189">
        <v>5.53</v>
      </c>
      <c r="F57" s="189">
        <v>3.43</v>
      </c>
      <c r="G57" s="189">
        <v>88.36</v>
      </c>
      <c r="H57" s="189">
        <v>53.12</v>
      </c>
      <c r="I57" s="189">
        <v>10.09</v>
      </c>
      <c r="J57" s="189">
        <v>0.28000000000000003</v>
      </c>
      <c r="K57" s="189">
        <v>193.77</v>
      </c>
      <c r="L57" s="189">
        <v>27.07</v>
      </c>
      <c r="M57" s="189">
        <v>44.74</v>
      </c>
      <c r="N57" s="189">
        <v>371.4</v>
      </c>
      <c r="O57" s="189">
        <v>0</v>
      </c>
      <c r="P57" s="189">
        <v>0.87</v>
      </c>
      <c r="Q57" s="189">
        <v>4.99</v>
      </c>
    </row>
    <row r="58" spans="1:17">
      <c r="A58" s="6" t="s">
        <v>2208</v>
      </c>
      <c r="B58" s="189">
        <v>8.5500000000000007</v>
      </c>
      <c r="C58" s="189">
        <v>32.17</v>
      </c>
      <c r="D58" s="189">
        <v>25.02</v>
      </c>
      <c r="E58" s="189">
        <v>5.43</v>
      </c>
      <c r="F58" s="189">
        <v>3.61</v>
      </c>
      <c r="G58" s="189">
        <v>88.36</v>
      </c>
      <c r="H58" s="189">
        <v>53.12</v>
      </c>
      <c r="I58" s="189">
        <v>9.8699999999999992</v>
      </c>
      <c r="J58" s="189">
        <v>0.24</v>
      </c>
      <c r="K58" s="189">
        <v>157.37</v>
      </c>
      <c r="L58" s="189">
        <v>26.95</v>
      </c>
      <c r="M58" s="189">
        <v>44.58</v>
      </c>
      <c r="N58" s="189">
        <v>301.39999999999998</v>
      </c>
      <c r="O58" s="189">
        <v>0</v>
      </c>
      <c r="P58" s="189">
        <v>0.86</v>
      </c>
      <c r="Q58" s="189">
        <v>4.97</v>
      </c>
    </row>
    <row r="59" spans="1:17">
      <c r="A59" s="6" t="s">
        <v>2209</v>
      </c>
      <c r="B59" s="189">
        <v>7.38</v>
      </c>
      <c r="C59" s="189">
        <v>31.25</v>
      </c>
      <c r="D59" s="189">
        <v>23.6</v>
      </c>
      <c r="E59" s="189">
        <v>5.97</v>
      </c>
      <c r="F59" s="189">
        <v>3.69</v>
      </c>
      <c r="G59" s="189">
        <v>87.35</v>
      </c>
      <c r="H59" s="189">
        <v>48.49</v>
      </c>
      <c r="I59" s="189">
        <v>9.64</v>
      </c>
      <c r="J59" s="189">
        <v>0.21</v>
      </c>
      <c r="K59" s="189">
        <v>134.53</v>
      </c>
      <c r="L59" s="189">
        <v>27.1</v>
      </c>
      <c r="M59" s="189">
        <v>44.51</v>
      </c>
      <c r="N59" s="189">
        <v>296.39999999999998</v>
      </c>
      <c r="O59" s="189">
        <v>0</v>
      </c>
      <c r="P59" s="189">
        <v>0.84</v>
      </c>
      <c r="Q59" s="189">
        <v>4.93</v>
      </c>
    </row>
    <row r="60" spans="1:17">
      <c r="A60" s="6" t="s">
        <v>2210</v>
      </c>
      <c r="B60" s="189">
        <v>6.36</v>
      </c>
      <c r="C60" s="189">
        <v>30.5</v>
      </c>
      <c r="D60" s="189">
        <v>22.38</v>
      </c>
      <c r="E60" s="189">
        <v>5.88</v>
      </c>
      <c r="F60" s="189">
        <v>3.97</v>
      </c>
      <c r="G60" s="189">
        <v>87.21</v>
      </c>
      <c r="H60" s="189">
        <v>48.49</v>
      </c>
      <c r="I60" s="189">
        <v>9.42</v>
      </c>
      <c r="J60" s="189">
        <v>0.31</v>
      </c>
      <c r="K60" s="189">
        <v>121.88</v>
      </c>
      <c r="L60" s="189">
        <v>27.07</v>
      </c>
      <c r="M60" s="189">
        <v>42.74</v>
      </c>
      <c r="N60" s="189">
        <v>294.2</v>
      </c>
      <c r="O60" s="189">
        <v>0</v>
      </c>
      <c r="P60" s="189">
        <v>0.82</v>
      </c>
      <c r="Q60" s="189">
        <v>4.91</v>
      </c>
    </row>
    <row r="61" spans="1:17">
      <c r="A61" s="6" t="s">
        <v>2211</v>
      </c>
      <c r="B61" s="189">
        <v>5.42</v>
      </c>
      <c r="C61" s="189">
        <v>29.91</v>
      </c>
      <c r="D61" s="189">
        <v>21.32</v>
      </c>
      <c r="E61" s="189">
        <v>5.82</v>
      </c>
      <c r="F61" s="189">
        <v>4.4000000000000004</v>
      </c>
      <c r="G61" s="189">
        <v>87.21</v>
      </c>
      <c r="H61" s="189">
        <v>48.49</v>
      </c>
      <c r="I61" s="189">
        <v>9.23</v>
      </c>
      <c r="J61" s="189">
        <v>7.0000000000000007E-2</v>
      </c>
      <c r="K61" s="189">
        <v>43.83</v>
      </c>
      <c r="L61" s="189">
        <v>27.1</v>
      </c>
      <c r="M61" s="189">
        <v>43.49</v>
      </c>
      <c r="N61" s="189">
        <v>256.89999999999998</v>
      </c>
      <c r="O61" s="189">
        <v>0</v>
      </c>
      <c r="P61" s="189">
        <v>0.81</v>
      </c>
      <c r="Q61" s="189">
        <v>4.88</v>
      </c>
    </row>
    <row r="62" spans="1:17">
      <c r="A62" s="6" t="s">
        <v>2212</v>
      </c>
      <c r="B62" s="189">
        <v>5.03</v>
      </c>
      <c r="C62" s="189">
        <v>29.22</v>
      </c>
      <c r="D62" s="189">
        <v>20.65</v>
      </c>
      <c r="E62" s="189">
        <v>6</v>
      </c>
      <c r="F62" s="189">
        <v>4.42</v>
      </c>
      <c r="G62" s="189">
        <v>87.21</v>
      </c>
      <c r="H62" s="189">
        <v>48.49</v>
      </c>
      <c r="I62" s="189">
        <v>9.0399999999999991</v>
      </c>
      <c r="J62" s="189">
        <v>0.08</v>
      </c>
      <c r="K62" s="189">
        <v>105.54</v>
      </c>
      <c r="L62" s="189">
        <v>27.38</v>
      </c>
      <c r="M62" s="189">
        <v>42.47</v>
      </c>
      <c r="N62" s="189">
        <v>297.7</v>
      </c>
      <c r="O62" s="189">
        <v>0</v>
      </c>
      <c r="P62" s="189">
        <v>0.81</v>
      </c>
      <c r="Q62" s="189">
        <v>4.8600000000000003</v>
      </c>
    </row>
    <row r="63" spans="1:17">
      <c r="A63" s="6" t="s">
        <v>2213</v>
      </c>
      <c r="B63" s="189">
        <v>4.78</v>
      </c>
      <c r="C63" s="189">
        <v>28.74</v>
      </c>
      <c r="D63" s="189">
        <v>20.21</v>
      </c>
      <c r="E63" s="189">
        <v>5.92</v>
      </c>
      <c r="F63" s="189">
        <v>4.45</v>
      </c>
      <c r="G63" s="189">
        <v>83.09</v>
      </c>
      <c r="H63" s="189">
        <v>48.34</v>
      </c>
      <c r="I63" s="189">
        <v>8.8800000000000008</v>
      </c>
      <c r="J63" s="189">
        <v>0.16</v>
      </c>
      <c r="K63" s="189">
        <v>29.68</v>
      </c>
      <c r="L63" s="189">
        <v>27.25</v>
      </c>
      <c r="M63" s="189">
        <v>42.76</v>
      </c>
      <c r="N63" s="189">
        <v>186.5</v>
      </c>
      <c r="O63" s="189">
        <v>0</v>
      </c>
      <c r="P63" s="189">
        <v>0.8</v>
      </c>
      <c r="Q63" s="189">
        <v>4.8499999999999996</v>
      </c>
    </row>
    <row r="64" spans="1:17">
      <c r="A64" s="6" t="s">
        <v>2214</v>
      </c>
      <c r="B64" s="189">
        <v>4.63</v>
      </c>
      <c r="C64" s="189">
        <v>28.08</v>
      </c>
      <c r="D64" s="189">
        <v>19.739999999999998</v>
      </c>
      <c r="E64" s="189">
        <v>5.75</v>
      </c>
      <c r="F64" s="189">
        <v>4.54</v>
      </c>
      <c r="G64" s="189">
        <v>82.46</v>
      </c>
      <c r="H64" s="189">
        <v>48.34</v>
      </c>
      <c r="I64" s="189">
        <v>8.7200000000000006</v>
      </c>
      <c r="J64" s="189">
        <v>0.28999999999999998</v>
      </c>
      <c r="K64" s="189">
        <v>31.18</v>
      </c>
      <c r="L64" s="189">
        <v>26.79</v>
      </c>
      <c r="M64" s="189">
        <v>43.39</v>
      </c>
      <c r="N64" s="189">
        <v>182.5</v>
      </c>
      <c r="O64" s="189">
        <v>0</v>
      </c>
      <c r="P64" s="189">
        <v>0.78</v>
      </c>
      <c r="Q64" s="189">
        <v>4.8499999999999996</v>
      </c>
    </row>
    <row r="65" spans="1:17">
      <c r="A65" s="6" t="s">
        <v>2215</v>
      </c>
      <c r="B65" s="189">
        <v>4.71</v>
      </c>
      <c r="C65" s="189">
        <v>27.78</v>
      </c>
      <c r="D65" s="189">
        <v>19.64</v>
      </c>
      <c r="E65" s="189">
        <v>5.88</v>
      </c>
      <c r="F65" s="189">
        <v>4.42</v>
      </c>
      <c r="G65" s="189">
        <v>82.46</v>
      </c>
      <c r="H65" s="189">
        <v>48.34</v>
      </c>
      <c r="I65" s="189">
        <v>8.57</v>
      </c>
      <c r="J65" s="189">
        <v>0.14000000000000001</v>
      </c>
      <c r="K65" s="189">
        <v>51.81</v>
      </c>
      <c r="L65" s="189">
        <v>26.61</v>
      </c>
      <c r="M65" s="189">
        <v>43.18</v>
      </c>
      <c r="N65" s="189">
        <v>139.30000000000001</v>
      </c>
      <c r="O65" s="189">
        <v>0</v>
      </c>
      <c r="P65" s="189">
        <v>0.66</v>
      </c>
      <c r="Q65" s="189">
        <v>4.84</v>
      </c>
    </row>
    <row r="66" spans="1:17">
      <c r="A66" s="6" t="s">
        <v>2216</v>
      </c>
      <c r="B66" s="189">
        <v>4.58</v>
      </c>
      <c r="C66" s="189">
        <v>27.44</v>
      </c>
      <c r="D66" s="189">
        <v>19.36</v>
      </c>
      <c r="E66" s="189">
        <v>5.94</v>
      </c>
      <c r="F66" s="189">
        <v>4.57</v>
      </c>
      <c r="G66" s="189">
        <v>82.46</v>
      </c>
      <c r="H66" s="189">
        <v>48.34</v>
      </c>
      <c r="I66" s="189">
        <v>8.4</v>
      </c>
      <c r="J66" s="189">
        <v>0.11</v>
      </c>
      <c r="K66" s="189">
        <v>139.97999999999999</v>
      </c>
      <c r="L66" s="189">
        <v>26.67</v>
      </c>
      <c r="M66" s="189">
        <v>44.3</v>
      </c>
      <c r="N66" s="189">
        <v>135.5</v>
      </c>
      <c r="O66" s="189">
        <v>0</v>
      </c>
      <c r="P66" s="189">
        <v>0.68</v>
      </c>
      <c r="Q66" s="189">
        <v>4.8</v>
      </c>
    </row>
    <row r="67" spans="1:17">
      <c r="A67" s="6" t="s">
        <v>2217</v>
      </c>
      <c r="B67" s="189">
        <v>4.49</v>
      </c>
      <c r="C67" s="189">
        <v>26.93</v>
      </c>
      <c r="D67" s="189">
        <v>19.02</v>
      </c>
      <c r="E67" s="189">
        <v>5.89</v>
      </c>
      <c r="F67" s="189">
        <v>5.28</v>
      </c>
      <c r="G67" s="189">
        <v>85.33</v>
      </c>
      <c r="H67" s="189">
        <v>45.59</v>
      </c>
      <c r="I67" s="189">
        <v>8.26</v>
      </c>
      <c r="J67" s="189">
        <v>0.27</v>
      </c>
      <c r="K67" s="189">
        <v>170.59</v>
      </c>
      <c r="L67" s="189">
        <v>26.61</v>
      </c>
      <c r="M67" s="189">
        <v>44.17</v>
      </c>
      <c r="N67" s="189">
        <v>120.7</v>
      </c>
      <c r="O67" s="189">
        <v>0</v>
      </c>
      <c r="P67" s="189">
        <v>0.67</v>
      </c>
      <c r="Q67" s="189">
        <v>4.8099999999999996</v>
      </c>
    </row>
    <row r="68" spans="1:17">
      <c r="A68" s="6" t="s">
        <v>2218</v>
      </c>
      <c r="B68" s="189">
        <v>4.4000000000000004</v>
      </c>
      <c r="C68" s="189">
        <v>26.15</v>
      </c>
      <c r="D68" s="189">
        <v>18.54</v>
      </c>
      <c r="E68" s="189">
        <v>5.62</v>
      </c>
      <c r="F68" s="189">
        <v>4.9400000000000004</v>
      </c>
      <c r="G68" s="189">
        <v>85.76</v>
      </c>
      <c r="H68" s="189">
        <v>45.59</v>
      </c>
      <c r="I68" s="189">
        <v>8.1</v>
      </c>
      <c r="J68" s="189">
        <v>0.13</v>
      </c>
      <c r="K68" s="189">
        <v>127.43</v>
      </c>
      <c r="L68" s="189">
        <v>26.51</v>
      </c>
      <c r="M68" s="189">
        <v>44.37</v>
      </c>
      <c r="N68" s="189">
        <v>108.4</v>
      </c>
      <c r="O68" s="189">
        <v>0</v>
      </c>
      <c r="P68" s="189">
        <v>0.66</v>
      </c>
      <c r="Q68" s="189">
        <v>4.8099999999999996</v>
      </c>
    </row>
    <row r="69" spans="1:17">
      <c r="A69" s="6" t="s">
        <v>2219</v>
      </c>
      <c r="B69" s="189">
        <v>4.5199999999999996</v>
      </c>
      <c r="C69" s="189">
        <v>25.02</v>
      </c>
      <c r="D69" s="189">
        <v>18.04</v>
      </c>
      <c r="E69" s="189">
        <v>5.33</v>
      </c>
      <c r="F69" s="189">
        <v>4.21</v>
      </c>
      <c r="G69" s="189">
        <v>85.76</v>
      </c>
      <c r="H69" s="189">
        <v>45.59</v>
      </c>
      <c r="I69" s="189">
        <v>7.96</v>
      </c>
      <c r="J69" s="189">
        <v>0.22</v>
      </c>
      <c r="K69" s="189">
        <v>75.36</v>
      </c>
      <c r="L69" s="189">
        <v>26.52</v>
      </c>
      <c r="M69" s="189">
        <v>44.27</v>
      </c>
      <c r="N69" s="189">
        <v>110.6</v>
      </c>
      <c r="O69" s="189">
        <v>0</v>
      </c>
      <c r="P69" s="189">
        <v>0.66</v>
      </c>
      <c r="Q69" s="189">
        <v>4.79</v>
      </c>
    </row>
    <row r="70" spans="1:17">
      <c r="A70" s="6" t="s">
        <v>2220</v>
      </c>
      <c r="B70" s="189">
        <v>4.6399999999999997</v>
      </c>
      <c r="C70" s="189">
        <v>22.67</v>
      </c>
      <c r="D70" s="189">
        <v>16.91</v>
      </c>
      <c r="E70" s="189">
        <v>5.79</v>
      </c>
      <c r="F70" s="189">
        <v>4.0199999999999996</v>
      </c>
      <c r="G70" s="189">
        <v>85.76</v>
      </c>
      <c r="H70" s="189">
        <v>45.59</v>
      </c>
      <c r="I70" s="189">
        <v>7.86</v>
      </c>
      <c r="J70" s="189">
        <v>0.25</v>
      </c>
      <c r="K70" s="189">
        <v>127.48</v>
      </c>
      <c r="L70" s="189">
        <v>26.47</v>
      </c>
      <c r="M70" s="189">
        <v>44.35</v>
      </c>
      <c r="N70" s="189">
        <v>98.4</v>
      </c>
      <c r="O70" s="189">
        <v>0</v>
      </c>
      <c r="P70" s="189">
        <v>0.65</v>
      </c>
      <c r="Q70" s="189">
        <v>4.76</v>
      </c>
    </row>
    <row r="71" spans="1:17">
      <c r="A71" s="6" t="s">
        <v>2221</v>
      </c>
      <c r="B71" s="189">
        <v>4.72</v>
      </c>
      <c r="C71" s="189">
        <v>20.88</v>
      </c>
      <c r="D71" s="189">
        <v>16.05</v>
      </c>
      <c r="E71" s="189">
        <v>5.22</v>
      </c>
      <c r="F71" s="189">
        <v>3.75</v>
      </c>
      <c r="G71" s="189">
        <v>84.05</v>
      </c>
      <c r="H71" s="189">
        <v>45.78</v>
      </c>
      <c r="I71" s="189">
        <v>7.79</v>
      </c>
      <c r="J71" s="189">
        <v>0.24</v>
      </c>
      <c r="K71" s="189">
        <v>50.35</v>
      </c>
      <c r="L71" s="189">
        <v>26.22</v>
      </c>
      <c r="M71" s="189">
        <v>45.18</v>
      </c>
      <c r="N71" s="189">
        <v>69.400000000000006</v>
      </c>
      <c r="O71" s="189">
        <v>0</v>
      </c>
      <c r="P71" s="189">
        <v>0.64</v>
      </c>
      <c r="Q71" s="189">
        <v>4.78</v>
      </c>
    </row>
    <row r="72" spans="1:17">
      <c r="A72" s="6" t="s">
        <v>2222</v>
      </c>
      <c r="B72" s="189">
        <v>4.82</v>
      </c>
      <c r="C72" s="189">
        <v>20.25</v>
      </c>
      <c r="D72" s="189">
        <v>15.8</v>
      </c>
      <c r="E72" s="189">
        <v>4.96</v>
      </c>
      <c r="F72" s="189">
        <v>3.54</v>
      </c>
      <c r="G72" s="189">
        <v>83.82</v>
      </c>
      <c r="H72" s="189">
        <v>45.78</v>
      </c>
      <c r="I72" s="189">
        <v>7.74</v>
      </c>
      <c r="J72" s="189">
        <v>0.19</v>
      </c>
      <c r="K72" s="189">
        <v>116.69</v>
      </c>
      <c r="L72" s="189">
        <v>25.87</v>
      </c>
      <c r="M72" s="189">
        <v>47.26</v>
      </c>
      <c r="N72" s="189">
        <v>54.2</v>
      </c>
      <c r="O72" s="189">
        <v>0</v>
      </c>
      <c r="P72" s="189">
        <v>0.63</v>
      </c>
      <c r="Q72" s="189">
        <v>4.8</v>
      </c>
    </row>
    <row r="73" spans="1:17">
      <c r="A73" s="6" t="s">
        <v>2223</v>
      </c>
      <c r="B73" s="189">
        <v>4.87</v>
      </c>
      <c r="C73" s="189">
        <v>19.670000000000002</v>
      </c>
      <c r="D73" s="189">
        <v>15.53</v>
      </c>
      <c r="E73" s="189">
        <v>5.41</v>
      </c>
      <c r="F73" s="189">
        <v>3.44</v>
      </c>
      <c r="G73" s="189">
        <v>83.82</v>
      </c>
      <c r="H73" s="189">
        <v>45.78</v>
      </c>
      <c r="I73" s="189">
        <v>7.69</v>
      </c>
      <c r="J73" s="189">
        <v>0.24</v>
      </c>
      <c r="K73" s="189">
        <v>163.08000000000001</v>
      </c>
      <c r="L73" s="189">
        <v>25.56</v>
      </c>
      <c r="M73" s="189">
        <v>48.85</v>
      </c>
      <c r="N73" s="189">
        <v>46.9</v>
      </c>
      <c r="O73" s="189">
        <v>0</v>
      </c>
      <c r="P73" s="189">
        <v>0.63</v>
      </c>
      <c r="Q73" s="189">
        <v>4.83</v>
      </c>
    </row>
    <row r="74" spans="1:17">
      <c r="A74" s="6" t="s">
        <v>2224</v>
      </c>
      <c r="B74" s="189">
        <v>4.8600000000000003</v>
      </c>
      <c r="C74" s="189">
        <v>19</v>
      </c>
      <c r="D74" s="189">
        <v>15.18</v>
      </c>
      <c r="E74" s="189">
        <v>5.12</v>
      </c>
      <c r="F74" s="189">
        <v>3.33</v>
      </c>
      <c r="G74" s="189">
        <v>83.82</v>
      </c>
      <c r="H74" s="189">
        <v>45.78</v>
      </c>
      <c r="I74" s="189">
        <v>7.64</v>
      </c>
      <c r="J74" s="189">
        <v>0.14000000000000001</v>
      </c>
      <c r="K74" s="189">
        <v>146.97999999999999</v>
      </c>
      <c r="L74" s="189">
        <v>24.99</v>
      </c>
      <c r="M74" s="189">
        <v>52.17</v>
      </c>
      <c r="N74" s="189">
        <v>30.6</v>
      </c>
      <c r="O74" s="189">
        <v>0</v>
      </c>
      <c r="P74" s="189">
        <v>0.63</v>
      </c>
      <c r="Q74" s="189">
        <v>4.8499999999999996</v>
      </c>
    </row>
    <row r="75" spans="1:17">
      <c r="A75" s="6" t="s">
        <v>2225</v>
      </c>
      <c r="B75" s="189">
        <v>4.93</v>
      </c>
      <c r="C75" s="189">
        <v>18.920000000000002</v>
      </c>
      <c r="D75" s="189">
        <v>15.19</v>
      </c>
      <c r="E75" s="189">
        <v>5.33</v>
      </c>
      <c r="F75" s="189">
        <v>3.2</v>
      </c>
      <c r="G75" s="189">
        <v>88.02</v>
      </c>
      <c r="H75" s="189">
        <v>45.97</v>
      </c>
      <c r="I75" s="189">
        <v>7.59</v>
      </c>
      <c r="J75" s="189">
        <v>0.21</v>
      </c>
      <c r="K75" s="189">
        <v>153.12</v>
      </c>
      <c r="L75" s="189">
        <v>24.65</v>
      </c>
      <c r="M75" s="189">
        <v>53.96</v>
      </c>
      <c r="N75" s="189">
        <v>26.3</v>
      </c>
      <c r="O75" s="189">
        <v>0</v>
      </c>
      <c r="P75" s="189">
        <v>0.62</v>
      </c>
      <c r="Q75" s="189">
        <v>4.84</v>
      </c>
    </row>
    <row r="76" spans="1:17">
      <c r="A76" s="6" t="s">
        <v>2226</v>
      </c>
      <c r="B76" s="189">
        <v>5.04</v>
      </c>
      <c r="C76" s="189">
        <v>19.37</v>
      </c>
      <c r="D76" s="189">
        <v>15.51</v>
      </c>
      <c r="E76" s="189">
        <v>5.69</v>
      </c>
      <c r="F76" s="189">
        <v>3.03</v>
      </c>
      <c r="G76" s="189">
        <v>88.61</v>
      </c>
      <c r="H76" s="189">
        <v>45.97</v>
      </c>
      <c r="I76" s="189">
        <v>7.55</v>
      </c>
      <c r="J76" s="189">
        <v>0.22</v>
      </c>
      <c r="K76" s="189">
        <v>161.79</v>
      </c>
      <c r="L76" s="189">
        <v>24.35</v>
      </c>
      <c r="M76" s="189">
        <v>55.34</v>
      </c>
      <c r="N76" s="189">
        <v>15.6</v>
      </c>
      <c r="O76" s="189">
        <v>0</v>
      </c>
      <c r="P76" s="189">
        <v>0.62</v>
      </c>
      <c r="Q76" s="189">
        <v>4.84</v>
      </c>
    </row>
    <row r="77" spans="1:17">
      <c r="A77" s="6" t="s">
        <v>2227</v>
      </c>
      <c r="B77" s="189">
        <v>5.18</v>
      </c>
      <c r="C77" s="189">
        <v>20.29</v>
      </c>
      <c r="D77" s="189">
        <v>16.11</v>
      </c>
      <c r="E77" s="189">
        <v>5.23</v>
      </c>
      <c r="F77" s="189">
        <v>2.83</v>
      </c>
      <c r="G77" s="189">
        <v>88.61</v>
      </c>
      <c r="H77" s="189">
        <v>45.97</v>
      </c>
      <c r="I77" s="189">
        <v>7.53</v>
      </c>
      <c r="J77" s="189">
        <v>0.2</v>
      </c>
      <c r="K77" s="189">
        <v>169.07</v>
      </c>
      <c r="L77" s="189">
        <v>23.76</v>
      </c>
      <c r="M77" s="189">
        <v>56.5</v>
      </c>
      <c r="N77" s="189">
        <v>1.2</v>
      </c>
      <c r="O77" s="189">
        <v>0</v>
      </c>
      <c r="P77" s="189">
        <v>0.64</v>
      </c>
      <c r="Q77" s="189">
        <v>4.84</v>
      </c>
    </row>
    <row r="78" spans="1:17">
      <c r="A78" s="6" t="s">
        <v>2228</v>
      </c>
      <c r="B78" s="189">
        <v>5.35</v>
      </c>
      <c r="C78" s="189">
        <v>21.13</v>
      </c>
      <c r="D78" s="189">
        <v>16.68</v>
      </c>
      <c r="E78" s="189">
        <v>5.44</v>
      </c>
      <c r="F78" s="189">
        <v>2.96</v>
      </c>
      <c r="G78" s="189">
        <v>88.61</v>
      </c>
      <c r="H78" s="189">
        <v>45.97</v>
      </c>
      <c r="I78" s="189">
        <v>7.5</v>
      </c>
      <c r="J78" s="189">
        <v>0.21</v>
      </c>
      <c r="K78" s="189">
        <v>173.64</v>
      </c>
      <c r="L78" s="189">
        <v>22.89</v>
      </c>
      <c r="M78" s="189">
        <v>62.79</v>
      </c>
      <c r="N78" s="189">
        <v>0</v>
      </c>
      <c r="O78" s="189">
        <v>0</v>
      </c>
      <c r="P78" s="189">
        <v>0.64</v>
      </c>
      <c r="Q78" s="189">
        <v>4.8499999999999996</v>
      </c>
    </row>
    <row r="79" spans="1:17">
      <c r="A79" s="6" t="s">
        <v>2229</v>
      </c>
      <c r="B79" s="189">
        <v>5.48</v>
      </c>
      <c r="C79" s="189">
        <v>21.71</v>
      </c>
      <c r="D79" s="189">
        <v>17.079999999999998</v>
      </c>
      <c r="E79" s="189">
        <v>5.52</v>
      </c>
      <c r="F79" s="189">
        <v>2.96</v>
      </c>
      <c r="G79" s="189">
        <v>92.37</v>
      </c>
      <c r="H79" s="189">
        <v>47.83</v>
      </c>
      <c r="I79" s="189">
        <v>7.48</v>
      </c>
      <c r="J79" s="189">
        <v>0.19</v>
      </c>
      <c r="K79" s="189">
        <v>164.05</v>
      </c>
      <c r="L79" s="189">
        <v>22.16</v>
      </c>
      <c r="M79" s="189">
        <v>70.33</v>
      </c>
      <c r="N79" s="189">
        <v>0</v>
      </c>
      <c r="O79" s="189">
        <v>0</v>
      </c>
      <c r="P79" s="189">
        <v>0.65</v>
      </c>
      <c r="Q79" s="189">
        <v>4.88</v>
      </c>
    </row>
    <row r="80" spans="1:17">
      <c r="A80" s="6" t="s">
        <v>2230</v>
      </c>
      <c r="B80" s="189">
        <v>5.64</v>
      </c>
      <c r="C80" s="189">
        <v>22.14</v>
      </c>
      <c r="D80" s="189">
        <v>17.440000000000001</v>
      </c>
      <c r="E80" s="189">
        <v>5.9</v>
      </c>
      <c r="F80" s="189">
        <v>2.91</v>
      </c>
      <c r="G80" s="189">
        <v>92.9</v>
      </c>
      <c r="H80" s="189">
        <v>47.83</v>
      </c>
      <c r="I80" s="189">
        <v>7.49</v>
      </c>
      <c r="J80" s="189">
        <v>0.16</v>
      </c>
      <c r="K80" s="189">
        <v>169.85</v>
      </c>
      <c r="L80" s="189">
        <v>21.63</v>
      </c>
      <c r="M80" s="189">
        <v>74.260000000000005</v>
      </c>
      <c r="N80" s="189">
        <v>0</v>
      </c>
      <c r="O80" s="189">
        <v>0</v>
      </c>
      <c r="P80" s="189">
        <v>0.65</v>
      </c>
      <c r="Q80" s="189">
        <v>4.8899999999999997</v>
      </c>
    </row>
    <row r="81" spans="1:17">
      <c r="A81" s="6" t="s">
        <v>2231</v>
      </c>
      <c r="B81" s="189">
        <v>5.82</v>
      </c>
      <c r="C81" s="189">
        <v>20.16</v>
      </c>
      <c r="D81" s="189">
        <v>16.55</v>
      </c>
      <c r="E81" s="189">
        <v>6.03</v>
      </c>
      <c r="F81" s="189">
        <v>3.15</v>
      </c>
      <c r="G81" s="189">
        <v>92.9</v>
      </c>
      <c r="H81" s="189">
        <v>47.83</v>
      </c>
      <c r="I81" s="189">
        <v>7.47</v>
      </c>
      <c r="J81" s="189">
        <v>0.15</v>
      </c>
      <c r="K81" s="189">
        <v>161.49</v>
      </c>
      <c r="L81" s="189">
        <v>21.2</v>
      </c>
      <c r="M81" s="189">
        <v>76.989999999999995</v>
      </c>
      <c r="N81" s="189">
        <v>0</v>
      </c>
      <c r="O81" s="189">
        <v>0</v>
      </c>
      <c r="P81" s="189">
        <v>0.65</v>
      </c>
      <c r="Q81" s="189">
        <v>4.8899999999999997</v>
      </c>
    </row>
    <row r="82" spans="1:17">
      <c r="A82" s="6" t="s">
        <v>2232</v>
      </c>
      <c r="B82" s="189">
        <v>5.98</v>
      </c>
      <c r="C82" s="189">
        <v>18.850000000000001</v>
      </c>
      <c r="D82" s="189">
        <v>16</v>
      </c>
      <c r="E82" s="189">
        <v>6.83</v>
      </c>
      <c r="F82" s="189">
        <v>3.03</v>
      </c>
      <c r="G82" s="189">
        <v>92.9</v>
      </c>
      <c r="H82" s="189">
        <v>47.83</v>
      </c>
      <c r="I82" s="189">
        <v>7.45</v>
      </c>
      <c r="J82" s="189">
        <v>0.15</v>
      </c>
      <c r="K82" s="189">
        <v>165.09</v>
      </c>
      <c r="L82" s="189">
        <v>20.89</v>
      </c>
      <c r="M82" s="189">
        <v>78.34</v>
      </c>
      <c r="N82" s="189">
        <v>0</v>
      </c>
      <c r="O82" s="189">
        <v>0</v>
      </c>
      <c r="P82" s="189">
        <v>0.64</v>
      </c>
      <c r="Q82" s="189">
        <v>4.8899999999999997</v>
      </c>
    </row>
    <row r="83" spans="1:17">
      <c r="A83" s="6" t="s">
        <v>2233</v>
      </c>
      <c r="B83" s="189">
        <v>6.24</v>
      </c>
      <c r="C83" s="189">
        <v>19.7</v>
      </c>
      <c r="D83" s="189">
        <v>16.649999999999999</v>
      </c>
      <c r="E83" s="189">
        <v>6.85</v>
      </c>
      <c r="F83" s="189">
        <v>2.83</v>
      </c>
      <c r="G83" s="189">
        <v>98.36</v>
      </c>
      <c r="H83" s="189">
        <v>49.42</v>
      </c>
      <c r="I83" s="189">
        <v>7.44</v>
      </c>
      <c r="J83" s="189">
        <v>0.06</v>
      </c>
      <c r="K83" s="189">
        <v>79.02</v>
      </c>
      <c r="L83" s="189">
        <v>20.63</v>
      </c>
      <c r="M83" s="189">
        <v>73.77</v>
      </c>
      <c r="N83" s="189">
        <v>0</v>
      </c>
      <c r="O83" s="189">
        <v>0</v>
      </c>
      <c r="P83" s="189">
        <v>0.65</v>
      </c>
      <c r="Q83" s="189">
        <v>4.87</v>
      </c>
    </row>
    <row r="84" spans="1:17">
      <c r="A84" s="6" t="s">
        <v>2234</v>
      </c>
      <c r="B84" s="189">
        <v>7.87</v>
      </c>
      <c r="C84" s="189">
        <v>22.5</v>
      </c>
      <c r="D84" s="189">
        <v>19.420000000000002</v>
      </c>
      <c r="E84" s="189">
        <v>7.36</v>
      </c>
      <c r="F84" s="189">
        <v>2.57</v>
      </c>
      <c r="G84" s="189">
        <v>99.11</v>
      </c>
      <c r="H84" s="189">
        <v>49.42</v>
      </c>
      <c r="I84" s="189">
        <v>7.46</v>
      </c>
      <c r="J84" s="189">
        <v>0.16</v>
      </c>
      <c r="K84" s="189">
        <v>163.24</v>
      </c>
      <c r="L84" s="189">
        <v>20.71</v>
      </c>
      <c r="M84" s="189">
        <v>72.64</v>
      </c>
      <c r="N84" s="189">
        <v>0</v>
      </c>
      <c r="O84" s="189">
        <v>0</v>
      </c>
      <c r="P84" s="189">
        <v>0.71</v>
      </c>
      <c r="Q84" s="189">
        <v>4.9000000000000004</v>
      </c>
    </row>
    <row r="85" spans="1:17">
      <c r="A85" s="6" t="s">
        <v>2235</v>
      </c>
      <c r="B85" s="189">
        <v>9.2899999999999991</v>
      </c>
      <c r="C85" s="189">
        <v>24.87</v>
      </c>
      <c r="D85" s="189">
        <v>21.8</v>
      </c>
      <c r="E85" s="189">
        <v>7.33</v>
      </c>
      <c r="F85" s="189">
        <v>2.48</v>
      </c>
      <c r="G85" s="189">
        <v>99.11</v>
      </c>
      <c r="H85" s="189">
        <v>49.42</v>
      </c>
      <c r="I85" s="189">
        <v>7.61</v>
      </c>
      <c r="J85" s="189">
        <v>0.21</v>
      </c>
      <c r="K85" s="189">
        <v>166.23</v>
      </c>
      <c r="L85" s="189">
        <v>20.399999999999999</v>
      </c>
      <c r="M85" s="189">
        <v>77.44</v>
      </c>
      <c r="N85" s="189">
        <v>0</v>
      </c>
      <c r="O85" s="189">
        <v>0</v>
      </c>
      <c r="P85" s="189">
        <v>0.75</v>
      </c>
      <c r="Q85" s="189">
        <v>4.9400000000000004</v>
      </c>
    </row>
    <row r="86" spans="1:17">
      <c r="A86" s="6" t="s">
        <v>2236</v>
      </c>
      <c r="B86" s="189">
        <v>9.9700000000000006</v>
      </c>
      <c r="C86" s="189">
        <v>25.93</v>
      </c>
      <c r="D86" s="189">
        <v>22.89</v>
      </c>
      <c r="E86" s="189">
        <v>7.56</v>
      </c>
      <c r="F86" s="189">
        <v>2.41</v>
      </c>
      <c r="G86" s="189">
        <v>99.11</v>
      </c>
      <c r="H86" s="189">
        <v>49.42</v>
      </c>
      <c r="I86" s="189">
        <v>7.88</v>
      </c>
      <c r="J86" s="189">
        <v>0.2</v>
      </c>
      <c r="K86" s="189">
        <v>165.11</v>
      </c>
      <c r="L86" s="189">
        <v>19.940000000000001</v>
      </c>
      <c r="M86" s="189">
        <v>80.099999999999994</v>
      </c>
      <c r="N86" s="189">
        <v>0</v>
      </c>
      <c r="O86" s="189">
        <v>0</v>
      </c>
      <c r="P86" s="189">
        <v>0.78</v>
      </c>
      <c r="Q86" s="189">
        <v>4.96</v>
      </c>
    </row>
    <row r="87" spans="1:17">
      <c r="A87" s="6" t="s">
        <v>2237</v>
      </c>
      <c r="B87" s="189">
        <v>10.31</v>
      </c>
      <c r="C87" s="189">
        <v>26.4</v>
      </c>
      <c r="D87" s="189">
        <v>23.41</v>
      </c>
      <c r="E87" s="189">
        <v>7.05</v>
      </c>
      <c r="F87" s="189">
        <v>2.46</v>
      </c>
      <c r="G87" s="189">
        <v>115.42</v>
      </c>
      <c r="H87" s="189">
        <v>54.57</v>
      </c>
      <c r="I87" s="189">
        <v>8.15</v>
      </c>
      <c r="J87" s="189">
        <v>0.21</v>
      </c>
      <c r="K87" s="189">
        <v>155.41</v>
      </c>
      <c r="L87" s="189">
        <v>19.77</v>
      </c>
      <c r="M87" s="189">
        <v>77.400000000000006</v>
      </c>
      <c r="N87" s="189">
        <v>0</v>
      </c>
      <c r="O87" s="189">
        <v>0</v>
      </c>
      <c r="P87" s="189">
        <v>0.81</v>
      </c>
      <c r="Q87" s="189">
        <v>4.99</v>
      </c>
    </row>
    <row r="88" spans="1:17">
      <c r="A88" s="6" t="s">
        <v>2238</v>
      </c>
      <c r="B88" s="189">
        <v>11.23</v>
      </c>
      <c r="C88" s="189">
        <v>27.54</v>
      </c>
      <c r="D88" s="189">
        <v>24.74</v>
      </c>
      <c r="E88" s="189">
        <v>7.47</v>
      </c>
      <c r="F88" s="189">
        <v>2.4700000000000002</v>
      </c>
      <c r="G88" s="189">
        <v>117.68</v>
      </c>
      <c r="H88" s="189">
        <v>54.57</v>
      </c>
      <c r="I88" s="189">
        <v>8.36</v>
      </c>
      <c r="J88" s="189">
        <v>0.21</v>
      </c>
      <c r="K88" s="189">
        <v>158.32</v>
      </c>
      <c r="L88" s="189">
        <v>19.670000000000002</v>
      </c>
      <c r="M88" s="189">
        <v>77.94</v>
      </c>
      <c r="N88" s="189">
        <v>0</v>
      </c>
      <c r="O88" s="189">
        <v>0</v>
      </c>
      <c r="P88" s="189">
        <v>0.85</v>
      </c>
      <c r="Q88" s="189">
        <v>5</v>
      </c>
    </row>
    <row r="89" spans="1:17">
      <c r="A89" s="6" t="s">
        <v>2239</v>
      </c>
      <c r="B89" s="189">
        <v>12.51</v>
      </c>
      <c r="C89" s="189">
        <v>29.28</v>
      </c>
      <c r="D89" s="189">
        <v>26.68</v>
      </c>
      <c r="E89" s="189">
        <v>7.23</v>
      </c>
      <c r="F89" s="189">
        <v>2.5099999999999998</v>
      </c>
      <c r="G89" s="189">
        <v>117.68</v>
      </c>
      <c r="H89" s="189">
        <v>54.57</v>
      </c>
      <c r="I89" s="189">
        <v>8.6300000000000008</v>
      </c>
      <c r="J89" s="189">
        <v>0.1</v>
      </c>
      <c r="K89" s="189">
        <v>198.21</v>
      </c>
      <c r="L89" s="189">
        <v>19.29</v>
      </c>
      <c r="M89" s="189">
        <v>83.35</v>
      </c>
      <c r="N89" s="189">
        <v>0</v>
      </c>
      <c r="O89" s="189">
        <v>0</v>
      </c>
      <c r="P89" s="189">
        <v>0.89</v>
      </c>
      <c r="Q89" s="189">
        <v>5.0199999999999996</v>
      </c>
    </row>
    <row r="90" spans="1:17">
      <c r="A90" s="6" t="s">
        <v>2240</v>
      </c>
      <c r="B90" s="189">
        <v>13.29</v>
      </c>
      <c r="C90" s="189">
        <v>30.09</v>
      </c>
      <c r="D90" s="189">
        <v>27.74</v>
      </c>
      <c r="E90" s="189">
        <v>7.21</v>
      </c>
      <c r="F90" s="189">
        <v>2.5</v>
      </c>
      <c r="G90" s="189">
        <v>117.68</v>
      </c>
      <c r="H90" s="189">
        <v>54.57</v>
      </c>
      <c r="I90" s="189">
        <v>9.01</v>
      </c>
      <c r="J90" s="189">
        <v>0.19</v>
      </c>
      <c r="K90" s="189">
        <v>155.62</v>
      </c>
      <c r="L90" s="189">
        <v>19.059999999999999</v>
      </c>
      <c r="M90" s="189">
        <v>84.07</v>
      </c>
      <c r="N90" s="189">
        <v>0</v>
      </c>
      <c r="O90" s="189">
        <v>0</v>
      </c>
      <c r="P90" s="189">
        <v>0.93</v>
      </c>
      <c r="Q90" s="189">
        <v>5.03</v>
      </c>
    </row>
    <row r="91" spans="1:17">
      <c r="A91" s="6" t="s">
        <v>2241</v>
      </c>
      <c r="B91" s="189">
        <v>13.58</v>
      </c>
      <c r="C91" s="189">
        <v>31.06</v>
      </c>
      <c r="D91" s="189">
        <v>28.47</v>
      </c>
      <c r="E91" s="189">
        <v>7.57</v>
      </c>
      <c r="F91" s="189">
        <v>2.59</v>
      </c>
      <c r="G91" s="189">
        <v>132.69999999999999</v>
      </c>
      <c r="H91" s="189">
        <v>57.84</v>
      </c>
      <c r="I91" s="189">
        <v>9.3699999999999992</v>
      </c>
      <c r="J91" s="189">
        <v>0.19</v>
      </c>
      <c r="K91" s="189">
        <v>171.02</v>
      </c>
      <c r="L91" s="189">
        <v>18.88</v>
      </c>
      <c r="M91" s="189">
        <v>84.41</v>
      </c>
      <c r="N91" s="189">
        <v>0</v>
      </c>
      <c r="O91" s="189">
        <v>0</v>
      </c>
      <c r="P91" s="189">
        <v>0.96</v>
      </c>
      <c r="Q91" s="189">
        <v>5.03</v>
      </c>
    </row>
    <row r="92" spans="1:17">
      <c r="A92" s="6" t="s">
        <v>2242</v>
      </c>
      <c r="B92" s="189">
        <v>13.71</v>
      </c>
      <c r="C92" s="189">
        <v>31.2</v>
      </c>
      <c r="D92" s="189">
        <v>28.65</v>
      </c>
      <c r="E92" s="189">
        <v>7.88</v>
      </c>
      <c r="F92" s="189">
        <v>2.63</v>
      </c>
      <c r="G92" s="189">
        <v>135.03</v>
      </c>
      <c r="H92" s="189">
        <v>57.84</v>
      </c>
      <c r="I92" s="189">
        <v>9.7100000000000009</v>
      </c>
      <c r="J92" s="189">
        <v>0.15</v>
      </c>
      <c r="K92" s="189">
        <v>224.42</v>
      </c>
      <c r="L92" s="189">
        <v>18.64</v>
      </c>
      <c r="M92" s="189">
        <v>85.57</v>
      </c>
      <c r="N92" s="189">
        <v>0</v>
      </c>
      <c r="O92" s="189">
        <v>0</v>
      </c>
      <c r="P92" s="189">
        <v>0.98</v>
      </c>
      <c r="Q92" s="189">
        <v>5.03</v>
      </c>
    </row>
    <row r="93" spans="1:17">
      <c r="A93" s="6" t="s">
        <v>2243</v>
      </c>
      <c r="B93" s="189">
        <v>13.73</v>
      </c>
      <c r="C93" s="189">
        <v>31.13</v>
      </c>
      <c r="D93" s="189">
        <v>28.62</v>
      </c>
      <c r="E93" s="189">
        <v>7.55</v>
      </c>
      <c r="F93" s="189">
        <v>2.48</v>
      </c>
      <c r="G93" s="189">
        <v>135.03</v>
      </c>
      <c r="H93" s="189">
        <v>57.84</v>
      </c>
      <c r="I93" s="189">
        <v>9.9600000000000009</v>
      </c>
      <c r="J93" s="189">
        <v>0.09</v>
      </c>
      <c r="K93" s="189">
        <v>220.12</v>
      </c>
      <c r="L93" s="189">
        <v>18.21</v>
      </c>
      <c r="M93" s="189">
        <v>85.73</v>
      </c>
      <c r="N93" s="189">
        <v>0</v>
      </c>
      <c r="O93" s="189">
        <v>0</v>
      </c>
      <c r="P93" s="189">
        <v>0.98</v>
      </c>
      <c r="Q93" s="189">
        <v>5.04</v>
      </c>
    </row>
    <row r="94" spans="1:17">
      <c r="A94" s="6" t="s">
        <v>2244</v>
      </c>
      <c r="B94" s="189">
        <v>13.75</v>
      </c>
      <c r="C94" s="189">
        <v>31.65</v>
      </c>
      <c r="D94" s="189">
        <v>28.91</v>
      </c>
      <c r="E94" s="189">
        <v>7.33</v>
      </c>
      <c r="F94" s="189">
        <v>2.5299999999999998</v>
      </c>
      <c r="G94" s="189">
        <v>135.03</v>
      </c>
      <c r="H94" s="189">
        <v>57.84</v>
      </c>
      <c r="I94" s="189">
        <v>10.14</v>
      </c>
      <c r="J94" s="189">
        <v>0.12</v>
      </c>
      <c r="K94" s="189">
        <v>203.22</v>
      </c>
      <c r="L94" s="189">
        <v>18.2</v>
      </c>
      <c r="M94" s="189">
        <v>85.36</v>
      </c>
      <c r="N94" s="189">
        <v>0</v>
      </c>
      <c r="O94" s="189">
        <v>0</v>
      </c>
      <c r="P94" s="189">
        <v>0.99</v>
      </c>
      <c r="Q94" s="189">
        <v>5.04</v>
      </c>
    </row>
    <row r="95" spans="1:17">
      <c r="A95" s="6" t="s">
        <v>2245</v>
      </c>
      <c r="B95" s="189">
        <v>13.84</v>
      </c>
      <c r="C95" s="189">
        <v>31.89</v>
      </c>
      <c r="D95" s="189">
        <v>29.11</v>
      </c>
      <c r="E95" s="189">
        <v>7.87</v>
      </c>
      <c r="F95" s="189">
        <v>2.4900000000000002</v>
      </c>
      <c r="G95" s="189">
        <v>137.35</v>
      </c>
      <c r="H95" s="189">
        <v>58.47</v>
      </c>
      <c r="I95" s="189">
        <v>10.25</v>
      </c>
      <c r="J95" s="189">
        <v>0.11</v>
      </c>
      <c r="K95" s="189">
        <v>177.74</v>
      </c>
      <c r="L95" s="189">
        <v>17.88</v>
      </c>
      <c r="M95" s="189">
        <v>89.83</v>
      </c>
      <c r="N95" s="189">
        <v>0</v>
      </c>
      <c r="O95" s="189">
        <v>0</v>
      </c>
      <c r="P95" s="189">
        <v>1</v>
      </c>
      <c r="Q95" s="189">
        <v>5.01</v>
      </c>
    </row>
    <row r="96" spans="1:17">
      <c r="A96" s="6" t="s">
        <v>2246</v>
      </c>
      <c r="B96" s="189">
        <v>13.81</v>
      </c>
      <c r="C96" s="189">
        <v>31.68</v>
      </c>
      <c r="D96" s="189">
        <v>28.98</v>
      </c>
      <c r="E96" s="189">
        <v>7.76</v>
      </c>
      <c r="F96" s="189">
        <v>2.57</v>
      </c>
      <c r="G96" s="189">
        <v>137.68</v>
      </c>
      <c r="H96" s="189">
        <v>58.47</v>
      </c>
      <c r="I96" s="189">
        <v>10.35</v>
      </c>
      <c r="J96" s="189">
        <v>0.15</v>
      </c>
      <c r="K96" s="189">
        <v>156.52000000000001</v>
      </c>
      <c r="L96" s="189">
        <v>17.899999999999999</v>
      </c>
      <c r="M96" s="189">
        <v>88.36</v>
      </c>
      <c r="N96" s="189">
        <v>0</v>
      </c>
      <c r="O96" s="189">
        <v>0</v>
      </c>
      <c r="P96" s="189">
        <v>1</v>
      </c>
      <c r="Q96" s="189">
        <v>5.0199999999999996</v>
      </c>
    </row>
    <row r="97" spans="1:21">
      <c r="A97" s="6" t="s">
        <v>2247</v>
      </c>
      <c r="B97" s="189">
        <v>13.74</v>
      </c>
      <c r="C97" s="189">
        <v>31.62</v>
      </c>
      <c r="D97" s="189">
        <v>28.89</v>
      </c>
      <c r="E97" s="189">
        <v>7.7</v>
      </c>
      <c r="F97" s="189">
        <v>2.63</v>
      </c>
      <c r="G97" s="189">
        <v>137.68</v>
      </c>
      <c r="H97" s="189">
        <v>58.47</v>
      </c>
      <c r="I97" s="189">
        <v>10.45</v>
      </c>
      <c r="J97" s="189">
        <v>0.13</v>
      </c>
      <c r="K97" s="189">
        <v>156.97</v>
      </c>
      <c r="L97" s="189">
        <v>17.899999999999999</v>
      </c>
      <c r="M97" s="189">
        <v>87.81</v>
      </c>
      <c r="N97" s="189">
        <v>0</v>
      </c>
      <c r="O97" s="189">
        <v>0</v>
      </c>
      <c r="P97" s="189">
        <v>1.01</v>
      </c>
      <c r="Q97" s="189">
        <v>5</v>
      </c>
    </row>
    <row r="98" spans="1:21">
      <c r="A98" s="6" t="s">
        <v>2248</v>
      </c>
      <c r="B98" s="189">
        <v>13.54</v>
      </c>
      <c r="C98" s="189">
        <v>31.36</v>
      </c>
      <c r="D98" s="189">
        <v>28.59</v>
      </c>
      <c r="E98" s="189">
        <v>7.43</v>
      </c>
      <c r="F98" s="189">
        <v>2.5099999999999998</v>
      </c>
      <c r="G98" s="189">
        <v>137.68</v>
      </c>
      <c r="H98" s="189">
        <v>58.47</v>
      </c>
      <c r="I98" s="189">
        <v>10.52</v>
      </c>
      <c r="J98" s="189">
        <v>0.13</v>
      </c>
      <c r="K98" s="189">
        <v>221.19</v>
      </c>
      <c r="L98" s="189">
        <v>17.829999999999998</v>
      </c>
      <c r="M98" s="189">
        <v>87.78</v>
      </c>
      <c r="N98" s="189">
        <v>0</v>
      </c>
      <c r="O98" s="189">
        <v>0</v>
      </c>
      <c r="P98" s="189">
        <v>1.01</v>
      </c>
      <c r="Q98" s="189">
        <v>4.9800000000000004</v>
      </c>
    </row>
    <row r="99" spans="1:21">
      <c r="A99" s="6" t="s">
        <v>2249</v>
      </c>
      <c r="B99" s="189">
        <v>13.21</v>
      </c>
      <c r="C99" s="189">
        <v>30.99</v>
      </c>
      <c r="D99" s="189">
        <v>28.13</v>
      </c>
      <c r="E99" s="189">
        <v>7.03</v>
      </c>
      <c r="F99" s="189">
        <v>2.58</v>
      </c>
      <c r="G99" s="189">
        <v>133.35</v>
      </c>
      <c r="H99" s="189">
        <v>58.99</v>
      </c>
      <c r="I99" s="189">
        <v>10.58</v>
      </c>
      <c r="J99" s="189">
        <v>0.08</v>
      </c>
      <c r="K99" s="189">
        <v>203.4</v>
      </c>
      <c r="L99" s="189">
        <v>17.64</v>
      </c>
      <c r="M99" s="189">
        <v>89.19</v>
      </c>
      <c r="N99" s="189">
        <v>0</v>
      </c>
      <c r="O99" s="189">
        <v>0</v>
      </c>
      <c r="P99" s="189">
        <v>1</v>
      </c>
      <c r="Q99" s="189">
        <v>4.9800000000000004</v>
      </c>
    </row>
    <row r="100" spans="1:21">
      <c r="A100" s="6" t="s">
        <v>2250</v>
      </c>
      <c r="B100" s="189">
        <v>12.94</v>
      </c>
      <c r="C100" s="189">
        <v>30.58</v>
      </c>
      <c r="D100" s="189">
        <v>27.7</v>
      </c>
      <c r="E100" s="189">
        <v>7.37</v>
      </c>
      <c r="F100" s="189">
        <v>2.63</v>
      </c>
      <c r="G100" s="189">
        <v>132.74</v>
      </c>
      <c r="H100" s="189">
        <v>58.99</v>
      </c>
      <c r="I100" s="189">
        <v>10.62</v>
      </c>
      <c r="J100" s="189">
        <v>0.1</v>
      </c>
      <c r="K100" s="189">
        <v>166.81</v>
      </c>
      <c r="L100" s="189">
        <v>17.55</v>
      </c>
      <c r="M100" s="189">
        <v>88.79</v>
      </c>
      <c r="N100" s="189">
        <v>0</v>
      </c>
      <c r="O100" s="189">
        <v>0</v>
      </c>
      <c r="P100" s="189">
        <v>1</v>
      </c>
      <c r="Q100" s="189">
        <v>4.92</v>
      </c>
    </row>
    <row r="101" spans="1:21">
      <c r="A101" s="6" t="s">
        <v>2251</v>
      </c>
      <c r="B101" s="189">
        <v>12.57</v>
      </c>
      <c r="C101" s="189">
        <v>30.38</v>
      </c>
      <c r="D101" s="189">
        <v>27.3</v>
      </c>
      <c r="E101" s="189">
        <v>7.51</v>
      </c>
      <c r="F101" s="189">
        <v>2.61</v>
      </c>
      <c r="G101" s="189">
        <v>132.74</v>
      </c>
      <c r="H101" s="189">
        <v>58.99</v>
      </c>
      <c r="I101" s="189">
        <v>10.64</v>
      </c>
      <c r="J101" s="189">
        <v>0.12</v>
      </c>
      <c r="K101" s="189">
        <v>161.13</v>
      </c>
      <c r="L101" s="189">
        <v>17.510000000000002</v>
      </c>
      <c r="M101" s="189">
        <v>86.8</v>
      </c>
      <c r="N101" s="189">
        <v>0</v>
      </c>
      <c r="O101" s="189">
        <v>0</v>
      </c>
      <c r="P101" s="189">
        <v>0.99</v>
      </c>
      <c r="Q101" s="189">
        <v>4.92</v>
      </c>
    </row>
    <row r="102" spans="1:21">
      <c r="A102" s="6" t="s">
        <v>2252</v>
      </c>
      <c r="B102" s="189">
        <v>13.11</v>
      </c>
      <c r="C102" s="189">
        <v>30.66</v>
      </c>
      <c r="D102" s="189">
        <v>27.88</v>
      </c>
      <c r="E102" s="189">
        <v>7.85</v>
      </c>
      <c r="F102" s="189">
        <v>2.44</v>
      </c>
      <c r="G102" s="189">
        <v>132.74</v>
      </c>
      <c r="H102" s="189">
        <v>58.99</v>
      </c>
      <c r="I102" s="189">
        <v>10.63</v>
      </c>
      <c r="J102" s="189">
        <v>0.11</v>
      </c>
      <c r="K102" s="189">
        <v>158.66</v>
      </c>
      <c r="L102" s="189">
        <v>17.62</v>
      </c>
      <c r="M102" s="189">
        <v>83.96</v>
      </c>
      <c r="N102" s="189">
        <v>0</v>
      </c>
      <c r="O102" s="189">
        <v>0</v>
      </c>
      <c r="P102" s="189">
        <v>1</v>
      </c>
      <c r="Q102" s="189">
        <v>4.91</v>
      </c>
    </row>
    <row r="103" spans="1:21">
      <c r="A103" s="6" t="s">
        <v>2253</v>
      </c>
      <c r="B103" s="189">
        <v>15.35</v>
      </c>
      <c r="C103" s="189">
        <v>31.75</v>
      </c>
      <c r="D103" s="189">
        <v>30.25</v>
      </c>
      <c r="E103" s="189">
        <v>7.56</v>
      </c>
      <c r="F103" s="189">
        <v>2.54</v>
      </c>
      <c r="G103" s="189">
        <v>126.66</v>
      </c>
      <c r="H103" s="189">
        <v>59.99</v>
      </c>
      <c r="I103" s="189">
        <v>10.62</v>
      </c>
      <c r="J103" s="189">
        <v>0.14000000000000001</v>
      </c>
      <c r="K103" s="189">
        <v>184.93</v>
      </c>
      <c r="L103" s="189">
        <v>17.510000000000002</v>
      </c>
      <c r="M103" s="189">
        <v>84.94</v>
      </c>
      <c r="N103" s="189">
        <v>0</v>
      </c>
      <c r="O103" s="189">
        <v>0</v>
      </c>
      <c r="P103" s="189">
        <v>0.99</v>
      </c>
      <c r="Q103" s="189">
        <v>4.95</v>
      </c>
    </row>
    <row r="104" spans="1:21">
      <c r="A104" s="6" t="s">
        <v>2254</v>
      </c>
      <c r="B104" s="189">
        <v>18.309999999999999</v>
      </c>
      <c r="C104" s="189">
        <v>33.17</v>
      </c>
      <c r="D104" s="189">
        <v>33.369999999999997</v>
      </c>
      <c r="E104" s="189">
        <v>7.69</v>
      </c>
      <c r="F104" s="189">
        <v>2.4500000000000002</v>
      </c>
      <c r="G104" s="189">
        <v>125.82</v>
      </c>
      <c r="H104" s="189">
        <v>59.99</v>
      </c>
      <c r="I104" s="189">
        <v>10.56</v>
      </c>
      <c r="J104" s="189">
        <v>0.11</v>
      </c>
      <c r="K104" s="189">
        <v>191.97</v>
      </c>
      <c r="L104" s="189">
        <v>17.38</v>
      </c>
      <c r="M104" s="189">
        <v>87.13</v>
      </c>
      <c r="N104" s="189">
        <v>0</v>
      </c>
      <c r="O104" s="189">
        <v>0</v>
      </c>
      <c r="P104" s="189">
        <v>0.99</v>
      </c>
      <c r="Q104" s="189">
        <v>4.9800000000000004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4.4000000000000004</v>
      </c>
      <c r="C106" s="183">
        <f>MIN(C9:C104)</f>
        <v>18.850000000000001</v>
      </c>
      <c r="D106" s="183">
        <f t="shared" ref="D106:Q106" si="0">MIN(D9:D104)</f>
        <v>15.18</v>
      </c>
      <c r="E106" s="183">
        <f t="shared" si="0"/>
        <v>4.09</v>
      </c>
      <c r="F106" s="183">
        <f t="shared" si="0"/>
        <v>2.2999999999999998</v>
      </c>
      <c r="G106" s="183">
        <f t="shared" si="0"/>
        <v>82.46</v>
      </c>
      <c r="H106" s="183">
        <f t="shared" si="0"/>
        <v>45.59</v>
      </c>
      <c r="I106" s="183">
        <f t="shared" si="0"/>
        <v>7.44</v>
      </c>
      <c r="J106" s="183">
        <f t="shared" si="0"/>
        <v>0.05</v>
      </c>
      <c r="K106" s="183">
        <f t="shared" si="0"/>
        <v>29.68</v>
      </c>
      <c r="L106" s="183">
        <f t="shared" si="0"/>
        <v>14.61</v>
      </c>
      <c r="M106" s="183">
        <f t="shared" si="0"/>
        <v>42.47</v>
      </c>
      <c r="N106" s="183">
        <f t="shared" si="0"/>
        <v>0</v>
      </c>
      <c r="O106" s="183">
        <f t="shared" si="0"/>
        <v>0</v>
      </c>
      <c r="P106" s="183">
        <f t="shared" si="0"/>
        <v>0.62</v>
      </c>
      <c r="Q106" s="183">
        <f t="shared" si="0"/>
        <v>4.76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57.62</v>
      </c>
      <c r="C107" s="184">
        <f t="shared" ref="C107:Q107" si="1">MAX(C9:C104)</f>
        <v>33.86</v>
      </c>
      <c r="D107" s="184">
        <f t="shared" si="1"/>
        <v>63.2</v>
      </c>
      <c r="E107" s="184">
        <f t="shared" si="1"/>
        <v>7.88</v>
      </c>
      <c r="F107" s="184">
        <f t="shared" si="1"/>
        <v>5.28</v>
      </c>
      <c r="G107" s="184">
        <f t="shared" si="1"/>
        <v>144.86000000000001</v>
      </c>
      <c r="H107" s="184">
        <f t="shared" si="1"/>
        <v>65.5</v>
      </c>
      <c r="I107" s="184">
        <f t="shared" si="1"/>
        <v>12.9</v>
      </c>
      <c r="J107" s="184">
        <f t="shared" si="1"/>
        <v>0.43</v>
      </c>
      <c r="K107" s="184">
        <f t="shared" si="1"/>
        <v>293.19</v>
      </c>
      <c r="L107" s="184">
        <f t="shared" si="1"/>
        <v>27.38</v>
      </c>
      <c r="M107" s="184">
        <f t="shared" si="1"/>
        <v>96.66</v>
      </c>
      <c r="N107" s="184">
        <f t="shared" si="1"/>
        <v>400.2</v>
      </c>
      <c r="O107" s="184">
        <f t="shared" si="1"/>
        <v>0</v>
      </c>
      <c r="P107" s="184">
        <f t="shared" si="1"/>
        <v>1.1299999999999999</v>
      </c>
      <c r="Q107" s="184">
        <f t="shared" si="1"/>
        <v>5.58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22.966354166666658</v>
      </c>
      <c r="C108" s="183">
        <f t="shared" ref="C108:Q108" si="2">AVERAGE(C9:C104)</f>
        <v>28.80489583333333</v>
      </c>
      <c r="D108" s="183">
        <f t="shared" si="2"/>
        <v>34.818541666666661</v>
      </c>
      <c r="E108" s="183">
        <f t="shared" si="2"/>
        <v>5.8659374999999985</v>
      </c>
      <c r="F108" s="183">
        <f t="shared" si="2"/>
        <v>2.9263541666666661</v>
      </c>
      <c r="G108" s="183">
        <f t="shared" si="2"/>
        <v>110.72031250000003</v>
      </c>
      <c r="H108" s="183">
        <f t="shared" si="2"/>
        <v>56.820208333333341</v>
      </c>
      <c r="I108" s="183">
        <f t="shared" si="2"/>
        <v>10.167083333333336</v>
      </c>
      <c r="J108" s="183">
        <f t="shared" si="2"/>
        <v>0.16270833333333337</v>
      </c>
      <c r="K108" s="183">
        <f t="shared" si="2"/>
        <v>151.23270833333331</v>
      </c>
      <c r="L108" s="183">
        <f t="shared" si="2"/>
        <v>20.18812500000001</v>
      </c>
      <c r="M108" s="183">
        <f t="shared" si="2"/>
        <v>74.333437500000016</v>
      </c>
      <c r="N108" s="183">
        <f t="shared" si="2"/>
        <v>75.655208333333306</v>
      </c>
      <c r="O108" s="183">
        <f t="shared" si="2"/>
        <v>0</v>
      </c>
      <c r="P108" s="183">
        <f t="shared" si="2"/>
        <v>0.93125000000000047</v>
      </c>
      <c r="Q108" s="183">
        <f t="shared" si="2"/>
        <v>5.115520833333334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17.106818346390526</v>
      </c>
      <c r="C109" s="183">
        <f t="shared" ref="C109:Q109" si="3">STDEV(C9:C104)</f>
        <v>4.1734433580342039</v>
      </c>
      <c r="D109" s="183">
        <f t="shared" si="3"/>
        <v>14.796037021280002</v>
      </c>
      <c r="E109" s="183">
        <f t="shared" si="3"/>
        <v>1.040681535922757</v>
      </c>
      <c r="F109" s="183">
        <f t="shared" si="3"/>
        <v>0.65343645411119522</v>
      </c>
      <c r="G109" s="183">
        <f t="shared" si="3"/>
        <v>19.528068568257417</v>
      </c>
      <c r="H109" s="183">
        <f t="shared" si="3"/>
        <v>6.8079666922256186</v>
      </c>
      <c r="I109" s="183">
        <f t="shared" si="3"/>
        <v>1.6571026818654295</v>
      </c>
      <c r="J109" s="183">
        <f t="shared" si="3"/>
        <v>7.213261422607456E-2</v>
      </c>
      <c r="K109" s="183">
        <f t="shared" si="3"/>
        <v>49.051273012702481</v>
      </c>
      <c r="L109" s="183">
        <f t="shared" si="3"/>
        <v>4.3734404889658851</v>
      </c>
      <c r="M109" s="183">
        <f t="shared" si="3"/>
        <v>19.535402078662241</v>
      </c>
      <c r="N109" s="183">
        <f t="shared" si="3"/>
        <v>120.71253183082848</v>
      </c>
      <c r="O109" s="183">
        <f t="shared" si="3"/>
        <v>0</v>
      </c>
      <c r="P109" s="183">
        <f t="shared" si="3"/>
        <v>0.17158855316991911</v>
      </c>
      <c r="Q109" s="183">
        <f t="shared" si="3"/>
        <v>0.23821648620164584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1" t="s">
        <v>56</v>
      </c>
      <c r="C115" s="191"/>
      <c r="D115" s="19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7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2255</v>
      </c>
      <c r="B9" s="189">
        <v>22.11</v>
      </c>
      <c r="C9" s="189">
        <v>33.880000000000003</v>
      </c>
      <c r="D9" s="189">
        <v>36.79</v>
      </c>
      <c r="E9" s="189">
        <v>7.44</v>
      </c>
      <c r="F9" s="189">
        <v>2.5099999999999998</v>
      </c>
      <c r="G9" s="189">
        <v>125.82</v>
      </c>
      <c r="H9" s="189">
        <v>59.99</v>
      </c>
      <c r="I9" s="189">
        <v>10.5</v>
      </c>
      <c r="J9" s="189">
        <v>0.16</v>
      </c>
      <c r="K9" s="189">
        <v>208.77</v>
      </c>
      <c r="L9" s="189">
        <v>17.170000000000002</v>
      </c>
      <c r="M9" s="189">
        <v>91.31</v>
      </c>
      <c r="N9" s="189">
        <v>0</v>
      </c>
      <c r="O9" s="189">
        <v>0</v>
      </c>
      <c r="P9" s="189">
        <v>1</v>
      </c>
      <c r="Q9" s="189">
        <v>5.04</v>
      </c>
    </row>
    <row r="10" spans="1:21" customFormat="1">
      <c r="A10" s="6" t="s">
        <v>2256</v>
      </c>
      <c r="B10" s="189">
        <v>22.31</v>
      </c>
      <c r="C10" s="189">
        <v>33.89</v>
      </c>
      <c r="D10" s="189">
        <v>36.94</v>
      </c>
      <c r="E10" s="189">
        <v>7.67</v>
      </c>
      <c r="F10" s="189">
        <v>2.5499999999999998</v>
      </c>
      <c r="G10" s="189">
        <v>125.82</v>
      </c>
      <c r="H10" s="189">
        <v>59.99</v>
      </c>
      <c r="I10" s="189">
        <v>10.49</v>
      </c>
      <c r="J10" s="189">
        <v>0.12</v>
      </c>
      <c r="K10" s="189">
        <v>172.55</v>
      </c>
      <c r="L10" s="189">
        <v>16.93</v>
      </c>
      <c r="M10" s="189">
        <v>91.52</v>
      </c>
      <c r="N10" s="189">
        <v>0</v>
      </c>
      <c r="O10" s="189">
        <v>0</v>
      </c>
      <c r="P10" s="189">
        <v>1</v>
      </c>
      <c r="Q10" s="189">
        <v>5.0599999999999996</v>
      </c>
    </row>
    <row r="11" spans="1:21" customFormat="1">
      <c r="A11" s="6" t="s">
        <v>2257</v>
      </c>
      <c r="B11" s="189">
        <v>22.25</v>
      </c>
      <c r="C11" s="189">
        <v>33.619999999999997</v>
      </c>
      <c r="D11" s="189">
        <v>36.75</v>
      </c>
      <c r="E11" s="189">
        <v>7.73</v>
      </c>
      <c r="F11" s="189">
        <v>2.4500000000000002</v>
      </c>
      <c r="G11" s="189">
        <v>120.6</v>
      </c>
      <c r="H11" s="189">
        <v>58.99</v>
      </c>
      <c r="I11" s="189">
        <v>10.51</v>
      </c>
      <c r="J11" s="189">
        <v>0.15</v>
      </c>
      <c r="K11" s="189">
        <v>163.69999999999999</v>
      </c>
      <c r="L11" s="189">
        <v>16.87</v>
      </c>
      <c r="M11" s="189">
        <v>91.41</v>
      </c>
      <c r="N11" s="189">
        <v>0</v>
      </c>
      <c r="O11" s="189">
        <v>0</v>
      </c>
      <c r="P11" s="189">
        <v>0.99</v>
      </c>
      <c r="Q11" s="189">
        <v>5.0599999999999996</v>
      </c>
    </row>
    <row r="12" spans="1:21" customFormat="1">
      <c r="A12" s="6" t="s">
        <v>2258</v>
      </c>
      <c r="B12" s="189">
        <v>21.85</v>
      </c>
      <c r="C12" s="189">
        <v>33.32</v>
      </c>
      <c r="D12" s="189">
        <v>36.28</v>
      </c>
      <c r="E12" s="189">
        <v>7.66</v>
      </c>
      <c r="F12" s="189">
        <v>2.5</v>
      </c>
      <c r="G12" s="189">
        <v>119.88</v>
      </c>
      <c r="H12" s="189">
        <v>58.99</v>
      </c>
      <c r="I12" s="189">
        <v>10.53</v>
      </c>
      <c r="J12" s="189">
        <v>0.14000000000000001</v>
      </c>
      <c r="K12" s="189">
        <v>152.62</v>
      </c>
      <c r="L12" s="189">
        <v>16.760000000000002</v>
      </c>
      <c r="M12" s="189">
        <v>91.47</v>
      </c>
      <c r="N12" s="189">
        <v>0</v>
      </c>
      <c r="O12" s="189">
        <v>0</v>
      </c>
      <c r="P12" s="189">
        <v>0.99</v>
      </c>
      <c r="Q12" s="189">
        <v>5.04</v>
      </c>
    </row>
    <row r="13" spans="1:21" customFormat="1">
      <c r="A13" s="6" t="s">
        <v>2259</v>
      </c>
      <c r="B13" s="189">
        <v>21.62</v>
      </c>
      <c r="C13" s="189">
        <v>30.71</v>
      </c>
      <c r="D13" s="189">
        <v>34.74</v>
      </c>
      <c r="E13" s="189">
        <v>7.44</v>
      </c>
      <c r="F13" s="189">
        <v>2.87</v>
      </c>
      <c r="G13" s="189">
        <v>119.88</v>
      </c>
      <c r="H13" s="189">
        <v>58.99</v>
      </c>
      <c r="I13" s="189">
        <v>10.72</v>
      </c>
      <c r="J13" s="189">
        <v>0.15</v>
      </c>
      <c r="K13" s="189">
        <v>169.11</v>
      </c>
      <c r="L13" s="189">
        <v>16.739999999999998</v>
      </c>
      <c r="M13" s="189">
        <v>91.47</v>
      </c>
      <c r="N13" s="189">
        <v>0</v>
      </c>
      <c r="O13" s="189">
        <v>0</v>
      </c>
      <c r="P13" s="189">
        <v>0.98</v>
      </c>
      <c r="Q13" s="189">
        <v>5.03</v>
      </c>
    </row>
    <row r="14" spans="1:21" customFormat="1">
      <c r="A14" s="6" t="s">
        <v>2260</v>
      </c>
      <c r="B14" s="189">
        <v>21.42</v>
      </c>
      <c r="C14" s="189">
        <v>27.65</v>
      </c>
      <c r="D14" s="189">
        <v>32.97</v>
      </c>
      <c r="E14" s="189">
        <v>7.15</v>
      </c>
      <c r="F14" s="189">
        <v>2.92</v>
      </c>
      <c r="G14" s="189">
        <v>119.88</v>
      </c>
      <c r="H14" s="189">
        <v>58.99</v>
      </c>
      <c r="I14" s="189">
        <v>11</v>
      </c>
      <c r="J14" s="189">
        <v>0.1</v>
      </c>
      <c r="K14" s="189">
        <v>174.69</v>
      </c>
      <c r="L14" s="189">
        <v>16.39</v>
      </c>
      <c r="M14" s="189">
        <v>93.43</v>
      </c>
      <c r="N14" s="189">
        <v>0</v>
      </c>
      <c r="O14" s="189">
        <v>0</v>
      </c>
      <c r="P14" s="189">
        <v>0.97</v>
      </c>
      <c r="Q14" s="189">
        <v>5.0199999999999996</v>
      </c>
    </row>
    <row r="15" spans="1:21" customFormat="1">
      <c r="A15" s="6" t="s">
        <v>2261</v>
      </c>
      <c r="B15" s="189">
        <v>20.93</v>
      </c>
      <c r="C15" s="189">
        <v>27.53</v>
      </c>
      <c r="D15" s="189">
        <v>32.520000000000003</v>
      </c>
      <c r="E15" s="189">
        <v>7.1</v>
      </c>
      <c r="F15" s="189">
        <v>2.63</v>
      </c>
      <c r="G15" s="189">
        <v>105.12</v>
      </c>
      <c r="H15" s="189">
        <v>58.75</v>
      </c>
      <c r="I15" s="189">
        <v>11.19</v>
      </c>
      <c r="J15" s="189">
        <v>0.16</v>
      </c>
      <c r="K15" s="189">
        <v>158.87</v>
      </c>
      <c r="L15" s="189">
        <v>16.329999999999998</v>
      </c>
      <c r="M15" s="189">
        <v>93.39</v>
      </c>
      <c r="N15" s="189">
        <v>0</v>
      </c>
      <c r="O15" s="189">
        <v>0</v>
      </c>
      <c r="P15" s="189">
        <v>0.96</v>
      </c>
      <c r="Q15" s="189">
        <v>5.01</v>
      </c>
    </row>
    <row r="16" spans="1:21" customFormat="1">
      <c r="A16" s="6" t="s">
        <v>2262</v>
      </c>
      <c r="B16" s="189">
        <v>20.3</v>
      </c>
      <c r="C16" s="189">
        <v>26.34</v>
      </c>
      <c r="D16" s="189">
        <v>31.39</v>
      </c>
      <c r="E16" s="189">
        <v>7.06</v>
      </c>
      <c r="F16" s="189">
        <v>2.63</v>
      </c>
      <c r="G16" s="189">
        <v>103.07</v>
      </c>
      <c r="H16" s="189">
        <v>58.75</v>
      </c>
      <c r="I16" s="189">
        <v>11.25</v>
      </c>
      <c r="J16" s="189">
        <v>0.09</v>
      </c>
      <c r="K16" s="189">
        <v>200.38</v>
      </c>
      <c r="L16" s="189">
        <v>16.18</v>
      </c>
      <c r="M16" s="189">
        <v>91.72</v>
      </c>
      <c r="N16" s="189">
        <v>0</v>
      </c>
      <c r="O16" s="189">
        <v>0</v>
      </c>
      <c r="P16" s="189">
        <v>0.96</v>
      </c>
      <c r="Q16" s="189">
        <v>5.0199999999999996</v>
      </c>
    </row>
    <row r="17" spans="1:17" customFormat="1">
      <c r="A17" s="6" t="s">
        <v>2263</v>
      </c>
      <c r="B17" s="189">
        <v>19.43</v>
      </c>
      <c r="C17" s="189">
        <v>26.86</v>
      </c>
      <c r="D17" s="189">
        <v>30.97</v>
      </c>
      <c r="E17" s="189">
        <v>6.76</v>
      </c>
      <c r="F17" s="189">
        <v>2.5299999999999998</v>
      </c>
      <c r="G17" s="189">
        <v>103.07</v>
      </c>
      <c r="H17" s="189">
        <v>58.75</v>
      </c>
      <c r="I17" s="189">
        <v>11.25</v>
      </c>
      <c r="J17" s="189">
        <v>0.09</v>
      </c>
      <c r="K17" s="189">
        <v>205.61</v>
      </c>
      <c r="L17" s="189">
        <v>16.22</v>
      </c>
      <c r="M17" s="189">
        <v>92.91</v>
      </c>
      <c r="N17" s="189">
        <v>0</v>
      </c>
      <c r="O17" s="189">
        <v>0</v>
      </c>
      <c r="P17" s="189">
        <v>0.95</v>
      </c>
      <c r="Q17" s="189">
        <v>5.0199999999999996</v>
      </c>
    </row>
    <row r="18" spans="1:17" customFormat="1">
      <c r="A18" s="6" t="s">
        <v>2264</v>
      </c>
      <c r="B18" s="189">
        <v>18.8</v>
      </c>
      <c r="C18" s="189">
        <v>26.11</v>
      </c>
      <c r="D18" s="189">
        <v>30.06</v>
      </c>
      <c r="E18" s="189">
        <v>7.13</v>
      </c>
      <c r="F18" s="189">
        <v>2.67</v>
      </c>
      <c r="G18" s="189">
        <v>103.07</v>
      </c>
      <c r="H18" s="189">
        <v>58.75</v>
      </c>
      <c r="I18" s="189">
        <v>11.21</v>
      </c>
      <c r="J18" s="189">
        <v>0.08</v>
      </c>
      <c r="K18" s="189">
        <v>281.57</v>
      </c>
      <c r="L18" s="189">
        <v>15.91</v>
      </c>
      <c r="M18" s="189">
        <v>94.83</v>
      </c>
      <c r="N18" s="189">
        <v>0</v>
      </c>
      <c r="O18" s="189">
        <v>0</v>
      </c>
      <c r="P18" s="189">
        <v>0.95</v>
      </c>
      <c r="Q18" s="189">
        <v>5.01</v>
      </c>
    </row>
    <row r="19" spans="1:17" customFormat="1">
      <c r="A19" s="6" t="s">
        <v>2265</v>
      </c>
      <c r="B19" s="189">
        <v>18.84</v>
      </c>
      <c r="C19" s="189">
        <v>25.98</v>
      </c>
      <c r="D19" s="189">
        <v>30.03</v>
      </c>
      <c r="E19" s="189">
        <v>7.82</v>
      </c>
      <c r="F19" s="189">
        <v>2.59</v>
      </c>
      <c r="G19" s="189">
        <v>98.36</v>
      </c>
      <c r="H19" s="189">
        <v>57.72</v>
      </c>
      <c r="I19" s="189">
        <v>11.16</v>
      </c>
      <c r="J19" s="189">
        <v>0.11</v>
      </c>
      <c r="K19" s="189">
        <v>164.29</v>
      </c>
      <c r="L19" s="189">
        <v>15.78</v>
      </c>
      <c r="M19" s="189">
        <v>95.11</v>
      </c>
      <c r="N19" s="189">
        <v>0</v>
      </c>
      <c r="O19" s="189">
        <v>0</v>
      </c>
      <c r="P19" s="189">
        <v>0.95</v>
      </c>
      <c r="Q19" s="189">
        <v>5.03</v>
      </c>
    </row>
    <row r="20" spans="1:17" customFormat="1">
      <c r="A20" s="6" t="s">
        <v>2266</v>
      </c>
      <c r="B20" s="189">
        <v>20.34</v>
      </c>
      <c r="C20" s="189">
        <v>26.11</v>
      </c>
      <c r="D20" s="189">
        <v>31.3</v>
      </c>
      <c r="E20" s="189">
        <v>7.28</v>
      </c>
      <c r="F20" s="189">
        <v>2.58</v>
      </c>
      <c r="G20" s="189">
        <v>97.63</v>
      </c>
      <c r="H20" s="189">
        <v>57.72</v>
      </c>
      <c r="I20" s="189">
        <v>11.12</v>
      </c>
      <c r="J20" s="189">
        <v>0.14000000000000001</v>
      </c>
      <c r="K20" s="189">
        <v>156.22</v>
      </c>
      <c r="L20" s="189">
        <v>15.89</v>
      </c>
      <c r="M20" s="189">
        <v>93.96</v>
      </c>
      <c r="N20" s="189">
        <v>0</v>
      </c>
      <c r="O20" s="189">
        <v>0</v>
      </c>
      <c r="P20" s="189">
        <v>0.95</v>
      </c>
      <c r="Q20" s="189">
        <v>5.0599999999999996</v>
      </c>
    </row>
    <row r="21" spans="1:17" customFormat="1">
      <c r="A21" s="6" t="s">
        <v>2267</v>
      </c>
      <c r="B21" s="189">
        <v>21.16</v>
      </c>
      <c r="C21" s="189">
        <v>25.75</v>
      </c>
      <c r="D21" s="189">
        <v>31.77</v>
      </c>
      <c r="E21" s="189">
        <v>7.36</v>
      </c>
      <c r="F21" s="189">
        <v>2.56</v>
      </c>
      <c r="G21" s="189">
        <v>97.63</v>
      </c>
      <c r="H21" s="189">
        <v>57.72</v>
      </c>
      <c r="I21" s="189">
        <v>11.15</v>
      </c>
      <c r="J21" s="189">
        <v>0.11</v>
      </c>
      <c r="K21" s="189">
        <v>176.33</v>
      </c>
      <c r="L21" s="189">
        <v>15.95</v>
      </c>
      <c r="M21" s="189">
        <v>93.9</v>
      </c>
      <c r="N21" s="189">
        <v>0</v>
      </c>
      <c r="O21" s="189">
        <v>0</v>
      </c>
      <c r="P21" s="189">
        <v>0.95</v>
      </c>
      <c r="Q21" s="189">
        <v>5.0999999999999996</v>
      </c>
    </row>
    <row r="22" spans="1:17" customFormat="1">
      <c r="A22" s="6" t="s">
        <v>2268</v>
      </c>
      <c r="B22" s="189">
        <v>21.37</v>
      </c>
      <c r="C22" s="189">
        <v>26.18</v>
      </c>
      <c r="D22" s="189">
        <v>32.17</v>
      </c>
      <c r="E22" s="189">
        <v>7.08</v>
      </c>
      <c r="F22" s="189">
        <v>2.61</v>
      </c>
      <c r="G22" s="189">
        <v>97.63</v>
      </c>
      <c r="H22" s="189">
        <v>57.72</v>
      </c>
      <c r="I22" s="189">
        <v>11.18</v>
      </c>
      <c r="J22" s="189">
        <v>0.14000000000000001</v>
      </c>
      <c r="K22" s="189">
        <v>233.37</v>
      </c>
      <c r="L22" s="189">
        <v>15.69</v>
      </c>
      <c r="M22" s="189">
        <v>95.64</v>
      </c>
      <c r="N22" s="189">
        <v>0</v>
      </c>
      <c r="O22" s="189">
        <v>0</v>
      </c>
      <c r="P22" s="189">
        <v>0.94</v>
      </c>
      <c r="Q22" s="189">
        <v>5.1100000000000003</v>
      </c>
    </row>
    <row r="23" spans="1:17" customFormat="1">
      <c r="A23" s="6" t="s">
        <v>2269</v>
      </c>
      <c r="B23" s="189">
        <v>21.07</v>
      </c>
      <c r="C23" s="189">
        <v>25.42</v>
      </c>
      <c r="D23" s="189">
        <v>31.53</v>
      </c>
      <c r="E23" s="189">
        <v>7.27</v>
      </c>
      <c r="F23" s="189">
        <v>2.58</v>
      </c>
      <c r="G23" s="189">
        <v>95.33</v>
      </c>
      <c r="H23" s="189">
        <v>55</v>
      </c>
      <c r="I23" s="189">
        <v>11.21</v>
      </c>
      <c r="J23" s="189">
        <v>0.05</v>
      </c>
      <c r="K23" s="189">
        <v>201.81</v>
      </c>
      <c r="L23" s="189">
        <v>15.5</v>
      </c>
      <c r="M23" s="189">
        <v>96.65</v>
      </c>
      <c r="N23" s="189">
        <v>0</v>
      </c>
      <c r="O23" s="189">
        <v>0</v>
      </c>
      <c r="P23" s="189">
        <v>0.94</v>
      </c>
      <c r="Q23" s="189">
        <v>5.09</v>
      </c>
    </row>
    <row r="24" spans="1:17" customFormat="1">
      <c r="A24" s="6" t="s">
        <v>2270</v>
      </c>
      <c r="B24" s="189">
        <v>20.59</v>
      </c>
      <c r="C24" s="189">
        <v>26.39</v>
      </c>
      <c r="D24" s="189">
        <v>31.65</v>
      </c>
      <c r="E24" s="189">
        <v>7.29</v>
      </c>
      <c r="F24" s="189">
        <v>2.36</v>
      </c>
      <c r="G24" s="189">
        <v>95.01</v>
      </c>
      <c r="H24" s="189">
        <v>55</v>
      </c>
      <c r="I24" s="189">
        <v>11.19</v>
      </c>
      <c r="J24" s="189">
        <v>0.11</v>
      </c>
      <c r="K24" s="189">
        <v>142.91</v>
      </c>
      <c r="L24" s="189">
        <v>15.36</v>
      </c>
      <c r="M24" s="189">
        <v>96.98</v>
      </c>
      <c r="N24" s="189">
        <v>0</v>
      </c>
      <c r="O24" s="189">
        <v>0</v>
      </c>
      <c r="P24" s="189">
        <v>0.94</v>
      </c>
      <c r="Q24" s="189">
        <v>5.09</v>
      </c>
    </row>
    <row r="25" spans="1:17" customFormat="1">
      <c r="A25" s="6" t="s">
        <v>2271</v>
      </c>
      <c r="B25" s="189">
        <v>21.31</v>
      </c>
      <c r="C25" s="189">
        <v>24.14</v>
      </c>
      <c r="D25" s="189">
        <v>31.05</v>
      </c>
      <c r="E25" s="189">
        <v>6.92</v>
      </c>
      <c r="F25" s="189">
        <v>2.75</v>
      </c>
      <c r="G25" s="189">
        <v>95.01</v>
      </c>
      <c r="H25" s="189">
        <v>55</v>
      </c>
      <c r="I25" s="189">
        <v>11.16</v>
      </c>
      <c r="J25" s="189">
        <v>0.11</v>
      </c>
      <c r="K25" s="189">
        <v>159.63</v>
      </c>
      <c r="L25" s="189">
        <v>15.48</v>
      </c>
      <c r="M25" s="189">
        <v>95.67</v>
      </c>
      <c r="N25" s="189">
        <v>0</v>
      </c>
      <c r="O25" s="189">
        <v>0</v>
      </c>
      <c r="P25" s="189">
        <v>0.93</v>
      </c>
      <c r="Q25" s="189">
        <v>5.09</v>
      </c>
    </row>
    <row r="26" spans="1:17" customFormat="1">
      <c r="A26" s="6" t="s">
        <v>2272</v>
      </c>
      <c r="B26" s="189">
        <v>23.48</v>
      </c>
      <c r="C26" s="189">
        <v>25.89</v>
      </c>
      <c r="D26" s="189">
        <v>33.71</v>
      </c>
      <c r="E26" s="189">
        <v>7.17</v>
      </c>
      <c r="F26" s="189">
        <v>2.35</v>
      </c>
      <c r="G26" s="189">
        <v>95.01</v>
      </c>
      <c r="H26" s="189">
        <v>55</v>
      </c>
      <c r="I26" s="189">
        <v>11.18</v>
      </c>
      <c r="J26" s="189">
        <v>0.09</v>
      </c>
      <c r="K26" s="189">
        <v>150.53</v>
      </c>
      <c r="L26" s="189">
        <v>15.48</v>
      </c>
      <c r="M26" s="189">
        <v>95.26</v>
      </c>
      <c r="N26" s="189">
        <v>0</v>
      </c>
      <c r="O26" s="189">
        <v>0</v>
      </c>
      <c r="P26" s="189">
        <v>0.94</v>
      </c>
      <c r="Q26" s="189">
        <v>5.09</v>
      </c>
    </row>
    <row r="27" spans="1:17" customFormat="1">
      <c r="A27" s="6" t="s">
        <v>2273</v>
      </c>
      <c r="B27" s="189">
        <v>25.71</v>
      </c>
      <c r="C27" s="189">
        <v>26.24</v>
      </c>
      <c r="D27" s="189">
        <v>35.68</v>
      </c>
      <c r="E27" s="189">
        <v>7.04</v>
      </c>
      <c r="F27" s="189">
        <v>2.4500000000000002</v>
      </c>
      <c r="G27" s="189">
        <v>93.44</v>
      </c>
      <c r="H27" s="189">
        <v>55.42</v>
      </c>
      <c r="I27" s="189">
        <v>11.19</v>
      </c>
      <c r="J27" s="189">
        <v>0.08</v>
      </c>
      <c r="K27" s="189">
        <v>198.68</v>
      </c>
      <c r="L27" s="189">
        <v>15.5</v>
      </c>
      <c r="M27" s="189">
        <v>95.95</v>
      </c>
      <c r="N27" s="189">
        <v>0</v>
      </c>
      <c r="O27" s="189">
        <v>0</v>
      </c>
      <c r="P27" s="189">
        <v>0.95</v>
      </c>
      <c r="Q27" s="189">
        <v>5.15</v>
      </c>
    </row>
    <row r="28" spans="1:17" customFormat="1">
      <c r="A28" s="6" t="s">
        <v>2274</v>
      </c>
      <c r="B28" s="189">
        <v>25.84</v>
      </c>
      <c r="C28" s="189">
        <v>26.23</v>
      </c>
      <c r="D28" s="189">
        <v>35.78</v>
      </c>
      <c r="E28" s="189">
        <v>7.21</v>
      </c>
      <c r="F28" s="189">
        <v>2.3199999999999998</v>
      </c>
      <c r="G28" s="189">
        <v>93.22</v>
      </c>
      <c r="H28" s="189">
        <v>55.42</v>
      </c>
      <c r="I28" s="189">
        <v>11.2</v>
      </c>
      <c r="J28" s="189">
        <v>7.0000000000000007E-2</v>
      </c>
      <c r="K28" s="189">
        <v>216.4</v>
      </c>
      <c r="L28" s="189">
        <v>15.4</v>
      </c>
      <c r="M28" s="189">
        <v>96.62</v>
      </c>
      <c r="N28" s="189">
        <v>0</v>
      </c>
      <c r="O28" s="189">
        <v>0</v>
      </c>
      <c r="P28" s="189">
        <v>0.94</v>
      </c>
      <c r="Q28" s="189">
        <v>5.16</v>
      </c>
    </row>
    <row r="29" spans="1:17" customFormat="1">
      <c r="A29" s="6" t="s">
        <v>2275</v>
      </c>
      <c r="B29" s="189">
        <v>25.24</v>
      </c>
      <c r="C29" s="189">
        <v>25.52</v>
      </c>
      <c r="D29" s="189">
        <v>34.93</v>
      </c>
      <c r="E29" s="189">
        <v>6.72</v>
      </c>
      <c r="F29" s="189">
        <v>2.5099999999999998</v>
      </c>
      <c r="G29" s="189">
        <v>93.22</v>
      </c>
      <c r="H29" s="189">
        <v>55.42</v>
      </c>
      <c r="I29" s="189">
        <v>11.23</v>
      </c>
      <c r="J29" s="189">
        <v>0.08</v>
      </c>
      <c r="K29" s="189">
        <v>214.19</v>
      </c>
      <c r="L29" s="189">
        <v>15.29</v>
      </c>
      <c r="M29" s="189">
        <v>96.95</v>
      </c>
      <c r="N29" s="189">
        <v>0</v>
      </c>
      <c r="O29" s="189">
        <v>0</v>
      </c>
      <c r="P29" s="189">
        <v>0.93</v>
      </c>
      <c r="Q29" s="189">
        <v>5.14</v>
      </c>
    </row>
    <row r="30" spans="1:17" customFormat="1">
      <c r="A30" s="6" t="s">
        <v>2276</v>
      </c>
      <c r="B30" s="189">
        <v>24.45</v>
      </c>
      <c r="C30" s="189">
        <v>25.22</v>
      </c>
      <c r="D30" s="189">
        <v>34.14</v>
      </c>
      <c r="E30" s="189">
        <v>7.26</v>
      </c>
      <c r="F30" s="189">
        <v>2.2999999999999998</v>
      </c>
      <c r="G30" s="189">
        <v>93.22</v>
      </c>
      <c r="H30" s="189">
        <v>55.42</v>
      </c>
      <c r="I30" s="189">
        <v>11.23</v>
      </c>
      <c r="J30" s="189">
        <v>0.1</v>
      </c>
      <c r="K30" s="189">
        <v>219.47</v>
      </c>
      <c r="L30" s="189">
        <v>15.17</v>
      </c>
      <c r="M30" s="189">
        <v>97.25</v>
      </c>
      <c r="N30" s="189">
        <v>0</v>
      </c>
      <c r="O30" s="189">
        <v>0</v>
      </c>
      <c r="P30" s="189">
        <v>0.93</v>
      </c>
      <c r="Q30" s="189">
        <v>5.14</v>
      </c>
    </row>
    <row r="31" spans="1:17" customFormat="1">
      <c r="A31" s="6" t="s">
        <v>2277</v>
      </c>
      <c r="B31" s="189">
        <v>23.72</v>
      </c>
      <c r="C31" s="189">
        <v>23.34</v>
      </c>
      <c r="D31" s="189">
        <v>32.56</v>
      </c>
      <c r="E31" s="189">
        <v>7.12</v>
      </c>
      <c r="F31" s="189">
        <v>2.48</v>
      </c>
      <c r="G31" s="189">
        <v>90.52</v>
      </c>
      <c r="H31" s="189">
        <v>53.09</v>
      </c>
      <c r="I31" s="189">
        <v>11.2</v>
      </c>
      <c r="J31" s="189">
        <v>0.1</v>
      </c>
      <c r="K31" s="189">
        <v>154.59</v>
      </c>
      <c r="L31" s="189">
        <v>15.08</v>
      </c>
      <c r="M31" s="189">
        <v>97.42</v>
      </c>
      <c r="N31" s="189">
        <v>0</v>
      </c>
      <c r="O31" s="189">
        <v>0</v>
      </c>
      <c r="P31" s="189">
        <v>0.92</v>
      </c>
      <c r="Q31" s="189">
        <v>5.12</v>
      </c>
    </row>
    <row r="32" spans="1:17" customFormat="1">
      <c r="A32" s="6" t="s">
        <v>2278</v>
      </c>
      <c r="B32" s="189">
        <v>22.87</v>
      </c>
      <c r="C32" s="189">
        <v>23.13</v>
      </c>
      <c r="D32" s="189">
        <v>31.78</v>
      </c>
      <c r="E32" s="189">
        <v>6.93</v>
      </c>
      <c r="F32" s="189">
        <v>2.54</v>
      </c>
      <c r="G32" s="189">
        <v>90.15</v>
      </c>
      <c r="H32" s="189">
        <v>53.09</v>
      </c>
      <c r="I32" s="189">
        <v>11.17</v>
      </c>
      <c r="J32" s="189">
        <v>0.09</v>
      </c>
      <c r="K32" s="189">
        <v>219.62</v>
      </c>
      <c r="L32" s="189">
        <v>15.02</v>
      </c>
      <c r="M32" s="189">
        <v>97.5</v>
      </c>
      <c r="N32" s="189">
        <v>0</v>
      </c>
      <c r="O32" s="189">
        <v>0</v>
      </c>
      <c r="P32" s="189">
        <v>0.93</v>
      </c>
      <c r="Q32" s="189">
        <v>5.0999999999999996</v>
      </c>
    </row>
    <row r="33" spans="1:17" customFormat="1">
      <c r="A33" s="6" t="s">
        <v>2279</v>
      </c>
      <c r="B33" s="189">
        <v>21.89</v>
      </c>
      <c r="C33" s="189">
        <v>23.41</v>
      </c>
      <c r="D33" s="189">
        <v>31.14</v>
      </c>
      <c r="E33" s="189">
        <v>6.95</v>
      </c>
      <c r="F33" s="189">
        <v>2.74</v>
      </c>
      <c r="G33" s="189">
        <v>90.15</v>
      </c>
      <c r="H33" s="189">
        <v>53.09</v>
      </c>
      <c r="I33" s="189">
        <v>11.13</v>
      </c>
      <c r="J33" s="189">
        <v>0.09</v>
      </c>
      <c r="K33" s="189">
        <v>148.44</v>
      </c>
      <c r="L33" s="189">
        <v>14.96</v>
      </c>
      <c r="M33" s="189">
        <v>97.69</v>
      </c>
      <c r="N33" s="189">
        <v>0</v>
      </c>
      <c r="O33" s="189">
        <v>0</v>
      </c>
      <c r="P33" s="189">
        <v>0.92</v>
      </c>
      <c r="Q33" s="189">
        <v>5.1100000000000003</v>
      </c>
    </row>
    <row r="34" spans="1:17" customFormat="1">
      <c r="A34" s="6" t="s">
        <v>2280</v>
      </c>
      <c r="B34" s="189">
        <v>20.99</v>
      </c>
      <c r="C34" s="189">
        <v>23.63</v>
      </c>
      <c r="D34" s="189">
        <v>30.53</v>
      </c>
      <c r="E34" s="189">
        <v>7.15</v>
      </c>
      <c r="F34" s="189">
        <v>2.8</v>
      </c>
      <c r="G34" s="189">
        <v>90.15</v>
      </c>
      <c r="H34" s="189">
        <v>53.09</v>
      </c>
      <c r="I34" s="189">
        <v>11.04</v>
      </c>
      <c r="J34" s="189">
        <v>0.13</v>
      </c>
      <c r="K34" s="189">
        <v>153.06</v>
      </c>
      <c r="L34" s="189">
        <v>14.98</v>
      </c>
      <c r="M34" s="189">
        <v>97.21</v>
      </c>
      <c r="N34" s="189">
        <v>0</v>
      </c>
      <c r="O34" s="189">
        <v>0</v>
      </c>
      <c r="P34" s="189">
        <v>0.91</v>
      </c>
      <c r="Q34" s="189">
        <v>5.09</v>
      </c>
    </row>
    <row r="35" spans="1:17" customFormat="1">
      <c r="A35" s="6" t="s">
        <v>2281</v>
      </c>
      <c r="B35" s="189">
        <v>20.38</v>
      </c>
      <c r="C35" s="189">
        <v>24</v>
      </c>
      <c r="D35" s="189">
        <v>30.23</v>
      </c>
      <c r="E35" s="189">
        <v>6.71</v>
      </c>
      <c r="F35" s="189">
        <v>2.61</v>
      </c>
      <c r="G35" s="189">
        <v>90.85</v>
      </c>
      <c r="H35" s="189">
        <v>51.77</v>
      </c>
      <c r="I35" s="189">
        <v>10.91</v>
      </c>
      <c r="J35" s="189">
        <v>0.11</v>
      </c>
      <c r="K35" s="189">
        <v>234.28</v>
      </c>
      <c r="L35" s="189">
        <v>15.03</v>
      </c>
      <c r="M35" s="189">
        <v>97.29</v>
      </c>
      <c r="N35" s="189">
        <v>0</v>
      </c>
      <c r="O35" s="189">
        <v>0</v>
      </c>
      <c r="P35" s="189">
        <v>0.92</v>
      </c>
      <c r="Q35" s="189">
        <v>5.09</v>
      </c>
    </row>
    <row r="36" spans="1:17" customFormat="1">
      <c r="A36" s="6" t="s">
        <v>2282</v>
      </c>
      <c r="B36" s="189">
        <v>19.77</v>
      </c>
      <c r="C36" s="189">
        <v>24.26</v>
      </c>
      <c r="D36" s="189">
        <v>29.88</v>
      </c>
      <c r="E36" s="189">
        <v>6.85</v>
      </c>
      <c r="F36" s="189">
        <v>2.65</v>
      </c>
      <c r="G36" s="189">
        <v>90.95</v>
      </c>
      <c r="H36" s="189">
        <v>51.77</v>
      </c>
      <c r="I36" s="189">
        <v>10.82</v>
      </c>
      <c r="J36" s="189">
        <v>7.0000000000000007E-2</v>
      </c>
      <c r="K36" s="189">
        <v>185.51</v>
      </c>
      <c r="L36" s="189">
        <v>15.06</v>
      </c>
      <c r="M36" s="189">
        <v>97.66</v>
      </c>
      <c r="N36" s="189">
        <v>2.2999999999999998</v>
      </c>
      <c r="O36" s="189">
        <v>0</v>
      </c>
      <c r="P36" s="189">
        <v>0.91</v>
      </c>
      <c r="Q36" s="189">
        <v>5.07</v>
      </c>
    </row>
    <row r="37" spans="1:17" customFormat="1">
      <c r="A37" s="6" t="s">
        <v>2283</v>
      </c>
      <c r="B37" s="189">
        <v>19.190000000000001</v>
      </c>
      <c r="C37" s="189">
        <v>24.6</v>
      </c>
      <c r="D37" s="189">
        <v>29.59</v>
      </c>
      <c r="E37" s="189">
        <v>6.81</v>
      </c>
      <c r="F37" s="189">
        <v>2.73</v>
      </c>
      <c r="G37" s="189">
        <v>90.95</v>
      </c>
      <c r="H37" s="189">
        <v>51.77</v>
      </c>
      <c r="I37" s="189">
        <v>10.83</v>
      </c>
      <c r="J37" s="189">
        <v>7.0000000000000007E-2</v>
      </c>
      <c r="K37" s="189">
        <v>198.06</v>
      </c>
      <c r="L37" s="189">
        <v>15.15</v>
      </c>
      <c r="M37" s="189">
        <v>98</v>
      </c>
      <c r="N37" s="189">
        <v>8.8000000000000007</v>
      </c>
      <c r="O37" s="189">
        <v>0</v>
      </c>
      <c r="P37" s="189">
        <v>0.91</v>
      </c>
      <c r="Q37" s="189">
        <v>5.07</v>
      </c>
    </row>
    <row r="38" spans="1:17" customFormat="1">
      <c r="A38" s="6" t="s">
        <v>2284</v>
      </c>
      <c r="B38" s="189">
        <v>18.75</v>
      </c>
      <c r="C38" s="189">
        <v>24.51</v>
      </c>
      <c r="D38" s="189">
        <v>29.19</v>
      </c>
      <c r="E38" s="189">
        <v>7.15</v>
      </c>
      <c r="F38" s="189">
        <v>2.67</v>
      </c>
      <c r="G38" s="189">
        <v>90.95</v>
      </c>
      <c r="H38" s="189">
        <v>51.77</v>
      </c>
      <c r="I38" s="189">
        <v>10.85</v>
      </c>
      <c r="J38" s="189">
        <v>0.05</v>
      </c>
      <c r="K38" s="189">
        <v>166.52</v>
      </c>
      <c r="L38" s="189">
        <v>15.48</v>
      </c>
      <c r="M38" s="189">
        <v>98.01</v>
      </c>
      <c r="N38" s="189">
        <v>22.8</v>
      </c>
      <c r="O38" s="189">
        <v>0</v>
      </c>
      <c r="P38" s="189">
        <v>0.92</v>
      </c>
      <c r="Q38" s="189">
        <v>5.0599999999999996</v>
      </c>
    </row>
    <row r="39" spans="1:17" customFormat="1">
      <c r="A39" s="6" t="s">
        <v>2285</v>
      </c>
      <c r="B39" s="189">
        <v>18.739999999999998</v>
      </c>
      <c r="C39" s="189">
        <v>24.82</v>
      </c>
      <c r="D39" s="189">
        <v>29.35</v>
      </c>
      <c r="E39" s="189">
        <v>7.02</v>
      </c>
      <c r="F39" s="189">
        <v>2.63</v>
      </c>
      <c r="G39" s="189">
        <v>89.79</v>
      </c>
      <c r="H39" s="189">
        <v>55.09</v>
      </c>
      <c r="I39" s="189">
        <v>10.95</v>
      </c>
      <c r="J39" s="189">
        <v>0.15</v>
      </c>
      <c r="K39" s="189">
        <v>155.41999999999999</v>
      </c>
      <c r="L39" s="189">
        <v>16.079999999999998</v>
      </c>
      <c r="M39" s="189">
        <v>97.21</v>
      </c>
      <c r="N39" s="189">
        <v>34.700000000000003</v>
      </c>
      <c r="O39" s="189">
        <v>0</v>
      </c>
      <c r="P39" s="189">
        <v>0.92</v>
      </c>
      <c r="Q39" s="189">
        <v>5.0199999999999996</v>
      </c>
    </row>
    <row r="40" spans="1:17" customFormat="1">
      <c r="A40" s="6" t="s">
        <v>2286</v>
      </c>
      <c r="B40" s="189">
        <v>19.84</v>
      </c>
      <c r="C40" s="189">
        <v>25.47</v>
      </c>
      <c r="D40" s="189">
        <v>30.57</v>
      </c>
      <c r="E40" s="189">
        <v>7.14</v>
      </c>
      <c r="F40" s="189">
        <v>2.63</v>
      </c>
      <c r="G40" s="189">
        <v>89.63</v>
      </c>
      <c r="H40" s="189">
        <v>55.09</v>
      </c>
      <c r="I40" s="189">
        <v>11.08</v>
      </c>
      <c r="J40" s="189">
        <v>0.19</v>
      </c>
      <c r="K40" s="189">
        <v>153.46</v>
      </c>
      <c r="L40" s="189">
        <v>16.760000000000002</v>
      </c>
      <c r="M40" s="189">
        <v>95.01</v>
      </c>
      <c r="N40" s="189">
        <v>47.9</v>
      </c>
      <c r="O40" s="189">
        <v>0</v>
      </c>
      <c r="P40" s="189">
        <v>0.94</v>
      </c>
      <c r="Q40" s="189">
        <v>5.05</v>
      </c>
    </row>
    <row r="41" spans="1:17" customFormat="1">
      <c r="A41" s="6" t="s">
        <v>2287</v>
      </c>
      <c r="B41" s="189">
        <v>21.53</v>
      </c>
      <c r="C41" s="189">
        <v>26.33</v>
      </c>
      <c r="D41" s="189">
        <v>32.369999999999997</v>
      </c>
      <c r="E41" s="189">
        <v>7.66</v>
      </c>
      <c r="F41" s="189">
        <v>2.52</v>
      </c>
      <c r="G41" s="189">
        <v>89.63</v>
      </c>
      <c r="H41" s="189">
        <v>55.09</v>
      </c>
      <c r="I41" s="189">
        <v>11.25</v>
      </c>
      <c r="J41" s="189">
        <v>0.17</v>
      </c>
      <c r="K41" s="189">
        <v>124.19</v>
      </c>
      <c r="L41" s="189">
        <v>17.690000000000001</v>
      </c>
      <c r="M41" s="189">
        <v>88.45</v>
      </c>
      <c r="N41" s="189">
        <v>81.599999999999994</v>
      </c>
      <c r="O41" s="189">
        <v>0</v>
      </c>
      <c r="P41" s="189">
        <v>0.97</v>
      </c>
      <c r="Q41" s="189">
        <v>5.09</v>
      </c>
    </row>
    <row r="42" spans="1:17" customFormat="1">
      <c r="A42" s="6" t="s">
        <v>2288</v>
      </c>
      <c r="B42" s="189">
        <v>22.8</v>
      </c>
      <c r="C42" s="189">
        <v>27.45</v>
      </c>
      <c r="D42" s="189">
        <v>33.97</v>
      </c>
      <c r="E42" s="189">
        <v>7.96</v>
      </c>
      <c r="F42" s="189">
        <v>2.54</v>
      </c>
      <c r="G42" s="189">
        <v>89.63</v>
      </c>
      <c r="H42" s="189">
        <v>55.09</v>
      </c>
      <c r="I42" s="189">
        <v>11.52</v>
      </c>
      <c r="J42" s="189">
        <v>0.18</v>
      </c>
      <c r="K42" s="189">
        <v>137.65</v>
      </c>
      <c r="L42" s="189">
        <v>18.38</v>
      </c>
      <c r="M42" s="189">
        <v>82.64</v>
      </c>
      <c r="N42" s="189">
        <v>107</v>
      </c>
      <c r="O42" s="189">
        <v>0</v>
      </c>
      <c r="P42" s="189">
        <v>1.01</v>
      </c>
      <c r="Q42" s="189">
        <v>5.0999999999999996</v>
      </c>
    </row>
    <row r="43" spans="1:17" customFormat="1">
      <c r="A43" s="6" t="s">
        <v>2289</v>
      </c>
      <c r="B43" s="189">
        <v>22.9</v>
      </c>
      <c r="C43" s="189">
        <v>29.21</v>
      </c>
      <c r="D43" s="189">
        <v>34.979999999999997</v>
      </c>
      <c r="E43" s="189">
        <v>7.71</v>
      </c>
      <c r="F43" s="189">
        <v>2.5499999999999998</v>
      </c>
      <c r="G43" s="189">
        <v>114.06</v>
      </c>
      <c r="H43" s="189">
        <v>65.23</v>
      </c>
      <c r="I43" s="189">
        <v>11.93</v>
      </c>
      <c r="J43" s="189">
        <v>0.24</v>
      </c>
      <c r="K43" s="189">
        <v>155.35</v>
      </c>
      <c r="L43" s="189">
        <v>19.28</v>
      </c>
      <c r="M43" s="189">
        <v>82.04</v>
      </c>
      <c r="N43" s="189">
        <v>125.9</v>
      </c>
      <c r="O43" s="189">
        <v>0</v>
      </c>
      <c r="P43" s="189">
        <v>1.04</v>
      </c>
      <c r="Q43" s="189">
        <v>5.09</v>
      </c>
    </row>
    <row r="44" spans="1:17" customFormat="1">
      <c r="A44" s="6" t="s">
        <v>2290</v>
      </c>
      <c r="B44" s="189">
        <v>22.49</v>
      </c>
      <c r="C44" s="189">
        <v>30.82</v>
      </c>
      <c r="D44" s="189">
        <v>35.49</v>
      </c>
      <c r="E44" s="189">
        <v>7.69</v>
      </c>
      <c r="F44" s="189">
        <v>2.61</v>
      </c>
      <c r="G44" s="189">
        <v>117.46</v>
      </c>
      <c r="H44" s="189">
        <v>65.23</v>
      </c>
      <c r="I44" s="189">
        <v>12.38</v>
      </c>
      <c r="J44" s="189">
        <v>0.32</v>
      </c>
      <c r="K44" s="189">
        <v>153.22</v>
      </c>
      <c r="L44" s="189">
        <v>20.25</v>
      </c>
      <c r="M44" s="189">
        <v>78.28</v>
      </c>
      <c r="N44" s="189">
        <v>141.9</v>
      </c>
      <c r="O44" s="189">
        <v>0</v>
      </c>
      <c r="P44" s="189">
        <v>1.0900000000000001</v>
      </c>
      <c r="Q44" s="189">
        <v>5.09</v>
      </c>
    </row>
    <row r="45" spans="1:17" customFormat="1">
      <c r="A45" s="6" t="s">
        <v>2291</v>
      </c>
      <c r="B45" s="189">
        <v>21.87</v>
      </c>
      <c r="C45" s="189">
        <v>32.31</v>
      </c>
      <c r="D45" s="189">
        <v>35.78</v>
      </c>
      <c r="E45" s="189">
        <v>7.99</v>
      </c>
      <c r="F45" s="189">
        <v>2.73</v>
      </c>
      <c r="G45" s="189">
        <v>117.46</v>
      </c>
      <c r="H45" s="189">
        <v>65.23</v>
      </c>
      <c r="I45" s="189">
        <v>12.82</v>
      </c>
      <c r="J45" s="189">
        <v>0.27</v>
      </c>
      <c r="K45" s="189">
        <v>152.06</v>
      </c>
      <c r="L45" s="189">
        <v>21</v>
      </c>
      <c r="M45" s="189">
        <v>73.989999999999995</v>
      </c>
      <c r="N45" s="189">
        <v>126.3</v>
      </c>
      <c r="O45" s="189">
        <v>0</v>
      </c>
      <c r="P45" s="189">
        <v>1.1399999999999999</v>
      </c>
      <c r="Q45" s="189">
        <v>5.08</v>
      </c>
    </row>
    <row r="46" spans="1:17" customFormat="1">
      <c r="A46" s="6" t="s">
        <v>2292</v>
      </c>
      <c r="B46" s="189">
        <v>20.53</v>
      </c>
      <c r="C46" s="189">
        <v>33.85</v>
      </c>
      <c r="D46" s="189">
        <v>35.5</v>
      </c>
      <c r="E46" s="189">
        <v>7.89</v>
      </c>
      <c r="F46" s="189">
        <v>2.72</v>
      </c>
      <c r="G46" s="189">
        <v>117.46</v>
      </c>
      <c r="H46" s="189">
        <v>65.23</v>
      </c>
      <c r="I46" s="189">
        <v>13.42</v>
      </c>
      <c r="J46" s="189">
        <v>0.28000000000000003</v>
      </c>
      <c r="K46" s="189">
        <v>141.38999999999999</v>
      </c>
      <c r="L46" s="189">
        <v>21.93</v>
      </c>
      <c r="M46" s="189">
        <v>68.36</v>
      </c>
      <c r="N46" s="189">
        <v>129.1</v>
      </c>
      <c r="O46" s="189">
        <v>0</v>
      </c>
      <c r="P46" s="189">
        <v>1.17</v>
      </c>
      <c r="Q46" s="189">
        <v>5.0599999999999996</v>
      </c>
    </row>
    <row r="47" spans="1:17" customFormat="1">
      <c r="A47" s="6" t="s">
        <v>2293</v>
      </c>
      <c r="B47" s="189">
        <v>18.41</v>
      </c>
      <c r="C47" s="189">
        <v>34.36</v>
      </c>
      <c r="D47" s="189">
        <v>34.07</v>
      </c>
      <c r="E47" s="189">
        <v>7.73</v>
      </c>
      <c r="F47" s="189">
        <v>2.78</v>
      </c>
      <c r="G47" s="189">
        <v>209.49</v>
      </c>
      <c r="H47" s="189">
        <v>87.4</v>
      </c>
      <c r="I47" s="189">
        <v>14.02</v>
      </c>
      <c r="J47" s="189">
        <v>0.3</v>
      </c>
      <c r="K47" s="189">
        <v>143.63</v>
      </c>
      <c r="L47" s="189">
        <v>22.67</v>
      </c>
      <c r="M47" s="189">
        <v>65.22</v>
      </c>
      <c r="N47" s="189">
        <v>144.1</v>
      </c>
      <c r="O47" s="189">
        <v>0</v>
      </c>
      <c r="P47" s="189">
        <v>1.18</v>
      </c>
      <c r="Q47" s="189">
        <v>5.04</v>
      </c>
    </row>
    <row r="48" spans="1:17" customFormat="1">
      <c r="A48" s="6" t="s">
        <v>2294</v>
      </c>
      <c r="B48" s="189">
        <v>16.23</v>
      </c>
      <c r="C48" s="189">
        <v>34.32</v>
      </c>
      <c r="D48" s="189">
        <v>32.299999999999997</v>
      </c>
      <c r="E48" s="189">
        <v>8</v>
      </c>
      <c r="F48" s="189">
        <v>2.87</v>
      </c>
      <c r="G48" s="189">
        <v>222.3</v>
      </c>
      <c r="H48" s="189">
        <v>87.4</v>
      </c>
      <c r="I48" s="189">
        <v>14.29</v>
      </c>
      <c r="J48" s="189">
        <v>0.18</v>
      </c>
      <c r="K48" s="189">
        <v>168</v>
      </c>
      <c r="L48" s="189">
        <v>23.13</v>
      </c>
      <c r="M48" s="189">
        <v>62.28</v>
      </c>
      <c r="N48" s="189">
        <v>179.2</v>
      </c>
      <c r="O48" s="189">
        <v>0</v>
      </c>
      <c r="P48" s="189">
        <v>1.1599999999999999</v>
      </c>
      <c r="Q48" s="189">
        <v>5.0199999999999996</v>
      </c>
    </row>
    <row r="49" spans="1:17" customFormat="1">
      <c r="A49" s="6" t="s">
        <v>2295</v>
      </c>
      <c r="B49" s="189">
        <v>13.95</v>
      </c>
      <c r="C49" s="189">
        <v>33.89</v>
      </c>
      <c r="D49" s="189">
        <v>30.24</v>
      </c>
      <c r="E49" s="189">
        <v>5.81</v>
      </c>
      <c r="F49" s="189">
        <v>2.98</v>
      </c>
      <c r="G49" s="189">
        <v>222.3</v>
      </c>
      <c r="H49" s="189">
        <v>87.4</v>
      </c>
      <c r="I49" s="189">
        <v>14.48</v>
      </c>
      <c r="J49" s="189">
        <v>0.23</v>
      </c>
      <c r="K49" s="189">
        <v>162.29</v>
      </c>
      <c r="L49" s="189">
        <v>23.55</v>
      </c>
      <c r="M49" s="189">
        <v>60.56</v>
      </c>
      <c r="N49" s="189">
        <v>273.7</v>
      </c>
      <c r="O49" s="189">
        <v>0</v>
      </c>
      <c r="P49" s="189">
        <v>1.1399999999999999</v>
      </c>
      <c r="Q49" s="189">
        <v>4.9800000000000004</v>
      </c>
    </row>
    <row r="50" spans="1:17" customFormat="1">
      <c r="A50" s="6" t="s">
        <v>2296</v>
      </c>
      <c r="B50" s="189">
        <v>11.77</v>
      </c>
      <c r="C50" s="189">
        <v>33.24</v>
      </c>
      <c r="D50" s="189">
        <v>28.16</v>
      </c>
      <c r="E50" s="189">
        <v>6.21</v>
      </c>
      <c r="F50" s="189">
        <v>3.12</v>
      </c>
      <c r="G50" s="189">
        <v>222.3</v>
      </c>
      <c r="H50" s="189">
        <v>87.4</v>
      </c>
      <c r="I50" s="189">
        <v>14.51</v>
      </c>
      <c r="J50" s="189">
        <v>0.31</v>
      </c>
      <c r="K50" s="189">
        <v>259.44</v>
      </c>
      <c r="L50" s="189">
        <v>23.98</v>
      </c>
      <c r="M50" s="189">
        <v>58.33</v>
      </c>
      <c r="N50" s="189">
        <v>303.8</v>
      </c>
      <c r="O50" s="189">
        <v>0</v>
      </c>
      <c r="P50" s="189">
        <v>1.1100000000000001</v>
      </c>
      <c r="Q50" s="189">
        <v>4.9400000000000004</v>
      </c>
    </row>
    <row r="51" spans="1:17" customFormat="1">
      <c r="A51" s="6" t="s">
        <v>2297</v>
      </c>
      <c r="B51" s="189">
        <v>9.9499999999999993</v>
      </c>
      <c r="C51" s="189">
        <v>32.78</v>
      </c>
      <c r="D51" s="189">
        <v>26.46</v>
      </c>
      <c r="E51" s="189">
        <v>6.45</v>
      </c>
      <c r="F51" s="189">
        <v>3.28</v>
      </c>
      <c r="G51" s="189">
        <v>104.5</v>
      </c>
      <c r="H51" s="189">
        <v>74.16</v>
      </c>
      <c r="I51" s="189">
        <v>14.24</v>
      </c>
      <c r="J51" s="189">
        <v>0.2</v>
      </c>
      <c r="K51" s="189">
        <v>260.75</v>
      </c>
      <c r="L51" s="189">
        <v>24.49</v>
      </c>
      <c r="M51" s="189">
        <v>57.02</v>
      </c>
      <c r="N51" s="189">
        <v>330.5</v>
      </c>
      <c r="O51" s="189">
        <v>0</v>
      </c>
      <c r="P51" s="189">
        <v>1.0900000000000001</v>
      </c>
      <c r="Q51" s="189">
        <v>4.8899999999999997</v>
      </c>
    </row>
    <row r="52" spans="1:17" customFormat="1">
      <c r="A52" s="6" t="s">
        <v>2298</v>
      </c>
      <c r="B52" s="189">
        <v>8.94</v>
      </c>
      <c r="C52" s="189">
        <v>32.049999999999997</v>
      </c>
      <c r="D52" s="189">
        <v>25.27</v>
      </c>
      <c r="E52" s="189">
        <v>6.13</v>
      </c>
      <c r="F52" s="189">
        <v>3.06</v>
      </c>
      <c r="G52" s="189">
        <v>86.38</v>
      </c>
      <c r="H52" s="189">
        <v>74.16</v>
      </c>
      <c r="I52" s="189">
        <v>13.85</v>
      </c>
      <c r="J52" s="189">
        <v>0.28000000000000003</v>
      </c>
      <c r="K52" s="189">
        <v>168.71</v>
      </c>
      <c r="L52" s="189">
        <v>25.25</v>
      </c>
      <c r="M52" s="189">
        <v>54.18</v>
      </c>
      <c r="N52" s="189">
        <v>343.1</v>
      </c>
      <c r="O52" s="189">
        <v>0</v>
      </c>
      <c r="P52" s="189">
        <v>1.06</v>
      </c>
      <c r="Q52" s="189">
        <v>4.8499999999999996</v>
      </c>
    </row>
    <row r="53" spans="1:17" customFormat="1">
      <c r="A53" s="6" t="s">
        <v>2299</v>
      </c>
      <c r="B53" s="189">
        <v>8.49</v>
      </c>
      <c r="C53" s="189">
        <v>28.08</v>
      </c>
      <c r="D53" s="189">
        <v>22.83</v>
      </c>
      <c r="E53" s="189">
        <v>5.87</v>
      </c>
      <c r="F53" s="189">
        <v>3.21</v>
      </c>
      <c r="G53" s="189">
        <v>86.38</v>
      </c>
      <c r="H53" s="189">
        <v>74.16</v>
      </c>
      <c r="I53" s="189">
        <v>13.51</v>
      </c>
      <c r="J53" s="189">
        <v>0.3</v>
      </c>
      <c r="K53" s="189">
        <v>113.13</v>
      </c>
      <c r="L53" s="189">
        <v>25.57</v>
      </c>
      <c r="M53" s="189">
        <v>52.12</v>
      </c>
      <c r="N53" s="189">
        <v>339.2</v>
      </c>
      <c r="O53" s="189">
        <v>0</v>
      </c>
      <c r="P53" s="189">
        <v>1.03</v>
      </c>
      <c r="Q53" s="189">
        <v>4.83</v>
      </c>
    </row>
    <row r="54" spans="1:17" customFormat="1">
      <c r="A54" s="6" t="s">
        <v>2300</v>
      </c>
      <c r="B54" s="189">
        <v>7.93</v>
      </c>
      <c r="C54" s="189">
        <v>25.28</v>
      </c>
      <c r="D54" s="189">
        <v>20.92</v>
      </c>
      <c r="E54" s="189">
        <v>5.52</v>
      </c>
      <c r="F54" s="189">
        <v>3.52</v>
      </c>
      <c r="G54" s="189">
        <v>86.38</v>
      </c>
      <c r="H54" s="189">
        <v>74.16</v>
      </c>
      <c r="I54" s="189">
        <v>13.21</v>
      </c>
      <c r="J54" s="189">
        <v>0.26</v>
      </c>
      <c r="K54" s="189">
        <v>139.25</v>
      </c>
      <c r="L54" s="189">
        <v>25.78</v>
      </c>
      <c r="M54" s="189">
        <v>50.92</v>
      </c>
      <c r="N54" s="189">
        <v>367.8</v>
      </c>
      <c r="O54" s="189">
        <v>0</v>
      </c>
      <c r="P54" s="189">
        <v>1.01</v>
      </c>
      <c r="Q54" s="189">
        <v>4.8099999999999996</v>
      </c>
    </row>
    <row r="55" spans="1:17" customFormat="1">
      <c r="A55" s="6" t="s">
        <v>2301</v>
      </c>
      <c r="B55" s="189">
        <v>7.39</v>
      </c>
      <c r="C55" s="189">
        <v>23.64</v>
      </c>
      <c r="D55" s="189">
        <v>19.62</v>
      </c>
      <c r="E55" s="189">
        <v>5.99</v>
      </c>
      <c r="F55" s="189">
        <v>3.54</v>
      </c>
      <c r="G55" s="189">
        <v>58.05</v>
      </c>
      <c r="H55" s="189">
        <v>57.71</v>
      </c>
      <c r="I55" s="189">
        <v>12.94</v>
      </c>
      <c r="J55" s="189">
        <v>0.22</v>
      </c>
      <c r="K55" s="189">
        <v>129.69999999999999</v>
      </c>
      <c r="L55" s="189">
        <v>26.06</v>
      </c>
      <c r="M55" s="189">
        <v>50.35</v>
      </c>
      <c r="N55" s="189">
        <v>370.8</v>
      </c>
      <c r="O55" s="189">
        <v>0</v>
      </c>
      <c r="P55" s="189">
        <v>0.99</v>
      </c>
      <c r="Q55" s="189">
        <v>4.82</v>
      </c>
    </row>
    <row r="56" spans="1:17" customFormat="1">
      <c r="A56" s="6" t="s">
        <v>2302</v>
      </c>
      <c r="B56" s="189">
        <v>6.89</v>
      </c>
      <c r="C56" s="189">
        <v>22.58</v>
      </c>
      <c r="D56" s="189">
        <v>18.670000000000002</v>
      </c>
      <c r="E56" s="189">
        <v>5.29</v>
      </c>
      <c r="F56" s="189">
        <v>3.42</v>
      </c>
      <c r="G56" s="189">
        <v>54.11</v>
      </c>
      <c r="H56" s="189">
        <v>57.71</v>
      </c>
      <c r="I56" s="189">
        <v>12.68</v>
      </c>
      <c r="J56" s="189">
        <v>0.21</v>
      </c>
      <c r="K56" s="189">
        <v>148.44999999999999</v>
      </c>
      <c r="L56" s="189">
        <v>26.5</v>
      </c>
      <c r="M56" s="189">
        <v>47.7</v>
      </c>
      <c r="N56" s="189">
        <v>386.3</v>
      </c>
      <c r="O56" s="189">
        <v>0</v>
      </c>
      <c r="P56" s="189">
        <v>0.97</v>
      </c>
      <c r="Q56" s="189">
        <v>4.8</v>
      </c>
    </row>
    <row r="57" spans="1:17" customFormat="1">
      <c r="A57" s="6" t="s">
        <v>2303</v>
      </c>
      <c r="B57" s="189">
        <v>6.46</v>
      </c>
      <c r="C57" s="189">
        <v>21.62</v>
      </c>
      <c r="D57" s="189">
        <v>17.829999999999998</v>
      </c>
      <c r="E57" s="189">
        <v>5.23</v>
      </c>
      <c r="F57" s="189">
        <v>3.47</v>
      </c>
      <c r="G57" s="189">
        <v>54.11</v>
      </c>
      <c r="H57" s="189">
        <v>57.71</v>
      </c>
      <c r="I57" s="189">
        <v>12.43</v>
      </c>
      <c r="J57" s="189">
        <v>0.19</v>
      </c>
      <c r="K57" s="189">
        <v>75.44</v>
      </c>
      <c r="L57" s="189">
        <v>26.67</v>
      </c>
      <c r="M57" s="189">
        <v>46.85</v>
      </c>
      <c r="N57" s="189">
        <v>385.2</v>
      </c>
      <c r="O57" s="189">
        <v>0</v>
      </c>
      <c r="P57" s="189">
        <v>0.95</v>
      </c>
      <c r="Q57" s="189">
        <v>4.8</v>
      </c>
    </row>
    <row r="58" spans="1:17" customFormat="1">
      <c r="A58" s="6" t="s">
        <v>2304</v>
      </c>
      <c r="B58" s="189">
        <v>5.99</v>
      </c>
      <c r="C58" s="189">
        <v>21.08</v>
      </c>
      <c r="D58" s="189">
        <v>17.170000000000002</v>
      </c>
      <c r="E58" s="189">
        <v>5.68</v>
      </c>
      <c r="F58" s="189">
        <v>3.47</v>
      </c>
      <c r="G58" s="189">
        <v>54.11</v>
      </c>
      <c r="H58" s="189">
        <v>57.71</v>
      </c>
      <c r="I58" s="189">
        <v>12.17</v>
      </c>
      <c r="J58" s="189">
        <v>0.26</v>
      </c>
      <c r="K58" s="189">
        <v>141.19999999999999</v>
      </c>
      <c r="L58" s="189">
        <v>26.96</v>
      </c>
      <c r="M58" s="189">
        <v>45.15</v>
      </c>
      <c r="N58" s="189">
        <v>397.5</v>
      </c>
      <c r="O58" s="189">
        <v>0</v>
      </c>
      <c r="P58" s="189">
        <v>0.93</v>
      </c>
      <c r="Q58" s="189">
        <v>4.8099999999999996</v>
      </c>
    </row>
    <row r="59" spans="1:17" customFormat="1">
      <c r="A59" s="6" t="s">
        <v>2305</v>
      </c>
      <c r="B59" s="189">
        <v>5.63</v>
      </c>
      <c r="C59" s="189">
        <v>20.48</v>
      </c>
      <c r="D59" s="189">
        <v>16.57</v>
      </c>
      <c r="E59" s="189">
        <v>5.07</v>
      </c>
      <c r="F59" s="189">
        <v>3.63</v>
      </c>
      <c r="G59" s="189">
        <v>75.77</v>
      </c>
      <c r="H59" s="189">
        <v>52.61</v>
      </c>
      <c r="I59" s="189">
        <v>11.92</v>
      </c>
      <c r="J59" s="189">
        <v>0.28999999999999998</v>
      </c>
      <c r="K59" s="189">
        <v>46.18</v>
      </c>
      <c r="L59" s="189">
        <v>27.08</v>
      </c>
      <c r="M59" s="189">
        <v>45.02</v>
      </c>
      <c r="N59" s="189">
        <v>347.9</v>
      </c>
      <c r="O59" s="189">
        <v>0</v>
      </c>
      <c r="P59" s="189">
        <v>0.92</v>
      </c>
      <c r="Q59" s="189">
        <v>4.8099999999999996</v>
      </c>
    </row>
    <row r="60" spans="1:17" customFormat="1">
      <c r="A60" s="6" t="s">
        <v>2306</v>
      </c>
      <c r="B60" s="189">
        <v>5.5</v>
      </c>
      <c r="C60" s="189">
        <v>20.079999999999998</v>
      </c>
      <c r="D60" s="189">
        <v>16.25</v>
      </c>
      <c r="E60" s="189">
        <v>5.51</v>
      </c>
      <c r="F60" s="189">
        <v>3.68</v>
      </c>
      <c r="G60" s="189">
        <v>78.78</v>
      </c>
      <c r="H60" s="189">
        <v>52.61</v>
      </c>
      <c r="I60" s="189">
        <v>11.68</v>
      </c>
      <c r="J60" s="189">
        <v>0.6</v>
      </c>
      <c r="K60" s="189">
        <v>328.24</v>
      </c>
      <c r="L60" s="189">
        <v>26.72</v>
      </c>
      <c r="M60" s="189">
        <v>43.09</v>
      </c>
      <c r="N60" s="189">
        <v>330.1</v>
      </c>
      <c r="O60" s="189">
        <v>0</v>
      </c>
      <c r="P60" s="189">
        <v>0.9</v>
      </c>
      <c r="Q60" s="189">
        <v>4.8499999999999996</v>
      </c>
    </row>
    <row r="61" spans="1:17" customFormat="1">
      <c r="A61" s="6" t="s">
        <v>2307</v>
      </c>
      <c r="B61" s="189">
        <v>5.36</v>
      </c>
      <c r="C61" s="189">
        <v>20.22</v>
      </c>
      <c r="D61" s="189">
        <v>16.21</v>
      </c>
      <c r="E61" s="189">
        <v>4.8600000000000003</v>
      </c>
      <c r="F61" s="189">
        <v>3.69</v>
      </c>
      <c r="G61" s="189">
        <v>78.78</v>
      </c>
      <c r="H61" s="189">
        <v>52.61</v>
      </c>
      <c r="I61" s="189">
        <v>11.46</v>
      </c>
      <c r="J61" s="189">
        <v>0.39</v>
      </c>
      <c r="K61" s="189">
        <v>289.13</v>
      </c>
      <c r="L61" s="189">
        <v>26.48</v>
      </c>
      <c r="M61" s="189">
        <v>43.81</v>
      </c>
      <c r="N61" s="189">
        <v>327.3</v>
      </c>
      <c r="O61" s="189">
        <v>0</v>
      </c>
      <c r="P61" s="189">
        <v>0.89</v>
      </c>
      <c r="Q61" s="189">
        <v>4.8600000000000003</v>
      </c>
    </row>
    <row r="62" spans="1:17" customFormat="1">
      <c r="A62" s="6" t="s">
        <v>2308</v>
      </c>
      <c r="B62" s="189">
        <v>5.17</v>
      </c>
      <c r="C62" s="189">
        <v>19.8</v>
      </c>
      <c r="D62" s="189">
        <v>15.84</v>
      </c>
      <c r="E62" s="189">
        <v>5.18</v>
      </c>
      <c r="F62" s="189">
        <v>3.81</v>
      </c>
      <c r="G62" s="189">
        <v>78.78</v>
      </c>
      <c r="H62" s="189">
        <v>52.61</v>
      </c>
      <c r="I62" s="189">
        <v>11.23</v>
      </c>
      <c r="J62" s="189">
        <v>0.05</v>
      </c>
      <c r="K62" s="189">
        <v>311.75</v>
      </c>
      <c r="L62" s="189">
        <v>27.12</v>
      </c>
      <c r="M62" s="189">
        <v>43.4</v>
      </c>
      <c r="N62" s="189">
        <v>299.8</v>
      </c>
      <c r="O62" s="189">
        <v>0</v>
      </c>
      <c r="P62" s="189">
        <v>0.87</v>
      </c>
      <c r="Q62" s="189">
        <v>4.8899999999999997</v>
      </c>
    </row>
    <row r="63" spans="1:17" customFormat="1">
      <c r="A63" s="6" t="s">
        <v>2309</v>
      </c>
      <c r="B63" s="189">
        <v>5.0199999999999996</v>
      </c>
      <c r="C63" s="189">
        <v>19.329999999999998</v>
      </c>
      <c r="D63" s="189">
        <v>15.48</v>
      </c>
      <c r="E63" s="189">
        <v>5.41</v>
      </c>
      <c r="F63" s="189">
        <v>4.01</v>
      </c>
      <c r="G63" s="189">
        <v>83.58</v>
      </c>
      <c r="H63" s="189">
        <v>52.25</v>
      </c>
      <c r="I63" s="189">
        <v>11.03</v>
      </c>
      <c r="J63" s="189">
        <v>0.28000000000000003</v>
      </c>
      <c r="K63" s="189">
        <v>120.94</v>
      </c>
      <c r="L63" s="189">
        <v>26.85</v>
      </c>
      <c r="M63" s="189">
        <v>44.75</v>
      </c>
      <c r="N63" s="189">
        <v>257.8</v>
      </c>
      <c r="O63" s="189">
        <v>0</v>
      </c>
      <c r="P63" s="189">
        <v>0.86</v>
      </c>
      <c r="Q63" s="189">
        <v>4.88</v>
      </c>
    </row>
    <row r="64" spans="1:17" customFormat="1">
      <c r="A64" s="6" t="s">
        <v>2310</v>
      </c>
      <c r="B64" s="189">
        <v>4.8</v>
      </c>
      <c r="C64" s="189">
        <v>19.07</v>
      </c>
      <c r="D64" s="189">
        <v>15.16</v>
      </c>
      <c r="E64" s="189">
        <v>5.07</v>
      </c>
      <c r="F64" s="189">
        <v>3.92</v>
      </c>
      <c r="G64" s="189">
        <v>84.24</v>
      </c>
      <c r="H64" s="189">
        <v>52.25</v>
      </c>
      <c r="I64" s="189">
        <v>10.84</v>
      </c>
      <c r="J64" s="189">
        <v>0.17</v>
      </c>
      <c r="K64" s="189">
        <v>270.33999999999997</v>
      </c>
      <c r="L64" s="189">
        <v>26.93</v>
      </c>
      <c r="M64" s="189">
        <v>46.24</v>
      </c>
      <c r="N64" s="189">
        <v>218.6</v>
      </c>
      <c r="O64" s="189">
        <v>0</v>
      </c>
      <c r="P64" s="189">
        <v>0.85</v>
      </c>
      <c r="Q64" s="189">
        <v>4.8600000000000003</v>
      </c>
    </row>
    <row r="65" spans="1:17" customFormat="1">
      <c r="A65" s="6" t="s">
        <v>2311</v>
      </c>
      <c r="B65" s="189">
        <v>4.68</v>
      </c>
      <c r="C65" s="189">
        <v>18.38</v>
      </c>
      <c r="D65" s="189">
        <v>14.71</v>
      </c>
      <c r="E65" s="189">
        <v>5.37</v>
      </c>
      <c r="F65" s="189">
        <v>4.04</v>
      </c>
      <c r="G65" s="189">
        <v>84.24</v>
      </c>
      <c r="H65" s="189">
        <v>52.25</v>
      </c>
      <c r="I65" s="189">
        <v>10.69</v>
      </c>
      <c r="J65" s="189">
        <v>7.0000000000000007E-2</v>
      </c>
      <c r="K65" s="189">
        <v>267.58</v>
      </c>
      <c r="L65" s="189">
        <v>26.83</v>
      </c>
      <c r="M65" s="189">
        <v>45.72</v>
      </c>
      <c r="N65" s="189">
        <v>179.3</v>
      </c>
      <c r="O65" s="189">
        <v>0</v>
      </c>
      <c r="P65" s="189">
        <v>0.81</v>
      </c>
      <c r="Q65" s="189">
        <v>4.8499999999999996</v>
      </c>
    </row>
    <row r="66" spans="1:17" customFormat="1">
      <c r="A66" s="6" t="s">
        <v>2312</v>
      </c>
      <c r="B66" s="189">
        <v>4.66</v>
      </c>
      <c r="C66" s="189">
        <v>17.88</v>
      </c>
      <c r="D66" s="189">
        <v>14.43</v>
      </c>
      <c r="E66" s="189">
        <v>5.35</v>
      </c>
      <c r="F66" s="189">
        <v>4.13</v>
      </c>
      <c r="G66" s="189">
        <v>84.24</v>
      </c>
      <c r="H66" s="189">
        <v>52.25</v>
      </c>
      <c r="I66" s="189">
        <v>10.57</v>
      </c>
      <c r="J66" s="189">
        <v>0.06</v>
      </c>
      <c r="K66" s="189">
        <v>275.11</v>
      </c>
      <c r="L66" s="189">
        <v>26.98</v>
      </c>
      <c r="M66" s="189">
        <v>45.44</v>
      </c>
      <c r="N66" s="189">
        <v>148.80000000000001</v>
      </c>
      <c r="O66" s="189">
        <v>0</v>
      </c>
      <c r="P66" s="189">
        <v>0.83</v>
      </c>
      <c r="Q66" s="189">
        <v>4.82</v>
      </c>
    </row>
    <row r="67" spans="1:17" customFormat="1">
      <c r="A67" s="6" t="s">
        <v>2313</v>
      </c>
      <c r="B67" s="189">
        <v>4.71</v>
      </c>
      <c r="C67" s="189">
        <v>17.36</v>
      </c>
      <c r="D67" s="189">
        <v>14.2</v>
      </c>
      <c r="E67" s="189">
        <v>4.87</v>
      </c>
      <c r="F67" s="189">
        <v>4.34</v>
      </c>
      <c r="G67" s="189">
        <v>86.53</v>
      </c>
      <c r="H67" s="189">
        <v>51.01</v>
      </c>
      <c r="I67" s="189">
        <v>10.45</v>
      </c>
      <c r="J67" s="189">
        <v>0.21</v>
      </c>
      <c r="K67" s="189">
        <v>286.36</v>
      </c>
      <c r="L67" s="189">
        <v>26.55</v>
      </c>
      <c r="M67" s="189">
        <v>47.38</v>
      </c>
      <c r="N67" s="189">
        <v>120.8</v>
      </c>
      <c r="O67" s="189">
        <v>0</v>
      </c>
      <c r="P67" s="189">
        <v>0.83</v>
      </c>
      <c r="Q67" s="189">
        <v>4.8499999999999996</v>
      </c>
    </row>
    <row r="68" spans="1:17" customFormat="1">
      <c r="A68" s="6" t="s">
        <v>2314</v>
      </c>
      <c r="B68" s="189">
        <v>4.58</v>
      </c>
      <c r="C68" s="189">
        <v>17.36</v>
      </c>
      <c r="D68" s="189">
        <v>14.09</v>
      </c>
      <c r="E68" s="189">
        <v>4.99</v>
      </c>
      <c r="F68" s="189">
        <v>3.98</v>
      </c>
      <c r="G68" s="189">
        <v>86.85</v>
      </c>
      <c r="H68" s="189">
        <v>51.01</v>
      </c>
      <c r="I68" s="189">
        <v>10.3</v>
      </c>
      <c r="J68" s="189">
        <v>0.17</v>
      </c>
      <c r="K68" s="189">
        <v>202.84</v>
      </c>
      <c r="L68" s="189">
        <v>26.45</v>
      </c>
      <c r="M68" s="189">
        <v>48.41</v>
      </c>
      <c r="N68" s="189">
        <v>102.4</v>
      </c>
      <c r="O68" s="189">
        <v>0</v>
      </c>
      <c r="P68" s="189">
        <v>0.82</v>
      </c>
      <c r="Q68" s="189">
        <v>4.84</v>
      </c>
    </row>
    <row r="69" spans="1:17" customFormat="1">
      <c r="A69" s="6" t="s">
        <v>2315</v>
      </c>
      <c r="B69" s="189">
        <v>4.66</v>
      </c>
      <c r="C69" s="189">
        <v>16.82</v>
      </c>
      <c r="D69" s="189">
        <v>13.87</v>
      </c>
      <c r="E69" s="189">
        <v>5.35</v>
      </c>
      <c r="F69" s="189">
        <v>3.99</v>
      </c>
      <c r="G69" s="189">
        <v>86.85</v>
      </c>
      <c r="H69" s="189">
        <v>51.01</v>
      </c>
      <c r="I69" s="189">
        <v>10.199999999999999</v>
      </c>
      <c r="J69" s="189">
        <v>0.18</v>
      </c>
      <c r="K69" s="189">
        <v>172.57</v>
      </c>
      <c r="L69" s="189">
        <v>26.2</v>
      </c>
      <c r="M69" s="189">
        <v>48.68</v>
      </c>
      <c r="N69" s="189">
        <v>86.7</v>
      </c>
      <c r="O69" s="189">
        <v>0</v>
      </c>
      <c r="P69" s="189">
        <v>0.81</v>
      </c>
      <c r="Q69" s="189">
        <v>4.84</v>
      </c>
    </row>
    <row r="70" spans="1:17" customFormat="1">
      <c r="A70" s="6" t="s">
        <v>2316</v>
      </c>
      <c r="B70" s="189">
        <v>4.6100000000000003</v>
      </c>
      <c r="C70" s="189">
        <v>16.7</v>
      </c>
      <c r="D70" s="189">
        <v>13.77</v>
      </c>
      <c r="E70" s="189">
        <v>5.3</v>
      </c>
      <c r="F70" s="189">
        <v>4.4400000000000004</v>
      </c>
      <c r="G70" s="189">
        <v>86.85</v>
      </c>
      <c r="H70" s="189">
        <v>51.01</v>
      </c>
      <c r="I70" s="189">
        <v>10.11</v>
      </c>
      <c r="J70" s="189">
        <v>0.06</v>
      </c>
      <c r="K70" s="189">
        <v>189.42</v>
      </c>
      <c r="L70" s="189">
        <v>26.2</v>
      </c>
      <c r="M70" s="189">
        <v>48.9</v>
      </c>
      <c r="N70" s="189">
        <v>71.5</v>
      </c>
      <c r="O70" s="189">
        <v>0</v>
      </c>
      <c r="P70" s="189">
        <v>0.81</v>
      </c>
      <c r="Q70" s="189">
        <v>4.84</v>
      </c>
    </row>
    <row r="71" spans="1:17" customFormat="1">
      <c r="A71" s="6" t="s">
        <v>2317</v>
      </c>
      <c r="B71" s="189">
        <v>4.49</v>
      </c>
      <c r="C71" s="189">
        <v>17.170000000000002</v>
      </c>
      <c r="D71" s="189">
        <v>13.92</v>
      </c>
      <c r="E71" s="189">
        <v>5.83</v>
      </c>
      <c r="F71" s="189">
        <v>5.44</v>
      </c>
      <c r="G71" s="189">
        <v>94.32</v>
      </c>
      <c r="H71" s="189">
        <v>52.12</v>
      </c>
      <c r="I71" s="189">
        <v>10</v>
      </c>
      <c r="J71" s="189">
        <v>0.19</v>
      </c>
      <c r="K71" s="189">
        <v>143.24</v>
      </c>
      <c r="L71" s="189">
        <v>26.02</v>
      </c>
      <c r="M71" s="189">
        <v>51.15</v>
      </c>
      <c r="N71" s="189">
        <v>57.1</v>
      </c>
      <c r="O71" s="189">
        <v>0</v>
      </c>
      <c r="P71" s="189">
        <v>0.82</v>
      </c>
      <c r="Q71" s="189">
        <v>4.8499999999999996</v>
      </c>
    </row>
    <row r="72" spans="1:17" customFormat="1">
      <c r="A72" s="6" t="s">
        <v>2318</v>
      </c>
      <c r="B72" s="189">
        <v>4.3</v>
      </c>
      <c r="C72" s="189">
        <v>18.34</v>
      </c>
      <c r="D72" s="189">
        <v>14.39</v>
      </c>
      <c r="E72" s="189">
        <v>5.9</v>
      </c>
      <c r="F72" s="189">
        <v>6.32</v>
      </c>
      <c r="G72" s="189">
        <v>95.36</v>
      </c>
      <c r="H72" s="189">
        <v>52.12</v>
      </c>
      <c r="I72" s="189">
        <v>9.8699999999999992</v>
      </c>
      <c r="J72" s="189">
        <v>0.21</v>
      </c>
      <c r="K72" s="189">
        <v>81.73</v>
      </c>
      <c r="L72" s="189">
        <v>25.81</v>
      </c>
      <c r="M72" s="189">
        <v>50.76</v>
      </c>
      <c r="N72" s="189">
        <v>42.9</v>
      </c>
      <c r="O72" s="189">
        <v>0</v>
      </c>
      <c r="P72" s="189">
        <v>0.83</v>
      </c>
      <c r="Q72" s="189">
        <v>4.83</v>
      </c>
    </row>
    <row r="73" spans="1:17" customFormat="1">
      <c r="A73" s="6" t="s">
        <v>2319</v>
      </c>
      <c r="B73" s="189">
        <v>4.37</v>
      </c>
      <c r="C73" s="189">
        <v>19.8</v>
      </c>
      <c r="D73" s="189">
        <v>15.2</v>
      </c>
      <c r="E73" s="189">
        <v>6.15</v>
      </c>
      <c r="F73" s="189">
        <v>6.45</v>
      </c>
      <c r="G73" s="189">
        <v>95.36</v>
      </c>
      <c r="H73" s="189">
        <v>52.12</v>
      </c>
      <c r="I73" s="189">
        <v>9.75</v>
      </c>
      <c r="J73" s="189">
        <v>0.24</v>
      </c>
      <c r="K73" s="189">
        <v>59.66</v>
      </c>
      <c r="L73" s="189">
        <v>25.58</v>
      </c>
      <c r="M73" s="189">
        <v>51.62</v>
      </c>
      <c r="N73" s="189">
        <v>31.8</v>
      </c>
      <c r="O73" s="189">
        <v>0</v>
      </c>
      <c r="P73" s="189">
        <v>0.84</v>
      </c>
      <c r="Q73" s="189">
        <v>4.84</v>
      </c>
    </row>
    <row r="74" spans="1:17" customFormat="1">
      <c r="A74" s="6" t="s">
        <v>2320</v>
      </c>
      <c r="B74" s="189">
        <v>4.5</v>
      </c>
      <c r="C74" s="189">
        <v>21.05</v>
      </c>
      <c r="D74" s="189">
        <v>15.96</v>
      </c>
      <c r="E74" s="189">
        <v>5.7</v>
      </c>
      <c r="F74" s="189">
        <v>5.14</v>
      </c>
      <c r="G74" s="189">
        <v>95.36</v>
      </c>
      <c r="H74" s="189">
        <v>52.12</v>
      </c>
      <c r="I74" s="189">
        <v>9.64</v>
      </c>
      <c r="J74" s="189">
        <v>0.15</v>
      </c>
      <c r="K74" s="189">
        <v>106.56</v>
      </c>
      <c r="L74" s="189">
        <v>25.28</v>
      </c>
      <c r="M74" s="189">
        <v>54.72</v>
      </c>
      <c r="N74" s="189">
        <v>21.9</v>
      </c>
      <c r="O74" s="189">
        <v>0</v>
      </c>
      <c r="P74" s="189">
        <v>0.84</v>
      </c>
      <c r="Q74" s="189">
        <v>4.87</v>
      </c>
    </row>
    <row r="75" spans="1:17" customFormat="1">
      <c r="A75" s="6" t="s">
        <v>2321</v>
      </c>
      <c r="B75" s="189">
        <v>4.62</v>
      </c>
      <c r="C75" s="189">
        <v>21.71</v>
      </c>
      <c r="D75" s="189">
        <v>16.399999999999999</v>
      </c>
      <c r="E75" s="189">
        <v>5.6</v>
      </c>
      <c r="F75" s="189">
        <v>4.59</v>
      </c>
      <c r="G75" s="189">
        <v>132.65</v>
      </c>
      <c r="H75" s="189">
        <v>58.56</v>
      </c>
      <c r="I75" s="189">
        <v>9.57</v>
      </c>
      <c r="J75" s="189">
        <v>0.18</v>
      </c>
      <c r="K75" s="189">
        <v>148.19999999999999</v>
      </c>
      <c r="L75" s="189">
        <v>24.68</v>
      </c>
      <c r="M75" s="189">
        <v>58.03</v>
      </c>
      <c r="N75" s="189">
        <v>11.3</v>
      </c>
      <c r="O75" s="189">
        <v>0</v>
      </c>
      <c r="P75" s="189">
        <v>0.86</v>
      </c>
      <c r="Q75" s="189">
        <v>4.87</v>
      </c>
    </row>
    <row r="76" spans="1:17" customFormat="1">
      <c r="A76" s="6" t="s">
        <v>2322</v>
      </c>
      <c r="B76" s="189">
        <v>4.7300000000000004</v>
      </c>
      <c r="C76" s="189">
        <v>22.54</v>
      </c>
      <c r="D76" s="189">
        <v>16.920000000000002</v>
      </c>
      <c r="E76" s="189">
        <v>5.61</v>
      </c>
      <c r="F76" s="189">
        <v>4.22</v>
      </c>
      <c r="G76" s="189">
        <v>137.84</v>
      </c>
      <c r="H76" s="189">
        <v>58.56</v>
      </c>
      <c r="I76" s="189">
        <v>9.52</v>
      </c>
      <c r="J76" s="189">
        <v>0.19</v>
      </c>
      <c r="K76" s="189">
        <v>161.38</v>
      </c>
      <c r="L76" s="189">
        <v>24.09</v>
      </c>
      <c r="M76" s="189">
        <v>60.88</v>
      </c>
      <c r="N76" s="189">
        <v>2.5</v>
      </c>
      <c r="O76" s="189">
        <v>0</v>
      </c>
      <c r="P76" s="189">
        <v>0.87</v>
      </c>
      <c r="Q76" s="189">
        <v>4.8499999999999996</v>
      </c>
    </row>
    <row r="77" spans="1:17" customFormat="1">
      <c r="A77" s="6" t="s">
        <v>2323</v>
      </c>
      <c r="B77" s="189">
        <v>4.9400000000000004</v>
      </c>
      <c r="C77" s="189">
        <v>23.73</v>
      </c>
      <c r="D77" s="189">
        <v>17.71</v>
      </c>
      <c r="E77" s="189">
        <v>5.21</v>
      </c>
      <c r="F77" s="189">
        <v>3.73</v>
      </c>
      <c r="G77" s="189">
        <v>137.84</v>
      </c>
      <c r="H77" s="189">
        <v>58.56</v>
      </c>
      <c r="I77" s="189">
        <v>9.48</v>
      </c>
      <c r="J77" s="189">
        <v>0.13</v>
      </c>
      <c r="K77" s="189">
        <v>139.6</v>
      </c>
      <c r="L77" s="189">
        <v>23.55</v>
      </c>
      <c r="M77" s="189">
        <v>62.1</v>
      </c>
      <c r="N77" s="189">
        <v>0</v>
      </c>
      <c r="O77" s="189">
        <v>0</v>
      </c>
      <c r="P77" s="189">
        <v>0.89</v>
      </c>
      <c r="Q77" s="189">
        <v>4.8600000000000003</v>
      </c>
    </row>
    <row r="78" spans="1:17" customFormat="1">
      <c r="A78" s="6" t="s">
        <v>2324</v>
      </c>
      <c r="B78" s="189">
        <v>5.16</v>
      </c>
      <c r="C78" s="189">
        <v>25.75</v>
      </c>
      <c r="D78" s="189">
        <v>18.940000000000001</v>
      </c>
      <c r="E78" s="189">
        <v>5.26</v>
      </c>
      <c r="F78" s="189">
        <v>3.13</v>
      </c>
      <c r="G78" s="189">
        <v>137.84</v>
      </c>
      <c r="H78" s="189">
        <v>58.56</v>
      </c>
      <c r="I78" s="189">
        <v>9.49</v>
      </c>
      <c r="J78" s="189">
        <v>0.18</v>
      </c>
      <c r="K78" s="189">
        <v>150.5</v>
      </c>
      <c r="L78" s="189">
        <v>23.08</v>
      </c>
      <c r="M78" s="189">
        <v>64.17</v>
      </c>
      <c r="N78" s="189">
        <v>0</v>
      </c>
      <c r="O78" s="189">
        <v>0</v>
      </c>
      <c r="P78" s="189">
        <v>0.92</v>
      </c>
      <c r="Q78" s="189">
        <v>4.87</v>
      </c>
    </row>
    <row r="79" spans="1:17" customFormat="1">
      <c r="A79" s="6" t="s">
        <v>2325</v>
      </c>
      <c r="B79" s="189">
        <v>5.48</v>
      </c>
      <c r="C79" s="189">
        <v>27.48</v>
      </c>
      <c r="D79" s="189">
        <v>20.100000000000001</v>
      </c>
      <c r="E79" s="189">
        <v>5.51</v>
      </c>
      <c r="F79" s="189">
        <v>3.09</v>
      </c>
      <c r="G79" s="189">
        <v>174.55</v>
      </c>
      <c r="H79" s="189">
        <v>66.48</v>
      </c>
      <c r="I79" s="189">
        <v>9.5399999999999991</v>
      </c>
      <c r="J79" s="189">
        <v>0.26</v>
      </c>
      <c r="K79" s="189">
        <v>169.17</v>
      </c>
      <c r="L79" s="189">
        <v>22.4</v>
      </c>
      <c r="M79" s="189">
        <v>67.27</v>
      </c>
      <c r="N79" s="189">
        <v>0</v>
      </c>
      <c r="O79" s="189">
        <v>0</v>
      </c>
      <c r="P79" s="189">
        <v>0.94</v>
      </c>
      <c r="Q79" s="189">
        <v>4.88</v>
      </c>
    </row>
    <row r="80" spans="1:17" customFormat="1">
      <c r="A80" s="6" t="s">
        <v>2326</v>
      </c>
      <c r="B80" s="189">
        <v>5.58</v>
      </c>
      <c r="C80" s="189">
        <v>28.28</v>
      </c>
      <c r="D80" s="189">
        <v>20.6</v>
      </c>
      <c r="E80" s="189">
        <v>5.46</v>
      </c>
      <c r="F80" s="189">
        <v>3.07</v>
      </c>
      <c r="G80" s="189">
        <v>179.66</v>
      </c>
      <c r="H80" s="189">
        <v>66.48</v>
      </c>
      <c r="I80" s="189">
        <v>9.61</v>
      </c>
      <c r="J80" s="189">
        <v>0.27</v>
      </c>
      <c r="K80" s="189">
        <v>162.69</v>
      </c>
      <c r="L80" s="189">
        <v>21.92</v>
      </c>
      <c r="M80" s="189">
        <v>72.8</v>
      </c>
      <c r="N80" s="189">
        <v>0</v>
      </c>
      <c r="O80" s="189">
        <v>0</v>
      </c>
      <c r="P80" s="189">
        <v>0.96</v>
      </c>
      <c r="Q80" s="189">
        <v>4.88</v>
      </c>
    </row>
    <row r="81" spans="1:17" customFormat="1">
      <c r="A81" s="6" t="s">
        <v>2327</v>
      </c>
      <c r="B81" s="189">
        <v>5.75</v>
      </c>
      <c r="C81" s="189">
        <v>28.75</v>
      </c>
      <c r="D81" s="189">
        <v>20.98</v>
      </c>
      <c r="E81" s="189">
        <v>7.52</v>
      </c>
      <c r="F81" s="189">
        <v>2.89</v>
      </c>
      <c r="G81" s="189">
        <v>179.66</v>
      </c>
      <c r="H81" s="189">
        <v>66.48</v>
      </c>
      <c r="I81" s="189">
        <v>9.6999999999999993</v>
      </c>
      <c r="J81" s="189">
        <v>0.27</v>
      </c>
      <c r="K81" s="189">
        <v>160.53</v>
      </c>
      <c r="L81" s="189">
        <v>21.64</v>
      </c>
      <c r="M81" s="189">
        <v>76.209999999999994</v>
      </c>
      <c r="N81" s="189">
        <v>0</v>
      </c>
      <c r="O81" s="189">
        <v>0</v>
      </c>
      <c r="P81" s="189">
        <v>0.98</v>
      </c>
      <c r="Q81" s="189">
        <v>4.87</v>
      </c>
    </row>
    <row r="82" spans="1:17" customFormat="1">
      <c r="A82" s="6" t="s">
        <v>2328</v>
      </c>
      <c r="B82" s="189">
        <v>5.87</v>
      </c>
      <c r="C82" s="189">
        <v>29.15</v>
      </c>
      <c r="D82" s="189">
        <v>21.29</v>
      </c>
      <c r="E82" s="189">
        <v>8</v>
      </c>
      <c r="F82" s="189">
        <v>2.78</v>
      </c>
      <c r="G82" s="189">
        <v>179.66</v>
      </c>
      <c r="H82" s="189">
        <v>66.48</v>
      </c>
      <c r="I82" s="189">
        <v>9.83</v>
      </c>
      <c r="J82" s="189">
        <v>0.22</v>
      </c>
      <c r="K82" s="189">
        <v>161.43</v>
      </c>
      <c r="L82" s="189">
        <v>21.22</v>
      </c>
      <c r="M82" s="189">
        <v>76.42</v>
      </c>
      <c r="N82" s="189">
        <v>0</v>
      </c>
      <c r="O82" s="189">
        <v>0</v>
      </c>
      <c r="P82" s="189">
        <v>1</v>
      </c>
      <c r="Q82" s="189">
        <v>4.87</v>
      </c>
    </row>
    <row r="83" spans="1:17" customFormat="1">
      <c r="A83" s="6" t="s">
        <v>2329</v>
      </c>
      <c r="B83" s="189">
        <v>6.17</v>
      </c>
      <c r="C83" s="189">
        <v>29.74</v>
      </c>
      <c r="D83" s="189">
        <v>21.84</v>
      </c>
      <c r="E83" s="189">
        <v>8.23</v>
      </c>
      <c r="F83" s="189">
        <v>2.68</v>
      </c>
      <c r="G83" s="189">
        <v>171</v>
      </c>
      <c r="H83" s="189">
        <v>72.16</v>
      </c>
      <c r="I83" s="189">
        <v>10.1</v>
      </c>
      <c r="J83" s="189">
        <v>0.17</v>
      </c>
      <c r="K83" s="189">
        <v>184.38</v>
      </c>
      <c r="L83" s="189">
        <v>20.79</v>
      </c>
      <c r="M83" s="189">
        <v>79.86</v>
      </c>
      <c r="N83" s="189">
        <v>0</v>
      </c>
      <c r="O83" s="189">
        <v>0</v>
      </c>
      <c r="P83" s="189">
        <v>1.04</v>
      </c>
      <c r="Q83" s="189">
        <v>4.87</v>
      </c>
    </row>
    <row r="84" spans="1:17" customFormat="1">
      <c r="A84" s="6" t="s">
        <v>2330</v>
      </c>
      <c r="B84" s="189">
        <v>6.57</v>
      </c>
      <c r="C84" s="189">
        <v>29.93</v>
      </c>
      <c r="D84" s="189">
        <v>22.25</v>
      </c>
      <c r="E84" s="189">
        <v>8.2799999999999994</v>
      </c>
      <c r="F84" s="189">
        <v>2.5299999999999998</v>
      </c>
      <c r="G84" s="189">
        <v>169.79</v>
      </c>
      <c r="H84" s="189">
        <v>72.16</v>
      </c>
      <c r="I84" s="189">
        <v>10.58</v>
      </c>
      <c r="J84" s="189">
        <v>0.13</v>
      </c>
      <c r="K84" s="189">
        <v>188.69</v>
      </c>
      <c r="L84" s="189">
        <v>20.25</v>
      </c>
      <c r="M84" s="189">
        <v>81.14</v>
      </c>
      <c r="N84" s="189">
        <v>0</v>
      </c>
      <c r="O84" s="189">
        <v>0</v>
      </c>
      <c r="P84" s="189">
        <v>1.08</v>
      </c>
      <c r="Q84" s="189">
        <v>4.84</v>
      </c>
    </row>
    <row r="85" spans="1:17" customFormat="1">
      <c r="A85" s="6" t="s">
        <v>2331</v>
      </c>
      <c r="B85" s="189">
        <v>6.65</v>
      </c>
      <c r="C85" s="189">
        <v>30.46</v>
      </c>
      <c r="D85" s="189">
        <v>22.6</v>
      </c>
      <c r="E85" s="189">
        <v>8.0299999999999994</v>
      </c>
      <c r="F85" s="189">
        <v>2.48</v>
      </c>
      <c r="G85" s="189">
        <v>169.79</v>
      </c>
      <c r="H85" s="189">
        <v>72.16</v>
      </c>
      <c r="I85" s="189">
        <v>11.2</v>
      </c>
      <c r="J85" s="189">
        <v>0.11</v>
      </c>
      <c r="K85" s="189">
        <v>170.6</v>
      </c>
      <c r="L85" s="189">
        <v>19.82</v>
      </c>
      <c r="M85" s="189">
        <v>83.07</v>
      </c>
      <c r="N85" s="189">
        <v>0</v>
      </c>
      <c r="O85" s="189">
        <v>0</v>
      </c>
      <c r="P85" s="189">
        <v>1.1200000000000001</v>
      </c>
      <c r="Q85" s="189">
        <v>4.84</v>
      </c>
    </row>
    <row r="86" spans="1:17" customFormat="1">
      <c r="A86" s="6" t="s">
        <v>2332</v>
      </c>
      <c r="B86" s="189">
        <v>6.72</v>
      </c>
      <c r="C86" s="189">
        <v>30.34</v>
      </c>
      <c r="D86" s="189">
        <v>22.59</v>
      </c>
      <c r="E86" s="189">
        <v>8.0399999999999991</v>
      </c>
      <c r="F86" s="189">
        <v>2.58</v>
      </c>
      <c r="G86" s="189">
        <v>169.79</v>
      </c>
      <c r="H86" s="189">
        <v>72.16</v>
      </c>
      <c r="I86" s="189">
        <v>11.71</v>
      </c>
      <c r="J86" s="189">
        <v>0.11</v>
      </c>
      <c r="K86" s="189">
        <v>173.58</v>
      </c>
      <c r="L86" s="189">
        <v>19.63</v>
      </c>
      <c r="M86" s="189">
        <v>80.180000000000007</v>
      </c>
      <c r="N86" s="189">
        <v>0</v>
      </c>
      <c r="O86" s="189">
        <v>0</v>
      </c>
      <c r="P86" s="189">
        <v>1.1299999999999999</v>
      </c>
      <c r="Q86" s="189">
        <v>4.8499999999999996</v>
      </c>
    </row>
    <row r="87" spans="1:17" customFormat="1">
      <c r="A87" s="6" t="s">
        <v>2333</v>
      </c>
      <c r="B87" s="189">
        <v>6.71</v>
      </c>
      <c r="C87" s="189">
        <v>30.35</v>
      </c>
      <c r="D87" s="189">
        <v>22.59</v>
      </c>
      <c r="E87" s="189">
        <v>8.49</v>
      </c>
      <c r="F87" s="189">
        <v>2.77</v>
      </c>
      <c r="G87" s="189">
        <v>159.78</v>
      </c>
      <c r="H87" s="189">
        <v>71.680000000000007</v>
      </c>
      <c r="I87" s="189">
        <v>11.99</v>
      </c>
      <c r="J87" s="189">
        <v>0.17</v>
      </c>
      <c r="K87" s="189">
        <v>171.67</v>
      </c>
      <c r="L87" s="189">
        <v>19.57</v>
      </c>
      <c r="M87" s="189">
        <v>80.56</v>
      </c>
      <c r="N87" s="189">
        <v>0</v>
      </c>
      <c r="O87" s="189">
        <v>0</v>
      </c>
      <c r="P87" s="189">
        <v>1.1399999999999999</v>
      </c>
      <c r="Q87" s="189">
        <v>4.83</v>
      </c>
    </row>
    <row r="88" spans="1:17" customFormat="1">
      <c r="A88" s="6" t="s">
        <v>2334</v>
      </c>
      <c r="B88" s="189">
        <v>6.7</v>
      </c>
      <c r="C88" s="189">
        <v>29.65</v>
      </c>
      <c r="D88" s="189">
        <v>22.21</v>
      </c>
      <c r="E88" s="189">
        <v>8.86</v>
      </c>
      <c r="F88" s="189">
        <v>2.83</v>
      </c>
      <c r="G88" s="189">
        <v>158.38999999999999</v>
      </c>
      <c r="H88" s="189">
        <v>71.680000000000007</v>
      </c>
      <c r="I88" s="189">
        <v>12.11</v>
      </c>
      <c r="J88" s="189">
        <v>0.2</v>
      </c>
      <c r="K88" s="189">
        <v>158.87</v>
      </c>
      <c r="L88" s="189">
        <v>19.59</v>
      </c>
      <c r="M88" s="189">
        <v>81.06</v>
      </c>
      <c r="N88" s="189">
        <v>0</v>
      </c>
      <c r="O88" s="189">
        <v>0</v>
      </c>
      <c r="P88" s="189">
        <v>1.1299999999999999</v>
      </c>
      <c r="Q88" s="189">
        <v>4.84</v>
      </c>
    </row>
    <row r="89" spans="1:17" customFormat="1">
      <c r="A89" s="6" t="s">
        <v>2335</v>
      </c>
      <c r="B89" s="189">
        <v>6.69</v>
      </c>
      <c r="C89" s="189">
        <v>29.31</v>
      </c>
      <c r="D89" s="189">
        <v>22.03</v>
      </c>
      <c r="E89" s="189">
        <v>8.5500000000000007</v>
      </c>
      <c r="F89" s="189">
        <v>2.75</v>
      </c>
      <c r="G89" s="189">
        <v>158.38999999999999</v>
      </c>
      <c r="H89" s="189">
        <v>71.680000000000007</v>
      </c>
      <c r="I89" s="189">
        <v>12.11</v>
      </c>
      <c r="J89" s="189">
        <v>0.19</v>
      </c>
      <c r="K89" s="189">
        <v>160.6</v>
      </c>
      <c r="L89" s="189">
        <v>19.420000000000002</v>
      </c>
      <c r="M89" s="189">
        <v>83.31</v>
      </c>
      <c r="N89" s="189">
        <v>0</v>
      </c>
      <c r="O89" s="189">
        <v>0</v>
      </c>
      <c r="P89" s="189">
        <v>1.1299999999999999</v>
      </c>
      <c r="Q89" s="189">
        <v>4.8099999999999996</v>
      </c>
    </row>
    <row r="90" spans="1:17" customFormat="1">
      <c r="A90" s="6" t="s">
        <v>2336</v>
      </c>
      <c r="B90" s="189">
        <v>6.5</v>
      </c>
      <c r="C90" s="189">
        <v>28.9</v>
      </c>
      <c r="D90" s="189">
        <v>21.66</v>
      </c>
      <c r="E90" s="189">
        <v>8.4700000000000006</v>
      </c>
      <c r="F90" s="189">
        <v>2.83</v>
      </c>
      <c r="G90" s="189">
        <v>158.38999999999999</v>
      </c>
      <c r="H90" s="189">
        <v>71.680000000000007</v>
      </c>
      <c r="I90" s="189">
        <v>12.1</v>
      </c>
      <c r="J90" s="189">
        <v>0.12</v>
      </c>
      <c r="K90" s="189">
        <v>188.58</v>
      </c>
      <c r="L90" s="189">
        <v>19.329999999999998</v>
      </c>
      <c r="M90" s="189">
        <v>82.32</v>
      </c>
      <c r="N90" s="189">
        <v>0</v>
      </c>
      <c r="O90" s="189">
        <v>0</v>
      </c>
      <c r="P90" s="189">
        <v>1.1299999999999999</v>
      </c>
      <c r="Q90" s="189">
        <v>4.82</v>
      </c>
    </row>
    <row r="91" spans="1:17" customFormat="1">
      <c r="A91" s="6" t="s">
        <v>2337</v>
      </c>
      <c r="B91" s="189">
        <v>6.48</v>
      </c>
      <c r="C91" s="189">
        <v>29.61</v>
      </c>
      <c r="D91" s="189">
        <v>22.02</v>
      </c>
      <c r="E91" s="189">
        <v>8.2899999999999991</v>
      </c>
      <c r="F91" s="189">
        <v>2.64</v>
      </c>
      <c r="G91" s="189">
        <v>161.94</v>
      </c>
      <c r="H91" s="189">
        <v>71.819999999999993</v>
      </c>
      <c r="I91" s="189">
        <v>12.11</v>
      </c>
      <c r="J91" s="189">
        <v>0.17</v>
      </c>
      <c r="K91" s="189">
        <v>170</v>
      </c>
      <c r="L91" s="189">
        <v>19.12</v>
      </c>
      <c r="M91" s="189">
        <v>85.7</v>
      </c>
      <c r="N91" s="189">
        <v>0</v>
      </c>
      <c r="O91" s="189">
        <v>0</v>
      </c>
      <c r="P91" s="189">
        <v>1.1299999999999999</v>
      </c>
      <c r="Q91" s="189">
        <v>4.78</v>
      </c>
    </row>
    <row r="92" spans="1:17" customFormat="1">
      <c r="A92" s="6" t="s">
        <v>2338</v>
      </c>
      <c r="B92" s="189">
        <v>6.63</v>
      </c>
      <c r="C92" s="189">
        <v>27.53</v>
      </c>
      <c r="D92" s="189">
        <v>21.05</v>
      </c>
      <c r="E92" s="189">
        <v>8.16</v>
      </c>
      <c r="F92" s="189">
        <v>2.87</v>
      </c>
      <c r="G92" s="189">
        <v>162.44</v>
      </c>
      <c r="H92" s="189">
        <v>71.819999999999993</v>
      </c>
      <c r="I92" s="189">
        <v>12.12</v>
      </c>
      <c r="J92" s="189">
        <v>0.1</v>
      </c>
      <c r="K92" s="189">
        <v>214.81</v>
      </c>
      <c r="L92" s="189">
        <v>18.75</v>
      </c>
      <c r="M92" s="189">
        <v>87.09</v>
      </c>
      <c r="N92" s="189">
        <v>0</v>
      </c>
      <c r="O92" s="189">
        <v>0</v>
      </c>
      <c r="P92" s="189">
        <v>1.1299999999999999</v>
      </c>
      <c r="Q92" s="189">
        <v>4.78</v>
      </c>
    </row>
    <row r="93" spans="1:17" customFormat="1">
      <c r="A93" s="6" t="s">
        <v>2339</v>
      </c>
      <c r="B93" s="189">
        <v>6.8</v>
      </c>
      <c r="C93" s="189">
        <v>24.28</v>
      </c>
      <c r="D93" s="189">
        <v>19.489999999999998</v>
      </c>
      <c r="E93" s="189">
        <v>8.06</v>
      </c>
      <c r="F93" s="189">
        <v>2.96</v>
      </c>
      <c r="G93" s="189">
        <v>162.44</v>
      </c>
      <c r="H93" s="189">
        <v>71.819999999999993</v>
      </c>
      <c r="I93" s="189">
        <v>12.15</v>
      </c>
      <c r="J93" s="189">
        <v>0.11</v>
      </c>
      <c r="K93" s="189">
        <v>237.05</v>
      </c>
      <c r="L93" s="189">
        <v>18.5</v>
      </c>
      <c r="M93" s="189">
        <v>85.97</v>
      </c>
      <c r="N93" s="189">
        <v>0</v>
      </c>
      <c r="O93" s="189">
        <v>0</v>
      </c>
      <c r="P93" s="189">
        <v>1.1200000000000001</v>
      </c>
      <c r="Q93" s="189">
        <v>4.78</v>
      </c>
    </row>
    <row r="94" spans="1:17" customFormat="1">
      <c r="A94" s="6" t="s">
        <v>2340</v>
      </c>
      <c r="B94" s="189">
        <v>6.81</v>
      </c>
      <c r="C94" s="189">
        <v>22.75</v>
      </c>
      <c r="D94" s="189">
        <v>18.690000000000001</v>
      </c>
      <c r="E94" s="189">
        <v>7.71</v>
      </c>
      <c r="F94" s="189">
        <v>2.89</v>
      </c>
      <c r="G94" s="189">
        <v>162.44</v>
      </c>
      <c r="H94" s="189">
        <v>71.819999999999993</v>
      </c>
      <c r="I94" s="189">
        <v>12.16</v>
      </c>
      <c r="J94" s="189">
        <v>0.13</v>
      </c>
      <c r="K94" s="189">
        <v>181.79</v>
      </c>
      <c r="L94" s="189">
        <v>18.47</v>
      </c>
      <c r="M94" s="189">
        <v>85.88</v>
      </c>
      <c r="N94" s="189">
        <v>0</v>
      </c>
      <c r="O94" s="189">
        <v>0</v>
      </c>
      <c r="P94" s="189">
        <v>1.1100000000000001</v>
      </c>
      <c r="Q94" s="189">
        <v>4.78</v>
      </c>
    </row>
    <row r="95" spans="1:17" customFormat="1">
      <c r="A95" s="6" t="s">
        <v>2341</v>
      </c>
      <c r="B95" s="189">
        <v>6.9</v>
      </c>
      <c r="C95" s="189">
        <v>22.61</v>
      </c>
      <c r="D95" s="189">
        <v>18.7</v>
      </c>
      <c r="E95" s="189">
        <v>7.28</v>
      </c>
      <c r="F95" s="189">
        <v>2.67</v>
      </c>
      <c r="G95" s="189">
        <v>150.81</v>
      </c>
      <c r="H95" s="189">
        <v>69.16</v>
      </c>
      <c r="I95" s="189">
        <v>12.13</v>
      </c>
      <c r="J95" s="189">
        <v>0.15</v>
      </c>
      <c r="K95" s="189">
        <v>174.94</v>
      </c>
      <c r="L95" s="189">
        <v>18.309999999999999</v>
      </c>
      <c r="M95" s="189">
        <v>88.36</v>
      </c>
      <c r="N95" s="189">
        <v>0</v>
      </c>
      <c r="O95" s="189">
        <v>0</v>
      </c>
      <c r="P95" s="189">
        <v>1.1000000000000001</v>
      </c>
      <c r="Q95" s="189">
        <v>4.78</v>
      </c>
    </row>
    <row r="96" spans="1:17" customFormat="1">
      <c r="A96" s="6" t="s">
        <v>2342</v>
      </c>
      <c r="B96" s="189">
        <v>7.02</v>
      </c>
      <c r="C96" s="189">
        <v>23.34</v>
      </c>
      <c r="D96" s="189">
        <v>19.18</v>
      </c>
      <c r="E96" s="189">
        <v>8.02</v>
      </c>
      <c r="F96" s="189">
        <v>2.5499999999999998</v>
      </c>
      <c r="G96" s="189">
        <v>149.19</v>
      </c>
      <c r="H96" s="189">
        <v>69.16</v>
      </c>
      <c r="I96" s="189">
        <v>12.1</v>
      </c>
      <c r="J96" s="189">
        <v>0.08</v>
      </c>
      <c r="K96" s="189">
        <v>168.67</v>
      </c>
      <c r="L96" s="189">
        <v>18.079999999999998</v>
      </c>
      <c r="M96" s="189">
        <v>89.13</v>
      </c>
      <c r="N96" s="189">
        <v>0</v>
      </c>
      <c r="O96" s="189">
        <v>0</v>
      </c>
      <c r="P96" s="189">
        <v>1.1100000000000001</v>
      </c>
      <c r="Q96" s="189">
        <v>4.8</v>
      </c>
    </row>
    <row r="97" spans="1:22" customFormat="1">
      <c r="A97" s="6" t="s">
        <v>2343</v>
      </c>
      <c r="B97" s="189">
        <v>7.09</v>
      </c>
      <c r="C97" s="189">
        <v>23.74</v>
      </c>
      <c r="D97" s="189">
        <v>19.440000000000001</v>
      </c>
      <c r="E97" s="189">
        <v>7.84</v>
      </c>
      <c r="F97" s="189">
        <v>2.56</v>
      </c>
      <c r="G97" s="189">
        <v>149.19</v>
      </c>
      <c r="H97" s="189">
        <v>69.16</v>
      </c>
      <c r="I97" s="189">
        <v>12.06</v>
      </c>
      <c r="J97" s="189">
        <v>0.15</v>
      </c>
      <c r="K97" s="189">
        <v>161.74</v>
      </c>
      <c r="L97" s="189">
        <v>18.16</v>
      </c>
      <c r="M97" s="189">
        <v>87.34</v>
      </c>
      <c r="N97" s="189">
        <v>0</v>
      </c>
      <c r="O97" s="189">
        <v>0</v>
      </c>
      <c r="P97" s="189">
        <v>1.1200000000000001</v>
      </c>
      <c r="Q97" s="189">
        <v>4.79</v>
      </c>
    </row>
    <row r="98" spans="1:22" customFormat="1">
      <c r="A98" s="6" t="s">
        <v>2344</v>
      </c>
      <c r="B98" s="189">
        <v>7.06</v>
      </c>
      <c r="C98" s="189">
        <v>23.62</v>
      </c>
      <c r="D98" s="189">
        <v>19.350000000000001</v>
      </c>
      <c r="E98" s="189">
        <v>7.21</v>
      </c>
      <c r="F98" s="189">
        <v>2.5099999999999998</v>
      </c>
      <c r="G98" s="189">
        <v>149.19</v>
      </c>
      <c r="H98" s="189">
        <v>69.16</v>
      </c>
      <c r="I98" s="189">
        <v>12.04</v>
      </c>
      <c r="J98" s="189">
        <v>0.14000000000000001</v>
      </c>
      <c r="K98" s="189">
        <v>168.73</v>
      </c>
      <c r="L98" s="189">
        <v>18.18</v>
      </c>
      <c r="M98" s="189">
        <v>88.75</v>
      </c>
      <c r="N98" s="189">
        <v>0</v>
      </c>
      <c r="O98" s="189">
        <v>0</v>
      </c>
      <c r="P98" s="189">
        <v>1.1200000000000001</v>
      </c>
      <c r="Q98" s="189">
        <v>4.8099999999999996</v>
      </c>
    </row>
    <row r="99" spans="1:22" customFormat="1">
      <c r="A99" s="6" t="s">
        <v>2345</v>
      </c>
      <c r="B99" s="189">
        <v>7.15</v>
      </c>
      <c r="C99" s="189">
        <v>23.41</v>
      </c>
      <c r="D99" s="189">
        <v>19.32</v>
      </c>
      <c r="E99" s="189">
        <v>7.53</v>
      </c>
      <c r="F99" s="189">
        <v>2.61</v>
      </c>
      <c r="G99" s="189">
        <v>126.95</v>
      </c>
      <c r="H99" s="189">
        <v>72.92</v>
      </c>
      <c r="I99" s="189">
        <v>12.06</v>
      </c>
      <c r="J99" s="189">
        <v>0.05</v>
      </c>
      <c r="K99" s="189">
        <v>218.8</v>
      </c>
      <c r="L99" s="189">
        <v>17.940000000000001</v>
      </c>
      <c r="M99" s="189">
        <v>89.58</v>
      </c>
      <c r="N99" s="189">
        <v>0</v>
      </c>
      <c r="O99" s="189">
        <v>0</v>
      </c>
      <c r="P99" s="189">
        <v>1.1299999999999999</v>
      </c>
      <c r="Q99" s="189">
        <v>4.82</v>
      </c>
    </row>
    <row r="100" spans="1:22" customFormat="1">
      <c r="A100" s="6" t="s">
        <v>2346</v>
      </c>
      <c r="B100" s="189">
        <v>7.23</v>
      </c>
      <c r="C100" s="189">
        <v>23.12</v>
      </c>
      <c r="D100" s="189">
        <v>19.22</v>
      </c>
      <c r="E100" s="189">
        <v>7.97</v>
      </c>
      <c r="F100" s="189">
        <v>2.64</v>
      </c>
      <c r="G100" s="189">
        <v>123.86</v>
      </c>
      <c r="H100" s="189">
        <v>72.92</v>
      </c>
      <c r="I100" s="189">
        <v>12.05</v>
      </c>
      <c r="J100" s="189">
        <v>0.12</v>
      </c>
      <c r="K100" s="189">
        <v>245.96</v>
      </c>
      <c r="L100" s="189">
        <v>17.739999999999998</v>
      </c>
      <c r="M100" s="189">
        <v>88.45</v>
      </c>
      <c r="N100" s="189">
        <v>0</v>
      </c>
      <c r="O100" s="189">
        <v>0</v>
      </c>
      <c r="P100" s="189">
        <v>1.1200000000000001</v>
      </c>
      <c r="Q100" s="189">
        <v>4.8499999999999996</v>
      </c>
    </row>
    <row r="101" spans="1:22" customFormat="1">
      <c r="A101" s="6" t="s">
        <v>2347</v>
      </c>
      <c r="B101" s="189">
        <v>7.23</v>
      </c>
      <c r="C101" s="189">
        <v>21.97</v>
      </c>
      <c r="D101" s="189">
        <v>18.63</v>
      </c>
      <c r="E101" s="189">
        <v>7.78</v>
      </c>
      <c r="F101" s="189">
        <v>2.86</v>
      </c>
      <c r="G101" s="189">
        <v>123.86</v>
      </c>
      <c r="H101" s="189">
        <v>72.92</v>
      </c>
      <c r="I101" s="189">
        <v>12.07</v>
      </c>
      <c r="J101" s="189">
        <v>0.08</v>
      </c>
      <c r="K101" s="189">
        <v>243.05</v>
      </c>
      <c r="L101" s="189">
        <v>17.53</v>
      </c>
      <c r="M101" s="189">
        <v>89.93</v>
      </c>
      <c r="N101" s="189">
        <v>0</v>
      </c>
      <c r="O101" s="189">
        <v>0</v>
      </c>
      <c r="P101" s="189">
        <v>1.1100000000000001</v>
      </c>
      <c r="Q101" s="189">
        <v>4.84</v>
      </c>
    </row>
    <row r="102" spans="1:22" customFormat="1">
      <c r="A102" s="6" t="s">
        <v>2348</v>
      </c>
      <c r="B102" s="189">
        <v>7.28</v>
      </c>
      <c r="C102" s="189">
        <v>19.93</v>
      </c>
      <c r="D102" s="189">
        <v>17.600000000000001</v>
      </c>
      <c r="E102" s="189">
        <v>7.69</v>
      </c>
      <c r="F102" s="189">
        <v>2.85</v>
      </c>
      <c r="G102" s="189">
        <v>123.86</v>
      </c>
      <c r="H102" s="189">
        <v>72.92</v>
      </c>
      <c r="I102" s="189">
        <v>12.02</v>
      </c>
      <c r="J102" s="189">
        <v>0.1</v>
      </c>
      <c r="K102" s="189">
        <v>149.81</v>
      </c>
      <c r="L102" s="189">
        <v>17.54</v>
      </c>
      <c r="M102" s="189">
        <v>89.87</v>
      </c>
      <c r="N102" s="189">
        <v>0</v>
      </c>
      <c r="O102" s="189">
        <v>0</v>
      </c>
      <c r="P102" s="189">
        <v>1.0900000000000001</v>
      </c>
      <c r="Q102" s="189">
        <v>4.8499999999999996</v>
      </c>
    </row>
    <row r="103" spans="1:22" customFormat="1">
      <c r="A103" s="6" t="s">
        <v>2349</v>
      </c>
      <c r="B103" s="189">
        <v>7.26</v>
      </c>
      <c r="C103" s="189">
        <v>19.98</v>
      </c>
      <c r="D103" s="189">
        <v>17.61</v>
      </c>
      <c r="E103" s="189">
        <v>7.58</v>
      </c>
      <c r="F103" s="189">
        <v>2.72</v>
      </c>
      <c r="G103" s="189">
        <v>110.73</v>
      </c>
      <c r="H103" s="189">
        <v>70.2</v>
      </c>
      <c r="I103" s="189">
        <v>11.92</v>
      </c>
      <c r="J103" s="189">
        <v>0.16</v>
      </c>
      <c r="K103" s="189">
        <v>156.29</v>
      </c>
      <c r="L103" s="189">
        <v>17.510000000000002</v>
      </c>
      <c r="M103" s="189">
        <v>87.5</v>
      </c>
      <c r="N103" s="189">
        <v>0</v>
      </c>
      <c r="O103" s="189">
        <v>0</v>
      </c>
      <c r="P103" s="189">
        <v>1.08</v>
      </c>
      <c r="Q103" s="189">
        <v>4.8600000000000003</v>
      </c>
    </row>
    <row r="104" spans="1:22" customFormat="1">
      <c r="A104" s="6" t="s">
        <v>2350</v>
      </c>
      <c r="B104" s="189">
        <v>7.14</v>
      </c>
      <c r="C104" s="189">
        <v>22.19</v>
      </c>
      <c r="D104" s="189">
        <v>18.670000000000002</v>
      </c>
      <c r="E104" s="189">
        <v>7.77</v>
      </c>
      <c r="F104" s="189">
        <v>2.76</v>
      </c>
      <c r="G104" s="189">
        <v>108.9</v>
      </c>
      <c r="H104" s="189">
        <v>70.2</v>
      </c>
      <c r="I104" s="189">
        <v>11.8</v>
      </c>
      <c r="J104" s="189">
        <v>0.12</v>
      </c>
      <c r="K104" s="189">
        <v>153.94</v>
      </c>
      <c r="L104" s="189">
        <v>17.52</v>
      </c>
      <c r="M104" s="189">
        <v>85.46</v>
      </c>
      <c r="N104" s="189">
        <v>0</v>
      </c>
      <c r="O104" s="189">
        <v>0</v>
      </c>
      <c r="P104" s="189">
        <v>1.08</v>
      </c>
      <c r="Q104" s="189">
        <v>4.88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</v>
      </c>
      <c r="C106" s="183">
        <f>MIN(C9:C104)</f>
        <v>16.7</v>
      </c>
      <c r="D106" s="183">
        <f t="shared" ref="D106:Q106" si="0">MIN(D9:D104)</f>
        <v>13.77</v>
      </c>
      <c r="E106" s="183">
        <f t="shared" si="0"/>
        <v>4.8600000000000003</v>
      </c>
      <c r="F106" s="183">
        <f t="shared" si="0"/>
        <v>2.2999999999999998</v>
      </c>
      <c r="G106" s="183">
        <f t="shared" si="0"/>
        <v>54.11</v>
      </c>
      <c r="H106" s="183">
        <f t="shared" si="0"/>
        <v>51.01</v>
      </c>
      <c r="I106" s="183">
        <f t="shared" si="0"/>
        <v>9.48</v>
      </c>
      <c r="J106" s="183">
        <f t="shared" si="0"/>
        <v>0.05</v>
      </c>
      <c r="K106" s="183">
        <f t="shared" si="0"/>
        <v>46.18</v>
      </c>
      <c r="L106" s="183">
        <f t="shared" si="0"/>
        <v>14.96</v>
      </c>
      <c r="M106" s="183">
        <f t="shared" si="0"/>
        <v>43.09</v>
      </c>
      <c r="N106" s="183">
        <f t="shared" si="0"/>
        <v>0</v>
      </c>
      <c r="O106" s="183">
        <f t="shared" si="0"/>
        <v>0</v>
      </c>
      <c r="P106" s="183">
        <f t="shared" si="0"/>
        <v>0.81</v>
      </c>
      <c r="Q106" s="183">
        <f t="shared" si="0"/>
        <v>4.78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25.84</v>
      </c>
      <c r="C107" s="184">
        <f t="shared" ref="C107:Q107" si="1">MAX(C9:C104)</f>
        <v>34.36</v>
      </c>
      <c r="D107" s="184">
        <f t="shared" si="1"/>
        <v>36.94</v>
      </c>
      <c r="E107" s="184">
        <f t="shared" si="1"/>
        <v>8.86</v>
      </c>
      <c r="F107" s="184">
        <f t="shared" si="1"/>
        <v>6.45</v>
      </c>
      <c r="G107" s="184">
        <f t="shared" si="1"/>
        <v>222.3</v>
      </c>
      <c r="H107" s="184">
        <f t="shared" si="1"/>
        <v>87.4</v>
      </c>
      <c r="I107" s="184">
        <f t="shared" si="1"/>
        <v>14.51</v>
      </c>
      <c r="J107" s="184">
        <f t="shared" si="1"/>
        <v>0.6</v>
      </c>
      <c r="K107" s="184">
        <f t="shared" si="1"/>
        <v>328.24</v>
      </c>
      <c r="L107" s="184">
        <f t="shared" si="1"/>
        <v>27.12</v>
      </c>
      <c r="M107" s="184">
        <f t="shared" si="1"/>
        <v>98.01</v>
      </c>
      <c r="N107" s="184">
        <f t="shared" si="1"/>
        <v>397.5</v>
      </c>
      <c r="O107" s="184">
        <f t="shared" si="1"/>
        <v>0</v>
      </c>
      <c r="P107" s="184">
        <f t="shared" si="1"/>
        <v>1.18</v>
      </c>
      <c r="Q107" s="184">
        <f t="shared" si="1"/>
        <v>5.16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12.615000000000002</v>
      </c>
      <c r="C108" s="183">
        <f t="shared" ref="C108:Q108" si="2">AVERAGE(C9:C104)</f>
        <v>25.489895833333325</v>
      </c>
      <c r="D108" s="183">
        <f t="shared" si="2"/>
        <v>24.784687499999993</v>
      </c>
      <c r="E108" s="183">
        <f t="shared" si="2"/>
        <v>6.8762499999999998</v>
      </c>
      <c r="F108" s="183">
        <f t="shared" si="2"/>
        <v>3.0743749999999999</v>
      </c>
      <c r="G108" s="183">
        <f t="shared" si="2"/>
        <v>116.85239583333338</v>
      </c>
      <c r="H108" s="183">
        <f t="shared" si="2"/>
        <v>61.924791666666643</v>
      </c>
      <c r="I108" s="183">
        <f t="shared" si="2"/>
        <v>11.413020833333336</v>
      </c>
      <c r="J108" s="183">
        <f t="shared" si="2"/>
        <v>0.16416666666666666</v>
      </c>
      <c r="K108" s="183">
        <f t="shared" si="2"/>
        <v>178.25218750000008</v>
      </c>
      <c r="L108" s="183">
        <f t="shared" si="2"/>
        <v>20.230624999999996</v>
      </c>
      <c r="M108" s="183">
        <f t="shared" si="2"/>
        <v>76.54500000000003</v>
      </c>
      <c r="N108" s="183">
        <f t="shared" si="2"/>
        <v>76.125000000000014</v>
      </c>
      <c r="O108" s="183">
        <f t="shared" si="2"/>
        <v>0</v>
      </c>
      <c r="P108" s="183">
        <f t="shared" si="2"/>
        <v>0.98625000000000007</v>
      </c>
      <c r="Q108" s="183">
        <f t="shared" si="2"/>
        <v>4.938229166666666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7.6434368130958816</v>
      </c>
      <c r="C109" s="183">
        <f t="shared" ref="C109:Q109" si="3">STDEV(C9:C104)</f>
        <v>4.6504610965030126</v>
      </c>
      <c r="D109" s="183">
        <f t="shared" si="3"/>
        <v>7.5101185011500435</v>
      </c>
      <c r="E109" s="183">
        <f t="shared" si="3"/>
        <v>1.0706065668828231</v>
      </c>
      <c r="F109" s="183">
        <f t="shared" si="3"/>
        <v>0.79758690336605687</v>
      </c>
      <c r="G109" s="183">
        <f t="shared" si="3"/>
        <v>38.245348193082059</v>
      </c>
      <c r="H109" s="183">
        <f t="shared" si="3"/>
        <v>9.4407825254575446</v>
      </c>
      <c r="I109" s="183">
        <f t="shared" si="3"/>
        <v>1.1680114633464445</v>
      </c>
      <c r="J109" s="183">
        <f t="shared" si="3"/>
        <v>8.6373322717104017E-2</v>
      </c>
      <c r="K109" s="183">
        <f t="shared" si="3"/>
        <v>50.534262878151736</v>
      </c>
      <c r="L109" s="183">
        <f t="shared" si="3"/>
        <v>4.2486785097189461</v>
      </c>
      <c r="M109" s="183">
        <f t="shared" si="3"/>
        <v>19.139910465610274</v>
      </c>
      <c r="N109" s="183">
        <f t="shared" si="3"/>
        <v>124.17891252458878</v>
      </c>
      <c r="O109" s="183">
        <f t="shared" si="3"/>
        <v>0</v>
      </c>
      <c r="P109" s="183">
        <f t="shared" si="3"/>
        <v>0.10327530911928588</v>
      </c>
      <c r="Q109" s="183">
        <f t="shared" si="3"/>
        <v>0.1206909475667631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9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31/12/2023 00:15</v>
      </c>
      <c r="C2" s="190" t="s">
        <v>3</v>
      </c>
      <c r="D2" s="190"/>
      <c r="E2" s="190"/>
      <c r="F2" s="190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0" t="s">
        <v>11</v>
      </c>
      <c r="D3" s="190"/>
      <c r="E3" s="190"/>
      <c r="F3" s="190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0" t="s">
        <v>18</v>
      </c>
      <c r="D4" s="190"/>
      <c r="E4" s="190"/>
      <c r="F4" s="190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6" t="s">
        <v>2351</v>
      </c>
      <c r="B9" s="189">
        <v>6.56</v>
      </c>
      <c r="C9" s="189">
        <v>19.57</v>
      </c>
      <c r="D9" s="189">
        <v>16.84</v>
      </c>
      <c r="E9" s="189">
        <v>7.96</v>
      </c>
      <c r="F9" s="189">
        <v>3.03</v>
      </c>
      <c r="G9" s="189">
        <v>108.9</v>
      </c>
      <c r="H9" s="189">
        <v>70.2</v>
      </c>
      <c r="I9" s="189">
        <v>11.68</v>
      </c>
      <c r="J9" s="189">
        <v>0.13</v>
      </c>
      <c r="K9" s="189">
        <v>154.06</v>
      </c>
      <c r="L9" s="189">
        <v>17.41</v>
      </c>
      <c r="M9" s="189">
        <v>89.13</v>
      </c>
      <c r="N9" s="189">
        <v>0</v>
      </c>
      <c r="O9" s="189">
        <v>0</v>
      </c>
      <c r="P9" s="189">
        <v>1.05</v>
      </c>
      <c r="Q9" s="189">
        <v>4.8899999999999997</v>
      </c>
    </row>
    <row r="10" spans="1:21" customFormat="1">
      <c r="A10" s="6" t="s">
        <v>2352</v>
      </c>
      <c r="B10" s="189">
        <v>6.34</v>
      </c>
      <c r="C10" s="189">
        <v>20.68</v>
      </c>
      <c r="D10" s="189">
        <v>17.239999999999998</v>
      </c>
      <c r="E10" s="189">
        <v>7.96</v>
      </c>
      <c r="F10" s="189">
        <v>2.76</v>
      </c>
      <c r="G10" s="189">
        <v>108.9</v>
      </c>
      <c r="H10" s="189">
        <v>70.2</v>
      </c>
      <c r="I10" s="189">
        <v>11.53</v>
      </c>
      <c r="J10" s="189">
        <v>0.14000000000000001</v>
      </c>
      <c r="K10" s="189">
        <v>166.29</v>
      </c>
      <c r="L10" s="189">
        <v>17.28</v>
      </c>
      <c r="M10" s="189">
        <v>88.6</v>
      </c>
      <c r="N10" s="189">
        <v>0</v>
      </c>
      <c r="O10" s="189">
        <v>0</v>
      </c>
      <c r="P10" s="189">
        <v>1.05</v>
      </c>
      <c r="Q10" s="189">
        <v>4.88</v>
      </c>
    </row>
    <row r="11" spans="1:21" customFormat="1">
      <c r="A11" s="6" t="s">
        <v>2353</v>
      </c>
      <c r="B11" s="189">
        <v>6.21</v>
      </c>
      <c r="C11" s="189">
        <v>20.149999999999999</v>
      </c>
      <c r="D11" s="189">
        <v>16.86</v>
      </c>
      <c r="E11" s="189">
        <v>7.89</v>
      </c>
      <c r="F11" s="189">
        <v>2.9</v>
      </c>
      <c r="G11" s="189">
        <v>98.46</v>
      </c>
      <c r="H11" s="189">
        <v>67.63</v>
      </c>
      <c r="I11" s="189">
        <v>11.34</v>
      </c>
      <c r="J11" s="189">
        <v>0.11</v>
      </c>
      <c r="K11" s="189">
        <v>158.44999999999999</v>
      </c>
      <c r="L11" s="189">
        <v>17.22</v>
      </c>
      <c r="M11" s="189">
        <v>90.84</v>
      </c>
      <c r="N11" s="189">
        <v>0</v>
      </c>
      <c r="O11" s="189">
        <v>0</v>
      </c>
      <c r="P11" s="189">
        <v>1.03</v>
      </c>
      <c r="Q11" s="189">
        <v>4.88</v>
      </c>
    </row>
    <row r="12" spans="1:21" customFormat="1">
      <c r="A12" s="6" t="s">
        <v>2354</v>
      </c>
      <c r="B12" s="189">
        <v>6.11</v>
      </c>
      <c r="C12" s="189">
        <v>20.97</v>
      </c>
      <c r="D12" s="189">
        <v>17.21</v>
      </c>
      <c r="E12" s="189">
        <v>8.57</v>
      </c>
      <c r="F12" s="189">
        <v>2.74</v>
      </c>
      <c r="G12" s="189">
        <v>97</v>
      </c>
      <c r="H12" s="189">
        <v>67.44</v>
      </c>
      <c r="I12" s="189">
        <v>11.18</v>
      </c>
      <c r="J12" s="189">
        <v>0.08</v>
      </c>
      <c r="K12" s="189">
        <v>176.52</v>
      </c>
      <c r="L12" s="189">
        <v>16.95</v>
      </c>
      <c r="M12" s="189">
        <v>90.32</v>
      </c>
      <c r="N12" s="189">
        <v>0</v>
      </c>
      <c r="O12" s="189">
        <v>0</v>
      </c>
      <c r="P12" s="189">
        <v>1.02</v>
      </c>
      <c r="Q12" s="189">
        <v>4.8899999999999997</v>
      </c>
    </row>
    <row r="13" spans="1:21" customFormat="1">
      <c r="A13" s="6" t="s">
        <v>2355</v>
      </c>
      <c r="B13" s="189">
        <v>6.14</v>
      </c>
      <c r="C13" s="189">
        <v>20.63</v>
      </c>
      <c r="D13" s="189">
        <v>17.05</v>
      </c>
      <c r="E13" s="189">
        <v>7.97</v>
      </c>
      <c r="F13" s="189">
        <v>2.84</v>
      </c>
      <c r="G13" s="189">
        <v>97</v>
      </c>
      <c r="H13" s="189">
        <v>67.44</v>
      </c>
      <c r="I13" s="189">
        <v>11.04</v>
      </c>
      <c r="J13" s="189">
        <v>0.11</v>
      </c>
      <c r="K13" s="189">
        <v>176.34</v>
      </c>
      <c r="L13" s="189">
        <v>16.93</v>
      </c>
      <c r="M13" s="189">
        <v>90.92</v>
      </c>
      <c r="N13" s="189">
        <v>0</v>
      </c>
      <c r="O13" s="189">
        <v>0</v>
      </c>
      <c r="P13" s="189">
        <v>1</v>
      </c>
      <c r="Q13" s="189">
        <v>4.87</v>
      </c>
    </row>
    <row r="14" spans="1:21" customFormat="1">
      <c r="A14" s="6" t="s">
        <v>2356</v>
      </c>
      <c r="B14" s="189">
        <v>6.1</v>
      </c>
      <c r="C14" s="189">
        <v>19.04</v>
      </c>
      <c r="D14" s="189">
        <v>16.190000000000001</v>
      </c>
      <c r="E14" s="189">
        <v>7.81</v>
      </c>
      <c r="F14" s="189">
        <v>2.81</v>
      </c>
      <c r="G14" s="189">
        <v>97</v>
      </c>
      <c r="H14" s="189">
        <v>67.44</v>
      </c>
      <c r="I14" s="189">
        <v>10.92</v>
      </c>
      <c r="J14" s="189">
        <v>0.09</v>
      </c>
      <c r="K14" s="189">
        <v>171.55</v>
      </c>
      <c r="L14" s="189">
        <v>16.75</v>
      </c>
      <c r="M14" s="189">
        <v>91.59</v>
      </c>
      <c r="N14" s="189">
        <v>0</v>
      </c>
      <c r="O14" s="189">
        <v>0</v>
      </c>
      <c r="P14" s="189">
        <v>0.99</v>
      </c>
      <c r="Q14" s="189">
        <v>4.8600000000000003</v>
      </c>
    </row>
    <row r="15" spans="1:21" customFormat="1">
      <c r="A15" s="6" t="s">
        <v>2357</v>
      </c>
      <c r="B15" s="189">
        <v>5.96</v>
      </c>
      <c r="C15" s="189">
        <v>19.38</v>
      </c>
      <c r="D15" s="189">
        <v>16.260000000000002</v>
      </c>
      <c r="E15" s="189">
        <v>8.1999999999999993</v>
      </c>
      <c r="F15" s="189">
        <v>3.01</v>
      </c>
      <c r="G15" s="189">
        <v>87.54</v>
      </c>
      <c r="H15" s="189">
        <v>64.89</v>
      </c>
      <c r="I15" s="189">
        <v>10.74</v>
      </c>
      <c r="J15" s="189">
        <v>0.1</v>
      </c>
      <c r="K15" s="189">
        <v>212.82</v>
      </c>
      <c r="L15" s="189">
        <v>16.59</v>
      </c>
      <c r="M15" s="189">
        <v>92.55</v>
      </c>
      <c r="N15" s="189">
        <v>0</v>
      </c>
      <c r="O15" s="189">
        <v>0</v>
      </c>
      <c r="P15" s="189">
        <v>1</v>
      </c>
      <c r="Q15" s="189">
        <v>4.8499999999999996</v>
      </c>
    </row>
    <row r="16" spans="1:21" customFormat="1">
      <c r="A16" s="6" t="s">
        <v>2358</v>
      </c>
      <c r="B16" s="189">
        <v>5.82</v>
      </c>
      <c r="C16" s="189">
        <v>19.579999999999998</v>
      </c>
      <c r="D16" s="189">
        <v>16.25</v>
      </c>
      <c r="E16" s="189">
        <v>7.66</v>
      </c>
      <c r="F16" s="189">
        <v>2.92</v>
      </c>
      <c r="G16" s="189">
        <v>86.22</v>
      </c>
      <c r="H16" s="189">
        <v>64.89</v>
      </c>
      <c r="I16" s="189">
        <v>10.59</v>
      </c>
      <c r="J16" s="189">
        <v>0.09</v>
      </c>
      <c r="K16" s="189">
        <v>223.87</v>
      </c>
      <c r="L16" s="189">
        <v>16.47</v>
      </c>
      <c r="M16" s="189">
        <v>92.51</v>
      </c>
      <c r="N16" s="189">
        <v>0</v>
      </c>
      <c r="O16" s="189">
        <v>0</v>
      </c>
      <c r="P16" s="189">
        <v>0.99</v>
      </c>
      <c r="Q16" s="189">
        <v>4.87</v>
      </c>
    </row>
    <row r="17" spans="1:17" customFormat="1">
      <c r="A17" s="6" t="s">
        <v>2359</v>
      </c>
      <c r="B17" s="189">
        <v>5.71</v>
      </c>
      <c r="C17" s="189">
        <v>19.77</v>
      </c>
      <c r="D17" s="189">
        <v>16.260000000000002</v>
      </c>
      <c r="E17" s="189">
        <v>5.75</v>
      </c>
      <c r="F17" s="189">
        <v>3.02</v>
      </c>
      <c r="G17" s="189">
        <v>86.22</v>
      </c>
      <c r="H17" s="189">
        <v>64.89</v>
      </c>
      <c r="I17" s="189">
        <v>10.44</v>
      </c>
      <c r="J17" s="189">
        <v>0.13</v>
      </c>
      <c r="K17" s="189">
        <v>209.39</v>
      </c>
      <c r="L17" s="189">
        <v>16.32</v>
      </c>
      <c r="M17" s="189">
        <v>92.7</v>
      </c>
      <c r="N17" s="189">
        <v>0</v>
      </c>
      <c r="O17" s="189">
        <v>0</v>
      </c>
      <c r="P17" s="189">
        <v>0.97</v>
      </c>
      <c r="Q17" s="189">
        <v>4.8499999999999996</v>
      </c>
    </row>
    <row r="18" spans="1:17" customFormat="1">
      <c r="A18" s="6" t="s">
        <v>2360</v>
      </c>
      <c r="B18" s="189">
        <v>5.69</v>
      </c>
      <c r="C18" s="189">
        <v>19.98</v>
      </c>
      <c r="D18" s="189">
        <v>16.36</v>
      </c>
      <c r="E18" s="189">
        <v>6.47</v>
      </c>
      <c r="F18" s="189">
        <v>2.9</v>
      </c>
      <c r="G18" s="189">
        <v>86.22</v>
      </c>
      <c r="H18" s="189">
        <v>64.89</v>
      </c>
      <c r="I18" s="189">
        <v>10.28</v>
      </c>
      <c r="J18" s="189">
        <v>0.08</v>
      </c>
      <c r="K18" s="189">
        <v>202.16</v>
      </c>
      <c r="L18" s="189">
        <v>16.100000000000001</v>
      </c>
      <c r="M18" s="189">
        <v>93.87</v>
      </c>
      <c r="N18" s="189">
        <v>0</v>
      </c>
      <c r="O18" s="189">
        <v>0</v>
      </c>
      <c r="P18" s="189">
        <v>0.96</v>
      </c>
      <c r="Q18" s="189">
        <v>4.8499999999999996</v>
      </c>
    </row>
    <row r="19" spans="1:17" customFormat="1">
      <c r="A19" s="6" t="s">
        <v>2361</v>
      </c>
      <c r="B19" s="189">
        <v>5.72</v>
      </c>
      <c r="C19" s="189">
        <v>20.149999999999999</v>
      </c>
      <c r="D19" s="189">
        <v>16.46</v>
      </c>
      <c r="E19" s="189">
        <v>5.95</v>
      </c>
      <c r="F19" s="189">
        <v>2.85</v>
      </c>
      <c r="G19" s="189">
        <v>80.569999999999993</v>
      </c>
      <c r="H19" s="189">
        <v>63.32</v>
      </c>
      <c r="I19" s="189">
        <v>10.14</v>
      </c>
      <c r="J19" s="189">
        <v>0.09</v>
      </c>
      <c r="K19" s="189">
        <v>160.94</v>
      </c>
      <c r="L19" s="189">
        <v>16.11</v>
      </c>
      <c r="M19" s="189">
        <v>93.59</v>
      </c>
      <c r="N19" s="189">
        <v>0</v>
      </c>
      <c r="O19" s="189">
        <v>0</v>
      </c>
      <c r="P19" s="189">
        <v>0.96</v>
      </c>
      <c r="Q19" s="189">
        <v>4.87</v>
      </c>
    </row>
    <row r="20" spans="1:17" customFormat="1">
      <c r="A20" s="6" t="s">
        <v>2362</v>
      </c>
      <c r="B20" s="189">
        <v>5.92</v>
      </c>
      <c r="C20" s="189">
        <v>20.71</v>
      </c>
      <c r="D20" s="189">
        <v>16.920000000000002</v>
      </c>
      <c r="E20" s="189">
        <v>6.56</v>
      </c>
      <c r="F20" s="189">
        <v>2.81</v>
      </c>
      <c r="G20" s="189">
        <v>79.78</v>
      </c>
      <c r="H20" s="189">
        <v>63.32</v>
      </c>
      <c r="I20" s="189">
        <v>10.050000000000001</v>
      </c>
      <c r="J20" s="189">
        <v>0.12</v>
      </c>
      <c r="K20" s="189">
        <v>288.44</v>
      </c>
      <c r="L20" s="189">
        <v>16.29</v>
      </c>
      <c r="M20" s="189">
        <v>91.95</v>
      </c>
      <c r="N20" s="189">
        <v>0</v>
      </c>
      <c r="O20" s="189">
        <v>0</v>
      </c>
      <c r="P20" s="189">
        <v>0.95</v>
      </c>
      <c r="Q20" s="189">
        <v>4.8499999999999996</v>
      </c>
    </row>
    <row r="21" spans="1:17" customFormat="1">
      <c r="A21" s="6" t="s">
        <v>2363</v>
      </c>
      <c r="B21" s="189">
        <v>6.57</v>
      </c>
      <c r="C21" s="189">
        <v>21.79</v>
      </c>
      <c r="D21" s="189">
        <v>18.010000000000002</v>
      </c>
      <c r="E21" s="189">
        <v>6.75</v>
      </c>
      <c r="F21" s="189">
        <v>2.63</v>
      </c>
      <c r="G21" s="189">
        <v>79.78</v>
      </c>
      <c r="H21" s="189">
        <v>63.32</v>
      </c>
      <c r="I21" s="189">
        <v>9.9600000000000009</v>
      </c>
      <c r="J21" s="189">
        <v>0.09</v>
      </c>
      <c r="K21" s="189">
        <v>177.02</v>
      </c>
      <c r="L21" s="189">
        <v>16.57</v>
      </c>
      <c r="M21" s="189">
        <v>89.62</v>
      </c>
      <c r="N21" s="189">
        <v>0</v>
      </c>
      <c r="O21" s="189">
        <v>0</v>
      </c>
      <c r="P21" s="189">
        <v>0.93</v>
      </c>
      <c r="Q21" s="189">
        <v>4.87</v>
      </c>
    </row>
    <row r="22" spans="1:17" customFormat="1">
      <c r="A22" s="6" t="s">
        <v>2364</v>
      </c>
      <c r="B22" s="189">
        <v>6.97</v>
      </c>
      <c r="C22" s="189">
        <v>22.64</v>
      </c>
      <c r="D22" s="189">
        <v>18.77</v>
      </c>
      <c r="E22" s="189">
        <v>6.52</v>
      </c>
      <c r="F22" s="189">
        <v>2.61</v>
      </c>
      <c r="G22" s="189">
        <v>79.78</v>
      </c>
      <c r="H22" s="189">
        <v>63.32</v>
      </c>
      <c r="I22" s="189">
        <v>9.86</v>
      </c>
      <c r="J22" s="189">
        <v>0.17</v>
      </c>
      <c r="K22" s="189">
        <v>155.38999999999999</v>
      </c>
      <c r="L22" s="189">
        <v>16.579999999999998</v>
      </c>
      <c r="M22" s="189">
        <v>89.11</v>
      </c>
      <c r="N22" s="189">
        <v>0</v>
      </c>
      <c r="O22" s="189">
        <v>0</v>
      </c>
      <c r="P22" s="189">
        <v>0.93</v>
      </c>
      <c r="Q22" s="189">
        <v>4.88</v>
      </c>
    </row>
    <row r="23" spans="1:17" customFormat="1">
      <c r="A23" s="6" t="s">
        <v>2365</v>
      </c>
      <c r="B23" s="189">
        <v>7.28</v>
      </c>
      <c r="C23" s="189">
        <v>23.77</v>
      </c>
      <c r="D23" s="189">
        <v>19.61</v>
      </c>
      <c r="E23" s="189">
        <v>6.24</v>
      </c>
      <c r="F23" s="189">
        <v>2.59</v>
      </c>
      <c r="G23" s="189">
        <v>88.85</v>
      </c>
      <c r="H23" s="189">
        <v>58.81</v>
      </c>
      <c r="I23" s="189">
        <v>9.7899999999999991</v>
      </c>
      <c r="J23" s="189">
        <v>0.1</v>
      </c>
      <c r="K23" s="189">
        <v>121.08</v>
      </c>
      <c r="L23" s="189">
        <v>16.510000000000002</v>
      </c>
      <c r="M23" s="189">
        <v>89.1</v>
      </c>
      <c r="N23" s="189">
        <v>0</v>
      </c>
      <c r="O23" s="189">
        <v>0</v>
      </c>
      <c r="P23" s="189">
        <v>0.92</v>
      </c>
      <c r="Q23" s="189">
        <v>4.87</v>
      </c>
    </row>
    <row r="24" spans="1:17" customFormat="1">
      <c r="A24" s="6" t="s">
        <v>2366</v>
      </c>
      <c r="B24" s="189">
        <v>8.76</v>
      </c>
      <c r="C24" s="189">
        <v>25.03</v>
      </c>
      <c r="D24" s="189">
        <v>21.45</v>
      </c>
      <c r="E24" s="189">
        <v>6.51</v>
      </c>
      <c r="F24" s="189">
        <v>2.65</v>
      </c>
      <c r="G24" s="189">
        <v>90.11</v>
      </c>
      <c r="H24" s="189">
        <v>58.81</v>
      </c>
      <c r="I24" s="189">
        <v>9.73</v>
      </c>
      <c r="J24" s="189">
        <v>0.18</v>
      </c>
      <c r="K24" s="189">
        <v>159.09</v>
      </c>
      <c r="L24" s="189">
        <v>16.62</v>
      </c>
      <c r="M24" s="189">
        <v>88.95</v>
      </c>
      <c r="N24" s="189">
        <v>0</v>
      </c>
      <c r="O24" s="189">
        <v>0</v>
      </c>
      <c r="P24" s="189">
        <v>0.92</v>
      </c>
      <c r="Q24" s="189">
        <v>4.88</v>
      </c>
    </row>
    <row r="25" spans="1:17" customFormat="1">
      <c r="A25" s="6" t="s">
        <v>2367</v>
      </c>
      <c r="B25" s="189">
        <v>10.07</v>
      </c>
      <c r="C25" s="189">
        <v>25.95</v>
      </c>
      <c r="D25" s="189">
        <v>22.99</v>
      </c>
      <c r="E25" s="189">
        <v>6.75</v>
      </c>
      <c r="F25" s="189">
        <v>2.61</v>
      </c>
      <c r="G25" s="189">
        <v>90.11</v>
      </c>
      <c r="H25" s="189">
        <v>58.81</v>
      </c>
      <c r="I25" s="189">
        <v>9.66</v>
      </c>
      <c r="J25" s="189">
        <v>0.16</v>
      </c>
      <c r="K25" s="189">
        <v>152.31</v>
      </c>
      <c r="L25" s="189">
        <v>16.559999999999999</v>
      </c>
      <c r="M25" s="189">
        <v>89.57</v>
      </c>
      <c r="N25" s="189">
        <v>0</v>
      </c>
      <c r="O25" s="189">
        <v>0</v>
      </c>
      <c r="P25" s="189">
        <v>0.91</v>
      </c>
      <c r="Q25" s="189">
        <v>4.8899999999999997</v>
      </c>
    </row>
    <row r="26" spans="1:17" customFormat="1">
      <c r="A26" s="6" t="s">
        <v>2368</v>
      </c>
      <c r="B26" s="189">
        <v>10.46</v>
      </c>
      <c r="C26" s="189">
        <v>26.19</v>
      </c>
      <c r="D26" s="189">
        <v>23.42</v>
      </c>
      <c r="E26" s="189">
        <v>6.72</v>
      </c>
      <c r="F26" s="189">
        <v>2.57</v>
      </c>
      <c r="G26" s="189">
        <v>90.11</v>
      </c>
      <c r="H26" s="189">
        <v>58.81</v>
      </c>
      <c r="I26" s="189">
        <v>9.61</v>
      </c>
      <c r="J26" s="189">
        <v>0.14000000000000001</v>
      </c>
      <c r="K26" s="189">
        <v>162.15</v>
      </c>
      <c r="L26" s="189">
        <v>16.399999999999999</v>
      </c>
      <c r="M26" s="189">
        <v>91.92</v>
      </c>
      <c r="N26" s="189">
        <v>0</v>
      </c>
      <c r="O26" s="189">
        <v>0</v>
      </c>
      <c r="P26" s="189">
        <v>0.91</v>
      </c>
      <c r="Q26" s="189">
        <v>4.93</v>
      </c>
    </row>
    <row r="27" spans="1:17" customFormat="1">
      <c r="A27" s="6" t="s">
        <v>2369</v>
      </c>
      <c r="B27" s="189">
        <v>10.39</v>
      </c>
      <c r="C27" s="189">
        <v>26.39</v>
      </c>
      <c r="D27" s="189">
        <v>23.47</v>
      </c>
      <c r="E27" s="189">
        <v>6.47</v>
      </c>
      <c r="F27" s="189">
        <v>2.4300000000000002</v>
      </c>
      <c r="G27" s="189">
        <v>90.84</v>
      </c>
      <c r="H27" s="189">
        <v>60</v>
      </c>
      <c r="I27" s="189">
        <v>9.5299999999999994</v>
      </c>
      <c r="J27" s="189">
        <v>0.12</v>
      </c>
      <c r="K27" s="189">
        <v>159.57</v>
      </c>
      <c r="L27" s="189">
        <v>16.27</v>
      </c>
      <c r="M27" s="189">
        <v>93.18</v>
      </c>
      <c r="N27" s="189">
        <v>0</v>
      </c>
      <c r="O27" s="189">
        <v>0</v>
      </c>
      <c r="P27" s="189">
        <v>0.89</v>
      </c>
      <c r="Q27" s="189">
        <v>4.93</v>
      </c>
    </row>
    <row r="28" spans="1:17" customFormat="1">
      <c r="A28" s="6" t="s">
        <v>2370</v>
      </c>
      <c r="B28" s="189">
        <v>10.199999999999999</v>
      </c>
      <c r="C28" s="189">
        <v>25.92</v>
      </c>
      <c r="D28" s="189">
        <v>23.08</v>
      </c>
      <c r="E28" s="189">
        <v>6.61</v>
      </c>
      <c r="F28" s="189">
        <v>2.4900000000000002</v>
      </c>
      <c r="G28" s="189">
        <v>90.94</v>
      </c>
      <c r="H28" s="189">
        <v>60</v>
      </c>
      <c r="I28" s="189">
        <v>9.42</v>
      </c>
      <c r="J28" s="189">
        <v>0.11</v>
      </c>
      <c r="K28" s="189">
        <v>158.44999999999999</v>
      </c>
      <c r="L28" s="189">
        <v>16.079999999999998</v>
      </c>
      <c r="M28" s="189">
        <v>93.34</v>
      </c>
      <c r="N28" s="189">
        <v>0</v>
      </c>
      <c r="O28" s="189">
        <v>0</v>
      </c>
      <c r="P28" s="189">
        <v>0.88</v>
      </c>
      <c r="Q28" s="189">
        <v>4.93</v>
      </c>
    </row>
    <row r="29" spans="1:17" customFormat="1">
      <c r="A29" s="6" t="s">
        <v>2371</v>
      </c>
      <c r="B29" s="189">
        <v>10.3</v>
      </c>
      <c r="C29" s="189">
        <v>25.75</v>
      </c>
      <c r="D29" s="189">
        <v>23.07</v>
      </c>
      <c r="E29" s="189">
        <v>6.81</v>
      </c>
      <c r="F29" s="189">
        <v>2.5499999999999998</v>
      </c>
      <c r="G29" s="189">
        <v>90.94</v>
      </c>
      <c r="H29" s="189">
        <v>60</v>
      </c>
      <c r="I29" s="189">
        <v>9.32</v>
      </c>
      <c r="J29" s="189">
        <v>0.16</v>
      </c>
      <c r="K29" s="189">
        <v>150.79</v>
      </c>
      <c r="L29" s="189">
        <v>15.89</v>
      </c>
      <c r="M29" s="189">
        <v>93.14</v>
      </c>
      <c r="N29" s="189">
        <v>0</v>
      </c>
      <c r="O29" s="189">
        <v>0</v>
      </c>
      <c r="P29" s="189">
        <v>0.88</v>
      </c>
      <c r="Q29" s="189">
        <v>4.9000000000000004</v>
      </c>
    </row>
    <row r="30" spans="1:17" customFormat="1">
      <c r="A30" s="6" t="s">
        <v>2372</v>
      </c>
      <c r="B30" s="189">
        <v>12.06</v>
      </c>
      <c r="C30" s="189">
        <v>26.44</v>
      </c>
      <c r="D30" s="189">
        <v>24.84</v>
      </c>
      <c r="E30" s="189">
        <v>6.56</v>
      </c>
      <c r="F30" s="189">
        <v>2.42</v>
      </c>
      <c r="G30" s="189">
        <v>90.94</v>
      </c>
      <c r="H30" s="189">
        <v>60</v>
      </c>
      <c r="I30" s="189">
        <v>9.2100000000000009</v>
      </c>
      <c r="J30" s="189">
        <v>0.14000000000000001</v>
      </c>
      <c r="K30" s="189">
        <v>168.65</v>
      </c>
      <c r="L30" s="189">
        <v>15.82</v>
      </c>
      <c r="M30" s="189">
        <v>93.4</v>
      </c>
      <c r="N30" s="189">
        <v>0</v>
      </c>
      <c r="O30" s="189">
        <v>0</v>
      </c>
      <c r="P30" s="189">
        <v>0.87</v>
      </c>
      <c r="Q30" s="189">
        <v>4.92</v>
      </c>
    </row>
    <row r="31" spans="1:17" customFormat="1">
      <c r="A31" s="6" t="s">
        <v>2373</v>
      </c>
      <c r="B31" s="189">
        <v>13.45</v>
      </c>
      <c r="C31" s="189">
        <v>26.89</v>
      </c>
      <c r="D31" s="189">
        <v>26.19</v>
      </c>
      <c r="E31" s="189">
        <v>7.16</v>
      </c>
      <c r="F31" s="189">
        <v>2.44</v>
      </c>
      <c r="G31" s="189">
        <v>92.17</v>
      </c>
      <c r="H31" s="189">
        <v>58.89</v>
      </c>
      <c r="I31" s="189">
        <v>9.1199999999999992</v>
      </c>
      <c r="J31" s="189">
        <v>0.16</v>
      </c>
      <c r="K31" s="189">
        <v>161.38999999999999</v>
      </c>
      <c r="L31" s="189">
        <v>15.71</v>
      </c>
      <c r="M31" s="189">
        <v>94.07</v>
      </c>
      <c r="N31" s="189">
        <v>0</v>
      </c>
      <c r="O31" s="189">
        <v>0</v>
      </c>
      <c r="P31" s="189">
        <v>0.86</v>
      </c>
      <c r="Q31" s="189">
        <v>4.9400000000000004</v>
      </c>
    </row>
    <row r="32" spans="1:17" customFormat="1">
      <c r="A32" s="6" t="s">
        <v>2374</v>
      </c>
      <c r="B32" s="189">
        <v>13.58</v>
      </c>
      <c r="C32" s="189">
        <v>26.56</v>
      </c>
      <c r="D32" s="189">
        <v>26.12</v>
      </c>
      <c r="E32" s="189">
        <v>6.98</v>
      </c>
      <c r="F32" s="189">
        <v>2.56</v>
      </c>
      <c r="G32" s="189">
        <v>92.35</v>
      </c>
      <c r="H32" s="189">
        <v>58.81</v>
      </c>
      <c r="I32" s="189">
        <v>9.0399999999999991</v>
      </c>
      <c r="J32" s="189">
        <v>0.09</v>
      </c>
      <c r="K32" s="189">
        <v>151.56</v>
      </c>
      <c r="L32" s="189">
        <v>15.54</v>
      </c>
      <c r="M32" s="189">
        <v>94.11</v>
      </c>
      <c r="N32" s="189">
        <v>0</v>
      </c>
      <c r="O32" s="189">
        <v>0</v>
      </c>
      <c r="P32" s="189">
        <v>0.85</v>
      </c>
      <c r="Q32" s="189">
        <v>4.9400000000000004</v>
      </c>
    </row>
    <row r="33" spans="1:17" customFormat="1">
      <c r="A33" s="6" t="s">
        <v>2375</v>
      </c>
      <c r="B33" s="189">
        <v>14.34</v>
      </c>
      <c r="C33" s="189">
        <v>27.07</v>
      </c>
      <c r="D33" s="189">
        <v>27</v>
      </c>
      <c r="E33" s="189">
        <v>7.2</v>
      </c>
      <c r="F33" s="189">
        <v>2.6</v>
      </c>
      <c r="G33" s="189">
        <v>92.35</v>
      </c>
      <c r="H33" s="189">
        <v>58.81</v>
      </c>
      <c r="I33" s="189">
        <v>8.9600000000000009</v>
      </c>
      <c r="J33" s="189">
        <v>0.11</v>
      </c>
      <c r="K33" s="189">
        <v>166.8</v>
      </c>
      <c r="L33" s="189">
        <v>15.51</v>
      </c>
      <c r="M33" s="189">
        <v>94.02</v>
      </c>
      <c r="N33" s="189">
        <v>0</v>
      </c>
      <c r="O33" s="189">
        <v>0</v>
      </c>
      <c r="P33" s="189">
        <v>0.84</v>
      </c>
      <c r="Q33" s="189">
        <v>4.9400000000000004</v>
      </c>
    </row>
    <row r="34" spans="1:17" customFormat="1">
      <c r="A34" s="6" t="s">
        <v>2376</v>
      </c>
      <c r="B34" s="189">
        <v>15.24</v>
      </c>
      <c r="C34" s="189">
        <v>27.28</v>
      </c>
      <c r="D34" s="189">
        <v>27.82</v>
      </c>
      <c r="E34" s="189">
        <v>6.66</v>
      </c>
      <c r="F34" s="189">
        <v>2.5299999999999998</v>
      </c>
      <c r="G34" s="189">
        <v>92.35</v>
      </c>
      <c r="H34" s="189">
        <v>58.81</v>
      </c>
      <c r="I34" s="189">
        <v>8.9</v>
      </c>
      <c r="J34" s="189">
        <v>0.13</v>
      </c>
      <c r="K34" s="189">
        <v>146.02000000000001</v>
      </c>
      <c r="L34" s="189">
        <v>15.65</v>
      </c>
      <c r="M34" s="189">
        <v>93.25</v>
      </c>
      <c r="N34" s="189">
        <v>0</v>
      </c>
      <c r="O34" s="189">
        <v>0</v>
      </c>
      <c r="P34" s="189">
        <v>0.85</v>
      </c>
      <c r="Q34" s="189">
        <v>4.96</v>
      </c>
    </row>
    <row r="35" spans="1:17" customFormat="1">
      <c r="A35" s="6" t="s">
        <v>2377</v>
      </c>
      <c r="B35" s="189">
        <v>15.49</v>
      </c>
      <c r="C35" s="189">
        <v>27.29</v>
      </c>
      <c r="D35" s="189">
        <v>28.03</v>
      </c>
      <c r="E35" s="189">
        <v>6.73</v>
      </c>
      <c r="F35" s="189">
        <v>2.65</v>
      </c>
      <c r="G35" s="189">
        <v>83.91</v>
      </c>
      <c r="H35" s="189">
        <v>58.63</v>
      </c>
      <c r="I35" s="189">
        <v>8.85</v>
      </c>
      <c r="J35" s="189">
        <v>0.14000000000000001</v>
      </c>
      <c r="K35" s="189">
        <v>154.69</v>
      </c>
      <c r="L35" s="189">
        <v>15.58</v>
      </c>
      <c r="M35" s="189">
        <v>92.54</v>
      </c>
      <c r="N35" s="189">
        <v>0</v>
      </c>
      <c r="O35" s="189">
        <v>0</v>
      </c>
      <c r="P35" s="189">
        <v>0.83</v>
      </c>
      <c r="Q35" s="189">
        <v>4.9400000000000004</v>
      </c>
    </row>
    <row r="36" spans="1:17" customFormat="1">
      <c r="A36" s="6" t="s">
        <v>2378</v>
      </c>
      <c r="B36" s="189">
        <v>15.15</v>
      </c>
      <c r="C36" s="189">
        <v>24.27</v>
      </c>
      <c r="D36" s="189">
        <v>26.18</v>
      </c>
      <c r="E36" s="189">
        <v>6.96</v>
      </c>
      <c r="F36" s="189">
        <v>2.91</v>
      </c>
      <c r="G36" s="189">
        <v>82.74</v>
      </c>
      <c r="H36" s="189">
        <v>58.61</v>
      </c>
      <c r="I36" s="189">
        <v>8.7799999999999994</v>
      </c>
      <c r="J36" s="189">
        <v>7.0000000000000007E-2</v>
      </c>
      <c r="K36" s="189">
        <v>157.71</v>
      </c>
      <c r="L36" s="189">
        <v>15.54</v>
      </c>
      <c r="M36" s="189">
        <v>93.56</v>
      </c>
      <c r="N36" s="189">
        <v>7.3</v>
      </c>
      <c r="O36" s="189">
        <v>0</v>
      </c>
      <c r="P36" s="189">
        <v>0.82</v>
      </c>
      <c r="Q36" s="189">
        <v>4.93</v>
      </c>
    </row>
    <row r="37" spans="1:17" customFormat="1">
      <c r="A37" s="6" t="s">
        <v>2379</v>
      </c>
      <c r="B37" s="189">
        <v>14.72</v>
      </c>
      <c r="C37" s="189">
        <v>23.3</v>
      </c>
      <c r="D37" s="189">
        <v>25.33</v>
      </c>
      <c r="E37" s="189">
        <v>6.44</v>
      </c>
      <c r="F37" s="189">
        <v>2.68</v>
      </c>
      <c r="G37" s="189">
        <v>82.74</v>
      </c>
      <c r="H37" s="189">
        <v>58.61</v>
      </c>
      <c r="I37" s="189">
        <v>8.73</v>
      </c>
      <c r="J37" s="189">
        <v>0.13</v>
      </c>
      <c r="K37" s="189">
        <v>139.46</v>
      </c>
      <c r="L37" s="189">
        <v>15.8</v>
      </c>
      <c r="M37" s="189">
        <v>93.94</v>
      </c>
      <c r="N37" s="189">
        <v>18.8</v>
      </c>
      <c r="O37" s="189">
        <v>0</v>
      </c>
      <c r="P37" s="189">
        <v>0.8</v>
      </c>
      <c r="Q37" s="189">
        <v>4.93</v>
      </c>
    </row>
    <row r="38" spans="1:17" customFormat="1">
      <c r="A38" s="6" t="s">
        <v>2380</v>
      </c>
      <c r="B38" s="189">
        <v>14.17</v>
      </c>
      <c r="C38" s="189">
        <v>24.19</v>
      </c>
      <c r="D38" s="189">
        <v>25.35</v>
      </c>
      <c r="E38" s="189">
        <v>6.25</v>
      </c>
      <c r="F38" s="189">
        <v>2.65</v>
      </c>
      <c r="G38" s="189">
        <v>82.74</v>
      </c>
      <c r="H38" s="189">
        <v>58.61</v>
      </c>
      <c r="I38" s="189">
        <v>8.69</v>
      </c>
      <c r="J38" s="189">
        <v>0.18</v>
      </c>
      <c r="K38" s="189">
        <v>170.29</v>
      </c>
      <c r="L38" s="189">
        <v>16.37</v>
      </c>
      <c r="M38" s="189">
        <v>91.13</v>
      </c>
      <c r="N38" s="189">
        <v>23.3</v>
      </c>
      <c r="O38" s="189">
        <v>0</v>
      </c>
      <c r="P38" s="189">
        <v>0.8</v>
      </c>
      <c r="Q38" s="189">
        <v>4.9400000000000004</v>
      </c>
    </row>
    <row r="39" spans="1:17" customFormat="1">
      <c r="A39" s="6" t="s">
        <v>2381</v>
      </c>
      <c r="B39" s="189">
        <v>13.57</v>
      </c>
      <c r="C39" s="189">
        <v>24.01</v>
      </c>
      <c r="D39" s="189">
        <v>24.77</v>
      </c>
      <c r="E39" s="189">
        <v>6.98</v>
      </c>
      <c r="F39" s="189">
        <v>2.57</v>
      </c>
      <c r="G39" s="189">
        <v>83.99</v>
      </c>
      <c r="H39" s="189">
        <v>57.57</v>
      </c>
      <c r="I39" s="189">
        <v>8.69</v>
      </c>
      <c r="J39" s="189">
        <v>0.14000000000000001</v>
      </c>
      <c r="K39" s="189">
        <v>169.85</v>
      </c>
      <c r="L39" s="189">
        <v>16.68</v>
      </c>
      <c r="M39" s="189">
        <v>90.88</v>
      </c>
      <c r="N39" s="189">
        <v>27.5</v>
      </c>
      <c r="O39" s="189">
        <v>0</v>
      </c>
      <c r="P39" s="189">
        <v>0.8</v>
      </c>
      <c r="Q39" s="189">
        <v>4.95</v>
      </c>
    </row>
    <row r="40" spans="1:17" customFormat="1">
      <c r="A40" s="6" t="s">
        <v>2382</v>
      </c>
      <c r="B40" s="189">
        <v>13.08</v>
      </c>
      <c r="C40" s="189">
        <v>25.66</v>
      </c>
      <c r="D40" s="189">
        <v>25.24</v>
      </c>
      <c r="E40" s="189">
        <v>7.16</v>
      </c>
      <c r="F40" s="189">
        <v>2.38</v>
      </c>
      <c r="G40" s="189">
        <v>84.16</v>
      </c>
      <c r="H40" s="189">
        <v>57.57</v>
      </c>
      <c r="I40" s="189">
        <v>8.68</v>
      </c>
      <c r="J40" s="189">
        <v>0.27</v>
      </c>
      <c r="K40" s="189">
        <v>160.51</v>
      </c>
      <c r="L40" s="189">
        <v>17.29</v>
      </c>
      <c r="M40" s="189">
        <v>88.19</v>
      </c>
      <c r="N40" s="189">
        <v>49.6</v>
      </c>
      <c r="O40" s="189">
        <v>0</v>
      </c>
      <c r="P40" s="189">
        <v>0.81</v>
      </c>
      <c r="Q40" s="189">
        <v>4.95</v>
      </c>
    </row>
    <row r="41" spans="1:17" customFormat="1">
      <c r="A41" s="6" t="s">
        <v>2383</v>
      </c>
      <c r="B41" s="189">
        <v>12.77</v>
      </c>
      <c r="C41" s="189">
        <v>23.74</v>
      </c>
      <c r="D41" s="189">
        <v>23.99</v>
      </c>
      <c r="E41" s="189">
        <v>6.69</v>
      </c>
      <c r="F41" s="189">
        <v>2.61</v>
      </c>
      <c r="G41" s="189">
        <v>84.16</v>
      </c>
      <c r="H41" s="189">
        <v>57.57</v>
      </c>
      <c r="I41" s="189">
        <v>8.68</v>
      </c>
      <c r="J41" s="189">
        <v>0.22</v>
      </c>
      <c r="K41" s="189">
        <v>144.41999999999999</v>
      </c>
      <c r="L41" s="189">
        <v>17.89</v>
      </c>
      <c r="M41" s="189">
        <v>86.2</v>
      </c>
      <c r="N41" s="189">
        <v>72.099999999999994</v>
      </c>
      <c r="O41" s="189">
        <v>0</v>
      </c>
      <c r="P41" s="189">
        <v>0.79</v>
      </c>
      <c r="Q41" s="189">
        <v>4.9400000000000004</v>
      </c>
    </row>
    <row r="42" spans="1:17" customFormat="1">
      <c r="A42" s="6" t="s">
        <v>2384</v>
      </c>
      <c r="B42" s="189">
        <v>12.41</v>
      </c>
      <c r="C42" s="189">
        <v>22.07</v>
      </c>
      <c r="D42" s="189">
        <v>22.83</v>
      </c>
      <c r="E42" s="189">
        <v>6.86</v>
      </c>
      <c r="F42" s="189">
        <v>2.73</v>
      </c>
      <c r="G42" s="189">
        <v>84.16</v>
      </c>
      <c r="H42" s="189">
        <v>57.57</v>
      </c>
      <c r="I42" s="189">
        <v>8.67</v>
      </c>
      <c r="J42" s="189">
        <v>0.4</v>
      </c>
      <c r="K42" s="189">
        <v>126.94</v>
      </c>
      <c r="L42" s="189">
        <v>18.78</v>
      </c>
      <c r="M42" s="189">
        <v>82.31</v>
      </c>
      <c r="N42" s="189">
        <v>105.7</v>
      </c>
      <c r="O42" s="189">
        <v>0</v>
      </c>
      <c r="P42" s="189">
        <v>0.79</v>
      </c>
      <c r="Q42" s="189">
        <v>4.93</v>
      </c>
    </row>
    <row r="43" spans="1:17" customFormat="1">
      <c r="A43" s="6" t="s">
        <v>2385</v>
      </c>
      <c r="B43" s="189">
        <v>11.88</v>
      </c>
      <c r="C43" s="189">
        <v>24.19</v>
      </c>
      <c r="D43" s="189">
        <v>23.52</v>
      </c>
      <c r="E43" s="189">
        <v>6.54</v>
      </c>
      <c r="F43" s="189">
        <v>2.4500000000000002</v>
      </c>
      <c r="G43" s="189">
        <v>91.43</v>
      </c>
      <c r="H43" s="189">
        <v>56.47</v>
      </c>
      <c r="I43" s="189">
        <v>8.66</v>
      </c>
      <c r="J43" s="189">
        <v>0.22</v>
      </c>
      <c r="K43" s="189">
        <v>147.96</v>
      </c>
      <c r="L43" s="189">
        <v>19.649999999999999</v>
      </c>
      <c r="M43" s="189">
        <v>78.61</v>
      </c>
      <c r="N43" s="189">
        <v>131.1</v>
      </c>
      <c r="O43" s="189">
        <v>0</v>
      </c>
      <c r="P43" s="189">
        <v>0.8</v>
      </c>
      <c r="Q43" s="189">
        <v>4.95</v>
      </c>
    </row>
    <row r="44" spans="1:17" customFormat="1">
      <c r="A44" s="6" t="s">
        <v>2386</v>
      </c>
      <c r="B44" s="189">
        <v>11.58</v>
      </c>
      <c r="C44" s="189">
        <v>22.5</v>
      </c>
      <c r="D44" s="189">
        <v>22.4</v>
      </c>
      <c r="E44" s="189">
        <v>6.89</v>
      </c>
      <c r="F44" s="189">
        <v>2.82</v>
      </c>
      <c r="G44" s="189">
        <v>92.44</v>
      </c>
      <c r="H44" s="189">
        <v>56.47</v>
      </c>
      <c r="I44" s="189">
        <v>8.66</v>
      </c>
      <c r="J44" s="189">
        <v>0.34</v>
      </c>
      <c r="K44" s="189">
        <v>143.94999999999999</v>
      </c>
      <c r="L44" s="189">
        <v>20.61</v>
      </c>
      <c r="M44" s="189">
        <v>74.66</v>
      </c>
      <c r="N44" s="189">
        <v>150.80000000000001</v>
      </c>
      <c r="O44" s="189">
        <v>0</v>
      </c>
      <c r="P44" s="189">
        <v>0.8</v>
      </c>
      <c r="Q44" s="189">
        <v>4.95</v>
      </c>
    </row>
    <row r="45" spans="1:17" customFormat="1">
      <c r="A45" s="6" t="s">
        <v>2387</v>
      </c>
      <c r="B45" s="189">
        <v>11.15</v>
      </c>
      <c r="C45" s="189">
        <v>20.440000000000001</v>
      </c>
      <c r="D45" s="189">
        <v>20.97</v>
      </c>
      <c r="E45" s="189">
        <v>6.77</v>
      </c>
      <c r="F45" s="189">
        <v>2.96</v>
      </c>
      <c r="G45" s="189">
        <v>92.44</v>
      </c>
      <c r="H45" s="189">
        <v>56.47</v>
      </c>
      <c r="I45" s="189">
        <v>8.66</v>
      </c>
      <c r="J45" s="189">
        <v>0.19</v>
      </c>
      <c r="K45" s="189">
        <v>142.62</v>
      </c>
      <c r="L45" s="189">
        <v>21.43</v>
      </c>
      <c r="M45" s="189">
        <v>71.47</v>
      </c>
      <c r="N45" s="189">
        <v>133.4</v>
      </c>
      <c r="O45" s="189">
        <v>0</v>
      </c>
      <c r="P45" s="189">
        <v>0.78</v>
      </c>
      <c r="Q45" s="189">
        <v>4.92</v>
      </c>
    </row>
    <row r="46" spans="1:17" customFormat="1">
      <c r="A46" s="6" t="s">
        <v>2388</v>
      </c>
      <c r="B46" s="189">
        <v>10.62</v>
      </c>
      <c r="C46" s="189">
        <v>20.56</v>
      </c>
      <c r="D46" s="189">
        <v>20.61</v>
      </c>
      <c r="E46" s="189">
        <v>6.67</v>
      </c>
      <c r="F46" s="189">
        <v>2.83</v>
      </c>
      <c r="G46" s="189">
        <v>92.44</v>
      </c>
      <c r="H46" s="189">
        <v>56.47</v>
      </c>
      <c r="I46" s="189">
        <v>8.7200000000000006</v>
      </c>
      <c r="J46" s="189">
        <v>0.25</v>
      </c>
      <c r="K46" s="189">
        <v>150.16999999999999</v>
      </c>
      <c r="L46" s="189">
        <v>22.2</v>
      </c>
      <c r="M46" s="189">
        <v>66.209999999999994</v>
      </c>
      <c r="N46" s="189">
        <v>133.6</v>
      </c>
      <c r="O46" s="189">
        <v>0</v>
      </c>
      <c r="P46" s="189">
        <v>0.78</v>
      </c>
      <c r="Q46" s="189">
        <v>4.92</v>
      </c>
    </row>
    <row r="47" spans="1:17" customFormat="1">
      <c r="A47" s="6" t="s">
        <v>2389</v>
      </c>
      <c r="B47" s="189">
        <v>10.130000000000001</v>
      </c>
      <c r="C47" s="189">
        <v>21.03</v>
      </c>
      <c r="D47" s="189">
        <v>20.46</v>
      </c>
      <c r="E47" s="189">
        <v>6.89</v>
      </c>
      <c r="F47" s="189">
        <v>2.97</v>
      </c>
      <c r="G47" s="189">
        <v>85.35</v>
      </c>
      <c r="H47" s="189">
        <v>55.49</v>
      </c>
      <c r="I47" s="189">
        <v>8.7899999999999991</v>
      </c>
      <c r="J47" s="189">
        <v>0.21</v>
      </c>
      <c r="K47" s="189">
        <v>84.36</v>
      </c>
      <c r="L47" s="189">
        <v>22.72</v>
      </c>
      <c r="M47" s="189">
        <v>64.430000000000007</v>
      </c>
      <c r="N47" s="189">
        <v>148</v>
      </c>
      <c r="O47" s="189">
        <v>0</v>
      </c>
      <c r="P47" s="189">
        <v>0.78</v>
      </c>
      <c r="Q47" s="189">
        <v>4.92</v>
      </c>
    </row>
    <row r="48" spans="1:17" customFormat="1">
      <c r="A48" s="6" t="s">
        <v>2390</v>
      </c>
      <c r="B48" s="189">
        <v>9.8000000000000007</v>
      </c>
      <c r="C48" s="189">
        <v>22.4</v>
      </c>
      <c r="D48" s="189">
        <v>20.91</v>
      </c>
      <c r="E48" s="189">
        <v>7.27</v>
      </c>
      <c r="F48" s="189">
        <v>2.74</v>
      </c>
      <c r="G48" s="189">
        <v>84.37</v>
      </c>
      <c r="H48" s="189">
        <v>55.49</v>
      </c>
      <c r="I48" s="189">
        <v>8.7799999999999994</v>
      </c>
      <c r="J48" s="189">
        <v>0.19</v>
      </c>
      <c r="K48" s="189">
        <v>154.29</v>
      </c>
      <c r="L48" s="189">
        <v>23.6</v>
      </c>
      <c r="M48" s="189">
        <v>59.51</v>
      </c>
      <c r="N48" s="189">
        <v>180.9</v>
      </c>
      <c r="O48" s="189">
        <v>0</v>
      </c>
      <c r="P48" s="189">
        <v>0.78</v>
      </c>
      <c r="Q48" s="189">
        <v>4.91</v>
      </c>
    </row>
    <row r="49" spans="1:17" customFormat="1">
      <c r="A49" s="6" t="s">
        <v>2391</v>
      </c>
      <c r="B49" s="189">
        <v>9.41</v>
      </c>
      <c r="C49" s="189">
        <v>21.08</v>
      </c>
      <c r="D49" s="189">
        <v>19.91</v>
      </c>
      <c r="E49" s="189">
        <v>5.86</v>
      </c>
      <c r="F49" s="189">
        <v>2.89</v>
      </c>
      <c r="G49" s="189">
        <v>84.37</v>
      </c>
      <c r="H49" s="189">
        <v>55.49</v>
      </c>
      <c r="I49" s="189">
        <v>8.7100000000000009</v>
      </c>
      <c r="J49" s="189">
        <v>0.09</v>
      </c>
      <c r="K49" s="189">
        <v>258.75</v>
      </c>
      <c r="L49" s="189">
        <v>23.87</v>
      </c>
      <c r="M49" s="189">
        <v>57.87</v>
      </c>
      <c r="N49" s="189">
        <v>278.8</v>
      </c>
      <c r="O49" s="189">
        <v>0</v>
      </c>
      <c r="P49" s="189">
        <v>0.77</v>
      </c>
      <c r="Q49" s="189">
        <v>4.9000000000000004</v>
      </c>
    </row>
    <row r="50" spans="1:17" customFormat="1">
      <c r="A50" s="6" t="s">
        <v>2392</v>
      </c>
      <c r="B50" s="189">
        <v>8.9600000000000009</v>
      </c>
      <c r="C50" s="189">
        <v>19.43</v>
      </c>
      <c r="D50" s="189">
        <v>18.690000000000001</v>
      </c>
      <c r="E50" s="189">
        <v>5.78</v>
      </c>
      <c r="F50" s="189">
        <v>3.1</v>
      </c>
      <c r="G50" s="189">
        <v>84.37</v>
      </c>
      <c r="H50" s="189">
        <v>55.49</v>
      </c>
      <c r="I50" s="189">
        <v>8.65</v>
      </c>
      <c r="J50" s="189">
        <v>0.22</v>
      </c>
      <c r="K50" s="189">
        <v>296.52</v>
      </c>
      <c r="L50" s="189">
        <v>24.04</v>
      </c>
      <c r="M50" s="189">
        <v>57.26</v>
      </c>
      <c r="N50" s="189">
        <v>309.2</v>
      </c>
      <c r="O50" s="189">
        <v>0</v>
      </c>
      <c r="P50" s="189">
        <v>0.75</v>
      </c>
      <c r="Q50" s="189">
        <v>4.88</v>
      </c>
    </row>
    <row r="51" spans="1:17" customFormat="1">
      <c r="A51" s="6" t="s">
        <v>2393</v>
      </c>
      <c r="B51" s="189">
        <v>8.3800000000000008</v>
      </c>
      <c r="C51" s="189">
        <v>18.82</v>
      </c>
      <c r="D51" s="189">
        <v>17.91</v>
      </c>
      <c r="E51" s="189">
        <v>5.64</v>
      </c>
      <c r="F51" s="189">
        <v>3.14</v>
      </c>
      <c r="G51" s="189">
        <v>84.36</v>
      </c>
      <c r="H51" s="189">
        <v>52.86</v>
      </c>
      <c r="I51" s="189">
        <v>8.59</v>
      </c>
      <c r="J51" s="189">
        <v>0.08</v>
      </c>
      <c r="K51" s="189">
        <v>263.83999999999997</v>
      </c>
      <c r="L51" s="189">
        <v>24.65</v>
      </c>
      <c r="M51" s="189">
        <v>55.58</v>
      </c>
      <c r="N51" s="189">
        <v>334.8</v>
      </c>
      <c r="O51" s="189">
        <v>0</v>
      </c>
      <c r="P51" s="189">
        <v>0.75</v>
      </c>
      <c r="Q51" s="189">
        <v>4.91</v>
      </c>
    </row>
    <row r="52" spans="1:17" customFormat="1">
      <c r="A52" s="6" t="s">
        <v>2394</v>
      </c>
      <c r="B52" s="189">
        <v>7.84</v>
      </c>
      <c r="C52" s="189">
        <v>18.38</v>
      </c>
      <c r="D52" s="189">
        <v>17.239999999999998</v>
      </c>
      <c r="E52" s="189">
        <v>5.99</v>
      </c>
      <c r="F52" s="189">
        <v>3.24</v>
      </c>
      <c r="G52" s="189">
        <v>84.36</v>
      </c>
      <c r="H52" s="189">
        <v>52.86</v>
      </c>
      <c r="I52" s="189">
        <v>8.51</v>
      </c>
      <c r="J52" s="189">
        <v>0.16</v>
      </c>
      <c r="K52" s="189">
        <v>275.52</v>
      </c>
      <c r="L52" s="189">
        <v>25.1</v>
      </c>
      <c r="M52" s="189">
        <v>53.53</v>
      </c>
      <c r="N52" s="189">
        <v>349.8</v>
      </c>
      <c r="O52" s="189">
        <v>0</v>
      </c>
      <c r="P52" s="189">
        <v>0.73</v>
      </c>
      <c r="Q52" s="189">
        <v>4.88</v>
      </c>
    </row>
    <row r="53" spans="1:17" customFormat="1">
      <c r="A53" s="6" t="s">
        <v>2395</v>
      </c>
      <c r="B53" s="189">
        <v>7.31</v>
      </c>
      <c r="C53" s="189">
        <v>19.7</v>
      </c>
      <c r="D53" s="189">
        <v>17.5</v>
      </c>
      <c r="E53" s="189">
        <v>6.07</v>
      </c>
      <c r="F53" s="189">
        <v>3.13</v>
      </c>
      <c r="G53" s="189">
        <v>84.36</v>
      </c>
      <c r="H53" s="189">
        <v>52.86</v>
      </c>
      <c r="I53" s="189">
        <v>8.41</v>
      </c>
      <c r="J53" s="189">
        <v>0.23</v>
      </c>
      <c r="K53" s="189">
        <v>250.66</v>
      </c>
      <c r="L53" s="189">
        <v>25.5</v>
      </c>
      <c r="M53" s="189">
        <v>51.83</v>
      </c>
      <c r="N53" s="189">
        <v>343.3</v>
      </c>
      <c r="O53" s="189">
        <v>0</v>
      </c>
      <c r="P53" s="189">
        <v>0.75</v>
      </c>
      <c r="Q53" s="189">
        <v>4.87</v>
      </c>
    </row>
    <row r="54" spans="1:17" customFormat="1">
      <c r="A54" s="6" t="s">
        <v>2396</v>
      </c>
      <c r="B54" s="189">
        <v>6.53</v>
      </c>
      <c r="C54" s="189">
        <v>21.63</v>
      </c>
      <c r="D54" s="189">
        <v>17.89</v>
      </c>
      <c r="E54" s="189">
        <v>6.66</v>
      </c>
      <c r="F54" s="189">
        <v>3.52</v>
      </c>
      <c r="G54" s="189">
        <v>84.36</v>
      </c>
      <c r="H54" s="189">
        <v>52.86</v>
      </c>
      <c r="I54" s="189">
        <v>8.33</v>
      </c>
      <c r="J54" s="189">
        <v>0.15</v>
      </c>
      <c r="K54" s="189">
        <v>18.98</v>
      </c>
      <c r="L54" s="189">
        <v>25.63</v>
      </c>
      <c r="M54" s="189">
        <v>51.08</v>
      </c>
      <c r="N54" s="189">
        <v>376.2</v>
      </c>
      <c r="O54" s="189">
        <v>0</v>
      </c>
      <c r="P54" s="189">
        <v>0.74</v>
      </c>
      <c r="Q54" s="189">
        <v>4.8600000000000003</v>
      </c>
    </row>
    <row r="55" spans="1:17" customFormat="1">
      <c r="A55" s="6" t="s">
        <v>2397</v>
      </c>
      <c r="B55" s="189">
        <v>5.68</v>
      </c>
      <c r="C55" s="189">
        <v>22.25</v>
      </c>
      <c r="D55" s="189">
        <v>17.53</v>
      </c>
      <c r="E55" s="189">
        <v>6.3</v>
      </c>
      <c r="F55" s="189">
        <v>3.97</v>
      </c>
      <c r="G55" s="189">
        <v>81.209999999999994</v>
      </c>
      <c r="H55" s="189">
        <v>54.03</v>
      </c>
      <c r="I55" s="189">
        <v>8.25</v>
      </c>
      <c r="J55" s="189">
        <v>0.52</v>
      </c>
      <c r="K55" s="189">
        <v>303.57</v>
      </c>
      <c r="L55" s="189">
        <v>25.75</v>
      </c>
      <c r="M55" s="189">
        <v>49.94</v>
      </c>
      <c r="N55" s="189">
        <v>382.6</v>
      </c>
      <c r="O55" s="189">
        <v>0</v>
      </c>
      <c r="P55" s="189">
        <v>0.75</v>
      </c>
      <c r="Q55" s="189">
        <v>4.8600000000000003</v>
      </c>
    </row>
    <row r="56" spans="1:17" customFormat="1">
      <c r="A56" s="6" t="s">
        <v>2398</v>
      </c>
      <c r="B56" s="189">
        <v>5.07</v>
      </c>
      <c r="C56" s="189">
        <v>22.32</v>
      </c>
      <c r="D56" s="189">
        <v>17.079999999999998</v>
      </c>
      <c r="E56" s="189">
        <v>6.44</v>
      </c>
      <c r="F56" s="189">
        <v>4.3499999999999996</v>
      </c>
      <c r="G56" s="189">
        <v>80.760000000000005</v>
      </c>
      <c r="H56" s="189">
        <v>54.03</v>
      </c>
      <c r="I56" s="189">
        <v>8.1300000000000008</v>
      </c>
      <c r="J56" s="189">
        <v>0.25</v>
      </c>
      <c r="K56" s="189">
        <v>321.7</v>
      </c>
      <c r="L56" s="189">
        <v>26.33</v>
      </c>
      <c r="M56" s="189">
        <v>48.68</v>
      </c>
      <c r="N56" s="189">
        <v>390</v>
      </c>
      <c r="O56" s="189">
        <v>0</v>
      </c>
      <c r="P56" s="189">
        <v>0.74</v>
      </c>
      <c r="Q56" s="189">
        <v>4.8499999999999996</v>
      </c>
    </row>
    <row r="57" spans="1:17" customFormat="1">
      <c r="A57" s="6" t="s">
        <v>2399</v>
      </c>
      <c r="B57" s="189">
        <v>4.78</v>
      </c>
      <c r="C57" s="189">
        <v>22.17</v>
      </c>
      <c r="D57" s="189">
        <v>16.760000000000002</v>
      </c>
      <c r="E57" s="189">
        <v>6.17</v>
      </c>
      <c r="F57" s="189">
        <v>4.71</v>
      </c>
      <c r="G57" s="189">
        <v>80.760000000000005</v>
      </c>
      <c r="H57" s="189">
        <v>54.03</v>
      </c>
      <c r="I57" s="189">
        <v>8.01</v>
      </c>
      <c r="J57" s="189">
        <v>0.2</v>
      </c>
      <c r="K57" s="189">
        <v>178.75</v>
      </c>
      <c r="L57" s="189">
        <v>26.62</v>
      </c>
      <c r="M57" s="189">
        <v>46.93</v>
      </c>
      <c r="N57" s="189">
        <v>394.4</v>
      </c>
      <c r="O57" s="189">
        <v>0</v>
      </c>
      <c r="P57" s="189">
        <v>0.73</v>
      </c>
      <c r="Q57" s="189">
        <v>4.83</v>
      </c>
    </row>
    <row r="58" spans="1:17" customFormat="1">
      <c r="A58" s="6" t="s">
        <v>2400</v>
      </c>
      <c r="B58" s="189">
        <v>4.38</v>
      </c>
      <c r="C58" s="189">
        <v>22.18</v>
      </c>
      <c r="D58" s="189">
        <v>16.45</v>
      </c>
      <c r="E58" s="189">
        <v>6.51</v>
      </c>
      <c r="F58" s="189">
        <v>4.9800000000000004</v>
      </c>
      <c r="G58" s="189">
        <v>80.760000000000005</v>
      </c>
      <c r="H58" s="189">
        <v>54.03</v>
      </c>
      <c r="I58" s="189">
        <v>7.9</v>
      </c>
      <c r="J58" s="189">
        <v>0.27</v>
      </c>
      <c r="K58" s="189">
        <v>163.37</v>
      </c>
      <c r="L58" s="189">
        <v>27.4</v>
      </c>
      <c r="M58" s="189">
        <v>44.12</v>
      </c>
      <c r="N58" s="189">
        <v>377.4</v>
      </c>
      <c r="O58" s="189">
        <v>0</v>
      </c>
      <c r="P58" s="189">
        <v>0.73</v>
      </c>
      <c r="Q58" s="189">
        <v>4.84</v>
      </c>
    </row>
    <row r="59" spans="1:17" customFormat="1">
      <c r="A59" s="6" t="s">
        <v>2401</v>
      </c>
      <c r="B59" s="189">
        <v>4.2300000000000004</v>
      </c>
      <c r="C59" s="189">
        <v>21.98</v>
      </c>
      <c r="D59" s="189">
        <v>16.23</v>
      </c>
      <c r="E59" s="189">
        <v>6.76</v>
      </c>
      <c r="F59" s="189">
        <v>5.68</v>
      </c>
      <c r="G59" s="189">
        <v>85.43</v>
      </c>
      <c r="H59" s="189">
        <v>51.11</v>
      </c>
      <c r="I59" s="189">
        <v>7.8</v>
      </c>
      <c r="J59" s="189">
        <v>0.13</v>
      </c>
      <c r="K59" s="189">
        <v>33.56</v>
      </c>
      <c r="L59" s="189">
        <v>27.43</v>
      </c>
      <c r="M59" s="189">
        <v>44.9</v>
      </c>
      <c r="N59" s="189">
        <v>349.8</v>
      </c>
      <c r="O59" s="189">
        <v>0</v>
      </c>
      <c r="P59" s="189">
        <v>0.73</v>
      </c>
      <c r="Q59" s="189">
        <v>4.84</v>
      </c>
    </row>
    <row r="60" spans="1:17" customFormat="1">
      <c r="A60" s="6" t="s">
        <v>2402</v>
      </c>
      <c r="B60" s="189">
        <v>4.18</v>
      </c>
      <c r="C60" s="189">
        <v>22.14</v>
      </c>
      <c r="D60" s="189">
        <v>16.27</v>
      </c>
      <c r="E60" s="189">
        <v>6.34</v>
      </c>
      <c r="F60" s="189">
        <v>5.61</v>
      </c>
      <c r="G60" s="189">
        <v>86.08</v>
      </c>
      <c r="H60" s="189">
        <v>51.11</v>
      </c>
      <c r="I60" s="189">
        <v>7.69</v>
      </c>
      <c r="J60" s="189">
        <v>0.4</v>
      </c>
      <c r="K60" s="189">
        <v>303.10000000000002</v>
      </c>
      <c r="L60" s="189">
        <v>26.88</v>
      </c>
      <c r="M60" s="189">
        <v>46.01</v>
      </c>
      <c r="N60" s="189">
        <v>297.89999999999998</v>
      </c>
      <c r="O60" s="189">
        <v>0</v>
      </c>
      <c r="P60" s="189">
        <v>0.72</v>
      </c>
      <c r="Q60" s="189">
        <v>4.8</v>
      </c>
    </row>
    <row r="61" spans="1:17" customFormat="1">
      <c r="A61" s="6" t="s">
        <v>2403</v>
      </c>
      <c r="B61" s="189">
        <v>4.13</v>
      </c>
      <c r="C61" s="189">
        <v>22.63</v>
      </c>
      <c r="D61" s="189">
        <v>16.489999999999998</v>
      </c>
      <c r="E61" s="189">
        <v>6.74</v>
      </c>
      <c r="F61" s="189">
        <v>5.62</v>
      </c>
      <c r="G61" s="189">
        <v>86.08</v>
      </c>
      <c r="H61" s="189">
        <v>51.11</v>
      </c>
      <c r="I61" s="189">
        <v>7.62</v>
      </c>
      <c r="J61" s="189">
        <v>0.28000000000000003</v>
      </c>
      <c r="K61" s="189">
        <v>335.9</v>
      </c>
      <c r="L61" s="189">
        <v>26.88</v>
      </c>
      <c r="M61" s="189">
        <v>45.83</v>
      </c>
      <c r="N61" s="189">
        <v>262</v>
      </c>
      <c r="O61" s="189">
        <v>0</v>
      </c>
      <c r="P61" s="189">
        <v>0.74</v>
      </c>
      <c r="Q61" s="189">
        <v>4.8</v>
      </c>
    </row>
    <row r="62" spans="1:17" customFormat="1">
      <c r="A62" s="6" t="s">
        <v>2404</v>
      </c>
      <c r="B62" s="189">
        <v>4.0599999999999996</v>
      </c>
      <c r="C62" s="189">
        <v>23.22</v>
      </c>
      <c r="D62" s="189">
        <v>16.739999999999998</v>
      </c>
      <c r="E62" s="189">
        <v>7.18</v>
      </c>
      <c r="F62" s="189">
        <v>5.78</v>
      </c>
      <c r="G62" s="189">
        <v>86.08</v>
      </c>
      <c r="H62" s="189">
        <v>51.11</v>
      </c>
      <c r="I62" s="189">
        <v>7.62</v>
      </c>
      <c r="J62" s="189">
        <v>0.22</v>
      </c>
      <c r="K62" s="189">
        <v>334.35</v>
      </c>
      <c r="L62" s="189">
        <v>26.97</v>
      </c>
      <c r="M62" s="189">
        <v>46.12</v>
      </c>
      <c r="N62" s="189">
        <v>235.3</v>
      </c>
      <c r="O62" s="189">
        <v>0</v>
      </c>
      <c r="P62" s="189">
        <v>0.76</v>
      </c>
      <c r="Q62" s="189">
        <v>4.8099999999999996</v>
      </c>
    </row>
    <row r="63" spans="1:17" customFormat="1">
      <c r="A63" s="6" t="s">
        <v>2405</v>
      </c>
      <c r="B63" s="189">
        <v>4.04</v>
      </c>
      <c r="C63" s="189">
        <v>23.7</v>
      </c>
      <c r="D63" s="189">
        <v>16.98</v>
      </c>
      <c r="E63" s="189">
        <v>6.82</v>
      </c>
      <c r="F63" s="189">
        <v>6</v>
      </c>
      <c r="G63" s="189">
        <v>103.59</v>
      </c>
      <c r="H63" s="189">
        <v>57.9</v>
      </c>
      <c r="I63" s="189">
        <v>7.7</v>
      </c>
      <c r="J63" s="189">
        <v>0.28999999999999998</v>
      </c>
      <c r="K63" s="189">
        <v>314.26</v>
      </c>
      <c r="L63" s="189">
        <v>27.05</v>
      </c>
      <c r="M63" s="189">
        <v>46.1</v>
      </c>
      <c r="N63" s="189">
        <v>206.5</v>
      </c>
      <c r="O63" s="189">
        <v>0</v>
      </c>
      <c r="P63" s="189">
        <v>0.78</v>
      </c>
      <c r="Q63" s="189">
        <v>4.8</v>
      </c>
    </row>
    <row r="64" spans="1:17" customFormat="1">
      <c r="A64" s="6" t="s">
        <v>2406</v>
      </c>
      <c r="B64" s="189">
        <v>4.1399999999999997</v>
      </c>
      <c r="C64" s="189">
        <v>23.97</v>
      </c>
      <c r="D64" s="189">
        <v>17.190000000000001</v>
      </c>
      <c r="E64" s="189">
        <v>6.9</v>
      </c>
      <c r="F64" s="189">
        <v>6.21</v>
      </c>
      <c r="G64" s="189">
        <v>106.06</v>
      </c>
      <c r="H64" s="189">
        <v>57.9</v>
      </c>
      <c r="I64" s="189">
        <v>7.81</v>
      </c>
      <c r="J64" s="189">
        <v>0.44</v>
      </c>
      <c r="K64" s="189">
        <v>315.3</v>
      </c>
      <c r="L64" s="189">
        <v>26.79</v>
      </c>
      <c r="M64" s="189">
        <v>46.28</v>
      </c>
      <c r="N64" s="189">
        <v>194.9</v>
      </c>
      <c r="O64" s="189">
        <v>0</v>
      </c>
      <c r="P64" s="189">
        <v>0.79</v>
      </c>
      <c r="Q64" s="189">
        <v>4.79</v>
      </c>
    </row>
    <row r="65" spans="1:17" customFormat="1">
      <c r="A65" s="6" t="s">
        <v>2407</v>
      </c>
      <c r="B65" s="189">
        <v>4.18</v>
      </c>
      <c r="C65" s="189">
        <v>24.1</v>
      </c>
      <c r="D65" s="189">
        <v>17.29</v>
      </c>
      <c r="E65" s="189">
        <v>7.17</v>
      </c>
      <c r="F65" s="189">
        <v>6.16</v>
      </c>
      <c r="G65" s="189">
        <v>106.06</v>
      </c>
      <c r="H65" s="189">
        <v>57.9</v>
      </c>
      <c r="I65" s="189">
        <v>7.94</v>
      </c>
      <c r="J65" s="189">
        <v>0.16</v>
      </c>
      <c r="K65" s="189">
        <v>161.77000000000001</v>
      </c>
      <c r="L65" s="189">
        <v>27.07</v>
      </c>
      <c r="M65" s="189">
        <v>45.95</v>
      </c>
      <c r="N65" s="189">
        <v>159.6</v>
      </c>
      <c r="O65" s="189">
        <v>0</v>
      </c>
      <c r="P65" s="189">
        <v>0.8</v>
      </c>
      <c r="Q65" s="189">
        <v>4.8099999999999996</v>
      </c>
    </row>
    <row r="66" spans="1:17" customFormat="1">
      <c r="A66" s="6" t="s">
        <v>2408</v>
      </c>
      <c r="B66" s="189">
        <v>4.07</v>
      </c>
      <c r="C66" s="189">
        <v>24.05</v>
      </c>
      <c r="D66" s="189">
        <v>17.18</v>
      </c>
      <c r="E66" s="189">
        <v>7.63</v>
      </c>
      <c r="F66" s="189">
        <v>6.35</v>
      </c>
      <c r="G66" s="189">
        <v>106.06</v>
      </c>
      <c r="H66" s="189">
        <v>57.9</v>
      </c>
      <c r="I66" s="189">
        <v>8.06</v>
      </c>
      <c r="J66" s="189">
        <v>0.11</v>
      </c>
      <c r="K66" s="189">
        <v>140.38999999999999</v>
      </c>
      <c r="L66" s="189">
        <v>27.1</v>
      </c>
      <c r="M66" s="189">
        <v>47.25</v>
      </c>
      <c r="N66" s="189">
        <v>135.19999999999999</v>
      </c>
      <c r="O66" s="189">
        <v>0</v>
      </c>
      <c r="P66" s="189">
        <v>0.85</v>
      </c>
      <c r="Q66" s="189">
        <v>4.79</v>
      </c>
    </row>
    <row r="67" spans="1:17" customFormat="1">
      <c r="A67" s="6" t="s">
        <v>2409</v>
      </c>
      <c r="B67" s="189">
        <v>4.0599999999999996</v>
      </c>
      <c r="C67" s="189">
        <v>23.99</v>
      </c>
      <c r="D67" s="189">
        <v>17.14</v>
      </c>
      <c r="E67" s="189">
        <v>7.34</v>
      </c>
      <c r="F67" s="189">
        <v>6.48</v>
      </c>
      <c r="G67" s="189">
        <v>113.86</v>
      </c>
      <c r="H67" s="189">
        <v>66.319999999999993</v>
      </c>
      <c r="I67" s="189">
        <v>8.16</v>
      </c>
      <c r="J67" s="189">
        <v>0.21</v>
      </c>
      <c r="K67" s="189">
        <v>173.91</v>
      </c>
      <c r="L67" s="189">
        <v>27.32</v>
      </c>
      <c r="M67" s="189">
        <v>46.8</v>
      </c>
      <c r="N67" s="189">
        <v>113.5</v>
      </c>
      <c r="O67" s="189">
        <v>0</v>
      </c>
      <c r="P67" s="189">
        <v>0.86</v>
      </c>
      <c r="Q67" s="189">
        <v>4.78</v>
      </c>
    </row>
    <row r="68" spans="1:17" customFormat="1">
      <c r="A68" s="6" t="s">
        <v>2410</v>
      </c>
      <c r="B68" s="189">
        <v>4.04</v>
      </c>
      <c r="C68" s="189">
        <v>23.87</v>
      </c>
      <c r="D68" s="189">
        <v>17.059999999999999</v>
      </c>
      <c r="E68" s="189">
        <v>7.74</v>
      </c>
      <c r="F68" s="189">
        <v>6.4</v>
      </c>
      <c r="G68" s="189">
        <v>114.96</v>
      </c>
      <c r="H68" s="189">
        <v>66.319999999999993</v>
      </c>
      <c r="I68" s="189">
        <v>8.23</v>
      </c>
      <c r="J68" s="189">
        <v>0.45</v>
      </c>
      <c r="K68" s="189">
        <v>291.33999999999997</v>
      </c>
      <c r="L68" s="189">
        <v>26.79</v>
      </c>
      <c r="M68" s="189">
        <v>47.43</v>
      </c>
      <c r="N68" s="189">
        <v>97.4</v>
      </c>
      <c r="O68" s="189">
        <v>0</v>
      </c>
      <c r="P68" s="189">
        <v>0.88</v>
      </c>
      <c r="Q68" s="189">
        <v>4.7699999999999996</v>
      </c>
    </row>
    <row r="69" spans="1:17" customFormat="1">
      <c r="A69" s="6" t="s">
        <v>2411</v>
      </c>
      <c r="B69" s="189">
        <v>4.08</v>
      </c>
      <c r="C69" s="189">
        <v>24.17</v>
      </c>
      <c r="D69" s="189">
        <v>17.25</v>
      </c>
      <c r="E69" s="189">
        <v>7.72</v>
      </c>
      <c r="F69" s="189">
        <v>6.49</v>
      </c>
      <c r="G69" s="189">
        <v>114.96</v>
      </c>
      <c r="H69" s="189">
        <v>66.319999999999993</v>
      </c>
      <c r="I69" s="189">
        <v>8.2899999999999991</v>
      </c>
      <c r="J69" s="189">
        <v>0.23</v>
      </c>
      <c r="K69" s="189">
        <v>78.709999999999994</v>
      </c>
      <c r="L69" s="189">
        <v>26.8</v>
      </c>
      <c r="M69" s="189">
        <v>47.75</v>
      </c>
      <c r="N69" s="189">
        <v>82.1</v>
      </c>
      <c r="O69" s="189">
        <v>0</v>
      </c>
      <c r="P69" s="189">
        <v>0.89</v>
      </c>
      <c r="Q69" s="189">
        <v>4.7699999999999996</v>
      </c>
    </row>
    <row r="70" spans="1:17" customFormat="1">
      <c r="A70" s="6" t="s">
        <v>2412</v>
      </c>
      <c r="B70" s="189">
        <v>4.05</v>
      </c>
      <c r="C70" s="189">
        <v>24.76</v>
      </c>
      <c r="D70" s="189">
        <v>17.54</v>
      </c>
      <c r="E70" s="189">
        <v>7.93</v>
      </c>
      <c r="F70" s="189">
        <v>6.28</v>
      </c>
      <c r="G70" s="189">
        <v>114.96</v>
      </c>
      <c r="H70" s="189">
        <v>66.319999999999993</v>
      </c>
      <c r="I70" s="189">
        <v>8.41</v>
      </c>
      <c r="J70" s="189">
        <v>0.28000000000000003</v>
      </c>
      <c r="K70" s="189">
        <v>63.16</v>
      </c>
      <c r="L70" s="189">
        <v>26.61</v>
      </c>
      <c r="M70" s="189">
        <v>48.11</v>
      </c>
      <c r="N70" s="189">
        <v>67</v>
      </c>
      <c r="O70" s="189">
        <v>0</v>
      </c>
      <c r="P70" s="189">
        <v>0.91</v>
      </c>
      <c r="Q70" s="189">
        <v>4.79</v>
      </c>
    </row>
    <row r="71" spans="1:17" customFormat="1">
      <c r="A71" s="6" t="s">
        <v>2413</v>
      </c>
      <c r="B71" s="189">
        <v>4.1900000000000004</v>
      </c>
      <c r="C71" s="189">
        <v>25.23</v>
      </c>
      <c r="D71" s="189">
        <v>17.899999999999999</v>
      </c>
      <c r="E71" s="189">
        <v>8</v>
      </c>
      <c r="F71" s="189">
        <v>5.6</v>
      </c>
      <c r="G71" s="189">
        <v>133.24</v>
      </c>
      <c r="H71" s="189">
        <v>68.739999999999995</v>
      </c>
      <c r="I71" s="189">
        <v>8.52</v>
      </c>
      <c r="J71" s="189">
        <v>0.33</v>
      </c>
      <c r="K71" s="189">
        <v>58.07</v>
      </c>
      <c r="L71" s="189">
        <v>26.38</v>
      </c>
      <c r="M71" s="189">
        <v>47.72</v>
      </c>
      <c r="N71" s="189">
        <v>55.7</v>
      </c>
      <c r="O71" s="189">
        <v>0</v>
      </c>
      <c r="P71" s="189">
        <v>0.92</v>
      </c>
      <c r="Q71" s="189">
        <v>4.79</v>
      </c>
    </row>
    <row r="72" spans="1:17" customFormat="1">
      <c r="A72" s="6" t="s">
        <v>2414</v>
      </c>
      <c r="B72" s="189">
        <v>4.2699999999999996</v>
      </c>
      <c r="C72" s="189">
        <v>25.78</v>
      </c>
      <c r="D72" s="189">
        <v>18.25</v>
      </c>
      <c r="E72" s="189">
        <v>7.61</v>
      </c>
      <c r="F72" s="189">
        <v>5</v>
      </c>
      <c r="G72" s="189">
        <v>135.91999999999999</v>
      </c>
      <c r="H72" s="189">
        <v>68.739999999999995</v>
      </c>
      <c r="I72" s="189">
        <v>8.58</v>
      </c>
      <c r="J72" s="189">
        <v>0.21</v>
      </c>
      <c r="K72" s="189">
        <v>83.3</v>
      </c>
      <c r="L72" s="189">
        <v>26.21</v>
      </c>
      <c r="M72" s="189">
        <v>48.84</v>
      </c>
      <c r="N72" s="189">
        <v>41.8</v>
      </c>
      <c r="O72" s="189">
        <v>0</v>
      </c>
      <c r="P72" s="189">
        <v>0.93</v>
      </c>
      <c r="Q72" s="189">
        <v>4.79</v>
      </c>
    </row>
    <row r="73" spans="1:17" customFormat="1">
      <c r="A73" s="6" t="s">
        <v>2415</v>
      </c>
      <c r="B73" s="189">
        <v>4.32</v>
      </c>
      <c r="C73" s="189">
        <v>26.13</v>
      </c>
      <c r="D73" s="189">
        <v>18.47</v>
      </c>
      <c r="E73" s="189">
        <v>7.57</v>
      </c>
      <c r="F73" s="189">
        <v>4.72</v>
      </c>
      <c r="G73" s="189">
        <v>135.91999999999999</v>
      </c>
      <c r="H73" s="189">
        <v>68.739999999999995</v>
      </c>
      <c r="I73" s="189">
        <v>8.67</v>
      </c>
      <c r="J73" s="189">
        <v>0.25</v>
      </c>
      <c r="K73" s="189">
        <v>62.67</v>
      </c>
      <c r="L73" s="189">
        <v>25.82</v>
      </c>
      <c r="M73" s="189">
        <v>49.83</v>
      </c>
      <c r="N73" s="189">
        <v>31.3</v>
      </c>
      <c r="O73" s="189">
        <v>0</v>
      </c>
      <c r="P73" s="189">
        <v>0.94</v>
      </c>
      <c r="Q73" s="189">
        <v>4.78</v>
      </c>
    </row>
    <row r="74" spans="1:17" customFormat="1">
      <c r="A74" s="6" t="s">
        <v>2416</v>
      </c>
      <c r="B74" s="189">
        <v>4.45</v>
      </c>
      <c r="C74" s="189">
        <v>26.48</v>
      </c>
      <c r="D74" s="189">
        <v>18.75</v>
      </c>
      <c r="E74" s="189">
        <v>7.54</v>
      </c>
      <c r="F74" s="189">
        <v>4.18</v>
      </c>
      <c r="G74" s="189">
        <v>135.91999999999999</v>
      </c>
      <c r="H74" s="189">
        <v>68.739999999999995</v>
      </c>
      <c r="I74" s="189">
        <v>8.7100000000000009</v>
      </c>
      <c r="J74" s="189">
        <v>0.14000000000000001</v>
      </c>
      <c r="K74" s="189">
        <v>86.03</v>
      </c>
      <c r="L74" s="189">
        <v>25.34</v>
      </c>
      <c r="M74" s="189">
        <v>52.01</v>
      </c>
      <c r="N74" s="189">
        <v>22</v>
      </c>
      <c r="O74" s="189">
        <v>0</v>
      </c>
      <c r="P74" s="189">
        <v>0.95</v>
      </c>
      <c r="Q74" s="189">
        <v>4.7699999999999996</v>
      </c>
    </row>
    <row r="75" spans="1:17" customFormat="1">
      <c r="A75" s="6" t="s">
        <v>2417</v>
      </c>
      <c r="B75" s="189">
        <v>4.67</v>
      </c>
      <c r="C75" s="189">
        <v>25.09</v>
      </c>
      <c r="D75" s="189">
        <v>18.2</v>
      </c>
      <c r="E75" s="189">
        <v>7.22</v>
      </c>
      <c r="F75" s="189">
        <v>3.77</v>
      </c>
      <c r="G75" s="189">
        <v>142</v>
      </c>
      <c r="H75" s="189">
        <v>67.88</v>
      </c>
      <c r="I75" s="189">
        <v>8.75</v>
      </c>
      <c r="J75" s="189">
        <v>0.26</v>
      </c>
      <c r="K75" s="189">
        <v>58.06</v>
      </c>
      <c r="L75" s="189">
        <v>24.9</v>
      </c>
      <c r="M75" s="189">
        <v>51.4</v>
      </c>
      <c r="N75" s="189">
        <v>13.3</v>
      </c>
      <c r="O75" s="189">
        <v>0</v>
      </c>
      <c r="P75" s="189">
        <v>0.95</v>
      </c>
      <c r="Q75" s="189">
        <v>4.76</v>
      </c>
    </row>
    <row r="76" spans="1:17" customFormat="1">
      <c r="A76" s="6" t="s">
        <v>2418</v>
      </c>
      <c r="B76" s="189">
        <v>4.93</v>
      </c>
      <c r="C76" s="189">
        <v>23.6</v>
      </c>
      <c r="D76" s="189">
        <v>17.64</v>
      </c>
      <c r="E76" s="189">
        <v>6.37</v>
      </c>
      <c r="F76" s="189">
        <v>3.33</v>
      </c>
      <c r="G76" s="189">
        <v>142.77000000000001</v>
      </c>
      <c r="H76" s="189">
        <v>67.88</v>
      </c>
      <c r="I76" s="189">
        <v>8.76</v>
      </c>
      <c r="J76" s="189">
        <v>0.12</v>
      </c>
      <c r="K76" s="189">
        <v>143.61000000000001</v>
      </c>
      <c r="L76" s="189">
        <v>24.45</v>
      </c>
      <c r="M76" s="189">
        <v>54.53</v>
      </c>
      <c r="N76" s="189">
        <v>4.5999999999999996</v>
      </c>
      <c r="O76" s="189">
        <v>0</v>
      </c>
      <c r="P76" s="189">
        <v>0.95</v>
      </c>
      <c r="Q76" s="189">
        <v>4.7699999999999996</v>
      </c>
    </row>
    <row r="77" spans="1:17" customFormat="1">
      <c r="A77" s="6" t="s">
        <v>2419</v>
      </c>
      <c r="B77" s="189">
        <v>5.01</v>
      </c>
      <c r="C77" s="189">
        <v>22.38</v>
      </c>
      <c r="D77" s="189">
        <v>17.059999999999999</v>
      </c>
      <c r="E77" s="189">
        <v>5.81</v>
      </c>
      <c r="F77" s="189">
        <v>3.21</v>
      </c>
      <c r="G77" s="189">
        <v>142.77000000000001</v>
      </c>
      <c r="H77" s="189">
        <v>67.88</v>
      </c>
      <c r="I77" s="189">
        <v>8.7899999999999991</v>
      </c>
      <c r="J77" s="189">
        <v>0.23</v>
      </c>
      <c r="K77" s="189">
        <v>163.92</v>
      </c>
      <c r="L77" s="189">
        <v>23.52</v>
      </c>
      <c r="M77" s="189">
        <v>58.77</v>
      </c>
      <c r="N77" s="189">
        <v>0.1</v>
      </c>
      <c r="O77" s="189">
        <v>0</v>
      </c>
      <c r="P77" s="189">
        <v>0.95</v>
      </c>
      <c r="Q77" s="189">
        <v>4.76</v>
      </c>
    </row>
    <row r="78" spans="1:17" customFormat="1">
      <c r="A78" s="6" t="s">
        <v>2420</v>
      </c>
      <c r="B78" s="189">
        <v>5.04</v>
      </c>
      <c r="C78" s="189">
        <v>21.44</v>
      </c>
      <c r="D78" s="189">
        <v>16.59</v>
      </c>
      <c r="E78" s="189">
        <v>6.17</v>
      </c>
      <c r="F78" s="189">
        <v>3.36</v>
      </c>
      <c r="G78" s="189">
        <v>142.77000000000001</v>
      </c>
      <c r="H78" s="189">
        <v>67.88</v>
      </c>
      <c r="I78" s="189">
        <v>8.84</v>
      </c>
      <c r="J78" s="189">
        <v>0.23</v>
      </c>
      <c r="K78" s="189">
        <v>169.3</v>
      </c>
      <c r="L78" s="189">
        <v>22.66</v>
      </c>
      <c r="M78" s="189">
        <v>63.18</v>
      </c>
      <c r="N78" s="189">
        <v>0</v>
      </c>
      <c r="O78" s="189">
        <v>0</v>
      </c>
      <c r="P78" s="189">
        <v>0.94</v>
      </c>
      <c r="Q78" s="189">
        <v>4.79</v>
      </c>
    </row>
    <row r="79" spans="1:17" customFormat="1">
      <c r="A79" s="6" t="s">
        <v>2421</v>
      </c>
      <c r="B79" s="189">
        <v>5.08</v>
      </c>
      <c r="C79" s="189">
        <v>21.01</v>
      </c>
      <c r="D79" s="189">
        <v>16.399999999999999</v>
      </c>
      <c r="E79" s="189">
        <v>6.6</v>
      </c>
      <c r="F79" s="189">
        <v>3.22</v>
      </c>
      <c r="G79" s="189">
        <v>147.08000000000001</v>
      </c>
      <c r="H79" s="189">
        <v>66.900000000000006</v>
      </c>
      <c r="I79" s="189">
        <v>8.89</v>
      </c>
      <c r="J79" s="189">
        <v>0.2</v>
      </c>
      <c r="K79" s="189">
        <v>154.71</v>
      </c>
      <c r="L79" s="189">
        <v>21.96</v>
      </c>
      <c r="M79" s="189">
        <v>67.95</v>
      </c>
      <c r="N79" s="189">
        <v>0</v>
      </c>
      <c r="O79" s="189">
        <v>0</v>
      </c>
      <c r="P79" s="189">
        <v>0.95</v>
      </c>
      <c r="Q79" s="189">
        <v>4.8099999999999996</v>
      </c>
    </row>
    <row r="80" spans="1:17" customFormat="1">
      <c r="A80" s="6" t="s">
        <v>2422</v>
      </c>
      <c r="B80" s="189">
        <v>5.17</v>
      </c>
      <c r="C80" s="189">
        <v>21.73</v>
      </c>
      <c r="D80" s="189">
        <v>16.850000000000001</v>
      </c>
      <c r="E80" s="189">
        <v>6.15</v>
      </c>
      <c r="F80" s="189">
        <v>2.79</v>
      </c>
      <c r="G80" s="189">
        <v>147.35</v>
      </c>
      <c r="H80" s="189">
        <v>66.900000000000006</v>
      </c>
      <c r="I80" s="189">
        <v>8.93</v>
      </c>
      <c r="J80" s="189">
        <v>0.19</v>
      </c>
      <c r="K80" s="189">
        <v>138.53</v>
      </c>
      <c r="L80" s="189">
        <v>21.7</v>
      </c>
      <c r="M80" s="189">
        <v>67.14</v>
      </c>
      <c r="N80" s="189">
        <v>0</v>
      </c>
      <c r="O80" s="189">
        <v>0</v>
      </c>
      <c r="P80" s="189">
        <v>0.97</v>
      </c>
      <c r="Q80" s="189">
        <v>4.84</v>
      </c>
    </row>
    <row r="81" spans="1:17" customFormat="1">
      <c r="A81" s="6" t="s">
        <v>2423</v>
      </c>
      <c r="B81" s="189">
        <v>5.35</v>
      </c>
      <c r="C81" s="189">
        <v>22.85</v>
      </c>
      <c r="D81" s="189">
        <v>17.579999999999998</v>
      </c>
      <c r="E81" s="189">
        <v>5.42</v>
      </c>
      <c r="F81" s="189">
        <v>2.65</v>
      </c>
      <c r="G81" s="189">
        <v>147.35</v>
      </c>
      <c r="H81" s="189">
        <v>66.900000000000006</v>
      </c>
      <c r="I81" s="189">
        <v>9.02</v>
      </c>
      <c r="J81" s="189">
        <v>0.22</v>
      </c>
      <c r="K81" s="189">
        <v>163.75</v>
      </c>
      <c r="L81" s="189">
        <v>21.36</v>
      </c>
      <c r="M81" s="189">
        <v>68.23</v>
      </c>
      <c r="N81" s="189">
        <v>0</v>
      </c>
      <c r="O81" s="189">
        <v>0</v>
      </c>
      <c r="P81" s="189">
        <v>0.99</v>
      </c>
      <c r="Q81" s="189">
        <v>4.8600000000000003</v>
      </c>
    </row>
    <row r="82" spans="1:17" customFormat="1">
      <c r="A82" s="6" t="s">
        <v>2424</v>
      </c>
      <c r="B82" s="189">
        <v>5.56</v>
      </c>
      <c r="C82" s="189">
        <v>24.3</v>
      </c>
      <c r="D82" s="189">
        <v>18.510000000000002</v>
      </c>
      <c r="E82" s="189">
        <v>6.12</v>
      </c>
      <c r="F82" s="189">
        <v>2.7</v>
      </c>
      <c r="G82" s="189">
        <v>147.35</v>
      </c>
      <c r="H82" s="189">
        <v>66.900000000000006</v>
      </c>
      <c r="I82" s="189">
        <v>9.14</v>
      </c>
      <c r="J82" s="189">
        <v>0.19</v>
      </c>
      <c r="K82" s="189">
        <v>162.18</v>
      </c>
      <c r="L82" s="189">
        <v>21.1</v>
      </c>
      <c r="M82" s="189">
        <v>68.88</v>
      </c>
      <c r="N82" s="189">
        <v>0</v>
      </c>
      <c r="O82" s="189">
        <v>0</v>
      </c>
      <c r="P82" s="189">
        <v>1.01</v>
      </c>
      <c r="Q82" s="189">
        <v>4.9000000000000004</v>
      </c>
    </row>
    <row r="83" spans="1:17" customFormat="1">
      <c r="A83" s="6" t="s">
        <v>2425</v>
      </c>
      <c r="B83" s="189">
        <v>5.66</v>
      </c>
      <c r="C83" s="189">
        <v>25.28</v>
      </c>
      <c r="D83" s="189">
        <v>19.100000000000001</v>
      </c>
      <c r="E83" s="189">
        <v>6.05</v>
      </c>
      <c r="F83" s="189">
        <v>2.73</v>
      </c>
      <c r="G83" s="189">
        <v>143.38</v>
      </c>
      <c r="H83" s="189">
        <v>70.45</v>
      </c>
      <c r="I83" s="189">
        <v>9.26</v>
      </c>
      <c r="J83" s="189">
        <v>0.2</v>
      </c>
      <c r="K83" s="189">
        <v>172.05</v>
      </c>
      <c r="L83" s="189">
        <v>20.77</v>
      </c>
      <c r="M83" s="189">
        <v>71.31</v>
      </c>
      <c r="N83" s="189">
        <v>0</v>
      </c>
      <c r="O83" s="189">
        <v>0</v>
      </c>
      <c r="P83" s="189">
        <v>1.03</v>
      </c>
      <c r="Q83" s="189">
        <v>4.92</v>
      </c>
    </row>
    <row r="84" spans="1:17" customFormat="1">
      <c r="A84" s="6" t="s">
        <v>2426</v>
      </c>
      <c r="B84" s="189">
        <v>5.81</v>
      </c>
      <c r="C84" s="189">
        <v>24.61</v>
      </c>
      <c r="D84" s="189">
        <v>18.87</v>
      </c>
      <c r="E84" s="189">
        <v>5.91</v>
      </c>
      <c r="F84" s="189">
        <v>2.99</v>
      </c>
      <c r="G84" s="189">
        <v>142.82</v>
      </c>
      <c r="H84" s="189">
        <v>70.45</v>
      </c>
      <c r="I84" s="189">
        <v>9.4</v>
      </c>
      <c r="J84" s="189">
        <v>0.17</v>
      </c>
      <c r="K84" s="189">
        <v>167.56</v>
      </c>
      <c r="L84" s="189">
        <v>20.52</v>
      </c>
      <c r="M84" s="189">
        <v>75.7</v>
      </c>
      <c r="N84" s="189">
        <v>0</v>
      </c>
      <c r="O84" s="189">
        <v>0</v>
      </c>
      <c r="P84" s="189">
        <v>1.04</v>
      </c>
      <c r="Q84" s="189">
        <v>4.93</v>
      </c>
    </row>
    <row r="85" spans="1:17" customFormat="1">
      <c r="A85" s="6" t="s">
        <v>2427</v>
      </c>
      <c r="B85" s="189">
        <v>6.08</v>
      </c>
      <c r="C85" s="189">
        <v>22.69</v>
      </c>
      <c r="D85" s="189">
        <v>18.079999999999998</v>
      </c>
      <c r="E85" s="189">
        <v>5.92</v>
      </c>
      <c r="F85" s="189">
        <v>3.04</v>
      </c>
      <c r="G85" s="189">
        <v>142.82</v>
      </c>
      <c r="H85" s="189">
        <v>70.45</v>
      </c>
      <c r="I85" s="189">
        <v>9.5500000000000007</v>
      </c>
      <c r="J85" s="189">
        <v>0.15</v>
      </c>
      <c r="K85" s="189">
        <v>177.82</v>
      </c>
      <c r="L85" s="189">
        <v>19.98</v>
      </c>
      <c r="M85" s="189">
        <v>80.069999999999993</v>
      </c>
      <c r="N85" s="189">
        <v>0</v>
      </c>
      <c r="O85" s="189">
        <v>0</v>
      </c>
      <c r="P85" s="189">
        <v>1.04</v>
      </c>
      <c r="Q85" s="189">
        <v>4.8899999999999997</v>
      </c>
    </row>
    <row r="86" spans="1:17" customFormat="1">
      <c r="A86" s="6" t="s">
        <v>2428</v>
      </c>
      <c r="B86" s="189">
        <v>6.1</v>
      </c>
      <c r="C86" s="189">
        <v>22.41</v>
      </c>
      <c r="D86" s="189">
        <v>17.95</v>
      </c>
      <c r="E86" s="189">
        <v>5.81</v>
      </c>
      <c r="F86" s="189">
        <v>2.92</v>
      </c>
      <c r="G86" s="189">
        <v>142.82</v>
      </c>
      <c r="H86" s="189">
        <v>70.45</v>
      </c>
      <c r="I86" s="189">
        <v>9.67</v>
      </c>
      <c r="J86" s="189">
        <v>0.15</v>
      </c>
      <c r="K86" s="189">
        <v>176.81</v>
      </c>
      <c r="L86" s="189">
        <v>19.579999999999998</v>
      </c>
      <c r="M86" s="189">
        <v>79.12</v>
      </c>
      <c r="N86" s="189">
        <v>0</v>
      </c>
      <c r="O86" s="189">
        <v>0</v>
      </c>
      <c r="P86" s="189">
        <v>1.04</v>
      </c>
      <c r="Q86" s="189">
        <v>4.91</v>
      </c>
    </row>
    <row r="87" spans="1:17" customFormat="1">
      <c r="A87" s="6" t="s">
        <v>2429</v>
      </c>
      <c r="B87" s="189">
        <v>6.18</v>
      </c>
      <c r="C87" s="189">
        <v>23.34</v>
      </c>
      <c r="D87" s="189">
        <v>18.5</v>
      </c>
      <c r="E87" s="189">
        <v>6.06</v>
      </c>
      <c r="F87" s="189">
        <v>2.62</v>
      </c>
      <c r="G87" s="189">
        <v>145.6</v>
      </c>
      <c r="H87" s="189">
        <v>69.09</v>
      </c>
      <c r="I87" s="189">
        <v>9.74</v>
      </c>
      <c r="J87" s="189">
        <v>0.12</v>
      </c>
      <c r="K87" s="189">
        <v>184.79</v>
      </c>
      <c r="L87" s="189">
        <v>19.38</v>
      </c>
      <c r="M87" s="189">
        <v>80.680000000000007</v>
      </c>
      <c r="N87" s="189">
        <v>0</v>
      </c>
      <c r="O87" s="189">
        <v>0</v>
      </c>
      <c r="P87" s="189">
        <v>1.04</v>
      </c>
      <c r="Q87" s="189">
        <v>4.92</v>
      </c>
    </row>
    <row r="88" spans="1:17" customFormat="1">
      <c r="A88" s="6" t="s">
        <v>2430</v>
      </c>
      <c r="B88" s="189">
        <v>6.15</v>
      </c>
      <c r="C88" s="189">
        <v>23.98</v>
      </c>
      <c r="D88" s="189">
        <v>18.809999999999999</v>
      </c>
      <c r="E88" s="189">
        <v>6.22</v>
      </c>
      <c r="F88" s="189">
        <v>2.66</v>
      </c>
      <c r="G88" s="189">
        <v>145.99</v>
      </c>
      <c r="H88" s="189">
        <v>69.09</v>
      </c>
      <c r="I88" s="189">
        <v>9.76</v>
      </c>
      <c r="J88" s="189">
        <v>0.11</v>
      </c>
      <c r="K88" s="189">
        <v>164.92</v>
      </c>
      <c r="L88" s="189">
        <v>19.16</v>
      </c>
      <c r="M88" s="189">
        <v>81.59</v>
      </c>
      <c r="N88" s="189">
        <v>0</v>
      </c>
      <c r="O88" s="189">
        <v>0</v>
      </c>
      <c r="P88" s="189">
        <v>1.04</v>
      </c>
      <c r="Q88" s="189">
        <v>4.91</v>
      </c>
    </row>
    <row r="89" spans="1:17" customFormat="1">
      <c r="A89" s="6" t="s">
        <v>2431</v>
      </c>
      <c r="B89" s="189">
        <v>6.2</v>
      </c>
      <c r="C89" s="189">
        <v>24.19</v>
      </c>
      <c r="D89" s="189">
        <v>18.97</v>
      </c>
      <c r="E89" s="189">
        <v>6.22</v>
      </c>
      <c r="F89" s="189">
        <v>2.68</v>
      </c>
      <c r="G89" s="189">
        <v>145.99</v>
      </c>
      <c r="H89" s="189">
        <v>69.09</v>
      </c>
      <c r="I89" s="189">
        <v>9.76</v>
      </c>
      <c r="J89" s="189">
        <v>0.08</v>
      </c>
      <c r="K89" s="189">
        <v>213.47</v>
      </c>
      <c r="L89" s="189">
        <v>18.940000000000001</v>
      </c>
      <c r="M89" s="189">
        <v>82.83</v>
      </c>
      <c r="N89" s="189">
        <v>0</v>
      </c>
      <c r="O89" s="189">
        <v>0</v>
      </c>
      <c r="P89" s="189">
        <v>1.05</v>
      </c>
      <c r="Q89" s="189">
        <v>4.9000000000000004</v>
      </c>
    </row>
    <row r="90" spans="1:17" customFormat="1">
      <c r="A90" s="6" t="s">
        <v>2432</v>
      </c>
      <c r="B90" s="189">
        <v>6.34</v>
      </c>
      <c r="C90" s="189">
        <v>23.93</v>
      </c>
      <c r="D90" s="189">
        <v>18.940000000000001</v>
      </c>
      <c r="E90" s="189">
        <v>6.05</v>
      </c>
      <c r="F90" s="189">
        <v>2.63</v>
      </c>
      <c r="G90" s="189">
        <v>145.99</v>
      </c>
      <c r="H90" s="189">
        <v>69.09</v>
      </c>
      <c r="I90" s="189">
        <v>9.77</v>
      </c>
      <c r="J90" s="189">
        <v>0.14000000000000001</v>
      </c>
      <c r="K90" s="189">
        <v>155.49</v>
      </c>
      <c r="L90" s="189">
        <v>18.84</v>
      </c>
      <c r="M90" s="189">
        <v>82.51</v>
      </c>
      <c r="N90" s="189">
        <v>0</v>
      </c>
      <c r="O90" s="189">
        <v>0</v>
      </c>
      <c r="P90" s="189">
        <v>1.06</v>
      </c>
      <c r="Q90" s="189">
        <v>4.8899999999999997</v>
      </c>
    </row>
    <row r="91" spans="1:17" customFormat="1">
      <c r="A91" s="6" t="s">
        <v>2433</v>
      </c>
      <c r="B91" s="189">
        <v>6.36</v>
      </c>
      <c r="C91" s="189">
        <v>23.85</v>
      </c>
      <c r="D91" s="189">
        <v>18.91</v>
      </c>
      <c r="E91" s="189">
        <v>5.49</v>
      </c>
      <c r="F91" s="189">
        <v>2.72</v>
      </c>
      <c r="G91" s="189">
        <v>137.26</v>
      </c>
      <c r="H91" s="189">
        <v>62.71</v>
      </c>
      <c r="I91" s="189">
        <v>9.7899999999999991</v>
      </c>
      <c r="J91" s="189">
        <v>0.15</v>
      </c>
      <c r="K91" s="189">
        <v>167.75</v>
      </c>
      <c r="L91" s="189">
        <v>18.86</v>
      </c>
      <c r="M91" s="189">
        <v>84.11</v>
      </c>
      <c r="N91" s="189">
        <v>0</v>
      </c>
      <c r="O91" s="189">
        <v>0</v>
      </c>
      <c r="P91" s="189">
        <v>1.06</v>
      </c>
      <c r="Q91" s="189">
        <v>4.8899999999999997</v>
      </c>
    </row>
    <row r="92" spans="1:17" customFormat="1">
      <c r="A92" s="6" t="s">
        <v>2434</v>
      </c>
      <c r="B92" s="189">
        <v>6.59</v>
      </c>
      <c r="C92" s="189">
        <v>22.88</v>
      </c>
      <c r="D92" s="189">
        <v>18.59</v>
      </c>
      <c r="E92" s="189">
        <v>5.92</v>
      </c>
      <c r="F92" s="189">
        <v>2.89</v>
      </c>
      <c r="G92" s="189">
        <v>136.05000000000001</v>
      </c>
      <c r="H92" s="189">
        <v>62.71</v>
      </c>
      <c r="I92" s="189">
        <v>9.7799999999999994</v>
      </c>
      <c r="J92" s="189">
        <v>0.09</v>
      </c>
      <c r="K92" s="189">
        <v>214.99</v>
      </c>
      <c r="L92" s="189">
        <v>18.63</v>
      </c>
      <c r="M92" s="189">
        <v>85.19</v>
      </c>
      <c r="N92" s="189">
        <v>0</v>
      </c>
      <c r="O92" s="189">
        <v>0</v>
      </c>
      <c r="P92" s="189">
        <v>1.06</v>
      </c>
      <c r="Q92" s="189">
        <v>4.8899999999999997</v>
      </c>
    </row>
    <row r="93" spans="1:17" customFormat="1">
      <c r="A93" s="6" t="s">
        <v>2435</v>
      </c>
      <c r="B93" s="189">
        <v>7.55</v>
      </c>
      <c r="C93" s="189">
        <v>23.11</v>
      </c>
      <c r="D93" s="189">
        <v>19.48</v>
      </c>
      <c r="E93" s="189">
        <v>6.05</v>
      </c>
      <c r="F93" s="189">
        <v>2.95</v>
      </c>
      <c r="G93" s="189">
        <v>136.05000000000001</v>
      </c>
      <c r="H93" s="189">
        <v>62.71</v>
      </c>
      <c r="I93" s="189">
        <v>9.77</v>
      </c>
      <c r="J93" s="189">
        <v>7.0000000000000007E-2</v>
      </c>
      <c r="K93" s="189">
        <v>196.32</v>
      </c>
      <c r="L93" s="189">
        <v>18.38</v>
      </c>
      <c r="M93" s="189">
        <v>85.42</v>
      </c>
      <c r="N93" s="189">
        <v>0</v>
      </c>
      <c r="O93" s="189">
        <v>0</v>
      </c>
      <c r="P93" s="189">
        <v>1.08</v>
      </c>
      <c r="Q93" s="189">
        <v>4.9000000000000004</v>
      </c>
    </row>
    <row r="94" spans="1:17" customFormat="1">
      <c r="A94" s="6" t="s">
        <v>2436</v>
      </c>
      <c r="B94" s="189">
        <v>10.44</v>
      </c>
      <c r="C94" s="189">
        <v>25.19</v>
      </c>
      <c r="D94" s="189">
        <v>22.88</v>
      </c>
      <c r="E94" s="189">
        <v>6.21</v>
      </c>
      <c r="F94" s="189">
        <v>2.73</v>
      </c>
      <c r="G94" s="189">
        <v>136.05000000000001</v>
      </c>
      <c r="H94" s="189">
        <v>62.71</v>
      </c>
      <c r="I94" s="189">
        <v>9.81</v>
      </c>
      <c r="J94" s="189">
        <v>0.19</v>
      </c>
      <c r="K94" s="189">
        <v>191.88</v>
      </c>
      <c r="L94" s="189">
        <v>18.579999999999998</v>
      </c>
      <c r="M94" s="189">
        <v>84.85</v>
      </c>
      <c r="N94" s="189">
        <v>0</v>
      </c>
      <c r="O94" s="189">
        <v>0</v>
      </c>
      <c r="P94" s="189">
        <v>1.1299999999999999</v>
      </c>
      <c r="Q94" s="189">
        <v>4.93</v>
      </c>
    </row>
    <row r="95" spans="1:17" customFormat="1">
      <c r="A95" s="6" t="s">
        <v>2437</v>
      </c>
      <c r="B95" s="189">
        <v>12.24</v>
      </c>
      <c r="C95" s="189">
        <v>26.37</v>
      </c>
      <c r="D95" s="189">
        <v>24.94</v>
      </c>
      <c r="E95" s="189">
        <v>5.9</v>
      </c>
      <c r="F95" s="189">
        <v>2.59</v>
      </c>
      <c r="G95" s="189">
        <v>152.13999999999999</v>
      </c>
      <c r="H95" s="189">
        <v>70.36</v>
      </c>
      <c r="I95" s="189">
        <v>10</v>
      </c>
      <c r="J95" s="189">
        <v>0.18</v>
      </c>
      <c r="K95" s="189">
        <v>182.84</v>
      </c>
      <c r="L95" s="189">
        <v>18.21</v>
      </c>
      <c r="M95" s="189">
        <v>88.84</v>
      </c>
      <c r="N95" s="189">
        <v>0</v>
      </c>
      <c r="O95" s="189">
        <v>0</v>
      </c>
      <c r="P95" s="189">
        <v>1.1599999999999999</v>
      </c>
      <c r="Q95" s="189">
        <v>4.99</v>
      </c>
    </row>
    <row r="96" spans="1:17" customFormat="1">
      <c r="A96" s="6" t="s">
        <v>2438</v>
      </c>
      <c r="B96" s="189">
        <v>12.46</v>
      </c>
      <c r="C96" s="189">
        <v>26.97</v>
      </c>
      <c r="D96" s="189">
        <v>25.43</v>
      </c>
      <c r="E96" s="189">
        <v>6.3</v>
      </c>
      <c r="F96" s="189">
        <v>2.61</v>
      </c>
      <c r="G96" s="189">
        <v>154.41</v>
      </c>
      <c r="H96" s="189">
        <v>70.36</v>
      </c>
      <c r="I96" s="189">
        <v>10.23</v>
      </c>
      <c r="J96" s="189">
        <v>0.11</v>
      </c>
      <c r="K96" s="189">
        <v>174.78</v>
      </c>
      <c r="L96" s="189">
        <v>17.88</v>
      </c>
      <c r="M96" s="189">
        <v>88.4</v>
      </c>
      <c r="N96" s="189">
        <v>0</v>
      </c>
      <c r="O96" s="189">
        <v>0</v>
      </c>
      <c r="P96" s="189">
        <v>1.1599999999999999</v>
      </c>
      <c r="Q96" s="189">
        <v>5.01</v>
      </c>
    </row>
    <row r="97" spans="1:22" customFormat="1">
      <c r="A97" s="6" t="s">
        <v>2439</v>
      </c>
      <c r="B97" s="189">
        <v>12.77</v>
      </c>
      <c r="C97" s="189">
        <v>27.74</v>
      </c>
      <c r="D97" s="189">
        <v>26.09</v>
      </c>
      <c r="E97" s="189">
        <v>5.84</v>
      </c>
      <c r="F97" s="189">
        <v>2.63</v>
      </c>
      <c r="G97" s="189">
        <v>154.41</v>
      </c>
      <c r="H97" s="189">
        <v>70.36</v>
      </c>
      <c r="I97" s="189">
        <v>10.34</v>
      </c>
      <c r="J97" s="189">
        <v>0.17</v>
      </c>
      <c r="K97" s="189">
        <v>243.79</v>
      </c>
      <c r="L97" s="189">
        <v>17.940000000000001</v>
      </c>
      <c r="M97" s="189">
        <v>86.68</v>
      </c>
      <c r="N97" s="189">
        <v>0</v>
      </c>
      <c r="O97" s="189">
        <v>0</v>
      </c>
      <c r="P97" s="189">
        <v>1.18</v>
      </c>
      <c r="Q97" s="189">
        <v>5.0199999999999996</v>
      </c>
    </row>
    <row r="98" spans="1:22" customFormat="1">
      <c r="A98" s="6" t="s">
        <v>2440</v>
      </c>
      <c r="B98" s="189">
        <v>13.95</v>
      </c>
      <c r="C98" s="189">
        <v>29.01</v>
      </c>
      <c r="D98" s="189">
        <v>27.7</v>
      </c>
      <c r="E98" s="189">
        <v>6.05</v>
      </c>
      <c r="F98" s="189">
        <v>2.67</v>
      </c>
      <c r="G98" s="189">
        <v>154.41</v>
      </c>
      <c r="H98" s="189">
        <v>70.36</v>
      </c>
      <c r="I98" s="189">
        <v>10.4</v>
      </c>
      <c r="J98" s="189">
        <v>0.12</v>
      </c>
      <c r="K98" s="189">
        <v>197.58</v>
      </c>
      <c r="L98" s="189">
        <v>17.940000000000001</v>
      </c>
      <c r="M98" s="189">
        <v>86.69</v>
      </c>
      <c r="N98" s="189">
        <v>0</v>
      </c>
      <c r="O98" s="189">
        <v>0</v>
      </c>
      <c r="P98" s="189">
        <v>1.19</v>
      </c>
      <c r="Q98" s="189">
        <v>5.04</v>
      </c>
    </row>
    <row r="99" spans="1:22" customFormat="1">
      <c r="A99" s="6" t="s">
        <v>2441</v>
      </c>
      <c r="B99" s="189">
        <v>14.09</v>
      </c>
      <c r="C99" s="189">
        <v>29.28</v>
      </c>
      <c r="D99" s="189">
        <v>27.95</v>
      </c>
      <c r="E99" s="189">
        <v>6.34</v>
      </c>
      <c r="F99" s="189">
        <v>2.64</v>
      </c>
      <c r="G99" s="189">
        <v>151.29</v>
      </c>
      <c r="H99" s="189">
        <v>72.87</v>
      </c>
      <c r="I99" s="189">
        <v>10.5</v>
      </c>
      <c r="J99" s="189">
        <v>0.15</v>
      </c>
      <c r="K99" s="189">
        <v>168.32</v>
      </c>
      <c r="L99" s="189">
        <v>17.68</v>
      </c>
      <c r="M99" s="189">
        <v>88.81</v>
      </c>
      <c r="N99" s="189">
        <v>0</v>
      </c>
      <c r="O99" s="189">
        <v>0</v>
      </c>
      <c r="P99" s="189">
        <v>1.19</v>
      </c>
      <c r="Q99" s="189">
        <v>5.03</v>
      </c>
    </row>
    <row r="100" spans="1:22" customFormat="1">
      <c r="A100" s="6" t="s">
        <v>2442</v>
      </c>
      <c r="B100" s="189">
        <v>13.6</v>
      </c>
      <c r="C100" s="189">
        <v>29.15</v>
      </c>
      <c r="D100" s="189">
        <v>27.49</v>
      </c>
      <c r="E100" s="189">
        <v>6.1</v>
      </c>
      <c r="F100" s="189">
        <v>2.5</v>
      </c>
      <c r="G100" s="189">
        <v>150.85</v>
      </c>
      <c r="H100" s="189">
        <v>72.87</v>
      </c>
      <c r="I100" s="189">
        <v>10.57</v>
      </c>
      <c r="J100" s="189">
        <v>0.16</v>
      </c>
      <c r="K100" s="189">
        <v>176.03</v>
      </c>
      <c r="L100" s="189">
        <v>17.809999999999999</v>
      </c>
      <c r="M100" s="189">
        <v>86.91</v>
      </c>
      <c r="N100" s="189">
        <v>0</v>
      </c>
      <c r="O100" s="189">
        <v>0</v>
      </c>
      <c r="P100" s="189">
        <v>1.18</v>
      </c>
      <c r="Q100" s="189">
        <v>5.03</v>
      </c>
    </row>
    <row r="101" spans="1:22" customFormat="1">
      <c r="A101" s="6" t="s">
        <v>2443</v>
      </c>
      <c r="B101" s="189">
        <v>13.24</v>
      </c>
      <c r="C101" s="189">
        <v>28.91</v>
      </c>
      <c r="D101" s="189">
        <v>27.07</v>
      </c>
      <c r="E101" s="189">
        <v>5.75</v>
      </c>
      <c r="F101" s="189">
        <v>2.48</v>
      </c>
      <c r="G101" s="189">
        <v>150.85</v>
      </c>
      <c r="H101" s="189">
        <v>72.87</v>
      </c>
      <c r="I101" s="189">
        <v>10.58</v>
      </c>
      <c r="J101" s="189">
        <v>0.11</v>
      </c>
      <c r="K101" s="189">
        <v>168.45</v>
      </c>
      <c r="L101" s="189">
        <v>17.62</v>
      </c>
      <c r="M101" s="189">
        <v>88.48</v>
      </c>
      <c r="N101" s="189">
        <v>0</v>
      </c>
      <c r="O101" s="189">
        <v>0</v>
      </c>
      <c r="P101" s="189">
        <v>1.18</v>
      </c>
      <c r="Q101" s="189">
        <v>5.0199999999999996</v>
      </c>
    </row>
    <row r="102" spans="1:22" customFormat="1">
      <c r="A102" s="6" t="s">
        <v>2444</v>
      </c>
      <c r="B102" s="189">
        <v>14.3</v>
      </c>
      <c r="C102" s="189">
        <v>29.71</v>
      </c>
      <c r="D102" s="189">
        <v>28.35</v>
      </c>
      <c r="E102" s="189">
        <v>6.28</v>
      </c>
      <c r="F102" s="189">
        <v>2.54</v>
      </c>
      <c r="G102" s="189">
        <v>150.85</v>
      </c>
      <c r="H102" s="189">
        <v>72.87</v>
      </c>
      <c r="I102" s="189">
        <v>10.53</v>
      </c>
      <c r="J102" s="189">
        <v>0.14000000000000001</v>
      </c>
      <c r="K102" s="189">
        <v>209.44</v>
      </c>
      <c r="L102" s="189">
        <v>17.59</v>
      </c>
      <c r="M102" s="189">
        <v>87.73</v>
      </c>
      <c r="N102" s="189">
        <v>0</v>
      </c>
      <c r="O102" s="189">
        <v>0</v>
      </c>
      <c r="P102" s="189">
        <v>1.19</v>
      </c>
      <c r="Q102" s="189">
        <v>0</v>
      </c>
    </row>
    <row r="103" spans="1:22" customFormat="1">
      <c r="A103" s="6" t="s">
        <v>2445</v>
      </c>
      <c r="B103" s="189">
        <v>16.48</v>
      </c>
      <c r="C103" s="189">
        <v>31.01</v>
      </c>
      <c r="D103" s="189">
        <v>30.77</v>
      </c>
      <c r="E103" s="189">
        <v>6.46</v>
      </c>
      <c r="F103" s="189">
        <v>2.65</v>
      </c>
      <c r="G103" s="189">
        <v>147.32</v>
      </c>
      <c r="H103" s="189">
        <v>70.44</v>
      </c>
      <c r="I103" s="189">
        <v>10.52</v>
      </c>
      <c r="J103" s="189">
        <v>0.12</v>
      </c>
      <c r="K103" s="189">
        <v>190.37</v>
      </c>
      <c r="L103" s="189">
        <v>17.38</v>
      </c>
      <c r="M103" s="189">
        <v>90.71</v>
      </c>
      <c r="N103" s="189">
        <v>0</v>
      </c>
      <c r="O103" s="189">
        <v>0</v>
      </c>
      <c r="P103" s="189">
        <v>1.2</v>
      </c>
      <c r="Q103" s="189">
        <v>5.03</v>
      </c>
    </row>
    <row r="104" spans="1:22" customFormat="1">
      <c r="A104" s="6" t="s">
        <v>2446</v>
      </c>
      <c r="B104" s="189">
        <v>16.82</v>
      </c>
      <c r="C104" s="189">
        <v>30.88</v>
      </c>
      <c r="D104" s="189">
        <v>30.98</v>
      </c>
      <c r="E104" s="189">
        <v>6.28</v>
      </c>
      <c r="F104" s="189">
        <v>2.61</v>
      </c>
      <c r="G104" s="189">
        <v>146.82</v>
      </c>
      <c r="H104" s="189">
        <v>70.44</v>
      </c>
      <c r="I104" s="189">
        <v>10.57</v>
      </c>
      <c r="J104" s="189">
        <v>0.15</v>
      </c>
      <c r="K104" s="189">
        <v>161.88</v>
      </c>
      <c r="L104" s="189">
        <v>17.12</v>
      </c>
      <c r="M104" s="189">
        <v>91.56</v>
      </c>
      <c r="N104" s="189">
        <v>0</v>
      </c>
      <c r="O104" s="189">
        <v>0</v>
      </c>
      <c r="P104" s="189">
        <v>1.19</v>
      </c>
      <c r="Q104" s="189">
        <v>5.05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4.04</v>
      </c>
      <c r="C106" s="183">
        <f>MIN(C9:C104)</f>
        <v>18.38</v>
      </c>
      <c r="D106" s="183">
        <f t="shared" ref="D106:Q106" si="0">MIN(D9:D104)</f>
        <v>16.190000000000001</v>
      </c>
      <c r="E106" s="183">
        <f t="shared" si="0"/>
        <v>5.42</v>
      </c>
      <c r="F106" s="183">
        <f t="shared" si="0"/>
        <v>2.38</v>
      </c>
      <c r="G106" s="183">
        <f t="shared" si="0"/>
        <v>79.78</v>
      </c>
      <c r="H106" s="183">
        <f t="shared" si="0"/>
        <v>51.11</v>
      </c>
      <c r="I106" s="183">
        <f t="shared" si="0"/>
        <v>7.62</v>
      </c>
      <c r="J106" s="183">
        <f t="shared" si="0"/>
        <v>7.0000000000000007E-2</v>
      </c>
      <c r="K106" s="183">
        <f t="shared" si="0"/>
        <v>18.98</v>
      </c>
      <c r="L106" s="183">
        <f t="shared" si="0"/>
        <v>15.51</v>
      </c>
      <c r="M106" s="183">
        <f t="shared" si="0"/>
        <v>44.12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16.82</v>
      </c>
      <c r="C107" s="184">
        <f t="shared" ref="C107:Q107" si="1">MAX(C9:C104)</f>
        <v>31.01</v>
      </c>
      <c r="D107" s="184">
        <f t="shared" si="1"/>
        <v>30.98</v>
      </c>
      <c r="E107" s="184">
        <f t="shared" si="1"/>
        <v>8.57</v>
      </c>
      <c r="F107" s="184">
        <f t="shared" si="1"/>
        <v>6.49</v>
      </c>
      <c r="G107" s="184">
        <f t="shared" si="1"/>
        <v>154.41</v>
      </c>
      <c r="H107" s="184">
        <f t="shared" si="1"/>
        <v>72.87</v>
      </c>
      <c r="I107" s="184">
        <f t="shared" si="1"/>
        <v>11.68</v>
      </c>
      <c r="J107" s="184">
        <f t="shared" si="1"/>
        <v>0.52</v>
      </c>
      <c r="K107" s="184">
        <f t="shared" si="1"/>
        <v>335.9</v>
      </c>
      <c r="L107" s="184">
        <f t="shared" si="1"/>
        <v>27.43</v>
      </c>
      <c r="M107" s="184">
        <f t="shared" si="1"/>
        <v>94.11</v>
      </c>
      <c r="N107" s="184">
        <f t="shared" si="1"/>
        <v>394.4</v>
      </c>
      <c r="O107" s="184">
        <f t="shared" si="1"/>
        <v>0</v>
      </c>
      <c r="P107" s="184">
        <f t="shared" si="1"/>
        <v>1.2</v>
      </c>
      <c r="Q107" s="184">
        <f t="shared" si="1"/>
        <v>5.05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8.2658333333333349</v>
      </c>
      <c r="C108" s="183">
        <f t="shared" ref="C108:Q108" si="2">AVERAGE(C9:C104)</f>
        <v>23.697708333333342</v>
      </c>
      <c r="D108" s="183">
        <f t="shared" si="2"/>
        <v>20.361458333333335</v>
      </c>
      <c r="E108" s="183">
        <f t="shared" si="2"/>
        <v>6.6590624999999974</v>
      </c>
      <c r="F108" s="183">
        <f t="shared" si="2"/>
        <v>3.3575000000000017</v>
      </c>
      <c r="G108" s="183">
        <f t="shared" si="2"/>
        <v>109.80166666666666</v>
      </c>
      <c r="H108" s="183">
        <f t="shared" si="2"/>
        <v>62.625937499999964</v>
      </c>
      <c r="I108" s="183">
        <f t="shared" si="2"/>
        <v>9.2583333333333293</v>
      </c>
      <c r="J108" s="183">
        <f t="shared" si="2"/>
        <v>0.17760416666666667</v>
      </c>
      <c r="K108" s="183">
        <f t="shared" si="2"/>
        <v>176.22072916666664</v>
      </c>
      <c r="L108" s="183">
        <f t="shared" si="2"/>
        <v>20.448333333333331</v>
      </c>
      <c r="M108" s="183">
        <f t="shared" si="2"/>
        <v>74.489687500000002</v>
      </c>
      <c r="N108" s="183">
        <f t="shared" si="2"/>
        <v>73.839583333333337</v>
      </c>
      <c r="O108" s="183">
        <f t="shared" si="2"/>
        <v>0</v>
      </c>
      <c r="P108" s="183">
        <f t="shared" si="2"/>
        <v>0.92354166666666726</v>
      </c>
      <c r="Q108" s="183">
        <f t="shared" si="2"/>
        <v>4.8356249999999985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3.7740866212318669</v>
      </c>
      <c r="C109" s="183">
        <f t="shared" ref="C109:Q109" si="3">STDEV(C9:C104)</f>
        <v>2.8218621993161377</v>
      </c>
      <c r="D109" s="183">
        <f t="shared" si="3"/>
        <v>4.0353921036033986</v>
      </c>
      <c r="E109" s="183">
        <f t="shared" si="3"/>
        <v>0.68913840657816494</v>
      </c>
      <c r="F109" s="183">
        <f t="shared" si="3"/>
        <v>1.2006962892202839</v>
      </c>
      <c r="G109" s="183">
        <f t="shared" si="3"/>
        <v>27.2489767907045</v>
      </c>
      <c r="H109" s="183">
        <f t="shared" si="3"/>
        <v>6.3034699847536908</v>
      </c>
      <c r="I109" s="183">
        <f t="shared" si="3"/>
        <v>0.96614335502357407</v>
      </c>
      <c r="J109" s="183">
        <f t="shared" si="3"/>
        <v>8.7066155025228922E-2</v>
      </c>
      <c r="K109" s="183">
        <f t="shared" si="3"/>
        <v>63.779289630557308</v>
      </c>
      <c r="L109" s="183">
        <f t="shared" si="3"/>
        <v>4.1367978123605411</v>
      </c>
      <c r="M109" s="183">
        <f t="shared" si="3"/>
        <v>18.260355588462794</v>
      </c>
      <c r="N109" s="183">
        <f t="shared" si="3"/>
        <v>120.98517132204492</v>
      </c>
      <c r="O109" s="183">
        <f t="shared" si="3"/>
        <v>0</v>
      </c>
      <c r="P109" s="183">
        <f t="shared" si="3"/>
        <v>0.13652822470225609</v>
      </c>
      <c r="Q109" s="183">
        <f t="shared" si="3"/>
        <v>0.50359510156057707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1" t="s">
        <v>56</v>
      </c>
      <c r="C115" s="191"/>
      <c r="D115" s="191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zoomScale="85" zoomScaleNormal="85" workbookViewId="0">
      <pane xSplit="1" ySplit="8" topLeftCell="B30" activePane="bottomRight" state="frozen"/>
      <selection pane="topRight"/>
      <selection pane="bottomLeft"/>
      <selection pane="bottomRight" activeCell="E36" sqref="E3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 t="str">
        <f>$A$9</f>
        <v>01/12/2023 00:15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 t="str">
        <f>'01'!$B$2</f>
        <v>01/12/2023 00:15</v>
      </c>
      <c r="B9" s="95">
        <f>'01'!B108</f>
        <v>11.914166666666668</v>
      </c>
      <c r="C9" s="95">
        <f>'01'!C108</f>
        <v>24.64927083333335</v>
      </c>
      <c r="D9" s="95">
        <f>'01'!D108</f>
        <v>23.783124999999995</v>
      </c>
      <c r="E9" s="95">
        <f>'01'!E108</f>
        <v>8.3234374999999989</v>
      </c>
      <c r="F9" s="95">
        <f>'01'!F108</f>
        <v>3.679791666666667</v>
      </c>
      <c r="G9" s="95">
        <f>'01'!G108</f>
        <v>71.553437499999959</v>
      </c>
      <c r="H9" s="95">
        <f>'01'!H108</f>
        <v>29.646979166666657</v>
      </c>
      <c r="I9" s="95">
        <f>'01'!I108</f>
        <v>6.7489583333333316</v>
      </c>
      <c r="J9" s="95">
        <f>'01'!J108</f>
        <v>0.26479166666666665</v>
      </c>
      <c r="K9" s="95">
        <f>'01'!K108</f>
        <v>87.887083333333308</v>
      </c>
      <c r="L9" s="95">
        <f>'01'!L108</f>
        <v>24.819270833333334</v>
      </c>
      <c r="M9" s="95">
        <f>'01'!M108</f>
        <v>66.287395833333321</v>
      </c>
      <c r="N9" s="95">
        <f>'01'!N108</f>
        <v>112.52916666666668</v>
      </c>
      <c r="O9" s="95">
        <f>'01'!O108</f>
        <v>0</v>
      </c>
      <c r="P9" s="95">
        <f>'01'!P108</f>
        <v>0.77052083333333343</v>
      </c>
      <c r="Q9" s="95">
        <f>'01'!Q108</f>
        <v>4.646562499999999</v>
      </c>
      <c r="R9" s="160"/>
      <c r="S9" s="160"/>
      <c r="T9" s="160"/>
      <c r="U9" s="160"/>
    </row>
    <row r="10" spans="1:21">
      <c r="A10" s="157" t="str">
        <f>'02'!$B$2</f>
        <v>02/12/2023 00:15</v>
      </c>
      <c r="B10" s="95">
        <f>'02'!B108</f>
        <v>9.8125000000000018</v>
      </c>
      <c r="C10" s="95">
        <f>'02'!C108</f>
        <v>23.760312499999998</v>
      </c>
      <c r="D10" s="95">
        <f>'02'!D108</f>
        <v>21.633125000000007</v>
      </c>
      <c r="E10" s="95">
        <f>'02'!E108</f>
        <v>8.0635416666666675</v>
      </c>
      <c r="F10" s="95">
        <f>'02'!F108</f>
        <v>4.2838541666666661</v>
      </c>
      <c r="G10" s="95">
        <f>'02'!G108</f>
        <v>69.521739130434781</v>
      </c>
      <c r="H10" s="95">
        <f>'02'!H108</f>
        <v>26.323913043478242</v>
      </c>
      <c r="I10" s="95">
        <f>'02'!I108</f>
        <v>6.892187500000003</v>
      </c>
      <c r="J10" s="95">
        <f>'02'!J108</f>
        <v>0.28187500000000015</v>
      </c>
      <c r="K10" s="95">
        <f>'02'!K108</f>
        <v>88.893958333333316</v>
      </c>
      <c r="L10" s="95">
        <f>'02'!L108</f>
        <v>24.878854166666656</v>
      </c>
      <c r="M10" s="95">
        <f>'02'!M108</f>
        <v>65.925000000000026</v>
      </c>
      <c r="N10" s="95">
        <f>'02'!N108</f>
        <v>113.77708333333335</v>
      </c>
      <c r="O10" s="95">
        <f>'02'!O108</f>
        <v>0</v>
      </c>
      <c r="P10" s="95">
        <f>'02'!P108</f>
        <v>0.79854166666666648</v>
      </c>
      <c r="Q10" s="95">
        <f>'02'!Q108</f>
        <v>4.5780208333333325</v>
      </c>
      <c r="R10" s="160"/>
      <c r="S10" s="160"/>
      <c r="T10" s="160"/>
      <c r="U10" s="160"/>
    </row>
    <row r="11" spans="1:21">
      <c r="A11" s="157" t="str">
        <f>'03'!$B$2</f>
        <v>03/12/2023 00:15</v>
      </c>
      <c r="B11" s="95">
        <f>'03'!B108</f>
        <v>9.4853125000000009</v>
      </c>
      <c r="C11" s="95">
        <f>'03'!C108</f>
        <v>23.330729166666675</v>
      </c>
      <c r="D11" s="95">
        <f>'03'!D108</f>
        <v>21.146666666666665</v>
      </c>
      <c r="E11" s="95">
        <f>'03'!E108</f>
        <v>8.3779166666666693</v>
      </c>
      <c r="F11" s="95">
        <f>'03'!F108</f>
        <v>3.576041666666665</v>
      </c>
      <c r="G11" s="95">
        <f>'03'!G108</f>
        <v>69.140624999999986</v>
      </c>
      <c r="H11" s="95">
        <f>'03'!H108</f>
        <v>29.676354166666641</v>
      </c>
      <c r="I11" s="95">
        <f>'03'!I108</f>
        <v>6.3744791666666671</v>
      </c>
      <c r="J11" s="95">
        <f>'03'!J108</f>
        <v>0.32020833333333321</v>
      </c>
      <c r="K11" s="95">
        <f>'03'!K108</f>
        <v>90.821770833333304</v>
      </c>
      <c r="L11" s="95">
        <f>'03'!L108</f>
        <v>23.861666666666661</v>
      </c>
      <c r="M11" s="95">
        <f>'03'!M108</f>
        <v>68.165729166666637</v>
      </c>
      <c r="N11" s="95">
        <f>'03'!N108</f>
        <v>95.123958333333363</v>
      </c>
      <c r="O11" s="95">
        <f>'03'!O108</f>
        <v>0</v>
      </c>
      <c r="P11" s="95">
        <f>'03'!P108</f>
        <v>0.75302083333333336</v>
      </c>
      <c r="Q11" s="95">
        <f>'03'!Q108</f>
        <v>4.5146875</v>
      </c>
      <c r="R11" s="160"/>
      <c r="S11" s="160"/>
      <c r="T11" s="160"/>
      <c r="U11" s="160"/>
    </row>
    <row r="12" spans="1:21">
      <c r="A12" s="157" t="str">
        <f>'04'!$B$2</f>
        <v>04/12/2023 00:15</v>
      </c>
      <c r="B12" s="95">
        <f>'04'!B108</f>
        <v>9.7636458333333316</v>
      </c>
      <c r="C12" s="95">
        <f>'04'!C108</f>
        <v>25.736041666666665</v>
      </c>
      <c r="D12" s="95">
        <f>'04'!D108</f>
        <v>22.627083333333328</v>
      </c>
      <c r="E12" s="95">
        <f>'04'!E108</f>
        <v>8.5522916666666671</v>
      </c>
      <c r="F12" s="95">
        <f>'04'!F108</f>
        <v>3.1306249999999998</v>
      </c>
      <c r="G12" s="95">
        <f>'04'!G108</f>
        <v>83.343229166666703</v>
      </c>
      <c r="H12" s="95">
        <f>'04'!H108</f>
        <v>33.794895833333328</v>
      </c>
      <c r="I12" s="95">
        <f>'04'!I108</f>
        <v>7.9031250000000002</v>
      </c>
      <c r="J12" s="95">
        <f>'04'!J108</f>
        <v>0.46114583333333337</v>
      </c>
      <c r="K12" s="95">
        <f>'04'!K108</f>
        <v>66.868749999999991</v>
      </c>
      <c r="L12" s="95">
        <f>'04'!L108</f>
        <v>23.096249999999998</v>
      </c>
      <c r="M12" s="95">
        <f>'04'!M108</f>
        <v>71.014166666666682</v>
      </c>
      <c r="N12" s="95">
        <f>'04'!N108</f>
        <v>40.069791666666667</v>
      </c>
      <c r="O12" s="95">
        <f>'04'!O108</f>
        <v>0</v>
      </c>
      <c r="P12" s="95">
        <f>'04'!P108</f>
        <v>0.96124999999999983</v>
      </c>
      <c r="Q12" s="95">
        <f>'04'!Q108</f>
        <v>4.5844791666666671</v>
      </c>
      <c r="R12" s="160"/>
      <c r="S12" s="160"/>
      <c r="T12" s="160"/>
      <c r="U12" s="160"/>
    </row>
    <row r="13" spans="1:21">
      <c r="A13" s="157" t="str">
        <f>'05'!$B$2</f>
        <v>05/12/2023 00:15</v>
      </c>
      <c r="B13" s="95">
        <f>'05'!B108</f>
        <v>13.2321875</v>
      </c>
      <c r="C13" s="95">
        <f>'05'!C108</f>
        <v>24.181666666666661</v>
      </c>
      <c r="D13" s="95">
        <f>'05'!D108</f>
        <v>24.596458333333334</v>
      </c>
      <c r="E13" s="95">
        <f>'05'!E108</f>
        <v>7.4420833333333318</v>
      </c>
      <c r="F13" s="95">
        <f>'05'!F108</f>
        <v>2.7757291666666668</v>
      </c>
      <c r="G13" s="95">
        <f>'05'!G108</f>
        <v>33.037187499999995</v>
      </c>
      <c r="H13" s="95">
        <f>'05'!H108</f>
        <v>14.183749999999984</v>
      </c>
      <c r="I13" s="95">
        <f>'05'!I108</f>
        <v>5.0480208333333341</v>
      </c>
      <c r="J13" s="95">
        <f>'05'!J108</f>
        <v>0.81812499999999977</v>
      </c>
      <c r="K13" s="95">
        <f>'05'!K108</f>
        <v>47.220208333333346</v>
      </c>
      <c r="L13" s="95">
        <f>'05'!L108</f>
        <v>19.401770833333334</v>
      </c>
      <c r="M13" s="95">
        <f>'05'!M108</f>
        <v>93.550520833333337</v>
      </c>
      <c r="N13" s="95">
        <f>'05'!N108</f>
        <v>16.459374999999998</v>
      </c>
      <c r="O13" s="95">
        <f>'05'!O108</f>
        <v>3.9583333333333338E-2</v>
      </c>
      <c r="P13" s="95">
        <f>'05'!P108</f>
        <v>0.6178125000000001</v>
      </c>
      <c r="Q13" s="95">
        <f>'05'!Q108</f>
        <v>4.6632291666666665</v>
      </c>
      <c r="R13" s="160"/>
      <c r="S13" s="160"/>
      <c r="T13" s="160"/>
      <c r="U13" s="160"/>
    </row>
    <row r="14" spans="1:21">
      <c r="A14" s="157" t="str">
        <f>'06'!$B$2</f>
        <v>06/12/2023 00:15</v>
      </c>
      <c r="B14" s="95">
        <f>'06'!B108</f>
        <v>15.9203125</v>
      </c>
      <c r="C14" s="95">
        <f>'06'!C108</f>
        <v>21.756874999999997</v>
      </c>
      <c r="D14" s="95">
        <f>'06'!D108</f>
        <v>25.485312499999992</v>
      </c>
      <c r="E14" s="95">
        <f>'06'!E108</f>
        <v>7.3690624999999974</v>
      </c>
      <c r="F14" s="95">
        <f>'06'!F108</f>
        <v>2.6972916666666671</v>
      </c>
      <c r="G14" s="95">
        <f>'06'!G108</f>
        <v>19.979791666666657</v>
      </c>
      <c r="H14" s="95">
        <f>'06'!H108</f>
        <v>6.1839583333333366</v>
      </c>
      <c r="I14" s="95">
        <f>'06'!I108</f>
        <v>3.1036458333333319</v>
      </c>
      <c r="J14" s="95">
        <f>'06'!J108</f>
        <v>0.73947916666666635</v>
      </c>
      <c r="K14" s="95">
        <f>'06'!K108</f>
        <v>53.202812499999986</v>
      </c>
      <c r="L14" s="95">
        <f>'06'!L108</f>
        <v>19.275208333333342</v>
      </c>
      <c r="M14" s="95">
        <f>'06'!M108</f>
        <v>93.580625000000012</v>
      </c>
      <c r="N14" s="95">
        <f>'06'!N108</f>
        <v>14.770833333333334</v>
      </c>
      <c r="O14" s="95">
        <f>'06'!O108</f>
        <v>3.7500000000000012E-2</v>
      </c>
      <c r="P14" s="95">
        <f>'06'!P108</f>
        <v>0.45072916666666657</v>
      </c>
      <c r="Q14" s="95">
        <f>'06'!Q108</f>
        <v>4.7319791666666671</v>
      </c>
      <c r="R14" s="160"/>
      <c r="S14" s="160"/>
      <c r="T14" s="160"/>
      <c r="U14" s="160"/>
    </row>
    <row r="15" spans="1:21">
      <c r="A15" s="157" t="str">
        <f>'07'!$B$2</f>
        <v>07/12/2023 00:15</v>
      </c>
      <c r="B15" s="95">
        <f>'07'!B108</f>
        <v>24.652395833333347</v>
      </c>
      <c r="C15" s="95">
        <f>'07'!C108</f>
        <v>22.878645833333334</v>
      </c>
      <c r="D15" s="95">
        <f>'07'!D108</f>
        <v>33.07395833333333</v>
      </c>
      <c r="E15" s="95">
        <f>'07'!E108</f>
        <v>6.8739583333333307</v>
      </c>
      <c r="F15" s="95">
        <f>'07'!F108</f>
        <v>2.6129166666666661</v>
      </c>
      <c r="G15" s="95">
        <f>'07'!G108</f>
        <v>33.695</v>
      </c>
      <c r="H15" s="95">
        <f>'07'!H108</f>
        <v>10.236145833333337</v>
      </c>
      <c r="I15" s="95">
        <f>'07'!I108</f>
        <v>5.2965624999999994</v>
      </c>
      <c r="J15" s="95">
        <f>'07'!J108</f>
        <v>0.29395833333333327</v>
      </c>
      <c r="K15" s="95">
        <f>'07'!K108</f>
        <v>116.47822916666667</v>
      </c>
      <c r="L15" s="95">
        <f>'07'!L108</f>
        <v>19.207604166666673</v>
      </c>
      <c r="M15" s="95">
        <f>'07'!M108</f>
        <v>100.08666666666669</v>
      </c>
      <c r="N15" s="95">
        <f>'07'!N108</f>
        <v>11.86875</v>
      </c>
      <c r="O15" s="95">
        <f>'07'!O108</f>
        <v>8.9583333333333334E-2</v>
      </c>
      <c r="P15" s="95">
        <f>'07'!P108</f>
        <v>0.74187499999999995</v>
      </c>
      <c r="Q15" s="95">
        <f>'07'!Q108</f>
        <v>5.001145833333335</v>
      </c>
      <c r="R15" s="160"/>
      <c r="S15" s="160"/>
      <c r="T15" s="160"/>
      <c r="U15" s="160"/>
    </row>
    <row r="16" spans="1:21">
      <c r="A16" s="157" t="str">
        <f>'08'!$B$2</f>
        <v>08/12/2023 00:15</v>
      </c>
      <c r="B16" s="95">
        <f>'08'!B108</f>
        <v>25.213750000000001</v>
      </c>
      <c r="C16" s="95">
        <f>'08'!C108</f>
        <v>22.418749999999989</v>
      </c>
      <c r="D16" s="95">
        <f>'08'!D108</f>
        <v>33.283854166666679</v>
      </c>
      <c r="E16" s="95">
        <f>'08'!E108</f>
        <v>7.677395833333331</v>
      </c>
      <c r="F16" s="95">
        <f>'08'!F108</f>
        <v>2.6486458333333336</v>
      </c>
      <c r="G16" s="95">
        <f>'08'!G108</f>
        <v>34.018124999999991</v>
      </c>
      <c r="H16" s="95">
        <f>'08'!H108</f>
        <v>12.250520833333331</v>
      </c>
      <c r="I16" s="95">
        <f>'08'!I108</f>
        <v>6.072916666666667</v>
      </c>
      <c r="J16" s="95">
        <f>'08'!J108</f>
        <v>0.23385416666666659</v>
      </c>
      <c r="K16" s="95">
        <f>'08'!K108</f>
        <v>137.70312499999997</v>
      </c>
      <c r="L16" s="95">
        <f>'08'!L108</f>
        <v>20.771562499999998</v>
      </c>
      <c r="M16" s="95">
        <f>'08'!M108</f>
        <v>88.321874999999977</v>
      </c>
      <c r="N16" s="95">
        <f>'08'!N108</f>
        <v>61.869791666666664</v>
      </c>
      <c r="O16" s="95">
        <f>'08'!O108</f>
        <v>0</v>
      </c>
      <c r="P16" s="95">
        <f>'08'!P108</f>
        <v>0.75729166666666714</v>
      </c>
      <c r="Q16" s="95">
        <f>'08'!Q108</f>
        <v>4.9754166666666668</v>
      </c>
      <c r="R16" s="160"/>
      <c r="S16" s="160"/>
      <c r="T16" s="160"/>
      <c r="U16" s="160"/>
    </row>
    <row r="17" spans="1:21">
      <c r="A17" s="157" t="str">
        <f>'09'!$B$2</f>
        <v>09/12/2023 00:15</v>
      </c>
      <c r="B17" s="95">
        <f>'09'!B108</f>
        <v>24.55489583333333</v>
      </c>
      <c r="C17" s="95">
        <f>'09'!C108</f>
        <v>23.177083333333346</v>
      </c>
      <c r="D17" s="95">
        <f>'09'!D108</f>
        <v>33.151666666666678</v>
      </c>
      <c r="E17" s="95">
        <f>'09'!E108</f>
        <v>7.9611458333333323</v>
      </c>
      <c r="F17" s="95">
        <f>'09'!F108</f>
        <v>2.7838541666666679</v>
      </c>
      <c r="G17" s="95">
        <f>'09'!G108</f>
        <v>62.470312500000006</v>
      </c>
      <c r="H17" s="95">
        <f>'09'!H108</f>
        <v>21.908645833333338</v>
      </c>
      <c r="I17" s="95">
        <f>'09'!I108</f>
        <v>7.0015625000000012</v>
      </c>
      <c r="J17" s="95">
        <f>'09'!J108</f>
        <v>0.20937500000000001</v>
      </c>
      <c r="K17" s="95">
        <f>'09'!K108</f>
        <v>168.68270833333338</v>
      </c>
      <c r="L17" s="95">
        <f>'09'!L108</f>
        <v>21.334270833333335</v>
      </c>
      <c r="M17" s="95">
        <f>'09'!M108</f>
        <v>77.003125000000011</v>
      </c>
      <c r="N17" s="95">
        <f>'09'!N108</f>
        <v>100.81666666666668</v>
      </c>
      <c r="O17" s="95">
        <f>'09'!O108</f>
        <v>0</v>
      </c>
      <c r="P17" s="95">
        <f>'09'!P108</f>
        <v>0.83718749999999986</v>
      </c>
      <c r="Q17" s="95">
        <f>'09'!Q108</f>
        <v>4.9163541666666672</v>
      </c>
      <c r="R17" s="160"/>
      <c r="S17" s="160"/>
      <c r="T17" s="160"/>
      <c r="U17" s="160"/>
    </row>
    <row r="18" spans="1:21">
      <c r="A18" s="157" t="str">
        <f>'10'!$B$2</f>
        <v>10/12/2023 00:15</v>
      </c>
      <c r="B18" s="95">
        <f>'10'!B108</f>
        <v>29.802812500000012</v>
      </c>
      <c r="C18" s="95">
        <f>'10'!C108</f>
        <v>25.530416666666671</v>
      </c>
      <c r="D18" s="95">
        <f>'10'!D108</f>
        <v>38.589374999999997</v>
      </c>
      <c r="E18" s="95">
        <f>'10'!E108</f>
        <v>8.4286458333333325</v>
      </c>
      <c r="F18" s="95">
        <f>'10'!F108</f>
        <v>2.8131249999999994</v>
      </c>
      <c r="G18" s="95">
        <f>'10'!G108</f>
        <v>76.49531250000004</v>
      </c>
      <c r="H18" s="95">
        <f>'10'!H108</f>
        <v>30.095208333333336</v>
      </c>
      <c r="I18" s="95">
        <f>'10'!I108</f>
        <v>7.395833333333333</v>
      </c>
      <c r="J18" s="95">
        <f>'10'!J108</f>
        <v>0.18979166666666672</v>
      </c>
      <c r="K18" s="95">
        <f>'10'!K108</f>
        <v>156.37697916666667</v>
      </c>
      <c r="L18" s="95">
        <f>'10'!L108</f>
        <v>20.285416666666674</v>
      </c>
      <c r="M18" s="95">
        <f>'10'!M108</f>
        <v>70.518541666666692</v>
      </c>
      <c r="N18" s="95">
        <f>'10'!N108</f>
        <v>118.36874999999999</v>
      </c>
      <c r="O18" s="95">
        <f>'10'!O108</f>
        <v>0</v>
      </c>
      <c r="P18" s="95">
        <f>'10'!P108</f>
        <v>0.85218749999999943</v>
      </c>
      <c r="Q18" s="95">
        <f>'10'!Q108</f>
        <v>5.0002083333333323</v>
      </c>
      <c r="R18" s="160"/>
      <c r="S18" s="160"/>
      <c r="T18" s="160"/>
      <c r="U18" s="160"/>
    </row>
    <row r="19" spans="1:21">
      <c r="A19" s="157" t="str">
        <f>'11'!$B$2</f>
        <v>11/12/2023 00:15</v>
      </c>
      <c r="B19" s="95">
        <f>'11'!B108</f>
        <v>17.982708333333331</v>
      </c>
      <c r="C19" s="95">
        <f>'11'!C108</f>
        <v>26.162083333333339</v>
      </c>
      <c r="D19" s="95">
        <f>'11'!D108</f>
        <v>29.440729166666657</v>
      </c>
      <c r="E19" s="95">
        <f>'11'!E108</f>
        <v>8.2219791666666655</v>
      </c>
      <c r="F19" s="95">
        <f>'11'!F108</f>
        <v>2.7791666666666672</v>
      </c>
      <c r="G19" s="95">
        <f>'11'!G108</f>
        <v>81.709270833333349</v>
      </c>
      <c r="H19" s="95">
        <f>'11'!H108</f>
        <v>33.553437500000015</v>
      </c>
      <c r="I19" s="95">
        <f>'11'!I108</f>
        <v>6.12916666666667</v>
      </c>
      <c r="J19" s="95">
        <f>'11'!J108</f>
        <v>0.22312500000000002</v>
      </c>
      <c r="K19" s="95">
        <f>'11'!K108</f>
        <v>151.54416666666665</v>
      </c>
      <c r="L19" s="95">
        <f>'11'!L108</f>
        <v>19.873229166666665</v>
      </c>
      <c r="M19" s="95">
        <f>'11'!M108</f>
        <v>71.34093750000001</v>
      </c>
      <c r="N19" s="95">
        <f>'11'!N108</f>
        <v>116.42604166666671</v>
      </c>
      <c r="O19" s="95">
        <f>'11'!O108</f>
        <v>0</v>
      </c>
      <c r="P19" s="95">
        <f>'11'!P108</f>
        <v>0.77812500000000007</v>
      </c>
      <c r="Q19" s="95">
        <f>'11'!Q108</f>
        <v>4.7508333333333335</v>
      </c>
      <c r="R19" s="160"/>
      <c r="S19" s="160"/>
      <c r="T19" s="160"/>
      <c r="U19" s="160"/>
    </row>
    <row r="20" spans="1:21">
      <c r="A20" s="157">
        <f>'12'!$B$2</f>
        <v>45272.010416666664</v>
      </c>
      <c r="B20" s="95">
        <f>'12'!B108</f>
        <v>18.76846153846153</v>
      </c>
      <c r="C20" s="95">
        <f>'12'!C108</f>
        <v>26.391868131868137</v>
      </c>
      <c r="D20" s="95">
        <f>'12'!D108</f>
        <v>30.191318681318666</v>
      </c>
      <c r="E20" s="95">
        <f>'12'!E108</f>
        <v>8.1001136363636377</v>
      </c>
      <c r="F20" s="95">
        <f>'12'!F108</f>
        <v>3.6488297872340407</v>
      </c>
      <c r="G20" s="95">
        <f>'12'!G108</f>
        <v>81.91700000000003</v>
      </c>
      <c r="H20" s="95">
        <f>'12'!H108</f>
        <v>34.252333333333304</v>
      </c>
      <c r="I20" s="95">
        <f>'12'!I108</f>
        <v>17.45270833333333</v>
      </c>
      <c r="J20" s="95">
        <f>'12'!J108</f>
        <v>0.16843750000000002</v>
      </c>
      <c r="K20" s="95">
        <f>'12'!K108</f>
        <v>171.69270833333337</v>
      </c>
      <c r="L20" s="95">
        <f>'12'!L108</f>
        <v>20.133958333333336</v>
      </c>
      <c r="M20" s="95">
        <f>'12'!M108</f>
        <v>69.994791666666643</v>
      </c>
      <c r="N20" s="95">
        <f>'12'!N108</f>
        <v>111.42395833333332</v>
      </c>
      <c r="O20" s="95">
        <f>'12'!O108</f>
        <v>0</v>
      </c>
      <c r="P20" s="95">
        <f>'12'!P108</f>
        <v>0.77553191489361739</v>
      </c>
      <c r="Q20" s="95">
        <f>'12'!Q108</f>
        <v>4.9943750000000007</v>
      </c>
      <c r="R20" s="160"/>
      <c r="S20" s="160"/>
      <c r="T20" s="160"/>
      <c r="U20" s="160"/>
    </row>
    <row r="21" spans="1:21" s="142" customFormat="1">
      <c r="A21" s="157">
        <f>'13'!$B$2</f>
        <v>45273.010416666664</v>
      </c>
      <c r="B21" s="158">
        <f>'13'!B108</f>
        <v>12.254479166666668</v>
      </c>
      <c r="C21" s="158">
        <f>'13'!C108</f>
        <v>25.96895833333333</v>
      </c>
      <c r="D21" s="158">
        <f>'13'!D108</f>
        <v>24.744791666666668</v>
      </c>
      <c r="E21" s="158">
        <f>'13'!E108</f>
        <v>7.9934374999999962</v>
      </c>
      <c r="F21" s="158">
        <f>'13'!F108</f>
        <v>2.9417708333333326</v>
      </c>
      <c r="G21" s="158">
        <f>'13'!G108</f>
        <v>91.620104166666593</v>
      </c>
      <c r="H21" s="158">
        <f>'13'!H108</f>
        <v>39.271874999999994</v>
      </c>
      <c r="I21" s="158">
        <f>'13'!I108</f>
        <v>8.7320833333333354</v>
      </c>
      <c r="J21" s="158">
        <f>'13'!J108</f>
        <v>0.19510416666666661</v>
      </c>
      <c r="K21" s="158">
        <f>'13'!K108</f>
        <v>150.70843749999997</v>
      </c>
      <c r="L21" s="158">
        <f>'13'!L108</f>
        <v>20.08989583333333</v>
      </c>
      <c r="M21" s="158">
        <f>'13'!M108</f>
        <v>71.404895833333384</v>
      </c>
      <c r="N21" s="158">
        <f>'13'!N108</f>
        <v>96.831250000000011</v>
      </c>
      <c r="O21" s="158">
        <f>'13'!O108</f>
        <v>0</v>
      </c>
      <c r="P21" s="158">
        <f>'13'!P108</f>
        <v>0.80489583333333348</v>
      </c>
      <c r="Q21" s="158">
        <f>'13'!Q108</f>
        <v>5.1794791666666677</v>
      </c>
      <c r="R21" s="176"/>
      <c r="S21" s="176"/>
      <c r="T21" s="176"/>
      <c r="U21" s="176"/>
    </row>
    <row r="22" spans="1:21" s="142" customFormat="1">
      <c r="A22" s="157">
        <f>'14'!$B$2</f>
        <v>45274.010416666664</v>
      </c>
      <c r="B22" s="159">
        <f>'14'!B108</f>
        <v>20.530104166666671</v>
      </c>
      <c r="C22" s="159">
        <f>'14'!C108</f>
        <v>28.574375</v>
      </c>
      <c r="D22" s="159">
        <f>'14'!D108</f>
        <v>32.744583333333345</v>
      </c>
      <c r="E22" s="159">
        <f>'14'!E108</f>
        <v>8.5335416666666681</v>
      </c>
      <c r="F22" s="159">
        <f>'14'!F108</f>
        <v>2.9237500000000001</v>
      </c>
      <c r="G22" s="159">
        <f>'14'!G108</f>
        <v>109.66104166666662</v>
      </c>
      <c r="H22" s="159">
        <f>'14'!H108</f>
        <v>43.478125000000006</v>
      </c>
      <c r="I22" s="159">
        <f>'14'!I108</f>
        <v>8.9456249999999979</v>
      </c>
      <c r="J22" s="159">
        <f>'14'!J108</f>
        <v>0.22041666666666679</v>
      </c>
      <c r="K22" s="159">
        <f>'14'!K108</f>
        <v>147.56395833333332</v>
      </c>
      <c r="L22" s="159">
        <f>'14'!L108</f>
        <v>19.866458333333341</v>
      </c>
      <c r="M22" s="159">
        <f>'14'!M108</f>
        <v>69.551562500000003</v>
      </c>
      <c r="N22" s="159">
        <f>'14'!N108</f>
        <v>108.44166666666668</v>
      </c>
      <c r="O22" s="159">
        <f>'14'!O108</f>
        <v>0</v>
      </c>
      <c r="P22" s="159">
        <f>'14'!P108</f>
        <v>0.9113541666666668</v>
      </c>
      <c r="Q22" s="159">
        <f>'14'!Q108</f>
        <v>5.4234375000000012</v>
      </c>
      <c r="R22" s="177"/>
      <c r="S22" s="177"/>
      <c r="T22" s="177"/>
      <c r="U22" s="177"/>
    </row>
    <row r="23" spans="1:21">
      <c r="A23" s="157">
        <f>'15'!$B$2</f>
        <v>45275.010416666664</v>
      </c>
      <c r="B23" s="95">
        <f>'15'!B108</f>
        <v>14.796145833333339</v>
      </c>
      <c r="C23" s="95">
        <f>'15'!C108</f>
        <v>29.188333333333329</v>
      </c>
      <c r="D23" s="95">
        <f>'15'!D108</f>
        <v>28.466458333333335</v>
      </c>
      <c r="E23" s="95">
        <f>'15'!E108</f>
        <v>8.9771874999999994</v>
      </c>
      <c r="F23" s="95">
        <f>'15'!F108</f>
        <v>3.0547916666666666</v>
      </c>
      <c r="G23" s="95">
        <f>'15'!G108</f>
        <v>103.56072916666665</v>
      </c>
      <c r="H23" s="95">
        <f>'15'!H108</f>
        <v>41.279166666666676</v>
      </c>
      <c r="I23" s="95">
        <f>'15'!I108</f>
        <v>7.9829166666666671</v>
      </c>
      <c r="J23" s="95">
        <f>'15'!J108</f>
        <v>0.20895833333333344</v>
      </c>
      <c r="K23" s="95">
        <f>'15'!K108</f>
        <v>130.14593749999997</v>
      </c>
      <c r="L23" s="95">
        <f>'15'!L108</f>
        <v>19.204166666666662</v>
      </c>
      <c r="M23" s="95">
        <f>'15'!M108</f>
        <v>67.81635416666667</v>
      </c>
      <c r="N23" s="95">
        <f>'15'!N108</f>
        <v>110.35833333333333</v>
      </c>
      <c r="O23" s="95">
        <f>'15'!O108</f>
        <v>0</v>
      </c>
      <c r="P23" s="95">
        <f>'15'!P108</f>
        <v>0.86916666666666609</v>
      </c>
      <c r="Q23" s="95">
        <f>'15'!Q108</f>
        <v>5.2967708333333352</v>
      </c>
      <c r="R23" s="160"/>
      <c r="S23" s="160"/>
      <c r="T23" s="160"/>
      <c r="U23" s="160"/>
    </row>
    <row r="24" spans="1:21">
      <c r="A24" s="157">
        <f>'16'!$B$2</f>
        <v>45276.010416666664</v>
      </c>
      <c r="B24" s="95">
        <f>'16'!B108</f>
        <v>24.16395833333333</v>
      </c>
      <c r="C24" s="95">
        <f>'16'!C108</f>
        <v>29.12072916666666</v>
      </c>
      <c r="D24" s="95">
        <f>'16'!D108</f>
        <v>35.943333333333328</v>
      </c>
      <c r="E24" s="95">
        <f>'16'!E108</f>
        <v>7.5451041666666656</v>
      </c>
      <c r="F24" s="95">
        <f>'16'!F108</f>
        <v>3.32375</v>
      </c>
      <c r="G24" s="95">
        <f>'16'!G108</f>
        <v>104.51864583333337</v>
      </c>
      <c r="H24" s="95">
        <f>'16'!H108</f>
        <v>42.578437499999978</v>
      </c>
      <c r="I24" s="95">
        <f>'16'!I108</f>
        <v>8.7612500000000004</v>
      </c>
      <c r="J24" s="95">
        <f>'16'!J108</f>
        <v>0.20291666666666672</v>
      </c>
      <c r="K24" s="95">
        <f>'16'!K108</f>
        <v>144.26291666666665</v>
      </c>
      <c r="L24" s="95">
        <f>'16'!L108</f>
        <v>18.637604166666666</v>
      </c>
      <c r="M24" s="95">
        <f>'16'!M108</f>
        <v>67.922187500000021</v>
      </c>
      <c r="N24" s="95">
        <f>'16'!N108</f>
        <v>107.890625</v>
      </c>
      <c r="O24" s="95">
        <f>'16'!O108</f>
        <v>0</v>
      </c>
      <c r="P24" s="95">
        <f>'16'!P108</f>
        <v>0.99020833333333302</v>
      </c>
      <c r="Q24" s="95">
        <f>'16'!Q108</f>
        <v>5.5124999999999993</v>
      </c>
      <c r="R24" s="160"/>
      <c r="S24" s="160"/>
      <c r="T24" s="160"/>
      <c r="U24" s="160"/>
    </row>
    <row r="25" spans="1:21">
      <c r="A25" s="157">
        <f>'17'!$B$2</f>
        <v>45277.010416666664</v>
      </c>
      <c r="B25" s="95">
        <f>'17'!B108</f>
        <v>24.00291666666665</v>
      </c>
      <c r="C25" s="95">
        <f>'17'!C108</f>
        <v>30.7578125</v>
      </c>
      <c r="D25" s="95">
        <f>'17'!D108</f>
        <v>36.669479166666669</v>
      </c>
      <c r="E25" s="95">
        <f>'17'!E108</f>
        <v>6.2796875000000041</v>
      </c>
      <c r="F25" s="95">
        <f>'17'!F108</f>
        <v>3.1073958333333338</v>
      </c>
      <c r="G25" s="95">
        <f>'17'!G108</f>
        <v>109.27874999999995</v>
      </c>
      <c r="H25" s="95">
        <f>'17'!H108</f>
        <v>46.552291666666662</v>
      </c>
      <c r="I25" s="95">
        <f>'17'!I108</f>
        <v>9.5992708333333336</v>
      </c>
      <c r="J25" s="95">
        <f>'17'!J108</f>
        <v>0.24250000000000002</v>
      </c>
      <c r="K25" s="95">
        <f>'17'!K108</f>
        <v>109.1392708333333</v>
      </c>
      <c r="L25" s="95">
        <f>'17'!L108</f>
        <v>19.020208333333336</v>
      </c>
      <c r="M25" s="95">
        <f>'17'!M108</f>
        <v>63.758020833333326</v>
      </c>
      <c r="N25" s="95">
        <f>'17'!N108</f>
        <v>104.27395833333333</v>
      </c>
      <c r="O25" s="95">
        <f>'17'!O108</f>
        <v>0</v>
      </c>
      <c r="P25" s="95">
        <f>'17'!P108</f>
        <v>1.0799999999999998</v>
      </c>
      <c r="Q25" s="95">
        <f>'17'!Q108</f>
        <v>5.4932291666666684</v>
      </c>
      <c r="R25" s="160"/>
      <c r="S25" s="160"/>
      <c r="T25" s="160"/>
      <c r="U25" s="160"/>
    </row>
    <row r="26" spans="1:21">
      <c r="A26" s="157">
        <f>'18'!$B$2</f>
        <v>45278.010416666664</v>
      </c>
      <c r="B26" s="95">
        <f>'18'!B108</f>
        <v>15.123229166666661</v>
      </c>
      <c r="C26" s="95">
        <f>'18'!C108</f>
        <v>30.278020833333326</v>
      </c>
      <c r="D26" s="95">
        <f>'18'!D108</f>
        <v>29.298541666666694</v>
      </c>
      <c r="E26" s="95">
        <f>'18'!E108</f>
        <v>5.577708333333331</v>
      </c>
      <c r="F26" s="95">
        <f>'18'!F108</f>
        <v>2.937395833333333</v>
      </c>
      <c r="G26" s="95">
        <f>'18'!G108</f>
        <v>89.733541666666625</v>
      </c>
      <c r="H26" s="95">
        <f>'18'!H108</f>
        <v>38.742500000000007</v>
      </c>
      <c r="I26" s="95">
        <f>'18'!I108</f>
        <v>7.5361458333333333</v>
      </c>
      <c r="J26" s="95">
        <f>'18'!J108</f>
        <v>0.31052083333333341</v>
      </c>
      <c r="K26" s="95">
        <f>'18'!K108</f>
        <v>95.831249999999997</v>
      </c>
      <c r="L26" s="95">
        <f>'18'!L108</f>
        <v>18.100312499999998</v>
      </c>
      <c r="M26" s="95">
        <f>'18'!M108</f>
        <v>63.532916666666694</v>
      </c>
      <c r="N26" s="95">
        <f>'18'!N108</f>
        <v>99.016666666666666</v>
      </c>
      <c r="O26" s="95">
        <f>'18'!O108</f>
        <v>0</v>
      </c>
      <c r="P26" s="95">
        <f>'18'!P108</f>
        <v>0.85635416666666675</v>
      </c>
      <c r="Q26" s="95">
        <f>'18'!Q108</f>
        <v>5.2552083333333313</v>
      </c>
      <c r="R26" s="160"/>
      <c r="S26" s="160"/>
      <c r="T26" s="160"/>
      <c r="U26" s="160"/>
    </row>
    <row r="27" spans="1:21">
      <c r="A27" s="157">
        <f>'19'!$B$2</f>
        <v>45279.010416666664</v>
      </c>
      <c r="B27" s="95">
        <f>'19'!B108</f>
        <v>18.405937500000004</v>
      </c>
      <c r="C27" s="95">
        <f>'19'!C108</f>
        <v>30.493333333333322</v>
      </c>
      <c r="D27" s="95">
        <f>'19'!D108</f>
        <v>32.043437499999989</v>
      </c>
      <c r="E27" s="95">
        <f>'19'!E108</f>
        <v>6.6220833333333315</v>
      </c>
      <c r="F27" s="95">
        <f>'19'!F108</f>
        <v>3.1107291666666654</v>
      </c>
      <c r="G27" s="95">
        <f>'19'!G108</f>
        <v>93.558958333333337</v>
      </c>
      <c r="H27" s="95">
        <f>'19'!H108</f>
        <v>40.786458333333336</v>
      </c>
      <c r="I27" s="95">
        <f>'19'!I108</f>
        <v>8.3311458333333324</v>
      </c>
      <c r="J27" s="95">
        <f>'19'!J108</f>
        <v>0.35593750000000007</v>
      </c>
      <c r="K27" s="95">
        <f>'19'!K108</f>
        <v>79.637083333333337</v>
      </c>
      <c r="L27" s="95">
        <f>'19'!L108</f>
        <v>17.177916666666675</v>
      </c>
      <c r="M27" s="95">
        <f>'19'!M108</f>
        <v>55.426666666666655</v>
      </c>
      <c r="N27" s="95">
        <f>'19'!N108</f>
        <v>110.32187500000005</v>
      </c>
      <c r="O27" s="95">
        <f>'19'!O108</f>
        <v>0</v>
      </c>
      <c r="P27" s="95">
        <f>'19'!P108</f>
        <v>0.89375000000000016</v>
      </c>
      <c r="Q27" s="95">
        <f>'19'!Q108</f>
        <v>5.280729166666668</v>
      </c>
      <c r="R27" s="160"/>
      <c r="S27" s="160"/>
      <c r="T27" s="160"/>
      <c r="U27" s="160"/>
    </row>
    <row r="28" spans="1:21">
      <c r="A28" s="157" t="str">
        <f>'20'!$B$2</f>
        <v>20/12/2023 00:15</v>
      </c>
      <c r="B28" s="95">
        <f>'20'!B108</f>
        <v>22.778279569892465</v>
      </c>
      <c r="C28" s="95">
        <f>'20'!C108</f>
        <v>35.13881720430107</v>
      </c>
      <c r="D28" s="95">
        <f>'20'!D108</f>
        <v>37.976666666666659</v>
      </c>
      <c r="E28" s="95">
        <f>'20'!E108</f>
        <v>7.1819791666666646</v>
      </c>
      <c r="F28" s="95">
        <f>'20'!F108</f>
        <v>3.1029473684210531</v>
      </c>
      <c r="G28" s="95">
        <f>'20'!G108</f>
        <v>84.027555555555537</v>
      </c>
      <c r="H28" s="95">
        <f>'20'!H108</f>
        <v>39.426111111111126</v>
      </c>
      <c r="I28" s="95">
        <f>'20'!I108</f>
        <v>20.091145833333332</v>
      </c>
      <c r="J28" s="95">
        <f>'20'!J108</f>
        <v>0.30677083333333316</v>
      </c>
      <c r="K28" s="95">
        <f>'20'!K108</f>
        <v>116.61093749999998</v>
      </c>
      <c r="L28" s="95">
        <f>'20'!L108</f>
        <v>16.680833333333336</v>
      </c>
      <c r="M28" s="95">
        <f>'20'!M108</f>
        <v>60.437708333333326</v>
      </c>
      <c r="N28" s="95">
        <f>'20'!N108</f>
        <v>107.17812499999997</v>
      </c>
      <c r="O28" s="95">
        <f>'20'!O108</f>
        <v>0</v>
      </c>
      <c r="P28" s="95">
        <f>'20'!P108</f>
        <v>0.81789473684210545</v>
      </c>
      <c r="Q28" s="95">
        <f>'20'!Q108</f>
        <v>5.3736458333333337</v>
      </c>
      <c r="R28" s="160"/>
      <c r="S28" s="160"/>
      <c r="T28" s="160"/>
      <c r="U28" s="160"/>
    </row>
    <row r="29" spans="1:21">
      <c r="A29" s="157" t="str">
        <f>'21'!$B$2</f>
        <v>21/12/2023 00:15</v>
      </c>
      <c r="B29" s="95">
        <f>'21'!B108</f>
        <v>16.873437500000005</v>
      </c>
      <c r="C29" s="95">
        <f>'21'!C108</f>
        <v>31.70583333333332</v>
      </c>
      <c r="D29" s="95">
        <f>'21'!D108</f>
        <v>31.447604166666675</v>
      </c>
      <c r="E29" s="95">
        <f>'21'!E108</f>
        <v>7.5663541666666658</v>
      </c>
      <c r="F29" s="95">
        <f>'21'!F108</f>
        <v>2.9971875000000003</v>
      </c>
      <c r="G29" s="95">
        <f>'21'!G108</f>
        <v>96.512604166666691</v>
      </c>
      <c r="H29" s="95">
        <f>'21'!H108</f>
        <v>48.34166666666669</v>
      </c>
      <c r="I29" s="95">
        <f>'21'!I108</f>
        <v>12.218437500000002</v>
      </c>
      <c r="J29" s="95">
        <f>'21'!J108</f>
        <v>0.20458333333333326</v>
      </c>
      <c r="K29" s="95">
        <f>'21'!K108</f>
        <v>159.83614583333338</v>
      </c>
      <c r="L29" s="95">
        <f>'21'!L108</f>
        <v>17.112083333333334</v>
      </c>
      <c r="M29" s="95">
        <f>'21'!M108</f>
        <v>64.484687499999978</v>
      </c>
      <c r="N29" s="95">
        <f>'21'!N108</f>
        <v>101.78645833333333</v>
      </c>
      <c r="O29" s="95">
        <f>'21'!O108</f>
        <v>0</v>
      </c>
      <c r="P29" s="95">
        <f>'21'!P108</f>
        <v>0.94166666666666676</v>
      </c>
      <c r="Q29" s="95">
        <f>'21'!Q108</f>
        <v>5.1823958333333318</v>
      </c>
      <c r="R29" s="160"/>
      <c r="S29" s="160"/>
      <c r="T29" s="160"/>
      <c r="U29" s="160"/>
    </row>
    <row r="30" spans="1:21">
      <c r="A30" s="157" t="str">
        <f>'22'!$B$2</f>
        <v>22/12/2023 00:15</v>
      </c>
      <c r="B30" s="95">
        <f>'22'!B108</f>
        <v>14.56718749999999</v>
      </c>
      <c r="C30" s="95">
        <f>'22'!C108</f>
        <v>31.3084375</v>
      </c>
      <c r="D30" s="95">
        <f>'22'!D108</f>
        <v>29.390416666666667</v>
      </c>
      <c r="E30" s="95">
        <f>'22'!E108</f>
        <v>6.3315625000000031</v>
      </c>
      <c r="F30" s="95">
        <f>'22'!F108</f>
        <v>3.2267708333333336</v>
      </c>
      <c r="G30" s="95">
        <f>'22'!G108</f>
        <v>122.79500000000002</v>
      </c>
      <c r="H30" s="95">
        <f>'22'!H108</f>
        <v>57.823333333333316</v>
      </c>
      <c r="I30" s="95">
        <f>'22'!I108</f>
        <v>12.172500000000001</v>
      </c>
      <c r="J30" s="95">
        <f>'22'!J108</f>
        <v>0.18989583333333337</v>
      </c>
      <c r="K30" s="95">
        <f>'22'!K108</f>
        <v>161.83854166666666</v>
      </c>
      <c r="L30" s="95">
        <f>'22'!L108</f>
        <v>18.080937500000005</v>
      </c>
      <c r="M30" s="95">
        <f>'22'!M108</f>
        <v>65.233437499999994</v>
      </c>
      <c r="N30" s="95">
        <f>'22'!N108</f>
        <v>96.759375000000034</v>
      </c>
      <c r="O30" s="95">
        <f>'22'!O108</f>
        <v>0</v>
      </c>
      <c r="P30" s="95">
        <f>'22'!P108</f>
        <v>1.0717708333333336</v>
      </c>
      <c r="Q30" s="95">
        <f>'22'!Q108</f>
        <v>5.1091666666666669</v>
      </c>
      <c r="R30" s="160"/>
      <c r="S30" s="160"/>
      <c r="T30" s="160"/>
      <c r="U30" s="160"/>
    </row>
    <row r="31" spans="1:21">
      <c r="A31" s="157" t="str">
        <f>'23'!$B$2</f>
        <v>23/12/2023 00:15</v>
      </c>
      <c r="B31" s="95">
        <f>'23'!B108</f>
        <v>12.937395833333326</v>
      </c>
      <c r="C31" s="95">
        <f>'23'!C108</f>
        <v>29.34697916666666</v>
      </c>
      <c r="D31" s="95">
        <f>'23'!D108</f>
        <v>27.058749999999989</v>
      </c>
      <c r="E31" s="95">
        <f>'23'!E108</f>
        <v>6.2602083333333347</v>
      </c>
      <c r="F31" s="95">
        <f>'23'!F108</f>
        <v>3.4307291666666671</v>
      </c>
      <c r="G31" s="95">
        <f>'23'!G108</f>
        <v>118.68385416666668</v>
      </c>
      <c r="H31" s="95">
        <f>'23'!H108</f>
        <v>62.834791666666625</v>
      </c>
      <c r="I31" s="95">
        <f>'23'!I108</f>
        <v>11.091145833333341</v>
      </c>
      <c r="J31" s="95">
        <f>'23'!J108</f>
        <v>0.16552083333333337</v>
      </c>
      <c r="K31" s="95">
        <f>'23'!K108</f>
        <v>147.81145833333338</v>
      </c>
      <c r="L31" s="95">
        <f>'23'!L108</f>
        <v>18.573541666666667</v>
      </c>
      <c r="M31" s="95">
        <f>'23'!M108</f>
        <v>67.098020833333337</v>
      </c>
      <c r="N31" s="95">
        <f>'23'!N108</f>
        <v>79.946874999999991</v>
      </c>
      <c r="O31" s="95">
        <f>'23'!O108</f>
        <v>0</v>
      </c>
      <c r="P31" s="95">
        <f>'23'!P108</f>
        <v>0.96770833333333395</v>
      </c>
      <c r="Q31" s="95">
        <f>'23'!Q108</f>
        <v>5.0647916666666646</v>
      </c>
      <c r="R31" s="160"/>
      <c r="S31" s="178"/>
      <c r="T31" s="160"/>
      <c r="U31" s="160"/>
    </row>
    <row r="32" spans="1:21">
      <c r="A32" s="157" t="str">
        <f>'24'!$B$2</f>
        <v>24/12/2023 00:15</v>
      </c>
      <c r="B32" s="95">
        <f>'24'!B108</f>
        <v>12.80302083333333</v>
      </c>
      <c r="C32" s="95">
        <f>'24'!C108</f>
        <v>28.626145833333325</v>
      </c>
      <c r="D32" s="95">
        <f>'24'!D108</f>
        <v>26.57489583333334</v>
      </c>
      <c r="E32" s="95">
        <f>'24'!E108</f>
        <v>6.365937500000002</v>
      </c>
      <c r="F32" s="95">
        <f>'24'!F108</f>
        <v>3.3282291666666666</v>
      </c>
      <c r="G32" s="95">
        <f>'24'!G108</f>
        <v>113.73291666666671</v>
      </c>
      <c r="H32" s="95">
        <f>'24'!H108</f>
        <v>62.485208333333304</v>
      </c>
      <c r="I32" s="95">
        <f>'24'!I108</f>
        <v>9.649791666666669</v>
      </c>
      <c r="J32" s="95">
        <f>'24'!J108</f>
        <v>0.22385416666666669</v>
      </c>
      <c r="K32" s="95">
        <f>'24'!K108</f>
        <v>123.07854166666669</v>
      </c>
      <c r="L32" s="95">
        <f>'24'!L108</f>
        <v>18.787916666666668</v>
      </c>
      <c r="M32" s="95">
        <f>'24'!M108</f>
        <v>74.888854166666661</v>
      </c>
      <c r="N32" s="95">
        <f>'24'!N108</f>
        <v>92.586458333333326</v>
      </c>
      <c r="O32" s="95">
        <f>'24'!O108</f>
        <v>0</v>
      </c>
      <c r="P32" s="95">
        <f>'24'!P108</f>
        <v>0.98364583333333344</v>
      </c>
      <c r="Q32" s="95">
        <f>'24'!Q108</f>
        <v>5.0268749999999986</v>
      </c>
      <c r="R32" s="160"/>
      <c r="S32" s="160"/>
      <c r="T32" s="160"/>
      <c r="U32" s="160"/>
    </row>
    <row r="33" spans="1:21">
      <c r="A33" s="157" t="str">
        <f>'25'!$B$2</f>
        <v>25/12/2023 00:15</v>
      </c>
      <c r="B33" s="95">
        <f>'25'!B108</f>
        <v>28.78</v>
      </c>
      <c r="C33" s="95">
        <f>'25'!C108</f>
        <v>31.755208333333339</v>
      </c>
      <c r="D33" s="95">
        <f>'25'!D108</f>
        <v>41.021354166666661</v>
      </c>
      <c r="E33" s="95">
        <f>'25'!E108</f>
        <v>6.8477083333333333</v>
      </c>
      <c r="F33" s="95">
        <f>'25'!F108</f>
        <v>3.0906250000000015</v>
      </c>
      <c r="G33" s="95">
        <f>'25'!G108</f>
        <v>125.67979166666659</v>
      </c>
      <c r="H33" s="95">
        <f>'25'!H108</f>
        <v>63.230416666666649</v>
      </c>
      <c r="I33" s="95">
        <f>'25'!I108</f>
        <v>12.553749999999999</v>
      </c>
      <c r="J33" s="95">
        <f>'25'!J108</f>
        <v>0.17468750000000002</v>
      </c>
      <c r="K33" s="95">
        <f>'25'!K108</f>
        <v>178.01343749999998</v>
      </c>
      <c r="L33" s="95">
        <f>'25'!L108</f>
        <v>19.774166666666655</v>
      </c>
      <c r="M33" s="95">
        <f>'25'!M108</f>
        <v>74.962916666666658</v>
      </c>
      <c r="N33" s="95">
        <f>'25'!N108</f>
        <v>89.03854166666666</v>
      </c>
      <c r="O33" s="95">
        <f>'25'!O108</f>
        <v>0</v>
      </c>
      <c r="P33" s="95">
        <f>'25'!P108</f>
        <v>1.252604166666667</v>
      </c>
      <c r="Q33" s="95">
        <f>'25'!Q108</f>
        <v>5.2496875000000003</v>
      </c>
      <c r="R33" s="160"/>
      <c r="S33" s="178"/>
      <c r="T33" s="160"/>
      <c r="U33" s="160"/>
    </row>
    <row r="34" spans="1:21">
      <c r="A34" s="157" t="str">
        <f>'26'!$B$2</f>
        <v>26/12/2023 00:15</v>
      </c>
      <c r="B34" s="95">
        <f>'26'!B108</f>
        <v>13.621666666666668</v>
      </c>
      <c r="C34" s="95">
        <f>'26'!C108</f>
        <v>29.952604166666664</v>
      </c>
      <c r="D34" s="95">
        <f>'26'!D108</f>
        <v>27.925000000000001</v>
      </c>
      <c r="E34" s="95">
        <f>'26'!E108</f>
        <v>6.5888541666666702</v>
      </c>
      <c r="F34" s="95">
        <f>'26'!F108</f>
        <v>3.776250000000001</v>
      </c>
      <c r="G34" s="95">
        <f>'26'!G108</f>
        <v>134.52229166666666</v>
      </c>
      <c r="H34" s="95">
        <f>'26'!H108</f>
        <v>69.507083333333355</v>
      </c>
      <c r="I34" s="95">
        <f>'26'!I108</f>
        <v>11.568541666666659</v>
      </c>
      <c r="J34" s="95">
        <f>'26'!J108</f>
        <v>0.17583333333333337</v>
      </c>
      <c r="K34" s="95">
        <f>'26'!K108</f>
        <v>178.0546875</v>
      </c>
      <c r="L34" s="95">
        <f>'26'!L108</f>
        <v>20.276562500000004</v>
      </c>
      <c r="M34" s="95">
        <f>'26'!M108</f>
        <v>74.584895833333334</v>
      </c>
      <c r="N34" s="95">
        <f>'26'!N108</f>
        <v>88.016666666666666</v>
      </c>
      <c r="O34" s="95">
        <f>'26'!O108</f>
        <v>0</v>
      </c>
      <c r="P34" s="95">
        <f>'26'!P108</f>
        <v>1.0779166666666666</v>
      </c>
      <c r="Q34" s="95">
        <f>'26'!Q108</f>
        <v>5.024895833333332</v>
      </c>
      <c r="R34" s="160"/>
      <c r="S34" s="160"/>
      <c r="T34" s="160"/>
      <c r="U34" s="160"/>
    </row>
    <row r="35" spans="1:21">
      <c r="A35" s="157" t="str">
        <f>'27'!$B$2</f>
        <v>27/12/2023 00:15</v>
      </c>
      <c r="B35" s="95">
        <f>'27'!B108</f>
        <v>12.643020833333331</v>
      </c>
      <c r="C35" s="95">
        <f>'27'!C108</f>
        <v>29.762812499999995</v>
      </c>
      <c r="D35" s="95">
        <f>'27'!D108</f>
        <v>27.040208333333325</v>
      </c>
      <c r="E35" s="95">
        <f>'27'!E108</f>
        <v>6.8570833333333328</v>
      </c>
      <c r="F35" s="95">
        <f>'27'!F108</f>
        <v>3.1006249999999995</v>
      </c>
      <c r="G35" s="95">
        <f>'27'!G108</f>
        <v>129.39864583333335</v>
      </c>
      <c r="H35" s="95">
        <f>'27'!H108</f>
        <v>66.375000000000043</v>
      </c>
      <c r="I35" s="95">
        <f>'27'!I108</f>
        <v>11.108020833333327</v>
      </c>
      <c r="J35" s="95">
        <f>'27'!J108</f>
        <v>0.1814583333333333</v>
      </c>
      <c r="K35" s="95">
        <f>'27'!K108</f>
        <v>153.89500000000001</v>
      </c>
      <c r="L35" s="95">
        <f>'27'!L108</f>
        <v>20.039166666666656</v>
      </c>
      <c r="M35" s="95">
        <f>'27'!M108</f>
        <v>74.318020833333335</v>
      </c>
      <c r="N35" s="95">
        <f>'27'!N108</f>
        <v>87.079166666666694</v>
      </c>
      <c r="O35" s="95">
        <f>'27'!O108</f>
        <v>0</v>
      </c>
      <c r="P35" s="95">
        <f>'27'!P108</f>
        <v>0.98114583333333349</v>
      </c>
      <c r="Q35" s="95">
        <f>'27'!Q108</f>
        <v>4.9994791666666663</v>
      </c>
      <c r="R35" s="160"/>
      <c r="S35" s="160"/>
      <c r="T35" s="160"/>
      <c r="U35" s="160"/>
    </row>
    <row r="36" spans="1:21">
      <c r="A36" s="157" t="str">
        <f>'28'!$B$2</f>
        <v>28/12/2023 00:15</v>
      </c>
      <c r="B36" s="95">
        <f>'28'!B108</f>
        <v>15.707812500000001</v>
      </c>
      <c r="C36" s="95">
        <f>'28'!C108</f>
        <v>27.867500000000007</v>
      </c>
      <c r="D36" s="95">
        <f>'28'!D108</f>
        <v>28.507499999999993</v>
      </c>
      <c r="E36" s="95">
        <f>'28'!E108</f>
        <v>6.7459374999999975</v>
      </c>
      <c r="F36" s="95">
        <f>'28'!F108</f>
        <v>3.0831250000000003</v>
      </c>
      <c r="G36" s="95">
        <f>'28'!G108</f>
        <v>120.46333333333335</v>
      </c>
      <c r="H36" s="95">
        <f>'28'!H108</f>
        <v>62.186041666666711</v>
      </c>
      <c r="I36" s="95">
        <f>'28'!I108</f>
        <v>11.544062500000003</v>
      </c>
      <c r="J36" s="95">
        <f>'28'!J108</f>
        <v>0.16833333333333331</v>
      </c>
      <c r="K36" s="95">
        <f>'28'!K108</f>
        <v>183.56031249999992</v>
      </c>
      <c r="L36" s="95">
        <f>'28'!L108</f>
        <v>20.235000000000003</v>
      </c>
      <c r="M36" s="95">
        <f>'28'!M108</f>
        <v>73.571979166666651</v>
      </c>
      <c r="N36" s="95">
        <f>'28'!N108</f>
        <v>84.072916666666671</v>
      </c>
      <c r="O36" s="95">
        <f>'28'!O108</f>
        <v>0</v>
      </c>
      <c r="P36" s="95">
        <f>'28'!P108</f>
        <v>1.024375</v>
      </c>
      <c r="Q36" s="95">
        <f>'28'!Q108</f>
        <v>5.0189583333333339</v>
      </c>
      <c r="R36" s="160"/>
      <c r="S36" s="160"/>
      <c r="T36" s="160"/>
      <c r="U36" s="160"/>
    </row>
    <row r="37" spans="1:21" s="2" customFormat="1">
      <c r="A37" s="157" t="str">
        <f>'29'!$B$2</f>
        <v>29/12/2023 00:15</v>
      </c>
      <c r="B37" s="95">
        <f>'29'!B108</f>
        <v>22.966354166666658</v>
      </c>
      <c r="C37" s="95">
        <f>'29'!C108</f>
        <v>28.80489583333333</v>
      </c>
      <c r="D37" s="95">
        <f>'29'!D108</f>
        <v>34.818541666666661</v>
      </c>
      <c r="E37" s="95">
        <f>'29'!E108</f>
        <v>5.8659374999999985</v>
      </c>
      <c r="F37" s="95">
        <f>'29'!F108</f>
        <v>2.9263541666666661</v>
      </c>
      <c r="G37" s="95">
        <f>'29'!G108</f>
        <v>110.72031250000003</v>
      </c>
      <c r="H37" s="95">
        <f>'29'!H108</f>
        <v>56.820208333333341</v>
      </c>
      <c r="I37" s="95">
        <f>'29'!I108</f>
        <v>10.167083333333336</v>
      </c>
      <c r="J37" s="95">
        <f>'29'!J108</f>
        <v>0.16270833333333337</v>
      </c>
      <c r="K37" s="95">
        <f>'29'!K108</f>
        <v>151.23270833333331</v>
      </c>
      <c r="L37" s="95">
        <f>'29'!L108</f>
        <v>20.18812500000001</v>
      </c>
      <c r="M37" s="95">
        <f>'29'!M108</f>
        <v>74.333437500000016</v>
      </c>
      <c r="N37" s="95">
        <f>'29'!N108</f>
        <v>75.655208333333306</v>
      </c>
      <c r="O37" s="95">
        <f>'29'!O108</f>
        <v>0</v>
      </c>
      <c r="P37" s="95">
        <f>'29'!P108</f>
        <v>0.93125000000000047</v>
      </c>
      <c r="Q37" s="95">
        <f>'29'!Q108</f>
        <v>5.115520833333334</v>
      </c>
      <c r="R37" s="160"/>
      <c r="S37" s="160"/>
      <c r="T37" s="160"/>
      <c r="U37" s="160"/>
    </row>
    <row r="38" spans="1:21" s="2" customFormat="1">
      <c r="A38" s="157" t="str">
        <f>'30'!$B$2</f>
        <v>30/12/2023 00:15</v>
      </c>
      <c r="B38" s="95">
        <f>'30'!B108</f>
        <v>12.615000000000002</v>
      </c>
      <c r="C38" s="95">
        <f>'30'!C108</f>
        <v>25.489895833333325</v>
      </c>
      <c r="D38" s="95">
        <f>'30'!D108</f>
        <v>24.784687499999993</v>
      </c>
      <c r="E38" s="95">
        <f>'30'!E108</f>
        <v>6.8762499999999998</v>
      </c>
      <c r="F38" s="95">
        <f>'30'!F108</f>
        <v>3.0743749999999999</v>
      </c>
      <c r="G38" s="95">
        <f>'30'!G108</f>
        <v>116.85239583333338</v>
      </c>
      <c r="H38" s="95">
        <f>'30'!H108</f>
        <v>61.924791666666643</v>
      </c>
      <c r="I38" s="95">
        <f>'30'!I108</f>
        <v>11.413020833333336</v>
      </c>
      <c r="J38" s="95">
        <f>'30'!J108</f>
        <v>0.16416666666666666</v>
      </c>
      <c r="K38" s="95">
        <f>'30'!K108</f>
        <v>178.25218750000008</v>
      </c>
      <c r="L38" s="95">
        <f>'30'!L108</f>
        <v>20.230624999999996</v>
      </c>
      <c r="M38" s="95">
        <f>'30'!M108</f>
        <v>76.54500000000003</v>
      </c>
      <c r="N38" s="95">
        <f>'30'!N108</f>
        <v>76.125000000000014</v>
      </c>
      <c r="O38" s="95">
        <f>'30'!O108</f>
        <v>0</v>
      </c>
      <c r="P38" s="95">
        <f>'30'!P108</f>
        <v>0.98625000000000007</v>
      </c>
      <c r="Q38" s="95">
        <f>'30'!Q108</f>
        <v>4.938229166666666</v>
      </c>
      <c r="R38" s="160"/>
      <c r="S38" s="160"/>
      <c r="T38" s="160"/>
      <c r="U38" s="160"/>
    </row>
    <row r="39" spans="1:21" s="2" customFormat="1">
      <c r="A39" s="157" t="str">
        <f>'31'!$B$2</f>
        <v>31/12/2023 00:15</v>
      </c>
      <c r="B39" s="95">
        <f>'31'!B108</f>
        <v>8.2658333333333349</v>
      </c>
      <c r="C39" s="95">
        <f>'31'!C108</f>
        <v>23.697708333333342</v>
      </c>
      <c r="D39" s="95">
        <f>'31'!D108</f>
        <v>20.361458333333335</v>
      </c>
      <c r="E39" s="95">
        <f>'31'!E108</f>
        <v>6.6590624999999974</v>
      </c>
      <c r="F39" s="95">
        <f>'31'!F108</f>
        <v>3.3575000000000017</v>
      </c>
      <c r="G39" s="95">
        <f>'31'!G108</f>
        <v>109.80166666666666</v>
      </c>
      <c r="H39" s="95">
        <f>'31'!H108</f>
        <v>62.625937499999964</v>
      </c>
      <c r="I39" s="95">
        <f>'31'!I108</f>
        <v>9.2583333333333293</v>
      </c>
      <c r="J39" s="95">
        <f>'31'!J108</f>
        <v>0.17760416666666667</v>
      </c>
      <c r="K39" s="95">
        <f>'31'!K108</f>
        <v>176.22072916666664</v>
      </c>
      <c r="L39" s="95">
        <f>'31'!L108</f>
        <v>20.448333333333331</v>
      </c>
      <c r="M39" s="95">
        <f>'31'!M108</f>
        <v>74.489687500000002</v>
      </c>
      <c r="N39" s="95">
        <f>'31'!N108</f>
        <v>73.839583333333337</v>
      </c>
      <c r="O39" s="95">
        <f>'31'!O108</f>
        <v>0</v>
      </c>
      <c r="P39" s="95">
        <f>'31'!P108</f>
        <v>0.92354166666666726</v>
      </c>
      <c r="Q39" s="95">
        <f>'31'!Q108</f>
        <v>4.8356249999999985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8.2658333333333349</v>
      </c>
      <c r="C41" s="161">
        <f t="shared" si="0"/>
        <v>21.756874999999997</v>
      </c>
      <c r="D41" s="161">
        <f t="shared" si="0"/>
        <v>20.361458333333335</v>
      </c>
      <c r="E41" s="161">
        <f t="shared" si="0"/>
        <v>5.577708333333331</v>
      </c>
      <c r="F41" s="161">
        <f t="shared" si="0"/>
        <v>2.6129166666666661</v>
      </c>
      <c r="G41" s="161">
        <f t="shared" si="0"/>
        <v>19.979791666666657</v>
      </c>
      <c r="H41" s="161">
        <f t="shared" si="0"/>
        <v>6.1839583333333366</v>
      </c>
      <c r="I41" s="161">
        <f t="shared" si="0"/>
        <v>3.1036458333333319</v>
      </c>
      <c r="J41" s="161">
        <f t="shared" si="0"/>
        <v>0.16270833333333337</v>
      </c>
      <c r="K41" s="161">
        <f t="shared" si="0"/>
        <v>47.220208333333346</v>
      </c>
      <c r="L41" s="161">
        <f t="shared" si="0"/>
        <v>16.680833333333336</v>
      </c>
      <c r="M41" s="161">
        <f t="shared" si="0"/>
        <v>55.426666666666655</v>
      </c>
      <c r="N41" s="161">
        <f t="shared" si="0"/>
        <v>11.86875</v>
      </c>
      <c r="O41" s="161">
        <f t="shared" si="0"/>
        <v>0</v>
      </c>
      <c r="P41" s="161">
        <f t="shared" si="0"/>
        <v>0.45072916666666657</v>
      </c>
      <c r="Q41" s="161">
        <f t="shared" si="0"/>
        <v>4.5146875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29.802812500000012</v>
      </c>
      <c r="C42" s="161">
        <f t="shared" si="1"/>
        <v>35.13881720430107</v>
      </c>
      <c r="D42" s="161">
        <f t="shared" si="1"/>
        <v>41.021354166666661</v>
      </c>
      <c r="E42" s="161">
        <f t="shared" si="1"/>
        <v>8.9771874999999994</v>
      </c>
      <c r="F42" s="161">
        <f t="shared" si="1"/>
        <v>4.2838541666666661</v>
      </c>
      <c r="G42" s="161">
        <f t="shared" si="1"/>
        <v>134.52229166666666</v>
      </c>
      <c r="H42" s="161">
        <f t="shared" si="1"/>
        <v>69.507083333333355</v>
      </c>
      <c r="I42" s="161">
        <f t="shared" si="1"/>
        <v>20.091145833333332</v>
      </c>
      <c r="J42" s="161">
        <f t="shared" si="1"/>
        <v>0.81812499999999977</v>
      </c>
      <c r="K42" s="161">
        <f t="shared" si="1"/>
        <v>183.56031249999992</v>
      </c>
      <c r="L42" s="161">
        <f t="shared" si="1"/>
        <v>24.878854166666656</v>
      </c>
      <c r="M42" s="161">
        <f t="shared" si="1"/>
        <v>100.08666666666669</v>
      </c>
      <c r="N42" s="161">
        <f t="shared" si="1"/>
        <v>118.36874999999999</v>
      </c>
      <c r="O42" s="161">
        <f t="shared" si="1"/>
        <v>8.9583333333333334E-2</v>
      </c>
      <c r="P42" s="161">
        <f t="shared" si="1"/>
        <v>1.252604166666667</v>
      </c>
      <c r="Q42" s="161">
        <f t="shared" si="1"/>
        <v>5.5124999999999993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17.256094471237223</v>
      </c>
      <c r="C43" s="161">
        <f t="shared" si="2"/>
        <v>27.34877882804847</v>
      </c>
      <c r="D43" s="161">
        <f t="shared" si="2"/>
        <v>29.478076812300607</v>
      </c>
      <c r="E43" s="161">
        <f t="shared" si="2"/>
        <v>7.3247482893450622</v>
      </c>
      <c r="F43" s="161">
        <f t="shared" si="2"/>
        <v>3.139489451257691</v>
      </c>
      <c r="G43" s="161">
        <f t="shared" si="2"/>
        <v>90.387199022128726</v>
      </c>
      <c r="H43" s="161">
        <f t="shared" si="2"/>
        <v>41.560502795309333</v>
      </c>
      <c r="I43" s="161">
        <f t="shared" si="2"/>
        <v>9.2949495967741935</v>
      </c>
      <c r="J43" s="161">
        <f t="shared" si="2"/>
        <v>0.26567540322580646</v>
      </c>
      <c r="K43" s="161">
        <f t="shared" si="2"/>
        <v>132.35696908602151</v>
      </c>
      <c r="L43" s="161">
        <f t="shared" si="2"/>
        <v>19.982674731182797</v>
      </c>
      <c r="M43" s="161">
        <f t="shared" si="2"/>
        <v>72.585504032258086</v>
      </c>
      <c r="N43" s="161">
        <f t="shared" si="2"/>
        <v>87.18461021505378</v>
      </c>
      <c r="O43" s="161">
        <f t="shared" si="2"/>
        <v>5.3763440860215058E-3</v>
      </c>
      <c r="P43" s="161">
        <f t="shared" si="2"/>
        <v>0.88579266080867947</v>
      </c>
      <c r="Q43" s="161">
        <f t="shared" si="2"/>
        <v>5.0238037634408608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5.9774177209246959</v>
      </c>
      <c r="C44" s="161">
        <f t="shared" si="3"/>
        <v>3.365124491808106</v>
      </c>
      <c r="D44" s="161">
        <f t="shared" si="3"/>
        <v>5.4017240084655249</v>
      </c>
      <c r="E44" s="161">
        <f t="shared" si="3"/>
        <v>0.89574557122302967</v>
      </c>
      <c r="F44" s="161">
        <f t="shared" si="3"/>
        <v>0.36920238895057456</v>
      </c>
      <c r="G44" s="161">
        <f t="shared" si="3"/>
        <v>30.411884849015021</v>
      </c>
      <c r="H44" s="161">
        <f t="shared" si="3"/>
        <v>17.966730366345669</v>
      </c>
      <c r="I44" s="161">
        <f t="shared" si="3"/>
        <v>3.4812665111848853</v>
      </c>
      <c r="J44" s="161">
        <f t="shared" si="3"/>
        <v>0.15303016921582974</v>
      </c>
      <c r="K44" s="161">
        <f t="shared" si="3"/>
        <v>39.453076023991883</v>
      </c>
      <c r="L44" s="161">
        <f t="shared" si="3"/>
        <v>1.9797854311235843</v>
      </c>
      <c r="M44" s="161">
        <f t="shared" si="3"/>
        <v>9.7815990158597774</v>
      </c>
      <c r="N44" s="161">
        <f t="shared" si="3"/>
        <v>29.723041941792513</v>
      </c>
      <c r="O44" s="161">
        <f t="shared" si="3"/>
        <v>1.8350482774047699E-2</v>
      </c>
      <c r="P44" s="161">
        <f t="shared" si="3"/>
        <v>0.15261646771699433</v>
      </c>
      <c r="Q44" s="161">
        <f t="shared" si="3"/>
        <v>0.27050874763220117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f t="shared" si="4"/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1" t="s">
        <v>56</v>
      </c>
      <c r="C50" s="191"/>
      <c r="D50" s="19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20"/>
  <sheetViews>
    <sheetView topLeftCell="A88" zoomScale="85" zoomScaleNormal="85" workbookViewId="0">
      <selection activeCell="B30" sqref="B30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1" customHeight="1"/>
    <row r="2" spans="2:24" ht="18.75" customHeight="1">
      <c r="B2" s="2"/>
      <c r="C2" s="91" t="s">
        <v>60</v>
      </c>
      <c r="D2" s="198" t="s">
        <v>61</v>
      </c>
      <c r="E2" s="198"/>
      <c r="F2" s="198"/>
      <c r="G2" s="198"/>
      <c r="H2" s="198"/>
      <c r="I2" s="198"/>
      <c r="J2" s="199"/>
    </row>
    <row r="3" spans="2:24" ht="18" customHeight="1">
      <c r="B3" s="2"/>
      <c r="C3" s="91" t="s">
        <v>2</v>
      </c>
      <c r="D3" s="200" t="s">
        <v>238</v>
      </c>
      <c r="E3" s="201"/>
      <c r="F3" s="201"/>
      <c r="G3" s="201"/>
      <c r="H3" s="201"/>
      <c r="I3" s="201"/>
      <c r="J3" s="202"/>
    </row>
    <row r="5" spans="2:24">
      <c r="S5" s="89"/>
      <c r="T5" s="89"/>
      <c r="U5" s="90"/>
      <c r="V5" s="90"/>
      <c r="W5" s="89"/>
      <c r="X5" s="89"/>
    </row>
    <row r="6" spans="2:24">
      <c r="B6" s="92"/>
      <c r="C6" s="93"/>
      <c r="D6" s="93"/>
      <c r="E6" s="93"/>
      <c r="F6" s="93"/>
      <c r="G6" s="196" t="s">
        <v>62</v>
      </c>
      <c r="H6" s="196"/>
      <c r="I6" s="93"/>
      <c r="J6" s="93"/>
      <c r="K6" s="93"/>
      <c r="L6" s="93"/>
      <c r="M6" s="107"/>
      <c r="O6" s="108"/>
      <c r="P6" s="109"/>
      <c r="Q6" s="109"/>
      <c r="R6" s="109"/>
      <c r="S6" s="127" t="s">
        <v>63</v>
      </c>
      <c r="T6" s="109"/>
      <c r="U6" s="128"/>
      <c r="V6" s="128"/>
      <c r="W6" s="109"/>
      <c r="X6" s="129"/>
    </row>
    <row r="7" spans="2:24">
      <c r="B7" s="94"/>
      <c r="C7" s="6"/>
      <c r="D7" s="6"/>
      <c r="E7" s="6"/>
      <c r="F7" s="6"/>
      <c r="G7" s="6"/>
      <c r="H7" s="95"/>
      <c r="I7" s="6"/>
      <c r="J7" s="6"/>
      <c r="K7" s="6"/>
      <c r="L7" s="6"/>
      <c r="M7" s="110"/>
      <c r="O7" s="111"/>
      <c r="P7" s="112"/>
      <c r="Q7" s="112"/>
      <c r="R7" s="112"/>
      <c r="S7" s="112"/>
      <c r="T7" s="112"/>
      <c r="U7" s="130"/>
      <c r="V7" s="130"/>
      <c r="W7" s="112"/>
      <c r="X7" s="131"/>
    </row>
    <row r="8" spans="2:24" ht="15.75">
      <c r="B8" s="96" t="s">
        <v>64</v>
      </c>
      <c r="C8" s="97" t="s">
        <v>65</v>
      </c>
      <c r="D8" s="97" t="s">
        <v>66</v>
      </c>
      <c r="E8" s="97" t="s">
        <v>67</v>
      </c>
      <c r="F8" s="97" t="s">
        <v>68</v>
      </c>
      <c r="G8" s="97" t="s">
        <v>69</v>
      </c>
      <c r="H8" s="98" t="s">
        <v>70</v>
      </c>
      <c r="I8" s="97" t="s">
        <v>71</v>
      </c>
      <c r="J8" s="97" t="s">
        <v>72</v>
      </c>
      <c r="K8" s="97" t="s">
        <v>73</v>
      </c>
      <c r="L8" s="97" t="s">
        <v>54</v>
      </c>
      <c r="M8" s="39" t="s">
        <v>74</v>
      </c>
      <c r="O8" s="113" t="s">
        <v>64</v>
      </c>
      <c r="P8" s="114" t="s">
        <v>65</v>
      </c>
      <c r="Q8" s="114" t="s">
        <v>75</v>
      </c>
      <c r="R8" s="114" t="s">
        <v>11</v>
      </c>
      <c r="S8" s="114" t="s">
        <v>76</v>
      </c>
      <c r="T8" s="114" t="s">
        <v>77</v>
      </c>
      <c r="U8" s="132" t="s">
        <v>78</v>
      </c>
      <c r="V8" s="132" t="s">
        <v>79</v>
      </c>
      <c r="W8" s="114" t="s">
        <v>54</v>
      </c>
      <c r="X8" s="133" t="s">
        <v>74</v>
      </c>
    </row>
    <row r="9" spans="2:24" ht="15.75">
      <c r="B9" s="82">
        <v>45272.635416666664</v>
      </c>
      <c r="C9" s="6" t="s">
        <v>62</v>
      </c>
      <c r="D9" s="6" t="s">
        <v>39</v>
      </c>
      <c r="E9" s="6">
        <v>0</v>
      </c>
      <c r="F9" s="6">
        <v>500</v>
      </c>
      <c r="G9" s="6">
        <v>0</v>
      </c>
      <c r="H9" s="95">
        <v>503</v>
      </c>
      <c r="I9" s="6">
        <v>0</v>
      </c>
      <c r="J9" s="95">
        <f>F9/H9</f>
        <v>0.99403578528827041</v>
      </c>
      <c r="K9" s="95">
        <f>(H9-F9)*100/F9</f>
        <v>0.6</v>
      </c>
      <c r="L9" s="6" t="s">
        <v>80</v>
      </c>
      <c r="M9" s="115" t="s">
        <v>56</v>
      </c>
      <c r="O9" s="82">
        <v>45262.512499999997</v>
      </c>
      <c r="P9" s="112" t="s">
        <v>63</v>
      </c>
      <c r="Q9" s="112">
        <v>5089.8999999999996</v>
      </c>
      <c r="R9" s="112">
        <v>3915.34</v>
      </c>
      <c r="S9" s="134" t="s">
        <v>81</v>
      </c>
      <c r="T9" s="134">
        <v>859.22</v>
      </c>
      <c r="U9" s="130">
        <v>0.96799999999999997</v>
      </c>
      <c r="V9" s="130">
        <v>0.97340000000000004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ref="J10:J15" si="0">F10/H10</f>
        <v>#DIV/0!</v>
      </c>
      <c r="K10" s="95">
        <f t="shared" ref="K10:K15" si="1">(H10-F10)*100/F10</f>
        <v>-100</v>
      </c>
      <c r="L10" s="6" t="s">
        <v>80</v>
      </c>
      <c r="M10" s="115" t="s">
        <v>56</v>
      </c>
      <c r="O10" s="82">
        <v>45272.575694444444</v>
      </c>
      <c r="P10" s="112" t="s">
        <v>63</v>
      </c>
      <c r="Q10" s="112">
        <v>4973.7</v>
      </c>
      <c r="R10" s="112">
        <v>3836.59</v>
      </c>
      <c r="S10" s="134" t="s">
        <v>81</v>
      </c>
      <c r="T10" s="134">
        <v>860.36</v>
      </c>
      <c r="U10" s="130">
        <v>0.97340000000000004</v>
      </c>
      <c r="V10" s="130">
        <v>0.97750000000000004</v>
      </c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>
        <v>45280.560416666667</v>
      </c>
      <c r="P11" s="112" t="s">
        <v>63</v>
      </c>
      <c r="Q11" s="112">
        <v>4960.6499999999996</v>
      </c>
      <c r="R11" s="112">
        <v>3815.03</v>
      </c>
      <c r="S11" s="134" t="s">
        <v>81</v>
      </c>
      <c r="T11" s="134">
        <v>876.69</v>
      </c>
      <c r="U11" s="130">
        <v>0.97750000000000004</v>
      </c>
      <c r="V11" s="130">
        <v>0.96340000000000003</v>
      </c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 t="s">
        <v>62</v>
      </c>
      <c r="D15" s="6" t="s">
        <v>39</v>
      </c>
      <c r="E15" s="6">
        <v>0</v>
      </c>
      <c r="F15" s="6">
        <v>200</v>
      </c>
      <c r="G15" s="6">
        <v>0</v>
      </c>
      <c r="H15" s="95"/>
      <c r="I15" s="6">
        <v>0</v>
      </c>
      <c r="J15" s="95" t="e">
        <f t="shared" si="0"/>
        <v>#DIV/0!</v>
      </c>
      <c r="K15" s="95">
        <f t="shared" si="1"/>
        <v>-100</v>
      </c>
      <c r="L15" s="6" t="s">
        <v>80</v>
      </c>
      <c r="M15" s="115" t="s">
        <v>56</v>
      </c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 t="s">
        <v>56</v>
      </c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 t="s">
        <v>80</v>
      </c>
      <c r="X17" s="115"/>
    </row>
    <row r="18" spans="2:24" ht="15.75">
      <c r="B18" s="82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82"/>
      <c r="P18" s="112" t="s">
        <v>63</v>
      </c>
      <c r="Q18" s="112"/>
      <c r="R18" s="112"/>
      <c r="S18" s="134" t="s">
        <v>81</v>
      </c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7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 ht="15.75">
      <c r="B21" s="83"/>
      <c r="C21" s="6"/>
      <c r="D21" s="6"/>
      <c r="E21" s="6"/>
      <c r="F21" s="6"/>
      <c r="G21" s="6"/>
      <c r="H21" s="95"/>
      <c r="I21" s="6"/>
      <c r="J21" s="95"/>
      <c r="K21" s="95"/>
      <c r="L21" s="6"/>
      <c r="M21" s="116"/>
      <c r="O21" s="118"/>
      <c r="P21" s="112"/>
      <c r="Q21" s="112"/>
      <c r="R21" s="112"/>
      <c r="S21" s="134"/>
      <c r="T21" s="134"/>
      <c r="U21" s="130"/>
      <c r="V21" s="130"/>
      <c r="W21" s="6"/>
      <c r="X21" s="115"/>
    </row>
    <row r="22" spans="2:24">
      <c r="B22" s="99"/>
      <c r="C22" s="194" t="s">
        <v>82</v>
      </c>
      <c r="D22" s="194"/>
      <c r="E22" s="194"/>
      <c r="F22" s="194"/>
      <c r="G22" s="194"/>
      <c r="H22" s="194"/>
      <c r="I22" s="119">
        <f>COUNT(B9:B21)</f>
        <v>1</v>
      </c>
      <c r="J22" s="120"/>
      <c r="K22" s="120"/>
      <c r="L22" s="106"/>
      <c r="M22" s="121"/>
      <c r="O22" s="122"/>
      <c r="P22" s="197" t="s">
        <v>83</v>
      </c>
      <c r="Q22" s="197"/>
      <c r="R22" s="197"/>
      <c r="S22" s="197"/>
      <c r="T22" s="135">
        <f>COUNT(O9:O21)</f>
        <v>3</v>
      </c>
      <c r="U22" s="136"/>
      <c r="V22" s="136"/>
      <c r="W22" s="137"/>
      <c r="X22" s="138"/>
    </row>
    <row r="23" spans="2:24">
      <c r="C23" s="100"/>
      <c r="D23" s="100"/>
      <c r="E23" s="100"/>
      <c r="F23" s="100"/>
      <c r="G23" s="100"/>
      <c r="H23" s="101"/>
      <c r="J23" s="88"/>
      <c r="K23" s="88"/>
      <c r="S23" s="89"/>
      <c r="T23" s="89"/>
      <c r="U23" s="90"/>
      <c r="V23" s="90"/>
      <c r="W23" s="89"/>
      <c r="X23" s="89"/>
    </row>
    <row r="24" spans="2:24">
      <c r="J24" s="88"/>
      <c r="K24" s="88"/>
      <c r="S24" s="89"/>
      <c r="T24" s="89"/>
      <c r="U24" s="90"/>
      <c r="V24" s="90"/>
      <c r="W24" s="89"/>
      <c r="X24" s="89"/>
    </row>
    <row r="25" spans="2:24">
      <c r="B25" s="92"/>
      <c r="C25" s="102"/>
      <c r="D25" s="102"/>
      <c r="E25" s="102"/>
      <c r="F25" s="102"/>
      <c r="G25" s="195" t="s">
        <v>84</v>
      </c>
      <c r="H25" s="195"/>
      <c r="I25" s="93"/>
      <c r="J25" s="123"/>
      <c r="K25" s="123"/>
      <c r="L25" s="93"/>
      <c r="M25" s="107"/>
      <c r="O25" s="108"/>
      <c r="P25" s="109"/>
      <c r="Q25" s="109"/>
      <c r="R25" s="109"/>
      <c r="S25" s="127" t="s">
        <v>29</v>
      </c>
      <c r="T25" s="109"/>
      <c r="U25" s="128"/>
      <c r="V25" s="128"/>
      <c r="W25" s="109"/>
      <c r="X25" s="129"/>
    </row>
    <row r="26" spans="2:24">
      <c r="B26" s="103"/>
      <c r="C26" s="104"/>
      <c r="D26" s="104"/>
      <c r="E26" s="104"/>
      <c r="F26" s="104"/>
      <c r="G26" s="105"/>
      <c r="H26" s="105"/>
      <c r="I26" s="105"/>
      <c r="J26" s="124"/>
      <c r="K26" s="124"/>
      <c r="L26" s="105"/>
      <c r="M26" s="125"/>
      <c r="O26" s="111"/>
      <c r="P26" s="112"/>
      <c r="Q26" s="112"/>
      <c r="R26" s="112"/>
      <c r="S26" s="112"/>
      <c r="T26" s="112"/>
      <c r="U26" s="130"/>
      <c r="V26" s="130"/>
      <c r="W26" s="112"/>
      <c r="X26" s="131"/>
    </row>
    <row r="27" spans="2:24" ht="15.75">
      <c r="B27" s="96" t="s">
        <v>64</v>
      </c>
      <c r="C27" s="97" t="s">
        <v>65</v>
      </c>
      <c r="D27" s="97" t="s">
        <v>66</v>
      </c>
      <c r="E27" s="97" t="s">
        <v>67</v>
      </c>
      <c r="F27" s="97" t="s">
        <v>68</v>
      </c>
      <c r="G27" s="97" t="s">
        <v>69</v>
      </c>
      <c r="H27" s="98" t="s">
        <v>70</v>
      </c>
      <c r="I27" s="97" t="s">
        <v>71</v>
      </c>
      <c r="J27" s="97" t="s">
        <v>72</v>
      </c>
      <c r="K27" s="97" t="s">
        <v>73</v>
      </c>
      <c r="L27" s="97" t="s">
        <v>54</v>
      </c>
      <c r="M27" s="39" t="s">
        <v>74</v>
      </c>
      <c r="O27" s="113" t="s">
        <v>64</v>
      </c>
      <c r="P27" s="114" t="s">
        <v>65</v>
      </c>
      <c r="Q27" s="114" t="s">
        <v>75</v>
      </c>
      <c r="R27" s="114" t="s">
        <v>11</v>
      </c>
      <c r="S27" s="114" t="s">
        <v>76</v>
      </c>
      <c r="T27" s="114" t="s">
        <v>77</v>
      </c>
      <c r="U27" s="132" t="s">
        <v>78</v>
      </c>
      <c r="V27" s="132" t="s">
        <v>79</v>
      </c>
      <c r="W27" s="114" t="s">
        <v>54</v>
      </c>
      <c r="X27" s="133" t="s">
        <v>74</v>
      </c>
    </row>
    <row r="28" spans="2:24" ht="15.75">
      <c r="B28" s="82">
        <v>45272.603472222225</v>
      </c>
      <c r="C28" s="6" t="s">
        <v>85</v>
      </c>
      <c r="D28" s="6" t="s">
        <v>39</v>
      </c>
      <c r="E28" s="6">
        <v>0</v>
      </c>
      <c r="F28" s="6">
        <v>200</v>
      </c>
      <c r="G28" s="6">
        <v>0</v>
      </c>
      <c r="H28" s="95">
        <v>204.6</v>
      </c>
      <c r="I28" s="6">
        <v>0</v>
      </c>
      <c r="J28" s="95">
        <f>F28/H28</f>
        <v>0.97751710654936463</v>
      </c>
      <c r="K28" s="95">
        <f>(H28-F28)*100/F28</f>
        <v>2.2999999999999972</v>
      </c>
      <c r="L28" s="6" t="s">
        <v>80</v>
      </c>
      <c r="M28" s="115" t="s">
        <v>56</v>
      </c>
      <c r="O28" s="82">
        <v>45262.512499999997</v>
      </c>
      <c r="P28" s="112" t="s">
        <v>29</v>
      </c>
      <c r="Q28" s="112">
        <v>4846.53</v>
      </c>
      <c r="R28" s="112">
        <v>3758.25</v>
      </c>
      <c r="S28" s="134" t="s">
        <v>86</v>
      </c>
      <c r="T28" s="134">
        <v>795.9</v>
      </c>
      <c r="U28" s="130">
        <v>0.92490000000000006</v>
      </c>
      <c r="V28" s="130">
        <v>0.91690000000000005</v>
      </c>
      <c r="W28" s="6" t="s">
        <v>80</v>
      </c>
      <c r="X28" s="115" t="s">
        <v>56</v>
      </c>
    </row>
    <row r="29" spans="2:24" ht="15.75">
      <c r="B29" s="82">
        <v>45280.573611111111</v>
      </c>
      <c r="C29" s="6" t="s">
        <v>85</v>
      </c>
      <c r="D29" s="6" t="s">
        <v>39</v>
      </c>
      <c r="E29" s="6">
        <v>0</v>
      </c>
      <c r="F29" s="6">
        <v>200</v>
      </c>
      <c r="G29" s="6">
        <v>0</v>
      </c>
      <c r="H29" s="95">
        <v>200.6</v>
      </c>
      <c r="I29" s="6">
        <v>0</v>
      </c>
      <c r="J29" s="95">
        <f t="shared" ref="J29:J34" si="2">F29/H29</f>
        <v>0.99700897308075775</v>
      </c>
      <c r="K29" s="95">
        <f t="shared" ref="K29:K34" si="3">(H29-F29)*100/F29</f>
        <v>0.29999999999999716</v>
      </c>
      <c r="L29" s="6" t="s">
        <v>80</v>
      </c>
      <c r="M29" s="115" t="s">
        <v>56</v>
      </c>
      <c r="O29" s="82">
        <v>45272.575694444444</v>
      </c>
      <c r="P29" s="112" t="s">
        <v>29</v>
      </c>
      <c r="Q29" s="112">
        <v>4804.47</v>
      </c>
      <c r="R29" s="112">
        <v>3737.36</v>
      </c>
      <c r="S29" s="134" t="s">
        <v>86</v>
      </c>
      <c r="T29" s="134">
        <v>783.84</v>
      </c>
      <c r="U29" s="130">
        <v>0.91690000000000005</v>
      </c>
      <c r="V29" s="130">
        <v>0.92290000000000005</v>
      </c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>
        <v>45280.560416666667</v>
      </c>
      <c r="P30" s="112" t="s">
        <v>29</v>
      </c>
      <c r="Q30" s="112">
        <v>4605.2</v>
      </c>
      <c r="R30" s="112">
        <v>3589.04</v>
      </c>
      <c r="S30" s="134" t="s">
        <v>86</v>
      </c>
      <c r="T30" s="134">
        <v>786.17</v>
      </c>
      <c r="U30" s="130">
        <v>0.92290000000000005</v>
      </c>
      <c r="V30" s="130">
        <v>0.92630000000000001</v>
      </c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 t="s">
        <v>85</v>
      </c>
      <c r="D34" s="6" t="s">
        <v>39</v>
      </c>
      <c r="E34" s="6">
        <v>0</v>
      </c>
      <c r="F34" s="6">
        <v>200</v>
      </c>
      <c r="G34" s="6"/>
      <c r="H34" s="95"/>
      <c r="I34" s="6">
        <v>0</v>
      </c>
      <c r="J34" s="95" t="e">
        <f t="shared" si="2"/>
        <v>#DIV/0!</v>
      </c>
      <c r="K34" s="95">
        <f t="shared" si="3"/>
        <v>-100</v>
      </c>
      <c r="L34" s="6" t="s">
        <v>80</v>
      </c>
      <c r="M34" s="115" t="s">
        <v>56</v>
      </c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 t="s">
        <v>56</v>
      </c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 t="s">
        <v>80</v>
      </c>
      <c r="X36" s="115"/>
    </row>
    <row r="37" spans="2:24" ht="15.75">
      <c r="B37" s="82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82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7"/>
      <c r="P38" s="112" t="s">
        <v>29</v>
      </c>
      <c r="Q38" s="112"/>
      <c r="R38" s="112"/>
      <c r="S38" s="134" t="s">
        <v>86</v>
      </c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83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18"/>
      <c r="P40" s="112"/>
      <c r="Q40" s="112"/>
      <c r="R40" s="112"/>
      <c r="S40" s="134"/>
      <c r="T40" s="134"/>
      <c r="U40" s="130"/>
      <c r="V40" s="130"/>
      <c r="W40" s="6"/>
      <c r="X40" s="115"/>
    </row>
    <row r="41" spans="2:24" ht="15.75">
      <c r="B41" s="94"/>
      <c r="C41" s="6"/>
      <c r="D41" s="6"/>
      <c r="E41" s="6"/>
      <c r="F41" s="6"/>
      <c r="G41" s="6"/>
      <c r="H41" s="95"/>
      <c r="I41" s="6"/>
      <c r="J41" s="95"/>
      <c r="K41" s="95"/>
      <c r="L41" s="6"/>
      <c r="M41" s="116"/>
      <c r="O41" s="122"/>
      <c r="P41" s="197" t="s">
        <v>87</v>
      </c>
      <c r="Q41" s="197"/>
      <c r="R41" s="197"/>
      <c r="S41" s="197"/>
      <c r="T41" s="135">
        <f>COUNT(O28:O40)</f>
        <v>3</v>
      </c>
      <c r="U41" s="136"/>
      <c r="V41" s="136"/>
      <c r="W41" s="137"/>
      <c r="X41" s="138"/>
    </row>
    <row r="42" spans="2:24">
      <c r="B42" s="99"/>
      <c r="C42" s="106"/>
      <c r="D42" s="194" t="s">
        <v>88</v>
      </c>
      <c r="E42" s="194"/>
      <c r="F42" s="194"/>
      <c r="G42" s="194"/>
      <c r="H42" s="194"/>
      <c r="I42" s="194"/>
      <c r="J42" s="126">
        <f>COUNT(B28:B40)</f>
        <v>2</v>
      </c>
      <c r="K42" s="120"/>
      <c r="L42" s="106"/>
      <c r="M42" s="121"/>
      <c r="S42" s="89"/>
      <c r="T42" s="89"/>
      <c r="U42" s="90"/>
      <c r="V42" s="90"/>
      <c r="W42" s="89"/>
      <c r="X42" s="89"/>
    </row>
    <row r="45" spans="2:24">
      <c r="B45" s="92"/>
      <c r="C45" s="102"/>
      <c r="D45" s="102"/>
      <c r="E45" s="102"/>
      <c r="F45" s="102"/>
      <c r="G45" s="195" t="s">
        <v>38</v>
      </c>
      <c r="H45" s="195"/>
      <c r="I45" s="93"/>
      <c r="J45" s="123"/>
      <c r="K45" s="123"/>
      <c r="L45" s="93"/>
      <c r="M45" s="107"/>
    </row>
    <row r="46" spans="2:24">
      <c r="B46" s="94"/>
      <c r="C46" s="6"/>
      <c r="D46" s="6"/>
      <c r="E46" s="6"/>
      <c r="F46" s="6"/>
      <c r="G46" s="6"/>
      <c r="H46" s="95"/>
      <c r="I46" s="6"/>
      <c r="J46" s="95"/>
      <c r="K46" s="95"/>
      <c r="L46" s="6"/>
      <c r="M46" s="110"/>
    </row>
    <row r="47" spans="2:24" ht="15.75">
      <c r="B47" s="96" t="s">
        <v>64</v>
      </c>
      <c r="C47" s="97" t="s">
        <v>65</v>
      </c>
      <c r="D47" s="97" t="s">
        <v>66</v>
      </c>
      <c r="E47" s="97" t="s">
        <v>67</v>
      </c>
      <c r="F47" s="97" t="s">
        <v>68</v>
      </c>
      <c r="G47" s="97" t="s">
        <v>69</v>
      </c>
      <c r="H47" s="98" t="s">
        <v>70</v>
      </c>
      <c r="I47" s="97" t="s">
        <v>71</v>
      </c>
      <c r="J47" s="97" t="s">
        <v>72</v>
      </c>
      <c r="K47" s="97" t="s">
        <v>73</v>
      </c>
      <c r="L47" s="97" t="s">
        <v>54</v>
      </c>
      <c r="M47" s="39" t="s">
        <v>74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2"/>
      <c r="C52" s="6" t="s">
        <v>38</v>
      </c>
      <c r="D52" s="6" t="s">
        <v>39</v>
      </c>
      <c r="E52" s="6">
        <v>0</v>
      </c>
      <c r="F52" s="6">
        <v>400</v>
      </c>
      <c r="G52" s="6">
        <v>0</v>
      </c>
      <c r="H52" s="95"/>
      <c r="I52" s="6">
        <v>0</v>
      </c>
      <c r="J52" s="95" t="e">
        <f>F52/H52</f>
        <v>#DIV/0!</v>
      </c>
      <c r="K52" s="95">
        <f>(H52-F52)*100/F52</f>
        <v>-100</v>
      </c>
      <c r="L52" s="6" t="s">
        <v>80</v>
      </c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5" t="s">
        <v>56</v>
      </c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83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 ht="15.75">
      <c r="B61" s="94"/>
      <c r="C61" s="6"/>
      <c r="D61" s="6"/>
      <c r="E61" s="6"/>
      <c r="F61" s="6"/>
      <c r="G61" s="6"/>
      <c r="H61" s="95"/>
      <c r="I61" s="6"/>
      <c r="J61" s="95"/>
      <c r="K61" s="95"/>
      <c r="L61" s="6"/>
      <c r="M61" s="116"/>
    </row>
    <row r="62" spans="2:13">
      <c r="B62" s="99"/>
      <c r="C62" s="106"/>
      <c r="D62" s="194" t="s">
        <v>89</v>
      </c>
      <c r="E62" s="194"/>
      <c r="F62" s="194"/>
      <c r="G62" s="194"/>
      <c r="H62" s="194"/>
      <c r="I62" s="194"/>
      <c r="J62" s="126">
        <f>COUNT(B48:B60)</f>
        <v>0</v>
      </c>
      <c r="K62" s="120"/>
      <c r="L62" s="106"/>
      <c r="M62" s="121"/>
    </row>
    <row r="65" spans="2:13">
      <c r="B65" s="92"/>
      <c r="C65" s="102"/>
      <c r="D65" s="102"/>
      <c r="E65" s="102"/>
      <c r="F65" s="102"/>
      <c r="G65" s="195" t="s">
        <v>37</v>
      </c>
      <c r="H65" s="195"/>
      <c r="I65" s="93"/>
      <c r="J65" s="123"/>
      <c r="K65" s="123"/>
      <c r="L65" s="93"/>
      <c r="M65" s="107"/>
    </row>
    <row r="66" spans="2:13">
      <c r="B66" s="94"/>
      <c r="C66" s="6"/>
      <c r="D66" s="6"/>
      <c r="E66" s="6"/>
      <c r="F66" s="6"/>
      <c r="G66" s="6"/>
      <c r="H66" s="95"/>
      <c r="I66" s="6"/>
      <c r="J66" s="95"/>
      <c r="K66" s="95"/>
      <c r="L66" s="6"/>
      <c r="M66" s="110"/>
    </row>
    <row r="67" spans="2:13" ht="15.75">
      <c r="B67" s="96" t="s">
        <v>64</v>
      </c>
      <c r="C67" s="97" t="s">
        <v>65</v>
      </c>
      <c r="D67" s="97" t="s">
        <v>66</v>
      </c>
      <c r="E67" s="97" t="s">
        <v>67</v>
      </c>
      <c r="F67" s="97" t="s">
        <v>68</v>
      </c>
      <c r="G67" s="97" t="s">
        <v>69</v>
      </c>
      <c r="H67" s="98" t="s">
        <v>70</v>
      </c>
      <c r="I67" s="97" t="s">
        <v>71</v>
      </c>
      <c r="J67" s="97" t="s">
        <v>72</v>
      </c>
      <c r="K67" s="97" t="s">
        <v>73</v>
      </c>
      <c r="L67" s="97" t="s">
        <v>54</v>
      </c>
      <c r="M67" s="39" t="s">
        <v>74</v>
      </c>
    </row>
    <row r="68" spans="2:13" ht="15.75">
      <c r="B68" s="82">
        <v>45272.576388888891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139">
        <v>5.0659999999999998</v>
      </c>
      <c r="I68" s="6">
        <v>0</v>
      </c>
      <c r="J68" s="95">
        <f>F68/H68</f>
        <v>0.98697196999605219</v>
      </c>
      <c r="K68" s="95">
        <f>(H68-F68)*100/F68</f>
        <v>1.3199999999999967</v>
      </c>
      <c r="L68" s="6" t="s">
        <v>80</v>
      </c>
      <c r="M68" s="115" t="s">
        <v>56</v>
      </c>
    </row>
    <row r="69" spans="2:13" ht="15.75">
      <c r="B69" s="82">
        <v>45280.55972222222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>
        <v>5.0060000000000002</v>
      </c>
      <c r="I69" s="6">
        <v>0</v>
      </c>
      <c r="J69" s="95">
        <f t="shared" ref="J69:J74" si="4">F69/H69</f>
        <v>0.99880143827407109</v>
      </c>
      <c r="K69" s="95">
        <f t="shared" ref="K69:K74" si="5">(H69-F69)*100/F69</f>
        <v>0.12000000000000455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95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 t="s">
        <v>37</v>
      </c>
      <c r="D74" s="6" t="s">
        <v>47</v>
      </c>
      <c r="E74" s="6">
        <v>0</v>
      </c>
      <c r="F74" s="6">
        <v>5</v>
      </c>
      <c r="G74" s="6">
        <v>0</v>
      </c>
      <c r="H74" s="139"/>
      <c r="I74" s="6">
        <v>0</v>
      </c>
      <c r="J74" s="95" t="e">
        <f t="shared" si="4"/>
        <v>#DIV/0!</v>
      </c>
      <c r="K74" s="95">
        <f t="shared" si="5"/>
        <v>-100</v>
      </c>
      <c r="L74" s="6" t="s">
        <v>80</v>
      </c>
      <c r="M74" s="115" t="s">
        <v>56</v>
      </c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2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83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 ht="15.75">
      <c r="B81" s="94"/>
      <c r="C81" s="6"/>
      <c r="D81" s="6"/>
      <c r="E81" s="6"/>
      <c r="F81" s="6"/>
      <c r="G81" s="6"/>
      <c r="H81" s="139"/>
      <c r="I81" s="6"/>
      <c r="J81" s="95"/>
      <c r="K81" s="95"/>
      <c r="L81" s="6"/>
      <c r="M81" s="116"/>
    </row>
    <row r="82" spans="2:13">
      <c r="B82" s="99"/>
      <c r="C82" s="106"/>
      <c r="D82" s="194" t="s">
        <v>90</v>
      </c>
      <c r="E82" s="194"/>
      <c r="F82" s="194"/>
      <c r="G82" s="194"/>
      <c r="H82" s="194"/>
      <c r="I82" s="194"/>
      <c r="J82" s="126">
        <f>COUNT(B68:B80)</f>
        <v>2</v>
      </c>
      <c r="K82" s="120"/>
      <c r="L82" s="106"/>
      <c r="M82" s="121"/>
    </row>
    <row r="85" spans="2:13">
      <c r="B85" s="92"/>
      <c r="C85" s="102"/>
      <c r="D85" s="102"/>
      <c r="E85" s="102"/>
      <c r="F85" s="102"/>
      <c r="G85" s="195" t="s">
        <v>91</v>
      </c>
      <c r="H85" s="195"/>
      <c r="I85" s="93"/>
      <c r="J85" s="123"/>
      <c r="K85" s="123"/>
      <c r="L85" s="93"/>
      <c r="M85" s="107"/>
    </row>
    <row r="86" spans="2:13">
      <c r="B86" s="94"/>
      <c r="C86" s="6"/>
      <c r="D86" s="6"/>
      <c r="E86" s="6"/>
      <c r="F86" s="6"/>
      <c r="G86" s="6"/>
      <c r="H86" s="95"/>
      <c r="I86" s="6"/>
      <c r="J86" s="95"/>
      <c r="K86" s="95"/>
      <c r="L86" s="6"/>
      <c r="M86" s="110"/>
    </row>
    <row r="87" spans="2:13" ht="15.75">
      <c r="B87" s="96" t="s">
        <v>64</v>
      </c>
      <c r="C87" s="97" t="s">
        <v>65</v>
      </c>
      <c r="D87" s="97" t="s">
        <v>66</v>
      </c>
      <c r="E87" s="97" t="s">
        <v>67</v>
      </c>
      <c r="F87" s="97" t="s">
        <v>68</v>
      </c>
      <c r="G87" s="97" t="s">
        <v>69</v>
      </c>
      <c r="H87" s="98" t="s">
        <v>70</v>
      </c>
      <c r="I87" s="97" t="s">
        <v>71</v>
      </c>
      <c r="J87" s="97" t="s">
        <v>72</v>
      </c>
      <c r="K87" s="97" t="s">
        <v>73</v>
      </c>
      <c r="L87" s="97" t="s">
        <v>54</v>
      </c>
      <c r="M87" s="39" t="s">
        <v>74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ref="J88:J93" si="6">F88/H88</f>
        <v>#DIV/0!</v>
      </c>
      <c r="K88" s="95">
        <f t="shared" ref="K88:K93" si="7">(H88-F88)*100/F88</f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2"/>
      <c r="C93" s="6" t="s">
        <v>91</v>
      </c>
      <c r="D93" s="6" t="s">
        <v>39</v>
      </c>
      <c r="E93" s="6">
        <v>0</v>
      </c>
      <c r="F93" s="6">
        <v>60</v>
      </c>
      <c r="G93" s="6">
        <v>0</v>
      </c>
      <c r="H93" s="95"/>
      <c r="I93" s="6">
        <v>0</v>
      </c>
      <c r="J93" s="95" t="e">
        <f t="shared" si="6"/>
        <v>#DIV/0!</v>
      </c>
      <c r="K93" s="95">
        <f t="shared" si="7"/>
        <v>-100</v>
      </c>
      <c r="L93" s="6" t="s">
        <v>80</v>
      </c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5" t="s">
        <v>56</v>
      </c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83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 ht="15.75">
      <c r="B101" s="94"/>
      <c r="C101" s="6"/>
      <c r="D101" s="6"/>
      <c r="E101" s="6"/>
      <c r="F101" s="6"/>
      <c r="G101" s="6"/>
      <c r="H101" s="95"/>
      <c r="I101" s="6"/>
      <c r="J101" s="95"/>
      <c r="K101" s="95"/>
      <c r="L101" s="6"/>
      <c r="M101" s="116"/>
    </row>
    <row r="102" spans="2:13">
      <c r="B102" s="99"/>
      <c r="C102" s="106"/>
      <c r="D102" s="194" t="s">
        <v>92</v>
      </c>
      <c r="E102" s="194"/>
      <c r="F102" s="194"/>
      <c r="G102" s="194"/>
      <c r="H102" s="194"/>
      <c r="I102" s="194"/>
      <c r="J102" s="126">
        <f>COUNT(B88:B100)</f>
        <v>0</v>
      </c>
      <c r="K102" s="120"/>
      <c r="L102" s="106"/>
      <c r="M102" s="121"/>
    </row>
    <row r="105" spans="2:13">
      <c r="B105" s="92"/>
      <c r="C105" s="93"/>
      <c r="D105" s="93"/>
      <c r="E105" s="93"/>
      <c r="F105" s="93"/>
      <c r="G105" s="196" t="s">
        <v>93</v>
      </c>
      <c r="H105" s="196"/>
      <c r="I105" s="93"/>
      <c r="J105" s="93"/>
      <c r="K105" s="93"/>
      <c r="L105" s="93"/>
      <c r="M105" s="107"/>
    </row>
    <row r="106" spans="2:13">
      <c r="B106" s="94"/>
      <c r="C106" s="6"/>
      <c r="D106" s="6"/>
      <c r="E106" s="6"/>
      <c r="F106" s="6"/>
      <c r="G106" s="6"/>
      <c r="H106" s="95"/>
      <c r="I106" s="6"/>
      <c r="J106" s="6"/>
      <c r="K106" s="6"/>
      <c r="L106" s="6"/>
      <c r="M106" s="110"/>
    </row>
    <row r="107" spans="2:13" ht="15.75">
      <c r="B107" s="140" t="s">
        <v>64</v>
      </c>
      <c r="C107" s="97" t="s">
        <v>65</v>
      </c>
      <c r="D107" s="97" t="s">
        <v>66</v>
      </c>
      <c r="E107" s="97" t="s">
        <v>67</v>
      </c>
      <c r="F107" s="97" t="s">
        <v>68</v>
      </c>
      <c r="G107" s="97" t="s">
        <v>69</v>
      </c>
      <c r="H107" s="98" t="s">
        <v>70</v>
      </c>
      <c r="I107" s="97" t="s">
        <v>71</v>
      </c>
      <c r="J107" s="97" t="s">
        <v>72</v>
      </c>
      <c r="K107" s="97" t="s">
        <v>73</v>
      </c>
      <c r="L107" s="97" t="s">
        <v>54</v>
      </c>
      <c r="M107" s="141" t="s">
        <v>74</v>
      </c>
    </row>
    <row r="108" spans="2:13" ht="15.75">
      <c r="B108" s="82">
        <v>45272.574305555558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319.2</v>
      </c>
      <c r="I108" s="6">
        <f>G108-E108</f>
        <v>0</v>
      </c>
      <c r="J108" s="95">
        <f>F108/H108</f>
        <v>1.0025062656641603</v>
      </c>
      <c r="K108" s="95">
        <f>(H108-F108)*100/F108</f>
        <v>-0.25000000000000355</v>
      </c>
      <c r="L108" s="6" t="s">
        <v>80</v>
      </c>
      <c r="M108" s="115" t="s">
        <v>56</v>
      </c>
    </row>
    <row r="109" spans="2:13" ht="15.75">
      <c r="B109" s="82">
        <v>45280.550694444442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>
        <v>320.2</v>
      </c>
      <c r="I109" s="6">
        <f>G109-E109</f>
        <v>0</v>
      </c>
      <c r="J109" s="95">
        <f>F109/H109</f>
        <v>0.99937539038101186</v>
      </c>
      <c r="K109" s="95">
        <f>(H109-F109)*100/F109</f>
        <v>6.2499999999996447E-2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ref="I110:I116" si="8">G110-E110</f>
        <v>0</v>
      </c>
      <c r="J110" s="95" t="e">
        <f t="shared" ref="J110:J116" si="9">F110/H110</f>
        <v>#DIV/0!</v>
      </c>
      <c r="K110" s="95">
        <f t="shared" ref="K110:K116" si="10">(H110-F110)*100/F110</f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5" t="s">
        <v>56</v>
      </c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2"/>
      <c r="C116" s="6" t="s">
        <v>93</v>
      </c>
      <c r="D116" s="6" t="s">
        <v>39</v>
      </c>
      <c r="E116" s="6">
        <v>0</v>
      </c>
      <c r="F116" s="6">
        <v>320</v>
      </c>
      <c r="G116" s="6">
        <v>0</v>
      </c>
      <c r="H116" s="95"/>
      <c r="I116" s="6">
        <f t="shared" si="8"/>
        <v>0</v>
      </c>
      <c r="J116" s="95" t="e">
        <f t="shared" si="9"/>
        <v>#DIV/0!</v>
      </c>
      <c r="K116" s="95">
        <f t="shared" si="10"/>
        <v>-100</v>
      </c>
      <c r="L116" s="6" t="s">
        <v>80</v>
      </c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83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 ht="15.75">
      <c r="B119" s="94"/>
      <c r="C119" s="6"/>
      <c r="D119" s="6"/>
      <c r="E119" s="6"/>
      <c r="F119" s="6"/>
      <c r="G119" s="6"/>
      <c r="H119" s="95"/>
      <c r="I119" s="6"/>
      <c r="J119" s="95"/>
      <c r="K119" s="95"/>
      <c r="L119" s="6"/>
      <c r="M119" s="116"/>
    </row>
    <row r="120" spans="2:13">
      <c r="B120" s="99"/>
      <c r="C120" s="194" t="s">
        <v>94</v>
      </c>
      <c r="D120" s="194"/>
      <c r="E120" s="194"/>
      <c r="F120" s="194"/>
      <c r="G120" s="194"/>
      <c r="H120" s="194"/>
      <c r="I120" s="126">
        <f>COUNT(B108:B119)</f>
        <v>2</v>
      </c>
      <c r="J120" s="120"/>
      <c r="K120" s="120"/>
      <c r="L120" s="106"/>
      <c r="M120" s="121"/>
    </row>
  </sheetData>
  <mergeCells count="16">
    <mergeCell ref="D2:J2"/>
    <mergeCell ref="D3:J3"/>
    <mergeCell ref="G6:H6"/>
    <mergeCell ref="C22:H22"/>
    <mergeCell ref="P22:S22"/>
    <mergeCell ref="G25:H25"/>
    <mergeCell ref="P41:S41"/>
    <mergeCell ref="D42:I42"/>
    <mergeCell ref="G45:H45"/>
    <mergeCell ref="D62:I62"/>
    <mergeCell ref="C120:H120"/>
    <mergeCell ref="G65:H65"/>
    <mergeCell ref="D82:I82"/>
    <mergeCell ref="G85:H85"/>
    <mergeCell ref="D102:I102"/>
    <mergeCell ref="G105:H105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3" t="s">
        <v>95</v>
      </c>
      <c r="C2" s="203"/>
      <c r="D2" s="205" t="str">
        <f>'MONTHLY 31'!$B$2</f>
        <v>01/12/2023 00:15</v>
      </c>
      <c r="E2" s="205"/>
    </row>
    <row r="3" spans="2:5">
      <c r="B3" s="203" t="s">
        <v>96</v>
      </c>
      <c r="C3" s="203"/>
      <c r="D3" s="205"/>
      <c r="E3" s="205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4" t="s">
        <v>100</v>
      </c>
      <c r="C44" s="204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6" t="s">
        <v>101</v>
      </c>
      <c r="C2" s="206"/>
      <c r="D2" s="206"/>
      <c r="E2" s="206"/>
      <c r="F2" s="207">
        <v>1</v>
      </c>
      <c r="G2" s="208"/>
      <c r="H2" s="208"/>
    </row>
    <row r="3" spans="2:24" customFormat="1" ht="15" customHeight="1">
      <c r="B3" s="206"/>
      <c r="C3" s="206"/>
      <c r="D3" s="206"/>
      <c r="E3" s="206"/>
      <c r="F3" s="208"/>
      <c r="G3" s="208"/>
      <c r="H3" s="208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1" t="s">
        <v>93</v>
      </c>
      <c r="C12" s="222" t="s">
        <v>102</v>
      </c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46"/>
      <c r="U12" s="45"/>
    </row>
    <row r="13" spans="2:24" ht="15" customHeight="1">
      <c r="B13" s="212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2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2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2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3" t="s">
        <v>84</v>
      </c>
      <c r="C25" s="224" t="s">
        <v>102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09"/>
      <c r="S25" s="56"/>
      <c r="T25" s="57"/>
    </row>
    <row r="26" spans="2:28" ht="15" customHeight="1">
      <c r="B26" s="213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3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4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5" t="s">
        <v>37</v>
      </c>
      <c r="C36" s="226" t="s">
        <v>102</v>
      </c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</row>
    <row r="37" spans="2:25" ht="15.75" customHeight="1">
      <c r="B37" s="216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6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7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8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8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3" t="s">
        <v>196</v>
      </c>
      <c r="C61" s="224" t="s">
        <v>102</v>
      </c>
      <c r="D61" s="225"/>
      <c r="E61" s="225"/>
      <c r="F61" s="225"/>
      <c r="G61" s="225"/>
      <c r="H61" s="225"/>
      <c r="I61" s="225"/>
      <c r="J61" s="225"/>
      <c r="K61" s="225"/>
      <c r="L61" s="225"/>
      <c r="M61" s="225"/>
      <c r="N61" s="225"/>
      <c r="O61" s="225"/>
      <c r="P61" s="225"/>
      <c r="Q61" s="225"/>
      <c r="R61" s="209"/>
      <c r="S61" s="65"/>
      <c r="T61" s="66"/>
    </row>
    <row r="62" spans="2:20" ht="15.75">
      <c r="B62" s="213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9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4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3" t="s">
        <v>213</v>
      </c>
      <c r="C69" s="224" t="s">
        <v>102</v>
      </c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09"/>
      <c r="S69" s="65"/>
      <c r="T69" s="66"/>
    </row>
    <row r="70" spans="2:20" ht="15.75">
      <c r="B70" s="213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9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4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0" t="s">
        <v>91</v>
      </c>
      <c r="C77" s="209" t="s">
        <v>102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70"/>
      <c r="S77" s="70"/>
      <c r="T77" s="15"/>
    </row>
    <row r="78" spans="2:20">
      <c r="B78" s="221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1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1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1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2024-01-11T12:55:44Z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